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7025" windowHeight="14055" tabRatio="862" firstSheet="5" activeTab="7"/>
  </bookViews>
  <sheets>
    <sheet name="月度培训数据-经理复盘会" sheetId="13" r:id="rId1"/>
    <sheet name="自主培训2026年度数据（累计）" sheetId="8" r:id="rId2"/>
    <sheet name="2026年度培训主表" sheetId="1" r:id="rId3"/>
    <sheet name="《营业部》维度的参训率" sheetId="2" r:id="rId4"/>
    <sheet name="《分公司》维度的参训率" sheetId="3" r:id="rId5"/>
    <sheet name="《课程名称》维度的参训明细（主表）" sheetId="14" r:id="rId6"/>
    <sheet name="《授课类型》维度的参训明细" sheetId="15" r:id="rId7"/>
    <sheet name="各类培训类型参训率（人数为维度）" sheetId="16" r:id="rId8"/>
    <sheet name="团队项目通关明细表" sheetId="17" r:id="rId9"/>
    <sheet name="26年转正＋试岗" sheetId="10" r:id="rId10"/>
    <sheet name="试岗通关明细" sheetId="11" r:id="rId11"/>
    <sheet name="转正通关明细 " sheetId="19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xlnm._FilterDatabase" localSheetId="1" hidden="1">'自主培训2026年度数据（累计）'!$A$2:$V$662</definedName>
    <definedName name="_xlnm._FilterDatabase" localSheetId="2" hidden="1">'2026年度培训主表'!$A$2:$S$1678</definedName>
    <definedName name="_xlnm._FilterDatabase" localSheetId="3" hidden="1">《营业部》维度的参训率!$A$2:$I$130</definedName>
    <definedName name="_xlnm._FilterDatabase" localSheetId="4" hidden="1">《分公司》维度的参训率!$A$2:$G$77</definedName>
    <definedName name="_xlnm._FilterDatabase" localSheetId="5" hidden="1">'《课程名称》维度的参训明细（主表）'!$A$2:$L$1679</definedName>
    <definedName name="_xlnm._FilterDatabase" localSheetId="6" hidden="1">《授课类型》维度的参训明细!$A$2:$K$721</definedName>
    <definedName name="_xlnm._FilterDatabase" localSheetId="7" hidden="1">'各类培训类型参训率（人数为维度）'!$A$2:$H$229</definedName>
    <definedName name="_xlnm._FilterDatabase" localSheetId="9" hidden="1">'26年转正＋试岗'!$A$2:$G$20</definedName>
    <definedName name="_xlnm._FilterDatabase" localSheetId="10" hidden="1">试岗通关明细!$A$2:$X$47</definedName>
    <definedName name="_xlnm._FilterDatabase" localSheetId="11" hidden="1">'转正通关明细 '!$A$2:$Q$207</definedName>
    <definedName name="_xlnm._FilterDatabase" localSheetId="0" hidden="1">'月度培训数据-经理复盘会'!$A$5:$W$5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<sst xmlns="http://schemas.openxmlformats.org/spreadsheetml/2006/main" count="46702" uniqueCount="2078">
  <si>
    <t>营销中心《月度培训数据》</t>
  </si>
  <si>
    <t>统计规则：商学院系统数据</t>
  </si>
  <si>
    <t>月份</t>
  </si>
  <si>
    <t>城市</t>
  </si>
  <si>
    <t>培训类别</t>
  </si>
  <si>
    <t>线下培训（集团）</t>
  </si>
  <si>
    <t>自主培训</t>
  </si>
  <si>
    <t>商学院</t>
  </si>
  <si>
    <t>计划完成场次
（天数）</t>
  </si>
  <si>
    <t>培训场次
（累计天数）</t>
  </si>
  <si>
    <t>完成率（%）</t>
  </si>
  <si>
    <t>培训人数（累计）</t>
  </si>
  <si>
    <t>到场率
（平均）</t>
  </si>
  <si>
    <t>考试平均分
（累计）</t>
  </si>
  <si>
    <t>讲师满意度
（平均）</t>
  </si>
  <si>
    <t>课程满意度
（平均）</t>
  </si>
  <si>
    <t>培训场次（累计）</t>
  </si>
  <si>
    <t>《每日一练》</t>
  </si>
  <si>
    <t>《每周一通》</t>
  </si>
  <si>
    <t>《每周一练》</t>
  </si>
  <si>
    <t>应完成数量</t>
  </si>
  <si>
    <t>实际完成数量</t>
  </si>
  <si>
    <t>完成率</t>
  </si>
  <si>
    <t>1月</t>
  </si>
  <si>
    <t>甘肃</t>
  </si>
  <si>
    <t>销售新人入职培训</t>
  </si>
  <si>
    <t>河北</t>
  </si>
  <si>
    <t>销售提升训</t>
  </si>
  <si>
    <t>销售经理培训</t>
  </si>
  <si>
    <t>河南</t>
  </si>
  <si>
    <t>B岗培训</t>
  </si>
  <si>
    <t>湖北</t>
  </si>
  <si>
    <t>湖南</t>
  </si>
  <si>
    <t>辽宁</t>
  </si>
  <si>
    <t>内蒙古</t>
  </si>
  <si>
    <t>山东</t>
  </si>
  <si>
    <t>山西</t>
  </si>
  <si>
    <t>陕西</t>
  </si>
  <si>
    <t>西南总部</t>
  </si>
  <si>
    <t>2月</t>
  </si>
  <si>
    <t>讲师TTT培训</t>
  </si>
  <si>
    <t>5.0</t>
  </si>
  <si>
    <t>4.9</t>
  </si>
  <si>
    <t>安徽</t>
  </si>
  <si>
    <t>宁夏</t>
  </si>
  <si>
    <t>3月</t>
  </si>
  <si>
    <t>自主培训(1-2月）</t>
  </si>
  <si>
    <t>地区</t>
  </si>
  <si>
    <t>培训日期</t>
  </si>
  <si>
    <t>项目经理</t>
  </si>
  <si>
    <t>营业部</t>
  </si>
  <si>
    <t>项目名称</t>
  </si>
  <si>
    <t>培训课程</t>
  </si>
  <si>
    <t>讲师满意度</t>
  </si>
  <si>
    <t>已签到人数</t>
  </si>
  <si>
    <t>是否合格</t>
  </si>
  <si>
    <t>APP签到</t>
  </si>
  <si>
    <t>笔记上传</t>
  </si>
  <si>
    <t>满意度反馈</t>
  </si>
  <si>
    <t>应培训场次（累计）
经理数*3</t>
  </si>
  <si>
    <t>合格场次数</t>
  </si>
  <si>
    <t>考核经理合格率
（合格场次/应培训场次）</t>
  </si>
  <si>
    <t>杨威</t>
  </si>
  <si>
    <t>营业五部</t>
  </si>
  <si>
    <t>丽都国际</t>
  </si>
  <si>
    <t>项目各阶段朋友圈内容</t>
  </si>
  <si>
    <t>合格</t>
  </si>
  <si>
    <t>√</t>
  </si>
  <si>
    <t>优秀的车位置业顾问的5要素</t>
  </si>
  <si>
    <t>文鹏羽</t>
  </si>
  <si>
    <t>营业二部</t>
  </si>
  <si>
    <t>御府观澜阁</t>
  </si>
  <si>
    <t>加微信阶段注意事项</t>
  </si>
  <si>
    <t>回话的技术</t>
  </si>
  <si>
    <t>刘鹏</t>
  </si>
  <si>
    <t>营业七部</t>
  </si>
  <si>
    <t>海德花园</t>
  </si>
  <si>
    <t>带看流程</t>
  </si>
  <si>
    <t>阮阳</t>
  </si>
  <si>
    <t>湖北1部</t>
  </si>
  <si>
    <t>滨湖壹号</t>
  </si>
  <si>
    <t>逼定和放价技巧</t>
  </si>
  <si>
    <t>柏刚</t>
  </si>
  <si>
    <t>山水福都北区</t>
  </si>
  <si>
    <t>成功销售之优势谈判</t>
  </si>
  <si>
    <t>顾问式销售技巧</t>
  </si>
  <si>
    <t>李文</t>
  </si>
  <si>
    <t>恒大翡翠华庭</t>
  </si>
  <si>
    <t>项目不得不买的理由培训</t>
  </si>
  <si>
    <t>陈晓辉</t>
  </si>
  <si>
    <t>湖北2部</t>
  </si>
  <si>
    <t>澜桥公馆</t>
  </si>
  <si>
    <t>客户预期管理</t>
  </si>
  <si>
    <t>带看流程的培训</t>
  </si>
  <si>
    <t>合计</t>
  </si>
  <si>
    <t>张萍2</t>
  </si>
  <si>
    <t>南充市香槟尚城</t>
  </si>
  <si>
    <t>业主关系维护技巧</t>
  </si>
  <si>
    <t>项目SWOT培训</t>
  </si>
  <si>
    <t>带看流程标准培训</t>
  </si>
  <si>
    <t>王辉</t>
  </si>
  <si>
    <t>甘肃销售部</t>
  </si>
  <si>
    <t>金悦府</t>
  </si>
  <si>
    <t>客户成交技巧</t>
  </si>
  <si>
    <t>杨超群</t>
  </si>
  <si>
    <t>湖南销售部</t>
  </si>
  <si>
    <t>雅典名媛</t>
  </si>
  <si>
    <t>签约培训</t>
  </si>
  <si>
    <t>李耀</t>
  </si>
  <si>
    <t>陕西2部</t>
  </si>
  <si>
    <t>滨江花城营销中心</t>
  </si>
  <si>
    <t>销售就是一场心理战</t>
  </si>
  <si>
    <t>蒙建</t>
  </si>
  <si>
    <t>万科大都会物业办</t>
  </si>
  <si>
    <t>销售心理学实战应用</t>
  </si>
  <si>
    <t>刘元发</t>
  </si>
  <si>
    <t>鸿大第六区</t>
  </si>
  <si>
    <t>项目合同签订POS机使用培训</t>
  </si>
  <si>
    <t>雅典铭苑</t>
  </si>
  <si>
    <t>怎样应对业主说之前价格低现在价格高</t>
  </si>
  <si>
    <t>陈东2</t>
  </si>
  <si>
    <t>河北销售部</t>
  </si>
  <si>
    <t>河北金惠华苑小区</t>
  </si>
  <si>
    <t>项目撤场阶段后续处理事项</t>
  </si>
  <si>
    <t>王杰</t>
  </si>
  <si>
    <t>山东销售部</t>
  </si>
  <si>
    <t>龙域天城</t>
  </si>
  <si>
    <t>项目基础知识培训</t>
  </si>
  <si>
    <t>为啥销冠一直有业绩</t>
  </si>
  <si>
    <t>叶鑫</t>
  </si>
  <si>
    <t>河南销售部</t>
  </si>
  <si>
    <t>世博领秀城</t>
  </si>
  <si>
    <t>如何加好微信</t>
  </si>
  <si>
    <t>业主关系维护</t>
  </si>
  <si>
    <t>张宗铭</t>
  </si>
  <si>
    <t>天纵.半岛蓝湾2期</t>
  </si>
  <si>
    <t>外呼邀约技巧培训</t>
  </si>
  <si>
    <t>冀敏</t>
  </si>
  <si>
    <t>公园天下</t>
  </si>
  <si>
    <t>项目介绍视频培训</t>
  </si>
  <si>
    <t>外呼加微信技巧培训</t>
  </si>
  <si>
    <t>销售必备的5种思维</t>
  </si>
  <si>
    <t>app服务费录入</t>
  </si>
  <si>
    <t>贾萍</t>
  </si>
  <si>
    <t>营业四部</t>
  </si>
  <si>
    <t>云尚花园</t>
  </si>
  <si>
    <t>签合同流程培</t>
  </si>
  <si>
    <t>陶再阳</t>
  </si>
  <si>
    <t>营业三部</t>
  </si>
  <si>
    <t>荣城天街</t>
  </si>
  <si>
    <t>朋友圈运营</t>
  </si>
  <si>
    <t>张英</t>
  </si>
  <si>
    <t>陕西1部</t>
  </si>
  <si>
    <t>项目办公室</t>
  </si>
  <si>
    <t>签约流程培训</t>
  </si>
  <si>
    <t>刘亮</t>
  </si>
  <si>
    <t>领地东原阅城</t>
  </si>
  <si>
    <t>探出客户的真实需求</t>
  </si>
  <si>
    <t>金悦府项目</t>
  </si>
  <si>
    <t>如何做好微信营销</t>
  </si>
  <si>
    <t>蔺小燕</t>
  </si>
  <si>
    <t>项目</t>
  </si>
  <si>
    <t>地锁员工安装教程</t>
  </si>
  <si>
    <t>电话营销</t>
  </si>
  <si>
    <t>小程序使用</t>
  </si>
  <si>
    <t>夏富杨</t>
  </si>
  <si>
    <t>芷江尚城</t>
  </si>
  <si>
    <t>杨翠茹</t>
  </si>
  <si>
    <t>营业六部</t>
  </si>
  <si>
    <t>棠宁府</t>
  </si>
  <si>
    <t>销冠电call必备技能</t>
  </si>
  <si>
    <t>车位朋友圈的宣传</t>
  </si>
  <si>
    <t>邓富</t>
  </si>
  <si>
    <t>山西销售部</t>
  </si>
  <si>
    <t>东瑞揽胜小区</t>
  </si>
  <si>
    <t>如何写跟进待跟进和正确标签</t>
  </si>
  <si>
    <t>陈彪</t>
  </si>
  <si>
    <t>蜀镇领秀湖</t>
  </si>
  <si>
    <t>入场培训</t>
  </si>
  <si>
    <t>刘进</t>
  </si>
  <si>
    <t>上园</t>
  </si>
  <si>
    <t>报价技巧</t>
  </si>
  <si>
    <t>上园车位销售中心</t>
  </si>
  <si>
    <t>上园抗性话术培训</t>
  </si>
  <si>
    <t>一通高质量邀约话术</t>
  </si>
  <si>
    <t>陈帅</t>
  </si>
  <si>
    <t>万为玺园</t>
  </si>
  <si>
    <t>话术，逼定技巧</t>
  </si>
  <si>
    <t>打电话技能培训</t>
  </si>
  <si>
    <t>林浩</t>
  </si>
  <si>
    <t>金源世纪城三区</t>
  </si>
  <si>
    <t>对于砍价的客户怎么去拔</t>
  </si>
  <si>
    <t>罗敏</t>
  </si>
  <si>
    <t>欧莱雅郡西区</t>
  </si>
  <si>
    <t>抗性话术培训演练</t>
  </si>
  <si>
    <t>徐子康</t>
  </si>
  <si>
    <t>金房生活艺术城</t>
  </si>
  <si>
    <t>销售逼单技巧提升</t>
  </si>
  <si>
    <t>带看培训</t>
  </si>
  <si>
    <t>意向客户跟进</t>
  </si>
  <si>
    <t>张家涛</t>
  </si>
  <si>
    <t>华邦天悦城一期</t>
  </si>
  <si>
    <t>优惠释放</t>
  </si>
  <si>
    <t>朱全兰</t>
  </si>
  <si>
    <t>阳光100阿尔勒</t>
  </si>
  <si>
    <t>郑雄</t>
  </si>
  <si>
    <t>宜宾名都丽景</t>
  </si>
  <si>
    <t>带看sop流程培训</t>
  </si>
  <si>
    <t>销冠电CALL必备技能</t>
  </si>
  <si>
    <t>山水福都南区</t>
  </si>
  <si>
    <t>成功销售之优势谈判2</t>
  </si>
  <si>
    <t>不合格</t>
  </si>
  <si>
    <t>×</t>
  </si>
  <si>
    <t>抗性话术（价格贵）</t>
  </si>
  <si>
    <t>成功销售之临门一脚促单</t>
  </si>
  <si>
    <t>成功销售之客户成交技巧</t>
  </si>
  <si>
    <t>李培金</t>
  </si>
  <si>
    <t>水岸花都</t>
  </si>
  <si>
    <t>电话邀约</t>
  </si>
  <si>
    <t>唐浪波</t>
  </si>
  <si>
    <t>营业一部</t>
  </si>
  <si>
    <t>安泰幸福里</t>
  </si>
  <si>
    <t>项目后期如何挖掘意向客户</t>
  </si>
  <si>
    <t>常见销售心理学洞悉</t>
  </si>
  <si>
    <t>蒲建宇</t>
  </si>
  <si>
    <t>鲁商常春藤</t>
  </si>
  <si>
    <t>如何邀约业主到现场</t>
  </si>
  <si>
    <t>李海艳</t>
  </si>
  <si>
    <t>温莎公馆</t>
  </si>
  <si>
    <t>新项目入场培训</t>
  </si>
  <si>
    <t>乔磊</t>
  </si>
  <si>
    <t>点位</t>
  </si>
  <si>
    <t>如何进行业主跟近</t>
  </si>
  <si>
    <t>曾竞超</t>
  </si>
  <si>
    <t>办公室</t>
  </si>
  <si>
    <t>带看流程培训</t>
  </si>
  <si>
    <t>每日朋友圈营造</t>
  </si>
  <si>
    <t>吕瑞仙</t>
  </si>
  <si>
    <t>南河庭院</t>
  </si>
  <si>
    <t>高情商销售沟通技巧</t>
  </si>
  <si>
    <t>永康丽都国际认购签约流程</t>
  </si>
  <si>
    <t>销冠电call必备邀约技能</t>
  </si>
  <si>
    <t>李先洪</t>
  </si>
  <si>
    <t>滨江翡翠龙湾</t>
  </si>
  <si>
    <t>精准客户的三大特征</t>
  </si>
  <si>
    <t>黄俊</t>
  </si>
  <si>
    <t>拒绝内耗</t>
  </si>
  <si>
    <t>张佩瑶</t>
  </si>
  <si>
    <t>眉山万为江南里</t>
  </si>
  <si>
    <t>逼定技巧</t>
  </si>
  <si>
    <t>客户心理</t>
  </si>
  <si>
    <t>马少波</t>
  </si>
  <si>
    <t>恒正观澜</t>
  </si>
  <si>
    <t>张萍</t>
  </si>
  <si>
    <t>兰台府</t>
  </si>
  <si>
    <t>自建培训</t>
  </si>
  <si>
    <t>闫柏年</t>
  </si>
  <si>
    <t>长沙</t>
  </si>
  <si>
    <t>刘佳</t>
  </si>
  <si>
    <t>公园世家</t>
  </si>
  <si>
    <t>积极的心态培训</t>
  </si>
  <si>
    <t>山水福都</t>
  </si>
  <si>
    <t>销冠电call必备邀约技能2</t>
  </si>
  <si>
    <t>杜雄</t>
  </si>
  <si>
    <t>水木兰亭</t>
  </si>
  <si>
    <t>成功销售之临门一脚</t>
  </si>
  <si>
    <t>十大成功法则</t>
  </si>
  <si>
    <t>杨应</t>
  </si>
  <si>
    <t>大都会</t>
  </si>
  <si>
    <t>手机系统带看流程培训</t>
  </si>
  <si>
    <t>王晓刚</t>
  </si>
  <si>
    <t>和众城阅</t>
  </si>
  <si>
    <t>SWTO培训</t>
  </si>
  <si>
    <t>地下室挤压方法和技巧</t>
  </si>
  <si>
    <t>大都汇</t>
  </si>
  <si>
    <t>项目话术培训</t>
  </si>
  <si>
    <t>朱露颖</t>
  </si>
  <si>
    <t>意向跟进目标管理培训</t>
  </si>
  <si>
    <t>吴建鑫</t>
  </si>
  <si>
    <t>蜀镇观澜湖</t>
  </si>
  <si>
    <t>目标分布制定</t>
  </si>
  <si>
    <t>客户在线</t>
  </si>
  <si>
    <t>陈嘉文</t>
  </si>
  <si>
    <t>越地香港花园</t>
  </si>
  <si>
    <t>签约录系统注意事项</t>
  </si>
  <si>
    <t>陈俊儒</t>
  </si>
  <si>
    <t>君安阳光都市</t>
  </si>
  <si>
    <t>销售话术提升培训</t>
  </si>
  <si>
    <t>孙宇</t>
  </si>
  <si>
    <t>汉南领秀车位营销中心</t>
  </si>
  <si>
    <t>拥有一个良好的心态</t>
  </si>
  <si>
    <t>演员打卡小程序培训</t>
  </si>
  <si>
    <t>签约权限开启和办证资料培训</t>
  </si>
  <si>
    <t>问答赞，成为金牌车位销售</t>
  </si>
  <si>
    <t>谢敏</t>
  </si>
  <si>
    <t>永康玉龙城</t>
  </si>
  <si>
    <t>公司标准制度</t>
  </si>
  <si>
    <t>销售电CALL必备技能</t>
  </si>
  <si>
    <t>税锐</t>
  </si>
  <si>
    <t>雄飞北尚广场</t>
  </si>
  <si>
    <t>TOP SALES十大成功法则</t>
  </si>
  <si>
    <t>顾问式销售的沟通技巧</t>
  </si>
  <si>
    <t>TOPSALES十大成功 法则</t>
  </si>
  <si>
    <t>APP培训</t>
  </si>
  <si>
    <t>车位销售的深度沟通艺术</t>
  </si>
  <si>
    <t>带看SOP</t>
  </si>
  <si>
    <t>袁小龙</t>
  </si>
  <si>
    <t>寝室</t>
  </si>
  <si>
    <t>带看SOP流程培训</t>
  </si>
  <si>
    <t>李权益</t>
  </si>
  <si>
    <t>富力城八号园西园</t>
  </si>
  <si>
    <t>话术培训</t>
  </si>
  <si>
    <t>陈炳佑</t>
  </si>
  <si>
    <t>湘中府</t>
  </si>
  <si>
    <t>关于奥斯卡线上打卡流程</t>
  </si>
  <si>
    <t>彭停</t>
  </si>
  <si>
    <t>金禧城C区</t>
  </si>
  <si>
    <t>价格释放</t>
  </si>
  <si>
    <t>价值观宣导培训</t>
  </si>
  <si>
    <t>韩颖</t>
  </si>
  <si>
    <t>赵龙</t>
  </si>
  <si>
    <t>绿景未来城</t>
  </si>
  <si>
    <t>毛富林</t>
  </si>
  <si>
    <t>朋友圈宣传要点</t>
  </si>
  <si>
    <t>叶湑</t>
  </si>
  <si>
    <t>城南福地</t>
  </si>
  <si>
    <t>逼单技巧培训</t>
  </si>
  <si>
    <t>如何与客户深层链接</t>
  </si>
  <si>
    <t>长沙康公司丹郡</t>
  </si>
  <si>
    <t>长沙农商银行按揭政策</t>
  </si>
  <si>
    <t>长沙康斯丹郡</t>
  </si>
  <si>
    <t>康斯丹郡抗性话术</t>
  </si>
  <si>
    <t>销售逼单培训</t>
  </si>
  <si>
    <t>韦霞</t>
  </si>
  <si>
    <t>成功十大法则</t>
  </si>
  <si>
    <t>演员打卡培训</t>
  </si>
  <si>
    <t>孙小龙</t>
  </si>
  <si>
    <t>四海国际售楼部</t>
  </si>
  <si>
    <t>怎样挖掘客户</t>
  </si>
  <si>
    <t>充电桩基本知识培训</t>
  </si>
  <si>
    <t>姚瑶</t>
  </si>
  <si>
    <t>遂宁云辰国际</t>
  </si>
  <si>
    <t>奥斯卡打卡流程培训</t>
  </si>
  <si>
    <t>骆志红</t>
  </si>
  <si>
    <t>销售点位</t>
  </si>
  <si>
    <t>不买车位的痛点</t>
  </si>
  <si>
    <t>销售话术提升培训2</t>
  </si>
  <si>
    <t>彭小琴</t>
  </si>
  <si>
    <t>天悦华府</t>
  </si>
  <si>
    <t>带看sop流程</t>
  </si>
  <si>
    <t>安芮</t>
  </si>
  <si>
    <t>内蒙古销售部</t>
  </si>
  <si>
    <t>平安北区</t>
  </si>
  <si>
    <t>人防车位话术</t>
  </si>
  <si>
    <t>郭永曼</t>
  </si>
  <si>
    <t>千渡东山晴</t>
  </si>
  <si>
    <t>奥斯卡打卡流程</t>
  </si>
  <si>
    <t>带看流程培训2</t>
  </si>
  <si>
    <t>小区点位</t>
  </si>
  <si>
    <t>入场注意事项</t>
  </si>
  <si>
    <t>带看SOP流程</t>
  </si>
  <si>
    <t>吕涛</t>
  </si>
  <si>
    <t>宇鸿领秀城宿舍</t>
  </si>
  <si>
    <t>培训北方车库用途说辞</t>
  </si>
  <si>
    <t>周吉双</t>
  </si>
  <si>
    <t>神火铭锦天下</t>
  </si>
  <si>
    <t>如何挖掘客户需求</t>
  </si>
  <si>
    <t>销售沟通技巧</t>
  </si>
  <si>
    <t>蒋吉勇</t>
  </si>
  <si>
    <t>香山国际A区</t>
  </si>
  <si>
    <t>客户关系维护技巧</t>
  </si>
  <si>
    <t>郑景慕</t>
  </si>
  <si>
    <t>博翔誉峰项目</t>
  </si>
  <si>
    <t>项目基本情况培训</t>
  </si>
  <si>
    <t>优势谈判</t>
  </si>
  <si>
    <t>怎么树立正确的价值观</t>
  </si>
  <si>
    <t>肖秀丽</t>
  </si>
  <si>
    <t>鹭岛国际四期</t>
  </si>
  <si>
    <t>带看SOP及抗性话术运用</t>
  </si>
  <si>
    <t>成功销售志客户成交技巧</t>
  </si>
  <si>
    <t>毛孝树</t>
  </si>
  <si>
    <t>澧尚蘭台</t>
  </si>
  <si>
    <t>如何营造氛围造场造势</t>
  </si>
  <si>
    <t>团队如何做好助攻</t>
  </si>
  <si>
    <t>如何提高微信添加率</t>
  </si>
  <si>
    <t>李港一</t>
  </si>
  <si>
    <t>现代城售楼部</t>
  </si>
  <si>
    <t>差异化营销</t>
  </si>
  <si>
    <t>秦娅玲</t>
  </si>
  <si>
    <t>东湖城二期</t>
  </si>
  <si>
    <t>任枭月</t>
  </si>
  <si>
    <t>星林郡项目</t>
  </si>
  <si>
    <t>尹稳</t>
  </si>
  <si>
    <t>潼南时代广场</t>
  </si>
  <si>
    <t>提升销售思维逻辑</t>
  </si>
  <si>
    <t>如何建立自驱力</t>
  </si>
  <si>
    <t>贾雪英</t>
  </si>
  <si>
    <t>华龙城E区</t>
  </si>
  <si>
    <t>项目培训2</t>
  </si>
  <si>
    <t>小程序相关 培训</t>
  </si>
  <si>
    <t>谢沁霜</t>
  </si>
  <si>
    <t>优品尚东</t>
  </si>
  <si>
    <t>如何维护业主关系</t>
  </si>
  <si>
    <t>星林郡</t>
  </si>
  <si>
    <t>目标的制定与分解</t>
  </si>
  <si>
    <t>六脉神剑第一剑</t>
  </si>
  <si>
    <t>三种情况下预约带看的整体流程</t>
  </si>
  <si>
    <t>程新浩</t>
  </si>
  <si>
    <t>资阳上东逸景</t>
  </si>
  <si>
    <t>如何构建清晰的逻辑思维</t>
  </si>
  <si>
    <t>如何管理客户预期</t>
  </si>
  <si>
    <t>黄磊</t>
  </si>
  <si>
    <t>塞兰雅园</t>
  </si>
  <si>
    <t>魏飞翔</t>
  </si>
  <si>
    <t>置铖荣华府一期</t>
  </si>
  <si>
    <t>意向客户管理</t>
  </si>
  <si>
    <t>邀约技巧培训</t>
  </si>
  <si>
    <t>肖佳</t>
  </si>
  <si>
    <t>关于地下室外呼的回答说辞</t>
  </si>
  <si>
    <t>如何调解自己的心态</t>
  </si>
  <si>
    <t>销售话术提升培训3</t>
  </si>
  <si>
    <t>业主关系维系技巧</t>
  </si>
  <si>
    <t>罗小花</t>
  </si>
  <si>
    <t>大华月光湖</t>
  </si>
  <si>
    <t>如何做好销售心态管理</t>
  </si>
  <si>
    <t>做好微信营销</t>
  </si>
  <si>
    <t>怎么用AI编辑朋友圈</t>
  </si>
  <si>
    <t>雷小金</t>
  </si>
  <si>
    <t>项目SWOT及不得不买的理由培训</t>
  </si>
  <si>
    <t>刻意练习</t>
  </si>
  <si>
    <t>党虹</t>
  </si>
  <si>
    <t>蓝滨城悦府</t>
  </si>
  <si>
    <t>如何让直播间人气爆棚</t>
  </si>
  <si>
    <t>刘辉</t>
  </si>
  <si>
    <t>金禧城A区</t>
  </si>
  <si>
    <t>团队建设管理培训</t>
  </si>
  <si>
    <t>带看SOP二次流程培训</t>
  </si>
  <si>
    <t>申慧</t>
  </si>
  <si>
    <t>新大香格里拉销售点位</t>
  </si>
  <si>
    <t>创业项目抗性话术培训</t>
  </si>
  <si>
    <t>人防车位培训</t>
  </si>
  <si>
    <t>朱家艳</t>
  </si>
  <si>
    <t>欧陆经典</t>
  </si>
  <si>
    <t>客户说价格太高怎么破解</t>
  </si>
  <si>
    <t>苏晓青</t>
  </si>
  <si>
    <t>银丰玺悦</t>
  </si>
  <si>
    <t>第二通话术</t>
  </si>
  <si>
    <t>黄勇刚</t>
  </si>
  <si>
    <t>杨唐</t>
  </si>
  <si>
    <t>金科华府销售点位</t>
  </si>
  <si>
    <t>带看SOP流程3期</t>
  </si>
  <si>
    <t>李丝丝</t>
  </si>
  <si>
    <t>华旗樾天下车位营销中心</t>
  </si>
  <si>
    <t>客户成交5要素</t>
  </si>
  <si>
    <t>项目点位</t>
  </si>
  <si>
    <t>客户管理</t>
  </si>
  <si>
    <t>销售的沟通技巧</t>
  </si>
  <si>
    <t>怎样梳理更高的目标</t>
  </si>
  <si>
    <t>如何成为一个自律的人</t>
  </si>
  <si>
    <t>三江澜亭</t>
  </si>
  <si>
    <t>谈判技巧</t>
  </si>
  <si>
    <t>项目培训</t>
  </si>
  <si>
    <t>如何建立决心</t>
  </si>
  <si>
    <t>周涛</t>
  </si>
  <si>
    <t>东城名郡</t>
  </si>
  <si>
    <t>签约流程</t>
  </si>
  <si>
    <t>赵国富</t>
  </si>
  <si>
    <t>万达御湖壹号</t>
  </si>
  <si>
    <t>时间管理</t>
  </si>
  <si>
    <t>余金梅</t>
  </si>
  <si>
    <t>天地湾佳苑</t>
  </si>
  <si>
    <t>销冠秘诀</t>
  </si>
  <si>
    <t>定金缴纳流程</t>
  </si>
  <si>
    <t>陈竺</t>
  </si>
  <si>
    <t>金源世纪城2区</t>
  </si>
  <si>
    <t>销售说话是十大禁忌</t>
  </si>
  <si>
    <t>带看SOP培训</t>
  </si>
  <si>
    <t>项目一般流程话术</t>
  </si>
  <si>
    <t>颐高公馆</t>
  </si>
  <si>
    <t>朋友圈营造</t>
  </si>
  <si>
    <t>安装充电桩基础知识</t>
  </si>
  <si>
    <t>周远芮</t>
  </si>
  <si>
    <t>邵亮</t>
  </si>
  <si>
    <t>就掌灯车位营销中心</t>
  </si>
  <si>
    <t>谈判和异议处理</t>
  </si>
  <si>
    <t>客户心理与需求挖掘</t>
  </si>
  <si>
    <t>重新定义车位销售</t>
  </si>
  <si>
    <t>王晶晶</t>
  </si>
  <si>
    <t>宏润家园</t>
  </si>
  <si>
    <t>怎么告别骚扰式成交</t>
  </si>
  <si>
    <t>如何逼定客户</t>
  </si>
  <si>
    <t>项目基础培训</t>
  </si>
  <si>
    <t>朋友圈</t>
  </si>
  <si>
    <t>吴江平</t>
  </si>
  <si>
    <t>李敏</t>
  </si>
  <si>
    <t>宿舍</t>
  </si>
  <si>
    <t>蜀镇领袖湖</t>
  </si>
  <si>
    <t>销售技能提升培训</t>
  </si>
  <si>
    <t>车位销售技巧</t>
  </si>
  <si>
    <t>芷江尚城点位</t>
  </si>
  <si>
    <t>袁华</t>
  </si>
  <si>
    <t>千山美岸</t>
  </si>
  <si>
    <t>逼单与成交技巧培训</t>
  </si>
  <si>
    <t>销售冠军是如何炼成的</t>
  </si>
  <si>
    <t>项目培训1</t>
  </si>
  <si>
    <t>城市山水豪园</t>
  </si>
  <si>
    <t>销售带看流程</t>
  </si>
  <si>
    <t>杨永梅</t>
  </si>
  <si>
    <t>阳光丽景</t>
  </si>
  <si>
    <t>项目优势机会培训</t>
  </si>
  <si>
    <t>异议处理与价值重塑</t>
  </si>
  <si>
    <t>绝对成交十大步骤</t>
  </si>
  <si>
    <t>蒋杨</t>
  </si>
  <si>
    <t>蓝滨城观府</t>
  </si>
  <si>
    <t>落位报价培训</t>
  </si>
  <si>
    <t>荒唐的消费心理学</t>
  </si>
  <si>
    <t>业主关系维护及其</t>
  </si>
  <si>
    <t>新大香格里拉销售点</t>
  </si>
  <si>
    <t>优惠政策释放开盘准备</t>
  </si>
  <si>
    <t>金科华府车位销售处</t>
  </si>
  <si>
    <t>带看SOP第二节培训</t>
  </si>
  <si>
    <t>优品尚东车位不得不买的理由</t>
  </si>
  <si>
    <t>口才是练出来的</t>
  </si>
  <si>
    <t>销售仪容仪表培训</t>
  </si>
  <si>
    <t>创业项目swot培训</t>
  </si>
  <si>
    <t>培训落位单</t>
  </si>
  <si>
    <t>项目流程准备+带看技巧方式方法</t>
  </si>
  <si>
    <t>王天成</t>
  </si>
  <si>
    <t>华府西城港湾</t>
  </si>
  <si>
    <t>线上带看培训</t>
  </si>
  <si>
    <t>关于人防车位知识点</t>
  </si>
  <si>
    <t>扈岭楠</t>
  </si>
  <si>
    <t>青江壹号</t>
  </si>
  <si>
    <t>《顾问式销售的沟通技巧》</t>
  </si>
  <si>
    <t>阳光青江壹号</t>
  </si>
  <si>
    <t>《顾问式销售的沟通技巧》2</t>
  </si>
  <si>
    <t>孙科</t>
  </si>
  <si>
    <t>辽宁销售部</t>
  </si>
  <si>
    <t>仙林金谷北区</t>
  </si>
  <si>
    <t>话术培训2</t>
  </si>
  <si>
    <t>张圣梁</t>
  </si>
  <si>
    <t>时代国际点位</t>
  </si>
  <si>
    <t>客户讨价还价的心理表现</t>
  </si>
  <si>
    <t>如何提高执行力？</t>
  </si>
  <si>
    <t>销售技巧提升</t>
  </si>
  <si>
    <t>新版SOP带看流程</t>
  </si>
  <si>
    <t>金科华府车位销售点位</t>
  </si>
  <si>
    <t>客户跟进与转介绍</t>
  </si>
  <si>
    <t>项目SOWT分析</t>
  </si>
  <si>
    <t>项目不得不买的理由</t>
  </si>
  <si>
    <t>客户在线带看使用培训</t>
  </si>
  <si>
    <t>优品尚东3期</t>
  </si>
  <si>
    <t>人防车位的抗性说辞</t>
  </si>
  <si>
    <t>小程序报名</t>
  </si>
  <si>
    <t>南充市香槟尚城小区</t>
  </si>
  <si>
    <t>SOP带看流程</t>
  </si>
  <si>
    <t>庄素芳</t>
  </si>
  <si>
    <t>我们的微信聊天更多的应该跟客户产生什么链接，怎样业主才不会把你删了</t>
  </si>
  <si>
    <t>业主未到场，该不该去电话里面跟他针对抗性问题展开讨论，怎么沟通要比较好，为什么？</t>
  </si>
  <si>
    <t>首次邀约业主话术内容到底传递什么</t>
  </si>
  <si>
    <t>工抵车位</t>
  </si>
  <si>
    <t>朋友圈的营造</t>
  </si>
  <si>
    <t>客户跟进与转介绍2</t>
  </si>
  <si>
    <t>如何打造高质量话术并通关</t>
  </si>
  <si>
    <t>张梁</t>
  </si>
  <si>
    <t>希望未来城</t>
  </si>
  <si>
    <t>邀约话术提升训</t>
  </si>
  <si>
    <t>不得不买的理由</t>
  </si>
  <si>
    <t>项目swot分析</t>
  </si>
  <si>
    <t>销售技巧培训</t>
  </si>
  <si>
    <t>销售促单</t>
  </si>
  <si>
    <t>香格里拉销售点位</t>
  </si>
  <si>
    <t>新大香格里拉抗性话术</t>
  </si>
  <si>
    <t>带看流程演练</t>
  </si>
  <si>
    <t>销冠电CALL必备技能2</t>
  </si>
  <si>
    <t>销售议价技巧</t>
  </si>
  <si>
    <t>王彬力</t>
  </si>
  <si>
    <t>中铁·丽景书香</t>
  </si>
  <si>
    <t>不得不买的理由培训</t>
  </si>
  <si>
    <t>价值观培训</t>
  </si>
  <si>
    <t>蓝滨城江尚观府项目SOWT培训</t>
  </si>
  <si>
    <t>项目遇到卡点如何突破</t>
  </si>
  <si>
    <t>万位江南里</t>
  </si>
  <si>
    <t>SOP带看培训</t>
  </si>
  <si>
    <t>李祥春</t>
  </si>
  <si>
    <t>澄波湖七号</t>
  </si>
  <si>
    <t>新的带看流程</t>
  </si>
  <si>
    <t>吴志虎</t>
  </si>
  <si>
    <t>富力城8号园东园</t>
  </si>
  <si>
    <t>公司价值观培训</t>
  </si>
  <si>
    <t>富力城8号园</t>
  </si>
  <si>
    <t>项目抗性说辞培训</t>
  </si>
  <si>
    <t>阳光里项目点位</t>
  </si>
  <si>
    <t>项目签约、服务费提交及涂鸦赠送报备</t>
  </si>
  <si>
    <t>阳光里点位</t>
  </si>
  <si>
    <t>银行投资回报率培训</t>
  </si>
  <si>
    <t>发礼品、落位注意事项</t>
  </si>
  <si>
    <t>赵文涛</t>
  </si>
  <si>
    <t>青岛润府177-1商铺</t>
  </si>
  <si>
    <t>思维变化自检</t>
  </si>
  <si>
    <t>SOP带看场景</t>
  </si>
  <si>
    <t>东城名郡点位</t>
  </si>
  <si>
    <t>杨科</t>
  </si>
  <si>
    <t>车位销售中心</t>
  </si>
  <si>
    <t>电CALL必备技能</t>
  </si>
  <si>
    <t>冯洁</t>
  </si>
  <si>
    <t>中垠御苑</t>
  </si>
  <si>
    <t>艾林</t>
  </si>
  <si>
    <t>五州观澜B区</t>
  </si>
  <si>
    <t>目标如何分解超额完成目标</t>
  </si>
  <si>
    <t>如何学习成为top sales</t>
  </si>
  <si>
    <t>汇豪甜城</t>
  </si>
  <si>
    <t>如何做好线上营销</t>
  </si>
  <si>
    <t>电话邀约需要注意的问题</t>
  </si>
  <si>
    <t>胡雪梅</t>
  </si>
  <si>
    <t>项目上</t>
  </si>
  <si>
    <t>泽京璟樾府话术培训1</t>
  </si>
  <si>
    <t>韩旭</t>
  </si>
  <si>
    <t>锦融尚御</t>
  </si>
  <si>
    <t>销售逼单，五大成交必杀技</t>
  </si>
  <si>
    <t>白世根</t>
  </si>
  <si>
    <t>项目抗性问题疏理及签约流程培训</t>
  </si>
  <si>
    <t>如何管理意向客户</t>
  </si>
  <si>
    <t>刘聪</t>
  </si>
  <si>
    <t>华泰玉景台车位销售中心</t>
  </si>
  <si>
    <t>如何判断业主意向度以及逼定方式方法</t>
  </si>
  <si>
    <t>开盘流程培训</t>
  </si>
  <si>
    <t>心态与执行力</t>
  </si>
  <si>
    <t>杨芊</t>
  </si>
  <si>
    <t>欧城联邦北城云璟东区</t>
  </si>
  <si>
    <t>项目抗性问题梳理与解析</t>
  </si>
  <si>
    <t>带看演练</t>
  </si>
  <si>
    <t>带看问题反馈学习</t>
  </si>
  <si>
    <t>项目抗性问题专题培训</t>
  </si>
  <si>
    <t>销售带看逼单实战培训</t>
  </si>
  <si>
    <t>学习二八法则，成为20%的人</t>
  </si>
  <si>
    <t>华泰玉景台销售中心</t>
  </si>
  <si>
    <t>项目阶段节奏以及邀约话术</t>
  </si>
  <si>
    <t>落位单规范填写培训</t>
  </si>
  <si>
    <t>按揭培训</t>
  </si>
  <si>
    <t>自主培训2</t>
  </si>
  <si>
    <t>项目情况及签约流程培训</t>
  </si>
  <si>
    <t>光合宸院</t>
  </si>
  <si>
    <t>项目情况培训</t>
  </si>
  <si>
    <t>项目知识要点专项培训</t>
  </si>
  <si>
    <t>奥源时代</t>
  </si>
  <si>
    <t>销售流程培训</t>
  </si>
  <si>
    <t>带看问题培训</t>
  </si>
  <si>
    <t>带看流程问题培训</t>
  </si>
  <si>
    <t>澄波湖7号</t>
  </si>
  <si>
    <t>欧城联邦一二期项目SWOT分析</t>
  </si>
  <si>
    <t>锦融尚御小区</t>
  </si>
  <si>
    <t>情绪价值</t>
  </si>
  <si>
    <t>绿城大锦留香园</t>
  </si>
  <si>
    <t>带看细节把控</t>
  </si>
  <si>
    <t>家和院</t>
  </si>
  <si>
    <t>2025年12月带看问题学习</t>
  </si>
  <si>
    <t>分析微信添加率不高问题点及解决方案</t>
  </si>
  <si>
    <t>2026年会议纪要宣导及项目细节优化</t>
  </si>
  <si>
    <t>永川时代国际</t>
  </si>
  <si>
    <t>培训签约</t>
  </si>
  <si>
    <t>阳光玖著</t>
  </si>
  <si>
    <t>仙桃御台公馆</t>
  </si>
  <si>
    <t>丽阳名居</t>
  </si>
  <si>
    <t>华龙城A区</t>
  </si>
  <si>
    <t>富平臻湾府</t>
  </si>
  <si>
    <t>储藏间基础产品知识</t>
  </si>
  <si>
    <t>金源世纪城</t>
  </si>
  <si>
    <t>怎么释放优惠</t>
  </si>
  <si>
    <t>APP带看流程培训</t>
  </si>
  <si>
    <t>储藏间销售技巧及逼单挖掘问题</t>
  </si>
  <si>
    <t>如何去逼单</t>
  </si>
  <si>
    <t>项目带看培训</t>
  </si>
  <si>
    <t>天骄府</t>
  </si>
  <si>
    <t>客户砍价想要优惠该怎么应对</t>
  </si>
  <si>
    <t>鄠邑区崇立领秀城</t>
  </si>
  <si>
    <t>项目优劣势培训</t>
  </si>
  <si>
    <t>陈思竹</t>
  </si>
  <si>
    <t>人防车位相关知识</t>
  </si>
  <si>
    <t>项目基础信息培训</t>
  </si>
  <si>
    <t>缤纷时代</t>
  </si>
  <si>
    <t>带看7个问题</t>
  </si>
  <si>
    <t>超级执行力</t>
  </si>
  <si>
    <t>pos机收款操作规范</t>
  </si>
  <si>
    <t>入场准备培训</t>
  </si>
  <si>
    <t>签约前注意事项</t>
  </si>
  <si>
    <t>带看过程中问题询问技巧</t>
  </si>
  <si>
    <t>中铁丽景书香</t>
  </si>
  <si>
    <t>销售电话必备技能</t>
  </si>
  <si>
    <t>绵阳樊华似锦</t>
  </si>
  <si>
    <t>熟悉项目的关键点</t>
  </si>
  <si>
    <t>河畔学苑</t>
  </si>
  <si>
    <t>目标管理</t>
  </si>
  <si>
    <t>叶家山大院</t>
  </si>
  <si>
    <t>TOPSALES十大成功法则</t>
  </si>
  <si>
    <t>如何成为一个自律的人——从认知到实践的全面指南</t>
  </si>
  <si>
    <t>签约和解释话术</t>
  </si>
  <si>
    <t>项目前期摸排动作</t>
  </si>
  <si>
    <t>福星惠誉东湖城</t>
  </si>
  <si>
    <t>公园壹号</t>
  </si>
  <si>
    <t>客户预期提升</t>
  </si>
  <si>
    <t>决心如何建立</t>
  </si>
  <si>
    <t>用什么开场白去跟客户联系比较好，车位传递的内容用什么比较吸引业主</t>
  </si>
  <si>
    <t>对于工作事宜的安排，自己要怎么做才能有记性又高效合理</t>
  </si>
  <si>
    <t>目标制定</t>
  </si>
  <si>
    <t>项目熟悉方式</t>
  </si>
  <si>
    <t>客户分类</t>
  </si>
  <si>
    <t>TOP SALES 十大成功法则</t>
  </si>
  <si>
    <t>上园售楼部</t>
  </si>
  <si>
    <t>第二轮名单话术培训</t>
  </si>
  <si>
    <t>挖掘客户痛点的三个方法</t>
  </si>
  <si>
    <t>报价方法</t>
  </si>
  <si>
    <t>张艺谋2008分享</t>
  </si>
  <si>
    <t>《成功销售之客户成交技巧》</t>
  </si>
  <si>
    <t>销售心态管理培训</t>
  </si>
  <si>
    <t>车位销售应对客户砍价技巧培训</t>
  </si>
  <si>
    <t>基础技能培训</t>
  </si>
  <si>
    <t>销售心态培训</t>
  </si>
  <si>
    <t>项目培训3</t>
  </si>
  <si>
    <t>收尾工作细节问题</t>
  </si>
  <si>
    <t>森柯尚江国际</t>
  </si>
  <si>
    <t>日常行为规范培训</t>
  </si>
  <si>
    <t>话术技巧</t>
  </si>
  <si>
    <t>客户洞察</t>
  </si>
  <si>
    <t>电话邀约技巧</t>
  </si>
  <si>
    <t>珺钰府</t>
  </si>
  <si>
    <t>逼单提升训</t>
  </si>
  <si>
    <t>销售客户各类抗性提升培训</t>
  </si>
  <si>
    <t>邀约话术</t>
  </si>
  <si>
    <t>车位基础知识培训</t>
  </si>
  <si>
    <t>逼定客户的技巧</t>
  </si>
  <si>
    <t>荣联天下城北区</t>
  </si>
  <si>
    <t>销冠最厉害的绝招：反问</t>
  </si>
  <si>
    <t>朋友圈打造</t>
  </si>
  <si>
    <t>销售的目标感.多买一个车位的重要性</t>
  </si>
  <si>
    <t>水木兰亭项目</t>
  </si>
  <si>
    <t>销售认知</t>
  </si>
  <si>
    <t>永康丽都国际</t>
  </si>
  <si>
    <t>销售流程不同阶段如何做好微信营销</t>
  </si>
  <si>
    <t>不同等级的业主关系维护技巧</t>
  </si>
  <si>
    <t>赖慧</t>
  </si>
  <si>
    <t>新湖国际车位销售</t>
  </si>
  <si>
    <t>客户关系维护</t>
  </si>
  <si>
    <t>小程序运用</t>
  </si>
  <si>
    <t>客户需求挖掘</t>
  </si>
  <si>
    <t>格局决定你的人生上限</t>
  </si>
  <si>
    <t>美丽泽京话术培训2</t>
  </si>
  <si>
    <t>金科华府销售中心</t>
  </si>
  <si>
    <t>高质量话术通关</t>
  </si>
  <si>
    <t>美丽泽京话术培训</t>
  </si>
  <si>
    <t>水岸绿洲一期</t>
  </si>
  <si>
    <t>抗性说辞培训</t>
  </si>
  <si>
    <t>客户预期管理2</t>
  </si>
  <si>
    <t>车位抵押说辞培训</t>
  </si>
  <si>
    <t>抗性话术培训</t>
  </si>
  <si>
    <t>翡翠龙湾</t>
  </si>
  <si>
    <t>如何挖掘客户痛点</t>
  </si>
  <si>
    <t>销售带看</t>
  </si>
  <si>
    <t>东邦海棠湾</t>
  </si>
  <si>
    <t>销售决策模型</t>
  </si>
  <si>
    <t>《洛克菲勒给子女的一生忠告》6-10节</t>
  </si>
  <si>
    <t>《洛克菲勒给子女的一生忠告》1-5节</t>
  </si>
  <si>
    <t>销冠心得分享</t>
  </si>
  <si>
    <t>带看流程2</t>
  </si>
  <si>
    <t>电话销售的基本流程和必备技能</t>
  </si>
  <si>
    <t>金科华府车位销售中心</t>
  </si>
  <si>
    <t>2026年个人年度销售目标制定及岗位晋升规划</t>
  </si>
  <si>
    <t>金安御景</t>
  </si>
  <si>
    <t>销售团队PK制度</t>
  </si>
  <si>
    <t>销售技巧</t>
  </si>
  <si>
    <t>线上定金缴纳流程</t>
  </si>
  <si>
    <t>库房</t>
  </si>
  <si>
    <t>销售电CALL必备邀请技能</t>
  </si>
  <si>
    <t>直播培训</t>
  </si>
  <si>
    <t>销售就是要玩转情商</t>
  </si>
  <si>
    <t>需求探寻的方法与提问技巧</t>
  </si>
  <si>
    <t>客户类型精准识别</t>
  </si>
  <si>
    <t>顾问式销售沟通技巧</t>
  </si>
  <si>
    <t>直隶新城办公室</t>
  </si>
  <si>
    <t>项目SOP流程之优劣势分析</t>
  </si>
  <si>
    <t>销售最重要的就是聊</t>
  </si>
  <si>
    <t>万位玺园</t>
  </si>
  <si>
    <t>销售成交的20大金句</t>
  </si>
  <si>
    <t>销售提升培训</t>
  </si>
  <si>
    <t>宏博 楿滨城</t>
  </si>
  <si>
    <t>客户跟进实战技巧</t>
  </si>
  <si>
    <t>营销技巧培训</t>
  </si>
  <si>
    <t>企业文化</t>
  </si>
  <si>
    <t>带看时需要注意什么</t>
  </si>
  <si>
    <t>销售带看SOP流程</t>
  </si>
  <si>
    <t>项目抗性问题</t>
  </si>
  <si>
    <t>如何摆脱拖延症</t>
  </si>
  <si>
    <t>元宵活动话术培训</t>
  </si>
  <si>
    <t>元宵活动及话术邀约</t>
  </si>
  <si>
    <t>销售心态建设</t>
  </si>
  <si>
    <t>高品质礼仪</t>
  </si>
  <si>
    <t>成交销售之客户成交技巧</t>
  </si>
  <si>
    <t>销售常识</t>
  </si>
  <si>
    <t>康德天子湖</t>
  </si>
  <si>
    <t>不想要赠品，想要优惠怎么回应</t>
  </si>
  <si>
    <t>新大香格里拉</t>
  </si>
  <si>
    <t>对付犹豫客户6招</t>
  </si>
  <si>
    <t>如何打造高质量话术</t>
  </si>
  <si>
    <t>如何维护客户关系</t>
  </si>
  <si>
    <t>话术及抗性说辞制作运用核心思路</t>
  </si>
  <si>
    <t>如何做一个好的提问者</t>
  </si>
  <si>
    <t>如何跟进意向客户</t>
  </si>
  <si>
    <t>ROID模型</t>
  </si>
  <si>
    <t>天誉未来城</t>
  </si>
  <si>
    <t>带看sop流程2</t>
  </si>
  <si>
    <t>万为江南里</t>
  </si>
  <si>
    <t>业主觉得价格跟之前差不多</t>
  </si>
  <si>
    <t>业主觉得填地面划算不买核心话术</t>
  </si>
  <si>
    <t>大华尚府</t>
  </si>
  <si>
    <t>收假收心</t>
  </si>
  <si>
    <t>心态与目标</t>
  </si>
  <si>
    <t>目标感</t>
  </si>
  <si>
    <t>提升工作效率</t>
  </si>
  <si>
    <t>逼定各种场景应对</t>
  </si>
  <si>
    <t>企业能量模型之营销</t>
  </si>
  <si>
    <t>产权车位不办理产权解释</t>
  </si>
  <si>
    <t>地下储藏间的销售SOP</t>
  </si>
  <si>
    <t>客情关系维护技巧</t>
  </si>
  <si>
    <t>客户的预期管理</t>
  </si>
  <si>
    <t>抗性客户的电话跟进方法</t>
  </si>
  <si>
    <t>春节期间线上营销</t>
  </si>
  <si>
    <t>上东逸景</t>
  </si>
  <si>
    <t>什么是“第一性原理”</t>
  </si>
  <si>
    <t>话术</t>
  </si>
  <si>
    <t>如何逼定意向客户？</t>
  </si>
  <si>
    <t>情绪稳定的重要性</t>
  </si>
  <si>
    <t>销售形象管理与气质</t>
  </si>
  <si>
    <t>博翔誉峰点位</t>
  </si>
  <si>
    <t>放假期间注意事项以及车位销售培训</t>
  </si>
  <si>
    <t>共情培训</t>
  </si>
  <si>
    <t>攻单培训</t>
  </si>
  <si>
    <t>水岸绿洲优劣势培训</t>
  </si>
  <si>
    <t>OMG主播培训</t>
  </si>
  <si>
    <t>富力城八号园</t>
  </si>
  <si>
    <t>储备干部仅剩及目标培训</t>
  </si>
  <si>
    <t>富力城八号园东园</t>
  </si>
  <si>
    <t>逼单技巧</t>
  </si>
  <si>
    <t>抗性问题话术培训</t>
  </si>
  <si>
    <t>早操规范培训</t>
  </si>
  <si>
    <t>销售逻辑</t>
  </si>
  <si>
    <t>新湖国际车位销售中心</t>
  </si>
  <si>
    <t>何如做好微信营销</t>
  </si>
  <si>
    <t>项目宿舍</t>
  </si>
  <si>
    <t>销售在公司的职业规划</t>
  </si>
  <si>
    <t>现场逼定策略</t>
  </si>
  <si>
    <t>观唐里车位销售中心</t>
  </si>
  <si>
    <t>项目节点注意事项培训</t>
  </si>
  <si>
    <t>中央香榭</t>
  </si>
  <si>
    <t>成功八大心态</t>
  </si>
  <si>
    <t>多次进场话术培训</t>
  </si>
  <si>
    <t>顾客的心理分析和成交技巧</t>
  </si>
  <si>
    <t>业主抗性问题解答思路</t>
  </si>
  <si>
    <t>转介绍如何激励归则</t>
  </si>
  <si>
    <t>个人现象价值百万</t>
  </si>
  <si>
    <t>话术提升培训</t>
  </si>
  <si>
    <t>新媒体运营进阶</t>
  </si>
  <si>
    <t>鱼骨图的妙用</t>
  </si>
  <si>
    <t>项目后期逼单技巧及细节</t>
  </si>
  <si>
    <t>顾问式销售</t>
  </si>
  <si>
    <t>如何应对报价后客户沉默</t>
  </si>
  <si>
    <t>跟进能力强的销售</t>
  </si>
  <si>
    <t>如何做好守价</t>
  </si>
  <si>
    <t>东湖天誉城</t>
  </si>
  <si>
    <t>如何制造紧张感和火爆热销</t>
  </si>
  <si>
    <t>玉龙城抗性话术培训</t>
  </si>
  <si>
    <t>永康玉龙城签约抵押签约流程</t>
  </si>
  <si>
    <t>朋友圈营销</t>
  </si>
  <si>
    <t>电话邀约要点与主要事项</t>
  </si>
  <si>
    <t>仙林金谷</t>
  </si>
  <si>
    <t>五洲观澜B区</t>
  </si>
  <si>
    <t>项目sowt培训</t>
  </si>
  <si>
    <t>目标分解如何超额完成奋斗目标</t>
  </si>
  <si>
    <t>谈判攻略如何在初次见面的60分钟里当场签约？</t>
  </si>
  <si>
    <t>业主关系维护技巧2</t>
  </si>
  <si>
    <t>大唐养生小镇Dk3车位销售中心</t>
  </si>
  <si>
    <t>邀约及接待话术提升培训</t>
  </si>
  <si>
    <t>DMD差异化营销课程第三课</t>
  </si>
  <si>
    <t>上门拜访的沟通技巧</t>
  </si>
  <si>
    <t>销售中心</t>
  </si>
  <si>
    <t>试探性成交</t>
  </si>
  <si>
    <t>成为卓越销售五大要素</t>
  </si>
  <si>
    <t>2026年培训数据总表-明细（1-3月）</t>
  </si>
  <si>
    <t>序号</t>
  </si>
  <si>
    <t>课程类型</t>
  </si>
  <si>
    <t>课程名称</t>
  </si>
  <si>
    <t>讲师</t>
  </si>
  <si>
    <t>培训方式</t>
  </si>
  <si>
    <t>培训地点</t>
  </si>
  <si>
    <t>考核方式</t>
  </si>
  <si>
    <t>培训时间</t>
  </si>
  <si>
    <t>应参训人姓名</t>
  </si>
  <si>
    <t>签到情况</t>
  </si>
  <si>
    <t>工号</t>
  </si>
  <si>
    <t>职级</t>
  </si>
  <si>
    <t>入职时间</t>
  </si>
  <si>
    <t>课程满意度</t>
  </si>
  <si>
    <t>考核成绩</t>
  </si>
  <si>
    <t>《心态与成败》</t>
  </si>
  <si>
    <t>梁霞</t>
  </si>
  <si>
    <t>线下</t>
  </si>
  <si>
    <t>app试卷考核</t>
  </si>
  <si>
    <t>蒋婷</t>
  </si>
  <si>
    <t>未签到</t>
  </si>
  <si>
    <t>01011</t>
  </si>
  <si>
    <t>一星销售顾问</t>
  </si>
  <si>
    <t>孙智港</t>
  </si>
  <si>
    <t>01423</t>
  </si>
  <si>
    <t>李裕楷</t>
  </si>
  <si>
    <t>01412</t>
  </si>
  <si>
    <t>税小蓉</t>
  </si>
  <si>
    <t>已签到</t>
  </si>
  <si>
    <t>01684</t>
  </si>
  <si>
    <t>李松</t>
  </si>
  <si>
    <t>01689</t>
  </si>
  <si>
    <t>先波</t>
  </si>
  <si>
    <t>01512</t>
  </si>
  <si>
    <t>二星销售顾问</t>
  </si>
  <si>
    <t>田丰</t>
  </si>
  <si>
    <t>01500</t>
  </si>
  <si>
    <t>邓孝礼</t>
  </si>
  <si>
    <t>01621</t>
  </si>
  <si>
    <t>黄建</t>
  </si>
  <si>
    <t>01657</t>
  </si>
  <si>
    <t>向巡</t>
  </si>
  <si>
    <t>01634</t>
  </si>
  <si>
    <t>陈帅2</t>
  </si>
  <si>
    <t>01488</t>
  </si>
  <si>
    <t>涂正丽</t>
  </si>
  <si>
    <t>01654</t>
  </si>
  <si>
    <t>殷吉</t>
  </si>
  <si>
    <t>01547</t>
  </si>
  <si>
    <t>陈家丽</t>
  </si>
  <si>
    <t>00685</t>
  </si>
  <si>
    <t>徐燕2</t>
  </si>
  <si>
    <t>01635</t>
  </si>
  <si>
    <t>张锦</t>
  </si>
  <si>
    <t>01556</t>
  </si>
  <si>
    <t>邢亚丹</t>
  </si>
  <si>
    <t>01535</t>
  </si>
  <si>
    <t>王勤博</t>
  </si>
  <si>
    <t>01698</t>
  </si>
  <si>
    <t>周悦</t>
  </si>
  <si>
    <t>01636</t>
  </si>
  <si>
    <t>吴继花</t>
  </si>
  <si>
    <t>01644</t>
  </si>
  <si>
    <t>熊明冬</t>
  </si>
  <si>
    <t>01642</t>
  </si>
  <si>
    <t>徐凯凯</t>
  </si>
  <si>
    <t>01690</t>
  </si>
  <si>
    <t>陈治</t>
  </si>
  <si>
    <t>01307</t>
  </si>
  <si>
    <t>朱用晴</t>
  </si>
  <si>
    <t>01609</t>
  </si>
  <si>
    <t>易青</t>
  </si>
  <si>
    <t>01569</t>
  </si>
  <si>
    <t>颜尚清</t>
  </si>
  <si>
    <t>01706</t>
  </si>
  <si>
    <t>张娇</t>
  </si>
  <si>
    <t>01597</t>
  </si>
  <si>
    <t>江俊宏</t>
  </si>
  <si>
    <t>01405</t>
  </si>
  <si>
    <t>陈胤</t>
  </si>
  <si>
    <t>01444</t>
  </si>
  <si>
    <t>鲜曦</t>
  </si>
  <si>
    <t>01301</t>
  </si>
  <si>
    <t>唐磊</t>
  </si>
  <si>
    <t>01498</t>
  </si>
  <si>
    <t>李宗霖</t>
  </si>
  <si>
    <t>01599</t>
  </si>
  <si>
    <t>赵斌</t>
  </si>
  <si>
    <t>01465</t>
  </si>
  <si>
    <t>李万林</t>
  </si>
  <si>
    <t>01663</t>
  </si>
  <si>
    <t>刘源</t>
  </si>
  <si>
    <t>01568</t>
  </si>
  <si>
    <t>马夕鹏</t>
  </si>
  <si>
    <t>01559</t>
  </si>
  <si>
    <t>王珊</t>
  </si>
  <si>
    <t>01503</t>
  </si>
  <si>
    <t>龙鹏宇</t>
  </si>
  <si>
    <t>01505</t>
  </si>
  <si>
    <t>焦文豪</t>
  </si>
  <si>
    <t>01641</t>
  </si>
  <si>
    <t>李杰根</t>
  </si>
  <si>
    <t>01263</t>
  </si>
  <si>
    <t>冉洪</t>
  </si>
  <si>
    <t>01426</t>
  </si>
  <si>
    <t>朱小英</t>
  </si>
  <si>
    <t>01398</t>
  </si>
  <si>
    <t>邓颖</t>
  </si>
  <si>
    <t>01477</t>
  </si>
  <si>
    <t>李桃</t>
  </si>
  <si>
    <t>00917</t>
  </si>
  <si>
    <t>陈相维</t>
  </si>
  <si>
    <t>01542</t>
  </si>
  <si>
    <t>陈子豪</t>
  </si>
  <si>
    <t>01602</t>
  </si>
  <si>
    <t>陈军2</t>
  </si>
  <si>
    <t>01598</t>
  </si>
  <si>
    <t>袁兴丰</t>
  </si>
  <si>
    <t>01648</t>
  </si>
  <si>
    <t>青琳琳</t>
  </si>
  <si>
    <t>01537</t>
  </si>
  <si>
    <t>焦明昊</t>
  </si>
  <si>
    <t>01625</t>
  </si>
  <si>
    <t>谢泽光</t>
  </si>
  <si>
    <t>01524</t>
  </si>
  <si>
    <t>闫磊</t>
  </si>
  <si>
    <t>01553</t>
  </si>
  <si>
    <t>罗雨梅</t>
  </si>
  <si>
    <t>01521</t>
  </si>
  <si>
    <t>王茜</t>
  </si>
  <si>
    <t>01324</t>
  </si>
  <si>
    <t>周萍</t>
  </si>
  <si>
    <t>01601</t>
  </si>
  <si>
    <t>宋雨嫣</t>
  </si>
  <si>
    <t>01575</t>
  </si>
  <si>
    <t>李鑫4</t>
  </si>
  <si>
    <t>01579</t>
  </si>
  <si>
    <t>龚祖明</t>
  </si>
  <si>
    <t>01607</t>
  </si>
  <si>
    <t>朱静</t>
  </si>
  <si>
    <t>01587</t>
  </si>
  <si>
    <t>侯艺鹏</t>
  </si>
  <si>
    <t>01388</t>
  </si>
  <si>
    <t>吴康达</t>
  </si>
  <si>
    <t>01187</t>
  </si>
  <si>
    <t>潘俊峰</t>
  </si>
  <si>
    <t>01514</t>
  </si>
  <si>
    <t>罗艳</t>
  </si>
  <si>
    <t>01485</t>
  </si>
  <si>
    <t>孙杰梅</t>
  </si>
  <si>
    <t>01562</t>
  </si>
  <si>
    <t>邱凯</t>
  </si>
  <si>
    <t>00560</t>
  </si>
  <si>
    <t>庞彬城</t>
  </si>
  <si>
    <t>01660</t>
  </si>
  <si>
    <t>杜欢</t>
  </si>
  <si>
    <t>01615</t>
  </si>
  <si>
    <t>杨钧</t>
  </si>
  <si>
    <t>01658</t>
  </si>
  <si>
    <t>文祥伙</t>
  </si>
  <si>
    <t>01525</t>
  </si>
  <si>
    <t>邓世才</t>
  </si>
  <si>
    <t>01669</t>
  </si>
  <si>
    <t>陈文吉</t>
  </si>
  <si>
    <t>01415</t>
  </si>
  <si>
    <t>张帅</t>
  </si>
  <si>
    <t>01600</t>
  </si>
  <si>
    <t>贾品超</t>
  </si>
  <si>
    <t>01585</t>
  </si>
  <si>
    <t>张阳</t>
  </si>
  <si>
    <t>01303</t>
  </si>
  <si>
    <t>张莉萍</t>
  </si>
  <si>
    <t>01581</t>
  </si>
  <si>
    <t>叶婷</t>
  </si>
  <si>
    <t>01571</t>
  </si>
  <si>
    <t>王学军</t>
  </si>
  <si>
    <t>01666</t>
  </si>
  <si>
    <t>王维</t>
  </si>
  <si>
    <t>00569</t>
  </si>
  <si>
    <t>余勤昌</t>
  </si>
  <si>
    <t>01574</t>
  </si>
  <si>
    <t>李文迪</t>
  </si>
  <si>
    <t>01404</t>
  </si>
  <si>
    <t>蒋元香</t>
  </si>
  <si>
    <t>01567</t>
  </si>
  <si>
    <t>陈建利</t>
  </si>
  <si>
    <t>01079</t>
  </si>
  <si>
    <t>向明镜</t>
  </si>
  <si>
    <t>01265</t>
  </si>
  <si>
    <t>《超级执行力》</t>
  </si>
  <si>
    <t>欧松林</t>
  </si>
  <si>
    <t>赵玲</t>
  </si>
  <si>
    <t>01049</t>
  </si>
  <si>
    <t>《如何剖析客户心理》</t>
  </si>
  <si>
    <t>《采购＋广告＋财务》</t>
  </si>
  <si>
    <t>李旭</t>
  </si>
  <si>
    <t>线上</t>
  </si>
  <si>
    <t>学习地图考核</t>
  </si>
  <si>
    <t>00996</t>
  </si>
  <si>
    <t>三星销售顾问</t>
  </si>
  <si>
    <t>00798</t>
  </si>
  <si>
    <t>00869</t>
  </si>
  <si>
    <t>B岗经理</t>
  </si>
  <si>
    <t>蒋明霞</t>
  </si>
  <si>
    <t>01344</t>
  </si>
  <si>
    <t>00134</t>
  </si>
  <si>
    <t>01047</t>
  </si>
  <si>
    <t>01456</t>
  </si>
  <si>
    <t>01317</t>
  </si>
  <si>
    <t>01257</t>
  </si>
  <si>
    <t>01166</t>
  </si>
  <si>
    <t>李芙蓉</t>
  </si>
  <si>
    <t>01284</t>
  </si>
  <si>
    <t>01271</t>
  </si>
  <si>
    <t>01481</t>
  </si>
  <si>
    <t>00898</t>
  </si>
  <si>
    <t>01239</t>
  </si>
  <si>
    <t>00615</t>
  </si>
  <si>
    <t>01092</t>
  </si>
  <si>
    <t>刘俊海</t>
  </si>
  <si>
    <t>00385</t>
  </si>
  <si>
    <t>00864</t>
  </si>
  <si>
    <t>01148</t>
  </si>
  <si>
    <t>《项目带看管理》</t>
  </si>
  <si>
    <t>刘盼</t>
  </si>
  <si>
    <t>00349</t>
  </si>
  <si>
    <t>三星实习经理</t>
  </si>
  <si>
    <t>《客户在线》</t>
  </si>
  <si>
    <t>杨薇运营</t>
  </si>
  <si>
    <t>《话术制作及通关》</t>
  </si>
  <si>
    <t>《团队管理》专题培训</t>
  </si>
  <si>
    <t>《管理者的自我管理》</t>
  </si>
  <si>
    <t>黄芳</t>
  </si>
  <si>
    <t>《经理APP操作》</t>
  </si>
  <si>
    <t>田静</t>
  </si>
  <si>
    <t>王小春</t>
  </si>
  <si>
    <t>《项目经理薪酬绩效》</t>
  </si>
  <si>
    <t>贾春燕</t>
  </si>
  <si>
    <t>《4P营销准备及朋友圈打造》</t>
  </si>
  <si>
    <t>00522</t>
  </si>
  <si>
    <t>一星正式经理</t>
  </si>
  <si>
    <t>00345</t>
  </si>
  <si>
    <t>部长</t>
  </si>
  <si>
    <t>00294</t>
  </si>
  <si>
    <t>00288</t>
  </si>
  <si>
    <t>二星正式经理</t>
  </si>
  <si>
    <t>00204</t>
  </si>
  <si>
    <t>00178</t>
  </si>
  <si>
    <t>00117</t>
  </si>
  <si>
    <t>00113</t>
  </si>
  <si>
    <t>00087</t>
  </si>
  <si>
    <t>00012</t>
  </si>
  <si>
    <t>00011</t>
  </si>
  <si>
    <t>00283</t>
  </si>
  <si>
    <t>00090</t>
  </si>
  <si>
    <t>00077</t>
  </si>
  <si>
    <t>廖小朋</t>
  </si>
  <si>
    <t>00009</t>
  </si>
  <si>
    <t>分公司总经理</t>
  </si>
  <si>
    <t>00612</t>
  </si>
  <si>
    <t>00160</t>
  </si>
  <si>
    <t>00015</t>
  </si>
  <si>
    <t>分公司合伙人</t>
  </si>
  <si>
    <t>00521</t>
  </si>
  <si>
    <t>00166</t>
  </si>
  <si>
    <t>李丹</t>
  </si>
  <si>
    <t>00067</t>
  </si>
  <si>
    <t>00354</t>
  </si>
  <si>
    <t>00016</t>
  </si>
  <si>
    <t>00058</t>
  </si>
  <si>
    <t>00050</t>
  </si>
  <si>
    <t>00014</t>
  </si>
  <si>
    <t>三星正式经理</t>
  </si>
  <si>
    <t>00006</t>
  </si>
  <si>
    <t>00549</t>
  </si>
  <si>
    <t>00333</t>
  </si>
  <si>
    <t>范庚</t>
  </si>
  <si>
    <t>00004</t>
  </si>
  <si>
    <t>00472</t>
  </si>
  <si>
    <t>00270</t>
  </si>
  <si>
    <t>00010</t>
  </si>
  <si>
    <t>00263</t>
  </si>
  <si>
    <t>00008</t>
  </si>
  <si>
    <t>《成为卓越车位置业顾问五要素》</t>
  </si>
  <si>
    <t>董衡</t>
  </si>
  <si>
    <t>01876</t>
  </si>
  <si>
    <t>实习销售</t>
  </si>
  <si>
    <t>李根</t>
  </si>
  <si>
    <t>01914</t>
  </si>
  <si>
    <t>黄畅</t>
  </si>
  <si>
    <t>01874</t>
  </si>
  <si>
    <t>钟亚坤</t>
  </si>
  <si>
    <t>01843</t>
  </si>
  <si>
    <t>武玄耀</t>
  </si>
  <si>
    <t>01800</t>
  </si>
  <si>
    <t>屈文涛</t>
  </si>
  <si>
    <t>01864</t>
  </si>
  <si>
    <t>侯春红</t>
  </si>
  <si>
    <t>01893</t>
  </si>
  <si>
    <t>李杰4</t>
  </si>
  <si>
    <t>01863</t>
  </si>
  <si>
    <t>01848</t>
  </si>
  <si>
    <t>向旭</t>
  </si>
  <si>
    <t>01825</t>
  </si>
  <si>
    <t>王小蓬</t>
  </si>
  <si>
    <t>01898</t>
  </si>
  <si>
    <t>吴海蛟</t>
  </si>
  <si>
    <t>01881</t>
  </si>
  <si>
    <t>罗嶺</t>
  </si>
  <si>
    <t>01765</t>
  </si>
  <si>
    <t>田浩</t>
  </si>
  <si>
    <t>01900</t>
  </si>
  <si>
    <t>黄洪文</t>
  </si>
  <si>
    <t>01794</t>
  </si>
  <si>
    <t>唐筠</t>
  </si>
  <si>
    <t>01905</t>
  </si>
  <si>
    <t>林兴江</t>
  </si>
  <si>
    <t>01835</t>
  </si>
  <si>
    <t>杨璐通</t>
  </si>
  <si>
    <t>01870</t>
  </si>
  <si>
    <t>徐超2</t>
  </si>
  <si>
    <t>01892</t>
  </si>
  <si>
    <t>曹雪浩</t>
  </si>
  <si>
    <t>01886</t>
  </si>
  <si>
    <t>米雪琴</t>
  </si>
  <si>
    <t>01866</t>
  </si>
  <si>
    <t>张永华</t>
  </si>
  <si>
    <t>01673</t>
  </si>
  <si>
    <t>潘柯</t>
  </si>
  <si>
    <t>01854</t>
  </si>
  <si>
    <t>向戈</t>
  </si>
  <si>
    <t>01845</t>
  </si>
  <si>
    <t>谭霜鹰</t>
  </si>
  <si>
    <t>01897</t>
  </si>
  <si>
    <t>王超4</t>
  </si>
  <si>
    <t>01875</t>
  </si>
  <si>
    <t>艾显灿</t>
  </si>
  <si>
    <t>01878</t>
  </si>
  <si>
    <t>夏亮亮</t>
  </si>
  <si>
    <t>01738</t>
  </si>
  <si>
    <t>孙维</t>
  </si>
  <si>
    <t>01764</t>
  </si>
  <si>
    <t>红英</t>
  </si>
  <si>
    <t>01889</t>
  </si>
  <si>
    <t>张玲霞</t>
  </si>
  <si>
    <t>01906</t>
  </si>
  <si>
    <t>杨鹏鹏</t>
  </si>
  <si>
    <t>01894</t>
  </si>
  <si>
    <t>高敏玲</t>
  </si>
  <si>
    <t>01776</t>
  </si>
  <si>
    <t>陈俊文</t>
  </si>
  <si>
    <t>01836</t>
  </si>
  <si>
    <t>张钰忠</t>
  </si>
  <si>
    <t>01832</t>
  </si>
  <si>
    <t>冯光美</t>
  </si>
  <si>
    <t>01818</t>
  </si>
  <si>
    <t>赵成</t>
  </si>
  <si>
    <t>01909</t>
  </si>
  <si>
    <t>邓双梅</t>
  </si>
  <si>
    <t>01879</t>
  </si>
  <si>
    <t>赵雪勤</t>
  </si>
  <si>
    <t>01904</t>
  </si>
  <si>
    <t>杨孟</t>
  </si>
  <si>
    <t>01891</t>
  </si>
  <si>
    <t>何娟</t>
  </si>
  <si>
    <t>01051</t>
  </si>
  <si>
    <t>陈绪</t>
  </si>
  <si>
    <t>01762</t>
  </si>
  <si>
    <t>杨华明</t>
  </si>
  <si>
    <t>01766</t>
  </si>
  <si>
    <t>杨博文</t>
  </si>
  <si>
    <t>01761</t>
  </si>
  <si>
    <t>邓联红</t>
  </si>
  <si>
    <t>01873</t>
  </si>
  <si>
    <t>敖玉</t>
  </si>
  <si>
    <t>01907</t>
  </si>
  <si>
    <t>孙江林</t>
  </si>
  <si>
    <t>01723</t>
  </si>
  <si>
    <t>刘超2</t>
  </si>
  <si>
    <t>01869</t>
  </si>
  <si>
    <t>蒋亚丽</t>
  </si>
  <si>
    <t>01862</t>
  </si>
  <si>
    <t>刘宗贵</t>
  </si>
  <si>
    <t>01787</t>
  </si>
  <si>
    <t>何仔馨</t>
  </si>
  <si>
    <t>01790</t>
  </si>
  <si>
    <t>雷有财</t>
  </si>
  <si>
    <t>01767</t>
  </si>
  <si>
    <t>章江</t>
  </si>
  <si>
    <t>01808</t>
  </si>
  <si>
    <t>林乔乔</t>
  </si>
  <si>
    <t>01841</t>
  </si>
  <si>
    <t>杨康</t>
  </si>
  <si>
    <t>01610</t>
  </si>
  <si>
    <t>陈浩</t>
  </si>
  <si>
    <t>01883</t>
  </si>
  <si>
    <t>沈锐</t>
  </si>
  <si>
    <t>01880</t>
  </si>
  <si>
    <t>王胜波</t>
  </si>
  <si>
    <t>01817</t>
  </si>
  <si>
    <t>郑昌豪</t>
  </si>
  <si>
    <t>01910</t>
  </si>
  <si>
    <t>刘兴东</t>
  </si>
  <si>
    <t>01884</t>
  </si>
  <si>
    <t>陈长</t>
  </si>
  <si>
    <t>01899</t>
  </si>
  <si>
    <t>杜俊杰</t>
  </si>
  <si>
    <t>01901</t>
  </si>
  <si>
    <t>张剑虹</t>
  </si>
  <si>
    <t>01792</t>
  </si>
  <si>
    <t>王应刚</t>
  </si>
  <si>
    <t>01912</t>
  </si>
  <si>
    <t>张凯</t>
  </si>
  <si>
    <t>01868</t>
  </si>
  <si>
    <t>王振东</t>
  </si>
  <si>
    <t>01903</t>
  </si>
  <si>
    <t>王成鑫</t>
  </si>
  <si>
    <t>01882</t>
  </si>
  <si>
    <t>莫嘉鑫</t>
  </si>
  <si>
    <t>01871</t>
  </si>
  <si>
    <t>徐泰</t>
  </si>
  <si>
    <t>01758</t>
  </si>
  <si>
    <t>王晓潮</t>
  </si>
  <si>
    <t>01902</t>
  </si>
  <si>
    <t>姜云</t>
  </si>
  <si>
    <t>01788</t>
  </si>
  <si>
    <t>张启华</t>
  </si>
  <si>
    <t>01671</t>
  </si>
  <si>
    <t>胡凰慧懿</t>
  </si>
  <si>
    <t>01826</t>
  </si>
  <si>
    <t>黄倩</t>
  </si>
  <si>
    <t>01827</t>
  </si>
  <si>
    <t>刘鹏程</t>
  </si>
  <si>
    <t>01887</t>
  </si>
  <si>
    <t>李青松</t>
  </si>
  <si>
    <t>01821</t>
  </si>
  <si>
    <t>《高品质礼仪》</t>
  </si>
  <si>
    <t>《员工入职制度》</t>
  </si>
  <si>
    <t>罗诗雨</t>
  </si>
  <si>
    <t>《走进蜂族科技》</t>
  </si>
  <si>
    <t>杨茜影</t>
  </si>
  <si>
    <t>01867</t>
  </si>
  <si>
    <t>职能营销</t>
  </si>
  <si>
    <t>招聘专员</t>
  </si>
  <si>
    <t>杨皖佳</t>
  </si>
  <si>
    <t>01896</t>
  </si>
  <si>
    <t>拓展BP</t>
  </si>
  <si>
    <t>何志立</t>
  </si>
  <si>
    <t>01815</t>
  </si>
  <si>
    <t>新媒体专员</t>
  </si>
  <si>
    <t>徐琮翔</t>
  </si>
  <si>
    <t>01913</t>
  </si>
  <si>
    <t>培训专员</t>
  </si>
  <si>
    <t>李嘉</t>
  </si>
  <si>
    <t>01911</t>
  </si>
  <si>
    <t>法务专员</t>
  </si>
  <si>
    <t>陈思丹</t>
  </si>
  <si>
    <t>01885</t>
  </si>
  <si>
    <t>易束梅</t>
  </si>
  <si>
    <t>01872</t>
  </si>
  <si>
    <t>售后</t>
  </si>
  <si>
    <t>讲师《TTT》培训</t>
  </si>
  <si>
    <t>《讲师TTT培训》</t>
  </si>
  <si>
    <t>张振华</t>
  </si>
  <si>
    <t>无</t>
  </si>
  <si>
    <t>黄小东</t>
  </si>
  <si>
    <t>宁夏拓展中心</t>
  </si>
  <si>
    <t>蒋婉萍</t>
  </si>
  <si>
    <t>孔群慧</t>
  </si>
  <si>
    <t>黄伟</t>
  </si>
  <si>
    <t>河北拓展部</t>
  </si>
  <si>
    <t>雷鸣</t>
  </si>
  <si>
    <t>甘肃拓展部</t>
  </si>
  <si>
    <t>杨薇</t>
  </si>
  <si>
    <t>刘超</t>
  </si>
  <si>
    <t>张亚东</t>
  </si>
  <si>
    <t>刘文宇</t>
  </si>
  <si>
    <t>刘宇</t>
  </si>
  <si>
    <t>内蒙古拓展中心</t>
  </si>
  <si>
    <t>杨蓉</t>
  </si>
  <si>
    <t>于强</t>
  </si>
  <si>
    <t>向高涵</t>
  </si>
  <si>
    <t>刘岷</t>
  </si>
  <si>
    <t>湖南拓展部</t>
  </si>
  <si>
    <t>黄洁</t>
  </si>
  <si>
    <t>向润</t>
  </si>
  <si>
    <t>山东拓展部</t>
  </si>
  <si>
    <t>张冀</t>
  </si>
  <si>
    <t>郭秉娜</t>
  </si>
  <si>
    <t>廖静</t>
  </si>
  <si>
    <t>河南拓展部</t>
  </si>
  <si>
    <t>王超飞</t>
  </si>
  <si>
    <t>许钊</t>
  </si>
  <si>
    <t>安徽拓展部</t>
  </si>
  <si>
    <t>查丹</t>
  </si>
  <si>
    <t>陈萍</t>
  </si>
  <si>
    <t>聂仕平</t>
  </si>
  <si>
    <t>辽宁拓展部</t>
  </si>
  <si>
    <t>吴川江</t>
  </si>
  <si>
    <t>山西拓展部</t>
  </si>
  <si>
    <t>《目标管理》</t>
  </si>
  <si>
    <t>《映月湖》酒店三楼五号会议室</t>
  </si>
  <si>
    <t>扫码试卷考核</t>
  </si>
  <si>
    <t>陈亮</t>
  </si>
  <si>
    <t>01320</t>
  </si>
  <si>
    <t>罗宁2</t>
  </si>
  <si>
    <t>01105</t>
  </si>
  <si>
    <t>何飞</t>
  </si>
  <si>
    <t>01158</t>
  </si>
  <si>
    <t>文尤洋</t>
  </si>
  <si>
    <t>01351</t>
  </si>
  <si>
    <t>杨鹏</t>
  </si>
  <si>
    <t>00950</t>
  </si>
  <si>
    <t>王锦涛</t>
  </si>
  <si>
    <t>00978</t>
  </si>
  <si>
    <t>顾大局</t>
  </si>
  <si>
    <t>01421</t>
  </si>
  <si>
    <t>吴洪蝶</t>
  </si>
  <si>
    <t>00893</t>
  </si>
  <si>
    <t>王超2</t>
  </si>
  <si>
    <t>00945</t>
  </si>
  <si>
    <t>霍雪毅</t>
  </si>
  <si>
    <t>01374</t>
  </si>
  <si>
    <t>刘军</t>
  </si>
  <si>
    <t>00856</t>
  </si>
  <si>
    <t>朱思刚</t>
  </si>
  <si>
    <t>00718</t>
  </si>
  <si>
    <t>马发平</t>
  </si>
  <si>
    <t>01046</t>
  </si>
  <si>
    <t>李洋</t>
  </si>
  <si>
    <t>00993</t>
  </si>
  <si>
    <t>罗桂雪</t>
  </si>
  <si>
    <t>00693</t>
  </si>
  <si>
    <t>杨涛2</t>
  </si>
  <si>
    <t>01476</t>
  </si>
  <si>
    <t>龙世锋</t>
  </si>
  <si>
    <t>01411</t>
  </si>
  <si>
    <t>张欢</t>
  </si>
  <si>
    <t>01194</t>
  </si>
  <si>
    <t>周凤</t>
  </si>
  <si>
    <t>01532</t>
  </si>
  <si>
    <t>刘红梅</t>
  </si>
  <si>
    <t>00840</t>
  </si>
  <si>
    <t>《B岗经理核心能力解析》</t>
  </si>
  <si>
    <t>《天龙八部》</t>
  </si>
  <si>
    <t>《B岗角色认知》</t>
  </si>
  <si>
    <t>1212会议室</t>
  </si>
  <si>
    <t>苏燕</t>
  </si>
  <si>
    <t>贺京京</t>
  </si>
  <si>
    <t>游钰姣</t>
  </si>
  <si>
    <t>邓湘</t>
  </si>
  <si>
    <t>王紫瑞</t>
  </si>
  <si>
    <t>刘星</t>
  </si>
  <si>
    <t>关志亮</t>
  </si>
  <si>
    <t>王涛2</t>
  </si>
  <si>
    <t>季浩</t>
  </si>
  <si>
    <t>胡浩南</t>
  </si>
  <si>
    <t>王琪</t>
  </si>
  <si>
    <t>余侃侃</t>
  </si>
  <si>
    <t>何小文</t>
  </si>
  <si>
    <t>黄浩</t>
  </si>
  <si>
    <t>孙静</t>
  </si>
  <si>
    <t>李晓莉</t>
  </si>
  <si>
    <t>王畅</t>
  </si>
  <si>
    <t>刘嘉馨</t>
  </si>
  <si>
    <t>席楠</t>
  </si>
  <si>
    <t>刘江超</t>
  </si>
  <si>
    <t>李玲</t>
  </si>
  <si>
    <t>李金华</t>
  </si>
  <si>
    <t>文东林</t>
  </si>
  <si>
    <t>冯婉玉</t>
  </si>
  <si>
    <t>孙其盟</t>
  </si>
  <si>
    <t>张国坤</t>
  </si>
  <si>
    <t>赵书强</t>
  </si>
  <si>
    <t>王杰2</t>
  </si>
  <si>
    <t>刘政</t>
  </si>
  <si>
    <t>罗加艺</t>
  </si>
  <si>
    <t>刘浩江</t>
  </si>
  <si>
    <t>李凯</t>
  </si>
  <si>
    <t>邓姗姗</t>
  </si>
  <si>
    <t>田森</t>
  </si>
  <si>
    <t>钟昌燕</t>
  </si>
  <si>
    <t>蒲洪</t>
  </si>
  <si>
    <t>童云昌</t>
  </si>
  <si>
    <t>周毅涛</t>
  </si>
  <si>
    <t>马文茂</t>
  </si>
  <si>
    <t>胡信</t>
  </si>
  <si>
    <t>宋兰萍</t>
  </si>
  <si>
    <t>李骏昊</t>
  </si>
  <si>
    <t>蔡申文</t>
  </si>
  <si>
    <t>黄智虎</t>
  </si>
  <si>
    <t>曹佳荣</t>
  </si>
  <si>
    <t>米贞东</t>
  </si>
  <si>
    <t>张琴霞</t>
  </si>
  <si>
    <t>王锐</t>
  </si>
  <si>
    <t>潘晓冬</t>
  </si>
  <si>
    <t>张世豪</t>
  </si>
  <si>
    <t>安娅丽</t>
  </si>
  <si>
    <t>周加银</t>
  </si>
  <si>
    <t>王思颖</t>
  </si>
  <si>
    <t>刘杰</t>
  </si>
  <si>
    <t>黄哲</t>
  </si>
  <si>
    <t>邢红英</t>
  </si>
  <si>
    <t>周玉兰</t>
  </si>
  <si>
    <t>曾树兰</t>
  </si>
  <si>
    <t>耿腾飞</t>
  </si>
  <si>
    <t>牛子玮</t>
  </si>
  <si>
    <t>张利娟</t>
  </si>
  <si>
    <t>孙洪扬</t>
  </si>
  <si>
    <t>任浩</t>
  </si>
  <si>
    <t>李立</t>
  </si>
  <si>
    <t>王建根</t>
  </si>
  <si>
    <t>陈佳乐</t>
  </si>
  <si>
    <t>苏聪</t>
  </si>
  <si>
    <t>朱本兴</t>
  </si>
  <si>
    <t>潘盼盼</t>
  </si>
  <si>
    <t>夏玉木</t>
  </si>
  <si>
    <t>《三方对接》</t>
  </si>
  <si>
    <t>《实习经理应知应会》</t>
  </si>
  <si>
    <t>陈申茂</t>
  </si>
  <si>
    <t>王秋蕾</t>
  </si>
  <si>
    <t>黄怡建</t>
  </si>
  <si>
    <t>刘凯3</t>
  </si>
  <si>
    <t>孙凯</t>
  </si>
  <si>
    <t>吴三国</t>
  </si>
  <si>
    <t>邓松元</t>
  </si>
  <si>
    <t>张洪佳</t>
  </si>
  <si>
    <t>徐潇洋</t>
  </si>
  <si>
    <t>张新月</t>
  </si>
  <si>
    <t>刘识慧</t>
  </si>
  <si>
    <t>杨彭艺</t>
  </si>
  <si>
    <t>田静2</t>
  </si>
  <si>
    <t>王奇</t>
  </si>
  <si>
    <t>周越</t>
  </si>
  <si>
    <t>强芮</t>
  </si>
  <si>
    <t>苏波</t>
  </si>
  <si>
    <t>蒲佳燕</t>
  </si>
  <si>
    <t>吴玉龙</t>
  </si>
  <si>
    <t>肖文君</t>
  </si>
  <si>
    <t>邓发</t>
  </si>
  <si>
    <t>谢立新</t>
  </si>
  <si>
    <t>张海平</t>
  </si>
  <si>
    <t>李佳2</t>
  </si>
  <si>
    <t>贾小杨</t>
  </si>
  <si>
    <t>贾润</t>
  </si>
  <si>
    <t>敖之美</t>
  </si>
  <si>
    <t>田荣</t>
  </si>
  <si>
    <t>李恒2</t>
  </si>
  <si>
    <t>张杰</t>
  </si>
  <si>
    <t>《目标与梦想》</t>
  </si>
  <si>
    <t>李熙</t>
  </si>
  <si>
    <t>邱卿</t>
  </si>
  <si>
    <t>陈敏</t>
  </si>
  <si>
    <t>陈雪莲</t>
  </si>
  <si>
    <t>杨星</t>
  </si>
  <si>
    <t>河北办公室</t>
  </si>
  <si>
    <t>梁一丹</t>
  </si>
  <si>
    <t>河南办公室</t>
  </si>
  <si>
    <t>何承莲</t>
  </si>
  <si>
    <t>02013</t>
  </si>
  <si>
    <t>人资行政部</t>
  </si>
  <si>
    <t>人事专员</t>
  </si>
  <si>
    <t>孙敏</t>
  </si>
  <si>
    <t>赵旭升</t>
  </si>
  <si>
    <t>石丹</t>
  </si>
  <si>
    <t>唐伟</t>
  </si>
  <si>
    <t>杨婷婷</t>
  </si>
  <si>
    <t>何松键</t>
  </si>
  <si>
    <t>王强3</t>
  </si>
  <si>
    <t>米东</t>
  </si>
  <si>
    <t>邱洋</t>
  </si>
  <si>
    <t>谢明森</t>
  </si>
  <si>
    <t>何娜</t>
  </si>
  <si>
    <t>陈国钊</t>
  </si>
  <si>
    <t>傅成艳</t>
  </si>
  <si>
    <t>刘从伟</t>
  </si>
  <si>
    <t>林超兰</t>
  </si>
  <si>
    <t>罗成</t>
  </si>
  <si>
    <t>郑肖巧</t>
  </si>
  <si>
    <t>李帅2</t>
  </si>
  <si>
    <t>《营业部》维度的参训率（1-3月）</t>
  </si>
  <si>
    <t>部长姓名</t>
  </si>
  <si>
    <t>应参训人次</t>
  </si>
  <si>
    <t>实际参训人次</t>
  </si>
  <si>
    <t>参训率</t>
  </si>
  <si>
    <t>总经办</t>
  </si>
  <si>
    <t>川北</t>
  </si>
  <si>
    <t>川南</t>
  </si>
  <si>
    <t>川西</t>
  </si>
  <si>
    <t>川东</t>
  </si>
  <si>
    <t>《分公司》维度的参训率（1-3月）</t>
  </si>
  <si>
    <t>《课程名称》维度的参训明细（主表）1-3月</t>
  </si>
  <si>
    <t>直系上级</t>
  </si>
  <si>
    <t>授课类型</t>
  </si>
  <si>
    <t>安芮内蒙古</t>
  </si>
  <si>
    <t>张宗铭湖北</t>
  </si>
  <si>
    <t>彭停山西</t>
  </si>
  <si>
    <t>蒲建宇山东</t>
  </si>
  <si>
    <t>韦霞河北</t>
  </si>
  <si>
    <t>蔺小燕湖北</t>
  </si>
  <si>
    <t>吴江平山东</t>
  </si>
  <si>
    <t>杨唐山东</t>
  </si>
  <si>
    <t>孙科辽宁</t>
  </si>
  <si>
    <t>黄磊湖南</t>
  </si>
  <si>
    <t>韩旭河北</t>
  </si>
  <si>
    <t>张萍河南</t>
  </si>
  <si>
    <t>吴明银</t>
  </si>
  <si>
    <t>王辉甘肃</t>
  </si>
  <si>
    <t>吕涛内蒙古</t>
  </si>
  <si>
    <t>陈东2河北</t>
  </si>
  <si>
    <t>招聘部</t>
  </si>
  <si>
    <t>业绩增长部</t>
  </si>
  <si>
    <t>设计部</t>
  </si>
  <si>
    <t>培训部</t>
  </si>
  <si>
    <t>督导部</t>
  </si>
  <si>
    <t>湖北拓展部</t>
  </si>
  <si>
    <t>内蒙古拓展部</t>
  </si>
  <si>
    <t>陕西拓展部</t>
  </si>
  <si>
    <t>西南拓展中心</t>
  </si>
  <si>
    <t>职能总部</t>
  </si>
  <si>
    <t>集团职能</t>
  </si>
  <si>
    <t>《授课类型》维度的参训明细（1-3月）</t>
  </si>
  <si>
    <t>实习拓展</t>
  </si>
  <si>
    <t>各类培训类型参训率（人数为维度）1-3月</t>
  </si>
  <si>
    <t>应参训人数</t>
  </si>
  <si>
    <t>实到人数</t>
  </si>
  <si>
    <t>经理团队项目话术通关明细</t>
  </si>
  <si>
    <t>年份</t>
  </si>
  <si>
    <t>项目人数</t>
  </si>
  <si>
    <t>通关时间</t>
  </si>
  <si>
    <t>南充阳光临江邸</t>
  </si>
  <si>
    <t>金房生活艺术城第2场次</t>
  </si>
  <si>
    <t>凯鑫华府</t>
  </si>
  <si>
    <t>眉山市滨江翡翠龙湾A区第3场次</t>
  </si>
  <si>
    <t>宜宾江安县名都丽景</t>
  </si>
  <si>
    <t>澄波湖7号第1场次</t>
  </si>
  <si>
    <t>蜀镇锦悦府</t>
  </si>
  <si>
    <t>汇龙苑第1场次</t>
  </si>
  <si>
    <t>东邦棠宁府</t>
  </si>
  <si>
    <t>金雁欧城联邦一二期</t>
  </si>
  <si>
    <t>金雁欧城联邦五六期</t>
  </si>
  <si>
    <t>希望未来城一期（星悦城）</t>
  </si>
  <si>
    <t>康斯丹郡</t>
  </si>
  <si>
    <t>顺卖</t>
  </si>
  <si>
    <t>武胜安泰凤凰城</t>
  </si>
  <si>
    <t>南充兴业香槟尚城</t>
  </si>
  <si>
    <t>大张萍</t>
  </si>
  <si>
    <t>武胜安泰幸福里</t>
  </si>
  <si>
    <t>营山永康丽都国际第1场次</t>
  </si>
  <si>
    <t>香楠国际</t>
  </si>
  <si>
    <t>领地凤鸣蘭台</t>
  </si>
  <si>
    <t>江夏区滨湖壹号</t>
  </si>
  <si>
    <t>华邦天悦华府</t>
  </si>
  <si>
    <t>雄飞北尚广场第1场次</t>
  </si>
  <si>
    <t>西安华府西城港湾</t>
  </si>
  <si>
    <t>遂宁云辰国际第1场次</t>
  </si>
  <si>
    <t>夏富阳</t>
  </si>
  <si>
    <t>绵阳万为玺园</t>
  </si>
  <si>
    <t>树高香漫华庭B区（卡地亚）第4场次</t>
  </si>
  <si>
    <t>海德花园第1场次</t>
  </si>
  <si>
    <t>雅居乐兰台府</t>
  </si>
  <si>
    <t>千山美岸第1场次</t>
  </si>
  <si>
    <t>博翔誉峰</t>
  </si>
  <si>
    <t>金坤苑（欧莱雅郡西区）</t>
  </si>
  <si>
    <t>御府揽岳阁</t>
  </si>
  <si>
    <t>梓潼水岸花都第1场次</t>
  </si>
  <si>
    <t>乐山阳光青江壹号</t>
  </si>
  <si>
    <t>阳光临江邸二区</t>
  </si>
  <si>
    <t>德康天子湖</t>
  </si>
  <si>
    <t>中铁骑士府邸</t>
  </si>
  <si>
    <t>缤纷时代第1场次</t>
  </si>
  <si>
    <t>乐山领丰嘉州外滩第1场次</t>
  </si>
  <si>
    <t>宏博楿滨城</t>
  </si>
  <si>
    <t>南源丽都</t>
  </si>
  <si>
    <t>新人试岗＋转正数据+项目话术汇总</t>
  </si>
  <si>
    <t>试岗通关
（实际人数）</t>
  </si>
  <si>
    <t>试岗通关
（淘汰人数）</t>
  </si>
  <si>
    <t>试岗淘汰率</t>
  </si>
  <si>
    <t>转正通关
（通过人数）</t>
  </si>
  <si>
    <t>项目话术通关
（通关个数）</t>
  </si>
  <si>
    <t>汇总</t>
  </si>
  <si>
    <t>2026年1-2月新人试岗通关明细</t>
  </si>
  <si>
    <t>时间</t>
  </si>
  <si>
    <t>试岗人员姓名</t>
  </si>
  <si>
    <t>性别</t>
  </si>
  <si>
    <t>年龄</t>
  </si>
  <si>
    <r>
      <rPr>
        <b/>
        <sz val="12"/>
        <color rgb="FFFFFFFF"/>
        <rFont val="微软雅黑"/>
        <charset val="134"/>
      </rPr>
      <t>渠道</t>
    </r>
    <r>
      <rPr>
        <sz val="12"/>
        <color rgb="FFFFFFFF"/>
        <rFont val="微软雅黑"/>
        <charset val="134"/>
      </rPr>
      <t xml:space="preserve">
</t>
    </r>
    <r>
      <rPr>
        <b/>
        <sz val="12"/>
        <color rgb="FFFFFFFF"/>
        <rFont val="微软雅黑"/>
        <charset val="134"/>
      </rPr>
      <t>（内推/外招）</t>
    </r>
  </si>
  <si>
    <t>招聘负责人</t>
  </si>
  <si>
    <t>通关方式（线上/线下）</t>
  </si>
  <si>
    <t>通关人</t>
  </si>
  <si>
    <t>项目经理姓名</t>
  </si>
  <si>
    <t>经理通关打分</t>
  </si>
  <si>
    <t>试岗项目</t>
  </si>
  <si>
    <t>通关分数</t>
  </si>
  <si>
    <t>通关状态</t>
  </si>
  <si>
    <t>入职日期</t>
  </si>
  <si>
    <t>就职状态</t>
  </si>
  <si>
    <t>离职日期</t>
  </si>
  <si>
    <t>所差资料</t>
  </si>
  <si>
    <t>师傅姓名</t>
  </si>
  <si>
    <t>师傅带教情况</t>
  </si>
  <si>
    <t>其他通关情况备注</t>
  </si>
  <si>
    <t>2026.1.4</t>
  </si>
  <si>
    <t>男</t>
  </si>
  <si>
    <t>校招</t>
  </si>
  <si>
    <t>唐雨星</t>
  </si>
  <si>
    <t>夏明珠</t>
  </si>
  <si>
    <t>湖景新外滩</t>
  </si>
  <si>
    <t>通过</t>
  </si>
  <si>
    <t>正常带教</t>
  </si>
  <si>
    <t>话术有点生硬，抗性话术没有说服力，到现场接待的时候抗性话术都没有说，业主说要回去考虑一下，就直接放业主回去考虑了
跟进总沟通，留下这个人</t>
  </si>
  <si>
    <t>蒋宇</t>
  </si>
  <si>
    <t>外招</t>
  </si>
  <si>
    <t>翁碧霞</t>
  </si>
  <si>
    <t>创发城</t>
  </si>
  <si>
    <t>抗性话术具有说服力，按照业主的真实类型进行抗性回应，但是小区的稀缺性表达得很少，业主有什么抗性就回答什么抗性，
不会提前给业主制造没有车位的焦虑</t>
  </si>
  <si>
    <t>西南</t>
  </si>
  <si>
    <t>2026.1.5</t>
  </si>
  <si>
    <t>女</t>
  </si>
  <si>
    <t>内推</t>
  </si>
  <si>
    <t>李鑫</t>
  </si>
  <si>
    <t>美城云庭</t>
  </si>
  <si>
    <t>一天只演练两次，
其他时间都在看六脉神剑</t>
  </si>
  <si>
    <t>话术技巧性不强，但是可以正常应对业主抗性只是说服力一般，业主拒绝多次以后就比较容易放弃容易放弃</t>
  </si>
  <si>
    <t>谭琴</t>
  </si>
  <si>
    <t>灏景泊岸森邻</t>
  </si>
  <si>
    <t>抗性话术有点差，会应对的点有点少，不过灵活性还不错，但是业主拒绝很多次的话也会比较容易放弃</t>
  </si>
  <si>
    <t>锦江华府</t>
  </si>
  <si>
    <t>话术声情并茂，抗性回答说服力强不错</t>
  </si>
  <si>
    <t>销售风格落落大方，话术自然流畅，但是话术技巧性抗性话术有点欠缺</t>
  </si>
  <si>
    <t>2026.1.6</t>
  </si>
  <si>
    <t>通关这天已经是第七天了，学习有点久</t>
  </si>
  <si>
    <t>话术流畅，语气很有激情，正常简单的话术是没有问题的，就是遇到刁难的业主缺乏专业知识，抗性回答说服力一般</t>
  </si>
  <si>
    <t>2026.1.8</t>
  </si>
  <si>
    <t>恒茂国际都会</t>
  </si>
  <si>
    <t>学的第二天，经理最近
都没空，大多是师傅给过了一遍话术</t>
  </si>
  <si>
    <t>抗性话术：抗性话术没问题，逻辑思维也可以，但是就是个别点的话术不够闭环，说服力不强，比较普通
流程问题：现场接待的流程不对（带看直接从地下室接业主，说河北现在冷，都是从地下室接待业主），业主信息挖掘不够（自己很少挖掘，全靠业主输出），车位介绍简单（没介绍车位号，没输出车位卖点），
通关评价：做了很多年的车位销售，自认为很懂，没有空杯心态</t>
  </si>
  <si>
    <t>话术流畅，抗性话术没有太大的问题，但是现场接待的时候业主拒绝太多次就不太会坚持，并且话术技巧性还要再提升一下</t>
  </si>
  <si>
    <t>卢思琴</t>
  </si>
  <si>
    <t>中国铁建·东来尚城</t>
  </si>
  <si>
    <t>脑子很灵活，话术很灵敏，会举一反三，但是技巧性的话术储备量还是太少了
没有有意识的主动去挖掘业主信息，价格拉扯的时候有点被业主带着跑</t>
  </si>
  <si>
    <t>吴中敬</t>
  </si>
  <si>
    <t>财富又一城</t>
  </si>
  <si>
    <t>淘汰</t>
  </si>
  <si>
    <t>语气：太平了，没有任何的高低起伏
抗性话术：现场接待通关前我已经把客户类型说得很清楚了，但是抗性话术没有一个说到点上面，说服我，
淘汰原因：抗性话术太差了，一个点都说服不了人</t>
  </si>
  <si>
    <t>2026.1.9</t>
  </si>
  <si>
    <t>阳光书香九里</t>
  </si>
  <si>
    <t>话术储备量比较多，没有问题，但是话术更多是单向沟通，一直输出话术，没有得到业主的反馈</t>
  </si>
  <si>
    <t>任杰</t>
  </si>
  <si>
    <t>抗性话术：真的差，一个抗性都解决不了，销售紧张感没有传递，其他的就没什么说的了，需求挖掘也很少，几乎没有
通关评价：经理建议淘汰，实际通关当中抗性回答真的差，不知道小区车位的优势，只记住了小区的劣势</t>
  </si>
  <si>
    <t>刘艳</t>
  </si>
  <si>
    <t>同森锦熙一二三四期</t>
  </si>
  <si>
    <t>需求挖掘：没有挖掘业主的需求，全靠业主自己说
异议处理：不灵活，话术一听就是死记硬背的，抗性话术跟业主强关联性不大，说服力强
价格释放：没有价格释放的环节，直接报的优惠以后的价格
话术评价：话术很简单，针对业主的抗性没有说服力，跟经理沟通，话术也是刚刚过的程度</t>
  </si>
  <si>
    <t>2026.1.12</t>
  </si>
  <si>
    <t>游月</t>
  </si>
  <si>
    <t>就掌灯</t>
  </si>
  <si>
    <t>1、形象，状态很好，亲和力高；2、过程中对于反馈有做记录；3、小区数据在话术运用中很薄弱，没有强相关；4、话术灵活，不死板，需求挖掘演练中不全，单独问可以回答上；</t>
  </si>
  <si>
    <t>话术没有问题，语气语态有紧迫的氛围感，但是话术不够深入，停留在表面，</t>
  </si>
  <si>
    <t>付康</t>
  </si>
  <si>
    <t>通关时了解到：
1、贷款资料费不清楚；</t>
  </si>
  <si>
    <t>1、客户需求挖掘不足，7个问题，4板斧单独抽问，回答不全；2、优惠介绍错误，第一次算价关于5年管理费直接给业主介绍时抹掉，解释不清楚；业主按照落位単自己算成交价差4200（5年管理费）；3、2笔刷解释信任度不足</t>
  </si>
  <si>
    <t>话术逻辑还是有，痛点打击，流畅，不卡壳，但是就是缺乏一点狠的逼定类型的技巧性话术</t>
  </si>
  <si>
    <t>2026.1.13</t>
  </si>
  <si>
    <t>珠江御景湾</t>
  </si>
  <si>
    <t>通关时了解到：
1、师傅带教说可以在地下室直接算价格</t>
  </si>
  <si>
    <t>1、话术整体流畅合格，有意识让业主交小定，一直不放价格持续游说客户；2、话术中有自己的思考，但是由于经验不足的原因，没办法把话术说的很灵活，看得出来有去背诵话术。逼定方面没有太结合业主情况进行挤压。</t>
  </si>
  <si>
    <t>2026.1.14</t>
  </si>
  <si>
    <t>谷起</t>
  </si>
  <si>
    <t>建宏山水福都</t>
  </si>
  <si>
    <t>抗性话术：话术逻辑是有的，但是整个抗性话术抓不住重点，并且已经把业主类型说得很明白了，话术还是没有强关联性，
说话很拖，很慢
逼定四板斧：我单独问的，可以说，但是都是废话，没有说服力</t>
  </si>
  <si>
    <t>2026.1.16</t>
  </si>
  <si>
    <t>车位没有报车位号，并且全程是没有可以去挖掘业主的信息的，基本是业主自己在说，
但是抗性话术是具有说服力的，在现有的业主信息里面，可以说出针对这个的针对性话术的，</t>
  </si>
  <si>
    <t>陈沫</t>
  </si>
  <si>
    <t>抗性话术：找不到业主的抗性是什么，抗性话术也说不出来，说话没头绪，阐述问题找不到重点
通关点评：通关话术的时候放不开，不管业主什么类型，就是话术就随便说的，跟这个业主有没有关系也不管</t>
  </si>
  <si>
    <t>2026.1.20</t>
  </si>
  <si>
    <t>夏明珠
游月</t>
  </si>
  <si>
    <t>润景园（上园）</t>
  </si>
  <si>
    <t>89/ 90</t>
  </si>
  <si>
    <t>淘汰
第二次通过</t>
  </si>
  <si>
    <t>资料都没有，原因是项目刚接手，
都还没做这些东西</t>
  </si>
  <si>
    <t>项目因为刚进场，
所以只有背六脉神剑的话术，项目的抗性跟卖点不太了解</t>
  </si>
  <si>
    <t>好的点：业主痛点打击比较很有针对性，抨击业主，业主对价格有抗性，进行价格对比，提高业主心理预期，会夸奖业主，给予业主情绪价值
待提升点：抗性话术大多是万能公式话术，跟业主强关键性低，说服力不强，没有根据业主的自身情况结合小区卖点进行话术逼定，逼定四板弗，我是单独问的，不知道是没理解到还是怎么地，说不到重点，没有任何说服力，跟业主没有强关联性</t>
  </si>
  <si>
    <t>2026.1.23</t>
  </si>
  <si>
    <t>张迪丰</t>
  </si>
  <si>
    <t>抗性话术：没有说服力，并且对于业主的抗性，答非所问，抓不住重点，想到什么说什么，也不管业主什么样的态度
逻辑思维：会比较乱，没有先后顺序，想到什么说什么，</t>
  </si>
  <si>
    <t>杨曼</t>
  </si>
  <si>
    <t>没有新能源知识单</t>
  </si>
  <si>
    <t>说师傅没有具体给
她讲过逼定四板斧</t>
  </si>
  <si>
    <t>逼定四板斧：一个个问的，不能灵活的使用四板斧，并且，我问竞买挤压懂不起这个意思，说师傅没给她说
抗性话术：痛点输出很不错，但是没有输出小区稀缺性，没有使用数据的习惯
总体评估：话术说着说着就卡壳，说话反应有点慢，没有技巧性，</t>
  </si>
  <si>
    <t>2026.1.24</t>
  </si>
  <si>
    <t>空港云尚花园</t>
  </si>
  <si>
    <t>思路逻辑清楚，话术没有问题，但是跟业主的沟通大多是单方向的沟通，很少跟业主进行沟通</t>
  </si>
  <si>
    <t>2026.1.26</t>
  </si>
  <si>
    <t>殷俊</t>
  </si>
  <si>
    <t>爵士湘</t>
  </si>
  <si>
    <t>抗性话术：没有什么说服力，常用就是“挺优惠的，买一个吧”，输出不了其他的抗性话术，话术库有限，但是也学了5天了
总体评估：跨行，以前不是做销售的，学了五天抗性话术输出也很有限，</t>
  </si>
  <si>
    <t>2026.1.27</t>
  </si>
  <si>
    <t>铜梁北京城建欧陆经典</t>
  </si>
  <si>
    <t>针对话术技巧性不够，只是可以说出一个观点，解释话术没有说的意识，
但是在现有的话术知识储备上整体说得还是有一定的说服力的</t>
  </si>
  <si>
    <t>2026.1.28</t>
  </si>
  <si>
    <t>缺少新能源单</t>
  </si>
  <si>
    <t>话术没有什么太大的问题，就是习惯性单向输出话术，跟业主没有过多的沟通，话术缺少技巧性</t>
  </si>
  <si>
    <t>2026.1.29</t>
  </si>
  <si>
    <t>李恒</t>
  </si>
  <si>
    <t>话术没有问题，有说服力，但是话术技巧性不是很好</t>
  </si>
  <si>
    <t>2026.1.30</t>
  </si>
  <si>
    <t>美每家华龙城E区</t>
  </si>
  <si>
    <t>淘汰（担保入职）</t>
  </si>
  <si>
    <t>抗性话术：很紧张，话都说不清楚，抗性话术某个干点点还是可以说到，但是没有说服力，语言组织能力稍微有点欠缺</t>
  </si>
  <si>
    <t>话术可以，没有什么大问题，逻辑清楚</t>
  </si>
  <si>
    <t>话术流畅度可以，并且具有一定的说服力，但是很少跟业主有互动，对业主进行需求挖掘，业主说什么就是什么</t>
  </si>
  <si>
    <t>金欧城联邦一二期</t>
  </si>
  <si>
    <t>不知道小区交房
时间，经理也没有考核过这个方面</t>
  </si>
  <si>
    <t>抗性话术：没有说服力，不知道业主该怎么去逼定，业主多拒绝两次就放弃了
小区稀缺性几乎没表达过，被业主给问住了，没有结合小区的优势去进行逼定，导致逼定话术没有说服力
话术评估：形象气质好，但是话术一般，逼定停留表面，没有说服力</t>
  </si>
  <si>
    <t>2026.1.31</t>
  </si>
  <si>
    <t>新湖仙林金谷北区</t>
  </si>
  <si>
    <t>话术不错，逻辑贯通，思路清晰</t>
  </si>
  <si>
    <t>大竹天誉未来城</t>
  </si>
  <si>
    <t>话术可以正常说，并且具有说服力，就是一直说话术，很少跟业主沟通，习惯性单向沟通</t>
  </si>
  <si>
    <t>2026.2.5</t>
  </si>
  <si>
    <t>中粮悦尚锦云</t>
  </si>
  <si>
    <t>做了很多年车位销售，话术没有很大的问题，但是整体缺少狼性的逼定，有点佛系，
话术大多表达观点，没有事实数据的支撑，让话术的说服力大大降低</t>
  </si>
  <si>
    <t>2026.2.9</t>
  </si>
  <si>
    <t>西安和众曲江城阅</t>
  </si>
  <si>
    <t>师傅是经理，在带教上面
主要是团队队员在带教，试岗人员自己也在主动询问。</t>
  </si>
  <si>
    <t>做过教培销售，话术没有什么问题，但是邀约电话时语速过快，另外就是不会去挖掘业主痛点，不怎么听业主的话，没有给到针对性反馈
核心的问题师傅带教上面更多是保证人员把话术说清楚，而不是把话术说好</t>
  </si>
  <si>
    <t>基本话术框架熟悉，在过程中应对有待提升，紧张导致说词有误（车位没有说车位号，推荐的车位不知道价格）；有问业主需求，逼定过程中
有针对其中一个需求-新能源进行逼定</t>
  </si>
  <si>
    <t>付启豪</t>
  </si>
  <si>
    <t>未通过</t>
  </si>
  <si>
    <t>学员反馈师傅师傅比较忙，经理也有通关
但是是片段性的，有流程性的知识点是不清楚的。师傅及经理这边反馈主要是带教了，学员吸收能力弱</t>
  </si>
  <si>
    <t>做过面销；电话邀约声音状态不够，太过于疲惫；带看的时候没有给业主说车位号，并且在地下室就已经报价；流程上的内容部分缺失；六脉内容部分不熟悉。七个问题说不全</t>
  </si>
  <si>
    <t>2026.2.10</t>
  </si>
  <si>
    <t>田震</t>
  </si>
  <si>
    <t>话术比较流畅，演练过程中感受到有销售经验，互动有注意听业主的反馈。但是在做异议处理时针对业主抗性时举的例子过于刻意，抗性处理没有结合已知的小区基础情况（
只卖不租，外围道路已交付）进行卖点输出和放大业主未来停车选择局限且成本高的痛点。整个流程有小瑕疵（未问到业主本次买车位的原因，报价前未确认喜好车位），逼定四板斧中竞买挤压和成本计算未涉及到，业主明确拒绝按揭的情况下依然尝试给业主推荐按揭，没有太顾虑业主的情绪</t>
  </si>
  <si>
    <t>力扬时代</t>
  </si>
  <si>
    <t>亲和力很强，应对灵活看的出来过往销售经验丰富。在通关中
有流程性的错误（不介绍车位号、地下室直接报成交价格）</t>
  </si>
  <si>
    <t>2026.2.12</t>
  </si>
  <si>
    <t>包彩霞</t>
  </si>
  <si>
    <t>周思鸿</t>
  </si>
  <si>
    <t>学员认为师傅正常带教结束，但是学员流程方面的问题很大</t>
  </si>
  <si>
    <t>有点紧张，亲和力强；流程性错误：带看流程未介绍车位号，车位情况；接待流程跳过了销控图直接带往地下室；报价是在地下室报价；喜欢和业主对抗并且没有根据业主的抗性和回答做出反馈，业主反复提到不喜欢新能源不打算换新能源，学员依旧不停提新能源。</t>
  </si>
  <si>
    <t>鹭岛国际</t>
  </si>
  <si>
    <t>通关</t>
  </si>
  <si>
    <t>张鹏</t>
  </si>
  <si>
    <t>演练过程亲和力强，整体流程较为规范化，熟悉基本话术框架，演练过程中可以感受到一定的销售经验，互动聆听业主的需求及反馈。针对业主砍价问题，应结合产品情况回复（包括但不限于小区具体情况、车位情况、业主实时需求反馈等）</t>
  </si>
  <si>
    <t>2026.2.28</t>
  </si>
  <si>
    <t>黄雪茹</t>
  </si>
  <si>
    <t>华润置地青岛润府</t>
  </si>
  <si>
    <t>罗瑶</t>
  </si>
  <si>
    <t>演练过程灵活、亲和力强，整体流程较为规范化，熟悉基本话术框架，演练过程中可以感受到一定的销售经验，互动聆听业主的需求及反馈。针对业主还可加大挖掘力度，缺少一定的数据支撑，业主反复提及资金不足时，应结合业主实际情况理性推销购买第二个车位</t>
  </si>
  <si>
    <t>2026年转正通关明细（做表日期一个月更新一次）</t>
  </si>
  <si>
    <t>姓名</t>
  </si>
  <si>
    <t>公司</t>
  </si>
  <si>
    <t>职务</t>
  </si>
  <si>
    <t>是否在职</t>
  </si>
  <si>
    <t>做表日期</t>
  </si>
  <si>
    <t>在职时长(月)</t>
  </si>
  <si>
    <t>六脉考试日期</t>
  </si>
  <si>
    <t>是否通过</t>
  </si>
  <si>
    <t>转正日期</t>
  </si>
  <si>
    <t>转正时常(月）</t>
  </si>
  <si>
    <t>备注</t>
  </si>
  <si>
    <t>01921</t>
  </si>
  <si>
    <t>在职</t>
  </si>
  <si>
    <t>01920</t>
  </si>
  <si>
    <t>01919</t>
  </si>
  <si>
    <t>陈兴银</t>
  </si>
  <si>
    <t>01888</t>
  </si>
  <si>
    <t>周光泚</t>
  </si>
  <si>
    <t>01877</t>
  </si>
  <si>
    <t>程钦</t>
  </si>
  <si>
    <t>01847</t>
  </si>
  <si>
    <t>01916</t>
  </si>
  <si>
    <t>周耀纯</t>
  </si>
  <si>
    <t>01890</t>
  </si>
  <si>
    <t>李沁</t>
  </si>
  <si>
    <t>01865</t>
  </si>
  <si>
    <t>郑仪</t>
  </si>
  <si>
    <t>01831</t>
  </si>
  <si>
    <t>但佳佳</t>
  </si>
  <si>
    <t>01859</t>
  </si>
  <si>
    <t>陈星</t>
  </si>
  <si>
    <t>01857</t>
  </si>
  <si>
    <t>龚梦勤</t>
  </si>
  <si>
    <t>01858</t>
  </si>
  <si>
    <t>吕亚美</t>
  </si>
  <si>
    <t>01861</t>
  </si>
  <si>
    <t>01850</t>
  </si>
  <si>
    <t>已通过</t>
  </si>
  <si>
    <t>曹誉磊</t>
  </si>
  <si>
    <t>01852</t>
  </si>
  <si>
    <t>01849</t>
  </si>
  <si>
    <t>吴俊芳</t>
  </si>
  <si>
    <t>01851</t>
  </si>
  <si>
    <t>杨晓</t>
  </si>
  <si>
    <t>01846</t>
  </si>
  <si>
    <t>范仕宽</t>
  </si>
  <si>
    <t>01853</t>
  </si>
  <si>
    <t>杨诗语</t>
  </si>
  <si>
    <t>01844</t>
  </si>
  <si>
    <t>王广泰</t>
  </si>
  <si>
    <t>01839</t>
  </si>
  <si>
    <t>叶秀慧</t>
  </si>
  <si>
    <t>01837</t>
  </si>
  <si>
    <t>白彬</t>
  </si>
  <si>
    <t>01828</t>
  </si>
  <si>
    <t>牟鸿立</t>
  </si>
  <si>
    <t>01830</t>
  </si>
  <si>
    <t>郭伟</t>
  </si>
  <si>
    <t>01782</t>
  </si>
  <si>
    <t>胡月2</t>
  </si>
  <si>
    <t>01840</t>
  </si>
  <si>
    <t>章小康</t>
  </si>
  <si>
    <t>01838</t>
  </si>
  <si>
    <t>李强3</t>
  </si>
  <si>
    <t>01833</t>
  </si>
  <si>
    <t>01824</t>
  </si>
  <si>
    <t>费玲玲</t>
  </si>
  <si>
    <t>01820</t>
  </si>
  <si>
    <t>郭希鹏</t>
  </si>
  <si>
    <t>01819</t>
  </si>
  <si>
    <t>杜文博</t>
  </si>
  <si>
    <t>01823</t>
  </si>
  <si>
    <t>陈超3</t>
  </si>
  <si>
    <t>01822</t>
  </si>
  <si>
    <t>丁洁</t>
  </si>
  <si>
    <t>01816</t>
  </si>
  <si>
    <t>李帅</t>
  </si>
  <si>
    <t>01842</t>
  </si>
  <si>
    <t>01274</t>
  </si>
  <si>
    <t>01814</t>
  </si>
  <si>
    <t>刘涛</t>
  </si>
  <si>
    <t>01810</t>
  </si>
  <si>
    <t>杜丽娜</t>
  </si>
  <si>
    <t>01813</t>
  </si>
  <si>
    <t>吴志虎山西</t>
  </si>
  <si>
    <t>谷凤苹</t>
  </si>
  <si>
    <t>01811</t>
  </si>
  <si>
    <t>李思雨</t>
  </si>
  <si>
    <t>01806</t>
  </si>
  <si>
    <t>黄佳宇</t>
  </si>
  <si>
    <t>01812</t>
  </si>
  <si>
    <t>李青青</t>
  </si>
  <si>
    <t>01809</t>
  </si>
  <si>
    <t>雷单</t>
  </si>
  <si>
    <t>01805</t>
  </si>
  <si>
    <t>徐子康湖南</t>
  </si>
  <si>
    <t>侯萌萌</t>
  </si>
  <si>
    <t>01802</t>
  </si>
  <si>
    <t>王建平</t>
  </si>
  <si>
    <t>01803</t>
  </si>
  <si>
    <t>蒲家智</t>
  </si>
  <si>
    <t>01798</t>
  </si>
  <si>
    <t>翟亚飞</t>
  </si>
  <si>
    <t>01807</t>
  </si>
  <si>
    <t>崔建伟</t>
  </si>
  <si>
    <t>01797</t>
  </si>
  <si>
    <t>陶克英</t>
  </si>
  <si>
    <t>01789</t>
  </si>
  <si>
    <t>王勇</t>
  </si>
  <si>
    <t>01227</t>
  </si>
  <si>
    <t>丁聪</t>
  </si>
  <si>
    <t>01786</t>
  </si>
  <si>
    <t>段帆</t>
  </si>
  <si>
    <t>01783</t>
  </si>
  <si>
    <t>廖东</t>
  </si>
  <si>
    <t>01784</t>
  </si>
  <si>
    <t>杨富浩</t>
  </si>
  <si>
    <t>01779</t>
  </si>
  <si>
    <t>01785</t>
  </si>
  <si>
    <t>张合元</t>
  </si>
  <si>
    <t>01780</t>
  </si>
  <si>
    <t>王波</t>
  </si>
  <si>
    <t>01774</t>
  </si>
  <si>
    <t>何晓</t>
  </si>
  <si>
    <t>01778</t>
  </si>
  <si>
    <t>卢泽平</t>
  </si>
  <si>
    <t>01775</t>
  </si>
  <si>
    <t>李艺芳</t>
  </si>
  <si>
    <t>01777</t>
  </si>
  <si>
    <t>01770</t>
  </si>
  <si>
    <t>陈妍君</t>
  </si>
  <si>
    <t>01768</t>
  </si>
  <si>
    <t>郭强4</t>
  </si>
  <si>
    <t>01771</t>
  </si>
  <si>
    <t>巴甜甜</t>
  </si>
  <si>
    <t>01760</t>
  </si>
  <si>
    <t>杨朝闻</t>
  </si>
  <si>
    <t>01759</t>
  </si>
  <si>
    <t>钟俊</t>
  </si>
  <si>
    <t>01712</t>
  </si>
  <si>
    <t>周悦昭</t>
  </si>
  <si>
    <t>01755</t>
  </si>
  <si>
    <t>吕梦月</t>
  </si>
  <si>
    <t>01752</t>
  </si>
  <si>
    <t>何庆</t>
  </si>
  <si>
    <t>01750</t>
  </si>
  <si>
    <t>邱炬淞</t>
  </si>
  <si>
    <t>01757</t>
  </si>
  <si>
    <t>周宗娥</t>
  </si>
  <si>
    <t>01749</t>
  </si>
  <si>
    <t>刘佳秋</t>
  </si>
  <si>
    <t>01743</t>
  </si>
  <si>
    <t>王博凯</t>
  </si>
  <si>
    <t>01747</t>
  </si>
  <si>
    <t>王莹</t>
  </si>
  <si>
    <t>01748</t>
  </si>
  <si>
    <t>代宇龙</t>
  </si>
  <si>
    <t>01744</t>
  </si>
  <si>
    <t>01740</t>
  </si>
  <si>
    <t>徐宇顺</t>
  </si>
  <si>
    <t>01745</t>
  </si>
  <si>
    <t>01729</t>
  </si>
  <si>
    <t>01732</t>
  </si>
  <si>
    <t>01739</t>
  </si>
  <si>
    <t>01735</t>
  </si>
  <si>
    <t>赵红宇</t>
  </si>
  <si>
    <t>01728</t>
  </si>
  <si>
    <t>曾渝轩</t>
  </si>
  <si>
    <t>00462</t>
  </si>
  <si>
    <t>01736</t>
  </si>
  <si>
    <t>张拓</t>
  </si>
  <si>
    <t>01725</t>
  </si>
  <si>
    <t>01726</t>
  </si>
  <si>
    <t>01724</t>
  </si>
  <si>
    <t>01720</t>
  </si>
  <si>
    <t>01719</t>
  </si>
  <si>
    <t>路俊亮</t>
  </si>
  <si>
    <t>01718</t>
  </si>
  <si>
    <t>周吉双河南</t>
  </si>
  <si>
    <t>徐林</t>
  </si>
  <si>
    <t>01714</t>
  </si>
  <si>
    <t>01710</t>
  </si>
  <si>
    <t>王志红</t>
  </si>
  <si>
    <t>01715</t>
  </si>
  <si>
    <t>01704</t>
  </si>
  <si>
    <t>01699</t>
  </si>
  <si>
    <t>张泽坤</t>
  </si>
  <si>
    <t>01697</t>
  </si>
  <si>
    <t>何岷江</t>
  </si>
  <si>
    <t>01672</t>
  </si>
  <si>
    <t>汪强</t>
  </si>
  <si>
    <t>01694</t>
  </si>
  <si>
    <t>01692</t>
  </si>
  <si>
    <t>01685</t>
  </si>
  <si>
    <t>01680</t>
  </si>
  <si>
    <t>艾林山西</t>
  </si>
  <si>
    <t>01679</t>
  </si>
  <si>
    <t>01683</t>
  </si>
  <si>
    <t>01675</t>
  </si>
  <si>
    <t>曾余鑫</t>
  </si>
  <si>
    <t>01662</t>
  </si>
  <si>
    <t>01650</t>
  </si>
  <si>
    <t>张文祥</t>
  </si>
  <si>
    <t>01649</t>
  </si>
  <si>
    <t>01646</t>
  </si>
  <si>
    <t>01631</t>
  </si>
  <si>
    <t>章勤</t>
  </si>
  <si>
    <t>01643</t>
  </si>
  <si>
    <t>01626</t>
  </si>
  <si>
    <t>许柯</t>
  </si>
  <si>
    <t>01624</t>
  </si>
  <si>
    <t>曾束鹏</t>
  </si>
  <si>
    <t>01612</t>
  </si>
  <si>
    <t>01620</t>
  </si>
  <si>
    <t>黄赛博</t>
  </si>
  <si>
    <t>01605</t>
  </si>
  <si>
    <t>杨哲</t>
  </si>
  <si>
    <t>01596</t>
  </si>
  <si>
    <t>周帅</t>
  </si>
  <si>
    <t>01588</t>
  </si>
  <si>
    <t>01573</t>
  </si>
  <si>
    <t>01589</t>
  </si>
  <si>
    <t>汤茗棵</t>
  </si>
  <si>
    <t>01583</t>
  </si>
  <si>
    <t>杜志国</t>
  </si>
  <si>
    <t>01549</t>
  </si>
  <si>
    <t>张强2</t>
  </si>
  <si>
    <t>01550</t>
  </si>
  <si>
    <t>陈立新</t>
  </si>
  <si>
    <t>01548</t>
  </si>
  <si>
    <t>01545</t>
  </si>
  <si>
    <t>01531</t>
  </si>
  <si>
    <t>李嘉恒</t>
  </si>
  <si>
    <t>01490</t>
  </si>
  <si>
    <t>01489</t>
  </si>
  <si>
    <t>方倩倩</t>
  </si>
  <si>
    <t>01473</t>
  </si>
  <si>
    <t>任中翼</t>
  </si>
  <si>
    <t>01804</t>
  </si>
  <si>
    <t>暂定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</si>
</sst>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yyyy/m/d;@"/>
    <numFmt numFmtId="178" formatCode="0_ "/>
    <numFmt numFmtId="179" formatCode="h:mm;@"/>
    <numFmt numFmtId="180" formatCode="m&quot;月&quot;d&quot;日&quot;;@"/>
    <numFmt numFmtId="181" formatCode="0.0%"/>
    <numFmt numFmtId="182" formatCode="0.00_ "/>
  </numFmts>
  <fonts count="49">
    <font>
      <sz val="11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sz val="14"/>
      <color theme="1"/>
      <name val="微软雅黑"/>
      <charset val="134"/>
    </font>
    <font>
      <b/>
      <sz val="12"/>
      <color theme="0"/>
      <name val="微软雅黑"/>
      <charset val="134"/>
    </font>
    <font>
      <b/>
      <sz val="12"/>
      <color theme="1"/>
      <name val="微软雅黑"/>
      <charset val="134"/>
    </font>
    <font>
      <sz val="10"/>
      <color indexed="8"/>
      <name val="微软雅黑"/>
      <charset val="134"/>
    </font>
    <font>
      <sz val="11"/>
      <color theme="1"/>
      <name val="微软雅黑"/>
      <charset val="134"/>
    </font>
    <font>
      <sz val="9"/>
      <color theme="1"/>
      <name val="微软雅黑"/>
      <charset val="134"/>
    </font>
    <font>
      <b/>
      <sz val="12"/>
      <color rgb="FFFFFFFF"/>
      <name val="微软雅黑"/>
      <charset val="134"/>
    </font>
    <font>
      <b/>
      <sz val="12"/>
      <color rgb="FF000000"/>
      <name val="微软雅黑"/>
      <charset val="134"/>
    </font>
    <font>
      <sz val="12"/>
      <color rgb="FF000000"/>
      <name val="微软雅黑"/>
      <charset val="134"/>
    </font>
    <font>
      <sz val="10"/>
      <color rgb="FF000000"/>
      <name val="微软雅黑"/>
      <charset val="134"/>
    </font>
    <font>
      <b/>
      <sz val="11"/>
      <color theme="0"/>
      <name val="微软雅黑"/>
      <charset val="134"/>
    </font>
    <font>
      <b/>
      <sz val="11"/>
      <name val="微软雅黑"/>
      <charset val="134"/>
    </font>
    <font>
      <sz val="10"/>
      <color theme="1"/>
      <name val="微软雅黑"/>
      <charset val="134"/>
    </font>
    <font>
      <b/>
      <sz val="11"/>
      <color theme="1"/>
      <name val="微软雅黑"/>
      <charset val="134"/>
    </font>
    <font>
      <sz val="10"/>
      <color theme="0"/>
      <name val="微软雅黑"/>
      <charset val="134"/>
    </font>
    <font>
      <sz val="12"/>
      <color theme="0"/>
      <name val="微软雅黑"/>
      <charset val="134"/>
    </font>
    <font>
      <sz val="11"/>
      <color indexed="8"/>
      <name val="微软雅黑"/>
      <charset val="134"/>
    </font>
    <font>
      <b/>
      <sz val="10"/>
      <color theme="1"/>
      <name val="宋体"/>
      <charset val="134"/>
      <scheme val="minor"/>
    </font>
    <font>
      <b/>
      <sz val="10"/>
      <color theme="0"/>
      <name val="微软雅黑"/>
      <charset val="134"/>
    </font>
    <font>
      <sz val="10"/>
      <color theme="1"/>
      <name val="宋体"/>
      <charset val="134"/>
      <scheme val="minor"/>
    </font>
    <font>
      <b/>
      <sz val="11"/>
      <color indexed="8"/>
      <name val="微软雅黑"/>
      <charset val="134"/>
    </font>
    <font>
      <sz val="12"/>
      <color theme="1"/>
      <name val="微软雅黑"/>
      <charset val="134"/>
    </font>
    <font>
      <b/>
      <sz val="11"/>
      <color rgb="FF000000"/>
      <name val="微软雅黑"/>
      <charset val="134"/>
    </font>
    <font>
      <sz val="10"/>
      <color rgb="FFFFFFFF"/>
      <name val="微软雅黑"/>
      <charset val="134"/>
    </font>
    <font>
      <sz val="10"/>
      <name val="微软雅黑"/>
      <charset val="134"/>
    </font>
    <font>
      <b/>
      <sz val="10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Arial"/>
      <charset val="134"/>
    </font>
    <font>
      <sz val="12"/>
      <color rgb="FFFFFFFF"/>
      <name val="微软雅黑"/>
      <charset val="134"/>
    </font>
  </fonts>
  <fills count="4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C4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69B37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16" borderId="24" applyNumberFormat="0" applyAlignment="0" applyProtection="0">
      <alignment vertical="center"/>
    </xf>
    <xf numFmtId="0" fontId="37" fillId="17" borderId="25" applyNumberFormat="0" applyAlignment="0" applyProtection="0">
      <alignment vertical="center"/>
    </xf>
    <xf numFmtId="0" fontId="38" fillId="17" borderId="24" applyNumberFormat="0" applyAlignment="0" applyProtection="0">
      <alignment vertical="center"/>
    </xf>
    <xf numFmtId="0" fontId="39" fillId="18" borderId="26" applyNumberFormat="0" applyAlignment="0" applyProtection="0">
      <alignment vertical="center"/>
    </xf>
    <xf numFmtId="0" fontId="40" fillId="0" borderId="27" applyNumberFormat="0" applyFill="0" applyAlignment="0" applyProtection="0">
      <alignment vertical="center"/>
    </xf>
    <xf numFmtId="0" fontId="41" fillId="0" borderId="28" applyNumberFormat="0" applyFill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6" fillId="43" borderId="0" applyNumberFormat="0" applyBorder="0" applyAlignment="0" applyProtection="0">
      <alignment vertical="center"/>
    </xf>
    <xf numFmtId="0" fontId="46" fillId="44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7" fillId="0" borderId="0"/>
  </cellStyleXfs>
  <cellXfs count="17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Font="1" applyBorder="1">
      <alignment vertical="center"/>
    </xf>
    <xf numFmtId="0" fontId="7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>
      <alignment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79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>
      <alignment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/>
    </xf>
    <xf numFmtId="179" fontId="10" fillId="0" borderId="4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179" fontId="10" fillId="0" borderId="2" xfId="0" applyNumberFormat="1" applyFont="1" applyBorder="1" applyAlignment="1">
      <alignment horizontal="center" vertical="center" wrapText="1"/>
    </xf>
    <xf numFmtId="0" fontId="1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9" fontId="14" fillId="0" borderId="1" xfId="3" applyNumberFormat="1" applyFont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0" fontId="15" fillId="0" borderId="1" xfId="0" applyNumberFormat="1" applyFont="1" applyBorder="1" applyAlignment="1">
      <alignment horizontal="center" vertical="center"/>
    </xf>
    <xf numFmtId="0" fontId="14" fillId="0" borderId="1" xfId="3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180" fontId="11" fillId="0" borderId="2" xfId="0" applyNumberFormat="1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180" fontId="11" fillId="0" borderId="10" xfId="0" applyNumberFormat="1" applyFont="1" applyFill="1" applyBorder="1" applyAlignment="1">
      <alignment horizontal="center" vertical="center"/>
    </xf>
    <xf numFmtId="180" fontId="11" fillId="0" borderId="4" xfId="0" applyNumberFormat="1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/>
    </xf>
    <xf numFmtId="180" fontId="11" fillId="0" borderId="13" xfId="0" applyNumberFormat="1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1" fillId="0" borderId="14" xfId="0" applyFont="1" applyFill="1" applyBorder="1" applyAlignment="1">
      <alignment horizontal="center" vertical="center"/>
    </xf>
    <xf numFmtId="180" fontId="11" fillId="0" borderId="12" xfId="0" applyNumberFormat="1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/>
    </xf>
    <xf numFmtId="0" fontId="11" fillId="0" borderId="15" xfId="0" applyFont="1" applyFill="1" applyBorder="1" applyAlignment="1">
      <alignment horizontal="center" vertical="center"/>
    </xf>
    <xf numFmtId="0" fontId="11" fillId="0" borderId="16" xfId="0" applyFont="1" applyFill="1" applyBorder="1" applyAlignment="1">
      <alignment horizontal="center" vertical="center"/>
    </xf>
    <xf numFmtId="0" fontId="11" fillId="0" borderId="13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180" fontId="11" fillId="0" borderId="17" xfId="0" applyNumberFormat="1" applyFont="1" applyFill="1" applyBorder="1" applyAlignment="1">
      <alignment horizontal="center" vertical="center"/>
    </xf>
    <xf numFmtId="180" fontId="11" fillId="0" borderId="14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14" fontId="18" fillId="0" borderId="1" xfId="0" applyNumberFormat="1" applyFont="1" applyFill="1" applyBorder="1" applyAlignment="1">
      <alignment horizontal="center" vertical="center"/>
    </xf>
    <xf numFmtId="9" fontId="6" fillId="0" borderId="1" xfId="3" applyFont="1" applyBorder="1" applyAlignment="1">
      <alignment horizontal="center" vertical="center"/>
    </xf>
    <xf numFmtId="9" fontId="14" fillId="0" borderId="1" xfId="3" applyFont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9" fontId="14" fillId="8" borderId="1" xfId="3" applyFont="1" applyFill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 wrapText="1"/>
    </xf>
    <xf numFmtId="178" fontId="6" fillId="3" borderId="1" xfId="0" applyNumberFormat="1" applyFont="1" applyFill="1" applyBorder="1" applyAlignment="1">
      <alignment horizontal="center" vertical="center" wrapText="1"/>
    </xf>
    <xf numFmtId="9" fontId="6" fillId="3" borderId="1" xfId="3" applyFont="1" applyFill="1" applyBorder="1" applyAlignment="1">
      <alignment horizontal="center" vertical="center"/>
    </xf>
    <xf numFmtId="177" fontId="14" fillId="0" borderId="1" xfId="0" applyNumberFormat="1" applyFont="1" applyBorder="1" applyAlignment="1">
      <alignment horizontal="center" vertical="center"/>
    </xf>
    <xf numFmtId="177" fontId="14" fillId="0" borderId="1" xfId="0" applyNumberFormat="1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6" fillId="9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9" fontId="6" fillId="9" borderId="1" xfId="3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9" fontId="6" fillId="0" borderId="1" xfId="3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0" fontId="2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Fill="1" applyBorder="1" applyAlignment="1">
      <alignment horizontal="center" vertical="center"/>
    </xf>
    <xf numFmtId="176" fontId="14" fillId="0" borderId="1" xfId="0" applyNumberFormat="1" applyFont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176" fontId="2" fillId="10" borderId="1" xfId="0" applyNumberFormat="1" applyFont="1" applyFill="1" applyBorder="1" applyAlignment="1">
      <alignment horizontal="center" vertical="center"/>
    </xf>
    <xf numFmtId="0" fontId="22" fillId="0" borderId="6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23" fillId="11" borderId="6" xfId="0" applyFont="1" applyFill="1" applyBorder="1" applyAlignment="1">
      <alignment horizontal="center" vertical="center"/>
    </xf>
    <xf numFmtId="176" fontId="23" fillId="11" borderId="6" xfId="0" applyNumberFormat="1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 vertical="center"/>
    </xf>
    <xf numFmtId="0" fontId="22" fillId="0" borderId="18" xfId="0" applyFont="1" applyFill="1" applyBorder="1" applyAlignment="1">
      <alignment horizontal="center" vertical="center"/>
    </xf>
    <xf numFmtId="0" fontId="22" fillId="9" borderId="1" xfId="0" applyFont="1" applyFill="1" applyBorder="1" applyAlignment="1">
      <alignment vertical="center" wrapText="1"/>
    </xf>
    <xf numFmtId="0" fontId="24" fillId="0" borderId="1" xfId="0" applyFont="1" applyFill="1" applyBorder="1" applyAlignment="1">
      <alignment vertical="center" wrapText="1"/>
    </xf>
    <xf numFmtId="0" fontId="24" fillId="8" borderId="6" xfId="0" applyFont="1" applyFill="1" applyBorder="1" applyAlignment="1">
      <alignment vertical="center" wrapText="1"/>
    </xf>
    <xf numFmtId="0" fontId="24" fillId="3" borderId="1" xfId="0" applyFont="1" applyFill="1" applyBorder="1" applyAlignment="1">
      <alignment vertical="center" wrapText="1"/>
    </xf>
    <xf numFmtId="176" fontId="6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15" fillId="12" borderId="7" xfId="0" applyFont="1" applyFill="1" applyBorder="1" applyAlignment="1">
      <alignment horizontal="center" vertical="center"/>
    </xf>
    <xf numFmtId="0" fontId="15" fillId="12" borderId="9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9" fontId="15" fillId="12" borderId="1" xfId="0" applyNumberFormat="1" applyFont="1" applyFill="1" applyBorder="1" applyAlignment="1">
      <alignment horizontal="center" vertical="center"/>
    </xf>
    <xf numFmtId="10" fontId="15" fillId="12" borderId="1" xfId="0" applyNumberFormat="1" applyFont="1" applyFill="1" applyBorder="1" applyAlignment="1">
      <alignment horizontal="center" vertical="center"/>
    </xf>
    <xf numFmtId="0" fontId="8" fillId="13" borderId="7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8" fillId="13" borderId="9" xfId="0" applyFont="1" applyFill="1" applyBorder="1" applyAlignment="1">
      <alignment horizontal="center" vertical="center" wrapText="1"/>
    </xf>
    <xf numFmtId="0" fontId="8" fillId="13" borderId="19" xfId="0" applyFont="1" applyFill="1" applyBorder="1" applyAlignment="1">
      <alignment horizontal="center" vertical="center" wrapText="1"/>
    </xf>
    <xf numFmtId="0" fontId="25" fillId="13" borderId="7" xfId="0" applyFont="1" applyFill="1" applyBorder="1" applyAlignment="1">
      <alignment horizontal="center" vertical="center" wrapText="1"/>
    </xf>
    <xf numFmtId="0" fontId="25" fillId="13" borderId="1" xfId="0" applyFont="1" applyFill="1" applyBorder="1" applyAlignment="1">
      <alignment horizontal="center" vertical="center" wrapText="1"/>
    </xf>
    <xf numFmtId="0" fontId="25" fillId="13" borderId="9" xfId="0" applyFont="1" applyFill="1" applyBorder="1" applyAlignment="1">
      <alignment horizontal="center" vertical="center" wrapText="1"/>
    </xf>
    <xf numFmtId="0" fontId="25" fillId="13" borderId="19" xfId="0" applyFont="1" applyFill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/>
    </xf>
    <xf numFmtId="0" fontId="11" fillId="0" borderId="19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27" fillId="14" borderId="1" xfId="0" applyFont="1" applyFill="1" applyBorder="1" applyAlignment="1">
      <alignment horizontal="center" vertical="center" wrapText="1"/>
    </xf>
    <xf numFmtId="0" fontId="27" fillId="14" borderId="19" xfId="0" applyFont="1" applyFill="1" applyBorder="1" applyAlignment="1">
      <alignment horizontal="center" vertical="center" wrapText="1"/>
    </xf>
    <xf numFmtId="9" fontId="14" fillId="0" borderId="1" xfId="0" applyNumberFormat="1" applyFont="1" applyBorder="1" applyAlignment="1">
      <alignment horizontal="center" vertical="center"/>
    </xf>
    <xf numFmtId="182" fontId="14" fillId="0" borderId="1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176" fontId="14" fillId="0" borderId="6" xfId="0" applyNumberFormat="1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176" fontId="14" fillId="0" borderId="20" xfId="0" applyNumberFormat="1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176" fontId="14" fillId="0" borderId="18" xfId="0" applyNumberFormat="1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9" fontId="14" fillId="0" borderId="1" xfId="0" applyNumberFormat="1" applyFont="1" applyFill="1" applyBorder="1" applyAlignment="1" applyProtection="1">
      <alignment horizontal="center" vertical="center"/>
    </xf>
    <xf numFmtId="0" fontId="14" fillId="0" borderId="1" xfId="0" applyNumberFormat="1" applyFont="1" applyBorder="1" applyAlignment="1">
      <alignment horizontal="center" vertical="center"/>
    </xf>
    <xf numFmtId="178" fontId="14" fillId="0" borderId="1" xfId="0" applyNumberFormat="1" applyFont="1" applyBorder="1" applyAlignment="1">
      <alignment horizontal="center" vertical="center" wrapText="1"/>
    </xf>
    <xf numFmtId="10" fontId="14" fillId="0" borderId="1" xfId="0" applyNumberFormat="1" applyFont="1" applyBorder="1" applyAlignment="1">
      <alignment horizontal="center" vertical="center" wrapText="1"/>
    </xf>
    <xf numFmtId="182" fontId="14" fillId="0" borderId="1" xfId="0" applyNumberFormat="1" applyFont="1" applyBorder="1" applyAlignment="1">
      <alignment horizontal="center" vertical="center" wrapText="1"/>
    </xf>
    <xf numFmtId="176" fontId="14" fillId="0" borderId="1" xfId="0" applyNumberFormat="1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9" fontId="14" fillId="0" borderId="6" xfId="0" applyNumberFormat="1" applyFont="1" applyBorder="1" applyAlignment="1">
      <alignment horizontal="center" vertical="center"/>
    </xf>
    <xf numFmtId="9" fontId="14" fillId="0" borderId="1" xfId="0" applyNumberFormat="1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/>
    </xf>
    <xf numFmtId="9" fontId="14" fillId="0" borderId="20" xfId="0" applyNumberFormat="1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9" fontId="14" fillId="0" borderId="18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4" fillId="0" borderId="1" xfId="0" applyFont="1" applyBorder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eetMetadata" Target="metadata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externalLink" Target="externalLinks/externalLink6.xml"/><Relationship Id="rId17" Type="http://schemas.openxmlformats.org/officeDocument/2006/relationships/externalLink" Target="externalLinks/externalLink5.xml"/><Relationship Id="rId1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3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14561\AppData\Roaming\kingsoft\office6\backup\2026&#24180;&#26376;&#24230;&#22521;&#35757;&#26126;&#32454;&#12304;&#32463;&#29702;&#22797;&#30424;&#20250;&#21442;&#32771;&#1230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32;&#24314;&#25991;&#20214;&#22841;\xwechat_files\yoonajc_b029\msg\file\2026-02\2026&#22521;&#35757;&#26126;&#32454;&#65288;&#20027;&#34920;&#65289;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700;&#38754;\&#33457;&#21517;&#20876;2026013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33457;&#21517;&#20876;202603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&#33457;&#21517;&#20876;20260313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&#34562;&#26063;\&#21830;&#23398;&#38498;&#25991;&#20214;\&#36890;&#20851;&#25351;&#26631;&#24471;&#20998;&#25490;&#21517;\26&#24180;3&#26376;&#21830;&#23398;&#38498;&#25991;&#20214;\3&#26376;-&#36890;&#20851;&#25351;&#26631;&#24471;&#20998;&#25490;&#21517;&#65288;3&#26376;2&#26085;-3&#26376;29&#26085;&#6528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月度培训数据"/>
      <sheetName val="《课程名称》维度的参训明细（主表）"/>
      <sheetName val="《授课类型》维度的参训明细"/>
      <sheetName val="各类培训类型参训率（人数为维度）"/>
      <sheetName val="《授课类型》维度的参训明细 (2)"/>
    </sheetNames>
    <sheetDataSet>
      <sheetData sheetId="0" refreshError="1"/>
      <sheetData sheetId="1" refreshError="1"/>
      <sheetData sheetId="2" refreshError="1">
        <row r="2">
          <cell r="B2" t="str">
            <v>月份</v>
          </cell>
          <cell r="C2" t="str">
            <v>城市</v>
          </cell>
          <cell r="D2" t="str">
            <v>营业部</v>
          </cell>
        </row>
        <row r="2">
          <cell r="I2" t="str">
            <v>签到情况</v>
          </cell>
          <cell r="J2" t="str">
            <v>培训时间</v>
          </cell>
          <cell r="K2" t="str">
            <v>授课类型</v>
          </cell>
        </row>
        <row r="3">
          <cell r="B3" t="str">
            <v>1月</v>
          </cell>
          <cell r="C3" t="str">
            <v>西南总部</v>
          </cell>
          <cell r="D3" t="str">
            <v>营业五部</v>
          </cell>
        </row>
        <row r="3">
          <cell r="I3" t="str">
            <v>未签到</v>
          </cell>
          <cell r="J3">
            <v>46035</v>
          </cell>
          <cell r="K3" t="str">
            <v>销售提升训</v>
          </cell>
        </row>
        <row r="4">
          <cell r="B4" t="str">
            <v>1月</v>
          </cell>
          <cell r="C4" t="str">
            <v>西南总部</v>
          </cell>
          <cell r="D4" t="str">
            <v>营业五部</v>
          </cell>
        </row>
        <row r="4">
          <cell r="I4" t="str">
            <v>未签到</v>
          </cell>
          <cell r="J4">
            <v>46035</v>
          </cell>
          <cell r="K4" t="str">
            <v>销售提升训</v>
          </cell>
        </row>
        <row r="5">
          <cell r="B5" t="str">
            <v>1月</v>
          </cell>
          <cell r="C5" t="str">
            <v>西南总部</v>
          </cell>
          <cell r="D5" t="str">
            <v>营业五部</v>
          </cell>
        </row>
        <row r="5">
          <cell r="I5" t="str">
            <v>未签到</v>
          </cell>
          <cell r="J5">
            <v>46035</v>
          </cell>
          <cell r="K5" t="str">
            <v>销售提升训</v>
          </cell>
        </row>
        <row r="6">
          <cell r="B6" t="str">
            <v>1月</v>
          </cell>
          <cell r="C6" t="str">
            <v>西南总部</v>
          </cell>
          <cell r="D6" t="str">
            <v>营业二部</v>
          </cell>
        </row>
        <row r="6">
          <cell r="I6" t="str">
            <v>已签到</v>
          </cell>
          <cell r="J6">
            <v>46035</v>
          </cell>
          <cell r="K6" t="str">
            <v>销售提升训</v>
          </cell>
        </row>
        <row r="7">
          <cell r="B7" t="str">
            <v>1月</v>
          </cell>
          <cell r="C7" t="str">
            <v>陕西</v>
          </cell>
          <cell r="D7" t="str">
            <v>陕西2部</v>
          </cell>
        </row>
        <row r="7">
          <cell r="I7" t="str">
            <v>已签到</v>
          </cell>
          <cell r="J7">
            <v>46035</v>
          </cell>
          <cell r="K7" t="str">
            <v>销售提升训</v>
          </cell>
        </row>
        <row r="8">
          <cell r="B8" t="str">
            <v>1月</v>
          </cell>
          <cell r="C8" t="str">
            <v>西南总部</v>
          </cell>
          <cell r="D8" t="str">
            <v>营业一部</v>
          </cell>
        </row>
        <row r="8">
          <cell r="I8" t="str">
            <v>未签到</v>
          </cell>
          <cell r="J8">
            <v>46035</v>
          </cell>
          <cell r="K8" t="str">
            <v>销售提升训</v>
          </cell>
        </row>
        <row r="9">
          <cell r="B9" t="str">
            <v>1月</v>
          </cell>
          <cell r="C9" t="str">
            <v>西南总部</v>
          </cell>
          <cell r="D9" t="str">
            <v>营业七部</v>
          </cell>
        </row>
        <row r="9">
          <cell r="I9" t="str">
            <v>未签到</v>
          </cell>
          <cell r="J9">
            <v>46035</v>
          </cell>
          <cell r="K9" t="str">
            <v>销售提升训</v>
          </cell>
        </row>
        <row r="10">
          <cell r="B10" t="str">
            <v>1月</v>
          </cell>
          <cell r="C10" t="str">
            <v>西南总部</v>
          </cell>
          <cell r="D10" t="str">
            <v>营业四部</v>
          </cell>
        </row>
        <row r="10">
          <cell r="I10" t="str">
            <v>已签到</v>
          </cell>
          <cell r="J10">
            <v>46035</v>
          </cell>
          <cell r="K10" t="str">
            <v>销售提升训</v>
          </cell>
        </row>
        <row r="11">
          <cell r="B11" t="str">
            <v>1月</v>
          </cell>
          <cell r="C11" t="str">
            <v>湖北</v>
          </cell>
          <cell r="D11" t="str">
            <v>湖北1部</v>
          </cell>
        </row>
        <row r="11">
          <cell r="I11" t="str">
            <v>未签到</v>
          </cell>
          <cell r="J11">
            <v>46035</v>
          </cell>
          <cell r="K11" t="str">
            <v>销售提升训</v>
          </cell>
        </row>
        <row r="12">
          <cell r="B12" t="str">
            <v>1月</v>
          </cell>
          <cell r="C12" t="str">
            <v>西南总部</v>
          </cell>
          <cell r="D12" t="str">
            <v>营业四部</v>
          </cell>
        </row>
        <row r="12">
          <cell r="I12" t="str">
            <v>未签到</v>
          </cell>
          <cell r="J12">
            <v>46035</v>
          </cell>
          <cell r="K12" t="str">
            <v>销售提升训</v>
          </cell>
        </row>
        <row r="13">
          <cell r="B13" t="str">
            <v>1月</v>
          </cell>
          <cell r="C13" t="str">
            <v>西南总部</v>
          </cell>
          <cell r="D13" t="str">
            <v>营业四部</v>
          </cell>
        </row>
        <row r="13">
          <cell r="I13" t="str">
            <v>未签到</v>
          </cell>
          <cell r="J13">
            <v>46035</v>
          </cell>
          <cell r="K13" t="str">
            <v>销售提升训</v>
          </cell>
        </row>
        <row r="14">
          <cell r="B14" t="str">
            <v>1月</v>
          </cell>
          <cell r="C14" t="str">
            <v>陕西</v>
          </cell>
          <cell r="D14" t="str">
            <v>陕西2部</v>
          </cell>
        </row>
        <row r="14">
          <cell r="I14" t="str">
            <v>未签到</v>
          </cell>
          <cell r="J14">
            <v>46035</v>
          </cell>
          <cell r="K14" t="str">
            <v>销售提升训</v>
          </cell>
        </row>
        <row r="15">
          <cell r="B15" t="str">
            <v>1月</v>
          </cell>
          <cell r="C15" t="str">
            <v>西南总部</v>
          </cell>
          <cell r="D15" t="str">
            <v>营业四部</v>
          </cell>
        </row>
        <row r="15">
          <cell r="I15" t="str">
            <v>未签到</v>
          </cell>
          <cell r="J15">
            <v>46035</v>
          </cell>
          <cell r="K15" t="str">
            <v>销售提升训</v>
          </cell>
        </row>
        <row r="16">
          <cell r="B16" t="str">
            <v>1月</v>
          </cell>
          <cell r="C16" t="str">
            <v>西南总部</v>
          </cell>
          <cell r="D16" t="str">
            <v>营业七部</v>
          </cell>
        </row>
        <row r="16">
          <cell r="I16" t="str">
            <v>已签到</v>
          </cell>
          <cell r="J16">
            <v>46035</v>
          </cell>
          <cell r="K16" t="str">
            <v>销售提升训</v>
          </cell>
        </row>
        <row r="17">
          <cell r="B17" t="str">
            <v>1月</v>
          </cell>
          <cell r="C17" t="str">
            <v>西南总部</v>
          </cell>
          <cell r="D17" t="str">
            <v>营业七部</v>
          </cell>
        </row>
        <row r="17">
          <cell r="I17" t="str">
            <v>已签到</v>
          </cell>
          <cell r="J17">
            <v>46035</v>
          </cell>
          <cell r="K17" t="str">
            <v>销售提升训</v>
          </cell>
        </row>
        <row r="18">
          <cell r="B18" t="str">
            <v>1月</v>
          </cell>
          <cell r="C18" t="str">
            <v>西南总部</v>
          </cell>
          <cell r="D18" t="str">
            <v>营业七部</v>
          </cell>
        </row>
        <row r="18">
          <cell r="I18" t="str">
            <v>未签到</v>
          </cell>
          <cell r="J18">
            <v>46035</v>
          </cell>
          <cell r="K18" t="str">
            <v>销售提升训</v>
          </cell>
        </row>
        <row r="19">
          <cell r="B19" t="str">
            <v>1月</v>
          </cell>
          <cell r="C19" t="str">
            <v>河南</v>
          </cell>
          <cell r="D19" t="str">
            <v>河南销售部</v>
          </cell>
        </row>
        <row r="19">
          <cell r="I19" t="str">
            <v>已签到</v>
          </cell>
          <cell r="J19">
            <v>46035</v>
          </cell>
          <cell r="K19" t="str">
            <v>销售提升训</v>
          </cell>
        </row>
        <row r="20">
          <cell r="B20" t="str">
            <v>1月</v>
          </cell>
          <cell r="C20" t="str">
            <v>山西</v>
          </cell>
          <cell r="D20" t="str">
            <v>山西销售部</v>
          </cell>
        </row>
        <row r="20">
          <cell r="I20" t="str">
            <v>已签到</v>
          </cell>
          <cell r="J20">
            <v>46035</v>
          </cell>
          <cell r="K20" t="str">
            <v>销售提升训</v>
          </cell>
        </row>
        <row r="21">
          <cell r="B21" t="str">
            <v>1月</v>
          </cell>
          <cell r="C21" t="str">
            <v>湖北</v>
          </cell>
          <cell r="D21" t="str">
            <v>湖北1部</v>
          </cell>
        </row>
        <row r="21">
          <cell r="I21" t="str">
            <v>未签到</v>
          </cell>
          <cell r="J21">
            <v>46035</v>
          </cell>
          <cell r="K21" t="str">
            <v>销售提升训</v>
          </cell>
        </row>
        <row r="22">
          <cell r="B22" t="str">
            <v>1月</v>
          </cell>
          <cell r="C22" t="str">
            <v>山西</v>
          </cell>
          <cell r="D22" t="str">
            <v>山西销售部</v>
          </cell>
        </row>
        <row r="22">
          <cell r="I22" t="str">
            <v>已签到</v>
          </cell>
          <cell r="J22">
            <v>46035</v>
          </cell>
          <cell r="K22" t="str">
            <v>销售提升训</v>
          </cell>
        </row>
        <row r="23">
          <cell r="B23" t="str">
            <v>1月</v>
          </cell>
          <cell r="C23" t="str">
            <v>山西</v>
          </cell>
          <cell r="D23" t="str">
            <v>山西销售部</v>
          </cell>
        </row>
        <row r="23">
          <cell r="I23" t="str">
            <v>已签到</v>
          </cell>
          <cell r="J23">
            <v>46035</v>
          </cell>
          <cell r="K23" t="str">
            <v>销售提升训</v>
          </cell>
        </row>
        <row r="24">
          <cell r="B24" t="str">
            <v>1月</v>
          </cell>
          <cell r="C24" t="str">
            <v>西南总部</v>
          </cell>
          <cell r="D24" t="str">
            <v>营业一部</v>
          </cell>
        </row>
        <row r="24">
          <cell r="I24" t="str">
            <v>未签到</v>
          </cell>
          <cell r="J24">
            <v>46035</v>
          </cell>
          <cell r="K24" t="str">
            <v>销售提升训</v>
          </cell>
        </row>
        <row r="25">
          <cell r="B25" t="str">
            <v>1月</v>
          </cell>
          <cell r="C25" t="str">
            <v>西南总部</v>
          </cell>
          <cell r="D25" t="str">
            <v>营业一部</v>
          </cell>
        </row>
        <row r="25">
          <cell r="I25" t="str">
            <v>未签到</v>
          </cell>
          <cell r="J25">
            <v>46035</v>
          </cell>
          <cell r="K25" t="str">
            <v>销售提升训</v>
          </cell>
        </row>
        <row r="26">
          <cell r="B26" t="str">
            <v>1月</v>
          </cell>
          <cell r="C26" t="str">
            <v>西南总部</v>
          </cell>
          <cell r="D26" t="str">
            <v>营业三部</v>
          </cell>
        </row>
        <row r="26">
          <cell r="I26" t="str">
            <v>已签到</v>
          </cell>
          <cell r="J26">
            <v>46035</v>
          </cell>
          <cell r="K26" t="str">
            <v>销售提升训</v>
          </cell>
        </row>
        <row r="27">
          <cell r="B27" t="str">
            <v>1月</v>
          </cell>
          <cell r="C27" t="str">
            <v>西南总部</v>
          </cell>
          <cell r="D27" t="str">
            <v>营业三部</v>
          </cell>
        </row>
        <row r="27">
          <cell r="I27" t="str">
            <v>已签到</v>
          </cell>
          <cell r="J27">
            <v>46035</v>
          </cell>
          <cell r="K27" t="str">
            <v>销售提升训</v>
          </cell>
        </row>
        <row r="28">
          <cell r="B28" t="str">
            <v>1月</v>
          </cell>
          <cell r="C28" t="str">
            <v>西南总部</v>
          </cell>
          <cell r="D28" t="str">
            <v>营业六部</v>
          </cell>
        </row>
        <row r="28">
          <cell r="I28" t="str">
            <v>已签到</v>
          </cell>
          <cell r="J28">
            <v>46035</v>
          </cell>
          <cell r="K28" t="str">
            <v>销售提升训</v>
          </cell>
        </row>
        <row r="29">
          <cell r="B29" t="str">
            <v>1月</v>
          </cell>
          <cell r="C29" t="str">
            <v>西南总部</v>
          </cell>
          <cell r="D29" t="str">
            <v>营业二部</v>
          </cell>
        </row>
        <row r="29">
          <cell r="I29" t="str">
            <v>未签到</v>
          </cell>
          <cell r="J29">
            <v>46035</v>
          </cell>
          <cell r="K29" t="str">
            <v>销售提升训</v>
          </cell>
        </row>
        <row r="30">
          <cell r="B30" t="str">
            <v>1月</v>
          </cell>
          <cell r="C30" t="str">
            <v>西南总部</v>
          </cell>
          <cell r="D30" t="str">
            <v>营业七部</v>
          </cell>
        </row>
        <row r="30">
          <cell r="I30" t="str">
            <v>未签到</v>
          </cell>
          <cell r="J30">
            <v>46035</v>
          </cell>
          <cell r="K30" t="str">
            <v>销售提升训</v>
          </cell>
        </row>
        <row r="31">
          <cell r="B31" t="str">
            <v>1月</v>
          </cell>
          <cell r="C31" t="str">
            <v>西南总部</v>
          </cell>
          <cell r="D31" t="str">
            <v>营业五部</v>
          </cell>
        </row>
        <row r="31">
          <cell r="I31" t="str">
            <v>已签到</v>
          </cell>
          <cell r="J31">
            <v>46035</v>
          </cell>
          <cell r="K31" t="str">
            <v>销售提升训</v>
          </cell>
        </row>
        <row r="32">
          <cell r="B32" t="str">
            <v>1月</v>
          </cell>
          <cell r="C32" t="str">
            <v>西南总部</v>
          </cell>
          <cell r="D32" t="str">
            <v>营业五部</v>
          </cell>
        </row>
        <row r="32">
          <cell r="I32" t="str">
            <v>已签到</v>
          </cell>
          <cell r="J32">
            <v>46035</v>
          </cell>
          <cell r="K32" t="str">
            <v>销售提升训</v>
          </cell>
        </row>
        <row r="33">
          <cell r="B33" t="str">
            <v>1月</v>
          </cell>
          <cell r="C33" t="str">
            <v>西南总部</v>
          </cell>
          <cell r="D33" t="str">
            <v>营业三部</v>
          </cell>
        </row>
        <row r="33">
          <cell r="I33" t="str">
            <v>未签到</v>
          </cell>
          <cell r="J33">
            <v>46035</v>
          </cell>
          <cell r="K33" t="str">
            <v>销售提升训</v>
          </cell>
        </row>
        <row r="34">
          <cell r="B34" t="str">
            <v>1月</v>
          </cell>
          <cell r="C34" t="str">
            <v>西南总部</v>
          </cell>
          <cell r="D34" t="str">
            <v>营业七部</v>
          </cell>
        </row>
        <row r="34">
          <cell r="I34" t="str">
            <v>未签到</v>
          </cell>
          <cell r="J34">
            <v>46035</v>
          </cell>
          <cell r="K34" t="str">
            <v>销售提升训</v>
          </cell>
        </row>
        <row r="35">
          <cell r="B35" t="str">
            <v>1月</v>
          </cell>
          <cell r="C35" t="str">
            <v>西南总部</v>
          </cell>
          <cell r="D35" t="str">
            <v>营业七部</v>
          </cell>
        </row>
        <row r="35">
          <cell r="I35" t="str">
            <v>未签到</v>
          </cell>
          <cell r="J35">
            <v>46035</v>
          </cell>
          <cell r="K35" t="str">
            <v>销售提升训</v>
          </cell>
        </row>
        <row r="36">
          <cell r="B36" t="str">
            <v>1月</v>
          </cell>
          <cell r="C36" t="str">
            <v>河南</v>
          </cell>
          <cell r="D36" t="str">
            <v>河南销售部</v>
          </cell>
        </row>
        <row r="36">
          <cell r="I36" t="str">
            <v>已签到</v>
          </cell>
          <cell r="J36">
            <v>46035</v>
          </cell>
          <cell r="K36" t="str">
            <v>销售提升训</v>
          </cell>
        </row>
        <row r="37">
          <cell r="B37" t="str">
            <v>1月</v>
          </cell>
          <cell r="C37" t="str">
            <v>山西</v>
          </cell>
          <cell r="D37" t="str">
            <v>山西销售部</v>
          </cell>
        </row>
        <row r="37">
          <cell r="I37" t="str">
            <v>已签到</v>
          </cell>
          <cell r="J37">
            <v>46035</v>
          </cell>
          <cell r="K37" t="str">
            <v>销售提升训</v>
          </cell>
        </row>
        <row r="38">
          <cell r="B38" t="str">
            <v>1月</v>
          </cell>
          <cell r="C38" t="str">
            <v>山西</v>
          </cell>
          <cell r="D38" t="str">
            <v>山西销售部</v>
          </cell>
        </row>
        <row r="38">
          <cell r="I38" t="str">
            <v>已签到</v>
          </cell>
          <cell r="J38">
            <v>46035</v>
          </cell>
          <cell r="K38" t="str">
            <v>销售提升训</v>
          </cell>
        </row>
        <row r="39">
          <cell r="B39" t="str">
            <v>1月</v>
          </cell>
          <cell r="C39" t="str">
            <v>山西</v>
          </cell>
          <cell r="D39" t="str">
            <v>山西销售部</v>
          </cell>
        </row>
        <row r="39">
          <cell r="I39" t="str">
            <v>已签到</v>
          </cell>
          <cell r="J39">
            <v>46035</v>
          </cell>
          <cell r="K39" t="str">
            <v>销售提升训</v>
          </cell>
        </row>
        <row r="40">
          <cell r="B40" t="str">
            <v>1月</v>
          </cell>
          <cell r="C40" t="str">
            <v>西南总部</v>
          </cell>
          <cell r="D40" t="str">
            <v>营业七部</v>
          </cell>
        </row>
        <row r="40">
          <cell r="I40" t="str">
            <v>已签到</v>
          </cell>
          <cell r="J40">
            <v>46035</v>
          </cell>
          <cell r="K40" t="str">
            <v>销售提升训</v>
          </cell>
        </row>
        <row r="41">
          <cell r="B41" t="str">
            <v>1月</v>
          </cell>
          <cell r="C41" t="str">
            <v>山东</v>
          </cell>
          <cell r="D41" t="str">
            <v>山东销售部</v>
          </cell>
        </row>
        <row r="41">
          <cell r="I41" t="str">
            <v>已签到</v>
          </cell>
          <cell r="J41">
            <v>46035</v>
          </cell>
          <cell r="K41" t="str">
            <v>销售提升训</v>
          </cell>
        </row>
        <row r="42">
          <cell r="B42" t="str">
            <v>1月</v>
          </cell>
          <cell r="C42" t="str">
            <v>西南总部</v>
          </cell>
          <cell r="D42" t="str">
            <v>营业七部</v>
          </cell>
        </row>
        <row r="42">
          <cell r="I42" t="str">
            <v>已签到</v>
          </cell>
          <cell r="J42">
            <v>46035</v>
          </cell>
          <cell r="K42" t="str">
            <v>销售提升训</v>
          </cell>
        </row>
        <row r="43">
          <cell r="B43" t="str">
            <v>1月</v>
          </cell>
          <cell r="C43" t="str">
            <v>西南总部</v>
          </cell>
          <cell r="D43" t="str">
            <v>营业六部</v>
          </cell>
        </row>
        <row r="43">
          <cell r="I43" t="str">
            <v>未签到</v>
          </cell>
          <cell r="J43">
            <v>46035</v>
          </cell>
          <cell r="K43" t="str">
            <v>销售提升训</v>
          </cell>
        </row>
        <row r="44">
          <cell r="B44" t="str">
            <v>1月</v>
          </cell>
          <cell r="C44" t="str">
            <v>西南总部</v>
          </cell>
          <cell r="D44" t="str">
            <v>营业六部</v>
          </cell>
        </row>
        <row r="44">
          <cell r="I44" t="str">
            <v>未签到</v>
          </cell>
          <cell r="J44">
            <v>46035</v>
          </cell>
          <cell r="K44" t="str">
            <v>销售提升训</v>
          </cell>
        </row>
        <row r="45">
          <cell r="B45" t="str">
            <v>1月</v>
          </cell>
          <cell r="C45" t="str">
            <v>西南总部</v>
          </cell>
          <cell r="D45" t="str">
            <v>营业二部</v>
          </cell>
        </row>
        <row r="45">
          <cell r="I45" t="str">
            <v>未签到</v>
          </cell>
          <cell r="J45">
            <v>46035</v>
          </cell>
          <cell r="K45" t="str">
            <v>销售提升训</v>
          </cell>
        </row>
        <row r="46">
          <cell r="B46" t="str">
            <v>1月</v>
          </cell>
          <cell r="C46" t="str">
            <v>西南总部</v>
          </cell>
          <cell r="D46" t="str">
            <v>营业二部</v>
          </cell>
        </row>
        <row r="46">
          <cell r="I46" t="str">
            <v>未签到</v>
          </cell>
          <cell r="J46">
            <v>46035</v>
          </cell>
          <cell r="K46" t="str">
            <v>销售提升训</v>
          </cell>
        </row>
        <row r="47">
          <cell r="B47" t="str">
            <v>1月</v>
          </cell>
          <cell r="C47" t="str">
            <v>西南总部</v>
          </cell>
          <cell r="D47" t="str">
            <v>营业一部</v>
          </cell>
        </row>
        <row r="47">
          <cell r="I47" t="str">
            <v>未签到</v>
          </cell>
          <cell r="J47">
            <v>46035</v>
          </cell>
          <cell r="K47" t="str">
            <v>销售提升训</v>
          </cell>
        </row>
        <row r="48">
          <cell r="B48" t="str">
            <v>1月</v>
          </cell>
          <cell r="C48" t="str">
            <v>河北</v>
          </cell>
          <cell r="D48" t="str">
            <v>河北销售部</v>
          </cell>
        </row>
        <row r="48">
          <cell r="I48" t="str">
            <v>已签到</v>
          </cell>
          <cell r="J48">
            <v>46035</v>
          </cell>
          <cell r="K48" t="str">
            <v>销售提升训</v>
          </cell>
        </row>
        <row r="49">
          <cell r="B49" t="str">
            <v>1月</v>
          </cell>
          <cell r="C49" t="str">
            <v>河北</v>
          </cell>
          <cell r="D49" t="str">
            <v>河北销售部</v>
          </cell>
        </row>
        <row r="49">
          <cell r="I49" t="str">
            <v>已签到</v>
          </cell>
          <cell r="J49">
            <v>46035</v>
          </cell>
          <cell r="K49" t="str">
            <v>销售提升训</v>
          </cell>
        </row>
        <row r="50">
          <cell r="B50" t="str">
            <v>1月</v>
          </cell>
          <cell r="C50" t="str">
            <v>西南总部</v>
          </cell>
          <cell r="D50" t="str">
            <v>营业二部</v>
          </cell>
        </row>
        <row r="50">
          <cell r="I50" t="str">
            <v>已签到</v>
          </cell>
          <cell r="J50">
            <v>46035</v>
          </cell>
          <cell r="K50" t="str">
            <v>销售提升训</v>
          </cell>
        </row>
        <row r="51">
          <cell r="B51" t="str">
            <v>1月</v>
          </cell>
          <cell r="C51" t="str">
            <v>湖北</v>
          </cell>
          <cell r="D51" t="str">
            <v>湖北1部</v>
          </cell>
        </row>
        <row r="51">
          <cell r="I51" t="str">
            <v>未签到</v>
          </cell>
          <cell r="J51">
            <v>46035</v>
          </cell>
          <cell r="K51" t="str">
            <v>销售提升训</v>
          </cell>
        </row>
        <row r="52">
          <cell r="B52" t="str">
            <v>1月</v>
          </cell>
          <cell r="C52" t="str">
            <v>山东</v>
          </cell>
          <cell r="D52" t="str">
            <v>山东销售部</v>
          </cell>
        </row>
        <row r="52">
          <cell r="I52" t="str">
            <v>已签到</v>
          </cell>
          <cell r="J52">
            <v>46035</v>
          </cell>
          <cell r="K52" t="str">
            <v>销售提升训</v>
          </cell>
        </row>
        <row r="53">
          <cell r="B53" t="str">
            <v>1月</v>
          </cell>
          <cell r="C53" t="str">
            <v>湖南</v>
          </cell>
          <cell r="D53" t="str">
            <v>湖南销售部</v>
          </cell>
        </row>
        <row r="53">
          <cell r="I53" t="str">
            <v>已签到</v>
          </cell>
          <cell r="J53">
            <v>46035</v>
          </cell>
          <cell r="K53" t="str">
            <v>销售提升训</v>
          </cell>
        </row>
        <row r="54">
          <cell r="B54" t="str">
            <v>1月</v>
          </cell>
          <cell r="C54" t="str">
            <v>山东</v>
          </cell>
          <cell r="D54" t="str">
            <v>山东销售部</v>
          </cell>
        </row>
        <row r="54">
          <cell r="I54" t="str">
            <v>已签到</v>
          </cell>
          <cell r="J54">
            <v>46035</v>
          </cell>
          <cell r="K54" t="str">
            <v>销售提升训</v>
          </cell>
        </row>
        <row r="55">
          <cell r="B55" t="str">
            <v>1月</v>
          </cell>
          <cell r="C55" t="str">
            <v>山东</v>
          </cell>
          <cell r="D55" t="str">
            <v>山东销售部</v>
          </cell>
        </row>
        <row r="55">
          <cell r="I55" t="str">
            <v>已签到</v>
          </cell>
          <cell r="J55">
            <v>46035</v>
          </cell>
          <cell r="K55" t="str">
            <v>销售提升训</v>
          </cell>
        </row>
        <row r="56">
          <cell r="B56" t="str">
            <v>1月</v>
          </cell>
          <cell r="C56" t="str">
            <v>西南总部</v>
          </cell>
          <cell r="D56" t="str">
            <v>营业二部</v>
          </cell>
        </row>
        <row r="56">
          <cell r="I56" t="str">
            <v>未签到</v>
          </cell>
          <cell r="J56">
            <v>46035</v>
          </cell>
          <cell r="K56" t="str">
            <v>销售提升训</v>
          </cell>
        </row>
        <row r="57">
          <cell r="B57" t="str">
            <v>1月</v>
          </cell>
          <cell r="C57" t="str">
            <v>山东</v>
          </cell>
          <cell r="D57" t="str">
            <v>山东销售部</v>
          </cell>
        </row>
        <row r="57">
          <cell r="I57" t="str">
            <v>已签到</v>
          </cell>
          <cell r="J57">
            <v>46035</v>
          </cell>
          <cell r="K57" t="str">
            <v>销售提升训</v>
          </cell>
        </row>
        <row r="58">
          <cell r="B58" t="str">
            <v>1月</v>
          </cell>
          <cell r="C58" t="str">
            <v>西南总部</v>
          </cell>
          <cell r="D58" t="str">
            <v>营业三部</v>
          </cell>
        </row>
        <row r="58">
          <cell r="I58" t="str">
            <v>未签到</v>
          </cell>
          <cell r="J58">
            <v>46035</v>
          </cell>
          <cell r="K58" t="str">
            <v>销售提升训</v>
          </cell>
        </row>
        <row r="59">
          <cell r="B59" t="str">
            <v>1月</v>
          </cell>
          <cell r="C59" t="str">
            <v>西南总部</v>
          </cell>
          <cell r="D59" t="str">
            <v>营业六部</v>
          </cell>
        </row>
        <row r="59">
          <cell r="I59" t="str">
            <v>未签到</v>
          </cell>
          <cell r="J59">
            <v>46035</v>
          </cell>
          <cell r="K59" t="str">
            <v>销售提升训</v>
          </cell>
        </row>
        <row r="60">
          <cell r="B60" t="str">
            <v>1月</v>
          </cell>
          <cell r="C60" t="str">
            <v>西南总部</v>
          </cell>
          <cell r="D60" t="str">
            <v>营业五部</v>
          </cell>
        </row>
        <row r="60">
          <cell r="I60" t="str">
            <v>未签到</v>
          </cell>
          <cell r="J60">
            <v>46035</v>
          </cell>
          <cell r="K60" t="str">
            <v>销售提升训</v>
          </cell>
        </row>
        <row r="61">
          <cell r="B61" t="str">
            <v>1月</v>
          </cell>
          <cell r="C61" t="str">
            <v>西南总部</v>
          </cell>
          <cell r="D61" t="str">
            <v>营业五部</v>
          </cell>
        </row>
        <row r="61">
          <cell r="I61" t="str">
            <v>未签到</v>
          </cell>
          <cell r="J61">
            <v>46035</v>
          </cell>
          <cell r="K61" t="str">
            <v>销售提升训</v>
          </cell>
        </row>
        <row r="62">
          <cell r="B62" t="str">
            <v>1月</v>
          </cell>
          <cell r="C62" t="str">
            <v>陕西</v>
          </cell>
          <cell r="D62" t="str">
            <v>陕西2部</v>
          </cell>
        </row>
        <row r="62">
          <cell r="I62" t="str">
            <v>已签到</v>
          </cell>
          <cell r="J62">
            <v>46035</v>
          </cell>
          <cell r="K62" t="str">
            <v>销售提升训</v>
          </cell>
        </row>
        <row r="63">
          <cell r="B63" t="str">
            <v>1月</v>
          </cell>
          <cell r="C63" t="str">
            <v>湖北</v>
          </cell>
          <cell r="D63" t="str">
            <v>湖北1部</v>
          </cell>
        </row>
        <row r="63">
          <cell r="I63" t="str">
            <v>未签到</v>
          </cell>
          <cell r="J63">
            <v>46035</v>
          </cell>
          <cell r="K63" t="str">
            <v>销售提升训</v>
          </cell>
        </row>
        <row r="64">
          <cell r="B64" t="str">
            <v>1月</v>
          </cell>
          <cell r="C64" t="str">
            <v>西南总部</v>
          </cell>
          <cell r="D64" t="str">
            <v>营业五部</v>
          </cell>
        </row>
        <row r="64">
          <cell r="I64" t="str">
            <v>未签到</v>
          </cell>
          <cell r="J64">
            <v>46035</v>
          </cell>
          <cell r="K64" t="str">
            <v>销售提升训</v>
          </cell>
        </row>
        <row r="65">
          <cell r="B65" t="str">
            <v>1月</v>
          </cell>
          <cell r="C65" t="str">
            <v>西南总部</v>
          </cell>
          <cell r="D65" t="str">
            <v>营业五部</v>
          </cell>
        </row>
        <row r="65">
          <cell r="I65" t="str">
            <v>未签到</v>
          </cell>
          <cell r="J65">
            <v>46035</v>
          </cell>
          <cell r="K65" t="str">
            <v>销售提升训</v>
          </cell>
        </row>
        <row r="66">
          <cell r="B66" t="str">
            <v>1月</v>
          </cell>
          <cell r="C66" t="str">
            <v>西南总部</v>
          </cell>
          <cell r="D66" t="str">
            <v>营业二部</v>
          </cell>
        </row>
        <row r="66">
          <cell r="I66" t="str">
            <v>未签到</v>
          </cell>
          <cell r="J66">
            <v>46035</v>
          </cell>
          <cell r="K66" t="str">
            <v>销售提升训</v>
          </cell>
        </row>
        <row r="67">
          <cell r="B67" t="str">
            <v>1月</v>
          </cell>
          <cell r="C67" t="str">
            <v>山东</v>
          </cell>
          <cell r="D67" t="str">
            <v>山东销售部</v>
          </cell>
        </row>
        <row r="67">
          <cell r="I67" t="str">
            <v>已签到</v>
          </cell>
          <cell r="J67">
            <v>46035</v>
          </cell>
          <cell r="K67" t="str">
            <v>销售提升训</v>
          </cell>
        </row>
        <row r="68">
          <cell r="B68" t="str">
            <v>1月</v>
          </cell>
          <cell r="C68" t="str">
            <v>西南总部</v>
          </cell>
          <cell r="D68" t="str">
            <v>营业六部</v>
          </cell>
        </row>
        <row r="68">
          <cell r="I68" t="str">
            <v>未签到</v>
          </cell>
          <cell r="J68">
            <v>46035</v>
          </cell>
          <cell r="K68" t="str">
            <v>销售提升训</v>
          </cell>
        </row>
        <row r="69">
          <cell r="B69" t="str">
            <v>1月</v>
          </cell>
          <cell r="C69" t="str">
            <v>西南总部</v>
          </cell>
          <cell r="D69" t="str">
            <v>营业六部</v>
          </cell>
        </row>
        <row r="69">
          <cell r="I69" t="str">
            <v>未签到</v>
          </cell>
          <cell r="J69">
            <v>46035</v>
          </cell>
          <cell r="K69" t="str">
            <v>销售提升训</v>
          </cell>
        </row>
        <row r="70">
          <cell r="B70" t="str">
            <v>1月</v>
          </cell>
          <cell r="C70" t="str">
            <v>西南总部</v>
          </cell>
          <cell r="D70" t="str">
            <v>营业三部</v>
          </cell>
        </row>
        <row r="70">
          <cell r="I70" t="str">
            <v>未签到</v>
          </cell>
          <cell r="J70">
            <v>46035</v>
          </cell>
          <cell r="K70" t="str">
            <v>销售提升训</v>
          </cell>
        </row>
        <row r="71">
          <cell r="B71" t="str">
            <v>1月</v>
          </cell>
          <cell r="C71" t="str">
            <v>西南总部</v>
          </cell>
          <cell r="D71" t="str">
            <v>营业三部</v>
          </cell>
        </row>
        <row r="71">
          <cell r="I71" t="str">
            <v>未签到</v>
          </cell>
          <cell r="J71">
            <v>46035</v>
          </cell>
          <cell r="K71" t="str">
            <v>销售提升训</v>
          </cell>
        </row>
        <row r="72">
          <cell r="B72" t="str">
            <v>1月</v>
          </cell>
          <cell r="C72" t="str">
            <v>西南总部</v>
          </cell>
          <cell r="D72" t="str">
            <v>营业五部</v>
          </cell>
        </row>
        <row r="72">
          <cell r="I72" t="str">
            <v>未签到</v>
          </cell>
          <cell r="J72">
            <v>46035</v>
          </cell>
          <cell r="K72" t="str">
            <v>销售提升训</v>
          </cell>
        </row>
        <row r="73">
          <cell r="B73" t="str">
            <v>1月</v>
          </cell>
          <cell r="C73" t="str">
            <v>湖南</v>
          </cell>
          <cell r="D73" t="str">
            <v>湖南销售部</v>
          </cell>
        </row>
        <row r="73">
          <cell r="I73" t="str">
            <v>已签到</v>
          </cell>
          <cell r="J73">
            <v>46035</v>
          </cell>
          <cell r="K73" t="str">
            <v>销售提升训</v>
          </cell>
        </row>
        <row r="74">
          <cell r="B74" t="str">
            <v>1月</v>
          </cell>
          <cell r="C74" t="str">
            <v>西南总部</v>
          </cell>
          <cell r="D74" t="str">
            <v>营业五部</v>
          </cell>
        </row>
        <row r="74">
          <cell r="I74" t="str">
            <v>未签到</v>
          </cell>
          <cell r="J74">
            <v>46035</v>
          </cell>
          <cell r="K74" t="str">
            <v>销售提升训</v>
          </cell>
        </row>
        <row r="75">
          <cell r="B75" t="str">
            <v>1月</v>
          </cell>
          <cell r="C75" t="str">
            <v>河南</v>
          </cell>
          <cell r="D75" t="str">
            <v>河南销售部</v>
          </cell>
        </row>
        <row r="75">
          <cell r="I75" t="str">
            <v>已签到</v>
          </cell>
          <cell r="J75">
            <v>46035</v>
          </cell>
          <cell r="K75" t="str">
            <v>销售提升训</v>
          </cell>
        </row>
        <row r="76">
          <cell r="B76" t="str">
            <v>1月</v>
          </cell>
          <cell r="C76" t="str">
            <v>陕西</v>
          </cell>
          <cell r="D76" t="str">
            <v>陕西1部</v>
          </cell>
        </row>
        <row r="76">
          <cell r="I76" t="str">
            <v>已签到</v>
          </cell>
          <cell r="J76">
            <v>46035</v>
          </cell>
          <cell r="K76" t="str">
            <v>销售提升训</v>
          </cell>
        </row>
        <row r="77">
          <cell r="B77" t="str">
            <v>1月</v>
          </cell>
          <cell r="C77" t="str">
            <v>西南总部</v>
          </cell>
          <cell r="D77" t="str">
            <v>营业七部</v>
          </cell>
        </row>
        <row r="77">
          <cell r="I77" t="str">
            <v>未签到</v>
          </cell>
          <cell r="J77">
            <v>46035</v>
          </cell>
          <cell r="K77" t="str">
            <v>销售提升训</v>
          </cell>
        </row>
        <row r="78">
          <cell r="B78" t="str">
            <v>1月</v>
          </cell>
          <cell r="C78" t="str">
            <v>西南总部</v>
          </cell>
          <cell r="D78" t="str">
            <v>营业六部</v>
          </cell>
        </row>
        <row r="78">
          <cell r="I78" t="str">
            <v>已签到</v>
          </cell>
          <cell r="J78">
            <v>46035</v>
          </cell>
          <cell r="K78" t="str">
            <v>销售提升训</v>
          </cell>
        </row>
        <row r="79">
          <cell r="B79" t="str">
            <v>1月</v>
          </cell>
          <cell r="C79" t="str">
            <v>西南总部</v>
          </cell>
          <cell r="D79" t="str">
            <v>营业二部</v>
          </cell>
        </row>
        <row r="79">
          <cell r="I79" t="str">
            <v>已签到</v>
          </cell>
          <cell r="J79">
            <v>46035</v>
          </cell>
          <cell r="K79" t="str">
            <v>销售提升训</v>
          </cell>
        </row>
        <row r="80">
          <cell r="B80" t="str">
            <v>1月</v>
          </cell>
          <cell r="C80" t="str">
            <v>西南总部</v>
          </cell>
          <cell r="D80" t="str">
            <v>营业二部</v>
          </cell>
        </row>
        <row r="80">
          <cell r="I80" t="str">
            <v>未签到</v>
          </cell>
          <cell r="J80">
            <v>46035</v>
          </cell>
          <cell r="K80" t="str">
            <v>销售提升训</v>
          </cell>
        </row>
        <row r="81">
          <cell r="B81" t="str">
            <v>1月</v>
          </cell>
          <cell r="C81" t="str">
            <v>西南总部</v>
          </cell>
          <cell r="D81" t="str">
            <v>营业二部</v>
          </cell>
        </row>
        <row r="81">
          <cell r="I81" t="str">
            <v>已签到</v>
          </cell>
          <cell r="J81">
            <v>46035</v>
          </cell>
          <cell r="K81" t="str">
            <v>销售提升训</v>
          </cell>
        </row>
        <row r="82">
          <cell r="B82" t="str">
            <v>1月</v>
          </cell>
          <cell r="C82" t="str">
            <v>湖北</v>
          </cell>
          <cell r="D82" t="str">
            <v>湖北1部</v>
          </cell>
        </row>
        <row r="82">
          <cell r="I82" t="str">
            <v>未签到</v>
          </cell>
          <cell r="J82">
            <v>46035</v>
          </cell>
          <cell r="K82" t="str">
            <v>销售提升训</v>
          </cell>
        </row>
        <row r="83">
          <cell r="B83" t="str">
            <v>1月</v>
          </cell>
          <cell r="C83" t="str">
            <v>西南总部</v>
          </cell>
          <cell r="D83" t="str">
            <v>营业一部</v>
          </cell>
        </row>
        <row r="83">
          <cell r="I83" t="str">
            <v>已签到</v>
          </cell>
          <cell r="J83">
            <v>46035</v>
          </cell>
          <cell r="K83" t="str">
            <v>销售提升训</v>
          </cell>
        </row>
        <row r="84">
          <cell r="B84" t="str">
            <v>1月</v>
          </cell>
          <cell r="C84" t="str">
            <v>西南总部</v>
          </cell>
          <cell r="D84" t="str">
            <v>营业一部</v>
          </cell>
        </row>
        <row r="84">
          <cell r="I84" t="str">
            <v>已签到</v>
          </cell>
          <cell r="J84">
            <v>46035</v>
          </cell>
          <cell r="K84" t="str">
            <v>销售提升训</v>
          </cell>
        </row>
        <row r="85">
          <cell r="B85" t="str">
            <v>1月</v>
          </cell>
          <cell r="C85" t="str">
            <v>西南总部</v>
          </cell>
          <cell r="D85" t="str">
            <v>营业一部</v>
          </cell>
        </row>
        <row r="85">
          <cell r="I85" t="str">
            <v>已签到</v>
          </cell>
          <cell r="J85">
            <v>46035</v>
          </cell>
          <cell r="K85" t="str">
            <v>销售提升训</v>
          </cell>
        </row>
        <row r="86">
          <cell r="B86" t="str">
            <v>1月</v>
          </cell>
          <cell r="C86" t="str">
            <v>辽宁</v>
          </cell>
          <cell r="D86" t="str">
            <v>辽宁销售部</v>
          </cell>
        </row>
        <row r="86">
          <cell r="I86" t="str">
            <v>已签到</v>
          </cell>
          <cell r="J86">
            <v>46035</v>
          </cell>
          <cell r="K86" t="str">
            <v>销售提升训</v>
          </cell>
        </row>
        <row r="87">
          <cell r="B87" t="str">
            <v>1月</v>
          </cell>
          <cell r="C87" t="str">
            <v>山西</v>
          </cell>
          <cell r="D87" t="str">
            <v>山西销售部</v>
          </cell>
        </row>
        <row r="87">
          <cell r="I87" t="str">
            <v>已签到</v>
          </cell>
          <cell r="J87">
            <v>46031</v>
          </cell>
          <cell r="K87" t="str">
            <v>B岗培训</v>
          </cell>
        </row>
        <row r="88">
          <cell r="B88" t="str">
            <v>1月</v>
          </cell>
          <cell r="C88" t="str">
            <v>西南总部</v>
          </cell>
          <cell r="D88" t="str">
            <v>营业三部</v>
          </cell>
        </row>
        <row r="88">
          <cell r="I88" t="str">
            <v>已签到</v>
          </cell>
          <cell r="J88">
            <v>46031</v>
          </cell>
          <cell r="K88" t="str">
            <v>B岗培训</v>
          </cell>
        </row>
        <row r="89">
          <cell r="B89" t="str">
            <v>1月</v>
          </cell>
          <cell r="C89" t="str">
            <v>山东</v>
          </cell>
          <cell r="D89" t="str">
            <v>山东销售部</v>
          </cell>
        </row>
        <row r="89">
          <cell r="I89" t="str">
            <v>已签到</v>
          </cell>
          <cell r="J89">
            <v>46031</v>
          </cell>
          <cell r="K89" t="str">
            <v>B岗培训</v>
          </cell>
        </row>
        <row r="90">
          <cell r="B90" t="str">
            <v>1月</v>
          </cell>
          <cell r="C90" t="str">
            <v>西南总部</v>
          </cell>
          <cell r="D90" t="str">
            <v>营业三部</v>
          </cell>
        </row>
        <row r="90">
          <cell r="I90" t="str">
            <v>已签到</v>
          </cell>
          <cell r="J90">
            <v>46031</v>
          </cell>
          <cell r="K90" t="str">
            <v>B岗培训</v>
          </cell>
        </row>
        <row r="91">
          <cell r="B91" t="str">
            <v>1月</v>
          </cell>
          <cell r="C91" t="str">
            <v>湖南</v>
          </cell>
          <cell r="D91" t="str">
            <v>湖南销售部</v>
          </cell>
        </row>
        <row r="91">
          <cell r="I91" t="str">
            <v>已签到</v>
          </cell>
          <cell r="J91">
            <v>46031</v>
          </cell>
          <cell r="K91" t="str">
            <v>B岗培训</v>
          </cell>
        </row>
        <row r="92">
          <cell r="B92" t="str">
            <v>1月</v>
          </cell>
          <cell r="C92" t="str">
            <v>西南总部</v>
          </cell>
          <cell r="D92" t="str">
            <v>营业一部</v>
          </cell>
        </row>
        <row r="92">
          <cell r="I92" t="str">
            <v>已签到</v>
          </cell>
          <cell r="J92">
            <v>46031</v>
          </cell>
          <cell r="K92" t="str">
            <v>B岗培训</v>
          </cell>
        </row>
        <row r="93">
          <cell r="B93" t="str">
            <v>1月</v>
          </cell>
          <cell r="C93" t="str">
            <v>西南总部</v>
          </cell>
          <cell r="D93" t="str">
            <v>营业六部</v>
          </cell>
        </row>
        <row r="93">
          <cell r="I93" t="str">
            <v>已签到</v>
          </cell>
          <cell r="J93">
            <v>46031</v>
          </cell>
          <cell r="K93" t="str">
            <v>B岗培训</v>
          </cell>
        </row>
        <row r="94">
          <cell r="B94" t="str">
            <v>1月</v>
          </cell>
          <cell r="C94" t="str">
            <v>湖南</v>
          </cell>
          <cell r="D94" t="str">
            <v>湖南销售部</v>
          </cell>
        </row>
        <row r="94">
          <cell r="I94" t="str">
            <v>已签到</v>
          </cell>
          <cell r="J94">
            <v>46031</v>
          </cell>
          <cell r="K94" t="str">
            <v>B岗培训</v>
          </cell>
        </row>
        <row r="95">
          <cell r="B95" t="str">
            <v>1月</v>
          </cell>
          <cell r="C95" t="str">
            <v>西南总部</v>
          </cell>
          <cell r="D95" t="str">
            <v>营业五部</v>
          </cell>
        </row>
        <row r="95">
          <cell r="I95" t="str">
            <v>已签到</v>
          </cell>
          <cell r="J95">
            <v>46031</v>
          </cell>
          <cell r="K95" t="str">
            <v>B岗培训</v>
          </cell>
        </row>
        <row r="96">
          <cell r="B96" t="str">
            <v>1月</v>
          </cell>
          <cell r="C96" t="str">
            <v>西南总部</v>
          </cell>
          <cell r="D96" t="str">
            <v>营业五部</v>
          </cell>
        </row>
        <row r="96">
          <cell r="I96" t="str">
            <v>已签到</v>
          </cell>
          <cell r="J96">
            <v>46031</v>
          </cell>
          <cell r="K96" t="str">
            <v>B岗培训</v>
          </cell>
        </row>
        <row r="97">
          <cell r="B97" t="str">
            <v>1月</v>
          </cell>
          <cell r="C97" t="str">
            <v>西南总部</v>
          </cell>
          <cell r="D97" t="str">
            <v>营业五部</v>
          </cell>
        </row>
        <row r="97">
          <cell r="I97" t="str">
            <v>已签到</v>
          </cell>
          <cell r="J97">
            <v>46031</v>
          </cell>
          <cell r="K97" t="str">
            <v>B岗培训</v>
          </cell>
        </row>
        <row r="98">
          <cell r="B98" t="str">
            <v>1月</v>
          </cell>
          <cell r="C98" t="str">
            <v>西南总部</v>
          </cell>
          <cell r="D98" t="str">
            <v>营业三部</v>
          </cell>
        </row>
        <row r="98">
          <cell r="I98" t="str">
            <v>已签到</v>
          </cell>
          <cell r="J98">
            <v>46031</v>
          </cell>
          <cell r="K98" t="str">
            <v>B岗培训</v>
          </cell>
        </row>
        <row r="99">
          <cell r="B99" t="str">
            <v>1月</v>
          </cell>
          <cell r="C99" t="str">
            <v>山东</v>
          </cell>
          <cell r="D99" t="str">
            <v>山东销售部</v>
          </cell>
        </row>
        <row r="99">
          <cell r="I99" t="str">
            <v>已签到</v>
          </cell>
          <cell r="J99">
            <v>46031</v>
          </cell>
          <cell r="K99" t="str">
            <v>B岗培训</v>
          </cell>
        </row>
        <row r="100">
          <cell r="B100" t="str">
            <v>1月</v>
          </cell>
          <cell r="C100" t="str">
            <v>山东</v>
          </cell>
          <cell r="D100" t="str">
            <v>山东销售部</v>
          </cell>
        </row>
        <row r="100">
          <cell r="I100" t="str">
            <v>已签到</v>
          </cell>
          <cell r="J100">
            <v>46031</v>
          </cell>
          <cell r="K100" t="str">
            <v>B岗培训</v>
          </cell>
        </row>
        <row r="101">
          <cell r="B101" t="str">
            <v>1月</v>
          </cell>
          <cell r="C101" t="str">
            <v>湖北</v>
          </cell>
          <cell r="D101" t="str">
            <v>湖北1部</v>
          </cell>
        </row>
        <row r="101">
          <cell r="I101" t="str">
            <v>已签到</v>
          </cell>
          <cell r="J101">
            <v>46031</v>
          </cell>
          <cell r="K101" t="str">
            <v>B岗培训</v>
          </cell>
        </row>
        <row r="102">
          <cell r="B102" t="str">
            <v>1月</v>
          </cell>
          <cell r="C102" t="str">
            <v>陕西</v>
          </cell>
          <cell r="D102" t="str">
            <v>陕西2部</v>
          </cell>
        </row>
        <row r="102">
          <cell r="I102" t="str">
            <v>已签到</v>
          </cell>
          <cell r="J102">
            <v>46031</v>
          </cell>
          <cell r="K102" t="str">
            <v>B岗培训</v>
          </cell>
        </row>
        <row r="103">
          <cell r="B103" t="str">
            <v>1月</v>
          </cell>
          <cell r="C103" t="str">
            <v>湖北</v>
          </cell>
          <cell r="D103" t="str">
            <v>湖北1部</v>
          </cell>
        </row>
        <row r="103">
          <cell r="I103" t="str">
            <v>已签到</v>
          </cell>
          <cell r="J103">
            <v>46031</v>
          </cell>
          <cell r="K103" t="str">
            <v>B岗培训</v>
          </cell>
        </row>
        <row r="104">
          <cell r="B104" t="str">
            <v>1月</v>
          </cell>
          <cell r="C104" t="str">
            <v>湖南</v>
          </cell>
          <cell r="D104" t="str">
            <v>湖南销售部</v>
          </cell>
        </row>
        <row r="104">
          <cell r="I104" t="str">
            <v>已签到</v>
          </cell>
          <cell r="J104">
            <v>46031</v>
          </cell>
          <cell r="K104" t="str">
            <v>B岗培训</v>
          </cell>
        </row>
        <row r="105">
          <cell r="B105" t="str">
            <v>1月</v>
          </cell>
          <cell r="C105" t="str">
            <v>陕西</v>
          </cell>
          <cell r="D105" t="str">
            <v>陕西2部</v>
          </cell>
        </row>
        <row r="105">
          <cell r="I105" t="str">
            <v>已签到</v>
          </cell>
          <cell r="J105">
            <v>46031</v>
          </cell>
          <cell r="K105" t="str">
            <v>B岗培训</v>
          </cell>
        </row>
        <row r="106">
          <cell r="B106" t="str">
            <v>1月</v>
          </cell>
          <cell r="C106" t="str">
            <v>陕西</v>
          </cell>
          <cell r="D106" t="str">
            <v>陕西2部</v>
          </cell>
        </row>
        <row r="106">
          <cell r="I106" t="str">
            <v>已签到</v>
          </cell>
          <cell r="J106">
            <v>46031</v>
          </cell>
          <cell r="K106" t="str">
            <v>B岗培训</v>
          </cell>
        </row>
        <row r="107">
          <cell r="B107" t="str">
            <v>1月</v>
          </cell>
          <cell r="C107" t="str">
            <v>山东</v>
          </cell>
          <cell r="D107" t="str">
            <v>山东销售部</v>
          </cell>
        </row>
        <row r="107">
          <cell r="I107" t="str">
            <v>已签到</v>
          </cell>
          <cell r="J107">
            <v>46037</v>
          </cell>
          <cell r="K107" t="str">
            <v>B岗培训</v>
          </cell>
        </row>
        <row r="108">
          <cell r="B108" t="str">
            <v>1月</v>
          </cell>
          <cell r="C108" t="str">
            <v>西南总部</v>
          </cell>
          <cell r="D108" t="str">
            <v>营业六部</v>
          </cell>
        </row>
        <row r="108">
          <cell r="I108" t="str">
            <v>已签到</v>
          </cell>
          <cell r="J108">
            <v>46037</v>
          </cell>
          <cell r="K108" t="str">
            <v>B岗培训</v>
          </cell>
        </row>
        <row r="109">
          <cell r="B109" t="str">
            <v>1月</v>
          </cell>
          <cell r="C109" t="str">
            <v>西南总部</v>
          </cell>
          <cell r="D109" t="str">
            <v>营业一部</v>
          </cell>
        </row>
        <row r="109">
          <cell r="I109" t="str">
            <v>已签到</v>
          </cell>
          <cell r="J109">
            <v>46037</v>
          </cell>
          <cell r="K109" t="str">
            <v>B岗培训</v>
          </cell>
        </row>
        <row r="110">
          <cell r="B110" t="str">
            <v>1月</v>
          </cell>
          <cell r="C110" t="str">
            <v>西南总部</v>
          </cell>
          <cell r="D110" t="str">
            <v>营业三部</v>
          </cell>
        </row>
        <row r="110">
          <cell r="I110" t="str">
            <v>已签到</v>
          </cell>
          <cell r="J110">
            <v>46037</v>
          </cell>
          <cell r="K110" t="str">
            <v>B岗培训</v>
          </cell>
        </row>
        <row r="111">
          <cell r="B111" t="str">
            <v>1月</v>
          </cell>
          <cell r="C111" t="str">
            <v>湖南</v>
          </cell>
          <cell r="D111" t="str">
            <v>湖南销售部</v>
          </cell>
        </row>
        <row r="111">
          <cell r="I111" t="str">
            <v>已签到</v>
          </cell>
          <cell r="J111">
            <v>46037</v>
          </cell>
          <cell r="K111" t="str">
            <v>B岗培训</v>
          </cell>
        </row>
        <row r="112">
          <cell r="B112" t="str">
            <v>1月</v>
          </cell>
          <cell r="C112" t="str">
            <v>西南总部</v>
          </cell>
          <cell r="D112" t="str">
            <v>营业三部</v>
          </cell>
        </row>
        <row r="112">
          <cell r="I112" t="str">
            <v>已签到</v>
          </cell>
          <cell r="J112">
            <v>46037</v>
          </cell>
          <cell r="K112" t="str">
            <v>B岗培训</v>
          </cell>
        </row>
        <row r="113">
          <cell r="B113" t="str">
            <v>1月</v>
          </cell>
          <cell r="C113" t="str">
            <v>山西</v>
          </cell>
          <cell r="D113" t="str">
            <v>山西销售部</v>
          </cell>
        </row>
        <row r="113">
          <cell r="I113" t="str">
            <v>已签到</v>
          </cell>
          <cell r="J113">
            <v>46037</v>
          </cell>
          <cell r="K113" t="str">
            <v>B岗培训</v>
          </cell>
        </row>
        <row r="114">
          <cell r="B114" t="str">
            <v>1月</v>
          </cell>
          <cell r="C114" t="str">
            <v>西南总部</v>
          </cell>
          <cell r="D114" t="str">
            <v>营业五部</v>
          </cell>
        </row>
        <row r="114">
          <cell r="I114" t="str">
            <v>已签到</v>
          </cell>
          <cell r="J114">
            <v>46037</v>
          </cell>
          <cell r="K114" t="str">
            <v>B岗培训</v>
          </cell>
        </row>
        <row r="115">
          <cell r="B115" t="str">
            <v>1月</v>
          </cell>
          <cell r="C115" t="str">
            <v>西南总部</v>
          </cell>
          <cell r="D115" t="str">
            <v>营业五部</v>
          </cell>
        </row>
        <row r="115">
          <cell r="I115" t="str">
            <v>已签到</v>
          </cell>
          <cell r="J115">
            <v>46037</v>
          </cell>
          <cell r="K115" t="str">
            <v>B岗培训</v>
          </cell>
        </row>
        <row r="116">
          <cell r="B116" t="str">
            <v>1月</v>
          </cell>
          <cell r="C116" t="str">
            <v>西南总部</v>
          </cell>
          <cell r="D116" t="str">
            <v>营业五部</v>
          </cell>
        </row>
        <row r="116">
          <cell r="I116" t="str">
            <v>已签到</v>
          </cell>
          <cell r="J116">
            <v>46037</v>
          </cell>
          <cell r="K116" t="str">
            <v>B岗培训</v>
          </cell>
        </row>
        <row r="117">
          <cell r="B117" t="str">
            <v>1月</v>
          </cell>
          <cell r="C117" t="str">
            <v>湖北</v>
          </cell>
          <cell r="D117" t="str">
            <v>湖北1部</v>
          </cell>
        </row>
        <row r="117">
          <cell r="I117" t="str">
            <v>已签到</v>
          </cell>
          <cell r="J117">
            <v>46037</v>
          </cell>
          <cell r="K117" t="str">
            <v>B岗培训</v>
          </cell>
        </row>
        <row r="118">
          <cell r="B118" t="str">
            <v>1月</v>
          </cell>
          <cell r="C118" t="str">
            <v>山东</v>
          </cell>
          <cell r="D118" t="str">
            <v>山东销售部</v>
          </cell>
        </row>
        <row r="118">
          <cell r="I118" t="str">
            <v>已签到</v>
          </cell>
          <cell r="J118">
            <v>46037</v>
          </cell>
          <cell r="K118" t="str">
            <v>B岗培训</v>
          </cell>
        </row>
        <row r="119">
          <cell r="B119" t="str">
            <v>1月</v>
          </cell>
          <cell r="C119" t="str">
            <v>湖南</v>
          </cell>
          <cell r="D119" t="str">
            <v>湖南销售部</v>
          </cell>
        </row>
        <row r="119">
          <cell r="I119" t="str">
            <v>已签到</v>
          </cell>
          <cell r="J119">
            <v>46037</v>
          </cell>
          <cell r="K119" t="str">
            <v>B岗培训</v>
          </cell>
        </row>
        <row r="120">
          <cell r="B120" t="str">
            <v>1月</v>
          </cell>
          <cell r="C120" t="str">
            <v>西南总部</v>
          </cell>
          <cell r="D120" t="str">
            <v>营业五部</v>
          </cell>
        </row>
        <row r="120">
          <cell r="I120" t="str">
            <v>已签到</v>
          </cell>
          <cell r="J120">
            <v>46037</v>
          </cell>
          <cell r="K120" t="str">
            <v>B岗培训</v>
          </cell>
        </row>
        <row r="121">
          <cell r="B121" t="str">
            <v>1月</v>
          </cell>
          <cell r="C121" t="str">
            <v>山东</v>
          </cell>
          <cell r="D121" t="str">
            <v>山东销售部</v>
          </cell>
        </row>
        <row r="121">
          <cell r="I121" t="str">
            <v>已签到</v>
          </cell>
          <cell r="J121">
            <v>46037</v>
          </cell>
          <cell r="K121" t="str">
            <v>B岗培训</v>
          </cell>
        </row>
        <row r="122">
          <cell r="B122" t="str">
            <v>1月</v>
          </cell>
          <cell r="C122" t="str">
            <v>陕西</v>
          </cell>
          <cell r="D122" t="str">
            <v>陕西2部</v>
          </cell>
        </row>
        <row r="122">
          <cell r="I122" t="str">
            <v>已签到</v>
          </cell>
          <cell r="J122">
            <v>46037</v>
          </cell>
          <cell r="K122" t="str">
            <v>B岗培训</v>
          </cell>
        </row>
        <row r="123">
          <cell r="B123" t="str">
            <v>1月</v>
          </cell>
          <cell r="C123" t="str">
            <v>陕西</v>
          </cell>
          <cell r="D123" t="str">
            <v>陕西2部</v>
          </cell>
        </row>
        <row r="123">
          <cell r="I123" t="str">
            <v>已签到</v>
          </cell>
          <cell r="J123">
            <v>46037</v>
          </cell>
          <cell r="K123" t="str">
            <v>B岗培训</v>
          </cell>
        </row>
        <row r="124">
          <cell r="B124" t="str">
            <v>1月</v>
          </cell>
          <cell r="C124" t="str">
            <v>湖北</v>
          </cell>
          <cell r="D124" t="str">
            <v>湖北1部</v>
          </cell>
        </row>
        <row r="124">
          <cell r="I124" t="str">
            <v>已签到</v>
          </cell>
          <cell r="J124">
            <v>46037</v>
          </cell>
          <cell r="K124" t="str">
            <v>B岗培训</v>
          </cell>
        </row>
        <row r="125">
          <cell r="B125" t="str">
            <v>1月</v>
          </cell>
          <cell r="C125" t="str">
            <v>湖南</v>
          </cell>
          <cell r="D125" t="str">
            <v>湖南销售部</v>
          </cell>
        </row>
        <row r="125">
          <cell r="I125" t="str">
            <v>已签到</v>
          </cell>
          <cell r="J125">
            <v>46037</v>
          </cell>
          <cell r="K125" t="str">
            <v>B岗培训</v>
          </cell>
        </row>
        <row r="126">
          <cell r="B126" t="str">
            <v>1月</v>
          </cell>
          <cell r="C126" t="str">
            <v>陕西</v>
          </cell>
          <cell r="D126" t="str">
            <v>陕西2部</v>
          </cell>
        </row>
        <row r="126">
          <cell r="I126" t="str">
            <v>已签到</v>
          </cell>
          <cell r="J126">
            <v>46037</v>
          </cell>
          <cell r="K126" t="str">
            <v>B岗培训</v>
          </cell>
        </row>
        <row r="127">
          <cell r="B127" t="str">
            <v>1月</v>
          </cell>
          <cell r="C127" t="str">
            <v>西南总部</v>
          </cell>
          <cell r="D127" t="str">
            <v>营业三部</v>
          </cell>
        </row>
        <row r="127">
          <cell r="I127" t="str">
            <v>已签到</v>
          </cell>
          <cell r="J127">
            <v>46037</v>
          </cell>
          <cell r="K127" t="str">
            <v>B岗培训</v>
          </cell>
        </row>
        <row r="128">
          <cell r="B128" t="str">
            <v>1月</v>
          </cell>
          <cell r="C128" t="str">
            <v>西南总部</v>
          </cell>
          <cell r="D128" t="str">
            <v>营业三部</v>
          </cell>
        </row>
        <row r="128">
          <cell r="I128" t="str">
            <v>已签到</v>
          </cell>
          <cell r="J128">
            <v>46036</v>
          </cell>
          <cell r="K128" t="str">
            <v>B岗培训</v>
          </cell>
        </row>
        <row r="129">
          <cell r="B129" t="str">
            <v>1月</v>
          </cell>
          <cell r="C129" t="str">
            <v>山东</v>
          </cell>
          <cell r="D129" t="str">
            <v>山东销售部</v>
          </cell>
        </row>
        <row r="129">
          <cell r="I129" t="str">
            <v>已签到</v>
          </cell>
          <cell r="J129">
            <v>46036</v>
          </cell>
          <cell r="K129" t="str">
            <v>B岗培训</v>
          </cell>
        </row>
        <row r="130">
          <cell r="B130" t="str">
            <v>1月</v>
          </cell>
          <cell r="C130" t="str">
            <v>西南总部</v>
          </cell>
          <cell r="D130" t="str">
            <v>营业六部</v>
          </cell>
        </row>
        <row r="130">
          <cell r="I130" t="str">
            <v>已签到</v>
          </cell>
          <cell r="J130">
            <v>46036</v>
          </cell>
          <cell r="K130" t="str">
            <v>B岗培训</v>
          </cell>
        </row>
        <row r="131">
          <cell r="B131" t="str">
            <v>1月</v>
          </cell>
          <cell r="C131" t="str">
            <v>西南总部</v>
          </cell>
          <cell r="D131" t="str">
            <v>营业一部</v>
          </cell>
        </row>
        <row r="131">
          <cell r="I131" t="str">
            <v>已签到</v>
          </cell>
          <cell r="J131">
            <v>46036</v>
          </cell>
          <cell r="K131" t="str">
            <v>B岗培训</v>
          </cell>
        </row>
        <row r="132">
          <cell r="B132" t="str">
            <v>1月</v>
          </cell>
          <cell r="C132" t="str">
            <v>西南总部</v>
          </cell>
          <cell r="D132" t="str">
            <v>营业三部</v>
          </cell>
        </row>
        <row r="132">
          <cell r="I132" t="str">
            <v>已签到</v>
          </cell>
          <cell r="J132">
            <v>46036</v>
          </cell>
          <cell r="K132" t="str">
            <v>B岗培训</v>
          </cell>
        </row>
        <row r="133">
          <cell r="B133" t="str">
            <v>1月</v>
          </cell>
          <cell r="C133" t="str">
            <v>湖南</v>
          </cell>
          <cell r="D133" t="str">
            <v>湖南销售部</v>
          </cell>
        </row>
        <row r="133">
          <cell r="I133" t="str">
            <v>已签到</v>
          </cell>
          <cell r="J133">
            <v>46036</v>
          </cell>
          <cell r="K133" t="str">
            <v>B岗培训</v>
          </cell>
        </row>
        <row r="134">
          <cell r="B134" t="str">
            <v>1月</v>
          </cell>
          <cell r="C134" t="str">
            <v>西南总部</v>
          </cell>
          <cell r="D134" t="str">
            <v>营业三部</v>
          </cell>
        </row>
        <row r="134">
          <cell r="I134" t="str">
            <v>已签到</v>
          </cell>
          <cell r="J134">
            <v>46036</v>
          </cell>
          <cell r="K134" t="str">
            <v>B岗培训</v>
          </cell>
        </row>
        <row r="135">
          <cell r="B135" t="str">
            <v>1月</v>
          </cell>
          <cell r="C135" t="str">
            <v>山西</v>
          </cell>
          <cell r="D135" t="str">
            <v>山西销售部</v>
          </cell>
        </row>
        <row r="135">
          <cell r="I135" t="str">
            <v>已签到</v>
          </cell>
          <cell r="J135">
            <v>46036</v>
          </cell>
          <cell r="K135" t="str">
            <v>B岗培训</v>
          </cell>
        </row>
        <row r="136">
          <cell r="B136" t="str">
            <v>1月</v>
          </cell>
          <cell r="C136" t="str">
            <v>西南总部</v>
          </cell>
          <cell r="D136" t="str">
            <v>营业五部</v>
          </cell>
        </row>
        <row r="136">
          <cell r="I136" t="str">
            <v>已签到</v>
          </cell>
          <cell r="J136">
            <v>46036</v>
          </cell>
          <cell r="K136" t="str">
            <v>B岗培训</v>
          </cell>
        </row>
        <row r="137">
          <cell r="B137" t="str">
            <v>1月</v>
          </cell>
          <cell r="C137" t="str">
            <v>西南总部</v>
          </cell>
          <cell r="D137" t="str">
            <v>营业五部</v>
          </cell>
        </row>
        <row r="137">
          <cell r="I137" t="str">
            <v>已签到</v>
          </cell>
          <cell r="J137">
            <v>46036</v>
          </cell>
          <cell r="K137" t="str">
            <v>B岗培训</v>
          </cell>
        </row>
        <row r="138">
          <cell r="B138" t="str">
            <v>1月</v>
          </cell>
          <cell r="C138" t="str">
            <v>西南总部</v>
          </cell>
          <cell r="D138" t="str">
            <v>营业五部</v>
          </cell>
        </row>
        <row r="138">
          <cell r="I138" t="str">
            <v>已签到</v>
          </cell>
          <cell r="J138">
            <v>46036</v>
          </cell>
          <cell r="K138" t="str">
            <v>B岗培训</v>
          </cell>
        </row>
        <row r="139">
          <cell r="B139" t="str">
            <v>1月</v>
          </cell>
          <cell r="C139" t="str">
            <v>湖北</v>
          </cell>
          <cell r="D139" t="str">
            <v>湖北1部</v>
          </cell>
        </row>
        <row r="139">
          <cell r="I139" t="str">
            <v>已签到</v>
          </cell>
          <cell r="J139">
            <v>46036</v>
          </cell>
          <cell r="K139" t="str">
            <v>B岗培训</v>
          </cell>
        </row>
        <row r="140">
          <cell r="B140" t="str">
            <v>1月</v>
          </cell>
          <cell r="C140" t="str">
            <v>山东</v>
          </cell>
          <cell r="D140" t="str">
            <v>山东销售部</v>
          </cell>
        </row>
        <row r="140">
          <cell r="I140" t="str">
            <v>已签到</v>
          </cell>
          <cell r="J140">
            <v>46036</v>
          </cell>
          <cell r="K140" t="str">
            <v>B岗培训</v>
          </cell>
        </row>
        <row r="141">
          <cell r="B141" t="str">
            <v>1月</v>
          </cell>
          <cell r="C141" t="str">
            <v>湖南</v>
          </cell>
          <cell r="D141" t="str">
            <v>湖南销售部</v>
          </cell>
        </row>
        <row r="141">
          <cell r="I141" t="str">
            <v>已签到</v>
          </cell>
          <cell r="J141">
            <v>46036</v>
          </cell>
          <cell r="K141" t="str">
            <v>B岗培训</v>
          </cell>
        </row>
        <row r="142">
          <cell r="B142" t="str">
            <v>1月</v>
          </cell>
          <cell r="C142" t="str">
            <v>西南总部</v>
          </cell>
          <cell r="D142" t="str">
            <v>营业五部</v>
          </cell>
        </row>
        <row r="142">
          <cell r="I142" t="str">
            <v>已签到</v>
          </cell>
          <cell r="J142">
            <v>46036</v>
          </cell>
          <cell r="K142" t="str">
            <v>B岗培训</v>
          </cell>
        </row>
        <row r="143">
          <cell r="B143" t="str">
            <v>1月</v>
          </cell>
          <cell r="C143" t="str">
            <v>山东</v>
          </cell>
          <cell r="D143" t="str">
            <v>山东销售部</v>
          </cell>
        </row>
        <row r="143">
          <cell r="I143" t="str">
            <v>已签到</v>
          </cell>
          <cell r="J143">
            <v>46036</v>
          </cell>
          <cell r="K143" t="str">
            <v>B岗培训</v>
          </cell>
        </row>
        <row r="144">
          <cell r="B144" t="str">
            <v>1月</v>
          </cell>
          <cell r="C144" t="str">
            <v>陕西</v>
          </cell>
          <cell r="D144" t="str">
            <v>陕西2部</v>
          </cell>
        </row>
        <row r="144">
          <cell r="I144" t="str">
            <v>已签到</v>
          </cell>
          <cell r="J144">
            <v>46036</v>
          </cell>
          <cell r="K144" t="str">
            <v>B岗培训</v>
          </cell>
        </row>
        <row r="145">
          <cell r="B145" t="str">
            <v>1月</v>
          </cell>
          <cell r="C145" t="str">
            <v>陕西</v>
          </cell>
          <cell r="D145" t="str">
            <v>陕西2部</v>
          </cell>
        </row>
        <row r="145">
          <cell r="I145" t="str">
            <v>已签到</v>
          </cell>
          <cell r="J145">
            <v>46036</v>
          </cell>
          <cell r="K145" t="str">
            <v>B岗培训</v>
          </cell>
        </row>
        <row r="146">
          <cell r="B146" t="str">
            <v>1月</v>
          </cell>
          <cell r="C146" t="str">
            <v>湖北</v>
          </cell>
          <cell r="D146" t="str">
            <v>湖北1部</v>
          </cell>
        </row>
        <row r="146">
          <cell r="I146" t="str">
            <v>已签到</v>
          </cell>
          <cell r="J146">
            <v>46036</v>
          </cell>
          <cell r="K146" t="str">
            <v>B岗培训</v>
          </cell>
        </row>
        <row r="147">
          <cell r="B147" t="str">
            <v>1月</v>
          </cell>
          <cell r="C147" t="str">
            <v>湖南</v>
          </cell>
          <cell r="D147" t="str">
            <v>湖南销售部</v>
          </cell>
        </row>
        <row r="147">
          <cell r="I147" t="str">
            <v>已签到</v>
          </cell>
          <cell r="J147">
            <v>46036</v>
          </cell>
          <cell r="K147" t="str">
            <v>B岗培训</v>
          </cell>
        </row>
        <row r="148">
          <cell r="B148" t="str">
            <v>1月</v>
          </cell>
          <cell r="C148" t="str">
            <v>陕西</v>
          </cell>
          <cell r="D148" t="str">
            <v>陕西2部</v>
          </cell>
        </row>
        <row r="148">
          <cell r="I148" t="str">
            <v>已签到</v>
          </cell>
          <cell r="J148">
            <v>46036</v>
          </cell>
          <cell r="K148" t="str">
            <v>B岗培训</v>
          </cell>
        </row>
        <row r="149">
          <cell r="B149" t="str">
            <v>1月</v>
          </cell>
          <cell r="C149" t="str">
            <v>西南总部</v>
          </cell>
          <cell r="D149" t="str">
            <v>营业二部</v>
          </cell>
        </row>
        <row r="149">
          <cell r="I149" t="str">
            <v>已签到</v>
          </cell>
          <cell r="J149">
            <v>46050</v>
          </cell>
          <cell r="K149" t="str">
            <v>B岗培训</v>
          </cell>
        </row>
        <row r="150">
          <cell r="B150" t="str">
            <v>1月</v>
          </cell>
          <cell r="C150" t="str">
            <v>山东</v>
          </cell>
          <cell r="D150" t="str">
            <v>山东销售部</v>
          </cell>
        </row>
        <row r="150">
          <cell r="I150" t="str">
            <v>已签到</v>
          </cell>
          <cell r="J150">
            <v>46050</v>
          </cell>
          <cell r="K150" t="str">
            <v>B岗培训</v>
          </cell>
        </row>
        <row r="151">
          <cell r="B151" t="str">
            <v>1月</v>
          </cell>
          <cell r="C151" t="str">
            <v>西南总部</v>
          </cell>
          <cell r="D151" t="str">
            <v>营业六部</v>
          </cell>
        </row>
        <row r="151">
          <cell r="I151" t="str">
            <v>已签到</v>
          </cell>
          <cell r="J151">
            <v>46050</v>
          </cell>
          <cell r="K151" t="str">
            <v>B岗培训</v>
          </cell>
        </row>
        <row r="152">
          <cell r="B152" t="str">
            <v>1月</v>
          </cell>
          <cell r="C152" t="str">
            <v>西南总部</v>
          </cell>
          <cell r="D152" t="str">
            <v>营业一部</v>
          </cell>
        </row>
        <row r="152">
          <cell r="I152" t="str">
            <v>已签到</v>
          </cell>
          <cell r="J152">
            <v>46050</v>
          </cell>
          <cell r="K152" t="str">
            <v>B岗培训</v>
          </cell>
        </row>
        <row r="153">
          <cell r="B153" t="str">
            <v>1月</v>
          </cell>
          <cell r="C153" t="str">
            <v>西南总部</v>
          </cell>
          <cell r="D153" t="str">
            <v>营业三部</v>
          </cell>
        </row>
        <row r="153">
          <cell r="I153" t="str">
            <v>已签到</v>
          </cell>
          <cell r="J153">
            <v>46050</v>
          </cell>
          <cell r="K153" t="str">
            <v>B岗培训</v>
          </cell>
        </row>
        <row r="154">
          <cell r="B154" t="str">
            <v>1月</v>
          </cell>
          <cell r="C154" t="str">
            <v>湖南</v>
          </cell>
          <cell r="D154" t="str">
            <v>湖南销售部</v>
          </cell>
        </row>
        <row r="154">
          <cell r="I154" t="str">
            <v>已签到</v>
          </cell>
          <cell r="J154">
            <v>46050</v>
          </cell>
          <cell r="K154" t="str">
            <v>B岗培训</v>
          </cell>
        </row>
        <row r="155">
          <cell r="B155" t="str">
            <v>1月</v>
          </cell>
          <cell r="C155" t="str">
            <v>西南总部</v>
          </cell>
          <cell r="D155" t="str">
            <v>营业三部</v>
          </cell>
        </row>
        <row r="155">
          <cell r="I155" t="str">
            <v>已签到</v>
          </cell>
          <cell r="J155">
            <v>46050</v>
          </cell>
          <cell r="K155" t="str">
            <v>B岗培训</v>
          </cell>
        </row>
        <row r="156">
          <cell r="B156" t="str">
            <v>1月</v>
          </cell>
          <cell r="C156" t="str">
            <v>山西</v>
          </cell>
          <cell r="D156" t="str">
            <v>山西销售部</v>
          </cell>
        </row>
        <row r="156">
          <cell r="I156" t="str">
            <v>已签到</v>
          </cell>
          <cell r="J156">
            <v>46050</v>
          </cell>
          <cell r="K156" t="str">
            <v>B岗培训</v>
          </cell>
        </row>
        <row r="157">
          <cell r="B157" t="str">
            <v>1月</v>
          </cell>
          <cell r="C157" t="str">
            <v>西南总部</v>
          </cell>
          <cell r="D157" t="str">
            <v>营业五部</v>
          </cell>
        </row>
        <row r="157">
          <cell r="I157" t="str">
            <v>已签到</v>
          </cell>
          <cell r="J157">
            <v>46050</v>
          </cell>
          <cell r="K157" t="str">
            <v>B岗培训</v>
          </cell>
        </row>
        <row r="158">
          <cell r="B158" t="str">
            <v>1月</v>
          </cell>
          <cell r="C158" t="str">
            <v>西南总部</v>
          </cell>
          <cell r="D158" t="str">
            <v>营业五部</v>
          </cell>
        </row>
        <row r="158">
          <cell r="I158" t="str">
            <v>已签到</v>
          </cell>
          <cell r="J158">
            <v>46050</v>
          </cell>
          <cell r="K158" t="str">
            <v>B岗培训</v>
          </cell>
        </row>
        <row r="159">
          <cell r="B159" t="str">
            <v>1月</v>
          </cell>
          <cell r="C159" t="str">
            <v>西南总部</v>
          </cell>
          <cell r="D159" t="str">
            <v>营业五部</v>
          </cell>
        </row>
        <row r="159">
          <cell r="I159" t="str">
            <v>已签到</v>
          </cell>
          <cell r="J159">
            <v>46050</v>
          </cell>
          <cell r="K159" t="str">
            <v>B岗培训</v>
          </cell>
        </row>
        <row r="160">
          <cell r="B160" t="str">
            <v>1月</v>
          </cell>
          <cell r="C160" t="str">
            <v>湖北</v>
          </cell>
          <cell r="D160" t="str">
            <v>湖北1部</v>
          </cell>
        </row>
        <row r="160">
          <cell r="I160" t="str">
            <v>已签到</v>
          </cell>
          <cell r="J160">
            <v>46050</v>
          </cell>
          <cell r="K160" t="str">
            <v>B岗培训</v>
          </cell>
        </row>
        <row r="161">
          <cell r="B161" t="str">
            <v>1月</v>
          </cell>
          <cell r="C161" t="str">
            <v>山东</v>
          </cell>
          <cell r="D161" t="str">
            <v>山东销售部</v>
          </cell>
        </row>
        <row r="161">
          <cell r="I161" t="str">
            <v>已签到</v>
          </cell>
          <cell r="J161">
            <v>46050</v>
          </cell>
          <cell r="K161" t="str">
            <v>B岗培训</v>
          </cell>
        </row>
        <row r="162">
          <cell r="B162" t="str">
            <v>1月</v>
          </cell>
          <cell r="C162" t="str">
            <v>湖南</v>
          </cell>
          <cell r="D162" t="str">
            <v>湖南销售部</v>
          </cell>
        </row>
        <row r="162">
          <cell r="I162" t="str">
            <v>已签到</v>
          </cell>
          <cell r="J162">
            <v>46050</v>
          </cell>
          <cell r="K162" t="str">
            <v>B岗培训</v>
          </cell>
        </row>
        <row r="163">
          <cell r="B163" t="str">
            <v>1月</v>
          </cell>
          <cell r="C163" t="str">
            <v>河南</v>
          </cell>
          <cell r="D163" t="str">
            <v>河南销售部</v>
          </cell>
        </row>
        <row r="163">
          <cell r="I163" t="str">
            <v>已签到</v>
          </cell>
          <cell r="J163">
            <v>46050</v>
          </cell>
          <cell r="K163" t="str">
            <v>B岗培训</v>
          </cell>
        </row>
        <row r="164">
          <cell r="B164" t="str">
            <v>1月</v>
          </cell>
          <cell r="C164" t="str">
            <v>山东</v>
          </cell>
          <cell r="D164" t="str">
            <v>山东销售部</v>
          </cell>
        </row>
        <row r="164">
          <cell r="I164" t="str">
            <v>已签到</v>
          </cell>
          <cell r="J164">
            <v>46050</v>
          </cell>
          <cell r="K164" t="str">
            <v>B岗培训</v>
          </cell>
        </row>
        <row r="165">
          <cell r="B165" t="str">
            <v>1月</v>
          </cell>
          <cell r="C165" t="str">
            <v>陕西</v>
          </cell>
          <cell r="D165" t="str">
            <v>陕西1部</v>
          </cell>
        </row>
        <row r="165">
          <cell r="I165" t="str">
            <v>已签到</v>
          </cell>
          <cell r="J165">
            <v>46050</v>
          </cell>
          <cell r="K165" t="str">
            <v>B岗培训</v>
          </cell>
        </row>
        <row r="166">
          <cell r="B166" t="str">
            <v>1月</v>
          </cell>
          <cell r="C166" t="str">
            <v>陕西</v>
          </cell>
          <cell r="D166" t="str">
            <v>陕西2部</v>
          </cell>
        </row>
        <row r="166">
          <cell r="I166" t="str">
            <v>已签到</v>
          </cell>
          <cell r="J166">
            <v>46050</v>
          </cell>
          <cell r="K166" t="str">
            <v>B岗培训</v>
          </cell>
        </row>
        <row r="167">
          <cell r="B167" t="str">
            <v>1月</v>
          </cell>
          <cell r="C167" t="str">
            <v>湖北</v>
          </cell>
          <cell r="D167" t="str">
            <v>湖北1部</v>
          </cell>
        </row>
        <row r="167">
          <cell r="I167" t="str">
            <v>已签到</v>
          </cell>
          <cell r="J167">
            <v>46050</v>
          </cell>
          <cell r="K167" t="str">
            <v>B岗培训</v>
          </cell>
        </row>
        <row r="168">
          <cell r="B168" t="str">
            <v>1月</v>
          </cell>
          <cell r="C168" t="str">
            <v>湖南</v>
          </cell>
          <cell r="D168" t="str">
            <v>湖南销售部</v>
          </cell>
        </row>
        <row r="168">
          <cell r="I168" t="str">
            <v>已签到</v>
          </cell>
          <cell r="J168">
            <v>46050</v>
          </cell>
          <cell r="K168" t="str">
            <v>B岗培训</v>
          </cell>
        </row>
        <row r="169">
          <cell r="B169" t="str">
            <v>1月</v>
          </cell>
          <cell r="C169" t="str">
            <v>陕西</v>
          </cell>
          <cell r="D169" t="str">
            <v>陕西1部</v>
          </cell>
        </row>
        <row r="169">
          <cell r="I169" t="str">
            <v>已签到</v>
          </cell>
          <cell r="J169">
            <v>46050</v>
          </cell>
          <cell r="K169" t="str">
            <v>B岗培训</v>
          </cell>
        </row>
        <row r="170">
          <cell r="B170" t="str">
            <v>1月</v>
          </cell>
          <cell r="C170" t="str">
            <v>山东</v>
          </cell>
          <cell r="D170" t="str">
            <v>山东销售部</v>
          </cell>
        </row>
        <row r="170">
          <cell r="I170" t="str">
            <v>已签到</v>
          </cell>
          <cell r="J170">
            <v>46049</v>
          </cell>
          <cell r="K170" t="str">
            <v>B岗培训</v>
          </cell>
        </row>
        <row r="171">
          <cell r="B171" t="str">
            <v>1月</v>
          </cell>
          <cell r="C171" t="str">
            <v>西南总部</v>
          </cell>
          <cell r="D171" t="str">
            <v>营业六部</v>
          </cell>
        </row>
        <row r="171">
          <cell r="I171" t="str">
            <v>已签到</v>
          </cell>
          <cell r="J171">
            <v>46049</v>
          </cell>
          <cell r="K171" t="str">
            <v>B岗培训</v>
          </cell>
        </row>
        <row r="172">
          <cell r="B172" t="str">
            <v>1月</v>
          </cell>
          <cell r="C172" t="str">
            <v>西南总部</v>
          </cell>
          <cell r="D172" t="str">
            <v>营业一部</v>
          </cell>
        </row>
        <row r="172">
          <cell r="I172" t="str">
            <v>已签到</v>
          </cell>
          <cell r="J172">
            <v>46049</v>
          </cell>
          <cell r="K172" t="str">
            <v>B岗培训</v>
          </cell>
        </row>
        <row r="173">
          <cell r="B173" t="str">
            <v>1月</v>
          </cell>
          <cell r="C173" t="str">
            <v>西南总部</v>
          </cell>
          <cell r="D173" t="str">
            <v>营业三部</v>
          </cell>
        </row>
        <row r="173">
          <cell r="I173" t="str">
            <v>已签到</v>
          </cell>
          <cell r="J173">
            <v>46049</v>
          </cell>
          <cell r="K173" t="str">
            <v>B岗培训</v>
          </cell>
        </row>
        <row r="174">
          <cell r="B174" t="str">
            <v>1月</v>
          </cell>
          <cell r="C174" t="str">
            <v>湖南</v>
          </cell>
          <cell r="D174" t="str">
            <v>湖南销售部</v>
          </cell>
        </row>
        <row r="174">
          <cell r="I174" t="str">
            <v>已签到</v>
          </cell>
          <cell r="J174">
            <v>46049</v>
          </cell>
          <cell r="K174" t="str">
            <v>B岗培训</v>
          </cell>
        </row>
        <row r="175">
          <cell r="B175" t="str">
            <v>1月</v>
          </cell>
          <cell r="C175" t="str">
            <v>西南总部</v>
          </cell>
          <cell r="D175" t="str">
            <v>营业三部</v>
          </cell>
        </row>
        <row r="175">
          <cell r="I175" t="str">
            <v>已签到</v>
          </cell>
          <cell r="J175">
            <v>46049</v>
          </cell>
          <cell r="K175" t="str">
            <v>B岗培训</v>
          </cell>
        </row>
        <row r="176">
          <cell r="B176" t="str">
            <v>1月</v>
          </cell>
          <cell r="C176" t="str">
            <v>山西</v>
          </cell>
          <cell r="D176" t="str">
            <v>山西销售部</v>
          </cell>
        </row>
        <row r="176">
          <cell r="I176" t="str">
            <v>已签到</v>
          </cell>
          <cell r="J176">
            <v>46049</v>
          </cell>
          <cell r="K176" t="str">
            <v>B岗培训</v>
          </cell>
        </row>
        <row r="177">
          <cell r="B177" t="str">
            <v>1月</v>
          </cell>
          <cell r="C177" t="str">
            <v>西南总部</v>
          </cell>
          <cell r="D177" t="str">
            <v>营业五部</v>
          </cell>
        </row>
        <row r="177">
          <cell r="I177" t="str">
            <v>已签到</v>
          </cell>
          <cell r="J177">
            <v>46049</v>
          </cell>
          <cell r="K177" t="str">
            <v>B岗培训</v>
          </cell>
        </row>
        <row r="178">
          <cell r="B178" t="str">
            <v>1月</v>
          </cell>
          <cell r="C178" t="str">
            <v>西南总部</v>
          </cell>
          <cell r="D178" t="str">
            <v>营业五部</v>
          </cell>
        </row>
        <row r="178">
          <cell r="I178" t="str">
            <v>已签到</v>
          </cell>
          <cell r="J178">
            <v>46049</v>
          </cell>
          <cell r="K178" t="str">
            <v>B岗培训</v>
          </cell>
        </row>
        <row r="179">
          <cell r="B179" t="str">
            <v>1月</v>
          </cell>
          <cell r="C179" t="str">
            <v>西南总部</v>
          </cell>
          <cell r="D179" t="str">
            <v>营业五部</v>
          </cell>
        </row>
        <row r="179">
          <cell r="I179" t="str">
            <v>已签到</v>
          </cell>
          <cell r="J179">
            <v>46049</v>
          </cell>
          <cell r="K179" t="str">
            <v>B岗培训</v>
          </cell>
        </row>
        <row r="180">
          <cell r="B180" t="str">
            <v>1月</v>
          </cell>
          <cell r="C180" t="str">
            <v>湖北</v>
          </cell>
          <cell r="D180" t="str">
            <v>湖北1部</v>
          </cell>
        </row>
        <row r="180">
          <cell r="I180" t="str">
            <v>已签到</v>
          </cell>
          <cell r="J180">
            <v>46049</v>
          </cell>
          <cell r="K180" t="str">
            <v>B岗培训</v>
          </cell>
        </row>
        <row r="181">
          <cell r="B181" t="str">
            <v>1月</v>
          </cell>
          <cell r="C181" t="str">
            <v>山东</v>
          </cell>
          <cell r="D181" t="str">
            <v>山东销售部</v>
          </cell>
        </row>
        <row r="181">
          <cell r="I181" t="str">
            <v>已签到</v>
          </cell>
          <cell r="J181">
            <v>46049</v>
          </cell>
          <cell r="K181" t="str">
            <v>B岗培训</v>
          </cell>
        </row>
        <row r="182">
          <cell r="B182" t="str">
            <v>1月</v>
          </cell>
          <cell r="C182" t="str">
            <v>湖南</v>
          </cell>
          <cell r="D182" t="str">
            <v>湖南销售部</v>
          </cell>
        </row>
        <row r="182">
          <cell r="I182" t="str">
            <v>已签到</v>
          </cell>
          <cell r="J182">
            <v>46049</v>
          </cell>
          <cell r="K182" t="str">
            <v>B岗培训</v>
          </cell>
        </row>
        <row r="183">
          <cell r="B183" t="str">
            <v>1月</v>
          </cell>
          <cell r="C183" t="str">
            <v>河南</v>
          </cell>
          <cell r="D183" t="str">
            <v>河南销售部</v>
          </cell>
        </row>
        <row r="183">
          <cell r="I183" t="str">
            <v>已签到</v>
          </cell>
          <cell r="J183">
            <v>46049</v>
          </cell>
          <cell r="K183" t="str">
            <v>B岗培训</v>
          </cell>
        </row>
        <row r="184">
          <cell r="B184" t="str">
            <v>1月</v>
          </cell>
          <cell r="C184" t="str">
            <v>山东</v>
          </cell>
          <cell r="D184" t="str">
            <v>山东销售部</v>
          </cell>
        </row>
        <row r="184">
          <cell r="I184" t="str">
            <v>已签到</v>
          </cell>
          <cell r="J184">
            <v>46049</v>
          </cell>
          <cell r="K184" t="str">
            <v>B岗培训</v>
          </cell>
        </row>
        <row r="185">
          <cell r="B185" t="str">
            <v>1月</v>
          </cell>
          <cell r="C185" t="str">
            <v>陕西</v>
          </cell>
          <cell r="D185" t="str">
            <v>陕西1部</v>
          </cell>
        </row>
        <row r="185">
          <cell r="I185" t="str">
            <v>已签到</v>
          </cell>
          <cell r="J185">
            <v>46049</v>
          </cell>
          <cell r="K185" t="str">
            <v>B岗培训</v>
          </cell>
        </row>
        <row r="186">
          <cell r="B186" t="str">
            <v>1月</v>
          </cell>
          <cell r="C186" t="str">
            <v>陕西</v>
          </cell>
          <cell r="D186" t="str">
            <v>陕西2部</v>
          </cell>
        </row>
        <row r="186">
          <cell r="I186" t="str">
            <v>已签到</v>
          </cell>
          <cell r="J186">
            <v>46049</v>
          </cell>
          <cell r="K186" t="str">
            <v>B岗培训</v>
          </cell>
        </row>
        <row r="187">
          <cell r="B187" t="str">
            <v>1月</v>
          </cell>
          <cell r="C187" t="str">
            <v>湖北</v>
          </cell>
          <cell r="D187" t="str">
            <v>湖北1部</v>
          </cell>
        </row>
        <row r="187">
          <cell r="I187" t="str">
            <v>已签到</v>
          </cell>
          <cell r="J187">
            <v>46049</v>
          </cell>
          <cell r="K187" t="str">
            <v>B岗培训</v>
          </cell>
        </row>
        <row r="188">
          <cell r="B188" t="str">
            <v>1月</v>
          </cell>
          <cell r="C188" t="str">
            <v>湖南</v>
          </cell>
          <cell r="D188" t="str">
            <v>湖南销售部</v>
          </cell>
        </row>
        <row r="188">
          <cell r="I188" t="str">
            <v>已签到</v>
          </cell>
          <cell r="J188">
            <v>46049</v>
          </cell>
          <cell r="K188" t="str">
            <v>B岗培训</v>
          </cell>
        </row>
        <row r="189">
          <cell r="B189" t="str">
            <v>1月</v>
          </cell>
          <cell r="C189" t="str">
            <v>陕西</v>
          </cell>
          <cell r="D189" t="str">
            <v>陕西1部</v>
          </cell>
        </row>
        <row r="189">
          <cell r="I189" t="str">
            <v>已签到</v>
          </cell>
          <cell r="J189">
            <v>46049</v>
          </cell>
          <cell r="K189" t="str">
            <v>B岗培训</v>
          </cell>
        </row>
        <row r="190">
          <cell r="B190" t="str">
            <v>1月</v>
          </cell>
          <cell r="C190" t="str">
            <v>西南总部</v>
          </cell>
          <cell r="D190" t="str">
            <v>营业二部</v>
          </cell>
        </row>
        <row r="190">
          <cell r="I190" t="str">
            <v>已签到</v>
          </cell>
          <cell r="J190">
            <v>46049</v>
          </cell>
          <cell r="K190" t="str">
            <v>B岗培训</v>
          </cell>
        </row>
        <row r="191">
          <cell r="B191" t="str">
            <v>1月</v>
          </cell>
          <cell r="C191" t="str">
            <v>西南总部</v>
          </cell>
          <cell r="D191" t="str">
            <v>营业二部</v>
          </cell>
        </row>
        <row r="191">
          <cell r="I191" t="str">
            <v>已签到</v>
          </cell>
          <cell r="J191">
            <v>46044</v>
          </cell>
          <cell r="K191" t="str">
            <v>B岗培训</v>
          </cell>
        </row>
        <row r="192">
          <cell r="B192" t="str">
            <v>1月</v>
          </cell>
          <cell r="C192" t="str">
            <v>山东</v>
          </cell>
          <cell r="D192" t="str">
            <v>山东销售部</v>
          </cell>
        </row>
        <row r="192">
          <cell r="I192" t="str">
            <v>已签到</v>
          </cell>
          <cell r="J192">
            <v>46044</v>
          </cell>
          <cell r="K192" t="str">
            <v>B岗培训</v>
          </cell>
        </row>
        <row r="193">
          <cell r="B193" t="str">
            <v>1月</v>
          </cell>
          <cell r="C193" t="str">
            <v>西南总部</v>
          </cell>
          <cell r="D193" t="str">
            <v>营业六部</v>
          </cell>
        </row>
        <row r="193">
          <cell r="I193" t="str">
            <v>已签到</v>
          </cell>
          <cell r="J193">
            <v>46044</v>
          </cell>
          <cell r="K193" t="str">
            <v>B岗培训</v>
          </cell>
        </row>
        <row r="194">
          <cell r="B194" t="str">
            <v>1月</v>
          </cell>
          <cell r="C194" t="str">
            <v>西南总部</v>
          </cell>
          <cell r="D194" t="str">
            <v>营业一部</v>
          </cell>
        </row>
        <row r="194">
          <cell r="I194" t="str">
            <v>已签到</v>
          </cell>
          <cell r="J194">
            <v>46044</v>
          </cell>
          <cell r="K194" t="str">
            <v>B岗培训</v>
          </cell>
        </row>
        <row r="195">
          <cell r="B195" t="str">
            <v>1月</v>
          </cell>
          <cell r="C195" t="str">
            <v>西南总部</v>
          </cell>
          <cell r="D195" t="str">
            <v>营业三部</v>
          </cell>
        </row>
        <row r="195">
          <cell r="I195" t="str">
            <v>已签到</v>
          </cell>
          <cell r="J195">
            <v>46044</v>
          </cell>
          <cell r="K195" t="str">
            <v>B岗培训</v>
          </cell>
        </row>
        <row r="196">
          <cell r="B196" t="str">
            <v>1月</v>
          </cell>
          <cell r="C196" t="str">
            <v>湖南</v>
          </cell>
          <cell r="D196" t="str">
            <v>湖南销售部</v>
          </cell>
        </row>
        <row r="196">
          <cell r="I196" t="str">
            <v>已签到</v>
          </cell>
          <cell r="J196">
            <v>46044</v>
          </cell>
          <cell r="K196" t="str">
            <v>B岗培训</v>
          </cell>
        </row>
        <row r="197">
          <cell r="B197" t="str">
            <v>1月</v>
          </cell>
          <cell r="C197" t="str">
            <v>西南总部</v>
          </cell>
          <cell r="D197" t="str">
            <v>营业三部</v>
          </cell>
        </row>
        <row r="197">
          <cell r="I197" t="str">
            <v>已签到</v>
          </cell>
          <cell r="J197">
            <v>46044</v>
          </cell>
          <cell r="K197" t="str">
            <v>B岗培训</v>
          </cell>
        </row>
        <row r="198">
          <cell r="B198" t="str">
            <v>1月</v>
          </cell>
          <cell r="C198" t="str">
            <v>山西</v>
          </cell>
          <cell r="D198" t="str">
            <v>山西销售部</v>
          </cell>
        </row>
        <row r="198">
          <cell r="I198" t="str">
            <v>已签到</v>
          </cell>
          <cell r="J198">
            <v>46044</v>
          </cell>
          <cell r="K198" t="str">
            <v>B岗培训</v>
          </cell>
        </row>
        <row r="199">
          <cell r="B199" t="str">
            <v>1月</v>
          </cell>
          <cell r="C199" t="str">
            <v>西南总部</v>
          </cell>
          <cell r="D199" t="str">
            <v>营业五部</v>
          </cell>
        </row>
        <row r="199">
          <cell r="I199" t="str">
            <v>已签到</v>
          </cell>
          <cell r="J199">
            <v>46044</v>
          </cell>
          <cell r="K199" t="str">
            <v>B岗培训</v>
          </cell>
        </row>
        <row r="200">
          <cell r="B200" t="str">
            <v>1月</v>
          </cell>
          <cell r="C200" t="str">
            <v>西南总部</v>
          </cell>
          <cell r="D200" t="str">
            <v>营业五部</v>
          </cell>
        </row>
        <row r="200">
          <cell r="I200" t="str">
            <v>已签到</v>
          </cell>
          <cell r="J200">
            <v>46044</v>
          </cell>
          <cell r="K200" t="str">
            <v>B岗培训</v>
          </cell>
        </row>
        <row r="201">
          <cell r="B201" t="str">
            <v>1月</v>
          </cell>
          <cell r="C201" t="str">
            <v>西南总部</v>
          </cell>
          <cell r="D201" t="str">
            <v>营业五部</v>
          </cell>
        </row>
        <row r="201">
          <cell r="I201" t="str">
            <v>已签到</v>
          </cell>
          <cell r="J201">
            <v>46044</v>
          </cell>
          <cell r="K201" t="str">
            <v>B岗培训</v>
          </cell>
        </row>
        <row r="202">
          <cell r="B202" t="str">
            <v>1月</v>
          </cell>
          <cell r="C202" t="str">
            <v>湖北</v>
          </cell>
          <cell r="D202" t="str">
            <v>湖北1部</v>
          </cell>
        </row>
        <row r="202">
          <cell r="I202" t="str">
            <v>已签到</v>
          </cell>
          <cell r="J202">
            <v>46044</v>
          </cell>
          <cell r="K202" t="str">
            <v>B岗培训</v>
          </cell>
        </row>
        <row r="203">
          <cell r="B203" t="str">
            <v>1月</v>
          </cell>
          <cell r="C203" t="str">
            <v>山东</v>
          </cell>
          <cell r="D203" t="str">
            <v>山东销售部</v>
          </cell>
        </row>
        <row r="203">
          <cell r="I203" t="str">
            <v>已签到</v>
          </cell>
          <cell r="J203">
            <v>46044</v>
          </cell>
          <cell r="K203" t="str">
            <v>B岗培训</v>
          </cell>
        </row>
        <row r="204">
          <cell r="B204" t="str">
            <v>1月</v>
          </cell>
          <cell r="C204" t="str">
            <v>湖南</v>
          </cell>
          <cell r="D204" t="str">
            <v>湖南销售部</v>
          </cell>
        </row>
        <row r="204">
          <cell r="I204" t="str">
            <v>已签到</v>
          </cell>
          <cell r="J204">
            <v>46044</v>
          </cell>
          <cell r="K204" t="str">
            <v>B岗培训</v>
          </cell>
        </row>
        <row r="205">
          <cell r="B205" t="str">
            <v>1月</v>
          </cell>
          <cell r="C205" t="str">
            <v>河南</v>
          </cell>
          <cell r="D205" t="str">
            <v>河南销售部</v>
          </cell>
        </row>
        <row r="205">
          <cell r="I205" t="str">
            <v>已签到</v>
          </cell>
          <cell r="J205">
            <v>46044</v>
          </cell>
          <cell r="K205" t="str">
            <v>B岗培训</v>
          </cell>
        </row>
        <row r="206">
          <cell r="B206" t="str">
            <v>1月</v>
          </cell>
          <cell r="C206" t="str">
            <v>山东</v>
          </cell>
          <cell r="D206" t="str">
            <v>山东销售部</v>
          </cell>
        </row>
        <row r="206">
          <cell r="I206" t="str">
            <v>已签到</v>
          </cell>
          <cell r="J206">
            <v>46044</v>
          </cell>
          <cell r="K206" t="str">
            <v>B岗培训</v>
          </cell>
        </row>
        <row r="207">
          <cell r="B207" t="str">
            <v>1月</v>
          </cell>
          <cell r="C207" t="str">
            <v>陕西</v>
          </cell>
          <cell r="D207" t="str">
            <v>陕西1部</v>
          </cell>
        </row>
        <row r="207">
          <cell r="I207" t="str">
            <v>已签到</v>
          </cell>
          <cell r="J207">
            <v>46044</v>
          </cell>
          <cell r="K207" t="str">
            <v>B岗培训</v>
          </cell>
        </row>
        <row r="208">
          <cell r="B208" t="str">
            <v>1月</v>
          </cell>
          <cell r="C208" t="str">
            <v>陕西</v>
          </cell>
          <cell r="D208" t="str">
            <v>陕西2部</v>
          </cell>
        </row>
        <row r="208">
          <cell r="I208" t="str">
            <v>已签到</v>
          </cell>
          <cell r="J208">
            <v>46044</v>
          </cell>
          <cell r="K208" t="str">
            <v>B岗培训</v>
          </cell>
        </row>
        <row r="209">
          <cell r="B209" t="str">
            <v>1月</v>
          </cell>
          <cell r="C209" t="str">
            <v>湖北</v>
          </cell>
          <cell r="D209" t="str">
            <v>湖北1部</v>
          </cell>
        </row>
        <row r="209">
          <cell r="I209" t="str">
            <v>已签到</v>
          </cell>
          <cell r="J209">
            <v>46044</v>
          </cell>
          <cell r="K209" t="str">
            <v>B岗培训</v>
          </cell>
        </row>
        <row r="210">
          <cell r="B210" t="str">
            <v>1月</v>
          </cell>
          <cell r="C210" t="str">
            <v>湖南</v>
          </cell>
          <cell r="D210" t="str">
            <v>湖南销售部</v>
          </cell>
        </row>
        <row r="210">
          <cell r="I210" t="str">
            <v>已签到</v>
          </cell>
          <cell r="J210">
            <v>46044</v>
          </cell>
          <cell r="K210" t="str">
            <v>B岗培训</v>
          </cell>
        </row>
        <row r="211">
          <cell r="B211" t="str">
            <v>1月</v>
          </cell>
          <cell r="C211" t="str">
            <v>陕西</v>
          </cell>
          <cell r="D211" t="str">
            <v>陕西1部</v>
          </cell>
        </row>
        <row r="211">
          <cell r="I211" t="str">
            <v>已签到</v>
          </cell>
          <cell r="J211">
            <v>46044</v>
          </cell>
          <cell r="K211" t="str">
            <v>B岗培训</v>
          </cell>
        </row>
        <row r="212">
          <cell r="B212" t="str">
            <v>1月</v>
          </cell>
          <cell r="C212" t="str">
            <v>西南总部</v>
          </cell>
          <cell r="D212" t="str">
            <v>营业二部</v>
          </cell>
        </row>
        <row r="212">
          <cell r="I212" t="str">
            <v>已签到</v>
          </cell>
          <cell r="J212">
            <v>46043</v>
          </cell>
          <cell r="K212" t="str">
            <v>销售经理培训</v>
          </cell>
        </row>
        <row r="213">
          <cell r="B213" t="str">
            <v>1月</v>
          </cell>
          <cell r="C213" t="str">
            <v>西南总部</v>
          </cell>
          <cell r="D213" t="str">
            <v>营业七部</v>
          </cell>
        </row>
        <row r="213">
          <cell r="I213" t="str">
            <v>已签到</v>
          </cell>
          <cell r="J213">
            <v>46043</v>
          </cell>
          <cell r="K213" t="str">
            <v>销售经理培训</v>
          </cell>
        </row>
        <row r="214">
          <cell r="B214" t="str">
            <v>1月</v>
          </cell>
          <cell r="C214" t="str">
            <v>西南总部</v>
          </cell>
          <cell r="D214" t="str">
            <v>营业七部</v>
          </cell>
        </row>
        <row r="214">
          <cell r="I214" t="str">
            <v>已签到</v>
          </cell>
          <cell r="J214">
            <v>46043</v>
          </cell>
          <cell r="K214" t="str">
            <v>销售经理培训</v>
          </cell>
        </row>
        <row r="215">
          <cell r="B215" t="str">
            <v>1月</v>
          </cell>
          <cell r="C215" t="str">
            <v>西南总部</v>
          </cell>
          <cell r="D215" t="str">
            <v>营业二部</v>
          </cell>
        </row>
        <row r="215">
          <cell r="I215" t="str">
            <v>已签到</v>
          </cell>
          <cell r="J215">
            <v>46043</v>
          </cell>
          <cell r="K215" t="str">
            <v>销售经理培训</v>
          </cell>
        </row>
        <row r="216">
          <cell r="B216" t="str">
            <v>1月</v>
          </cell>
          <cell r="C216" t="str">
            <v>西南总部</v>
          </cell>
          <cell r="D216" t="str">
            <v>营业三部</v>
          </cell>
        </row>
        <row r="216">
          <cell r="I216" t="str">
            <v>已签到</v>
          </cell>
          <cell r="J216">
            <v>46043</v>
          </cell>
          <cell r="K216" t="str">
            <v>销售经理培训</v>
          </cell>
        </row>
        <row r="217">
          <cell r="B217" t="str">
            <v>1月</v>
          </cell>
          <cell r="C217" t="str">
            <v>西南总部</v>
          </cell>
          <cell r="D217" t="str">
            <v>营业一部</v>
          </cell>
        </row>
        <row r="217">
          <cell r="I217" t="str">
            <v>已签到</v>
          </cell>
          <cell r="J217">
            <v>46043</v>
          </cell>
          <cell r="K217" t="str">
            <v>销售经理培训</v>
          </cell>
        </row>
        <row r="218">
          <cell r="B218" t="str">
            <v>1月</v>
          </cell>
          <cell r="C218" t="str">
            <v>西南总部</v>
          </cell>
          <cell r="D218" t="str">
            <v>营业四部</v>
          </cell>
        </row>
        <row r="218">
          <cell r="I218" t="str">
            <v>已签到</v>
          </cell>
          <cell r="J218">
            <v>46043</v>
          </cell>
          <cell r="K218" t="str">
            <v>销售经理培训</v>
          </cell>
        </row>
        <row r="219">
          <cell r="B219" t="str">
            <v>1月</v>
          </cell>
          <cell r="C219" t="str">
            <v>西南总部</v>
          </cell>
          <cell r="D219" t="str">
            <v>营业六部</v>
          </cell>
        </row>
        <row r="219">
          <cell r="I219" t="str">
            <v>已签到</v>
          </cell>
          <cell r="J219">
            <v>46043</v>
          </cell>
          <cell r="K219" t="str">
            <v>销售经理培训</v>
          </cell>
        </row>
        <row r="220">
          <cell r="B220" t="str">
            <v>1月</v>
          </cell>
          <cell r="C220" t="str">
            <v>西南总部</v>
          </cell>
          <cell r="D220" t="str">
            <v>营业六部</v>
          </cell>
        </row>
        <row r="220">
          <cell r="I220" t="str">
            <v>已签到</v>
          </cell>
          <cell r="J220">
            <v>46043</v>
          </cell>
          <cell r="K220" t="str">
            <v>销售经理培训</v>
          </cell>
        </row>
        <row r="221">
          <cell r="B221" t="str">
            <v>1月</v>
          </cell>
          <cell r="C221" t="str">
            <v>西南总部</v>
          </cell>
          <cell r="D221" t="str">
            <v>营业五部</v>
          </cell>
        </row>
        <row r="221">
          <cell r="I221" t="str">
            <v>已签到</v>
          </cell>
          <cell r="J221">
            <v>46043</v>
          </cell>
          <cell r="K221" t="str">
            <v>销售经理培训</v>
          </cell>
        </row>
        <row r="222">
          <cell r="B222" t="str">
            <v>1月</v>
          </cell>
          <cell r="C222" t="str">
            <v>西南总部</v>
          </cell>
          <cell r="D222" t="str">
            <v>营业一部</v>
          </cell>
        </row>
        <row r="222">
          <cell r="I222" t="str">
            <v>已签到</v>
          </cell>
          <cell r="J222">
            <v>46043</v>
          </cell>
          <cell r="K222" t="str">
            <v>销售经理培训</v>
          </cell>
        </row>
        <row r="223">
          <cell r="B223" t="str">
            <v>1月</v>
          </cell>
          <cell r="C223" t="str">
            <v>陕西</v>
          </cell>
          <cell r="D223" t="str">
            <v>陕西2部</v>
          </cell>
        </row>
        <row r="223">
          <cell r="I223" t="str">
            <v>已签到</v>
          </cell>
          <cell r="J223">
            <v>46043</v>
          </cell>
          <cell r="K223" t="str">
            <v>销售经理培训</v>
          </cell>
        </row>
        <row r="224">
          <cell r="B224" t="str">
            <v>1月</v>
          </cell>
          <cell r="C224" t="str">
            <v>陕西</v>
          </cell>
          <cell r="D224" t="str">
            <v>陕西1部</v>
          </cell>
        </row>
        <row r="224">
          <cell r="I224" t="str">
            <v>已签到</v>
          </cell>
          <cell r="J224">
            <v>46043</v>
          </cell>
          <cell r="K224" t="str">
            <v>销售经理培训</v>
          </cell>
        </row>
        <row r="225">
          <cell r="B225" t="str">
            <v>1月</v>
          </cell>
          <cell r="C225" t="str">
            <v>陕西</v>
          </cell>
          <cell r="D225" t="str">
            <v>陕西2部</v>
          </cell>
        </row>
        <row r="225">
          <cell r="I225" t="str">
            <v>已签到</v>
          </cell>
          <cell r="J225">
            <v>46043</v>
          </cell>
          <cell r="K225" t="str">
            <v>销售经理培训</v>
          </cell>
        </row>
        <row r="226">
          <cell r="B226" t="str">
            <v>1月</v>
          </cell>
          <cell r="C226" t="str">
            <v>陕西</v>
          </cell>
          <cell r="D226" t="str">
            <v>陕西1部</v>
          </cell>
        </row>
        <row r="226">
          <cell r="I226" t="str">
            <v>已签到</v>
          </cell>
          <cell r="J226">
            <v>46043</v>
          </cell>
          <cell r="K226" t="str">
            <v>销售经理培训</v>
          </cell>
        </row>
        <row r="227">
          <cell r="B227" t="str">
            <v>1月</v>
          </cell>
          <cell r="C227" t="str">
            <v>山西</v>
          </cell>
          <cell r="D227" t="str">
            <v>山西销售部</v>
          </cell>
        </row>
        <row r="227">
          <cell r="I227" t="str">
            <v>已签到</v>
          </cell>
          <cell r="J227">
            <v>46043</v>
          </cell>
          <cell r="K227" t="str">
            <v>销售经理培训</v>
          </cell>
        </row>
        <row r="228">
          <cell r="B228" t="str">
            <v>1月</v>
          </cell>
          <cell r="C228" t="str">
            <v>山西</v>
          </cell>
          <cell r="D228" t="str">
            <v>山西销售部</v>
          </cell>
        </row>
        <row r="228">
          <cell r="I228" t="str">
            <v>已签到</v>
          </cell>
          <cell r="J228">
            <v>46043</v>
          </cell>
          <cell r="K228" t="str">
            <v>销售经理培训</v>
          </cell>
        </row>
        <row r="229">
          <cell r="B229" t="str">
            <v>1月</v>
          </cell>
          <cell r="C229" t="str">
            <v>山西</v>
          </cell>
          <cell r="D229" t="str">
            <v>山西销售部</v>
          </cell>
        </row>
        <row r="229">
          <cell r="I229" t="str">
            <v>已签到</v>
          </cell>
          <cell r="J229">
            <v>46043</v>
          </cell>
          <cell r="K229" t="str">
            <v>销售经理培训</v>
          </cell>
        </row>
        <row r="230">
          <cell r="B230" t="str">
            <v>1月</v>
          </cell>
          <cell r="C230" t="str">
            <v>山东</v>
          </cell>
          <cell r="D230" t="str">
            <v>山东销售部</v>
          </cell>
        </row>
        <row r="230">
          <cell r="I230" t="str">
            <v>已签到</v>
          </cell>
          <cell r="J230">
            <v>46043</v>
          </cell>
          <cell r="K230" t="str">
            <v>销售经理培训</v>
          </cell>
        </row>
        <row r="231">
          <cell r="B231" t="str">
            <v>1月</v>
          </cell>
          <cell r="C231" t="str">
            <v>山东</v>
          </cell>
          <cell r="D231" t="str">
            <v>山东销售部</v>
          </cell>
        </row>
        <row r="231">
          <cell r="I231" t="str">
            <v>已签到</v>
          </cell>
          <cell r="J231">
            <v>46043</v>
          </cell>
          <cell r="K231" t="str">
            <v>销售经理培训</v>
          </cell>
        </row>
        <row r="232">
          <cell r="B232" t="str">
            <v>1月</v>
          </cell>
          <cell r="C232" t="str">
            <v>山东</v>
          </cell>
          <cell r="D232" t="str">
            <v>山东销售部</v>
          </cell>
        </row>
        <row r="232">
          <cell r="I232" t="str">
            <v>已签到</v>
          </cell>
          <cell r="J232">
            <v>46043</v>
          </cell>
          <cell r="K232" t="str">
            <v>销售经理培训</v>
          </cell>
        </row>
        <row r="233">
          <cell r="B233" t="str">
            <v>1月</v>
          </cell>
          <cell r="C233" t="str">
            <v>辽宁</v>
          </cell>
          <cell r="D233" t="str">
            <v>辽宁销售部</v>
          </cell>
        </row>
        <row r="233">
          <cell r="I233" t="str">
            <v>已签到</v>
          </cell>
          <cell r="J233">
            <v>46043</v>
          </cell>
          <cell r="K233" t="str">
            <v>销售经理培训</v>
          </cell>
        </row>
        <row r="234">
          <cell r="B234" t="str">
            <v>1月</v>
          </cell>
          <cell r="C234" t="str">
            <v>辽宁</v>
          </cell>
          <cell r="D234" t="str">
            <v>辽宁销售部</v>
          </cell>
        </row>
        <row r="234">
          <cell r="I234" t="str">
            <v>已签到</v>
          </cell>
          <cell r="J234">
            <v>46043</v>
          </cell>
          <cell r="K234" t="str">
            <v>销售经理培训</v>
          </cell>
        </row>
        <row r="235">
          <cell r="B235" t="str">
            <v>1月</v>
          </cell>
          <cell r="C235" t="str">
            <v>湖南</v>
          </cell>
          <cell r="D235" t="str">
            <v>湖南销售部</v>
          </cell>
        </row>
        <row r="235">
          <cell r="I235" t="str">
            <v>已签到</v>
          </cell>
          <cell r="J235">
            <v>46043</v>
          </cell>
          <cell r="K235" t="str">
            <v>销售经理培训</v>
          </cell>
        </row>
        <row r="236">
          <cell r="B236" t="str">
            <v>1月</v>
          </cell>
          <cell r="C236" t="str">
            <v>湖南</v>
          </cell>
          <cell r="D236" t="str">
            <v>湖南销售部</v>
          </cell>
        </row>
        <row r="236">
          <cell r="I236" t="str">
            <v>已签到</v>
          </cell>
          <cell r="J236">
            <v>46043</v>
          </cell>
          <cell r="K236" t="str">
            <v>销售经理培训</v>
          </cell>
        </row>
        <row r="237">
          <cell r="B237" t="str">
            <v>1月</v>
          </cell>
          <cell r="C237" t="str">
            <v>湖南</v>
          </cell>
          <cell r="D237" t="str">
            <v>湖南销售部</v>
          </cell>
        </row>
        <row r="237">
          <cell r="I237" t="str">
            <v>已签到</v>
          </cell>
          <cell r="J237">
            <v>46043</v>
          </cell>
          <cell r="K237" t="str">
            <v>销售经理培训</v>
          </cell>
        </row>
        <row r="238">
          <cell r="B238" t="str">
            <v>1月</v>
          </cell>
          <cell r="C238" t="str">
            <v>湖南</v>
          </cell>
          <cell r="D238" t="str">
            <v>湖南销售部</v>
          </cell>
        </row>
        <row r="238">
          <cell r="I238" t="str">
            <v>已签到</v>
          </cell>
          <cell r="J238">
            <v>46043</v>
          </cell>
          <cell r="K238" t="str">
            <v>销售经理培训</v>
          </cell>
        </row>
        <row r="239">
          <cell r="B239" t="str">
            <v>1月</v>
          </cell>
          <cell r="C239" t="str">
            <v>湖北</v>
          </cell>
          <cell r="D239" t="str">
            <v>湖北2部</v>
          </cell>
        </row>
        <row r="239">
          <cell r="I239" t="str">
            <v>已签到</v>
          </cell>
          <cell r="J239">
            <v>46043</v>
          </cell>
          <cell r="K239" t="str">
            <v>销售经理培训</v>
          </cell>
        </row>
        <row r="240">
          <cell r="B240" t="str">
            <v>1月</v>
          </cell>
          <cell r="C240" t="str">
            <v>湖北</v>
          </cell>
          <cell r="D240" t="str">
            <v>湖北1部</v>
          </cell>
        </row>
        <row r="240">
          <cell r="I240" t="str">
            <v>已签到</v>
          </cell>
          <cell r="J240">
            <v>46043</v>
          </cell>
          <cell r="K240" t="str">
            <v>销售经理培训</v>
          </cell>
        </row>
        <row r="241">
          <cell r="B241" t="str">
            <v>1月</v>
          </cell>
          <cell r="C241" t="str">
            <v>湖北</v>
          </cell>
          <cell r="D241" t="str">
            <v>湖北1部</v>
          </cell>
        </row>
        <row r="241">
          <cell r="I241" t="str">
            <v>已签到</v>
          </cell>
          <cell r="J241">
            <v>46043</v>
          </cell>
          <cell r="K241" t="str">
            <v>销售经理培训</v>
          </cell>
        </row>
        <row r="242">
          <cell r="B242" t="str">
            <v>1月</v>
          </cell>
          <cell r="C242" t="str">
            <v>河南</v>
          </cell>
          <cell r="D242" t="str">
            <v>河南销售部</v>
          </cell>
        </row>
        <row r="242">
          <cell r="I242" t="str">
            <v>已签到</v>
          </cell>
          <cell r="J242">
            <v>46043</v>
          </cell>
          <cell r="K242" t="str">
            <v>销售经理培训</v>
          </cell>
        </row>
        <row r="243">
          <cell r="B243" t="str">
            <v>1月</v>
          </cell>
          <cell r="C243" t="str">
            <v>河南</v>
          </cell>
          <cell r="D243" t="str">
            <v>河南销售部</v>
          </cell>
        </row>
        <row r="243">
          <cell r="I243" t="str">
            <v>已签到</v>
          </cell>
          <cell r="J243">
            <v>46043</v>
          </cell>
          <cell r="K243" t="str">
            <v>销售经理培训</v>
          </cell>
        </row>
        <row r="244">
          <cell r="B244" t="str">
            <v>1月</v>
          </cell>
          <cell r="C244" t="str">
            <v>河南</v>
          </cell>
          <cell r="D244" t="str">
            <v>河南销售部</v>
          </cell>
        </row>
        <row r="244">
          <cell r="I244" t="str">
            <v>已签到</v>
          </cell>
          <cell r="J244">
            <v>46043</v>
          </cell>
          <cell r="K244" t="str">
            <v>销售经理培训</v>
          </cell>
        </row>
        <row r="245">
          <cell r="B245" t="str">
            <v>1月</v>
          </cell>
          <cell r="C245" t="str">
            <v>河北</v>
          </cell>
          <cell r="D245" t="str">
            <v>河北销售部</v>
          </cell>
        </row>
        <row r="245">
          <cell r="I245" t="str">
            <v>已签到</v>
          </cell>
          <cell r="J245">
            <v>46043</v>
          </cell>
          <cell r="K245" t="str">
            <v>销售经理培训</v>
          </cell>
        </row>
        <row r="246">
          <cell r="B246" t="str">
            <v>1月</v>
          </cell>
          <cell r="C246" t="str">
            <v>河北</v>
          </cell>
          <cell r="D246" t="str">
            <v>河北销售部</v>
          </cell>
        </row>
        <row r="246">
          <cell r="I246" t="str">
            <v>已签到</v>
          </cell>
          <cell r="J246">
            <v>46043</v>
          </cell>
          <cell r="K246" t="str">
            <v>销售经理培训</v>
          </cell>
        </row>
        <row r="247">
          <cell r="B247" t="str">
            <v>1月</v>
          </cell>
          <cell r="C247" t="str">
            <v>西南总部</v>
          </cell>
          <cell r="D247" t="str">
            <v>营业五部</v>
          </cell>
        </row>
        <row r="247">
          <cell r="I247" t="str">
            <v>未签到</v>
          </cell>
          <cell r="J247">
            <v>46051</v>
          </cell>
          <cell r="K247" t="str">
            <v>销售新人入职培训</v>
          </cell>
        </row>
        <row r="248">
          <cell r="B248" t="str">
            <v>1月</v>
          </cell>
          <cell r="C248" t="str">
            <v>湖南</v>
          </cell>
          <cell r="D248" t="str">
            <v>湖南销售部</v>
          </cell>
        </row>
        <row r="248">
          <cell r="I248" t="str">
            <v>已签到</v>
          </cell>
          <cell r="J248">
            <v>46051</v>
          </cell>
          <cell r="K248" t="str">
            <v>销售新人入职培训</v>
          </cell>
        </row>
        <row r="249">
          <cell r="B249" t="str">
            <v>1月</v>
          </cell>
          <cell r="C249" t="str">
            <v>湖南</v>
          </cell>
          <cell r="D249" t="str">
            <v>湖南销售部</v>
          </cell>
        </row>
        <row r="249">
          <cell r="I249" t="str">
            <v>已签到</v>
          </cell>
          <cell r="J249">
            <v>46051</v>
          </cell>
          <cell r="K249" t="str">
            <v>销售新人入职培训</v>
          </cell>
        </row>
        <row r="250">
          <cell r="B250" t="str">
            <v>1月</v>
          </cell>
          <cell r="C250" t="str">
            <v>陕西</v>
          </cell>
          <cell r="D250" t="str">
            <v>陕西2部</v>
          </cell>
        </row>
        <row r="250">
          <cell r="I250" t="str">
            <v>已签到</v>
          </cell>
          <cell r="J250">
            <v>46051</v>
          </cell>
          <cell r="K250" t="str">
            <v>销售新人入职培训</v>
          </cell>
        </row>
        <row r="251">
          <cell r="B251" t="str">
            <v>1月</v>
          </cell>
          <cell r="C251" t="str">
            <v>陕西</v>
          </cell>
          <cell r="D251" t="str">
            <v>陕西2部</v>
          </cell>
        </row>
        <row r="251">
          <cell r="I251" t="str">
            <v>已签到</v>
          </cell>
          <cell r="J251">
            <v>46051</v>
          </cell>
          <cell r="K251" t="str">
            <v>销售新人入职培训</v>
          </cell>
        </row>
        <row r="252">
          <cell r="B252" t="str">
            <v>1月</v>
          </cell>
          <cell r="C252" t="str">
            <v>西南总部</v>
          </cell>
          <cell r="D252" t="str">
            <v>营业六部</v>
          </cell>
        </row>
        <row r="252">
          <cell r="I252" t="str">
            <v>未签到</v>
          </cell>
          <cell r="J252">
            <v>46051</v>
          </cell>
          <cell r="K252" t="str">
            <v>销售新人入职培训</v>
          </cell>
        </row>
        <row r="253">
          <cell r="B253" t="str">
            <v>1月</v>
          </cell>
          <cell r="C253" t="str">
            <v>西南总部</v>
          </cell>
          <cell r="D253" t="str">
            <v>营业三部</v>
          </cell>
        </row>
        <row r="253">
          <cell r="I253" t="str">
            <v>未签到</v>
          </cell>
          <cell r="J253">
            <v>46051</v>
          </cell>
          <cell r="K253" t="str">
            <v>销售新人入职培训</v>
          </cell>
        </row>
        <row r="254">
          <cell r="B254" t="str">
            <v>1月</v>
          </cell>
          <cell r="C254" t="str">
            <v>西南总部</v>
          </cell>
          <cell r="D254" t="str">
            <v>营业一部</v>
          </cell>
        </row>
        <row r="254">
          <cell r="I254" t="str">
            <v>已签到</v>
          </cell>
          <cell r="J254">
            <v>46051</v>
          </cell>
          <cell r="K254" t="str">
            <v>销售新人入职培训</v>
          </cell>
        </row>
        <row r="255">
          <cell r="B255" t="str">
            <v>1月</v>
          </cell>
          <cell r="C255" t="str">
            <v>河南</v>
          </cell>
          <cell r="D255" t="str">
            <v>河南销售部</v>
          </cell>
        </row>
        <row r="255">
          <cell r="I255" t="str">
            <v>已签到</v>
          </cell>
          <cell r="J255">
            <v>46051</v>
          </cell>
          <cell r="K255" t="str">
            <v>销售新人入职培训</v>
          </cell>
        </row>
        <row r="256">
          <cell r="B256" t="str">
            <v>1月</v>
          </cell>
          <cell r="C256" t="str">
            <v>河南</v>
          </cell>
          <cell r="D256" t="str">
            <v>河南销售部</v>
          </cell>
        </row>
        <row r="256">
          <cell r="I256" t="str">
            <v>已签到</v>
          </cell>
          <cell r="J256">
            <v>46051</v>
          </cell>
          <cell r="K256" t="str">
            <v>销售新人入职培训</v>
          </cell>
        </row>
        <row r="257">
          <cell r="B257" t="str">
            <v>1月</v>
          </cell>
          <cell r="C257" t="str">
            <v>西南总部</v>
          </cell>
          <cell r="D257" t="str">
            <v>营业五部</v>
          </cell>
        </row>
        <row r="257">
          <cell r="I257" t="str">
            <v>未签到</v>
          </cell>
          <cell r="J257">
            <v>46051</v>
          </cell>
          <cell r="K257" t="str">
            <v>销售新人入职培训</v>
          </cell>
        </row>
        <row r="258">
          <cell r="B258" t="str">
            <v>1月</v>
          </cell>
          <cell r="C258" t="str">
            <v>西南总部</v>
          </cell>
          <cell r="D258" t="str">
            <v>营业五部</v>
          </cell>
        </row>
        <row r="258">
          <cell r="I258" t="str">
            <v>未签到</v>
          </cell>
          <cell r="J258">
            <v>46051</v>
          </cell>
          <cell r="K258" t="str">
            <v>销售新人入职培训</v>
          </cell>
        </row>
        <row r="259">
          <cell r="B259" t="str">
            <v>1月</v>
          </cell>
          <cell r="C259" t="str">
            <v>西南总部</v>
          </cell>
          <cell r="D259" t="str">
            <v>营业五部</v>
          </cell>
        </row>
        <row r="259">
          <cell r="I259" t="str">
            <v>未签到</v>
          </cell>
          <cell r="J259">
            <v>46051</v>
          </cell>
          <cell r="K259" t="str">
            <v>销售新人入职培训</v>
          </cell>
        </row>
        <row r="260">
          <cell r="B260" t="str">
            <v>1月</v>
          </cell>
          <cell r="C260" t="str">
            <v>西南总部</v>
          </cell>
          <cell r="D260" t="str">
            <v>营业二部</v>
          </cell>
        </row>
        <row r="260">
          <cell r="I260" t="str">
            <v>未签到</v>
          </cell>
          <cell r="J260">
            <v>46051</v>
          </cell>
          <cell r="K260" t="str">
            <v>销售新人入职培训</v>
          </cell>
        </row>
        <row r="261">
          <cell r="B261" t="str">
            <v>1月</v>
          </cell>
          <cell r="C261" t="str">
            <v>西南总部</v>
          </cell>
          <cell r="D261" t="str">
            <v>营业二部</v>
          </cell>
        </row>
        <row r="261">
          <cell r="I261" t="str">
            <v>未签到</v>
          </cell>
          <cell r="J261">
            <v>46051</v>
          </cell>
          <cell r="K261" t="str">
            <v>销售新人入职培训</v>
          </cell>
        </row>
        <row r="262">
          <cell r="B262" t="str">
            <v>1月</v>
          </cell>
          <cell r="C262" t="str">
            <v>西南总部</v>
          </cell>
          <cell r="D262" t="str">
            <v>营业七部</v>
          </cell>
        </row>
        <row r="262">
          <cell r="I262" t="str">
            <v>未签到</v>
          </cell>
          <cell r="J262">
            <v>46051</v>
          </cell>
          <cell r="K262" t="str">
            <v>销售新人入职培训</v>
          </cell>
        </row>
        <row r="263">
          <cell r="B263" t="str">
            <v>1月</v>
          </cell>
          <cell r="C263" t="str">
            <v>西南总部</v>
          </cell>
          <cell r="D263" t="str">
            <v>营业六部</v>
          </cell>
        </row>
        <row r="263">
          <cell r="I263" t="str">
            <v>未签到</v>
          </cell>
          <cell r="J263">
            <v>46051</v>
          </cell>
          <cell r="K263" t="str">
            <v>销售新人入职培训</v>
          </cell>
        </row>
        <row r="264">
          <cell r="B264" t="str">
            <v>1月</v>
          </cell>
          <cell r="C264" t="str">
            <v>河南</v>
          </cell>
          <cell r="D264" t="str">
            <v>河南销售部</v>
          </cell>
        </row>
        <row r="264">
          <cell r="I264" t="str">
            <v>未签到</v>
          </cell>
          <cell r="J264">
            <v>46051</v>
          </cell>
          <cell r="K264" t="str">
            <v>销售新人入职培训</v>
          </cell>
        </row>
        <row r="265">
          <cell r="B265" t="str">
            <v>1月</v>
          </cell>
          <cell r="C265" t="str">
            <v>西南总部</v>
          </cell>
          <cell r="D265" t="str">
            <v>营业五部</v>
          </cell>
        </row>
        <row r="265">
          <cell r="I265" t="str">
            <v>未签到</v>
          </cell>
          <cell r="J265">
            <v>46051</v>
          </cell>
          <cell r="K265" t="str">
            <v>销售新人入职培训</v>
          </cell>
        </row>
        <row r="266">
          <cell r="B266" t="str">
            <v>1月</v>
          </cell>
          <cell r="C266" t="str">
            <v>西南总部</v>
          </cell>
          <cell r="D266" t="str">
            <v>营业五部</v>
          </cell>
        </row>
        <row r="266">
          <cell r="I266" t="str">
            <v>未签到</v>
          </cell>
          <cell r="J266">
            <v>46051</v>
          </cell>
          <cell r="K266" t="str">
            <v>销售新人入职培训</v>
          </cell>
        </row>
        <row r="267">
          <cell r="B267" t="str">
            <v>1月</v>
          </cell>
          <cell r="C267" t="str">
            <v>西南总部</v>
          </cell>
          <cell r="D267" t="str">
            <v>营业五部</v>
          </cell>
        </row>
        <row r="267">
          <cell r="I267" t="str">
            <v>未签到</v>
          </cell>
          <cell r="J267">
            <v>46051</v>
          </cell>
          <cell r="K267" t="str">
            <v>销售新人入职培训</v>
          </cell>
        </row>
        <row r="268">
          <cell r="B268" t="str">
            <v>1月</v>
          </cell>
          <cell r="C268" t="str">
            <v>西南总部</v>
          </cell>
          <cell r="D268" t="str">
            <v>营业五部</v>
          </cell>
        </row>
        <row r="268">
          <cell r="I268" t="str">
            <v>未签到</v>
          </cell>
          <cell r="J268">
            <v>46051</v>
          </cell>
          <cell r="K268" t="str">
            <v>销售新人入职培训</v>
          </cell>
        </row>
        <row r="269">
          <cell r="B269" t="str">
            <v>1月</v>
          </cell>
          <cell r="C269" t="str">
            <v>西南总部</v>
          </cell>
          <cell r="D269" t="str">
            <v>营业六部</v>
          </cell>
        </row>
        <row r="269">
          <cell r="I269" t="str">
            <v>未签到</v>
          </cell>
          <cell r="J269">
            <v>46051</v>
          </cell>
          <cell r="K269" t="str">
            <v>销售新人入职培训</v>
          </cell>
        </row>
        <row r="270">
          <cell r="B270" t="str">
            <v>1月</v>
          </cell>
          <cell r="C270" t="str">
            <v>西南总部</v>
          </cell>
          <cell r="D270" t="str">
            <v>营业六部</v>
          </cell>
        </row>
        <row r="270">
          <cell r="I270" t="str">
            <v>未签到</v>
          </cell>
          <cell r="J270">
            <v>46051</v>
          </cell>
          <cell r="K270" t="str">
            <v>销售新人入职培训</v>
          </cell>
        </row>
        <row r="271">
          <cell r="B271" t="str">
            <v>1月</v>
          </cell>
          <cell r="C271" t="str">
            <v>西南总部</v>
          </cell>
          <cell r="D271" t="str">
            <v>营业七部</v>
          </cell>
        </row>
        <row r="271">
          <cell r="I271" t="str">
            <v>已签到</v>
          </cell>
          <cell r="J271">
            <v>46051</v>
          </cell>
          <cell r="K271" t="str">
            <v>销售新人入职培训</v>
          </cell>
        </row>
        <row r="272">
          <cell r="B272" t="str">
            <v>1月</v>
          </cell>
          <cell r="C272" t="str">
            <v>西南总部</v>
          </cell>
          <cell r="D272" t="str">
            <v>营业七部</v>
          </cell>
        </row>
        <row r="272">
          <cell r="I272" t="str">
            <v>未签到</v>
          </cell>
          <cell r="J272">
            <v>46051</v>
          </cell>
          <cell r="K272" t="str">
            <v>销售新人入职培训</v>
          </cell>
        </row>
        <row r="273">
          <cell r="B273" t="str">
            <v>1月</v>
          </cell>
          <cell r="C273" t="str">
            <v>湖南</v>
          </cell>
          <cell r="D273" t="str">
            <v>湖南销售部</v>
          </cell>
        </row>
        <row r="273">
          <cell r="I273" t="str">
            <v>未签到</v>
          </cell>
          <cell r="J273">
            <v>46051</v>
          </cell>
          <cell r="K273" t="str">
            <v>销售新人入职培训</v>
          </cell>
        </row>
        <row r="274">
          <cell r="B274" t="str">
            <v>1月</v>
          </cell>
          <cell r="C274" t="str">
            <v>湖北</v>
          </cell>
          <cell r="D274" t="str">
            <v>湖北2部</v>
          </cell>
        </row>
        <row r="274">
          <cell r="I274" t="str">
            <v>已签到</v>
          </cell>
          <cell r="J274">
            <v>46051</v>
          </cell>
          <cell r="K274" t="str">
            <v>销售新人入职培训</v>
          </cell>
        </row>
        <row r="275">
          <cell r="B275" t="str">
            <v>1月</v>
          </cell>
          <cell r="C275" t="str">
            <v>西南总部</v>
          </cell>
          <cell r="D275" t="str">
            <v>营业二部</v>
          </cell>
        </row>
        <row r="275">
          <cell r="I275" t="str">
            <v>未签到</v>
          </cell>
          <cell r="J275">
            <v>46051</v>
          </cell>
          <cell r="K275" t="str">
            <v>销售新人入职培训</v>
          </cell>
        </row>
        <row r="276">
          <cell r="B276" t="str">
            <v>1月</v>
          </cell>
          <cell r="C276" t="str">
            <v>西南总部</v>
          </cell>
          <cell r="D276" t="str">
            <v>营业二部</v>
          </cell>
        </row>
        <row r="276">
          <cell r="I276" t="str">
            <v>已签到</v>
          </cell>
          <cell r="J276">
            <v>46051</v>
          </cell>
          <cell r="K276" t="str">
            <v>销售新人入职培训</v>
          </cell>
        </row>
        <row r="277">
          <cell r="B277" t="str">
            <v>1月</v>
          </cell>
          <cell r="C277" t="str">
            <v>陕西</v>
          </cell>
          <cell r="D277" t="str">
            <v>陕西2部</v>
          </cell>
        </row>
        <row r="277">
          <cell r="I277" t="str">
            <v>已签到</v>
          </cell>
          <cell r="J277">
            <v>46051</v>
          </cell>
          <cell r="K277" t="str">
            <v>销售新人入职培训</v>
          </cell>
        </row>
        <row r="278">
          <cell r="B278" t="str">
            <v>1月</v>
          </cell>
          <cell r="C278" t="str">
            <v>湖南</v>
          </cell>
          <cell r="D278" t="str">
            <v>湖南销售部</v>
          </cell>
        </row>
        <row r="278">
          <cell r="I278" t="str">
            <v>已签到</v>
          </cell>
          <cell r="J278">
            <v>46051</v>
          </cell>
          <cell r="K278" t="str">
            <v>销售新人入职培训</v>
          </cell>
        </row>
        <row r="279">
          <cell r="B279" t="str">
            <v>1月</v>
          </cell>
          <cell r="C279" t="str">
            <v>甘肃</v>
          </cell>
          <cell r="D279" t="str">
            <v>甘肃销售部</v>
          </cell>
        </row>
        <row r="279">
          <cell r="I279" t="str">
            <v>已签到</v>
          </cell>
          <cell r="J279">
            <v>46051</v>
          </cell>
          <cell r="K279" t="str">
            <v>销售新人入职培训</v>
          </cell>
        </row>
        <row r="280">
          <cell r="B280" t="str">
            <v>1月</v>
          </cell>
          <cell r="C280" t="str">
            <v>西南总部</v>
          </cell>
          <cell r="D280" t="str">
            <v>营业二部</v>
          </cell>
        </row>
        <row r="280">
          <cell r="I280" t="str">
            <v>已签到</v>
          </cell>
          <cell r="J280">
            <v>46051</v>
          </cell>
          <cell r="K280" t="str">
            <v>销售新人入职培训</v>
          </cell>
        </row>
        <row r="281">
          <cell r="B281" t="str">
            <v>1月</v>
          </cell>
          <cell r="C281" t="str">
            <v>西南总部</v>
          </cell>
          <cell r="D281" t="str">
            <v>营业三部</v>
          </cell>
        </row>
        <row r="281">
          <cell r="I281" t="str">
            <v>已签到</v>
          </cell>
          <cell r="J281">
            <v>46051</v>
          </cell>
          <cell r="K281" t="str">
            <v>销售新人入职培训</v>
          </cell>
        </row>
        <row r="282">
          <cell r="B282" t="str">
            <v>1月</v>
          </cell>
          <cell r="C282" t="str">
            <v>西南总部</v>
          </cell>
          <cell r="D282" t="str">
            <v>营业三部</v>
          </cell>
        </row>
        <row r="282">
          <cell r="I282" t="str">
            <v>已签到</v>
          </cell>
          <cell r="J282">
            <v>46051</v>
          </cell>
          <cell r="K282" t="str">
            <v>销售新人入职培训</v>
          </cell>
        </row>
        <row r="283">
          <cell r="B283" t="str">
            <v>1月</v>
          </cell>
          <cell r="C283" t="str">
            <v>西南总部</v>
          </cell>
          <cell r="D283" t="str">
            <v>营业一部</v>
          </cell>
        </row>
        <row r="283">
          <cell r="I283" t="str">
            <v>未签到</v>
          </cell>
          <cell r="J283">
            <v>46051</v>
          </cell>
          <cell r="K283" t="str">
            <v>销售新人入职培训</v>
          </cell>
        </row>
        <row r="284">
          <cell r="B284" t="str">
            <v>1月</v>
          </cell>
          <cell r="C284" t="str">
            <v>西南总部</v>
          </cell>
          <cell r="D284" t="str">
            <v>营业七部</v>
          </cell>
        </row>
        <row r="284">
          <cell r="I284" t="str">
            <v>已签到</v>
          </cell>
          <cell r="J284">
            <v>46051</v>
          </cell>
          <cell r="K284" t="str">
            <v>销售新人入职培训</v>
          </cell>
        </row>
        <row r="285">
          <cell r="B285" t="str">
            <v>1月</v>
          </cell>
          <cell r="C285" t="str">
            <v>河南</v>
          </cell>
          <cell r="D285" t="str">
            <v>河南销售部</v>
          </cell>
        </row>
        <row r="285">
          <cell r="I285" t="str">
            <v>已签到</v>
          </cell>
          <cell r="J285">
            <v>46051</v>
          </cell>
          <cell r="K285" t="str">
            <v>销售新人入职培训</v>
          </cell>
        </row>
        <row r="286">
          <cell r="B286" t="str">
            <v>1月</v>
          </cell>
          <cell r="C286" t="str">
            <v>山东</v>
          </cell>
          <cell r="D286" t="str">
            <v>山东销售部</v>
          </cell>
        </row>
        <row r="286">
          <cell r="I286" t="str">
            <v>已签到</v>
          </cell>
          <cell r="J286">
            <v>46051</v>
          </cell>
          <cell r="K286" t="str">
            <v>销售新人入职培训</v>
          </cell>
        </row>
        <row r="287">
          <cell r="B287" t="str">
            <v>1月</v>
          </cell>
          <cell r="C287" t="str">
            <v>河南</v>
          </cell>
          <cell r="D287" t="str">
            <v>河南销售部</v>
          </cell>
        </row>
        <row r="287">
          <cell r="I287" t="str">
            <v>已签到</v>
          </cell>
          <cell r="J287">
            <v>46051</v>
          </cell>
          <cell r="K287" t="str">
            <v>销售新人入职培训</v>
          </cell>
        </row>
        <row r="288">
          <cell r="B288" t="str">
            <v>1月</v>
          </cell>
          <cell r="C288" t="str">
            <v>内蒙古</v>
          </cell>
          <cell r="D288" t="str">
            <v>内蒙古销售部</v>
          </cell>
        </row>
        <row r="288">
          <cell r="I288" t="str">
            <v>已签到</v>
          </cell>
          <cell r="J288">
            <v>46051</v>
          </cell>
          <cell r="K288" t="str">
            <v>销售新人入职培训</v>
          </cell>
        </row>
        <row r="289">
          <cell r="B289" t="str">
            <v>1月</v>
          </cell>
          <cell r="C289" t="str">
            <v>内蒙古</v>
          </cell>
          <cell r="D289" t="str">
            <v>内蒙古销售部</v>
          </cell>
        </row>
        <row r="289">
          <cell r="I289" t="str">
            <v>已签到</v>
          </cell>
          <cell r="J289">
            <v>46051</v>
          </cell>
          <cell r="K289" t="str">
            <v>销售新人入职培训</v>
          </cell>
        </row>
        <row r="290">
          <cell r="B290" t="str">
            <v>1月</v>
          </cell>
          <cell r="C290" t="str">
            <v>内蒙古</v>
          </cell>
          <cell r="D290" t="str">
            <v>内蒙古销售部</v>
          </cell>
        </row>
        <row r="290">
          <cell r="I290" t="str">
            <v>已签到</v>
          </cell>
          <cell r="J290">
            <v>46051</v>
          </cell>
          <cell r="K290" t="str">
            <v>销售新人入职培训</v>
          </cell>
        </row>
        <row r="291">
          <cell r="B291" t="str">
            <v>1月</v>
          </cell>
          <cell r="C291" t="str">
            <v>湖南</v>
          </cell>
          <cell r="D291" t="str">
            <v>湖南销售部</v>
          </cell>
        </row>
        <row r="291">
          <cell r="I291" t="str">
            <v>未签到</v>
          </cell>
          <cell r="J291">
            <v>46051</v>
          </cell>
          <cell r="K291" t="str">
            <v>销售新人入职培训</v>
          </cell>
        </row>
        <row r="292">
          <cell r="B292" t="str">
            <v>1月</v>
          </cell>
          <cell r="C292" t="str">
            <v>湖南</v>
          </cell>
          <cell r="D292" t="str">
            <v>湖南销售部</v>
          </cell>
        </row>
        <row r="292">
          <cell r="I292" t="str">
            <v>未签到</v>
          </cell>
          <cell r="J292">
            <v>46051</v>
          </cell>
          <cell r="K292" t="str">
            <v>销售新人入职培训</v>
          </cell>
        </row>
        <row r="293">
          <cell r="B293" t="str">
            <v>1月</v>
          </cell>
          <cell r="C293" t="str">
            <v>西南总部</v>
          </cell>
          <cell r="D293" t="str">
            <v>营业七部</v>
          </cell>
        </row>
        <row r="293">
          <cell r="I293" t="str">
            <v>未签到</v>
          </cell>
          <cell r="J293">
            <v>46051</v>
          </cell>
          <cell r="K293" t="str">
            <v>销售新人入职培训</v>
          </cell>
        </row>
        <row r="294">
          <cell r="B294" t="str">
            <v>1月</v>
          </cell>
          <cell r="C294" t="str">
            <v>湖北</v>
          </cell>
          <cell r="D294" t="str">
            <v>湖北1部</v>
          </cell>
        </row>
        <row r="294">
          <cell r="I294" t="str">
            <v>已签到</v>
          </cell>
          <cell r="J294">
            <v>46051</v>
          </cell>
          <cell r="K294" t="str">
            <v>销售新人入职培训</v>
          </cell>
        </row>
        <row r="295">
          <cell r="B295" t="str">
            <v>1月</v>
          </cell>
          <cell r="C295" t="str">
            <v>陕西</v>
          </cell>
          <cell r="D295" t="str">
            <v>陕西2部</v>
          </cell>
        </row>
        <row r="295">
          <cell r="I295" t="str">
            <v>已签到</v>
          </cell>
          <cell r="J295">
            <v>46051</v>
          </cell>
          <cell r="K295" t="str">
            <v>销售新人入职培训</v>
          </cell>
        </row>
        <row r="296">
          <cell r="B296" t="str">
            <v>1月</v>
          </cell>
          <cell r="C296" t="str">
            <v>湖北</v>
          </cell>
          <cell r="D296" t="str">
            <v>湖北1部</v>
          </cell>
        </row>
        <row r="296">
          <cell r="I296" t="str">
            <v>已签到</v>
          </cell>
          <cell r="J296">
            <v>46051</v>
          </cell>
          <cell r="K296" t="str">
            <v>销售新人入职培训</v>
          </cell>
        </row>
        <row r="297">
          <cell r="B297" t="str">
            <v>1月</v>
          </cell>
          <cell r="C297" t="str">
            <v>西南总部</v>
          </cell>
          <cell r="D297" t="str">
            <v>营业四部</v>
          </cell>
        </row>
        <row r="297">
          <cell r="I297" t="str">
            <v>未签到</v>
          </cell>
          <cell r="J297">
            <v>46051</v>
          </cell>
          <cell r="K297" t="str">
            <v>销售新人入职培训</v>
          </cell>
        </row>
        <row r="298">
          <cell r="B298" t="str">
            <v>1月</v>
          </cell>
          <cell r="C298" t="str">
            <v>西南总部</v>
          </cell>
          <cell r="D298" t="str">
            <v>营业四部</v>
          </cell>
        </row>
        <row r="298">
          <cell r="I298" t="str">
            <v>未签到</v>
          </cell>
          <cell r="J298">
            <v>46051</v>
          </cell>
          <cell r="K298" t="str">
            <v>销售新人入职培训</v>
          </cell>
        </row>
        <row r="299">
          <cell r="B299" t="str">
            <v>1月</v>
          </cell>
          <cell r="C299" t="str">
            <v>西南总部</v>
          </cell>
          <cell r="D299" t="str">
            <v>营业三部</v>
          </cell>
        </row>
        <row r="299">
          <cell r="I299" t="str">
            <v>未签到</v>
          </cell>
          <cell r="J299">
            <v>46051</v>
          </cell>
          <cell r="K299" t="str">
            <v>销售新人入职培训</v>
          </cell>
        </row>
        <row r="300">
          <cell r="B300" t="str">
            <v>1月</v>
          </cell>
          <cell r="C300" t="str">
            <v>西南总部</v>
          </cell>
          <cell r="D300" t="str">
            <v>营业一部</v>
          </cell>
        </row>
        <row r="300">
          <cell r="I300" t="str">
            <v>已签到</v>
          </cell>
          <cell r="J300">
            <v>46051</v>
          </cell>
          <cell r="K300" t="str">
            <v>销售新人入职培训</v>
          </cell>
        </row>
        <row r="301">
          <cell r="B301" t="str">
            <v>1月</v>
          </cell>
          <cell r="C301" t="str">
            <v>西南总部</v>
          </cell>
          <cell r="D301" t="str">
            <v>营业二部</v>
          </cell>
        </row>
        <row r="301">
          <cell r="I301" t="str">
            <v>未签到</v>
          </cell>
          <cell r="J301">
            <v>46051</v>
          </cell>
          <cell r="K301" t="str">
            <v>销售新人入职培训</v>
          </cell>
        </row>
        <row r="302">
          <cell r="B302" t="str">
            <v>1月</v>
          </cell>
          <cell r="C302" t="str">
            <v>西南总部</v>
          </cell>
          <cell r="D302" t="str">
            <v>营业三部</v>
          </cell>
        </row>
        <row r="302">
          <cell r="I302" t="str">
            <v>未签到</v>
          </cell>
          <cell r="J302">
            <v>46051</v>
          </cell>
          <cell r="K302" t="str">
            <v>销售新人入职培训</v>
          </cell>
        </row>
        <row r="303">
          <cell r="B303" t="str">
            <v>1月</v>
          </cell>
          <cell r="C303" t="str">
            <v>西南总部</v>
          </cell>
          <cell r="D303" t="str">
            <v>营业三部</v>
          </cell>
        </row>
        <row r="303">
          <cell r="I303" t="str">
            <v>未签到</v>
          </cell>
          <cell r="J303">
            <v>46051</v>
          </cell>
          <cell r="K303" t="str">
            <v>销售新人入职培训</v>
          </cell>
        </row>
        <row r="304">
          <cell r="B304" t="str">
            <v>1月</v>
          </cell>
          <cell r="C304" t="str">
            <v>西南总部</v>
          </cell>
          <cell r="D304" t="str">
            <v>营业三部</v>
          </cell>
        </row>
        <row r="304">
          <cell r="I304" t="str">
            <v>未签到</v>
          </cell>
          <cell r="J304">
            <v>46051</v>
          </cell>
          <cell r="K304" t="str">
            <v>销售新人入职培训</v>
          </cell>
        </row>
        <row r="305">
          <cell r="B305" t="str">
            <v>1月</v>
          </cell>
          <cell r="C305" t="str">
            <v>西南总部</v>
          </cell>
          <cell r="D305" t="str">
            <v>营业一部</v>
          </cell>
        </row>
        <row r="305">
          <cell r="I305" t="str">
            <v>已签到</v>
          </cell>
          <cell r="J305">
            <v>46051</v>
          </cell>
          <cell r="K305" t="str">
            <v>销售新人入职培训</v>
          </cell>
        </row>
        <row r="306">
          <cell r="B306" t="str">
            <v>1月</v>
          </cell>
          <cell r="C306" t="str">
            <v>西南总部</v>
          </cell>
          <cell r="D306" t="str">
            <v>营业一部</v>
          </cell>
        </row>
        <row r="306">
          <cell r="I306" t="str">
            <v>已签到</v>
          </cell>
          <cell r="J306">
            <v>46051</v>
          </cell>
          <cell r="K306" t="str">
            <v>销售新人入职培训</v>
          </cell>
        </row>
        <row r="307">
          <cell r="B307" t="str">
            <v>1月</v>
          </cell>
          <cell r="C307" t="str">
            <v>西南总部</v>
          </cell>
          <cell r="D307" t="str">
            <v>营业六部</v>
          </cell>
        </row>
        <row r="307">
          <cell r="I307" t="str">
            <v>未签到</v>
          </cell>
          <cell r="J307">
            <v>46051</v>
          </cell>
          <cell r="K307" t="str">
            <v>销售新人入职培训</v>
          </cell>
        </row>
        <row r="308">
          <cell r="B308" t="str">
            <v>1月</v>
          </cell>
          <cell r="C308" t="str">
            <v>西南总部</v>
          </cell>
          <cell r="D308" t="str">
            <v>营业六部</v>
          </cell>
        </row>
        <row r="308">
          <cell r="I308" t="str">
            <v>未签到</v>
          </cell>
          <cell r="J308">
            <v>46051</v>
          </cell>
          <cell r="K308" t="str">
            <v>销售新人入职培训</v>
          </cell>
        </row>
        <row r="309">
          <cell r="B309" t="str">
            <v>1月</v>
          </cell>
          <cell r="C309" t="str">
            <v>西南总部</v>
          </cell>
          <cell r="D309" t="str">
            <v>营业六部</v>
          </cell>
        </row>
        <row r="309">
          <cell r="I309" t="str">
            <v>未签到</v>
          </cell>
          <cell r="J309">
            <v>46051</v>
          </cell>
          <cell r="K309" t="str">
            <v>销售新人入职培训</v>
          </cell>
        </row>
        <row r="310">
          <cell r="B310" t="str">
            <v>1月</v>
          </cell>
          <cell r="C310" t="str">
            <v>河北</v>
          </cell>
          <cell r="D310" t="str">
            <v>河北销售部</v>
          </cell>
        </row>
        <row r="310">
          <cell r="I310" t="str">
            <v>已签到</v>
          </cell>
          <cell r="J310">
            <v>46051</v>
          </cell>
          <cell r="K310" t="str">
            <v>销售新人入职培训</v>
          </cell>
        </row>
        <row r="311">
          <cell r="B311" t="str">
            <v>1月</v>
          </cell>
          <cell r="C311" t="str">
            <v>山东</v>
          </cell>
          <cell r="D311" t="str">
            <v>山东销售部</v>
          </cell>
        </row>
        <row r="311">
          <cell r="I311" t="str">
            <v>已签到</v>
          </cell>
          <cell r="J311">
            <v>46051</v>
          </cell>
          <cell r="K311" t="str">
            <v>销售新人入职培训</v>
          </cell>
        </row>
        <row r="312">
          <cell r="B312" t="str">
            <v>1月</v>
          </cell>
          <cell r="C312" t="str">
            <v>河南</v>
          </cell>
          <cell r="D312" t="str">
            <v>河南销售部</v>
          </cell>
        </row>
        <row r="312">
          <cell r="I312" t="str">
            <v>已签到</v>
          </cell>
          <cell r="J312">
            <v>46051</v>
          </cell>
          <cell r="K312" t="str">
            <v>销售新人入职培训</v>
          </cell>
        </row>
        <row r="313">
          <cell r="B313" t="str">
            <v>1月</v>
          </cell>
          <cell r="C313" t="str">
            <v>西南总部</v>
          </cell>
          <cell r="D313" t="str">
            <v>营业四部</v>
          </cell>
        </row>
        <row r="313">
          <cell r="I313" t="str">
            <v>未签到</v>
          </cell>
          <cell r="J313">
            <v>46051</v>
          </cell>
          <cell r="K313" t="str">
            <v>销售新人入职培训</v>
          </cell>
        </row>
        <row r="314">
          <cell r="B314" t="str">
            <v>1月</v>
          </cell>
          <cell r="C314" t="str">
            <v>西南总部</v>
          </cell>
          <cell r="D314" t="str">
            <v>营业四部</v>
          </cell>
        </row>
        <row r="314">
          <cell r="I314" t="str">
            <v>已签到</v>
          </cell>
          <cell r="J314">
            <v>46051</v>
          </cell>
          <cell r="K314" t="str">
            <v>销售新人入职培训</v>
          </cell>
        </row>
        <row r="315">
          <cell r="B315" t="str">
            <v>1月</v>
          </cell>
          <cell r="C315" t="str">
            <v>西南总部</v>
          </cell>
          <cell r="D315" t="str">
            <v>营业四部</v>
          </cell>
        </row>
        <row r="315">
          <cell r="I315" t="str">
            <v>未签到</v>
          </cell>
          <cell r="J315">
            <v>46051</v>
          </cell>
          <cell r="K315" t="str">
            <v>销售新人入职培训</v>
          </cell>
        </row>
        <row r="316">
          <cell r="B316" t="str">
            <v>1月</v>
          </cell>
          <cell r="C316" t="str">
            <v>河北</v>
          </cell>
          <cell r="D316" t="str">
            <v>河北销售部</v>
          </cell>
        </row>
        <row r="316">
          <cell r="I316" t="str">
            <v>未签到</v>
          </cell>
          <cell r="J316">
            <v>46051</v>
          </cell>
          <cell r="K316" t="str">
            <v>销售新人入职培训</v>
          </cell>
        </row>
        <row r="317">
          <cell r="B317" t="str">
            <v>1月</v>
          </cell>
          <cell r="C317" t="str">
            <v>河北</v>
          </cell>
          <cell r="D317" t="str">
            <v>河北销售部</v>
          </cell>
        </row>
        <row r="317">
          <cell r="I317" t="str">
            <v>已签到</v>
          </cell>
          <cell r="J317">
            <v>46051</v>
          </cell>
          <cell r="K317" t="str">
            <v>销售新人入职培训</v>
          </cell>
        </row>
        <row r="318">
          <cell r="B318" t="str">
            <v>1月</v>
          </cell>
          <cell r="C318" t="str">
            <v>河北</v>
          </cell>
          <cell r="D318" t="str">
            <v>河北销售部</v>
          </cell>
        </row>
        <row r="318">
          <cell r="I318" t="str">
            <v>已签到</v>
          </cell>
          <cell r="J318">
            <v>46051</v>
          </cell>
          <cell r="K318" t="str">
            <v>销售新人入职培训</v>
          </cell>
        </row>
        <row r="319">
          <cell r="B319" t="str">
            <v>1月</v>
          </cell>
          <cell r="C319" t="str">
            <v>西南总部</v>
          </cell>
          <cell r="D319" t="str">
            <v>营业七部</v>
          </cell>
        </row>
        <row r="319">
          <cell r="I319" t="str">
            <v>已签到</v>
          </cell>
          <cell r="J319">
            <v>46051</v>
          </cell>
          <cell r="K319" t="str">
            <v>销售新人入职培训</v>
          </cell>
        </row>
        <row r="320">
          <cell r="B320" t="str">
            <v>1月</v>
          </cell>
          <cell r="C320" t="str">
            <v>西南总部</v>
          </cell>
          <cell r="D320" t="str">
            <v>营业七部</v>
          </cell>
        </row>
        <row r="320">
          <cell r="I320" t="str">
            <v>未签到</v>
          </cell>
          <cell r="J320">
            <v>46051</v>
          </cell>
          <cell r="K320" t="str">
            <v>销售新人入职培训</v>
          </cell>
        </row>
        <row r="321">
          <cell r="B321" t="str">
            <v>1月</v>
          </cell>
          <cell r="C321" t="str">
            <v>西南总部</v>
          </cell>
          <cell r="D321" t="str">
            <v>营业一部</v>
          </cell>
        </row>
        <row r="321">
          <cell r="I321" t="str">
            <v>未签到</v>
          </cell>
          <cell r="J321">
            <v>46051</v>
          </cell>
          <cell r="K321" t="str">
            <v>销售新人入职培训</v>
          </cell>
        </row>
        <row r="322">
          <cell r="B322" t="str">
            <v>1月</v>
          </cell>
          <cell r="C322" t="str">
            <v>西南总部</v>
          </cell>
          <cell r="D322" t="str">
            <v>营业一部</v>
          </cell>
        </row>
        <row r="322">
          <cell r="I322" t="str">
            <v>未签到</v>
          </cell>
          <cell r="J322">
            <v>46051</v>
          </cell>
          <cell r="K322" t="str">
            <v>销售新人入职培训</v>
          </cell>
        </row>
        <row r="323">
          <cell r="B323" t="str">
            <v>1月</v>
          </cell>
          <cell r="C323" t="str">
            <v>西南总部</v>
          </cell>
          <cell r="D323" t="str">
            <v>职能营销</v>
          </cell>
        </row>
        <row r="323">
          <cell r="I323" t="str">
            <v>已签到</v>
          </cell>
          <cell r="J323">
            <v>46051</v>
          </cell>
          <cell r="K323" t="str">
            <v>销售新人入职培训</v>
          </cell>
        </row>
        <row r="324">
          <cell r="B324" t="str">
            <v>1月</v>
          </cell>
          <cell r="C324" t="str">
            <v>西南总部</v>
          </cell>
          <cell r="D324" t="str">
            <v>职能营销</v>
          </cell>
        </row>
        <row r="324">
          <cell r="I324" t="str">
            <v>已签到</v>
          </cell>
          <cell r="J324">
            <v>46051</v>
          </cell>
          <cell r="K324" t="str">
            <v>销售新人入职培训</v>
          </cell>
        </row>
        <row r="325">
          <cell r="B325" t="str">
            <v>1月</v>
          </cell>
          <cell r="C325" t="str">
            <v>西南总部</v>
          </cell>
          <cell r="D325" t="str">
            <v>职能营销</v>
          </cell>
        </row>
        <row r="325">
          <cell r="I325" t="str">
            <v>未签到</v>
          </cell>
          <cell r="J325">
            <v>46051</v>
          </cell>
          <cell r="K325" t="str">
            <v>销售新人入职培训</v>
          </cell>
        </row>
        <row r="326">
          <cell r="B326" t="str">
            <v>1月</v>
          </cell>
          <cell r="C326" t="str">
            <v>西南总部</v>
          </cell>
          <cell r="D326" t="str">
            <v>职能营销</v>
          </cell>
        </row>
        <row r="326">
          <cell r="I326" t="str">
            <v>已签到</v>
          </cell>
          <cell r="J326">
            <v>46051</v>
          </cell>
          <cell r="K326" t="str">
            <v>销售新人入职培训</v>
          </cell>
        </row>
        <row r="327">
          <cell r="B327" t="str">
            <v>1月</v>
          </cell>
          <cell r="C327" t="str">
            <v>西南总部</v>
          </cell>
          <cell r="D327" t="str">
            <v>职能营销</v>
          </cell>
        </row>
        <row r="327">
          <cell r="I327" t="str">
            <v>已签到</v>
          </cell>
          <cell r="J327">
            <v>46051</v>
          </cell>
          <cell r="K327" t="str">
            <v>销售新人入职培训</v>
          </cell>
        </row>
        <row r="328">
          <cell r="B328" t="str">
            <v>1月</v>
          </cell>
          <cell r="C328" t="str">
            <v>西南总部</v>
          </cell>
          <cell r="D328" t="str">
            <v>营业六部</v>
          </cell>
        </row>
        <row r="328">
          <cell r="I328" t="str">
            <v>未签到</v>
          </cell>
          <cell r="J328">
            <v>46051</v>
          </cell>
          <cell r="K328" t="str">
            <v>销售新人入职培训</v>
          </cell>
        </row>
        <row r="329">
          <cell r="B329" t="str">
            <v>1月</v>
          </cell>
          <cell r="C329" t="str">
            <v>西南总部</v>
          </cell>
          <cell r="D329" t="str">
            <v>职能营销</v>
          </cell>
        </row>
        <row r="329">
          <cell r="I329" t="str">
            <v>已签到</v>
          </cell>
          <cell r="J329">
            <v>46051</v>
          </cell>
          <cell r="K329" t="str">
            <v>销售新人入职培训</v>
          </cell>
        </row>
      </sheetData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2026年度培训主表"/>
      <sheetName val="《营业部》维度的参训率"/>
      <sheetName val="《分公司》维度的参训率"/>
      <sheetName val="自主培训2026年度数据（累计）"/>
      <sheetName val="试岗通关明细"/>
      <sheetName val="转正通关明细"/>
      <sheetName val="26年转正＋试岗"/>
      <sheetName val="《课程名称》维度的参训明细（主表）"/>
      <sheetName val="《授课类型》维度的参训明细"/>
      <sheetName val="各类培训类型参训率（人数为维度）"/>
      <sheetName val="月度培训数据"/>
    </sheetNames>
    <sheetDataSet>
      <sheetData sheetId="0"/>
      <sheetData sheetId="1"/>
      <sheetData sheetId="2"/>
      <sheetData sheetId="3">
        <row r="1">
          <cell r="Q1" t="str">
            <v>城市</v>
          </cell>
          <cell r="R1" t="str">
            <v>应培训场次（累计）</v>
          </cell>
        </row>
        <row r="4">
          <cell r="Q4" t="str">
            <v>西南总部</v>
          </cell>
          <cell r="R4">
            <v>162</v>
          </cell>
        </row>
        <row r="5">
          <cell r="Q5" t="str">
            <v>湖北</v>
          </cell>
          <cell r="R5">
            <v>42</v>
          </cell>
        </row>
        <row r="6">
          <cell r="Q6" t="str">
            <v>甘肃</v>
          </cell>
          <cell r="R6">
            <v>3</v>
          </cell>
        </row>
        <row r="7">
          <cell r="Q7" t="str">
            <v>湖南</v>
          </cell>
          <cell r="R7">
            <v>36</v>
          </cell>
        </row>
        <row r="8">
          <cell r="Q8" t="str">
            <v>陕西</v>
          </cell>
          <cell r="R8">
            <v>57</v>
          </cell>
        </row>
        <row r="9">
          <cell r="Q9" t="str">
            <v>河北</v>
          </cell>
          <cell r="R9">
            <v>12</v>
          </cell>
        </row>
        <row r="10">
          <cell r="Q10" t="str">
            <v>山东</v>
          </cell>
          <cell r="R10">
            <v>30</v>
          </cell>
        </row>
        <row r="11">
          <cell r="Q11" t="str">
            <v>河南</v>
          </cell>
          <cell r="R11">
            <v>21</v>
          </cell>
        </row>
        <row r="12">
          <cell r="Q12" t="str">
            <v>山西</v>
          </cell>
          <cell r="R12">
            <v>24</v>
          </cell>
        </row>
        <row r="13">
          <cell r="Q13" t="str">
            <v>内蒙古</v>
          </cell>
          <cell r="R13">
            <v>6</v>
          </cell>
        </row>
        <row r="14">
          <cell r="Q14" t="str">
            <v>辽宁</v>
          </cell>
          <cell r="R14">
            <v>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在职"/>
      <sheetName val="离职"/>
      <sheetName val="Sheet1"/>
    </sheetNames>
    <sheetDataSet>
      <sheetData sheetId="0">
        <row r="1">
          <cell r="A1" t="str">
            <v>parent_Name</v>
          </cell>
          <cell r="B1" t="str">
            <v>JobNumber</v>
          </cell>
          <cell r="C1" t="str">
            <v>LookupPrefix_UserID_FirstPartyCode</v>
          </cell>
          <cell r="D1" t="str">
            <v>EntryDate</v>
          </cell>
          <cell r="E1" t="str">
            <v>LookupPrefix_OIdDepartment_FirstLevelOrganization</v>
          </cell>
        </row>
        <row r="2">
          <cell r="A2" t="str">
            <v>姓名</v>
          </cell>
          <cell r="B2" t="str">
            <v>工号</v>
          </cell>
          <cell r="C2" t="str">
            <v>公司</v>
          </cell>
          <cell r="D2" t="str">
            <v>任职入职日期</v>
          </cell>
          <cell r="E2" t="str">
            <v>一级组织</v>
          </cell>
        </row>
        <row r="3">
          <cell r="A3" t="str">
            <v>梁一丹</v>
          </cell>
          <cell r="B3" t="str">
            <v>01917</v>
          </cell>
          <cell r="C3" t="str">
            <v>河南蜜蜂族营销策划有限公司</v>
          </cell>
          <cell r="D3">
            <v>46049</v>
          </cell>
          <cell r="E3" t="str">
            <v>河南</v>
          </cell>
        </row>
        <row r="4">
          <cell r="A4" t="str">
            <v>邓松元</v>
          </cell>
          <cell r="B4" t="str">
            <v>01920</v>
          </cell>
          <cell r="C4" t="str">
            <v>湖南时代蜂族营销策划有限公司</v>
          </cell>
          <cell r="D4">
            <v>46048</v>
          </cell>
          <cell r="E4" t="str">
            <v>湖南</v>
          </cell>
        </row>
        <row r="5">
          <cell r="A5" t="str">
            <v>李恒</v>
          </cell>
          <cell r="B5" t="str">
            <v>01921</v>
          </cell>
          <cell r="C5" t="str">
            <v>四川时代蜂族营销策划有限公司</v>
          </cell>
          <cell r="D5">
            <v>46048</v>
          </cell>
          <cell r="E5" t="str">
            <v>西南总部</v>
          </cell>
        </row>
        <row r="6">
          <cell r="A6" t="str">
            <v>孔群慧</v>
          </cell>
          <cell r="B6" t="str">
            <v>01918</v>
          </cell>
          <cell r="C6" t="str">
            <v>四川优诺通瑞商贸有限公司</v>
          </cell>
          <cell r="D6">
            <v>46048</v>
          </cell>
          <cell r="E6" t="str">
            <v>西南总部</v>
          </cell>
        </row>
        <row r="7">
          <cell r="A7" t="str">
            <v>杨星</v>
          </cell>
          <cell r="B7" t="str">
            <v>01915</v>
          </cell>
          <cell r="C7" t="str">
            <v>河北时代蜂族营销策划有限公司</v>
          </cell>
          <cell r="D7">
            <v>46045</v>
          </cell>
          <cell r="E7" t="str">
            <v>河北</v>
          </cell>
        </row>
        <row r="8">
          <cell r="A8" t="str">
            <v>陈国钊</v>
          </cell>
          <cell r="B8" t="str">
            <v>01919</v>
          </cell>
          <cell r="C8" t="str">
            <v>四川时代蜂族营销策划有限公司</v>
          </cell>
          <cell r="D8">
            <v>46045</v>
          </cell>
          <cell r="E8" t="str">
            <v>西南总部</v>
          </cell>
        </row>
        <row r="9">
          <cell r="A9" t="str">
            <v>何松键</v>
          </cell>
          <cell r="B9" t="str">
            <v>01916</v>
          </cell>
          <cell r="C9" t="str">
            <v>四川时代蜂族营销策划有限公司</v>
          </cell>
          <cell r="D9">
            <v>46042</v>
          </cell>
          <cell r="E9" t="str">
            <v>西南总部</v>
          </cell>
        </row>
        <row r="10">
          <cell r="A10" t="str">
            <v>李根</v>
          </cell>
          <cell r="B10" t="str">
            <v>01914</v>
          </cell>
          <cell r="C10" t="str">
            <v>湖南时代蜂族营销策划有限公司</v>
          </cell>
          <cell r="D10">
            <v>46039</v>
          </cell>
          <cell r="E10" t="str">
            <v>湖南</v>
          </cell>
        </row>
        <row r="11">
          <cell r="A11" t="str">
            <v>李嘉</v>
          </cell>
          <cell r="B11" t="str">
            <v>01911</v>
          </cell>
          <cell r="C11" t="str">
            <v>四川时代蜂族营销策划有限公司</v>
          </cell>
          <cell r="D11">
            <v>46038</v>
          </cell>
          <cell r="E11" t="str">
            <v>西南总部</v>
          </cell>
        </row>
        <row r="12">
          <cell r="A12" t="str">
            <v>徐琮翔</v>
          </cell>
          <cell r="B12" t="str">
            <v>01913</v>
          </cell>
          <cell r="C12" t="str">
            <v>四川大礼连连科技有限公司</v>
          </cell>
          <cell r="D12">
            <v>46036</v>
          </cell>
          <cell r="E12" t="str">
            <v>西南总部</v>
          </cell>
        </row>
        <row r="13">
          <cell r="A13" t="str">
            <v>王应刚</v>
          </cell>
          <cell r="B13" t="str">
            <v>01912</v>
          </cell>
          <cell r="C13" t="str">
            <v>河北时代蜂族营销策划有限公司</v>
          </cell>
          <cell r="D13">
            <v>46035</v>
          </cell>
          <cell r="E13" t="str">
            <v>河北</v>
          </cell>
        </row>
        <row r="14">
          <cell r="A14" t="str">
            <v>郑昌豪</v>
          </cell>
          <cell r="B14" t="str">
            <v>01910</v>
          </cell>
          <cell r="C14" t="str">
            <v>四川时代蜂族营销策划有限公司</v>
          </cell>
          <cell r="D14">
            <v>46031</v>
          </cell>
          <cell r="E14" t="str">
            <v>西南总部</v>
          </cell>
        </row>
        <row r="15">
          <cell r="A15" t="str">
            <v>张玲霞</v>
          </cell>
          <cell r="B15" t="str">
            <v>01906</v>
          </cell>
          <cell r="C15" t="str">
            <v>陕西蜂族科技有限公司</v>
          </cell>
          <cell r="D15">
            <v>46031</v>
          </cell>
          <cell r="E15" t="str">
            <v>陕西</v>
          </cell>
        </row>
        <row r="16">
          <cell r="A16" t="str">
            <v>赵成</v>
          </cell>
          <cell r="B16" t="str">
            <v>01909</v>
          </cell>
          <cell r="C16" t="str">
            <v>四川时代蜂族营销策划有限公司</v>
          </cell>
          <cell r="D16">
            <v>46031</v>
          </cell>
          <cell r="E16" t="str">
            <v>西南总部</v>
          </cell>
        </row>
        <row r="17">
          <cell r="A17" t="str">
            <v>敖玉</v>
          </cell>
          <cell r="B17" t="str">
            <v>01907</v>
          </cell>
          <cell r="C17" t="str">
            <v>湖南时代蜂族营销策划有限公司</v>
          </cell>
          <cell r="D17">
            <v>46030</v>
          </cell>
          <cell r="E17" t="str">
            <v>湖南</v>
          </cell>
        </row>
        <row r="18">
          <cell r="A18" t="str">
            <v>唐筠</v>
          </cell>
          <cell r="B18" t="str">
            <v>01905</v>
          </cell>
          <cell r="C18" t="str">
            <v>四川时代蜂族营销策划有限公司</v>
          </cell>
          <cell r="D18">
            <v>46027</v>
          </cell>
          <cell r="E18" t="str">
            <v>西南总部</v>
          </cell>
        </row>
        <row r="19">
          <cell r="A19" t="str">
            <v>王振东</v>
          </cell>
          <cell r="B19" t="str">
            <v>01903</v>
          </cell>
          <cell r="C19" t="str">
            <v>河南蜜蜂族营销策划有限公司</v>
          </cell>
          <cell r="D19">
            <v>46026</v>
          </cell>
          <cell r="E19" t="str">
            <v>河南</v>
          </cell>
        </row>
        <row r="20">
          <cell r="A20" t="str">
            <v>王晓潮</v>
          </cell>
          <cell r="B20" t="str">
            <v>01902</v>
          </cell>
          <cell r="C20" t="str">
            <v>河北时代蜂族营销策划有限公司</v>
          </cell>
          <cell r="D20">
            <v>46026</v>
          </cell>
          <cell r="E20" t="str">
            <v>河北</v>
          </cell>
        </row>
        <row r="21">
          <cell r="A21" t="str">
            <v>陈长</v>
          </cell>
          <cell r="B21" t="str">
            <v>01899</v>
          </cell>
          <cell r="C21" t="str">
            <v>四川时代蜂族营销策划有限公司</v>
          </cell>
          <cell r="D21">
            <v>46025</v>
          </cell>
          <cell r="E21" t="str">
            <v>西南总部</v>
          </cell>
        </row>
        <row r="22">
          <cell r="A22" t="str">
            <v>王小蓬</v>
          </cell>
          <cell r="B22" t="str">
            <v>01898</v>
          </cell>
          <cell r="C22" t="str">
            <v>四川时代蜂族营销策划有限公司</v>
          </cell>
          <cell r="D22">
            <v>46025</v>
          </cell>
          <cell r="E22" t="str">
            <v>西南总部</v>
          </cell>
        </row>
        <row r="23">
          <cell r="A23" t="str">
            <v>赵雪勤</v>
          </cell>
          <cell r="B23" t="str">
            <v>01904</v>
          </cell>
          <cell r="C23" t="str">
            <v>河南蜜蜂族营销策划有限公司</v>
          </cell>
          <cell r="D23">
            <v>46024</v>
          </cell>
          <cell r="E23" t="str">
            <v>河南</v>
          </cell>
        </row>
        <row r="24">
          <cell r="A24" t="str">
            <v>杜俊杰</v>
          </cell>
          <cell r="B24" t="str">
            <v>01901</v>
          </cell>
          <cell r="C24" t="str">
            <v>四川时代蜂族营销策划有限公司</v>
          </cell>
          <cell r="D24">
            <v>46022</v>
          </cell>
          <cell r="E24" t="str">
            <v>西南总部</v>
          </cell>
        </row>
        <row r="25">
          <cell r="A25" t="str">
            <v>吴海蛟</v>
          </cell>
          <cell r="B25" t="str">
            <v>01881</v>
          </cell>
          <cell r="C25" t="str">
            <v>四川时代蜂族营销策划有限公司</v>
          </cell>
          <cell r="D25">
            <v>46022</v>
          </cell>
          <cell r="E25" t="str">
            <v>西南总部</v>
          </cell>
        </row>
        <row r="26">
          <cell r="A26" t="str">
            <v>陈浩</v>
          </cell>
          <cell r="B26" t="str">
            <v>01883</v>
          </cell>
          <cell r="C26" t="str">
            <v>四川时代蜂族营销策划有限公司</v>
          </cell>
          <cell r="D26">
            <v>46022</v>
          </cell>
          <cell r="E26" t="str">
            <v>西南总部</v>
          </cell>
        </row>
        <row r="27">
          <cell r="A27" t="str">
            <v>徐超2</v>
          </cell>
          <cell r="B27" t="str">
            <v>01892</v>
          </cell>
          <cell r="C27" t="str">
            <v>四川时代蜂族营销策划有限公司</v>
          </cell>
          <cell r="D27">
            <v>46022</v>
          </cell>
          <cell r="E27" t="str">
            <v>西南总部</v>
          </cell>
        </row>
        <row r="28">
          <cell r="A28" t="str">
            <v>邓双梅</v>
          </cell>
          <cell r="B28" t="str">
            <v>01879</v>
          </cell>
          <cell r="C28" t="str">
            <v>四川时代蜂族营销策划有限公司</v>
          </cell>
          <cell r="D28">
            <v>46022</v>
          </cell>
          <cell r="E28" t="str">
            <v>西南总部</v>
          </cell>
        </row>
        <row r="29">
          <cell r="A29" t="str">
            <v>红英</v>
          </cell>
          <cell r="B29" t="str">
            <v>01889</v>
          </cell>
          <cell r="C29" t="str">
            <v>四川时代蜂族营销策划有限公司</v>
          </cell>
          <cell r="D29">
            <v>46022</v>
          </cell>
          <cell r="E29" t="str">
            <v>西南总部</v>
          </cell>
        </row>
        <row r="30">
          <cell r="A30" t="str">
            <v>曹雪浩</v>
          </cell>
          <cell r="B30" t="str">
            <v>01886</v>
          </cell>
          <cell r="C30" t="str">
            <v>四川时代蜂族营销策划有限公司</v>
          </cell>
          <cell r="D30">
            <v>46022</v>
          </cell>
          <cell r="E30" t="str">
            <v>西南总部</v>
          </cell>
        </row>
        <row r="31">
          <cell r="A31" t="str">
            <v>刘鹏程</v>
          </cell>
          <cell r="B31" t="str">
            <v>01887</v>
          </cell>
          <cell r="C31" t="str">
            <v>四川时代蜂族营销策划有限公司</v>
          </cell>
          <cell r="D31">
            <v>46022</v>
          </cell>
          <cell r="E31" t="str">
            <v>西南总部</v>
          </cell>
        </row>
        <row r="32">
          <cell r="A32" t="str">
            <v>刘兴东</v>
          </cell>
          <cell r="B32" t="str">
            <v>01884</v>
          </cell>
          <cell r="C32" t="str">
            <v>四川时代蜂族营销策划有限公司</v>
          </cell>
          <cell r="D32">
            <v>46022</v>
          </cell>
          <cell r="E32" t="str">
            <v>西南总部</v>
          </cell>
        </row>
        <row r="33">
          <cell r="A33" t="str">
            <v>王成鑫</v>
          </cell>
          <cell r="B33" t="str">
            <v>01882</v>
          </cell>
          <cell r="C33" t="str">
            <v>四川时代蜂族营销策划有限公司</v>
          </cell>
          <cell r="D33">
            <v>46022</v>
          </cell>
          <cell r="E33" t="str">
            <v>西南总部</v>
          </cell>
        </row>
        <row r="34">
          <cell r="A34" t="str">
            <v>田浩</v>
          </cell>
          <cell r="B34" t="str">
            <v>01900</v>
          </cell>
          <cell r="C34" t="str">
            <v>四川时代蜂族营销策划有限公司</v>
          </cell>
          <cell r="D34">
            <v>46021</v>
          </cell>
          <cell r="E34" t="str">
            <v>西南总部</v>
          </cell>
        </row>
        <row r="35">
          <cell r="A35" t="str">
            <v>谭霜鹰</v>
          </cell>
          <cell r="B35" t="str">
            <v>01897</v>
          </cell>
          <cell r="C35" t="str">
            <v>四川时代蜂族营销策划有限公司</v>
          </cell>
          <cell r="D35">
            <v>46020</v>
          </cell>
          <cell r="E35" t="str">
            <v>西南总部</v>
          </cell>
        </row>
        <row r="36">
          <cell r="A36" t="str">
            <v>杨皖佳</v>
          </cell>
          <cell r="B36" t="str">
            <v>01896</v>
          </cell>
          <cell r="C36" t="str">
            <v>四川优诺通瑞商贸有限公司</v>
          </cell>
          <cell r="D36">
            <v>46020</v>
          </cell>
          <cell r="E36" t="str">
            <v>西南总部</v>
          </cell>
        </row>
        <row r="37">
          <cell r="A37" t="str">
            <v>杨孟</v>
          </cell>
          <cell r="B37" t="str">
            <v>01891</v>
          </cell>
          <cell r="C37" t="str">
            <v>山东时代蜂族营销策划有限公司</v>
          </cell>
          <cell r="D37">
            <v>46020</v>
          </cell>
          <cell r="E37" t="str">
            <v>山东</v>
          </cell>
        </row>
        <row r="38">
          <cell r="A38" t="str">
            <v>侯春红</v>
          </cell>
          <cell r="B38" t="str">
            <v>01893</v>
          </cell>
          <cell r="C38" t="str">
            <v>四川时代蜂族营销策划有限公司</v>
          </cell>
          <cell r="D38">
            <v>46019</v>
          </cell>
          <cell r="E38" t="str">
            <v>西南总部</v>
          </cell>
        </row>
        <row r="39">
          <cell r="A39" t="str">
            <v>杨康</v>
          </cell>
          <cell r="B39" t="str">
            <v>01610</v>
          </cell>
          <cell r="C39" t="str">
            <v>四川时代蜂族营销策划有限公司</v>
          </cell>
          <cell r="D39">
            <v>46018</v>
          </cell>
          <cell r="E39" t="str">
            <v>西南总部</v>
          </cell>
        </row>
        <row r="40">
          <cell r="A40" t="str">
            <v>艾显灿</v>
          </cell>
          <cell r="B40" t="str">
            <v>01878</v>
          </cell>
          <cell r="C40" t="str">
            <v>湖南时代蜂族营销策划有限公司</v>
          </cell>
          <cell r="D40">
            <v>46017</v>
          </cell>
          <cell r="E40" t="str">
            <v>湖南</v>
          </cell>
        </row>
        <row r="41">
          <cell r="A41" t="str">
            <v>王超4</v>
          </cell>
          <cell r="B41" t="str">
            <v>01875</v>
          </cell>
          <cell r="C41" t="str">
            <v>四川时代蜂族营销策划有限公司</v>
          </cell>
          <cell r="D41">
            <v>46017</v>
          </cell>
          <cell r="E41" t="str">
            <v>西南总部</v>
          </cell>
        </row>
        <row r="42">
          <cell r="A42" t="str">
            <v>董衡</v>
          </cell>
          <cell r="B42" t="str">
            <v>01876</v>
          </cell>
          <cell r="C42" t="str">
            <v>四川时代蜂族营销策划有限公司</v>
          </cell>
          <cell r="D42">
            <v>46017</v>
          </cell>
          <cell r="E42" t="str">
            <v>西南总部</v>
          </cell>
        </row>
        <row r="43">
          <cell r="A43" t="str">
            <v>沈锐</v>
          </cell>
          <cell r="B43" t="str">
            <v>01880</v>
          </cell>
          <cell r="C43" t="str">
            <v>四川时代蜂族营销策划有限公司</v>
          </cell>
          <cell r="D43">
            <v>46015</v>
          </cell>
          <cell r="E43" t="str">
            <v>西南总部</v>
          </cell>
        </row>
        <row r="44">
          <cell r="A44" t="str">
            <v>黄畅</v>
          </cell>
          <cell r="B44" t="str">
            <v>01874</v>
          </cell>
          <cell r="C44" t="str">
            <v>湖南时代蜂族营销策划有限公司</v>
          </cell>
          <cell r="D44">
            <v>46015</v>
          </cell>
          <cell r="E44" t="str">
            <v>湖南</v>
          </cell>
        </row>
        <row r="45">
          <cell r="A45" t="str">
            <v>杨鹏鹏</v>
          </cell>
          <cell r="B45" t="str">
            <v>01894</v>
          </cell>
          <cell r="C45" t="str">
            <v>湖南时代蜂族营销策划有限公司</v>
          </cell>
          <cell r="D45">
            <v>46014</v>
          </cell>
          <cell r="E45" t="str">
            <v>湖南</v>
          </cell>
        </row>
        <row r="46">
          <cell r="A46" t="str">
            <v>易束梅</v>
          </cell>
          <cell r="B46" t="str">
            <v>01872</v>
          </cell>
          <cell r="C46" t="str">
            <v>四川时代蜂族营销策划有限公司</v>
          </cell>
          <cell r="D46">
            <v>46013</v>
          </cell>
          <cell r="E46" t="str">
            <v>西南总部</v>
          </cell>
        </row>
        <row r="47">
          <cell r="A47" t="str">
            <v>莫嘉鑫</v>
          </cell>
          <cell r="B47" t="str">
            <v>01871</v>
          </cell>
          <cell r="C47" t="str">
            <v>四川时代蜂族营销策划有限公司</v>
          </cell>
          <cell r="D47">
            <v>46013</v>
          </cell>
          <cell r="E47" t="str">
            <v>西南总部</v>
          </cell>
        </row>
        <row r="48">
          <cell r="A48" t="str">
            <v>邓联红</v>
          </cell>
          <cell r="B48" t="str">
            <v>01873</v>
          </cell>
          <cell r="C48" t="str">
            <v>湖南时代蜂族营销策划有限公司</v>
          </cell>
          <cell r="D48">
            <v>46013</v>
          </cell>
          <cell r="E48" t="str">
            <v>湖南</v>
          </cell>
        </row>
        <row r="49">
          <cell r="A49" t="str">
            <v>刘超2</v>
          </cell>
          <cell r="B49" t="str">
            <v>01869</v>
          </cell>
          <cell r="C49" t="str">
            <v>湖北蜜蜂族房地产经纪有限公司</v>
          </cell>
          <cell r="D49">
            <v>46011</v>
          </cell>
          <cell r="E49" t="str">
            <v>湖北</v>
          </cell>
        </row>
        <row r="50">
          <cell r="A50" t="str">
            <v>张凯</v>
          </cell>
          <cell r="B50" t="str">
            <v>01868</v>
          </cell>
          <cell r="C50" t="str">
            <v>山东时代蜂族营销策划有限公司</v>
          </cell>
          <cell r="D50">
            <v>46011</v>
          </cell>
          <cell r="E50" t="str">
            <v>山东</v>
          </cell>
        </row>
        <row r="51">
          <cell r="A51" t="str">
            <v>杨璐通</v>
          </cell>
          <cell r="B51" t="str">
            <v>01870</v>
          </cell>
          <cell r="C51" t="str">
            <v>河南蜜蜂族营销策划有限公司</v>
          </cell>
          <cell r="D51">
            <v>46011</v>
          </cell>
          <cell r="E51" t="str">
            <v>河南</v>
          </cell>
        </row>
        <row r="52">
          <cell r="A52" t="str">
            <v>何娟</v>
          </cell>
          <cell r="B52" t="str">
            <v>01051</v>
          </cell>
          <cell r="C52" t="str">
            <v>河南蜜蜂族营销策划有限公司</v>
          </cell>
          <cell r="D52">
            <v>46010</v>
          </cell>
          <cell r="E52" t="str">
            <v>河南</v>
          </cell>
        </row>
        <row r="53">
          <cell r="A53" t="str">
            <v>米雪琴</v>
          </cell>
          <cell r="B53" t="str">
            <v>01866</v>
          </cell>
          <cell r="C53" t="str">
            <v>四川时代蜂族营销策划有限公司</v>
          </cell>
          <cell r="D53">
            <v>46010</v>
          </cell>
          <cell r="E53" t="str">
            <v>西南总部</v>
          </cell>
        </row>
        <row r="54">
          <cell r="A54" t="str">
            <v>孙莺之</v>
          </cell>
          <cell r="B54" t="str">
            <v>01860</v>
          </cell>
          <cell r="C54" t="str">
            <v>四川优诺通瑞商贸有限公司</v>
          </cell>
          <cell r="D54">
            <v>46010</v>
          </cell>
          <cell r="E54" t="str">
            <v>西南总部</v>
          </cell>
        </row>
        <row r="55">
          <cell r="A55" t="str">
            <v>李宇洁</v>
          </cell>
          <cell r="B55" t="str">
            <v>01856</v>
          </cell>
          <cell r="C55" t="str">
            <v>山西时代蜂族房地产经纪有限公司</v>
          </cell>
          <cell r="D55">
            <v>46009</v>
          </cell>
          <cell r="E55" t="str">
            <v>山西</v>
          </cell>
        </row>
        <row r="56">
          <cell r="A56" t="str">
            <v>杨茜影</v>
          </cell>
          <cell r="B56" t="str">
            <v>01867</v>
          </cell>
          <cell r="C56" t="str">
            <v>四川优诺通瑞商贸有限公司</v>
          </cell>
          <cell r="D56">
            <v>46009</v>
          </cell>
          <cell r="E56" t="str">
            <v>西南总部</v>
          </cell>
        </row>
        <row r="57">
          <cell r="A57" t="str">
            <v>沙元晗</v>
          </cell>
          <cell r="B57" t="str">
            <v>01855</v>
          </cell>
          <cell r="C57" t="str">
            <v>山东时代蜂族营销策划有限公司</v>
          </cell>
          <cell r="D57">
            <v>46009</v>
          </cell>
          <cell r="E57" t="str">
            <v>山东</v>
          </cell>
        </row>
        <row r="58">
          <cell r="A58" t="str">
            <v>李杰4</v>
          </cell>
          <cell r="B58" t="str">
            <v>01863</v>
          </cell>
          <cell r="C58" t="str">
            <v>四川时代蜂族营销策划有限公司</v>
          </cell>
          <cell r="D58">
            <v>46008</v>
          </cell>
          <cell r="E58" t="str">
            <v>西南总部</v>
          </cell>
        </row>
        <row r="59">
          <cell r="A59" t="str">
            <v>屈文涛</v>
          </cell>
          <cell r="B59" t="str">
            <v>01864</v>
          </cell>
          <cell r="C59" t="str">
            <v>四川时代蜂族营销策划有限公司</v>
          </cell>
          <cell r="D59">
            <v>46008</v>
          </cell>
          <cell r="E59" t="str">
            <v>西南总部</v>
          </cell>
        </row>
        <row r="60">
          <cell r="A60" t="str">
            <v>但佳佳</v>
          </cell>
          <cell r="B60" t="str">
            <v>01859</v>
          </cell>
          <cell r="C60" t="str">
            <v>四川时代蜂族营销策划有限公司</v>
          </cell>
          <cell r="D60">
            <v>46006</v>
          </cell>
          <cell r="E60" t="str">
            <v>西南总部</v>
          </cell>
        </row>
        <row r="61">
          <cell r="A61" t="str">
            <v>蒋亚丽</v>
          </cell>
          <cell r="B61" t="str">
            <v>01862</v>
          </cell>
          <cell r="C61" t="str">
            <v>陕西时代蜂族营销策划有限公司</v>
          </cell>
          <cell r="D61">
            <v>46006</v>
          </cell>
          <cell r="E61" t="str">
            <v>陕西</v>
          </cell>
        </row>
        <row r="62">
          <cell r="A62" t="str">
            <v>龚梦勤</v>
          </cell>
          <cell r="B62" t="str">
            <v>01858</v>
          </cell>
          <cell r="C62" t="str">
            <v>四川时代蜂族营销策划有限公司</v>
          </cell>
          <cell r="D62">
            <v>46006</v>
          </cell>
          <cell r="E62" t="str">
            <v>西南总部</v>
          </cell>
        </row>
        <row r="63">
          <cell r="A63" t="str">
            <v>陈星</v>
          </cell>
          <cell r="B63" t="str">
            <v>01857</v>
          </cell>
          <cell r="C63" t="str">
            <v>四川时代蜂族营销策划有限公司</v>
          </cell>
          <cell r="D63">
            <v>46006</v>
          </cell>
          <cell r="E63" t="str">
            <v>西南总部</v>
          </cell>
        </row>
        <row r="64">
          <cell r="A64" t="str">
            <v>潘柯</v>
          </cell>
          <cell r="B64" t="str">
            <v>01854</v>
          </cell>
          <cell r="C64" t="str">
            <v>四川时代蜂族营销策划有限公司</v>
          </cell>
          <cell r="D64">
            <v>46005</v>
          </cell>
          <cell r="E64" t="str">
            <v>西南总部</v>
          </cell>
        </row>
        <row r="65">
          <cell r="A65" t="str">
            <v>吕亚美</v>
          </cell>
          <cell r="B65" t="str">
            <v>01861</v>
          </cell>
          <cell r="C65" t="str">
            <v>河南蜜蜂族营销策划有限公司</v>
          </cell>
          <cell r="D65">
            <v>46004</v>
          </cell>
          <cell r="E65" t="str">
            <v>河南</v>
          </cell>
        </row>
        <row r="66">
          <cell r="A66" t="str">
            <v>王琪</v>
          </cell>
          <cell r="B66" t="str">
            <v>01850</v>
          </cell>
          <cell r="C66" t="str">
            <v>河北时代蜂族营销策划有限公司</v>
          </cell>
          <cell r="D66">
            <v>46003</v>
          </cell>
          <cell r="E66" t="str">
            <v>河北</v>
          </cell>
        </row>
        <row r="67">
          <cell r="A67" t="str">
            <v>曹誉磊</v>
          </cell>
          <cell r="B67" t="str">
            <v>01852</v>
          </cell>
          <cell r="C67" t="str">
            <v>四川时代蜂族营销策划有限公司</v>
          </cell>
          <cell r="D67">
            <v>46003</v>
          </cell>
          <cell r="E67" t="str">
            <v>西南总部</v>
          </cell>
        </row>
        <row r="68">
          <cell r="A68" t="str">
            <v>耿腾飞</v>
          </cell>
          <cell r="B68" t="str">
            <v>01849</v>
          </cell>
          <cell r="C68" t="str">
            <v>山东时代蜂族营销策划有限公司</v>
          </cell>
          <cell r="D68">
            <v>46003</v>
          </cell>
          <cell r="E68" t="str">
            <v>山东</v>
          </cell>
        </row>
        <row r="69">
          <cell r="A69" t="str">
            <v>杨晓</v>
          </cell>
          <cell r="B69" t="str">
            <v>01846</v>
          </cell>
          <cell r="C69" t="str">
            <v>陕西时代蜂族营销策划有限公司</v>
          </cell>
          <cell r="D69">
            <v>46002</v>
          </cell>
          <cell r="E69" t="str">
            <v>陕西</v>
          </cell>
        </row>
        <row r="70">
          <cell r="A70" t="str">
            <v>吴俊芳</v>
          </cell>
          <cell r="B70" t="str">
            <v>01851</v>
          </cell>
          <cell r="C70" t="str">
            <v>湖北蜜蜂族房地产经纪有限公司</v>
          </cell>
          <cell r="D70">
            <v>46002</v>
          </cell>
          <cell r="E70" t="str">
            <v>湖北</v>
          </cell>
        </row>
        <row r="71">
          <cell r="A71" t="str">
            <v>陈思竹</v>
          </cell>
          <cell r="B71" t="str">
            <v>01848</v>
          </cell>
          <cell r="C71" t="str">
            <v>四川时代蜂族营销策划有限公司</v>
          </cell>
          <cell r="D71">
            <v>46002</v>
          </cell>
          <cell r="E71" t="str">
            <v>河南</v>
          </cell>
        </row>
        <row r="72">
          <cell r="A72" t="str">
            <v>范仕宽</v>
          </cell>
          <cell r="B72" t="str">
            <v>01853</v>
          </cell>
          <cell r="C72" t="str">
            <v>四川时代蜂族营销策划有限公司</v>
          </cell>
          <cell r="D72">
            <v>46001</v>
          </cell>
          <cell r="E72" t="str">
            <v>西南总部</v>
          </cell>
        </row>
        <row r="73">
          <cell r="A73" t="str">
            <v>向戈</v>
          </cell>
          <cell r="B73" t="str">
            <v>01845</v>
          </cell>
          <cell r="C73" t="str">
            <v>四川时代蜂族营销策划有限公司</v>
          </cell>
          <cell r="D73">
            <v>45999</v>
          </cell>
          <cell r="E73" t="str">
            <v>西南总部</v>
          </cell>
        </row>
        <row r="74">
          <cell r="A74" t="str">
            <v>杨诗语</v>
          </cell>
          <cell r="B74" t="str">
            <v>01844</v>
          </cell>
          <cell r="C74" t="str">
            <v>陕西蜂族科技有限公司</v>
          </cell>
          <cell r="D74">
            <v>45999</v>
          </cell>
          <cell r="E74" t="str">
            <v>陕西</v>
          </cell>
        </row>
        <row r="75">
          <cell r="A75" t="str">
            <v>钟亚坤</v>
          </cell>
          <cell r="B75" t="str">
            <v>01843</v>
          </cell>
          <cell r="C75" t="str">
            <v>陕西时代蜂族营销策划有限公司</v>
          </cell>
          <cell r="D75">
            <v>45998</v>
          </cell>
          <cell r="E75" t="str">
            <v>陕西</v>
          </cell>
        </row>
        <row r="76">
          <cell r="A76" t="str">
            <v>胡凰慧懿</v>
          </cell>
          <cell r="B76" t="str">
            <v>01826</v>
          </cell>
          <cell r="C76" t="str">
            <v>四川时代蜂族营销策划有限公司</v>
          </cell>
          <cell r="D76">
            <v>45998</v>
          </cell>
          <cell r="E76" t="str">
            <v>西南总部</v>
          </cell>
        </row>
        <row r="77">
          <cell r="A77" t="str">
            <v>黄倩</v>
          </cell>
          <cell r="B77" t="str">
            <v>01827</v>
          </cell>
          <cell r="C77" t="str">
            <v>四川时代蜂族营销策划有限公司</v>
          </cell>
          <cell r="D77">
            <v>45998</v>
          </cell>
          <cell r="E77" t="str">
            <v>西南总部</v>
          </cell>
        </row>
        <row r="78">
          <cell r="A78" t="str">
            <v>陈俊文</v>
          </cell>
          <cell r="B78" t="str">
            <v>01836</v>
          </cell>
          <cell r="C78" t="str">
            <v>四川时代蜂族营销策划有限公司</v>
          </cell>
          <cell r="D78">
            <v>45998</v>
          </cell>
          <cell r="E78" t="str">
            <v>西南总部</v>
          </cell>
        </row>
        <row r="79">
          <cell r="A79" t="str">
            <v>王广泰</v>
          </cell>
          <cell r="B79" t="str">
            <v>01839</v>
          </cell>
          <cell r="C79" t="str">
            <v>陕西时代蜂族营销策划有限公司</v>
          </cell>
          <cell r="D79">
            <v>45998</v>
          </cell>
          <cell r="E79" t="str">
            <v>陕西</v>
          </cell>
        </row>
        <row r="80">
          <cell r="A80" t="str">
            <v>白彬</v>
          </cell>
          <cell r="B80" t="str">
            <v>01828</v>
          </cell>
          <cell r="C80" t="str">
            <v>四川时代蜂族营销策划有限公司</v>
          </cell>
          <cell r="D80">
            <v>45998</v>
          </cell>
          <cell r="E80" t="str">
            <v>西南总部</v>
          </cell>
        </row>
        <row r="81">
          <cell r="A81" t="str">
            <v>牟鸿立</v>
          </cell>
          <cell r="B81" t="str">
            <v>01830</v>
          </cell>
          <cell r="C81" t="str">
            <v>四川时代蜂族营销策划有限公司</v>
          </cell>
          <cell r="D81">
            <v>45998</v>
          </cell>
          <cell r="E81" t="str">
            <v>西南总部</v>
          </cell>
        </row>
        <row r="82">
          <cell r="A82" t="str">
            <v>林乔乔</v>
          </cell>
          <cell r="B82" t="str">
            <v>01841</v>
          </cell>
          <cell r="C82" t="str">
            <v>四川时代蜂族营销策划有限公司</v>
          </cell>
          <cell r="D82">
            <v>45998</v>
          </cell>
          <cell r="E82" t="str">
            <v>西南总部</v>
          </cell>
        </row>
        <row r="83">
          <cell r="A83" t="str">
            <v>向旭</v>
          </cell>
          <cell r="B83" t="str">
            <v>01825</v>
          </cell>
          <cell r="C83" t="str">
            <v>四川时代蜂族营销策划有限公司</v>
          </cell>
          <cell r="D83">
            <v>45998</v>
          </cell>
          <cell r="E83" t="str">
            <v>河南</v>
          </cell>
        </row>
        <row r="84">
          <cell r="A84" t="str">
            <v>张钰忠</v>
          </cell>
          <cell r="B84" t="str">
            <v>01832</v>
          </cell>
          <cell r="C84" t="str">
            <v>四川时代蜂族营销策划有限公司</v>
          </cell>
          <cell r="D84">
            <v>45998</v>
          </cell>
          <cell r="E84" t="str">
            <v>西南总部</v>
          </cell>
        </row>
        <row r="85">
          <cell r="A85" t="str">
            <v>叶秀慧</v>
          </cell>
          <cell r="B85" t="str">
            <v>01837</v>
          </cell>
          <cell r="C85" t="str">
            <v>四川时代蜂族营销策划有限公司</v>
          </cell>
          <cell r="D85">
            <v>45998</v>
          </cell>
          <cell r="E85" t="str">
            <v>西南总部</v>
          </cell>
        </row>
        <row r="86">
          <cell r="A86" t="str">
            <v>胡月2</v>
          </cell>
          <cell r="B86" t="str">
            <v>01840</v>
          </cell>
          <cell r="C86" t="str">
            <v>山西时代蜂族房地产经纪有限公司</v>
          </cell>
          <cell r="D86">
            <v>45995</v>
          </cell>
          <cell r="E86" t="str">
            <v>山西</v>
          </cell>
        </row>
        <row r="87">
          <cell r="A87" t="str">
            <v>章小康</v>
          </cell>
          <cell r="B87" t="str">
            <v>01838</v>
          </cell>
          <cell r="C87" t="str">
            <v>湖北蜜蜂族房地产经纪有限公司</v>
          </cell>
          <cell r="D87">
            <v>45994</v>
          </cell>
          <cell r="E87" t="str">
            <v>湖北</v>
          </cell>
        </row>
        <row r="88">
          <cell r="A88" t="str">
            <v>林兴江</v>
          </cell>
          <cell r="B88" t="str">
            <v>01835</v>
          </cell>
          <cell r="C88" t="str">
            <v>四川时代蜂族营销策划有限公司</v>
          </cell>
          <cell r="D88">
            <v>45994</v>
          </cell>
          <cell r="E88" t="str">
            <v>西南总部</v>
          </cell>
        </row>
        <row r="89">
          <cell r="A89" t="str">
            <v>李强3</v>
          </cell>
          <cell r="B89" t="str">
            <v>01833</v>
          </cell>
          <cell r="C89" t="str">
            <v>湖南时代蜂族营销策划有限公司</v>
          </cell>
          <cell r="D89">
            <v>45993</v>
          </cell>
          <cell r="E89" t="str">
            <v>湖南</v>
          </cell>
        </row>
        <row r="90">
          <cell r="A90" t="str">
            <v>李青松</v>
          </cell>
          <cell r="B90" t="str">
            <v>01821</v>
          </cell>
          <cell r="C90" t="str">
            <v>四川时代蜂族营销策划有限公司</v>
          </cell>
          <cell r="D90">
            <v>45992</v>
          </cell>
          <cell r="E90" t="str">
            <v>西南总部</v>
          </cell>
        </row>
        <row r="91">
          <cell r="A91" t="str">
            <v>关志亮</v>
          </cell>
          <cell r="B91" t="str">
            <v>01824</v>
          </cell>
          <cell r="C91" t="str">
            <v>山西时代蜂族房地产经纪有限公司</v>
          </cell>
          <cell r="D91">
            <v>45992</v>
          </cell>
          <cell r="E91" t="str">
            <v>山西</v>
          </cell>
        </row>
        <row r="92">
          <cell r="A92" t="str">
            <v>费玲玲</v>
          </cell>
          <cell r="B92" t="str">
            <v>01820</v>
          </cell>
          <cell r="C92" t="str">
            <v>湖南时代蜂族营销策划有限公司</v>
          </cell>
          <cell r="D92">
            <v>45992</v>
          </cell>
          <cell r="E92" t="str">
            <v>湖南</v>
          </cell>
        </row>
        <row r="93">
          <cell r="A93" t="str">
            <v>杜文博</v>
          </cell>
          <cell r="B93" t="str">
            <v>01823</v>
          </cell>
          <cell r="C93" t="str">
            <v>陕西时代蜂族营销策划有限公司</v>
          </cell>
          <cell r="D93">
            <v>45992</v>
          </cell>
          <cell r="E93" t="str">
            <v>陕西</v>
          </cell>
        </row>
        <row r="94">
          <cell r="A94" t="str">
            <v>何志立</v>
          </cell>
          <cell r="B94" t="str">
            <v>01815</v>
          </cell>
          <cell r="C94" t="str">
            <v>成都蓉天城房地产营销策划有限公司</v>
          </cell>
          <cell r="D94">
            <v>45992</v>
          </cell>
          <cell r="E94" t="str">
            <v>西南总部</v>
          </cell>
        </row>
        <row r="95">
          <cell r="A95" t="str">
            <v>郭希鹏</v>
          </cell>
          <cell r="B95" t="str">
            <v>01819</v>
          </cell>
          <cell r="C95" t="str">
            <v>陕西蜂族科技有限公司</v>
          </cell>
          <cell r="D95">
            <v>45992</v>
          </cell>
          <cell r="E95" t="str">
            <v>陕西</v>
          </cell>
        </row>
        <row r="96">
          <cell r="A96" t="str">
            <v>冯光美</v>
          </cell>
          <cell r="B96" t="str">
            <v>01818</v>
          </cell>
          <cell r="C96" t="str">
            <v>四川时代蜂族营销策划有限公司</v>
          </cell>
          <cell r="D96">
            <v>45990</v>
          </cell>
          <cell r="E96" t="str">
            <v>西南总部</v>
          </cell>
        </row>
        <row r="97">
          <cell r="A97" t="str">
            <v>丁洁</v>
          </cell>
          <cell r="B97" t="str">
            <v>01816</v>
          </cell>
          <cell r="C97" t="str">
            <v>湖南时代蜂族营销策划有限公司</v>
          </cell>
          <cell r="D97">
            <v>45990</v>
          </cell>
          <cell r="E97" t="str">
            <v>湖南</v>
          </cell>
        </row>
        <row r="98">
          <cell r="A98" t="str">
            <v>陈超3</v>
          </cell>
          <cell r="B98" t="str">
            <v>01822</v>
          </cell>
          <cell r="C98" t="str">
            <v>四川时代蜂族营销策划有限公司</v>
          </cell>
          <cell r="D98">
            <v>45990</v>
          </cell>
          <cell r="E98" t="str">
            <v>西南总部</v>
          </cell>
        </row>
        <row r="99">
          <cell r="A99" t="str">
            <v>李帅</v>
          </cell>
          <cell r="B99" t="str">
            <v>01842</v>
          </cell>
          <cell r="C99" t="str">
            <v>四川时代蜂族营销策划有限公司</v>
          </cell>
          <cell r="D99">
            <v>45989</v>
          </cell>
          <cell r="E99" t="str">
            <v>西南总部</v>
          </cell>
        </row>
        <row r="100">
          <cell r="A100" t="str">
            <v>王胜波</v>
          </cell>
          <cell r="B100" t="str">
            <v>01817</v>
          </cell>
          <cell r="C100" t="str">
            <v>四川时代蜂族营销策划有限公司</v>
          </cell>
          <cell r="D100">
            <v>45989</v>
          </cell>
          <cell r="E100" t="str">
            <v>西南总部</v>
          </cell>
        </row>
        <row r="101">
          <cell r="A101" t="str">
            <v>王建根</v>
          </cell>
          <cell r="B101" t="str">
            <v>01274</v>
          </cell>
          <cell r="C101" t="str">
            <v>四川时代蜂族营销策划有限公司</v>
          </cell>
          <cell r="D101">
            <v>45989</v>
          </cell>
          <cell r="E101" t="str">
            <v>西南总部</v>
          </cell>
        </row>
        <row r="102">
          <cell r="A102" t="str">
            <v>杜丽娜</v>
          </cell>
          <cell r="B102" t="str">
            <v>01813</v>
          </cell>
          <cell r="C102" t="str">
            <v>山西时代蜂族房地产经纪有限公司</v>
          </cell>
          <cell r="D102">
            <v>45986</v>
          </cell>
          <cell r="E102" t="str">
            <v>山西</v>
          </cell>
        </row>
        <row r="103">
          <cell r="A103" t="str">
            <v>王涛2</v>
          </cell>
          <cell r="B103" t="str">
            <v>01814</v>
          </cell>
          <cell r="C103" t="str">
            <v>山西时代蜂族房地产经纪有限公司</v>
          </cell>
          <cell r="D103">
            <v>45986</v>
          </cell>
          <cell r="E103" t="str">
            <v>山西</v>
          </cell>
        </row>
        <row r="104">
          <cell r="A104" t="str">
            <v>刘涛</v>
          </cell>
          <cell r="B104" t="str">
            <v>01810</v>
          </cell>
          <cell r="C104" t="str">
            <v>山西时代蜂族房地产经纪有限公司</v>
          </cell>
          <cell r="D104">
            <v>45986</v>
          </cell>
          <cell r="E104" t="str">
            <v>山西</v>
          </cell>
        </row>
        <row r="105">
          <cell r="A105" t="str">
            <v>谷凤苹</v>
          </cell>
          <cell r="B105" t="str">
            <v>01811</v>
          </cell>
          <cell r="C105" t="str">
            <v>山东时代蜂族营销策划有限公司</v>
          </cell>
          <cell r="D105">
            <v>45985</v>
          </cell>
          <cell r="E105" t="str">
            <v>山东</v>
          </cell>
        </row>
        <row r="106">
          <cell r="A106" t="str">
            <v>李青青</v>
          </cell>
          <cell r="B106" t="str">
            <v>01809</v>
          </cell>
          <cell r="C106" t="str">
            <v>山东时代蜂族营销策划有限公司</v>
          </cell>
          <cell r="D106">
            <v>45985</v>
          </cell>
          <cell r="E106" t="str">
            <v>山东</v>
          </cell>
        </row>
        <row r="107">
          <cell r="A107" t="str">
            <v>陈渃珒</v>
          </cell>
          <cell r="B107" t="str">
            <v>01796</v>
          </cell>
          <cell r="C107" t="str">
            <v>四川优诺通瑞商贸有限公司</v>
          </cell>
          <cell r="D107">
            <v>45985</v>
          </cell>
          <cell r="E107" t="str">
            <v>西南总部</v>
          </cell>
        </row>
        <row r="108">
          <cell r="A108" t="str">
            <v>李思雨</v>
          </cell>
          <cell r="B108" t="str">
            <v>01806</v>
          </cell>
          <cell r="C108" t="str">
            <v>湖南时代蜂族营销策划有限公司</v>
          </cell>
          <cell r="D108">
            <v>45985</v>
          </cell>
          <cell r="E108" t="str">
            <v>湖南</v>
          </cell>
        </row>
        <row r="109">
          <cell r="A109" t="str">
            <v>黄佳宇</v>
          </cell>
          <cell r="B109" t="str">
            <v>01812</v>
          </cell>
          <cell r="C109" t="str">
            <v>湖南时代蜂族营销策划有限公司</v>
          </cell>
          <cell r="D109">
            <v>45985</v>
          </cell>
          <cell r="E109" t="str">
            <v>湖南</v>
          </cell>
        </row>
        <row r="110">
          <cell r="A110" t="str">
            <v>李钰倩</v>
          </cell>
          <cell r="B110" t="str">
            <v>01795</v>
          </cell>
          <cell r="C110" t="str">
            <v>四川优诺通瑞商贸有限公司</v>
          </cell>
          <cell r="D110">
            <v>45985</v>
          </cell>
          <cell r="E110" t="str">
            <v>西南总部</v>
          </cell>
        </row>
        <row r="111">
          <cell r="A111" t="str">
            <v>雷单</v>
          </cell>
          <cell r="B111" t="str">
            <v>01805</v>
          </cell>
          <cell r="C111" t="str">
            <v>湖南时代蜂族营销策划有限公司</v>
          </cell>
          <cell r="D111">
            <v>45984</v>
          </cell>
          <cell r="E111" t="str">
            <v>湖南</v>
          </cell>
        </row>
        <row r="112">
          <cell r="A112" t="str">
            <v>武玄耀</v>
          </cell>
          <cell r="B112" t="str">
            <v>01800</v>
          </cell>
          <cell r="C112" t="str">
            <v>陕西时代蜂族营销策划有限公司</v>
          </cell>
          <cell r="D112">
            <v>45983</v>
          </cell>
          <cell r="E112" t="str">
            <v>陕西</v>
          </cell>
        </row>
        <row r="113">
          <cell r="A113" t="str">
            <v>侯萌萌</v>
          </cell>
          <cell r="B113" t="str">
            <v>01802</v>
          </cell>
          <cell r="C113" t="str">
            <v>陕西蜂族科技有限公司</v>
          </cell>
          <cell r="D113">
            <v>45982</v>
          </cell>
          <cell r="E113" t="str">
            <v>陕西</v>
          </cell>
        </row>
        <row r="114">
          <cell r="A114" t="str">
            <v>王建平</v>
          </cell>
          <cell r="B114" t="str">
            <v>01803</v>
          </cell>
          <cell r="C114" t="str">
            <v>陕西时代蜂族营销策划有限公司</v>
          </cell>
          <cell r="D114">
            <v>45980</v>
          </cell>
          <cell r="E114" t="str">
            <v>陕西</v>
          </cell>
        </row>
        <row r="115">
          <cell r="A115" t="str">
            <v>蒲家智</v>
          </cell>
          <cell r="B115" t="str">
            <v>01798</v>
          </cell>
          <cell r="C115" t="str">
            <v>四川时代蜂族营销策划有限公司</v>
          </cell>
          <cell r="D115">
            <v>45980</v>
          </cell>
          <cell r="E115" t="str">
            <v>西南总部</v>
          </cell>
        </row>
        <row r="116">
          <cell r="A116" t="str">
            <v>章江</v>
          </cell>
          <cell r="B116" t="str">
            <v>01808</v>
          </cell>
          <cell r="C116" t="str">
            <v>四川时代蜂族营销策划有限公司</v>
          </cell>
          <cell r="D116">
            <v>45979</v>
          </cell>
          <cell r="E116" t="str">
            <v>西南总部</v>
          </cell>
        </row>
        <row r="117">
          <cell r="A117" t="str">
            <v>翟亚飞</v>
          </cell>
          <cell r="B117" t="str">
            <v>01807</v>
          </cell>
          <cell r="C117" t="str">
            <v>河南蜜蜂族营销策划有限公司</v>
          </cell>
          <cell r="D117">
            <v>45979</v>
          </cell>
          <cell r="E117" t="str">
            <v>河南</v>
          </cell>
        </row>
        <row r="118">
          <cell r="A118" t="str">
            <v>崔建伟</v>
          </cell>
          <cell r="B118" t="str">
            <v>01797</v>
          </cell>
          <cell r="C118" t="str">
            <v>四川时代蜂族营销策划有限公司</v>
          </cell>
          <cell r="D118">
            <v>45979</v>
          </cell>
          <cell r="E118" t="str">
            <v>西南总部</v>
          </cell>
        </row>
        <row r="119">
          <cell r="A119" t="str">
            <v>张剑虹</v>
          </cell>
          <cell r="B119" t="str">
            <v>01792</v>
          </cell>
          <cell r="C119" t="str">
            <v>四川时代蜂族营销策划有限公司</v>
          </cell>
          <cell r="D119">
            <v>45978</v>
          </cell>
          <cell r="E119" t="str">
            <v>西南总部</v>
          </cell>
        </row>
        <row r="120">
          <cell r="A120" t="str">
            <v>黄洪文</v>
          </cell>
          <cell r="B120" t="str">
            <v>01794</v>
          </cell>
          <cell r="C120" t="str">
            <v>四川时代蜂族营销策划有限公司</v>
          </cell>
          <cell r="D120">
            <v>45978</v>
          </cell>
          <cell r="E120" t="str">
            <v>西南总部</v>
          </cell>
        </row>
        <row r="121">
          <cell r="A121" t="str">
            <v>钟雪娇</v>
          </cell>
          <cell r="B121" t="str">
            <v>01781</v>
          </cell>
          <cell r="C121" t="str">
            <v>四川时代蜂族营销策划有限公司</v>
          </cell>
          <cell r="D121">
            <v>45978</v>
          </cell>
          <cell r="E121" t="str">
            <v>西南总部</v>
          </cell>
        </row>
        <row r="122">
          <cell r="A122" t="str">
            <v>王勇</v>
          </cell>
          <cell r="B122" t="str">
            <v>01227</v>
          </cell>
          <cell r="C122" t="str">
            <v>陕西时代蜂族营销策划有限公司</v>
          </cell>
          <cell r="D122">
            <v>45976</v>
          </cell>
          <cell r="E122" t="str">
            <v>陕西</v>
          </cell>
        </row>
        <row r="123">
          <cell r="A123" t="str">
            <v>陶克英</v>
          </cell>
          <cell r="B123" t="str">
            <v>01789</v>
          </cell>
          <cell r="C123" t="str">
            <v>陕西蜂族科技有限公司</v>
          </cell>
          <cell r="D123">
            <v>45976</v>
          </cell>
          <cell r="E123" t="str">
            <v>陕西</v>
          </cell>
        </row>
        <row r="124">
          <cell r="A124" t="str">
            <v>刘宗贵</v>
          </cell>
          <cell r="B124" t="str">
            <v>01787</v>
          </cell>
          <cell r="C124" t="str">
            <v>湖北蜜蜂族房地产经纪有限公司</v>
          </cell>
          <cell r="D124">
            <v>45976</v>
          </cell>
          <cell r="E124" t="str">
            <v>湖北</v>
          </cell>
        </row>
        <row r="125">
          <cell r="A125" t="str">
            <v>陈家丽</v>
          </cell>
          <cell r="B125" t="str">
            <v>00685</v>
          </cell>
          <cell r="C125" t="str">
            <v>四川时代蜂族营销策划有限公司</v>
          </cell>
          <cell r="D125">
            <v>45976</v>
          </cell>
          <cell r="E125" t="str">
            <v>西南总部</v>
          </cell>
        </row>
        <row r="126">
          <cell r="A126" t="str">
            <v>丁聪</v>
          </cell>
          <cell r="B126" t="str">
            <v>01786</v>
          </cell>
          <cell r="C126" t="str">
            <v>湖北蜜蜂族房地产经纪有限公司</v>
          </cell>
          <cell r="D126">
            <v>45975</v>
          </cell>
          <cell r="E126" t="str">
            <v>湖北</v>
          </cell>
        </row>
        <row r="127">
          <cell r="A127" t="str">
            <v>廖东</v>
          </cell>
          <cell r="B127" t="str">
            <v>01784</v>
          </cell>
          <cell r="C127" t="str">
            <v>湖南时代蜂族营销策划有限公司</v>
          </cell>
          <cell r="D127">
            <v>45974</v>
          </cell>
          <cell r="E127" t="str">
            <v>湖南</v>
          </cell>
        </row>
        <row r="128">
          <cell r="A128" t="str">
            <v>段帆</v>
          </cell>
          <cell r="B128" t="str">
            <v>01783</v>
          </cell>
          <cell r="C128" t="str">
            <v>湖南时代蜂族营销策划有限公司</v>
          </cell>
          <cell r="D128">
            <v>45974</v>
          </cell>
          <cell r="E128" t="str">
            <v>湖南</v>
          </cell>
        </row>
        <row r="129">
          <cell r="A129" t="str">
            <v>何仔馨</v>
          </cell>
          <cell r="B129" t="str">
            <v>01790</v>
          </cell>
          <cell r="C129" t="str">
            <v>四川时代蜂族营销策划有限公司</v>
          </cell>
          <cell r="D129">
            <v>45974</v>
          </cell>
          <cell r="E129" t="str">
            <v>西南总部</v>
          </cell>
        </row>
        <row r="130">
          <cell r="A130" t="str">
            <v>姜云</v>
          </cell>
          <cell r="B130" t="str">
            <v>01788</v>
          </cell>
          <cell r="C130" t="str">
            <v>四川时代蜂族营销策划有限公司</v>
          </cell>
          <cell r="D130">
            <v>45973</v>
          </cell>
          <cell r="E130" t="str">
            <v>河北</v>
          </cell>
        </row>
        <row r="131">
          <cell r="A131" t="str">
            <v>杨富浩</v>
          </cell>
          <cell r="B131" t="str">
            <v>01779</v>
          </cell>
          <cell r="C131" t="str">
            <v>四川时代蜂族营销策划有限公司</v>
          </cell>
          <cell r="D131">
            <v>45972</v>
          </cell>
          <cell r="E131" t="str">
            <v>西南总部</v>
          </cell>
        </row>
        <row r="132">
          <cell r="A132" t="str">
            <v>张合元</v>
          </cell>
          <cell r="B132" t="str">
            <v>01780</v>
          </cell>
          <cell r="C132" t="str">
            <v>四川时代蜂族营销策划有限公司</v>
          </cell>
          <cell r="D132">
            <v>45971</v>
          </cell>
          <cell r="E132" t="str">
            <v>西南总部</v>
          </cell>
        </row>
        <row r="133">
          <cell r="A133" t="str">
            <v>苏聪</v>
          </cell>
          <cell r="B133" t="str">
            <v>01785</v>
          </cell>
          <cell r="C133" t="str">
            <v>四川时代蜂族营销策划有限公司</v>
          </cell>
          <cell r="D133">
            <v>45971</v>
          </cell>
          <cell r="E133" t="str">
            <v>西南总部</v>
          </cell>
        </row>
        <row r="134">
          <cell r="A134" t="str">
            <v>王波</v>
          </cell>
          <cell r="B134" t="str">
            <v>01774</v>
          </cell>
          <cell r="C134" t="str">
            <v>陕西时代蜂族营销策划有限公司</v>
          </cell>
          <cell r="D134">
            <v>45971</v>
          </cell>
          <cell r="E134" t="str">
            <v>甘肃</v>
          </cell>
        </row>
        <row r="135">
          <cell r="A135" t="str">
            <v>何晓</v>
          </cell>
          <cell r="B135" t="str">
            <v>01778</v>
          </cell>
          <cell r="C135" t="str">
            <v>湖南时代蜂族营销策划有限公司</v>
          </cell>
          <cell r="D135">
            <v>45971</v>
          </cell>
          <cell r="E135" t="str">
            <v>湖南</v>
          </cell>
        </row>
        <row r="136">
          <cell r="A136" t="str">
            <v>蒋婷</v>
          </cell>
          <cell r="B136" t="str">
            <v>01011</v>
          </cell>
          <cell r="C136" t="str">
            <v>四川时代蜂族营销策划有限公司</v>
          </cell>
          <cell r="D136">
            <v>45970</v>
          </cell>
          <cell r="E136" t="str">
            <v>内蒙古</v>
          </cell>
        </row>
        <row r="137">
          <cell r="A137" t="str">
            <v>卢泽平</v>
          </cell>
          <cell r="B137" t="str">
            <v>01775</v>
          </cell>
          <cell r="C137" t="str">
            <v>陕西时代蜂族营销策划有限公司</v>
          </cell>
          <cell r="D137">
            <v>45970</v>
          </cell>
          <cell r="E137" t="str">
            <v>陕西</v>
          </cell>
        </row>
        <row r="138">
          <cell r="A138" t="str">
            <v>李艺芳</v>
          </cell>
          <cell r="B138" t="str">
            <v>01777</v>
          </cell>
          <cell r="C138" t="str">
            <v>湖南时代蜂族营销策划有限公司</v>
          </cell>
          <cell r="D138">
            <v>45970</v>
          </cell>
          <cell r="E138" t="str">
            <v>湖南</v>
          </cell>
        </row>
        <row r="139">
          <cell r="A139" t="str">
            <v>高敏玲</v>
          </cell>
          <cell r="B139" t="str">
            <v>01776</v>
          </cell>
          <cell r="C139" t="str">
            <v>陕西时代蜂族营销策划有限公司</v>
          </cell>
          <cell r="D139">
            <v>45969</v>
          </cell>
          <cell r="E139" t="str">
            <v>甘肃</v>
          </cell>
        </row>
        <row r="140">
          <cell r="A140" t="str">
            <v>刘杰</v>
          </cell>
          <cell r="B140" t="str">
            <v>01770</v>
          </cell>
          <cell r="C140" t="str">
            <v>陕西蜂族科技有限公司</v>
          </cell>
          <cell r="D140">
            <v>45967</v>
          </cell>
          <cell r="E140" t="str">
            <v>陕西</v>
          </cell>
        </row>
        <row r="141">
          <cell r="A141" t="str">
            <v>陈妍君</v>
          </cell>
          <cell r="B141" t="str">
            <v>01768</v>
          </cell>
          <cell r="C141" t="str">
            <v>四川时代蜂族营销策划有限公司</v>
          </cell>
          <cell r="D141">
            <v>45966</v>
          </cell>
          <cell r="E141" t="str">
            <v>西南总部</v>
          </cell>
        </row>
        <row r="142">
          <cell r="A142" t="str">
            <v>郭强4</v>
          </cell>
          <cell r="B142" t="str">
            <v>01771</v>
          </cell>
          <cell r="C142" t="str">
            <v>山西时代蜂族房地产经纪有限公司</v>
          </cell>
          <cell r="D142">
            <v>45965</v>
          </cell>
          <cell r="E142" t="str">
            <v>山西</v>
          </cell>
        </row>
        <row r="143">
          <cell r="A143" t="str">
            <v>许建</v>
          </cell>
          <cell r="B143" t="str">
            <v>01772</v>
          </cell>
          <cell r="C143" t="str">
            <v>湖南时代蜂族营销策划有限公司</v>
          </cell>
          <cell r="D143">
            <v>45962</v>
          </cell>
          <cell r="E143" t="str">
            <v>湖南</v>
          </cell>
        </row>
        <row r="144">
          <cell r="A144" t="str">
            <v>罗嶺</v>
          </cell>
          <cell r="B144" t="str">
            <v>01765</v>
          </cell>
          <cell r="C144" t="str">
            <v>四川时代蜂族营销策划有限公司</v>
          </cell>
          <cell r="D144">
            <v>45962</v>
          </cell>
          <cell r="E144" t="str">
            <v>西南总部</v>
          </cell>
        </row>
        <row r="145">
          <cell r="A145" t="str">
            <v>孙维</v>
          </cell>
          <cell r="B145" t="str">
            <v>01764</v>
          </cell>
          <cell r="C145" t="str">
            <v>四川时代蜂族营销策划有限公司</v>
          </cell>
          <cell r="D145">
            <v>45962</v>
          </cell>
          <cell r="E145" t="str">
            <v>西南总部</v>
          </cell>
        </row>
        <row r="146">
          <cell r="A146" t="str">
            <v>雷有财</v>
          </cell>
          <cell r="B146" t="str">
            <v>01767</v>
          </cell>
          <cell r="C146" t="str">
            <v>四川时代蜂族营销策划有限公司</v>
          </cell>
          <cell r="D146">
            <v>45959</v>
          </cell>
          <cell r="E146" t="str">
            <v>西南总部</v>
          </cell>
        </row>
        <row r="147">
          <cell r="A147" t="str">
            <v>陈绪</v>
          </cell>
          <cell r="B147" t="str">
            <v>01762</v>
          </cell>
          <cell r="C147" t="str">
            <v>四川时代蜂族营销策划有限公司</v>
          </cell>
          <cell r="D147">
            <v>45958</v>
          </cell>
          <cell r="E147" t="str">
            <v>内蒙古</v>
          </cell>
        </row>
        <row r="148">
          <cell r="A148" t="str">
            <v>巴甜甜</v>
          </cell>
          <cell r="B148" t="str">
            <v>01760</v>
          </cell>
          <cell r="C148" t="str">
            <v>陕西时代蜂族营销策划有限公司</v>
          </cell>
          <cell r="D148">
            <v>45958</v>
          </cell>
          <cell r="E148" t="str">
            <v>陕西</v>
          </cell>
        </row>
        <row r="149">
          <cell r="A149" t="str">
            <v>杨华明</v>
          </cell>
          <cell r="B149" t="str">
            <v>01766</v>
          </cell>
          <cell r="C149" t="str">
            <v>四川时代蜂族营销策划有限公司</v>
          </cell>
          <cell r="D149">
            <v>45958</v>
          </cell>
          <cell r="E149" t="str">
            <v>内蒙古</v>
          </cell>
        </row>
        <row r="150">
          <cell r="A150" t="str">
            <v>杨博文</v>
          </cell>
          <cell r="B150" t="str">
            <v>01761</v>
          </cell>
          <cell r="C150" t="str">
            <v>四川时代蜂族营销策划有限公司</v>
          </cell>
          <cell r="D150">
            <v>45957</v>
          </cell>
          <cell r="E150" t="str">
            <v>内蒙古</v>
          </cell>
        </row>
        <row r="151">
          <cell r="A151" t="str">
            <v>杨朝闻</v>
          </cell>
          <cell r="B151" t="str">
            <v>01759</v>
          </cell>
          <cell r="C151" t="str">
            <v>四川时代蜂族营销策划有限公司</v>
          </cell>
          <cell r="D151">
            <v>45955</v>
          </cell>
          <cell r="E151" t="str">
            <v>西南总部</v>
          </cell>
        </row>
        <row r="152">
          <cell r="A152" t="str">
            <v>徐泰</v>
          </cell>
          <cell r="B152" t="str">
            <v>01758</v>
          </cell>
          <cell r="C152" t="str">
            <v>四川时代蜂族营销策划有限公司</v>
          </cell>
          <cell r="D152">
            <v>45955</v>
          </cell>
          <cell r="E152" t="str">
            <v>西南总部</v>
          </cell>
        </row>
        <row r="153">
          <cell r="A153" t="str">
            <v>周悦昭</v>
          </cell>
          <cell r="B153" t="str">
            <v>01755</v>
          </cell>
          <cell r="C153" t="str">
            <v>山东时代蜂族营销策划有限公司</v>
          </cell>
          <cell r="D153">
            <v>45954</v>
          </cell>
          <cell r="E153" t="str">
            <v>山东</v>
          </cell>
        </row>
        <row r="154">
          <cell r="A154" t="str">
            <v>吕梦月</v>
          </cell>
          <cell r="B154" t="str">
            <v>01752</v>
          </cell>
          <cell r="C154" t="str">
            <v>湖北蜜蜂族房地产经纪有限公司</v>
          </cell>
          <cell r="D154">
            <v>45953</v>
          </cell>
          <cell r="E154" t="str">
            <v>湖北</v>
          </cell>
        </row>
        <row r="155">
          <cell r="A155" t="str">
            <v>何庆</v>
          </cell>
          <cell r="B155" t="str">
            <v>01750</v>
          </cell>
          <cell r="C155" t="str">
            <v>陕西时代蜂族营销策划有限公司</v>
          </cell>
          <cell r="D155">
            <v>45953</v>
          </cell>
          <cell r="E155" t="str">
            <v>陕西</v>
          </cell>
        </row>
        <row r="156">
          <cell r="A156" t="str">
            <v>游钰姣</v>
          </cell>
          <cell r="B156" t="str">
            <v>01763</v>
          </cell>
          <cell r="C156" t="str">
            <v>四川时代蜂族营销策划有限公司</v>
          </cell>
          <cell r="D156">
            <v>45952</v>
          </cell>
          <cell r="E156" t="str">
            <v>西南总部</v>
          </cell>
        </row>
        <row r="157">
          <cell r="A157" t="str">
            <v>邱炬淞</v>
          </cell>
          <cell r="B157" t="str">
            <v>01757</v>
          </cell>
          <cell r="C157" t="str">
            <v>四川时代蜂族营销策划有限公司</v>
          </cell>
          <cell r="D157">
            <v>45951</v>
          </cell>
          <cell r="E157" t="str">
            <v>西南总部</v>
          </cell>
        </row>
        <row r="158">
          <cell r="A158" t="str">
            <v>邓湘</v>
          </cell>
          <cell r="B158" t="str">
            <v>01753</v>
          </cell>
          <cell r="C158" t="str">
            <v>四川时代蜂族营销策划有限公司</v>
          </cell>
          <cell r="D158">
            <v>45951</v>
          </cell>
          <cell r="E158" t="str">
            <v>西南总部</v>
          </cell>
        </row>
        <row r="159">
          <cell r="A159" t="str">
            <v>周宗娥</v>
          </cell>
          <cell r="B159" t="str">
            <v>01749</v>
          </cell>
          <cell r="C159" t="str">
            <v>四川时代蜂族营销策划有限公司</v>
          </cell>
          <cell r="D159">
            <v>45950</v>
          </cell>
          <cell r="E159" t="str">
            <v>西南总部</v>
          </cell>
        </row>
        <row r="160">
          <cell r="A160" t="str">
            <v>王博凯</v>
          </cell>
          <cell r="B160" t="str">
            <v>01747</v>
          </cell>
          <cell r="C160" t="str">
            <v>陕西时代蜂族营销策划有限公司</v>
          </cell>
          <cell r="D160">
            <v>45950</v>
          </cell>
          <cell r="E160" t="str">
            <v>陕西</v>
          </cell>
        </row>
        <row r="161">
          <cell r="A161" t="str">
            <v>刘佳秋</v>
          </cell>
          <cell r="B161" t="str">
            <v>01743</v>
          </cell>
          <cell r="C161" t="str">
            <v>湖北蜜蜂族房地产经纪有限公司</v>
          </cell>
          <cell r="D161">
            <v>45950</v>
          </cell>
          <cell r="E161" t="str">
            <v>湖北</v>
          </cell>
        </row>
        <row r="162">
          <cell r="A162" t="str">
            <v>王莹</v>
          </cell>
          <cell r="B162" t="str">
            <v>01748</v>
          </cell>
          <cell r="C162" t="str">
            <v>山西时代蜂族房地产经纪有限公司</v>
          </cell>
          <cell r="D162">
            <v>45950</v>
          </cell>
          <cell r="E162" t="str">
            <v>山西</v>
          </cell>
        </row>
        <row r="163">
          <cell r="A163" t="str">
            <v>代宇龙</v>
          </cell>
          <cell r="B163" t="str">
            <v>01744</v>
          </cell>
          <cell r="C163" t="str">
            <v>陕西时代蜂族营销策划有限公司</v>
          </cell>
          <cell r="D163">
            <v>45949</v>
          </cell>
          <cell r="E163" t="str">
            <v>陕西</v>
          </cell>
        </row>
        <row r="164">
          <cell r="A164" t="str">
            <v>周加银</v>
          </cell>
          <cell r="B164" t="str">
            <v>01740</v>
          </cell>
          <cell r="C164" t="str">
            <v>四川时代蜂族营销策划有限公司</v>
          </cell>
          <cell r="D164">
            <v>45947</v>
          </cell>
          <cell r="E164" t="str">
            <v>西南总部</v>
          </cell>
        </row>
        <row r="165">
          <cell r="A165" t="str">
            <v>徐宇顺</v>
          </cell>
          <cell r="B165" t="str">
            <v>01745</v>
          </cell>
          <cell r="C165" t="str">
            <v>四川时代蜂族营销策划有限公司</v>
          </cell>
          <cell r="D165">
            <v>45947</v>
          </cell>
          <cell r="E165" t="str">
            <v>西南总部</v>
          </cell>
        </row>
        <row r="166">
          <cell r="A166" t="str">
            <v>马丹丹</v>
          </cell>
          <cell r="B166" t="str">
            <v>01741</v>
          </cell>
          <cell r="C166" t="str">
            <v>成都蓉天城房地产营销策划有限公司</v>
          </cell>
          <cell r="D166">
            <v>45946</v>
          </cell>
          <cell r="E166" t="str">
            <v>西南总部</v>
          </cell>
        </row>
        <row r="167">
          <cell r="A167" t="str">
            <v>夏亮亮</v>
          </cell>
          <cell r="B167" t="str">
            <v>01738</v>
          </cell>
          <cell r="C167" t="str">
            <v>湖北蜜蜂族房地产经纪有限公司</v>
          </cell>
          <cell r="D167">
            <v>45946</v>
          </cell>
          <cell r="E167" t="str">
            <v>湖北</v>
          </cell>
        </row>
        <row r="168">
          <cell r="A168" t="str">
            <v>王思颖</v>
          </cell>
          <cell r="B168" t="str">
            <v>01729</v>
          </cell>
          <cell r="C168" t="str">
            <v>四川时代蜂族营销策划有限公司</v>
          </cell>
          <cell r="D168">
            <v>45945</v>
          </cell>
          <cell r="E168" t="str">
            <v>西南总部</v>
          </cell>
        </row>
        <row r="169">
          <cell r="A169" t="str">
            <v>王紫瑞</v>
          </cell>
          <cell r="B169" t="str">
            <v>01732</v>
          </cell>
          <cell r="C169" t="str">
            <v>四川时代蜂族营销策划有限公司</v>
          </cell>
          <cell r="D169">
            <v>45944</v>
          </cell>
          <cell r="E169" t="str">
            <v>西南总部</v>
          </cell>
        </row>
        <row r="170">
          <cell r="A170" t="str">
            <v>李立</v>
          </cell>
          <cell r="B170" t="str">
            <v>01739</v>
          </cell>
          <cell r="C170" t="str">
            <v>四川时代蜂族营销策划有限公司</v>
          </cell>
          <cell r="D170">
            <v>45944</v>
          </cell>
          <cell r="E170" t="str">
            <v>西南总部</v>
          </cell>
        </row>
        <row r="171">
          <cell r="A171" t="str">
            <v>曾渝轩</v>
          </cell>
          <cell r="B171" t="str">
            <v>00462</v>
          </cell>
          <cell r="C171" t="str">
            <v>山东时代蜂族营销策划有限公司</v>
          </cell>
          <cell r="D171">
            <v>45943</v>
          </cell>
          <cell r="E171" t="str">
            <v>山东</v>
          </cell>
        </row>
        <row r="172">
          <cell r="A172" t="str">
            <v>马文茂</v>
          </cell>
          <cell r="B172" t="str">
            <v>01736</v>
          </cell>
          <cell r="C172" t="str">
            <v>四川时代蜂族营销策划有限公司</v>
          </cell>
          <cell r="D172">
            <v>45943</v>
          </cell>
          <cell r="E172" t="str">
            <v>河南</v>
          </cell>
        </row>
        <row r="173">
          <cell r="A173" t="str">
            <v>黄浩</v>
          </cell>
          <cell r="B173" t="str">
            <v>01735</v>
          </cell>
          <cell r="C173" t="str">
            <v>四川时代蜂族营销策划有限公司</v>
          </cell>
          <cell r="D173">
            <v>45943</v>
          </cell>
          <cell r="E173" t="str">
            <v>西南总部</v>
          </cell>
        </row>
        <row r="174">
          <cell r="A174" t="str">
            <v>赵红宇</v>
          </cell>
          <cell r="B174" t="str">
            <v>01728</v>
          </cell>
          <cell r="C174" t="str">
            <v>陕西时代蜂族营销策划有限公司</v>
          </cell>
          <cell r="D174">
            <v>45943</v>
          </cell>
          <cell r="E174" t="str">
            <v>陕西</v>
          </cell>
        </row>
        <row r="175">
          <cell r="A175" t="str">
            <v>王杰2</v>
          </cell>
          <cell r="B175" t="str">
            <v>01731</v>
          </cell>
          <cell r="C175" t="str">
            <v>四川时代蜂族营销策划有限公司</v>
          </cell>
          <cell r="D175">
            <v>45943</v>
          </cell>
          <cell r="E175" t="str">
            <v>西南总部</v>
          </cell>
        </row>
        <row r="176">
          <cell r="A176" t="str">
            <v>孙江林</v>
          </cell>
          <cell r="B176" t="str">
            <v>01723</v>
          </cell>
          <cell r="C176" t="str">
            <v>四川时代蜂族营销策划有限公司</v>
          </cell>
          <cell r="D176">
            <v>45941</v>
          </cell>
          <cell r="E176" t="str">
            <v>西南总部</v>
          </cell>
        </row>
        <row r="177">
          <cell r="A177" t="str">
            <v>张拓</v>
          </cell>
          <cell r="B177" t="str">
            <v>01725</v>
          </cell>
          <cell r="C177" t="str">
            <v>陕西蜂族科技有限公司</v>
          </cell>
          <cell r="D177">
            <v>45941</v>
          </cell>
          <cell r="E177" t="str">
            <v>陕西</v>
          </cell>
        </row>
        <row r="178">
          <cell r="A178" t="str">
            <v>刘嘉馨</v>
          </cell>
          <cell r="B178" t="str">
            <v>01726</v>
          </cell>
          <cell r="C178" t="str">
            <v>山西时代蜂族房地产经纪有限公司</v>
          </cell>
          <cell r="D178">
            <v>45940</v>
          </cell>
          <cell r="E178" t="str">
            <v>山西</v>
          </cell>
        </row>
        <row r="179">
          <cell r="A179" t="str">
            <v>张琴霞</v>
          </cell>
          <cell r="B179" t="str">
            <v>01724</v>
          </cell>
          <cell r="C179" t="str">
            <v>四川时代蜂族营销策划有限公司</v>
          </cell>
          <cell r="D179">
            <v>45939</v>
          </cell>
          <cell r="E179" t="str">
            <v>西南总部</v>
          </cell>
        </row>
        <row r="180">
          <cell r="A180" t="str">
            <v>胡彬</v>
          </cell>
          <cell r="B180" t="str">
            <v>01716</v>
          </cell>
          <cell r="C180" t="str">
            <v>四川蜂起营销策划有限公司</v>
          </cell>
          <cell r="D180">
            <v>45939</v>
          </cell>
          <cell r="E180" t="str">
            <v>西南总部</v>
          </cell>
        </row>
        <row r="181">
          <cell r="A181" t="str">
            <v>曾树兰</v>
          </cell>
          <cell r="B181" t="str">
            <v>01719</v>
          </cell>
          <cell r="C181" t="str">
            <v>四川时代蜂族营销策划有限公司</v>
          </cell>
          <cell r="D181">
            <v>45938</v>
          </cell>
          <cell r="E181" t="str">
            <v>西南总部</v>
          </cell>
        </row>
        <row r="182">
          <cell r="A182" t="str">
            <v>席楠</v>
          </cell>
          <cell r="B182" t="str">
            <v>01720</v>
          </cell>
          <cell r="C182" t="str">
            <v>陕西蜂族科技有限公司</v>
          </cell>
          <cell r="D182">
            <v>45938</v>
          </cell>
          <cell r="E182" t="str">
            <v>陕西</v>
          </cell>
        </row>
        <row r="183">
          <cell r="A183" t="str">
            <v>李可馨</v>
          </cell>
          <cell r="B183" t="str">
            <v>01722</v>
          </cell>
          <cell r="C183" t="str">
            <v>陕西时代蜂族营销策划有限公司</v>
          </cell>
          <cell r="D183">
            <v>45938</v>
          </cell>
          <cell r="E183" t="str">
            <v>陕西</v>
          </cell>
        </row>
        <row r="184">
          <cell r="A184" t="str">
            <v>操俊</v>
          </cell>
          <cell r="B184" t="str">
            <v>01717</v>
          </cell>
          <cell r="C184" t="str">
            <v>陕西蜂族科技有限公司</v>
          </cell>
          <cell r="D184">
            <v>45937</v>
          </cell>
          <cell r="E184" t="str">
            <v>陕西</v>
          </cell>
        </row>
        <row r="185">
          <cell r="A185" t="str">
            <v>路俊亮</v>
          </cell>
          <cell r="B185" t="str">
            <v>01718</v>
          </cell>
          <cell r="C185" t="str">
            <v>河南蜜蜂族营销策划有限公司</v>
          </cell>
          <cell r="D185">
            <v>45935</v>
          </cell>
          <cell r="E185" t="str">
            <v>河南</v>
          </cell>
        </row>
        <row r="186">
          <cell r="A186" t="str">
            <v>徐林</v>
          </cell>
          <cell r="B186" t="str">
            <v>01714</v>
          </cell>
          <cell r="C186" t="str">
            <v>陕西蜂族科技有限公司</v>
          </cell>
          <cell r="D186">
            <v>45932</v>
          </cell>
          <cell r="E186" t="str">
            <v>陕西</v>
          </cell>
        </row>
        <row r="187">
          <cell r="A187" t="str">
            <v>赵玲</v>
          </cell>
          <cell r="B187" t="str">
            <v>01049</v>
          </cell>
          <cell r="C187" t="str">
            <v>四川时代蜂族营销策划有限公司</v>
          </cell>
          <cell r="D187">
            <v>45929</v>
          </cell>
          <cell r="E187" t="str">
            <v>辽宁</v>
          </cell>
        </row>
        <row r="188">
          <cell r="A188" t="str">
            <v>钟昌燕</v>
          </cell>
          <cell r="B188" t="str">
            <v>01709</v>
          </cell>
          <cell r="C188" t="str">
            <v>四川时代蜂族营销策划有限公司</v>
          </cell>
          <cell r="D188">
            <v>45927</v>
          </cell>
          <cell r="E188" t="str">
            <v>西南总部</v>
          </cell>
        </row>
        <row r="189">
          <cell r="A189" t="str">
            <v>王志红</v>
          </cell>
          <cell r="B189" t="str">
            <v>01715</v>
          </cell>
          <cell r="C189" t="str">
            <v>湖南时代蜂族营销策划有限公司</v>
          </cell>
          <cell r="D189">
            <v>45927</v>
          </cell>
          <cell r="E189" t="str">
            <v>湖南</v>
          </cell>
        </row>
        <row r="190">
          <cell r="A190" t="str">
            <v>颜尚清</v>
          </cell>
          <cell r="B190" t="str">
            <v>01706</v>
          </cell>
          <cell r="C190" t="str">
            <v>四川时代蜂族营销策划有限公司</v>
          </cell>
          <cell r="D190">
            <v>45927</v>
          </cell>
          <cell r="E190" t="str">
            <v>西南总部</v>
          </cell>
        </row>
        <row r="191">
          <cell r="A191" t="str">
            <v>王锐</v>
          </cell>
          <cell r="B191" t="str">
            <v>01710</v>
          </cell>
          <cell r="C191" t="str">
            <v>四川时代蜂族营销策划有限公司</v>
          </cell>
          <cell r="D191">
            <v>45927</v>
          </cell>
          <cell r="E191" t="str">
            <v>西南总部</v>
          </cell>
        </row>
        <row r="192">
          <cell r="A192" t="str">
            <v>牛子玮</v>
          </cell>
          <cell r="B192" t="str">
            <v>01705</v>
          </cell>
          <cell r="C192" t="str">
            <v>山东时代蜂族营销策划有限公司</v>
          </cell>
          <cell r="D192">
            <v>45922</v>
          </cell>
          <cell r="E192" t="str">
            <v>山东</v>
          </cell>
        </row>
        <row r="193">
          <cell r="A193" t="str">
            <v>邢红英</v>
          </cell>
          <cell r="B193" t="str">
            <v>01704</v>
          </cell>
          <cell r="C193" t="str">
            <v>四川时代蜂族营销策划有限公司</v>
          </cell>
          <cell r="D193">
            <v>45920</v>
          </cell>
          <cell r="E193" t="str">
            <v>西南总部</v>
          </cell>
        </row>
        <row r="194">
          <cell r="A194" t="str">
            <v>王成</v>
          </cell>
          <cell r="B194" t="str">
            <v>00827</v>
          </cell>
          <cell r="C194" t="str">
            <v>四川时代蜂族营销策划有限公司</v>
          </cell>
          <cell r="D194">
            <v>45920</v>
          </cell>
          <cell r="E194" t="str">
            <v>湖南</v>
          </cell>
        </row>
        <row r="195">
          <cell r="A195" t="str">
            <v>余侃侃</v>
          </cell>
          <cell r="B195" t="str">
            <v>01702</v>
          </cell>
          <cell r="C195" t="str">
            <v>四川时代蜂族营销策划有限公司</v>
          </cell>
          <cell r="D195">
            <v>45918</v>
          </cell>
          <cell r="E195" t="str">
            <v>河北</v>
          </cell>
        </row>
        <row r="196">
          <cell r="A196" t="str">
            <v>周玉兰</v>
          </cell>
          <cell r="B196" t="str">
            <v>01699</v>
          </cell>
          <cell r="C196" t="str">
            <v>四川时代蜂族营销策划有限公司</v>
          </cell>
          <cell r="D196">
            <v>45918</v>
          </cell>
          <cell r="E196" t="str">
            <v>西南总部</v>
          </cell>
        </row>
        <row r="197">
          <cell r="A197" t="str">
            <v>周佳玲</v>
          </cell>
          <cell r="B197" t="str">
            <v>00388</v>
          </cell>
          <cell r="C197" t="str">
            <v>四川时代蜂族营销策划有限公司</v>
          </cell>
          <cell r="D197">
            <v>45917</v>
          </cell>
          <cell r="E197" t="str">
            <v>西南总部</v>
          </cell>
        </row>
        <row r="198">
          <cell r="A198" t="str">
            <v>张泽坤</v>
          </cell>
          <cell r="B198" t="str">
            <v>01697</v>
          </cell>
          <cell r="C198" t="str">
            <v>陕西蜂族科技有限公司</v>
          </cell>
          <cell r="D198">
            <v>45915</v>
          </cell>
          <cell r="E198" t="str">
            <v>陕西</v>
          </cell>
        </row>
        <row r="199">
          <cell r="A199" t="str">
            <v>刘俊海</v>
          </cell>
          <cell r="B199" t="str">
            <v>00385</v>
          </cell>
          <cell r="C199" t="str">
            <v>湖南时代蜂族营销策划有限公司</v>
          </cell>
          <cell r="D199">
            <v>45915</v>
          </cell>
          <cell r="E199" t="str">
            <v>湖南</v>
          </cell>
        </row>
        <row r="200">
          <cell r="A200" t="str">
            <v>蒲洪</v>
          </cell>
          <cell r="B200" t="str">
            <v>01703</v>
          </cell>
          <cell r="C200" t="str">
            <v>四川时代蜂族营销策划有限公司</v>
          </cell>
          <cell r="D200">
            <v>45914</v>
          </cell>
          <cell r="E200" t="str">
            <v>西南总部</v>
          </cell>
        </row>
        <row r="201">
          <cell r="A201" t="str">
            <v>汪强</v>
          </cell>
          <cell r="B201" t="str">
            <v>01694</v>
          </cell>
          <cell r="C201" t="str">
            <v>四川时代蜂族营销策划有限公司</v>
          </cell>
          <cell r="D201">
            <v>45913</v>
          </cell>
          <cell r="E201" t="str">
            <v>西南总部</v>
          </cell>
        </row>
        <row r="202">
          <cell r="A202" t="str">
            <v>王勤博</v>
          </cell>
          <cell r="B202" t="str">
            <v>01698</v>
          </cell>
          <cell r="C202" t="str">
            <v>山西时代蜂族房地产经纪有限公司</v>
          </cell>
          <cell r="D202">
            <v>45913</v>
          </cell>
          <cell r="E202" t="str">
            <v>山西</v>
          </cell>
        </row>
        <row r="203">
          <cell r="A203" t="str">
            <v>李凤琴</v>
          </cell>
          <cell r="B203" t="str">
            <v>01223</v>
          </cell>
          <cell r="C203" t="str">
            <v>四川时代蜂族营销策划有限公司</v>
          </cell>
          <cell r="D203">
            <v>45912</v>
          </cell>
          <cell r="E203" t="str">
            <v>西南总部</v>
          </cell>
        </row>
        <row r="204">
          <cell r="A204" t="str">
            <v>李松</v>
          </cell>
          <cell r="B204" t="str">
            <v>01689</v>
          </cell>
          <cell r="C204" t="str">
            <v>陕西蜂族科技有限公司</v>
          </cell>
          <cell r="D204">
            <v>45910</v>
          </cell>
          <cell r="E204" t="str">
            <v>陕西</v>
          </cell>
        </row>
        <row r="205">
          <cell r="A205" t="str">
            <v>孙其盟</v>
          </cell>
          <cell r="B205" t="str">
            <v>01692</v>
          </cell>
          <cell r="C205" t="str">
            <v>山东时代蜂族营销策划有限公司</v>
          </cell>
          <cell r="D205">
            <v>45910</v>
          </cell>
          <cell r="E205" t="str">
            <v>山东</v>
          </cell>
        </row>
        <row r="206">
          <cell r="A206" t="str">
            <v>徐凯凯</v>
          </cell>
          <cell r="B206" t="str">
            <v>01690</v>
          </cell>
          <cell r="C206" t="str">
            <v>四川时代蜂族营销策划有限公司</v>
          </cell>
          <cell r="D206">
            <v>45909</v>
          </cell>
          <cell r="E206" t="str">
            <v>西南总部</v>
          </cell>
        </row>
        <row r="207">
          <cell r="A207" t="str">
            <v>李玲</v>
          </cell>
          <cell r="B207" t="str">
            <v>01693</v>
          </cell>
          <cell r="C207" t="str">
            <v>四川时代蜂族营销策划有限公司</v>
          </cell>
          <cell r="D207">
            <v>45908</v>
          </cell>
          <cell r="E207" t="str">
            <v>西南总部</v>
          </cell>
        </row>
        <row r="208">
          <cell r="A208" t="str">
            <v>税小蓉</v>
          </cell>
          <cell r="B208" t="str">
            <v>01684</v>
          </cell>
          <cell r="C208" t="str">
            <v>四川时代蜂族营销策划有限公司</v>
          </cell>
          <cell r="D208">
            <v>45905</v>
          </cell>
          <cell r="E208" t="str">
            <v>西南总部</v>
          </cell>
        </row>
        <row r="209">
          <cell r="A209" t="str">
            <v>曹佳荣</v>
          </cell>
          <cell r="B209" t="str">
            <v>01685</v>
          </cell>
          <cell r="C209" t="str">
            <v>湖北蜜蜂族房地产经纪有限公司</v>
          </cell>
          <cell r="D209">
            <v>45905</v>
          </cell>
          <cell r="E209" t="str">
            <v>湖北</v>
          </cell>
        </row>
        <row r="210">
          <cell r="A210" t="str">
            <v>蔡申文</v>
          </cell>
          <cell r="B210" t="str">
            <v>01682</v>
          </cell>
          <cell r="C210" t="str">
            <v>四川时代蜂族营销策划有限公司</v>
          </cell>
          <cell r="D210">
            <v>45903</v>
          </cell>
          <cell r="E210" t="str">
            <v>西南总部</v>
          </cell>
        </row>
        <row r="211">
          <cell r="A211" t="str">
            <v>苏燕</v>
          </cell>
          <cell r="B211" t="str">
            <v>01680</v>
          </cell>
          <cell r="C211" t="str">
            <v>四川时代蜂族营销策划有限公司</v>
          </cell>
          <cell r="D211">
            <v>45903</v>
          </cell>
          <cell r="E211" t="str">
            <v>山西</v>
          </cell>
        </row>
        <row r="212">
          <cell r="A212" t="str">
            <v>李林霖</v>
          </cell>
          <cell r="B212" t="str">
            <v>01681</v>
          </cell>
          <cell r="C212" t="str">
            <v>山东时代蜂族营销策划有限公司</v>
          </cell>
          <cell r="D212">
            <v>45901</v>
          </cell>
          <cell r="E212" t="str">
            <v>山东</v>
          </cell>
        </row>
        <row r="213">
          <cell r="A213" t="str">
            <v>张利娟</v>
          </cell>
          <cell r="B213" t="str">
            <v>01679</v>
          </cell>
          <cell r="C213" t="str">
            <v>山东时代蜂族营销策划有限公司</v>
          </cell>
          <cell r="D213">
            <v>45900</v>
          </cell>
          <cell r="E213" t="str">
            <v>山东</v>
          </cell>
        </row>
        <row r="214">
          <cell r="A214" t="str">
            <v>刘浩江</v>
          </cell>
          <cell r="B214" t="str">
            <v>01683</v>
          </cell>
          <cell r="C214" t="str">
            <v>湖南时代蜂族营销策划有限公司</v>
          </cell>
          <cell r="D214">
            <v>45899</v>
          </cell>
          <cell r="E214" t="str">
            <v>湖南</v>
          </cell>
        </row>
        <row r="215">
          <cell r="A215" t="str">
            <v>童云昌</v>
          </cell>
          <cell r="B215" t="str">
            <v>01667</v>
          </cell>
          <cell r="C215" t="str">
            <v>四川时代蜂族营销策划有限公司</v>
          </cell>
          <cell r="D215">
            <v>45896</v>
          </cell>
          <cell r="E215" t="str">
            <v>西南总部</v>
          </cell>
        </row>
        <row r="216">
          <cell r="A216" t="str">
            <v>张永华</v>
          </cell>
          <cell r="B216" t="str">
            <v>01673</v>
          </cell>
          <cell r="C216" t="str">
            <v>四川时代蜂族营销策划有限公司</v>
          </cell>
          <cell r="D216">
            <v>45896</v>
          </cell>
          <cell r="E216" t="str">
            <v>西南总部</v>
          </cell>
        </row>
        <row r="217">
          <cell r="A217" t="str">
            <v>李金华</v>
          </cell>
          <cell r="B217" t="str">
            <v>01675</v>
          </cell>
          <cell r="C217" t="str">
            <v>四川时代蜂族营销策划有限公司</v>
          </cell>
          <cell r="D217">
            <v>45894</v>
          </cell>
          <cell r="E217" t="str">
            <v>西南总部</v>
          </cell>
        </row>
        <row r="218">
          <cell r="A218" t="str">
            <v>张启华</v>
          </cell>
          <cell r="B218" t="str">
            <v>01671</v>
          </cell>
          <cell r="C218" t="str">
            <v>四川时代蜂族营销策划有限公司</v>
          </cell>
          <cell r="D218">
            <v>45890</v>
          </cell>
          <cell r="E218" t="str">
            <v>河北</v>
          </cell>
        </row>
        <row r="219">
          <cell r="A219" t="str">
            <v>潘晓冬</v>
          </cell>
          <cell r="B219" t="str">
            <v>01665</v>
          </cell>
          <cell r="C219" t="str">
            <v>陕西蜂族科技有限公司</v>
          </cell>
          <cell r="D219">
            <v>45887</v>
          </cell>
          <cell r="E219" t="str">
            <v>陕西</v>
          </cell>
        </row>
        <row r="220">
          <cell r="A220" t="str">
            <v>张国坤</v>
          </cell>
          <cell r="B220" t="str">
            <v>01664</v>
          </cell>
          <cell r="C220" t="str">
            <v>山东时代蜂族营销策划有限公司</v>
          </cell>
          <cell r="D220">
            <v>45885</v>
          </cell>
          <cell r="E220" t="str">
            <v>山东</v>
          </cell>
        </row>
        <row r="221">
          <cell r="A221" t="str">
            <v>曾余鑫</v>
          </cell>
          <cell r="B221" t="str">
            <v>01662</v>
          </cell>
          <cell r="C221" t="str">
            <v>湖南时代蜂族营销策划有限公司</v>
          </cell>
          <cell r="D221">
            <v>45885</v>
          </cell>
          <cell r="E221" t="str">
            <v>湖南</v>
          </cell>
        </row>
        <row r="222">
          <cell r="A222" t="str">
            <v>王学军</v>
          </cell>
          <cell r="B222" t="str">
            <v>01666</v>
          </cell>
          <cell r="C222" t="str">
            <v>四川时代蜂族营销策划有限公司</v>
          </cell>
          <cell r="D222">
            <v>45884</v>
          </cell>
          <cell r="E222" t="str">
            <v>西南总部</v>
          </cell>
        </row>
        <row r="223">
          <cell r="A223" t="str">
            <v>庞彬城</v>
          </cell>
          <cell r="B223" t="str">
            <v>01660</v>
          </cell>
          <cell r="C223" t="str">
            <v>四川时代蜂族营销策划有限公司</v>
          </cell>
          <cell r="D223">
            <v>45883</v>
          </cell>
          <cell r="E223" t="str">
            <v>西南总部</v>
          </cell>
        </row>
        <row r="224">
          <cell r="A224" t="str">
            <v>黄建</v>
          </cell>
          <cell r="B224" t="str">
            <v>01657</v>
          </cell>
          <cell r="C224" t="str">
            <v>四川时代蜂族营销策划有限公司</v>
          </cell>
          <cell r="D224">
            <v>45883</v>
          </cell>
          <cell r="E224" t="str">
            <v>湖北</v>
          </cell>
        </row>
        <row r="225">
          <cell r="A225" t="str">
            <v>邓世才</v>
          </cell>
          <cell r="B225" t="str">
            <v>01669</v>
          </cell>
          <cell r="C225" t="str">
            <v>四川时代蜂族营销策划有限公司</v>
          </cell>
          <cell r="D225">
            <v>45882</v>
          </cell>
          <cell r="E225" t="str">
            <v>西南总部</v>
          </cell>
        </row>
        <row r="226">
          <cell r="A226" t="str">
            <v>张世豪</v>
          </cell>
          <cell r="B226" t="str">
            <v>01656</v>
          </cell>
          <cell r="C226" t="str">
            <v>陕西蜂族科技有限公司</v>
          </cell>
          <cell r="D226">
            <v>45882</v>
          </cell>
          <cell r="E226" t="str">
            <v>陕西</v>
          </cell>
        </row>
        <row r="227">
          <cell r="A227" t="str">
            <v>涂正丽</v>
          </cell>
          <cell r="B227" t="str">
            <v>01654</v>
          </cell>
          <cell r="C227" t="str">
            <v>陕西蜂族科技有限公司</v>
          </cell>
          <cell r="D227">
            <v>45881</v>
          </cell>
          <cell r="E227" t="str">
            <v>陕西</v>
          </cell>
        </row>
        <row r="228">
          <cell r="A228" t="str">
            <v>安娅丽</v>
          </cell>
          <cell r="B228" t="str">
            <v>01653</v>
          </cell>
          <cell r="C228" t="str">
            <v>陕西蜂族科技有限公司</v>
          </cell>
          <cell r="D228">
            <v>45881</v>
          </cell>
          <cell r="E228" t="str">
            <v>陕西</v>
          </cell>
        </row>
        <row r="229">
          <cell r="A229" t="str">
            <v>杨钧</v>
          </cell>
          <cell r="B229" t="str">
            <v>01658</v>
          </cell>
          <cell r="C229" t="str">
            <v>四川时代蜂族营销策划有限公司</v>
          </cell>
          <cell r="D229">
            <v>45881</v>
          </cell>
          <cell r="E229" t="str">
            <v>西南总部</v>
          </cell>
        </row>
        <row r="230">
          <cell r="A230" t="str">
            <v>张文祥</v>
          </cell>
          <cell r="B230" t="str">
            <v>01649</v>
          </cell>
          <cell r="C230" t="str">
            <v>湖南时代蜂族营销策划有限公司</v>
          </cell>
          <cell r="D230">
            <v>45880</v>
          </cell>
          <cell r="E230" t="str">
            <v>湖南</v>
          </cell>
        </row>
        <row r="231">
          <cell r="A231" t="str">
            <v>孙静</v>
          </cell>
          <cell r="B231" t="str">
            <v>01650</v>
          </cell>
          <cell r="C231" t="str">
            <v>四川大礼连连科技有限公司</v>
          </cell>
          <cell r="D231">
            <v>45880</v>
          </cell>
          <cell r="E231" t="str">
            <v>山西</v>
          </cell>
        </row>
        <row r="232">
          <cell r="A232" t="str">
            <v>冯鑫</v>
          </cell>
          <cell r="B232" t="str">
            <v>01637</v>
          </cell>
          <cell r="C232" t="str">
            <v>四川时代蜂族营销策划有限公司</v>
          </cell>
          <cell r="D232">
            <v>45880</v>
          </cell>
          <cell r="E232" t="str">
            <v>西南总部</v>
          </cell>
        </row>
        <row r="233">
          <cell r="A233" t="str">
            <v>袁兴丰</v>
          </cell>
          <cell r="B233" t="str">
            <v>01648</v>
          </cell>
          <cell r="C233" t="str">
            <v>四川大礼连连科技有限公司</v>
          </cell>
          <cell r="D233">
            <v>45879</v>
          </cell>
          <cell r="E233" t="str">
            <v>西南总部</v>
          </cell>
        </row>
        <row r="234">
          <cell r="A234" t="str">
            <v>刘星</v>
          </cell>
          <cell r="B234" t="str">
            <v>01646</v>
          </cell>
          <cell r="C234" t="str">
            <v>四川时代蜂族营销策划有限公司</v>
          </cell>
          <cell r="D234">
            <v>45878</v>
          </cell>
          <cell r="E234" t="str">
            <v>西南总部</v>
          </cell>
        </row>
        <row r="235">
          <cell r="A235" t="str">
            <v>孙洪扬</v>
          </cell>
          <cell r="B235" t="str">
            <v>01652</v>
          </cell>
          <cell r="C235" t="str">
            <v>四川大礼连连科技有限公司</v>
          </cell>
          <cell r="D235">
            <v>45878</v>
          </cell>
          <cell r="E235" t="str">
            <v>西南总部</v>
          </cell>
        </row>
        <row r="236">
          <cell r="A236" t="str">
            <v>焦文豪</v>
          </cell>
          <cell r="B236" t="str">
            <v>01641</v>
          </cell>
          <cell r="C236" t="str">
            <v>山东时代蜂族营销策划有限公司</v>
          </cell>
          <cell r="D236">
            <v>45876</v>
          </cell>
          <cell r="E236" t="str">
            <v>山东</v>
          </cell>
        </row>
        <row r="237">
          <cell r="A237" t="str">
            <v>吴继花</v>
          </cell>
          <cell r="B237" t="str">
            <v>01644</v>
          </cell>
          <cell r="C237" t="str">
            <v>山西时代蜂族房地产经纪有限公司</v>
          </cell>
          <cell r="D237">
            <v>45876</v>
          </cell>
          <cell r="E237" t="str">
            <v>山西</v>
          </cell>
        </row>
        <row r="238">
          <cell r="A238" t="str">
            <v>熊明冬</v>
          </cell>
          <cell r="B238" t="str">
            <v>01642</v>
          </cell>
          <cell r="C238" t="str">
            <v>山西时代蜂族房地产经纪有限公司</v>
          </cell>
          <cell r="D238">
            <v>45874</v>
          </cell>
          <cell r="E238" t="str">
            <v>山西</v>
          </cell>
        </row>
        <row r="239">
          <cell r="A239" t="str">
            <v>刘江超</v>
          </cell>
          <cell r="B239" t="str">
            <v>01632</v>
          </cell>
          <cell r="C239" t="str">
            <v>湖北蜜蜂族房地产经纪有限公司</v>
          </cell>
          <cell r="D239">
            <v>45873</v>
          </cell>
          <cell r="E239" t="str">
            <v>湖北</v>
          </cell>
        </row>
        <row r="240">
          <cell r="A240" t="str">
            <v>章勤</v>
          </cell>
          <cell r="B240" t="str">
            <v>01643</v>
          </cell>
          <cell r="C240" t="str">
            <v>四川大礼连连科技有限公司</v>
          </cell>
          <cell r="D240">
            <v>45873</v>
          </cell>
          <cell r="E240" t="str">
            <v>西南总部</v>
          </cell>
        </row>
        <row r="241">
          <cell r="A241" t="str">
            <v>徐燕2</v>
          </cell>
          <cell r="B241" t="str">
            <v>01635</v>
          </cell>
          <cell r="C241" t="str">
            <v>四川蜂起营销策划有限公司</v>
          </cell>
          <cell r="D241">
            <v>45873</v>
          </cell>
          <cell r="E241" t="str">
            <v>西南总部</v>
          </cell>
        </row>
        <row r="242">
          <cell r="A242" t="str">
            <v>何小文</v>
          </cell>
          <cell r="B242" t="str">
            <v>01631</v>
          </cell>
          <cell r="C242" t="str">
            <v>四川蜂起营销策划有限公司</v>
          </cell>
          <cell r="D242">
            <v>45873</v>
          </cell>
          <cell r="E242" t="str">
            <v>西南总部</v>
          </cell>
        </row>
        <row r="243">
          <cell r="A243" t="str">
            <v>周悦</v>
          </cell>
          <cell r="B243" t="str">
            <v>01636</v>
          </cell>
          <cell r="C243" t="str">
            <v>湖北蜜蜂族房地产经纪有限公司</v>
          </cell>
          <cell r="D243">
            <v>45872</v>
          </cell>
          <cell r="E243" t="str">
            <v>湖北</v>
          </cell>
        </row>
        <row r="244">
          <cell r="A244" t="str">
            <v>向巡</v>
          </cell>
          <cell r="B244" t="str">
            <v>01634</v>
          </cell>
          <cell r="C244" t="str">
            <v>四川时代蜂族营销策划有限公司</v>
          </cell>
          <cell r="D244">
            <v>45872</v>
          </cell>
          <cell r="E244" t="str">
            <v>西南总部</v>
          </cell>
        </row>
        <row r="245">
          <cell r="A245" t="str">
            <v>李凯</v>
          </cell>
          <cell r="B245" t="str">
            <v>01627</v>
          </cell>
          <cell r="C245" t="str">
            <v>陕西蜂族科技有限公司</v>
          </cell>
          <cell r="D245">
            <v>45870</v>
          </cell>
          <cell r="E245" t="str">
            <v>陕西</v>
          </cell>
        </row>
        <row r="246">
          <cell r="A246" t="str">
            <v>张梦颖</v>
          </cell>
          <cell r="B246" t="str">
            <v>01623</v>
          </cell>
          <cell r="C246" t="str">
            <v>四川时代蜂族营销策划有限公司</v>
          </cell>
          <cell r="D246">
            <v>45870</v>
          </cell>
          <cell r="E246" t="str">
            <v>西南总部</v>
          </cell>
        </row>
        <row r="247">
          <cell r="A247" t="str">
            <v>李万林</v>
          </cell>
          <cell r="B247" t="str">
            <v>01663</v>
          </cell>
          <cell r="C247" t="str">
            <v>河南蜜蜂族营销策划有限公司</v>
          </cell>
          <cell r="D247">
            <v>45870</v>
          </cell>
          <cell r="E247" t="str">
            <v>河南</v>
          </cell>
        </row>
        <row r="248">
          <cell r="A248" t="str">
            <v>冯婉玉</v>
          </cell>
          <cell r="B248" t="str">
            <v>01626</v>
          </cell>
          <cell r="C248" t="str">
            <v>河南蜜蜂族营销策划有限公司</v>
          </cell>
          <cell r="D248">
            <v>45867</v>
          </cell>
          <cell r="E248" t="str">
            <v>河南</v>
          </cell>
        </row>
        <row r="249">
          <cell r="A249" t="str">
            <v>许柯</v>
          </cell>
          <cell r="B249" t="str">
            <v>01624</v>
          </cell>
          <cell r="C249" t="str">
            <v>陕西蜂族科技有限公司</v>
          </cell>
          <cell r="D249">
            <v>45867</v>
          </cell>
          <cell r="E249" t="str">
            <v>陕西</v>
          </cell>
        </row>
        <row r="250">
          <cell r="A250" t="str">
            <v>张强</v>
          </cell>
          <cell r="B250" t="str">
            <v>00644</v>
          </cell>
          <cell r="C250" t="str">
            <v>四川时代蜂族营销策划有限公司</v>
          </cell>
          <cell r="D250">
            <v>45867</v>
          </cell>
          <cell r="E250" t="str">
            <v>辽宁</v>
          </cell>
        </row>
        <row r="251">
          <cell r="A251" t="str">
            <v>焦明昊</v>
          </cell>
          <cell r="B251" t="str">
            <v>01625</v>
          </cell>
          <cell r="C251" t="str">
            <v>山东时代蜂族营销策划有限公司</v>
          </cell>
          <cell r="D251">
            <v>45866</v>
          </cell>
          <cell r="E251" t="str">
            <v>山东</v>
          </cell>
        </row>
        <row r="252">
          <cell r="A252" t="str">
            <v>邓姗姗</v>
          </cell>
          <cell r="B252" t="str">
            <v>01617</v>
          </cell>
          <cell r="C252" t="str">
            <v>陕西蜂族科技有限公司</v>
          </cell>
          <cell r="D252">
            <v>45866</v>
          </cell>
          <cell r="E252" t="str">
            <v>陕西</v>
          </cell>
        </row>
        <row r="253">
          <cell r="A253" t="str">
            <v>王畅</v>
          </cell>
          <cell r="B253" t="str">
            <v>01629</v>
          </cell>
          <cell r="C253" t="str">
            <v>湖北蜜蜂族房地产经纪有限公司</v>
          </cell>
          <cell r="D253">
            <v>45866</v>
          </cell>
          <cell r="E253" t="str">
            <v>湖北</v>
          </cell>
        </row>
        <row r="254">
          <cell r="A254" t="str">
            <v>杜欢</v>
          </cell>
          <cell r="B254" t="str">
            <v>01615</v>
          </cell>
          <cell r="C254" t="str">
            <v>四川蜂起营销策划有限公司</v>
          </cell>
          <cell r="D254">
            <v>45864</v>
          </cell>
          <cell r="E254" t="str">
            <v>西南总部</v>
          </cell>
        </row>
        <row r="255">
          <cell r="A255" t="str">
            <v>邓孝礼</v>
          </cell>
          <cell r="B255" t="str">
            <v>01621</v>
          </cell>
          <cell r="C255" t="str">
            <v>四川蜂起营销策划有限公司</v>
          </cell>
          <cell r="D255">
            <v>45864</v>
          </cell>
          <cell r="E255" t="str">
            <v>西南总部</v>
          </cell>
        </row>
        <row r="256">
          <cell r="A256" t="str">
            <v>曾束鹏</v>
          </cell>
          <cell r="B256" t="str">
            <v>01612</v>
          </cell>
          <cell r="C256" t="str">
            <v>湖北蜜蜂族房地产经纪有限公司</v>
          </cell>
          <cell r="D256">
            <v>45862</v>
          </cell>
          <cell r="E256" t="str">
            <v>湖北</v>
          </cell>
        </row>
        <row r="257">
          <cell r="A257" t="str">
            <v>季浩</v>
          </cell>
          <cell r="B257" t="str">
            <v>01620</v>
          </cell>
          <cell r="C257" t="str">
            <v>河南蜜蜂族营销策划有限公司</v>
          </cell>
          <cell r="D257">
            <v>45861</v>
          </cell>
          <cell r="E257" t="str">
            <v>河南</v>
          </cell>
        </row>
        <row r="258">
          <cell r="A258" t="str">
            <v>朱用晴</v>
          </cell>
          <cell r="B258" t="str">
            <v>01609</v>
          </cell>
          <cell r="C258" t="str">
            <v>四川蜂起营销策划有限公司</v>
          </cell>
          <cell r="D258">
            <v>45861</v>
          </cell>
          <cell r="E258" t="str">
            <v>西南总部</v>
          </cell>
        </row>
        <row r="259">
          <cell r="A259" t="str">
            <v>黄赛博</v>
          </cell>
          <cell r="B259" t="str">
            <v>01605</v>
          </cell>
          <cell r="C259" t="str">
            <v>湖南时代蜂族营销策划有限公司</v>
          </cell>
          <cell r="D259">
            <v>45860</v>
          </cell>
          <cell r="E259" t="str">
            <v>湖南</v>
          </cell>
        </row>
        <row r="260">
          <cell r="A260" t="str">
            <v>龚祖明</v>
          </cell>
          <cell r="B260" t="str">
            <v>01607</v>
          </cell>
          <cell r="C260" t="str">
            <v>四川蜂起营销策划有限公司</v>
          </cell>
          <cell r="D260">
            <v>45858</v>
          </cell>
          <cell r="E260" t="str">
            <v>西南总部</v>
          </cell>
        </row>
        <row r="261">
          <cell r="A261" t="str">
            <v>唐雨星</v>
          </cell>
          <cell r="B261" t="str">
            <v>01611</v>
          </cell>
          <cell r="C261" t="str">
            <v>四川优诺通瑞商贸有限公司</v>
          </cell>
          <cell r="D261">
            <v>45856</v>
          </cell>
          <cell r="E261" t="str">
            <v>西南总部</v>
          </cell>
        </row>
        <row r="262">
          <cell r="A262" t="str">
            <v>周萍</v>
          </cell>
          <cell r="B262" t="str">
            <v>01601</v>
          </cell>
          <cell r="C262" t="str">
            <v>山东时代蜂族营销策划有限公司</v>
          </cell>
          <cell r="D262">
            <v>45856</v>
          </cell>
          <cell r="E262" t="str">
            <v>山东</v>
          </cell>
        </row>
        <row r="263">
          <cell r="A263" t="str">
            <v>陈子豪</v>
          </cell>
          <cell r="B263" t="str">
            <v>01602</v>
          </cell>
          <cell r="C263" t="str">
            <v>河北时代蜂族营销策划有限公司</v>
          </cell>
          <cell r="D263">
            <v>45856</v>
          </cell>
          <cell r="E263" t="str">
            <v>河北</v>
          </cell>
        </row>
        <row r="264">
          <cell r="A264" t="str">
            <v>张帅</v>
          </cell>
          <cell r="B264" t="str">
            <v>01600</v>
          </cell>
          <cell r="C264" t="str">
            <v>四川蜂起营销策划有限公司</v>
          </cell>
          <cell r="D264">
            <v>45855</v>
          </cell>
          <cell r="E264" t="str">
            <v>西南总部</v>
          </cell>
        </row>
        <row r="265">
          <cell r="A265" t="str">
            <v>李宗霖</v>
          </cell>
          <cell r="B265" t="str">
            <v>01599</v>
          </cell>
          <cell r="C265" t="str">
            <v>四川蜂起营销策划有限公司</v>
          </cell>
          <cell r="D265">
            <v>45855</v>
          </cell>
          <cell r="E265" t="str">
            <v>西南总部</v>
          </cell>
        </row>
        <row r="266">
          <cell r="A266" t="str">
            <v>宋兰萍</v>
          </cell>
          <cell r="B266" t="str">
            <v>01595</v>
          </cell>
          <cell r="C266" t="str">
            <v>湖北蜜蜂族房地产经纪有限公司</v>
          </cell>
          <cell r="D266">
            <v>45853</v>
          </cell>
          <cell r="E266" t="str">
            <v>湖北</v>
          </cell>
        </row>
        <row r="267">
          <cell r="A267" t="str">
            <v>陈军2</v>
          </cell>
          <cell r="B267" t="str">
            <v>01598</v>
          </cell>
          <cell r="C267" t="str">
            <v>河北时代蜂族营销策划有限公司</v>
          </cell>
          <cell r="D267">
            <v>45853</v>
          </cell>
          <cell r="E267" t="str">
            <v>河北</v>
          </cell>
        </row>
        <row r="268">
          <cell r="A268" t="str">
            <v>杨哲</v>
          </cell>
          <cell r="B268" t="str">
            <v>01596</v>
          </cell>
          <cell r="C268" t="str">
            <v>陕西蜂族科技有限公司</v>
          </cell>
          <cell r="D268">
            <v>45853</v>
          </cell>
          <cell r="E268" t="str">
            <v>陕西</v>
          </cell>
        </row>
        <row r="269">
          <cell r="A269" t="str">
            <v>张娇</v>
          </cell>
          <cell r="B269" t="str">
            <v>01597</v>
          </cell>
          <cell r="C269" t="str">
            <v>四川大礼连连科技有限公司</v>
          </cell>
          <cell r="D269">
            <v>45852</v>
          </cell>
          <cell r="E269" t="str">
            <v>西南总部</v>
          </cell>
        </row>
        <row r="270">
          <cell r="A270" t="str">
            <v>王维</v>
          </cell>
          <cell r="B270" t="str">
            <v>00569</v>
          </cell>
          <cell r="C270" t="str">
            <v>四川时代蜂族营销策划有限公司</v>
          </cell>
          <cell r="D270">
            <v>45849</v>
          </cell>
          <cell r="E270" t="str">
            <v>西南总部</v>
          </cell>
        </row>
        <row r="271">
          <cell r="A271" t="str">
            <v>邓富成</v>
          </cell>
          <cell r="B271" t="str">
            <v>01591</v>
          </cell>
          <cell r="C271" t="str">
            <v>四川时代蜂族营销策划有限公司</v>
          </cell>
          <cell r="D271">
            <v>45848</v>
          </cell>
          <cell r="E271" t="str">
            <v>西南总部</v>
          </cell>
        </row>
        <row r="272">
          <cell r="A272" t="str">
            <v>李鑫5</v>
          </cell>
          <cell r="B272" t="str">
            <v>01593</v>
          </cell>
          <cell r="C272" t="str">
            <v>四川优诺通瑞商贸有限公司</v>
          </cell>
          <cell r="D272">
            <v>45847</v>
          </cell>
          <cell r="E272" t="str">
            <v>西南总部</v>
          </cell>
        </row>
        <row r="273">
          <cell r="A273" t="str">
            <v>张勤</v>
          </cell>
          <cell r="B273" t="str">
            <v>01584</v>
          </cell>
          <cell r="C273" t="str">
            <v>四川蜂起营销策划有限公司</v>
          </cell>
          <cell r="D273">
            <v>45847</v>
          </cell>
          <cell r="E273" t="str">
            <v>西南总部</v>
          </cell>
        </row>
        <row r="274">
          <cell r="A274" t="str">
            <v>周帅</v>
          </cell>
          <cell r="B274" t="str">
            <v>01588</v>
          </cell>
          <cell r="C274" t="str">
            <v>河南蜜蜂族营销策划有限公司</v>
          </cell>
          <cell r="D274">
            <v>45846</v>
          </cell>
          <cell r="E274" t="str">
            <v>河南</v>
          </cell>
        </row>
        <row r="275">
          <cell r="A275" t="str">
            <v>朱静</v>
          </cell>
          <cell r="B275" t="str">
            <v>01587</v>
          </cell>
          <cell r="C275" t="str">
            <v>四川时代蜂族营销策划有限公司</v>
          </cell>
          <cell r="D275">
            <v>45845</v>
          </cell>
          <cell r="E275" t="str">
            <v>西南总部</v>
          </cell>
        </row>
        <row r="276">
          <cell r="A276" t="str">
            <v>宋雨嫣</v>
          </cell>
          <cell r="B276" t="str">
            <v>01575</v>
          </cell>
          <cell r="C276" t="str">
            <v>四川时代蜂族营销策划有限公司</v>
          </cell>
          <cell r="D276">
            <v>45844</v>
          </cell>
          <cell r="E276" t="str">
            <v>西南总部</v>
          </cell>
        </row>
        <row r="277">
          <cell r="A277" t="str">
            <v>蒋元香</v>
          </cell>
          <cell r="B277" t="str">
            <v>01567</v>
          </cell>
          <cell r="C277" t="str">
            <v>四川时代蜂族营销策划有限公司</v>
          </cell>
          <cell r="D277">
            <v>45844</v>
          </cell>
          <cell r="E277" t="str">
            <v>西南总部</v>
          </cell>
        </row>
        <row r="278">
          <cell r="A278" t="str">
            <v>李骏昊</v>
          </cell>
          <cell r="B278" t="str">
            <v>01573</v>
          </cell>
          <cell r="C278" t="str">
            <v>山西时代蜂族房地产经纪有限公司</v>
          </cell>
          <cell r="D278">
            <v>45844</v>
          </cell>
          <cell r="E278" t="str">
            <v>山西</v>
          </cell>
        </row>
        <row r="279">
          <cell r="A279" t="str">
            <v>余勤昌</v>
          </cell>
          <cell r="B279" t="str">
            <v>01574</v>
          </cell>
          <cell r="C279" t="str">
            <v>四川时代蜂族营销策划有限公司</v>
          </cell>
          <cell r="D279">
            <v>45844</v>
          </cell>
          <cell r="E279" t="str">
            <v>西南总部</v>
          </cell>
        </row>
        <row r="280">
          <cell r="A280" t="str">
            <v>易青</v>
          </cell>
          <cell r="B280" t="str">
            <v>01569</v>
          </cell>
          <cell r="C280" t="str">
            <v>四川时代蜂族营销策划有限公司</v>
          </cell>
          <cell r="D280">
            <v>45844</v>
          </cell>
          <cell r="E280" t="str">
            <v>西南总部</v>
          </cell>
        </row>
        <row r="281">
          <cell r="A281" t="str">
            <v>叶婷</v>
          </cell>
          <cell r="B281" t="str">
            <v>01571</v>
          </cell>
          <cell r="C281" t="str">
            <v>四川时代蜂族营销策划有限公司</v>
          </cell>
          <cell r="D281">
            <v>45844</v>
          </cell>
          <cell r="E281" t="str">
            <v>西南总部</v>
          </cell>
        </row>
        <row r="282">
          <cell r="A282" t="str">
            <v>刘源</v>
          </cell>
          <cell r="B282" t="str">
            <v>01568</v>
          </cell>
          <cell r="C282" t="str">
            <v>山西时代蜂族房地产经纪有限公司</v>
          </cell>
          <cell r="D282">
            <v>45844</v>
          </cell>
          <cell r="E282" t="str">
            <v>山西</v>
          </cell>
        </row>
        <row r="283">
          <cell r="A283" t="str">
            <v>李鑫4</v>
          </cell>
          <cell r="B283" t="str">
            <v>01579</v>
          </cell>
          <cell r="C283" t="str">
            <v>四川时代蜂族营销策划有限公司</v>
          </cell>
          <cell r="D283">
            <v>45844</v>
          </cell>
          <cell r="E283" t="str">
            <v>西南总部</v>
          </cell>
        </row>
        <row r="284">
          <cell r="A284" t="str">
            <v>陈佳乐</v>
          </cell>
          <cell r="B284" t="str">
            <v>01589</v>
          </cell>
          <cell r="C284" t="str">
            <v>陕西蜂族科技有限公司</v>
          </cell>
          <cell r="D284">
            <v>45843</v>
          </cell>
          <cell r="E284" t="str">
            <v>陕西</v>
          </cell>
        </row>
        <row r="285">
          <cell r="A285" t="str">
            <v>贾品超</v>
          </cell>
          <cell r="B285" t="str">
            <v>01585</v>
          </cell>
          <cell r="C285" t="str">
            <v>河南蜜蜂族营销策划有限公司</v>
          </cell>
          <cell r="D285">
            <v>45842</v>
          </cell>
          <cell r="E285" t="str">
            <v>河南</v>
          </cell>
        </row>
        <row r="286">
          <cell r="A286" t="str">
            <v>盛金辉</v>
          </cell>
          <cell r="B286" t="str">
            <v>01582</v>
          </cell>
          <cell r="C286" t="str">
            <v>湖南时代蜂族营销策划有限公司</v>
          </cell>
          <cell r="D286">
            <v>45841</v>
          </cell>
          <cell r="E286" t="str">
            <v>湖南</v>
          </cell>
        </row>
        <row r="287">
          <cell r="A287" t="str">
            <v>汤茗棵</v>
          </cell>
          <cell r="B287" t="str">
            <v>01583</v>
          </cell>
          <cell r="C287" t="str">
            <v>陕西蜂族科技有限公司</v>
          </cell>
          <cell r="D287">
            <v>45841</v>
          </cell>
          <cell r="E287" t="str">
            <v>陕西</v>
          </cell>
        </row>
        <row r="288">
          <cell r="A288" t="str">
            <v>张莉萍</v>
          </cell>
          <cell r="B288" t="str">
            <v>01581</v>
          </cell>
          <cell r="C288" t="str">
            <v>四川蜂起营销策划有限公司</v>
          </cell>
          <cell r="D288">
            <v>45841</v>
          </cell>
          <cell r="E288" t="str">
            <v>西南总部</v>
          </cell>
        </row>
        <row r="289">
          <cell r="A289" t="str">
            <v>李再桥</v>
          </cell>
          <cell r="B289" t="str">
            <v>01563</v>
          </cell>
          <cell r="C289" t="str">
            <v>湖南时代蜂族营销策划有限公司</v>
          </cell>
          <cell r="D289">
            <v>45840</v>
          </cell>
          <cell r="E289" t="str">
            <v>湖南</v>
          </cell>
        </row>
        <row r="290">
          <cell r="A290" t="str">
            <v>夏玉木</v>
          </cell>
          <cell r="B290" t="str">
            <v>01560</v>
          </cell>
          <cell r="C290" t="str">
            <v>四川大礼连连科技有限公司</v>
          </cell>
          <cell r="D290">
            <v>45838</v>
          </cell>
          <cell r="E290" t="str">
            <v>内蒙古</v>
          </cell>
        </row>
        <row r="291">
          <cell r="A291" t="str">
            <v>陶福亮</v>
          </cell>
          <cell r="B291" t="str">
            <v>01558</v>
          </cell>
          <cell r="C291" t="str">
            <v>山东时代蜂族营销策划有限公司</v>
          </cell>
          <cell r="D291">
            <v>45838</v>
          </cell>
          <cell r="E291" t="str">
            <v>山东</v>
          </cell>
        </row>
        <row r="292">
          <cell r="A292" t="str">
            <v>赵书强</v>
          </cell>
          <cell r="B292" t="str">
            <v>01566</v>
          </cell>
          <cell r="C292" t="str">
            <v>陕西蜂族科技有限公司</v>
          </cell>
          <cell r="D292">
            <v>45838</v>
          </cell>
          <cell r="E292" t="str">
            <v>陕西</v>
          </cell>
        </row>
        <row r="293">
          <cell r="A293" t="str">
            <v>孙杰梅</v>
          </cell>
          <cell r="B293" t="str">
            <v>01562</v>
          </cell>
          <cell r="C293" t="str">
            <v>四川大礼连连科技有限公司</v>
          </cell>
          <cell r="D293">
            <v>45838</v>
          </cell>
          <cell r="E293" t="str">
            <v>西南总部</v>
          </cell>
        </row>
        <row r="294">
          <cell r="A294" t="str">
            <v>周光辉</v>
          </cell>
          <cell r="B294" t="str">
            <v>01565</v>
          </cell>
          <cell r="C294" t="str">
            <v>四川大礼连连科技有限公司</v>
          </cell>
          <cell r="D294">
            <v>45836</v>
          </cell>
          <cell r="E294" t="str">
            <v>西南总部</v>
          </cell>
        </row>
        <row r="295">
          <cell r="A295" t="str">
            <v>任浩</v>
          </cell>
          <cell r="B295" t="str">
            <v>01557</v>
          </cell>
          <cell r="C295" t="str">
            <v>四川蜂起营销策划有限公司</v>
          </cell>
          <cell r="D295">
            <v>45836</v>
          </cell>
          <cell r="E295" t="str">
            <v>西南总部</v>
          </cell>
        </row>
        <row r="296">
          <cell r="A296" t="str">
            <v>张锦</v>
          </cell>
          <cell r="B296" t="str">
            <v>01556</v>
          </cell>
          <cell r="C296" t="str">
            <v>四川时代蜂族营销策划有限公司</v>
          </cell>
          <cell r="D296">
            <v>45836</v>
          </cell>
          <cell r="E296" t="str">
            <v>西南总部</v>
          </cell>
        </row>
        <row r="297">
          <cell r="A297" t="str">
            <v>刘政</v>
          </cell>
          <cell r="B297" t="str">
            <v>01561</v>
          </cell>
          <cell r="C297" t="str">
            <v>山东时代蜂族营销策划有限公司</v>
          </cell>
          <cell r="D297">
            <v>45836</v>
          </cell>
          <cell r="E297" t="str">
            <v>山东</v>
          </cell>
        </row>
        <row r="298">
          <cell r="A298" t="str">
            <v>张强2</v>
          </cell>
          <cell r="B298" t="str">
            <v>01550</v>
          </cell>
          <cell r="C298" t="str">
            <v>四川时代蜂族营销策划有限公司</v>
          </cell>
          <cell r="D298">
            <v>45833</v>
          </cell>
          <cell r="E298" t="str">
            <v>西南总部</v>
          </cell>
        </row>
        <row r="299">
          <cell r="A299" t="str">
            <v>马夕鹏</v>
          </cell>
          <cell r="B299" t="str">
            <v>01559</v>
          </cell>
          <cell r="C299" t="str">
            <v>四川大礼连连科技有限公司</v>
          </cell>
          <cell r="D299">
            <v>45833</v>
          </cell>
          <cell r="E299" t="str">
            <v>山西</v>
          </cell>
        </row>
        <row r="300">
          <cell r="A300" t="str">
            <v>闫磊</v>
          </cell>
          <cell r="B300" t="str">
            <v>01553</v>
          </cell>
          <cell r="C300" t="str">
            <v>山东时代蜂族营销策划有限公司</v>
          </cell>
          <cell r="D300">
            <v>45833</v>
          </cell>
          <cell r="E300" t="str">
            <v>山东</v>
          </cell>
        </row>
        <row r="301">
          <cell r="A301" t="str">
            <v>杜志国</v>
          </cell>
          <cell r="B301" t="str">
            <v>01549</v>
          </cell>
          <cell r="C301" t="str">
            <v>陕西蜂族科技有限公司</v>
          </cell>
          <cell r="D301">
            <v>45833</v>
          </cell>
          <cell r="E301" t="str">
            <v>陕西</v>
          </cell>
        </row>
        <row r="302">
          <cell r="A302" t="str">
            <v>王宇飞</v>
          </cell>
          <cell r="B302" t="str">
            <v>01555</v>
          </cell>
          <cell r="C302" t="str">
            <v>湖南时代蜂族营销策划有限公司</v>
          </cell>
          <cell r="D302">
            <v>45833</v>
          </cell>
          <cell r="E302" t="str">
            <v>湖南</v>
          </cell>
        </row>
        <row r="303">
          <cell r="A303" t="str">
            <v>黄章强</v>
          </cell>
          <cell r="B303" t="str">
            <v>01551</v>
          </cell>
          <cell r="C303" t="str">
            <v>四川大礼连连科技有限公司</v>
          </cell>
          <cell r="D303">
            <v>45832</v>
          </cell>
          <cell r="E303" t="str">
            <v>西南总部</v>
          </cell>
        </row>
        <row r="304">
          <cell r="A304" t="str">
            <v>陈立新</v>
          </cell>
          <cell r="B304" t="str">
            <v>01548</v>
          </cell>
          <cell r="C304" t="str">
            <v>陕西蜂族科技有限公司</v>
          </cell>
          <cell r="D304">
            <v>45831</v>
          </cell>
          <cell r="E304" t="str">
            <v>陕西</v>
          </cell>
        </row>
        <row r="305">
          <cell r="A305" t="str">
            <v>殷吉</v>
          </cell>
          <cell r="B305" t="str">
            <v>01547</v>
          </cell>
          <cell r="C305" t="str">
            <v>四川时代蜂族营销策划有限公司</v>
          </cell>
          <cell r="D305">
            <v>45830</v>
          </cell>
          <cell r="E305" t="str">
            <v>西南总部</v>
          </cell>
        </row>
        <row r="306">
          <cell r="A306" t="str">
            <v>赵安伟</v>
          </cell>
          <cell r="B306" t="str">
            <v>01544</v>
          </cell>
          <cell r="C306" t="str">
            <v>陕西蜂族科技有限公司</v>
          </cell>
          <cell r="D306">
            <v>45828</v>
          </cell>
          <cell r="E306" t="str">
            <v>陕西</v>
          </cell>
        </row>
        <row r="307">
          <cell r="A307" t="str">
            <v>陈相维</v>
          </cell>
          <cell r="B307" t="str">
            <v>01542</v>
          </cell>
          <cell r="C307" t="str">
            <v>四川时代蜂族营销策划有限公司</v>
          </cell>
          <cell r="D307">
            <v>45827</v>
          </cell>
          <cell r="E307" t="str">
            <v>西南总部</v>
          </cell>
        </row>
        <row r="308">
          <cell r="A308" t="str">
            <v>沈依婷</v>
          </cell>
          <cell r="B308" t="str">
            <v>01534</v>
          </cell>
          <cell r="C308" t="str">
            <v>湖南时代蜂族营销策划有限公司</v>
          </cell>
          <cell r="D308">
            <v>45826</v>
          </cell>
          <cell r="E308" t="str">
            <v>湖南</v>
          </cell>
        </row>
        <row r="309">
          <cell r="A309" t="str">
            <v>周毅涛</v>
          </cell>
          <cell r="B309" t="str">
            <v>01545</v>
          </cell>
          <cell r="C309" t="str">
            <v>河南蜜蜂族营销策划有限公司</v>
          </cell>
          <cell r="D309">
            <v>45826</v>
          </cell>
          <cell r="E309" t="str">
            <v>河南</v>
          </cell>
        </row>
        <row r="310">
          <cell r="A310" t="str">
            <v>陈建利</v>
          </cell>
          <cell r="B310" t="str">
            <v>01079</v>
          </cell>
          <cell r="C310" t="str">
            <v>四川时代蜂族营销策划有限公司</v>
          </cell>
          <cell r="D310">
            <v>45826</v>
          </cell>
          <cell r="E310" t="str">
            <v>西南总部</v>
          </cell>
        </row>
        <row r="311">
          <cell r="A311" t="str">
            <v>胡浩南</v>
          </cell>
          <cell r="B311" t="str">
            <v>01541</v>
          </cell>
          <cell r="C311" t="str">
            <v>四川时代蜂族营销策划有限公司</v>
          </cell>
          <cell r="D311">
            <v>45823</v>
          </cell>
          <cell r="E311" t="str">
            <v>西南总部</v>
          </cell>
        </row>
        <row r="312">
          <cell r="A312" t="str">
            <v>邢亚丹</v>
          </cell>
          <cell r="B312" t="str">
            <v>01535</v>
          </cell>
          <cell r="C312" t="str">
            <v>河南蜜蜂族营销策划有限公司</v>
          </cell>
          <cell r="D312">
            <v>45822</v>
          </cell>
          <cell r="E312" t="str">
            <v>河南</v>
          </cell>
        </row>
        <row r="313">
          <cell r="A313" t="str">
            <v>潘盼盼</v>
          </cell>
          <cell r="B313" t="str">
            <v>01529</v>
          </cell>
          <cell r="C313" t="str">
            <v>河南蜜蜂族营销策划有限公司</v>
          </cell>
          <cell r="D313">
            <v>45822</v>
          </cell>
          <cell r="E313" t="str">
            <v>河南</v>
          </cell>
        </row>
        <row r="314">
          <cell r="A314" t="str">
            <v>朱本兴</v>
          </cell>
          <cell r="B314" t="str">
            <v>01540</v>
          </cell>
          <cell r="C314" t="str">
            <v>四川时代蜂族营销策划有限公司</v>
          </cell>
          <cell r="D314">
            <v>45821</v>
          </cell>
          <cell r="E314" t="str">
            <v>西南总部</v>
          </cell>
        </row>
        <row r="315">
          <cell r="A315" t="str">
            <v>周凤</v>
          </cell>
          <cell r="B315" t="str">
            <v>01532</v>
          </cell>
          <cell r="C315" t="str">
            <v>四川时代蜂族营销策划有限公司</v>
          </cell>
          <cell r="D315">
            <v>45821</v>
          </cell>
          <cell r="E315" t="str">
            <v>西南总部</v>
          </cell>
        </row>
        <row r="316">
          <cell r="A316" t="str">
            <v>青琳琳</v>
          </cell>
          <cell r="B316" t="str">
            <v>01537</v>
          </cell>
          <cell r="C316" t="str">
            <v>湖北蜜蜂族房地产经纪有限公司</v>
          </cell>
          <cell r="D316">
            <v>45821</v>
          </cell>
          <cell r="E316" t="str">
            <v>湖北</v>
          </cell>
        </row>
        <row r="317">
          <cell r="A317" t="str">
            <v>贺京京</v>
          </cell>
          <cell r="B317" t="str">
            <v>01531</v>
          </cell>
          <cell r="C317" t="str">
            <v>四川时代蜂族营销策划有限公司</v>
          </cell>
          <cell r="D317">
            <v>45820</v>
          </cell>
          <cell r="E317" t="str">
            <v>山西</v>
          </cell>
        </row>
        <row r="318">
          <cell r="A318" t="str">
            <v>何佳乐</v>
          </cell>
          <cell r="B318" t="str">
            <v>01528</v>
          </cell>
          <cell r="C318" t="str">
            <v>陕西蜂族科技有限公司</v>
          </cell>
          <cell r="D318">
            <v>45820</v>
          </cell>
          <cell r="E318" t="str">
            <v>陕西</v>
          </cell>
        </row>
        <row r="319">
          <cell r="A319" t="str">
            <v>黄智虎</v>
          </cell>
          <cell r="B319" t="str">
            <v>01530</v>
          </cell>
          <cell r="C319" t="str">
            <v>四川时代蜂族营销策划有限公司</v>
          </cell>
          <cell r="D319">
            <v>45819</v>
          </cell>
          <cell r="E319" t="str">
            <v>河北</v>
          </cell>
        </row>
        <row r="320">
          <cell r="A320" t="str">
            <v>杨泽嘉</v>
          </cell>
          <cell r="B320" t="str">
            <v>01523</v>
          </cell>
          <cell r="C320" t="str">
            <v>四川时代蜂族营销策划有限公司</v>
          </cell>
          <cell r="D320">
            <v>45817</v>
          </cell>
          <cell r="E320" t="str">
            <v>西南总部</v>
          </cell>
        </row>
        <row r="321">
          <cell r="A321" t="str">
            <v>王博</v>
          </cell>
          <cell r="B321" t="str">
            <v>01522</v>
          </cell>
          <cell r="C321" t="str">
            <v>四川时代蜂族营销策划有限公司</v>
          </cell>
          <cell r="D321">
            <v>45817</v>
          </cell>
          <cell r="E321" t="str">
            <v>西南总部</v>
          </cell>
        </row>
        <row r="322">
          <cell r="A322" t="str">
            <v>张建华</v>
          </cell>
          <cell r="B322" t="str">
            <v>00293</v>
          </cell>
          <cell r="C322" t="str">
            <v>四川时代蜂族营销策划有限公司</v>
          </cell>
          <cell r="D322">
            <v>45817</v>
          </cell>
          <cell r="E322" t="str">
            <v>西南总部</v>
          </cell>
        </row>
        <row r="323">
          <cell r="A323" t="str">
            <v>黄哲</v>
          </cell>
          <cell r="B323" t="str">
            <v>01526</v>
          </cell>
          <cell r="C323" t="str">
            <v>陕西蜂族科技有限公司</v>
          </cell>
          <cell r="D323">
            <v>45817</v>
          </cell>
          <cell r="E323" t="str">
            <v>陕西</v>
          </cell>
        </row>
        <row r="324">
          <cell r="A324" t="str">
            <v>罗雨梅</v>
          </cell>
          <cell r="B324" t="str">
            <v>01521</v>
          </cell>
          <cell r="C324" t="str">
            <v>山东时代蜂族营销策划有限公司</v>
          </cell>
          <cell r="D324">
            <v>45817</v>
          </cell>
          <cell r="E324" t="str">
            <v>山东</v>
          </cell>
        </row>
        <row r="325">
          <cell r="A325" t="str">
            <v>谢泽光</v>
          </cell>
          <cell r="B325" t="str">
            <v>01524</v>
          </cell>
          <cell r="C325" t="str">
            <v>湖南时代蜂族营销策划有限公司</v>
          </cell>
          <cell r="D325">
            <v>45816</v>
          </cell>
          <cell r="E325" t="str">
            <v>湖南</v>
          </cell>
        </row>
        <row r="326">
          <cell r="A326" t="str">
            <v>文祥伙</v>
          </cell>
          <cell r="B326" t="str">
            <v>01525</v>
          </cell>
          <cell r="C326" t="str">
            <v>四川时代蜂族营销策划有限公司</v>
          </cell>
          <cell r="D326">
            <v>45815</v>
          </cell>
          <cell r="E326" t="str">
            <v>西南总部</v>
          </cell>
        </row>
        <row r="327">
          <cell r="A327" t="str">
            <v>尹年涛</v>
          </cell>
          <cell r="B327" t="str">
            <v>01517</v>
          </cell>
          <cell r="C327" t="str">
            <v>湖南时代蜂族营销策划有限公司</v>
          </cell>
          <cell r="D327">
            <v>45815</v>
          </cell>
          <cell r="E327" t="str">
            <v>湖南</v>
          </cell>
        </row>
        <row r="328">
          <cell r="A328" t="str">
            <v>潘俊峰</v>
          </cell>
          <cell r="B328" t="str">
            <v>01514</v>
          </cell>
          <cell r="C328" t="str">
            <v>四川时代蜂族营销策划有限公司</v>
          </cell>
          <cell r="D328">
            <v>45814</v>
          </cell>
          <cell r="E328" t="str">
            <v>西南总部</v>
          </cell>
        </row>
        <row r="329">
          <cell r="A329" t="str">
            <v>李萍</v>
          </cell>
          <cell r="B329" t="str">
            <v>01507</v>
          </cell>
          <cell r="C329" t="str">
            <v>四川时代蜂族营销策划有限公司</v>
          </cell>
          <cell r="D329">
            <v>45814</v>
          </cell>
          <cell r="E329" t="str">
            <v>西南总部</v>
          </cell>
        </row>
        <row r="330">
          <cell r="A330" t="str">
            <v>先波</v>
          </cell>
          <cell r="B330" t="str">
            <v>01512</v>
          </cell>
          <cell r="C330" t="str">
            <v>四川时代蜂族营销策划有限公司</v>
          </cell>
          <cell r="D330">
            <v>45812</v>
          </cell>
          <cell r="E330" t="str">
            <v>西南总部</v>
          </cell>
        </row>
        <row r="331">
          <cell r="A331" t="str">
            <v>龙鹏宇</v>
          </cell>
          <cell r="B331" t="str">
            <v>01505</v>
          </cell>
          <cell r="C331" t="str">
            <v>四川时代蜂族营销策划有限公司</v>
          </cell>
          <cell r="D331">
            <v>45812</v>
          </cell>
          <cell r="E331" t="str">
            <v>西南总部</v>
          </cell>
        </row>
        <row r="332">
          <cell r="A332" t="str">
            <v>王珊</v>
          </cell>
          <cell r="B332" t="str">
            <v>01503</v>
          </cell>
          <cell r="C332" t="str">
            <v>四川时代蜂族营销策划有限公司</v>
          </cell>
          <cell r="D332">
            <v>45810</v>
          </cell>
          <cell r="E332" t="str">
            <v>山西</v>
          </cell>
        </row>
        <row r="333">
          <cell r="A333" t="str">
            <v>杜鹏</v>
          </cell>
          <cell r="B333" t="str">
            <v>01501</v>
          </cell>
          <cell r="C333" t="str">
            <v>四川时代蜂族营销策划有限公司</v>
          </cell>
          <cell r="D333">
            <v>45804</v>
          </cell>
          <cell r="E333" t="str">
            <v>西南总部</v>
          </cell>
        </row>
        <row r="334">
          <cell r="A334" t="str">
            <v>田丰</v>
          </cell>
          <cell r="B334" t="str">
            <v>01500</v>
          </cell>
          <cell r="C334" t="str">
            <v>四川时代蜂族营销策划有限公司</v>
          </cell>
          <cell r="D334">
            <v>45804</v>
          </cell>
          <cell r="E334" t="str">
            <v>西南总部</v>
          </cell>
        </row>
        <row r="335">
          <cell r="A335" t="str">
            <v>王思</v>
          </cell>
          <cell r="B335" t="str">
            <v>01493</v>
          </cell>
          <cell r="C335" t="str">
            <v>四川优诺通瑞商贸有限公司</v>
          </cell>
          <cell r="D335">
            <v>45803</v>
          </cell>
          <cell r="E335" t="str">
            <v>西南总部</v>
          </cell>
        </row>
        <row r="336">
          <cell r="A336" t="str">
            <v>郭川雄</v>
          </cell>
          <cell r="B336" t="str">
            <v>01492</v>
          </cell>
          <cell r="C336" t="str">
            <v>四川时代蜂族营销策划有限公司</v>
          </cell>
          <cell r="D336">
            <v>45803</v>
          </cell>
          <cell r="E336" t="str">
            <v>西南总部</v>
          </cell>
        </row>
        <row r="337">
          <cell r="A337" t="str">
            <v>唐磊</v>
          </cell>
          <cell r="B337" t="str">
            <v>01498</v>
          </cell>
          <cell r="C337" t="str">
            <v>四川时代蜂族营销策划有限公司</v>
          </cell>
          <cell r="D337">
            <v>45800</v>
          </cell>
          <cell r="E337" t="str">
            <v>西南总部</v>
          </cell>
        </row>
        <row r="338">
          <cell r="A338" t="str">
            <v>李嘉恒</v>
          </cell>
          <cell r="B338" t="str">
            <v>01490</v>
          </cell>
          <cell r="C338" t="str">
            <v>陕西蜂族科技有限公司</v>
          </cell>
          <cell r="D338">
            <v>45798</v>
          </cell>
          <cell r="E338" t="str">
            <v>陕西</v>
          </cell>
        </row>
        <row r="339">
          <cell r="A339" t="str">
            <v>彭红燕</v>
          </cell>
          <cell r="B339" t="str">
            <v>01497</v>
          </cell>
          <cell r="C339" t="str">
            <v>山西时代蜂族房地产经纪有限公司</v>
          </cell>
          <cell r="D339">
            <v>45798</v>
          </cell>
          <cell r="E339" t="str">
            <v>山西</v>
          </cell>
        </row>
        <row r="340">
          <cell r="A340" t="str">
            <v>田森</v>
          </cell>
          <cell r="B340" t="str">
            <v>01489</v>
          </cell>
          <cell r="C340" t="str">
            <v>陕西蜂族科技有限公司</v>
          </cell>
          <cell r="D340">
            <v>45796</v>
          </cell>
          <cell r="E340" t="str">
            <v>陕西</v>
          </cell>
        </row>
        <row r="341">
          <cell r="A341" t="str">
            <v>陈帅2</v>
          </cell>
          <cell r="B341" t="str">
            <v>01488</v>
          </cell>
          <cell r="C341" t="str">
            <v>四川时代蜂族营销策划有限公司</v>
          </cell>
          <cell r="D341">
            <v>45794</v>
          </cell>
          <cell r="E341" t="str">
            <v>西南总部</v>
          </cell>
        </row>
        <row r="342">
          <cell r="A342" t="str">
            <v>胡飞翔</v>
          </cell>
          <cell r="B342" t="str">
            <v>01482</v>
          </cell>
          <cell r="C342" t="str">
            <v>陕西蜂族科技有限公司</v>
          </cell>
          <cell r="D342">
            <v>45792</v>
          </cell>
          <cell r="E342" t="str">
            <v>陕西</v>
          </cell>
        </row>
        <row r="343">
          <cell r="A343" t="str">
            <v>文东林</v>
          </cell>
          <cell r="B343" t="str">
            <v>01480</v>
          </cell>
          <cell r="C343" t="str">
            <v>四川时代蜂族营销策划有限公司</v>
          </cell>
          <cell r="D343">
            <v>45791</v>
          </cell>
          <cell r="E343" t="str">
            <v>湖北</v>
          </cell>
        </row>
        <row r="344">
          <cell r="A344" t="str">
            <v>李祥春</v>
          </cell>
          <cell r="B344" t="str">
            <v>01481</v>
          </cell>
          <cell r="C344" t="str">
            <v>山东时代蜂族营销策划有限公司</v>
          </cell>
          <cell r="D344">
            <v>45791</v>
          </cell>
          <cell r="E344" t="str">
            <v>山东</v>
          </cell>
        </row>
        <row r="345">
          <cell r="A345" t="str">
            <v>邓颖</v>
          </cell>
          <cell r="B345" t="str">
            <v>01477</v>
          </cell>
          <cell r="C345" t="str">
            <v>四川时代蜂族营销策划有限公司</v>
          </cell>
          <cell r="D345">
            <v>45790</v>
          </cell>
          <cell r="E345" t="str">
            <v>西南总部</v>
          </cell>
        </row>
        <row r="346">
          <cell r="A346" t="str">
            <v>方倩倩</v>
          </cell>
          <cell r="B346" t="str">
            <v>01473</v>
          </cell>
          <cell r="C346" t="str">
            <v>陕西蜂族科技有限公司</v>
          </cell>
          <cell r="D346">
            <v>45790</v>
          </cell>
          <cell r="E346" t="str">
            <v>陕西</v>
          </cell>
        </row>
        <row r="347">
          <cell r="A347" t="str">
            <v>罗艳</v>
          </cell>
          <cell r="B347" t="str">
            <v>01485</v>
          </cell>
          <cell r="C347" t="str">
            <v>四川时代蜂族营销策划有限公司</v>
          </cell>
          <cell r="D347">
            <v>45790</v>
          </cell>
          <cell r="E347" t="str">
            <v>西南总部</v>
          </cell>
        </row>
        <row r="348">
          <cell r="A348" t="str">
            <v>杨涛2</v>
          </cell>
          <cell r="B348" t="str">
            <v>01476</v>
          </cell>
          <cell r="C348" t="str">
            <v>河北时代蜂族营销策划有限公司</v>
          </cell>
          <cell r="D348">
            <v>45790</v>
          </cell>
          <cell r="E348" t="str">
            <v>河北</v>
          </cell>
        </row>
        <row r="349">
          <cell r="A349" t="str">
            <v>杨瑞玲</v>
          </cell>
          <cell r="B349" t="str">
            <v>01472</v>
          </cell>
          <cell r="C349" t="str">
            <v>山东时代蜂族营销策划有限公司</v>
          </cell>
          <cell r="D349">
            <v>45784</v>
          </cell>
          <cell r="E349" t="str">
            <v>山东</v>
          </cell>
        </row>
        <row r="350">
          <cell r="A350" t="str">
            <v>唐笑麟</v>
          </cell>
          <cell r="B350" t="str">
            <v>00823</v>
          </cell>
          <cell r="C350" t="str">
            <v>陕西蜂族科技有限公司</v>
          </cell>
          <cell r="D350">
            <v>45782</v>
          </cell>
          <cell r="E350" t="str">
            <v>陕西</v>
          </cell>
        </row>
        <row r="351">
          <cell r="A351" t="str">
            <v>马杰</v>
          </cell>
          <cell r="B351" t="str">
            <v>01467</v>
          </cell>
          <cell r="C351" t="str">
            <v>湖北蜜蜂族房地产经纪有限公司</v>
          </cell>
          <cell r="D351">
            <v>45778</v>
          </cell>
          <cell r="E351" t="str">
            <v>湖北</v>
          </cell>
        </row>
        <row r="352">
          <cell r="A352" t="str">
            <v>秦秀莉</v>
          </cell>
          <cell r="B352" t="str">
            <v>01459</v>
          </cell>
          <cell r="C352" t="str">
            <v>四川蜂起营销策划有限公司</v>
          </cell>
          <cell r="D352">
            <v>45772</v>
          </cell>
          <cell r="E352" t="str">
            <v>西南总部</v>
          </cell>
        </row>
        <row r="353">
          <cell r="A353" t="str">
            <v>李红婷</v>
          </cell>
          <cell r="B353" t="str">
            <v>01460</v>
          </cell>
          <cell r="C353" t="str">
            <v>山西时代蜂族房地产经纪有限公司</v>
          </cell>
          <cell r="D353">
            <v>45772</v>
          </cell>
          <cell r="E353" t="str">
            <v>山西</v>
          </cell>
        </row>
        <row r="354">
          <cell r="A354" t="str">
            <v>罗加艺</v>
          </cell>
          <cell r="B354" t="str">
            <v>01455</v>
          </cell>
          <cell r="C354" t="str">
            <v>四川时代蜂族营销策划有限公司</v>
          </cell>
          <cell r="D354">
            <v>45768</v>
          </cell>
          <cell r="E354" t="str">
            <v>西南总部</v>
          </cell>
        </row>
        <row r="355">
          <cell r="A355" t="str">
            <v>赵斌</v>
          </cell>
          <cell r="B355" t="str">
            <v>01465</v>
          </cell>
          <cell r="C355" t="str">
            <v>四川时代蜂族营销策划有限公司</v>
          </cell>
          <cell r="D355">
            <v>45768</v>
          </cell>
          <cell r="E355" t="str">
            <v>西南总部</v>
          </cell>
        </row>
        <row r="356">
          <cell r="A356" t="str">
            <v>李玥瑞</v>
          </cell>
          <cell r="B356" t="str">
            <v>00780</v>
          </cell>
          <cell r="C356" t="str">
            <v>陕西蜂族科技有限公司</v>
          </cell>
          <cell r="D356">
            <v>45764</v>
          </cell>
          <cell r="E356" t="str">
            <v>陕西</v>
          </cell>
        </row>
        <row r="357">
          <cell r="A357" t="str">
            <v>米贞东</v>
          </cell>
          <cell r="B357" t="str">
            <v>01440</v>
          </cell>
          <cell r="C357" t="str">
            <v>四川时代蜂族营销策划有限公司</v>
          </cell>
          <cell r="D357">
            <v>45764</v>
          </cell>
          <cell r="E357" t="str">
            <v>西南总部</v>
          </cell>
        </row>
        <row r="358">
          <cell r="A358" t="str">
            <v>李晓莉</v>
          </cell>
          <cell r="B358" t="str">
            <v>00583</v>
          </cell>
          <cell r="C358" t="str">
            <v>陕西蜂族科技有限公司</v>
          </cell>
          <cell r="D358">
            <v>45763</v>
          </cell>
          <cell r="E358" t="str">
            <v>陕西</v>
          </cell>
        </row>
        <row r="359">
          <cell r="A359" t="str">
            <v>唐超</v>
          </cell>
          <cell r="B359" t="str">
            <v>01449</v>
          </cell>
          <cell r="C359" t="str">
            <v>四川时代蜂族营销策划有限公司</v>
          </cell>
          <cell r="D359">
            <v>45763</v>
          </cell>
          <cell r="E359" t="str">
            <v>西南总部</v>
          </cell>
        </row>
        <row r="360">
          <cell r="A360" t="str">
            <v>郑雄</v>
          </cell>
          <cell r="B360" t="str">
            <v>01456</v>
          </cell>
          <cell r="C360" t="str">
            <v>四川时代蜂族营销策划有限公司</v>
          </cell>
          <cell r="D360">
            <v>45763</v>
          </cell>
          <cell r="E360" t="str">
            <v>西南总部</v>
          </cell>
        </row>
        <row r="361">
          <cell r="A361" t="str">
            <v>邹春梅</v>
          </cell>
          <cell r="B361" t="str">
            <v>01431</v>
          </cell>
          <cell r="C361" t="str">
            <v>陕西蜂族科技有限公司</v>
          </cell>
          <cell r="D361">
            <v>45761</v>
          </cell>
          <cell r="E361" t="str">
            <v>陕西</v>
          </cell>
        </row>
        <row r="362">
          <cell r="A362" t="str">
            <v>李蓉</v>
          </cell>
          <cell r="B362" t="str">
            <v>01441</v>
          </cell>
          <cell r="C362" t="str">
            <v>四川时代蜂族营销策划有限公司</v>
          </cell>
          <cell r="D362">
            <v>45760</v>
          </cell>
          <cell r="E362" t="str">
            <v>西南总部</v>
          </cell>
        </row>
        <row r="363">
          <cell r="A363" t="str">
            <v>李欣荣</v>
          </cell>
          <cell r="B363" t="str">
            <v>00129</v>
          </cell>
          <cell r="C363" t="str">
            <v>陕西蜂族科技有限公司</v>
          </cell>
          <cell r="D363">
            <v>45757</v>
          </cell>
          <cell r="E363" t="str">
            <v>陕西</v>
          </cell>
        </row>
        <row r="364">
          <cell r="A364" t="str">
            <v>陈胤</v>
          </cell>
          <cell r="B364" t="str">
            <v>01444</v>
          </cell>
          <cell r="C364" t="str">
            <v>四川时代蜂族营销策划有限公司</v>
          </cell>
          <cell r="D364">
            <v>45756</v>
          </cell>
          <cell r="E364" t="str">
            <v>西南总部</v>
          </cell>
        </row>
        <row r="365">
          <cell r="A365" t="str">
            <v>黄齐勇</v>
          </cell>
          <cell r="B365" t="str">
            <v>01428</v>
          </cell>
          <cell r="C365" t="str">
            <v>湖北蜜蜂族房地产经纪有限公司</v>
          </cell>
          <cell r="D365">
            <v>45755</v>
          </cell>
          <cell r="E365" t="str">
            <v>湖北</v>
          </cell>
        </row>
        <row r="366">
          <cell r="A366" t="str">
            <v>冉洪</v>
          </cell>
          <cell r="B366" t="str">
            <v>01426</v>
          </cell>
          <cell r="C366" t="str">
            <v>四川时代蜂族营销策划有限公司</v>
          </cell>
          <cell r="D366">
            <v>45754</v>
          </cell>
          <cell r="E366" t="str">
            <v>西南总部</v>
          </cell>
        </row>
        <row r="367">
          <cell r="A367" t="str">
            <v>梁辉武</v>
          </cell>
          <cell r="B367" t="str">
            <v>01427</v>
          </cell>
          <cell r="C367" t="str">
            <v>湖北蜜蜂族房地产经纪有限公司</v>
          </cell>
          <cell r="D367">
            <v>45754</v>
          </cell>
          <cell r="E367" t="str">
            <v>湖北</v>
          </cell>
        </row>
        <row r="368">
          <cell r="A368" t="str">
            <v>肖翠</v>
          </cell>
          <cell r="B368" t="str">
            <v>01424</v>
          </cell>
          <cell r="C368" t="str">
            <v>湖北蜜蜂族房地产经纪有限公司</v>
          </cell>
          <cell r="D368">
            <v>45754</v>
          </cell>
          <cell r="E368" t="str">
            <v>湖北</v>
          </cell>
        </row>
        <row r="369">
          <cell r="A369" t="str">
            <v>孙智港</v>
          </cell>
          <cell r="B369" t="str">
            <v>01423</v>
          </cell>
          <cell r="C369" t="str">
            <v>四川时代蜂族营销策划有限公司</v>
          </cell>
          <cell r="D369">
            <v>45749</v>
          </cell>
          <cell r="E369" t="str">
            <v>内蒙古</v>
          </cell>
        </row>
        <row r="370">
          <cell r="A370" t="str">
            <v>蔡凤军</v>
          </cell>
          <cell r="B370" t="str">
            <v>01425</v>
          </cell>
          <cell r="C370" t="str">
            <v>四川时代蜂族营销策划有限公司</v>
          </cell>
          <cell r="D370">
            <v>45749</v>
          </cell>
          <cell r="E370" t="str">
            <v>西南总部</v>
          </cell>
        </row>
        <row r="371">
          <cell r="A371" t="str">
            <v>刘宇3</v>
          </cell>
          <cell r="B371" t="str">
            <v>01429</v>
          </cell>
          <cell r="C371" t="str">
            <v>四川时代蜂族营销策划有限公司</v>
          </cell>
          <cell r="D371">
            <v>45748</v>
          </cell>
          <cell r="E371" t="str">
            <v>西南总部</v>
          </cell>
        </row>
        <row r="372">
          <cell r="A372" t="str">
            <v>卢照明</v>
          </cell>
          <cell r="B372" t="str">
            <v>01407</v>
          </cell>
          <cell r="C372" t="str">
            <v>湖北蜜蜂族房地产经纪有限公司</v>
          </cell>
          <cell r="D372">
            <v>45747</v>
          </cell>
          <cell r="E372" t="str">
            <v>湖北</v>
          </cell>
        </row>
        <row r="373">
          <cell r="A373" t="str">
            <v>李强</v>
          </cell>
          <cell r="B373" t="str">
            <v>01422</v>
          </cell>
          <cell r="C373" t="str">
            <v>陕西蜂族科技有限公司</v>
          </cell>
          <cell r="D373">
            <v>45747</v>
          </cell>
          <cell r="E373" t="str">
            <v>陕西</v>
          </cell>
        </row>
        <row r="374">
          <cell r="A374" t="str">
            <v>李裕楷</v>
          </cell>
          <cell r="B374" t="str">
            <v>01412</v>
          </cell>
          <cell r="C374" t="str">
            <v>四川时代蜂族营销策划有限公司</v>
          </cell>
          <cell r="D374">
            <v>45747</v>
          </cell>
          <cell r="E374" t="str">
            <v>内蒙古</v>
          </cell>
        </row>
        <row r="375">
          <cell r="A375" t="str">
            <v>陈文吉</v>
          </cell>
          <cell r="B375" t="str">
            <v>01415</v>
          </cell>
          <cell r="C375" t="str">
            <v>湖南时代蜂族营销策划有限公司</v>
          </cell>
          <cell r="D375">
            <v>45746</v>
          </cell>
          <cell r="E375" t="str">
            <v>湖南</v>
          </cell>
        </row>
        <row r="376">
          <cell r="A376" t="str">
            <v>龙世锋</v>
          </cell>
          <cell r="B376" t="str">
            <v>01411</v>
          </cell>
          <cell r="C376" t="str">
            <v>湖南时代蜂族营销策划有限公司</v>
          </cell>
          <cell r="D376">
            <v>45743</v>
          </cell>
          <cell r="E376" t="str">
            <v>湖南</v>
          </cell>
        </row>
        <row r="377">
          <cell r="A377" t="str">
            <v>顾大局</v>
          </cell>
          <cell r="B377" t="str">
            <v>01421</v>
          </cell>
          <cell r="C377" t="str">
            <v>河南蜜蜂族营销策划有限公司</v>
          </cell>
          <cell r="D377">
            <v>45743</v>
          </cell>
          <cell r="E377" t="str">
            <v>河南</v>
          </cell>
        </row>
        <row r="378">
          <cell r="A378" t="str">
            <v>朱阳</v>
          </cell>
          <cell r="B378" t="str">
            <v>01408</v>
          </cell>
          <cell r="C378" t="str">
            <v>湖北蜜蜂族房地产经纪有限公司</v>
          </cell>
          <cell r="D378">
            <v>45743</v>
          </cell>
          <cell r="E378" t="str">
            <v>湖北</v>
          </cell>
        </row>
        <row r="379">
          <cell r="A379" t="str">
            <v>何丽2</v>
          </cell>
          <cell r="B379" t="str">
            <v>01410</v>
          </cell>
          <cell r="C379" t="str">
            <v>四川时代蜂族营销策划有限公司</v>
          </cell>
          <cell r="D379">
            <v>45741</v>
          </cell>
          <cell r="E379" t="str">
            <v>西南总部</v>
          </cell>
        </row>
        <row r="380">
          <cell r="A380" t="str">
            <v>田保山</v>
          </cell>
          <cell r="B380" t="str">
            <v>01400</v>
          </cell>
          <cell r="C380" t="str">
            <v>湖北蜜蜂族房地产经纪有限公司</v>
          </cell>
          <cell r="D380">
            <v>45740</v>
          </cell>
          <cell r="E380" t="str">
            <v>西南总部</v>
          </cell>
        </row>
        <row r="381">
          <cell r="A381" t="str">
            <v>李文迪</v>
          </cell>
          <cell r="B381" t="str">
            <v>01404</v>
          </cell>
          <cell r="C381" t="str">
            <v>湖北蜜蜂族房地产经纪有限公司</v>
          </cell>
          <cell r="D381">
            <v>45740</v>
          </cell>
          <cell r="E381" t="str">
            <v>湖北</v>
          </cell>
        </row>
        <row r="382">
          <cell r="A382" t="str">
            <v>江俊宏</v>
          </cell>
          <cell r="B382" t="str">
            <v>01405</v>
          </cell>
          <cell r="C382" t="str">
            <v>四川时代蜂族营销策划有限公司</v>
          </cell>
          <cell r="D382">
            <v>45738</v>
          </cell>
          <cell r="E382" t="str">
            <v>西南总部</v>
          </cell>
        </row>
        <row r="383">
          <cell r="A383" t="str">
            <v>黄雯霞</v>
          </cell>
          <cell r="B383" t="str">
            <v>01403</v>
          </cell>
          <cell r="C383" t="str">
            <v>四川时代蜂族营销策划有限公司</v>
          </cell>
          <cell r="D383">
            <v>45738</v>
          </cell>
          <cell r="E383" t="str">
            <v>西南总部</v>
          </cell>
        </row>
        <row r="384">
          <cell r="A384" t="str">
            <v>朱小英</v>
          </cell>
          <cell r="B384" t="str">
            <v>01398</v>
          </cell>
          <cell r="C384" t="str">
            <v>四川时代蜂族营销策划有限公司</v>
          </cell>
          <cell r="D384">
            <v>45738</v>
          </cell>
          <cell r="E384" t="str">
            <v>西南总部</v>
          </cell>
        </row>
        <row r="385">
          <cell r="A385" t="str">
            <v>罗施宇</v>
          </cell>
          <cell r="B385" t="str">
            <v>01402</v>
          </cell>
          <cell r="C385" t="str">
            <v>四川时代蜂族营销策划有限公司</v>
          </cell>
          <cell r="D385">
            <v>45737</v>
          </cell>
          <cell r="E385" t="str">
            <v>辽宁</v>
          </cell>
        </row>
        <row r="386">
          <cell r="A386" t="str">
            <v>栾俊山</v>
          </cell>
          <cell r="B386" t="str">
            <v>01396</v>
          </cell>
          <cell r="C386" t="str">
            <v>湖北蜜蜂族房地产经纪有限公司</v>
          </cell>
          <cell r="D386">
            <v>45736</v>
          </cell>
          <cell r="E386" t="str">
            <v>西南总部</v>
          </cell>
        </row>
        <row r="387">
          <cell r="A387" t="str">
            <v>龚灵波</v>
          </cell>
          <cell r="B387" t="str">
            <v>01390</v>
          </cell>
          <cell r="C387" t="str">
            <v>湖南时代蜂族营销策划有限公司</v>
          </cell>
          <cell r="D387">
            <v>45734</v>
          </cell>
          <cell r="E387" t="str">
            <v>湖南</v>
          </cell>
        </row>
        <row r="388">
          <cell r="A388" t="str">
            <v>张存瑞</v>
          </cell>
          <cell r="B388" t="str">
            <v>01392</v>
          </cell>
          <cell r="C388" t="str">
            <v>湖南时代蜂族营销策划有限公司</v>
          </cell>
          <cell r="D388">
            <v>45733</v>
          </cell>
          <cell r="E388" t="str">
            <v>湖南</v>
          </cell>
        </row>
        <row r="389">
          <cell r="A389" t="str">
            <v>侯艺鹏</v>
          </cell>
          <cell r="B389" t="str">
            <v>01388</v>
          </cell>
          <cell r="C389" t="str">
            <v>陕西蜂族科技有限公司</v>
          </cell>
          <cell r="D389">
            <v>45730</v>
          </cell>
          <cell r="E389" t="str">
            <v>陕西</v>
          </cell>
        </row>
        <row r="390">
          <cell r="A390" t="str">
            <v>廖可</v>
          </cell>
          <cell r="B390" t="str">
            <v>01386</v>
          </cell>
          <cell r="C390" t="str">
            <v>四川时代蜂族营销策划有限公司</v>
          </cell>
          <cell r="D390">
            <v>45729</v>
          </cell>
          <cell r="E390" t="str">
            <v>西南总部</v>
          </cell>
        </row>
        <row r="391">
          <cell r="A391" t="str">
            <v>董常兆</v>
          </cell>
          <cell r="B391" t="str">
            <v>01383</v>
          </cell>
          <cell r="C391" t="str">
            <v>四川时代蜂族营销策划有限公司</v>
          </cell>
          <cell r="D391">
            <v>45727</v>
          </cell>
          <cell r="E391" t="str">
            <v>西南总部</v>
          </cell>
        </row>
        <row r="392">
          <cell r="A392" t="str">
            <v>刘余芳</v>
          </cell>
          <cell r="B392" t="str">
            <v>01380</v>
          </cell>
          <cell r="C392" t="str">
            <v>四川时代蜂族营销策划有限公司</v>
          </cell>
          <cell r="D392">
            <v>45724</v>
          </cell>
          <cell r="E392" t="str">
            <v>西南总部</v>
          </cell>
        </row>
        <row r="393">
          <cell r="A393" t="str">
            <v>鲜贵强</v>
          </cell>
          <cell r="B393" t="str">
            <v>01381</v>
          </cell>
          <cell r="C393" t="str">
            <v>四川时代蜂族营销策划有限公司</v>
          </cell>
          <cell r="D393">
            <v>45723</v>
          </cell>
          <cell r="E393" t="str">
            <v>西南总部</v>
          </cell>
        </row>
        <row r="394">
          <cell r="A394" t="str">
            <v>霍雪毅</v>
          </cell>
          <cell r="B394" t="str">
            <v>01374</v>
          </cell>
          <cell r="C394" t="str">
            <v>四川时代蜂族营销策划有限公司</v>
          </cell>
          <cell r="D394">
            <v>45723</v>
          </cell>
          <cell r="E394" t="str">
            <v>西南总部</v>
          </cell>
        </row>
        <row r="395">
          <cell r="A395" t="str">
            <v>胡信</v>
          </cell>
          <cell r="B395" t="str">
            <v>01369</v>
          </cell>
          <cell r="C395" t="str">
            <v>四川时代蜂族营销策划有限公司</v>
          </cell>
          <cell r="D395">
            <v>45722</v>
          </cell>
          <cell r="E395" t="str">
            <v>西南总部</v>
          </cell>
        </row>
        <row r="396">
          <cell r="A396" t="str">
            <v>黄鹏</v>
          </cell>
          <cell r="B396" t="str">
            <v>01382</v>
          </cell>
          <cell r="C396" t="str">
            <v>四川时代蜂族营销策划有限公司</v>
          </cell>
          <cell r="D396">
            <v>45722</v>
          </cell>
          <cell r="E396" t="str">
            <v>西南总部</v>
          </cell>
        </row>
        <row r="397">
          <cell r="A397" t="str">
            <v>赵梦妤</v>
          </cell>
          <cell r="B397" t="str">
            <v>01370</v>
          </cell>
          <cell r="C397" t="str">
            <v>四川时代蜂族营销策划有限公司</v>
          </cell>
          <cell r="D397">
            <v>45721</v>
          </cell>
          <cell r="E397" t="str">
            <v>山西</v>
          </cell>
        </row>
        <row r="398">
          <cell r="A398" t="str">
            <v>李杰2</v>
          </cell>
          <cell r="B398" t="str">
            <v>01379</v>
          </cell>
          <cell r="C398" t="str">
            <v>湖北蜜蜂族房地产经纪有限公司</v>
          </cell>
          <cell r="D398">
            <v>45719</v>
          </cell>
          <cell r="E398" t="str">
            <v>湖北</v>
          </cell>
        </row>
        <row r="399">
          <cell r="A399" t="str">
            <v>张松</v>
          </cell>
          <cell r="B399" t="str">
            <v>01357</v>
          </cell>
          <cell r="C399" t="str">
            <v>陕西蜂族科技有限公司</v>
          </cell>
          <cell r="D399">
            <v>45718</v>
          </cell>
          <cell r="E399" t="str">
            <v>陕西</v>
          </cell>
        </row>
        <row r="400">
          <cell r="A400" t="str">
            <v>李世豪</v>
          </cell>
          <cell r="B400" t="str">
            <v>01362</v>
          </cell>
          <cell r="C400" t="str">
            <v>湖北蜜蜂族房地产经纪有限公司</v>
          </cell>
          <cell r="D400">
            <v>45717</v>
          </cell>
          <cell r="E400" t="str">
            <v>湖北</v>
          </cell>
        </row>
        <row r="401">
          <cell r="A401" t="str">
            <v>黄理明</v>
          </cell>
          <cell r="B401" t="str">
            <v>01353</v>
          </cell>
          <cell r="C401" t="str">
            <v>湖南时代蜂族营销策划有限公司</v>
          </cell>
          <cell r="D401">
            <v>45715</v>
          </cell>
          <cell r="E401" t="str">
            <v>湖南</v>
          </cell>
        </row>
        <row r="402">
          <cell r="A402" t="str">
            <v>李浩</v>
          </cell>
          <cell r="B402" t="str">
            <v>01375</v>
          </cell>
          <cell r="C402" t="str">
            <v>山西时代蜂族房地产经纪有限公司</v>
          </cell>
          <cell r="D402">
            <v>45715</v>
          </cell>
          <cell r="E402" t="str">
            <v>山西</v>
          </cell>
        </row>
        <row r="403">
          <cell r="A403" t="str">
            <v>何军辉</v>
          </cell>
          <cell r="B403" t="str">
            <v>01356</v>
          </cell>
          <cell r="C403" t="str">
            <v>四川时代蜂族营销策划有限公司</v>
          </cell>
          <cell r="D403">
            <v>45714</v>
          </cell>
          <cell r="E403" t="str">
            <v>西南总部</v>
          </cell>
        </row>
        <row r="404">
          <cell r="A404" t="str">
            <v>赵伟</v>
          </cell>
          <cell r="B404" t="str">
            <v>01365</v>
          </cell>
          <cell r="C404" t="str">
            <v>四川时代蜂族营销策划有限公司</v>
          </cell>
          <cell r="D404">
            <v>45713</v>
          </cell>
          <cell r="E404" t="str">
            <v>西南总部</v>
          </cell>
        </row>
        <row r="405">
          <cell r="A405" t="str">
            <v>陈天东</v>
          </cell>
          <cell r="B405" t="str">
            <v>01364</v>
          </cell>
          <cell r="C405" t="str">
            <v>湖南时代蜂族营销策划有限公司</v>
          </cell>
          <cell r="D405">
            <v>45712</v>
          </cell>
          <cell r="E405" t="str">
            <v>湖南</v>
          </cell>
        </row>
        <row r="406">
          <cell r="A406" t="str">
            <v>夏明珠</v>
          </cell>
          <cell r="B406" t="str">
            <v>01347</v>
          </cell>
          <cell r="C406" t="str">
            <v>四川大礼连连科技有限公司</v>
          </cell>
          <cell r="D406">
            <v>45712</v>
          </cell>
          <cell r="E406" t="str">
            <v>西南总部</v>
          </cell>
        </row>
        <row r="407">
          <cell r="A407" t="str">
            <v>闫亚豪</v>
          </cell>
          <cell r="B407" t="str">
            <v>01352</v>
          </cell>
          <cell r="C407" t="str">
            <v>湖南时代蜂族营销策划有限公司</v>
          </cell>
          <cell r="D407">
            <v>45711</v>
          </cell>
          <cell r="E407" t="str">
            <v>湖南</v>
          </cell>
        </row>
        <row r="408">
          <cell r="A408" t="str">
            <v>司思</v>
          </cell>
          <cell r="B408" t="str">
            <v>01339</v>
          </cell>
          <cell r="C408" t="str">
            <v>山东时代蜂族营销策划有限公司</v>
          </cell>
          <cell r="D408">
            <v>45709</v>
          </cell>
          <cell r="E408" t="str">
            <v>山东</v>
          </cell>
        </row>
        <row r="409">
          <cell r="A409" t="str">
            <v>陈诗洋</v>
          </cell>
          <cell r="B409" t="str">
            <v>01348</v>
          </cell>
          <cell r="C409" t="str">
            <v>四川时代蜂族营销策划有限公司</v>
          </cell>
          <cell r="D409">
            <v>45709</v>
          </cell>
          <cell r="E409" t="str">
            <v>西南总部</v>
          </cell>
        </row>
        <row r="410">
          <cell r="A410" t="str">
            <v>陈文娟</v>
          </cell>
          <cell r="B410" t="str">
            <v>01338</v>
          </cell>
          <cell r="C410" t="str">
            <v>四川时代蜂族营销策划有限公司</v>
          </cell>
          <cell r="D410">
            <v>45709</v>
          </cell>
          <cell r="E410" t="str">
            <v>西南总部</v>
          </cell>
        </row>
        <row r="411">
          <cell r="A411" t="str">
            <v>李杰</v>
          </cell>
          <cell r="B411" t="str">
            <v>01345</v>
          </cell>
          <cell r="C411" t="str">
            <v>四川时代蜂族营销策划有限公司</v>
          </cell>
          <cell r="D411">
            <v>45708</v>
          </cell>
          <cell r="E411" t="str">
            <v>西南总部</v>
          </cell>
        </row>
        <row r="412">
          <cell r="A412" t="str">
            <v>唐晋康</v>
          </cell>
          <cell r="B412" t="str">
            <v>01333</v>
          </cell>
          <cell r="C412" t="str">
            <v>山西时代蜂族房地产经纪有限公司</v>
          </cell>
          <cell r="D412">
            <v>45708</v>
          </cell>
          <cell r="E412" t="str">
            <v>西南总部</v>
          </cell>
        </row>
        <row r="413">
          <cell r="A413" t="str">
            <v>刘琴</v>
          </cell>
          <cell r="B413" t="str">
            <v>01350</v>
          </cell>
          <cell r="C413" t="str">
            <v>四川时代蜂族营销策划有限公司</v>
          </cell>
          <cell r="D413">
            <v>45708</v>
          </cell>
          <cell r="E413" t="str">
            <v>辽宁</v>
          </cell>
        </row>
        <row r="414">
          <cell r="A414" t="str">
            <v>李世靖</v>
          </cell>
          <cell r="B414" t="str">
            <v>01335</v>
          </cell>
          <cell r="C414" t="str">
            <v>四川时代蜂族营销策划有限公司</v>
          </cell>
          <cell r="D414">
            <v>45707</v>
          </cell>
          <cell r="E414" t="str">
            <v>河北</v>
          </cell>
        </row>
        <row r="415">
          <cell r="A415" t="str">
            <v>陈亮</v>
          </cell>
          <cell r="B415" t="str">
            <v>01320</v>
          </cell>
          <cell r="C415" t="str">
            <v>湖北蜜蜂族房地产经纪有限公司</v>
          </cell>
          <cell r="D415">
            <v>45706</v>
          </cell>
          <cell r="E415" t="str">
            <v>湖北</v>
          </cell>
        </row>
        <row r="416">
          <cell r="A416" t="str">
            <v>刘淑兰</v>
          </cell>
          <cell r="B416" t="str">
            <v>01346</v>
          </cell>
          <cell r="C416" t="str">
            <v>四川时代蜂族营销策划有限公司</v>
          </cell>
          <cell r="D416">
            <v>45706</v>
          </cell>
          <cell r="E416" t="str">
            <v>西南总部</v>
          </cell>
        </row>
        <row r="417">
          <cell r="A417" t="str">
            <v>刘静</v>
          </cell>
          <cell r="B417" t="str">
            <v>01342</v>
          </cell>
          <cell r="C417" t="str">
            <v>四川时代蜂族营销策划有限公司</v>
          </cell>
          <cell r="D417">
            <v>45706</v>
          </cell>
          <cell r="E417" t="str">
            <v>河北</v>
          </cell>
        </row>
        <row r="418">
          <cell r="A418" t="str">
            <v>李海艳</v>
          </cell>
          <cell r="B418" t="str">
            <v>01344</v>
          </cell>
          <cell r="C418" t="str">
            <v>四川时代蜂族营销策划有限公司</v>
          </cell>
          <cell r="D418">
            <v>45706</v>
          </cell>
          <cell r="E418" t="str">
            <v>西南总部</v>
          </cell>
        </row>
        <row r="419">
          <cell r="A419" t="str">
            <v>文尤洋</v>
          </cell>
          <cell r="B419" t="str">
            <v>01351</v>
          </cell>
          <cell r="C419" t="str">
            <v>四川时代蜂族营销策划有限公司</v>
          </cell>
          <cell r="D419">
            <v>45705</v>
          </cell>
          <cell r="E419" t="str">
            <v>西南总部</v>
          </cell>
        </row>
        <row r="420">
          <cell r="A420" t="str">
            <v>沈冬晴</v>
          </cell>
          <cell r="B420" t="str">
            <v>01314</v>
          </cell>
          <cell r="C420" t="str">
            <v>四川优诺通瑞商贸有限公司</v>
          </cell>
          <cell r="D420">
            <v>45705</v>
          </cell>
          <cell r="E420" t="str">
            <v>西南总部</v>
          </cell>
        </row>
        <row r="421">
          <cell r="A421" t="str">
            <v>陈杨</v>
          </cell>
          <cell r="B421" t="str">
            <v>01318</v>
          </cell>
          <cell r="C421" t="str">
            <v>湖南时代蜂族营销策划有限公司</v>
          </cell>
          <cell r="D421">
            <v>45704</v>
          </cell>
          <cell r="E421" t="str">
            <v>湖南</v>
          </cell>
        </row>
        <row r="422">
          <cell r="A422" t="str">
            <v>陈岚</v>
          </cell>
          <cell r="B422" t="str">
            <v>01319</v>
          </cell>
          <cell r="C422" t="str">
            <v>河北时代蜂族营销策划有限公司</v>
          </cell>
          <cell r="D422">
            <v>45703</v>
          </cell>
          <cell r="E422" t="str">
            <v>河北</v>
          </cell>
        </row>
        <row r="423">
          <cell r="A423" t="str">
            <v>张鹏</v>
          </cell>
          <cell r="B423" t="str">
            <v>01321</v>
          </cell>
          <cell r="C423" t="str">
            <v>四川时代蜂族营销策划有限公司</v>
          </cell>
          <cell r="D423">
            <v>45703</v>
          </cell>
          <cell r="E423" t="str">
            <v>西南总部</v>
          </cell>
        </row>
        <row r="424">
          <cell r="A424" t="str">
            <v>陈丽红</v>
          </cell>
          <cell r="B424" t="str">
            <v>01323</v>
          </cell>
          <cell r="C424" t="str">
            <v>山东时代蜂族营销策划有限公司</v>
          </cell>
          <cell r="D424">
            <v>45703</v>
          </cell>
          <cell r="E424" t="str">
            <v>山东</v>
          </cell>
        </row>
        <row r="425">
          <cell r="A425" t="str">
            <v>鲜曦</v>
          </cell>
          <cell r="B425" t="str">
            <v>01301</v>
          </cell>
          <cell r="C425" t="str">
            <v>四川时代蜂族营销策划有限公司</v>
          </cell>
          <cell r="D425">
            <v>45702</v>
          </cell>
          <cell r="E425" t="str">
            <v>西南总部</v>
          </cell>
        </row>
        <row r="426">
          <cell r="A426" t="str">
            <v>章芹</v>
          </cell>
          <cell r="B426" t="str">
            <v>01298</v>
          </cell>
          <cell r="C426" t="str">
            <v>湖北蜜蜂族房地产经纪有限公司</v>
          </cell>
          <cell r="D426">
            <v>45702</v>
          </cell>
          <cell r="E426" t="str">
            <v>湖北</v>
          </cell>
        </row>
        <row r="427">
          <cell r="A427" t="str">
            <v>周梦欢</v>
          </cell>
          <cell r="B427" t="str">
            <v>01304</v>
          </cell>
          <cell r="C427" t="str">
            <v>陕西蜂族科技有限公司</v>
          </cell>
          <cell r="D427">
            <v>45701</v>
          </cell>
          <cell r="E427" t="str">
            <v>陕西</v>
          </cell>
        </row>
        <row r="428">
          <cell r="A428" t="str">
            <v>蒲红霞</v>
          </cell>
          <cell r="B428" t="str">
            <v>01315</v>
          </cell>
          <cell r="C428" t="str">
            <v>四川大礼连连科技有限公司</v>
          </cell>
          <cell r="D428">
            <v>45701</v>
          </cell>
          <cell r="E428" t="str">
            <v>西南总部</v>
          </cell>
        </row>
        <row r="429">
          <cell r="A429" t="str">
            <v>陈治</v>
          </cell>
          <cell r="B429" t="str">
            <v>01307</v>
          </cell>
          <cell r="C429" t="str">
            <v>四川时代蜂族营销策划有限公司</v>
          </cell>
          <cell r="D429">
            <v>45701</v>
          </cell>
          <cell r="E429" t="str">
            <v>西南总部</v>
          </cell>
        </row>
        <row r="430">
          <cell r="A430" t="str">
            <v>张阳</v>
          </cell>
          <cell r="B430" t="str">
            <v>01303</v>
          </cell>
          <cell r="C430" t="str">
            <v>陕西蜂族科技有限公司</v>
          </cell>
          <cell r="D430">
            <v>45701</v>
          </cell>
          <cell r="E430" t="str">
            <v>陕西</v>
          </cell>
        </row>
        <row r="431">
          <cell r="A431" t="str">
            <v>程秀财</v>
          </cell>
          <cell r="B431" t="str">
            <v>01308</v>
          </cell>
          <cell r="C431" t="str">
            <v>陕西蜂族科技有限公司</v>
          </cell>
          <cell r="D431">
            <v>45701</v>
          </cell>
          <cell r="E431" t="str">
            <v>陕西</v>
          </cell>
        </row>
        <row r="432">
          <cell r="A432" t="str">
            <v>刘志鹏</v>
          </cell>
          <cell r="B432" t="str">
            <v>01305</v>
          </cell>
          <cell r="C432" t="str">
            <v>山东时代蜂族营销策划有限公司</v>
          </cell>
          <cell r="D432">
            <v>45701</v>
          </cell>
          <cell r="E432" t="str">
            <v>山东</v>
          </cell>
        </row>
        <row r="433">
          <cell r="A433" t="str">
            <v>孙磊</v>
          </cell>
          <cell r="B433" t="str">
            <v>01289</v>
          </cell>
          <cell r="C433" t="str">
            <v>四川时代蜂族营销策划有限公司</v>
          </cell>
          <cell r="D433">
            <v>45700</v>
          </cell>
          <cell r="E433" t="str">
            <v>西南总部</v>
          </cell>
        </row>
        <row r="434">
          <cell r="A434" t="str">
            <v>周舜</v>
          </cell>
          <cell r="B434" t="str">
            <v>01297</v>
          </cell>
          <cell r="C434" t="str">
            <v>湖南时代蜂族营销策划有限公司</v>
          </cell>
          <cell r="D434">
            <v>45700</v>
          </cell>
          <cell r="E434" t="str">
            <v>西南总部</v>
          </cell>
        </row>
        <row r="435">
          <cell r="A435" t="str">
            <v>何伟</v>
          </cell>
          <cell r="B435" t="str">
            <v>01309</v>
          </cell>
          <cell r="C435" t="str">
            <v>四川蜂起营销策划有限公司</v>
          </cell>
          <cell r="D435">
            <v>45700</v>
          </cell>
          <cell r="E435" t="str">
            <v>西南总部</v>
          </cell>
        </row>
        <row r="436">
          <cell r="A436" t="str">
            <v>王茜</v>
          </cell>
          <cell r="B436" t="str">
            <v>01324</v>
          </cell>
          <cell r="C436" t="str">
            <v>四川时代蜂族营销策划有限公司</v>
          </cell>
          <cell r="D436">
            <v>45699</v>
          </cell>
          <cell r="E436" t="str">
            <v>西南总部</v>
          </cell>
        </row>
        <row r="437">
          <cell r="A437" t="str">
            <v>王新国</v>
          </cell>
          <cell r="B437" t="str">
            <v>01292</v>
          </cell>
          <cell r="C437" t="str">
            <v>陕西蜂族科技有限公司</v>
          </cell>
          <cell r="D437">
            <v>45699</v>
          </cell>
          <cell r="E437" t="str">
            <v>陕西</v>
          </cell>
        </row>
        <row r="438">
          <cell r="A438" t="str">
            <v>寸春叶</v>
          </cell>
          <cell r="B438" t="str">
            <v>01294</v>
          </cell>
          <cell r="C438" t="str">
            <v>陕西蜂族科技有限公司</v>
          </cell>
          <cell r="D438">
            <v>45699</v>
          </cell>
          <cell r="E438" t="str">
            <v>甘肃</v>
          </cell>
        </row>
        <row r="439">
          <cell r="A439" t="str">
            <v>穆霭元</v>
          </cell>
          <cell r="B439" t="str">
            <v>01299</v>
          </cell>
          <cell r="C439" t="str">
            <v>湖北蜜蜂族房地产经纪有限公司</v>
          </cell>
          <cell r="D439">
            <v>45699</v>
          </cell>
          <cell r="E439" t="str">
            <v>湖北</v>
          </cell>
        </row>
        <row r="440">
          <cell r="A440" t="str">
            <v>夏富杨</v>
          </cell>
          <cell r="B440" t="str">
            <v>01317</v>
          </cell>
          <cell r="C440" t="str">
            <v>湖南时代蜂族营销策划有限公司</v>
          </cell>
          <cell r="D440">
            <v>45699</v>
          </cell>
          <cell r="E440" t="str">
            <v>湖南</v>
          </cell>
        </row>
        <row r="441">
          <cell r="A441" t="str">
            <v>丁浩</v>
          </cell>
          <cell r="B441" t="str">
            <v>01291</v>
          </cell>
          <cell r="C441" t="str">
            <v>四川时代蜂族营销策划有限公司</v>
          </cell>
          <cell r="D441">
            <v>45699</v>
          </cell>
          <cell r="E441" t="str">
            <v>辽宁</v>
          </cell>
        </row>
        <row r="442">
          <cell r="A442" t="str">
            <v>曾志勇</v>
          </cell>
          <cell r="B442" t="str">
            <v>01326</v>
          </cell>
          <cell r="C442" t="str">
            <v>四川时代蜂族营销策划有限公司</v>
          </cell>
          <cell r="D442">
            <v>45698</v>
          </cell>
          <cell r="E442" t="str">
            <v>山西</v>
          </cell>
        </row>
        <row r="443">
          <cell r="A443" t="str">
            <v>王超</v>
          </cell>
          <cell r="B443" t="str">
            <v>00132</v>
          </cell>
          <cell r="C443" t="str">
            <v>山东时代蜂族营销策划有限公司</v>
          </cell>
          <cell r="D443">
            <v>45698</v>
          </cell>
          <cell r="E443" t="str">
            <v>山东</v>
          </cell>
        </row>
        <row r="444">
          <cell r="A444" t="str">
            <v>廖洪毅</v>
          </cell>
          <cell r="B444" t="str">
            <v>01313</v>
          </cell>
          <cell r="C444" t="str">
            <v>四川蜂起营销策划有限公司</v>
          </cell>
          <cell r="D444">
            <v>45698</v>
          </cell>
          <cell r="E444" t="str">
            <v>西南总部</v>
          </cell>
        </row>
        <row r="445">
          <cell r="A445" t="str">
            <v>周兴明</v>
          </cell>
          <cell r="B445" t="str">
            <v>01285</v>
          </cell>
          <cell r="C445" t="str">
            <v>四川时代蜂族营销策划有限公司</v>
          </cell>
          <cell r="D445">
            <v>45698</v>
          </cell>
          <cell r="E445" t="str">
            <v>西南总部</v>
          </cell>
        </row>
        <row r="446">
          <cell r="A446" t="str">
            <v>周远芮</v>
          </cell>
          <cell r="B446" t="str">
            <v>01284</v>
          </cell>
          <cell r="C446" t="str">
            <v>四川时代蜂族营销策划有限公司</v>
          </cell>
          <cell r="D446">
            <v>45698</v>
          </cell>
          <cell r="E446" t="str">
            <v>西南总部</v>
          </cell>
        </row>
        <row r="447">
          <cell r="A447" t="str">
            <v>王娜</v>
          </cell>
          <cell r="B447" t="str">
            <v>01280</v>
          </cell>
          <cell r="C447" t="str">
            <v>陕西蜂族科技有限公司</v>
          </cell>
          <cell r="D447">
            <v>45698</v>
          </cell>
          <cell r="E447" t="str">
            <v>陕西</v>
          </cell>
        </row>
        <row r="448">
          <cell r="A448" t="str">
            <v>董博涛</v>
          </cell>
          <cell r="B448" t="str">
            <v>01281</v>
          </cell>
          <cell r="C448" t="str">
            <v>陕西蜂族科技有限公司</v>
          </cell>
          <cell r="D448">
            <v>45697</v>
          </cell>
          <cell r="E448" t="str">
            <v>陕西</v>
          </cell>
        </row>
        <row r="449">
          <cell r="A449" t="str">
            <v>陈东2</v>
          </cell>
          <cell r="B449" t="str">
            <v>01273</v>
          </cell>
          <cell r="C449" t="str">
            <v>四川时代蜂族营销策划有限公司</v>
          </cell>
          <cell r="D449">
            <v>45673</v>
          </cell>
          <cell r="E449" t="str">
            <v>河北</v>
          </cell>
        </row>
        <row r="450">
          <cell r="A450" t="str">
            <v>邱阳</v>
          </cell>
          <cell r="B450" t="str">
            <v>01276</v>
          </cell>
          <cell r="C450" t="str">
            <v>山东时代蜂族营销策划有限公司</v>
          </cell>
          <cell r="D450">
            <v>45673</v>
          </cell>
          <cell r="E450" t="str">
            <v>山东</v>
          </cell>
        </row>
        <row r="451">
          <cell r="A451" t="str">
            <v>杨先达</v>
          </cell>
          <cell r="B451" t="str">
            <v>01267</v>
          </cell>
          <cell r="C451" t="str">
            <v>四川大礼连连科技有限公司</v>
          </cell>
          <cell r="D451">
            <v>45671</v>
          </cell>
          <cell r="E451" t="str">
            <v>西南总部</v>
          </cell>
        </row>
        <row r="452">
          <cell r="A452" t="str">
            <v>陶再阳</v>
          </cell>
          <cell r="B452" t="str">
            <v>01271</v>
          </cell>
          <cell r="C452" t="str">
            <v>四川时代蜂族营销策划有限公司</v>
          </cell>
          <cell r="D452">
            <v>45669</v>
          </cell>
          <cell r="E452" t="str">
            <v>西南总部</v>
          </cell>
        </row>
        <row r="453">
          <cell r="A453" t="str">
            <v>郑苓</v>
          </cell>
          <cell r="B453" t="str">
            <v>01268</v>
          </cell>
          <cell r="C453" t="str">
            <v>山西时代蜂族房地产经纪有限公司</v>
          </cell>
          <cell r="D453">
            <v>45667</v>
          </cell>
          <cell r="E453" t="str">
            <v>山西</v>
          </cell>
        </row>
        <row r="454">
          <cell r="A454" t="str">
            <v>黄婷</v>
          </cell>
          <cell r="B454" t="str">
            <v>01270</v>
          </cell>
          <cell r="C454" t="str">
            <v>四川时代蜂族营销策划有限公司</v>
          </cell>
          <cell r="D454">
            <v>45667</v>
          </cell>
          <cell r="E454" t="str">
            <v>湖南</v>
          </cell>
        </row>
        <row r="455">
          <cell r="A455" t="str">
            <v>向明镜</v>
          </cell>
          <cell r="B455" t="str">
            <v>01265</v>
          </cell>
          <cell r="C455" t="str">
            <v>四川时代蜂族营销策划有限公司</v>
          </cell>
          <cell r="D455">
            <v>45666</v>
          </cell>
          <cell r="E455" t="str">
            <v>西南总部</v>
          </cell>
        </row>
        <row r="456">
          <cell r="A456" t="str">
            <v>吴宋义</v>
          </cell>
          <cell r="B456" t="str">
            <v>01260</v>
          </cell>
          <cell r="C456" t="str">
            <v>山东时代蜂族营销策划有限公司</v>
          </cell>
          <cell r="D456">
            <v>45665</v>
          </cell>
          <cell r="E456" t="str">
            <v>山东</v>
          </cell>
        </row>
        <row r="457">
          <cell r="A457" t="str">
            <v>邵敏</v>
          </cell>
          <cell r="B457" t="str">
            <v>01261</v>
          </cell>
          <cell r="C457" t="str">
            <v>湖南时代蜂族营销策划有限公司</v>
          </cell>
          <cell r="D457">
            <v>45665</v>
          </cell>
          <cell r="E457" t="str">
            <v>湖南</v>
          </cell>
        </row>
        <row r="458">
          <cell r="A458" t="str">
            <v>李杰根</v>
          </cell>
          <cell r="B458" t="str">
            <v>01263</v>
          </cell>
          <cell r="C458" t="str">
            <v>四川时代蜂族营销策划有限公司</v>
          </cell>
          <cell r="D458">
            <v>45665</v>
          </cell>
          <cell r="E458" t="str">
            <v>西南总部</v>
          </cell>
        </row>
        <row r="459">
          <cell r="A459" t="str">
            <v>李建华</v>
          </cell>
          <cell r="B459" t="str">
            <v>01258</v>
          </cell>
          <cell r="C459" t="str">
            <v>四川时代蜂族营销策划有限公司</v>
          </cell>
          <cell r="D459">
            <v>45664</v>
          </cell>
          <cell r="E459" t="str">
            <v>西南总部</v>
          </cell>
        </row>
        <row r="460">
          <cell r="A460" t="str">
            <v>张萍2</v>
          </cell>
          <cell r="B460" t="str">
            <v>01257</v>
          </cell>
          <cell r="C460" t="str">
            <v>四川时代蜂族营销策划有限公司</v>
          </cell>
          <cell r="D460">
            <v>45661</v>
          </cell>
          <cell r="E460" t="str">
            <v>西南总部</v>
          </cell>
        </row>
        <row r="461">
          <cell r="A461" t="str">
            <v>雷浩</v>
          </cell>
          <cell r="B461" t="str">
            <v>01252</v>
          </cell>
          <cell r="C461" t="str">
            <v>四川时代蜂族营销策划有限公司</v>
          </cell>
          <cell r="D461">
            <v>45659</v>
          </cell>
          <cell r="E461" t="str">
            <v>西南总部</v>
          </cell>
        </row>
        <row r="462">
          <cell r="A462" t="str">
            <v>何勇</v>
          </cell>
          <cell r="B462" t="str">
            <v>01255</v>
          </cell>
          <cell r="C462" t="str">
            <v>山西时代蜂族房地产经纪有限公司</v>
          </cell>
          <cell r="D462">
            <v>45658</v>
          </cell>
          <cell r="E462" t="str">
            <v>山西</v>
          </cell>
        </row>
        <row r="463">
          <cell r="A463" t="str">
            <v>韩颖</v>
          </cell>
          <cell r="B463" t="str">
            <v>01251</v>
          </cell>
          <cell r="C463" t="str">
            <v>四川时代蜂族营销策划有限公司</v>
          </cell>
          <cell r="D463">
            <v>45657</v>
          </cell>
          <cell r="E463" t="str">
            <v>西南总部</v>
          </cell>
        </row>
        <row r="464">
          <cell r="A464" t="str">
            <v>王豪</v>
          </cell>
          <cell r="B464" t="str">
            <v>01249</v>
          </cell>
          <cell r="C464" t="str">
            <v>陕西蜂族科技有限公司</v>
          </cell>
          <cell r="D464">
            <v>45656</v>
          </cell>
          <cell r="E464" t="str">
            <v>陕西</v>
          </cell>
        </row>
        <row r="465">
          <cell r="A465" t="str">
            <v>李令</v>
          </cell>
          <cell r="B465" t="str">
            <v>01247</v>
          </cell>
          <cell r="C465" t="str">
            <v>湖北蜜蜂族房地产经纪有限公司</v>
          </cell>
          <cell r="D465">
            <v>45654</v>
          </cell>
          <cell r="E465" t="str">
            <v>湖北</v>
          </cell>
        </row>
        <row r="466">
          <cell r="A466" t="str">
            <v>黄丽</v>
          </cell>
          <cell r="B466" t="str">
            <v>01248</v>
          </cell>
          <cell r="C466" t="str">
            <v>山西时代蜂族房地产经纪有限公司</v>
          </cell>
          <cell r="D466">
            <v>45652</v>
          </cell>
          <cell r="E466" t="str">
            <v>山西</v>
          </cell>
        </row>
        <row r="467">
          <cell r="A467" t="str">
            <v>何常禧</v>
          </cell>
          <cell r="B467" t="str">
            <v>01246</v>
          </cell>
          <cell r="C467" t="str">
            <v>四川时代蜂族营销策划有限公司</v>
          </cell>
          <cell r="D467">
            <v>45651</v>
          </cell>
          <cell r="E467" t="str">
            <v>西南总部</v>
          </cell>
        </row>
        <row r="468">
          <cell r="A468" t="str">
            <v>阮阳</v>
          </cell>
          <cell r="B468" t="str">
            <v>01239</v>
          </cell>
          <cell r="C468" t="str">
            <v>湖北蜜蜂族房地产经纪有限公司</v>
          </cell>
          <cell r="D468">
            <v>45649</v>
          </cell>
          <cell r="E468" t="str">
            <v>湖北</v>
          </cell>
        </row>
        <row r="469">
          <cell r="A469" t="str">
            <v>吕金婷</v>
          </cell>
          <cell r="B469" t="str">
            <v>01241</v>
          </cell>
          <cell r="C469" t="str">
            <v>湖南时代蜂族营销策划有限公司</v>
          </cell>
          <cell r="D469">
            <v>45649</v>
          </cell>
          <cell r="E469" t="str">
            <v>湖南</v>
          </cell>
        </row>
        <row r="470">
          <cell r="A470" t="str">
            <v>江梅</v>
          </cell>
          <cell r="B470" t="str">
            <v>01238</v>
          </cell>
          <cell r="C470" t="str">
            <v>四川时代蜂族营销策划有限公司</v>
          </cell>
          <cell r="D470">
            <v>45649</v>
          </cell>
          <cell r="E470" t="str">
            <v>西南总部</v>
          </cell>
        </row>
        <row r="471">
          <cell r="A471" t="str">
            <v>肖娟</v>
          </cell>
          <cell r="B471" t="str">
            <v>01237</v>
          </cell>
          <cell r="C471" t="str">
            <v>四川时代蜂族营销策划有限公司</v>
          </cell>
          <cell r="D471">
            <v>45648</v>
          </cell>
          <cell r="E471" t="str">
            <v>西南总部</v>
          </cell>
        </row>
        <row r="472">
          <cell r="A472" t="str">
            <v>石军</v>
          </cell>
          <cell r="B472" t="str">
            <v>01234</v>
          </cell>
          <cell r="C472" t="str">
            <v>四川时代蜂族营销策划有限公司</v>
          </cell>
          <cell r="D472">
            <v>45646</v>
          </cell>
          <cell r="E472" t="str">
            <v>西南总部</v>
          </cell>
        </row>
        <row r="473">
          <cell r="A473" t="str">
            <v>郑栋财</v>
          </cell>
          <cell r="B473" t="str">
            <v>01236</v>
          </cell>
          <cell r="C473" t="str">
            <v>山西时代蜂族房地产经纪有限公司</v>
          </cell>
          <cell r="D473">
            <v>45645</v>
          </cell>
          <cell r="E473" t="str">
            <v>山西</v>
          </cell>
        </row>
        <row r="474">
          <cell r="A474" t="str">
            <v>邓闻雯</v>
          </cell>
          <cell r="B474" t="str">
            <v>01228</v>
          </cell>
          <cell r="C474" t="str">
            <v>山东时代蜂族营销策划有限公司</v>
          </cell>
          <cell r="D474">
            <v>45642</v>
          </cell>
          <cell r="E474" t="str">
            <v>山东</v>
          </cell>
        </row>
        <row r="475">
          <cell r="A475" t="str">
            <v>蒋明娥</v>
          </cell>
          <cell r="B475" t="str">
            <v>01231</v>
          </cell>
          <cell r="C475" t="str">
            <v>四川时代蜂族营销策划有限公司</v>
          </cell>
          <cell r="D475">
            <v>45641</v>
          </cell>
          <cell r="E475" t="str">
            <v>西南总部</v>
          </cell>
        </row>
        <row r="476">
          <cell r="A476" t="str">
            <v>陈蜀玥</v>
          </cell>
          <cell r="B476" t="str">
            <v>01232</v>
          </cell>
          <cell r="C476" t="str">
            <v>四川时代蜂族营销策划有限公司</v>
          </cell>
          <cell r="D476">
            <v>45639</v>
          </cell>
          <cell r="E476" t="str">
            <v>湖南</v>
          </cell>
        </row>
        <row r="477">
          <cell r="A477" t="str">
            <v>何迎欣</v>
          </cell>
          <cell r="B477" t="str">
            <v>01230</v>
          </cell>
          <cell r="C477" t="str">
            <v>四川时代蜂族营销策划有限公司</v>
          </cell>
          <cell r="D477">
            <v>45639</v>
          </cell>
          <cell r="E477" t="str">
            <v>西南总部</v>
          </cell>
        </row>
        <row r="478">
          <cell r="A478" t="str">
            <v>卢新山</v>
          </cell>
          <cell r="B478" t="str">
            <v>01220</v>
          </cell>
          <cell r="C478" t="str">
            <v>湖北蜜蜂族房地产经纪有限公司</v>
          </cell>
          <cell r="D478">
            <v>45638</v>
          </cell>
          <cell r="E478" t="str">
            <v>湖北</v>
          </cell>
        </row>
        <row r="479">
          <cell r="A479" t="str">
            <v>胡月</v>
          </cell>
          <cell r="B479" t="str">
            <v>01218</v>
          </cell>
          <cell r="C479" t="str">
            <v>四川时代蜂族营销策划有限公司</v>
          </cell>
          <cell r="D479">
            <v>45637</v>
          </cell>
          <cell r="E479" t="str">
            <v>西南总部</v>
          </cell>
        </row>
        <row r="480">
          <cell r="A480" t="str">
            <v>玖伶俐</v>
          </cell>
          <cell r="B480" t="str">
            <v>01217</v>
          </cell>
          <cell r="C480" t="str">
            <v>四川时代蜂族营销策划有限公司</v>
          </cell>
          <cell r="D480">
            <v>45634</v>
          </cell>
          <cell r="E480" t="str">
            <v>河南</v>
          </cell>
        </row>
        <row r="481">
          <cell r="A481" t="str">
            <v>曾朝伟</v>
          </cell>
          <cell r="B481" t="str">
            <v>01216</v>
          </cell>
          <cell r="C481" t="str">
            <v>陕西蜂族科技有限公司</v>
          </cell>
          <cell r="D481">
            <v>45630</v>
          </cell>
          <cell r="E481" t="str">
            <v>陕西</v>
          </cell>
        </row>
        <row r="482">
          <cell r="A482" t="str">
            <v>辜洪</v>
          </cell>
          <cell r="B482" t="str">
            <v>01208</v>
          </cell>
          <cell r="C482" t="str">
            <v>四川时代蜂族营销策划有限公司</v>
          </cell>
          <cell r="D482">
            <v>45630</v>
          </cell>
          <cell r="E482" t="str">
            <v>西南总部</v>
          </cell>
        </row>
        <row r="483">
          <cell r="A483" t="str">
            <v>邛莫毛干干</v>
          </cell>
          <cell r="B483" t="str">
            <v>01207</v>
          </cell>
          <cell r="C483" t="str">
            <v>四川时代蜂族营销策划有限公司</v>
          </cell>
          <cell r="D483">
            <v>45629</v>
          </cell>
          <cell r="E483" t="str">
            <v>西南总部</v>
          </cell>
        </row>
        <row r="484">
          <cell r="A484" t="str">
            <v>陈静2</v>
          </cell>
          <cell r="B484" t="str">
            <v>01204</v>
          </cell>
          <cell r="C484" t="str">
            <v>山东时代蜂族营销策划有限公司</v>
          </cell>
          <cell r="D484">
            <v>45628</v>
          </cell>
          <cell r="E484" t="str">
            <v>山东</v>
          </cell>
        </row>
        <row r="485">
          <cell r="A485" t="str">
            <v>徐超</v>
          </cell>
          <cell r="B485" t="str">
            <v>01203</v>
          </cell>
          <cell r="C485" t="str">
            <v>四川时代蜂族营销策划有限公司</v>
          </cell>
          <cell r="D485">
            <v>45627</v>
          </cell>
          <cell r="E485" t="str">
            <v>河南</v>
          </cell>
        </row>
        <row r="486">
          <cell r="A486" t="str">
            <v>唐远成</v>
          </cell>
          <cell r="B486" t="str">
            <v>01468</v>
          </cell>
          <cell r="C486" t="str">
            <v>四川时代蜂族营销策划有限公司</v>
          </cell>
          <cell r="D486">
            <v>45627</v>
          </cell>
          <cell r="E486" t="str">
            <v>西南总部</v>
          </cell>
        </row>
        <row r="487">
          <cell r="A487" t="str">
            <v>易成俊</v>
          </cell>
          <cell r="B487" t="str">
            <v>01201</v>
          </cell>
          <cell r="C487" t="str">
            <v>四川时代蜂族营销策划有限公司</v>
          </cell>
          <cell r="D487">
            <v>45626</v>
          </cell>
          <cell r="E487" t="str">
            <v>西南总部</v>
          </cell>
        </row>
        <row r="488">
          <cell r="A488" t="str">
            <v>熊梅</v>
          </cell>
          <cell r="B488" t="str">
            <v>01200</v>
          </cell>
          <cell r="C488" t="str">
            <v>湖北蜜蜂族房地产经纪有限公司</v>
          </cell>
          <cell r="D488">
            <v>45625</v>
          </cell>
          <cell r="E488" t="str">
            <v>湖北</v>
          </cell>
        </row>
        <row r="489">
          <cell r="A489" t="str">
            <v>杨溢鑫</v>
          </cell>
          <cell r="B489" t="str">
            <v>01199</v>
          </cell>
          <cell r="C489" t="str">
            <v>四川时代蜂族营销策划有限公司</v>
          </cell>
          <cell r="D489">
            <v>45625</v>
          </cell>
          <cell r="E489" t="str">
            <v>西南总部</v>
          </cell>
        </row>
        <row r="490">
          <cell r="A490" t="str">
            <v>路娟娟</v>
          </cell>
          <cell r="B490" t="str">
            <v>01197</v>
          </cell>
          <cell r="C490" t="str">
            <v>陕西蜂族科技有限公司</v>
          </cell>
          <cell r="D490">
            <v>45624</v>
          </cell>
          <cell r="E490" t="str">
            <v>陕西</v>
          </cell>
        </row>
        <row r="491">
          <cell r="A491" t="str">
            <v>刘溢</v>
          </cell>
          <cell r="B491" t="str">
            <v>01198</v>
          </cell>
          <cell r="C491" t="str">
            <v>四川时代蜂族营销策划有限公司</v>
          </cell>
          <cell r="D491">
            <v>45624</v>
          </cell>
          <cell r="E491" t="str">
            <v>西南总部</v>
          </cell>
        </row>
        <row r="492">
          <cell r="A492" t="str">
            <v>任俊</v>
          </cell>
          <cell r="B492" t="str">
            <v>01192</v>
          </cell>
          <cell r="C492" t="str">
            <v>河南蜜蜂族营销策划有限公司</v>
          </cell>
          <cell r="D492">
            <v>45616</v>
          </cell>
          <cell r="E492" t="str">
            <v>河南</v>
          </cell>
        </row>
        <row r="493">
          <cell r="A493" t="str">
            <v>张欢</v>
          </cell>
          <cell r="B493" t="str">
            <v>01194</v>
          </cell>
          <cell r="C493" t="str">
            <v>四川时代蜂族营销策划有限公司</v>
          </cell>
          <cell r="D493">
            <v>45616</v>
          </cell>
          <cell r="E493" t="str">
            <v>西南总部</v>
          </cell>
        </row>
        <row r="494">
          <cell r="A494" t="str">
            <v>罗瑶</v>
          </cell>
          <cell r="B494" t="str">
            <v>01190</v>
          </cell>
          <cell r="C494" t="str">
            <v>山东时代蜂族营销策划有限公司</v>
          </cell>
          <cell r="D494">
            <v>45616</v>
          </cell>
          <cell r="E494" t="str">
            <v>山东</v>
          </cell>
        </row>
        <row r="495">
          <cell r="A495" t="str">
            <v>许千禧</v>
          </cell>
          <cell r="B495" t="str">
            <v>01193</v>
          </cell>
          <cell r="C495" t="str">
            <v>四川时代蜂族营销策划有限公司</v>
          </cell>
          <cell r="D495">
            <v>45616</v>
          </cell>
          <cell r="E495" t="str">
            <v>湖南</v>
          </cell>
        </row>
        <row r="496">
          <cell r="A496" t="str">
            <v>吴康达</v>
          </cell>
          <cell r="B496" t="str">
            <v>01187</v>
          </cell>
          <cell r="C496" t="str">
            <v>湖北蜜蜂族房地产经纪有限公司</v>
          </cell>
          <cell r="D496">
            <v>45615</v>
          </cell>
          <cell r="E496" t="str">
            <v>湖北</v>
          </cell>
        </row>
        <row r="497">
          <cell r="A497" t="str">
            <v>李志恒</v>
          </cell>
          <cell r="B497" t="str">
            <v>01186</v>
          </cell>
          <cell r="C497" t="str">
            <v>湖北蜜蜂族房地产经纪有限公司</v>
          </cell>
          <cell r="D497">
            <v>45614</v>
          </cell>
          <cell r="E497" t="str">
            <v>湖北</v>
          </cell>
        </row>
        <row r="498">
          <cell r="A498" t="str">
            <v>白世根</v>
          </cell>
          <cell r="B498" t="str">
            <v>01185</v>
          </cell>
          <cell r="C498" t="str">
            <v>四川时代蜂族营销策划有限公司</v>
          </cell>
          <cell r="D498">
            <v>45613</v>
          </cell>
          <cell r="E498" t="str">
            <v>西南总部</v>
          </cell>
        </row>
        <row r="499">
          <cell r="A499" t="str">
            <v>刘宗洋</v>
          </cell>
          <cell r="B499" t="str">
            <v>01183</v>
          </cell>
          <cell r="C499" t="str">
            <v>湖北蜜蜂族房地产经纪有限公司</v>
          </cell>
          <cell r="D499">
            <v>45612</v>
          </cell>
          <cell r="E499" t="str">
            <v>湖北</v>
          </cell>
        </row>
        <row r="500">
          <cell r="A500" t="str">
            <v>李树银</v>
          </cell>
          <cell r="B500" t="str">
            <v>01182</v>
          </cell>
          <cell r="C500" t="str">
            <v>山东时代蜂族营销策划有限公司</v>
          </cell>
          <cell r="D500">
            <v>45612</v>
          </cell>
          <cell r="E500" t="str">
            <v>西南总部</v>
          </cell>
        </row>
        <row r="501">
          <cell r="A501" t="str">
            <v>甘梓云</v>
          </cell>
          <cell r="B501" t="str">
            <v>01179</v>
          </cell>
          <cell r="C501" t="str">
            <v>四川金巴牛网络科技有限公司</v>
          </cell>
          <cell r="D501">
            <v>45611</v>
          </cell>
          <cell r="E501" t="str">
            <v>西南总部</v>
          </cell>
        </row>
        <row r="502">
          <cell r="A502" t="str">
            <v>汪鑫海</v>
          </cell>
          <cell r="B502" t="str">
            <v>01180</v>
          </cell>
          <cell r="C502" t="str">
            <v>四川时代蜂族营销策划有限公司</v>
          </cell>
          <cell r="D502">
            <v>45611</v>
          </cell>
          <cell r="E502" t="str">
            <v>西南总部</v>
          </cell>
        </row>
        <row r="503">
          <cell r="A503" t="str">
            <v>姚志科</v>
          </cell>
          <cell r="B503" t="str">
            <v>01176</v>
          </cell>
          <cell r="C503" t="str">
            <v>四川时代蜂族营销策划有限公司</v>
          </cell>
          <cell r="D503">
            <v>45611</v>
          </cell>
          <cell r="E503" t="str">
            <v>西南总部</v>
          </cell>
        </row>
        <row r="504">
          <cell r="A504" t="str">
            <v>郑海龙</v>
          </cell>
          <cell r="B504" t="str">
            <v>01173</v>
          </cell>
          <cell r="C504" t="str">
            <v>湖北蜜蜂族房地产经纪有限公司</v>
          </cell>
          <cell r="D504">
            <v>45609</v>
          </cell>
          <cell r="E504" t="str">
            <v>湖北</v>
          </cell>
        </row>
        <row r="505">
          <cell r="A505" t="str">
            <v>成泽</v>
          </cell>
          <cell r="B505" t="str">
            <v>01171</v>
          </cell>
          <cell r="C505" t="str">
            <v>兰州时代蜂族营销策划有限公司</v>
          </cell>
          <cell r="D505">
            <v>45609</v>
          </cell>
          <cell r="E505" t="str">
            <v>甘肃</v>
          </cell>
        </row>
        <row r="506">
          <cell r="A506" t="str">
            <v>张萍</v>
          </cell>
          <cell r="B506" t="str">
            <v>01166</v>
          </cell>
          <cell r="C506" t="str">
            <v>四川时代蜂族营销策划有限公司</v>
          </cell>
          <cell r="D506">
            <v>45604</v>
          </cell>
          <cell r="E506" t="str">
            <v>河南</v>
          </cell>
        </row>
        <row r="507">
          <cell r="A507" t="str">
            <v>王佳玉</v>
          </cell>
          <cell r="B507" t="str">
            <v>01167</v>
          </cell>
          <cell r="C507" t="str">
            <v>四川时代蜂族营销策划有限公司</v>
          </cell>
          <cell r="D507">
            <v>45604</v>
          </cell>
          <cell r="E507" t="str">
            <v>西南总部</v>
          </cell>
        </row>
        <row r="508">
          <cell r="A508" t="str">
            <v>骆世洪</v>
          </cell>
          <cell r="B508" t="str">
            <v>01161</v>
          </cell>
          <cell r="C508" t="str">
            <v>四川时代蜂族营销策划有限公司</v>
          </cell>
          <cell r="D508">
            <v>45603</v>
          </cell>
          <cell r="E508" t="str">
            <v>西南总部</v>
          </cell>
        </row>
        <row r="509">
          <cell r="A509" t="str">
            <v>李莎莎</v>
          </cell>
          <cell r="B509" t="str">
            <v>01165</v>
          </cell>
          <cell r="C509" t="str">
            <v>四川时代蜂族营销策划有限公司</v>
          </cell>
          <cell r="D509">
            <v>45603</v>
          </cell>
          <cell r="E509" t="str">
            <v>西南总部</v>
          </cell>
        </row>
        <row r="510">
          <cell r="A510" t="str">
            <v>全苗苗</v>
          </cell>
          <cell r="B510" t="str">
            <v>01159</v>
          </cell>
          <cell r="C510" t="str">
            <v>陕西蜂族科技有限公司</v>
          </cell>
          <cell r="D510">
            <v>45603</v>
          </cell>
          <cell r="E510" t="str">
            <v>陕西</v>
          </cell>
        </row>
        <row r="511">
          <cell r="A511" t="str">
            <v>陈思</v>
          </cell>
          <cell r="B511" t="str">
            <v>01156</v>
          </cell>
          <cell r="C511" t="str">
            <v>四川时代蜂族营销策划有限公司</v>
          </cell>
          <cell r="D511">
            <v>45602</v>
          </cell>
          <cell r="E511" t="str">
            <v>西南总部</v>
          </cell>
        </row>
        <row r="512">
          <cell r="A512" t="str">
            <v>何飞</v>
          </cell>
          <cell r="B512" t="str">
            <v>01158</v>
          </cell>
          <cell r="C512" t="str">
            <v>陕西蜂族科技有限公司</v>
          </cell>
          <cell r="D512">
            <v>45602</v>
          </cell>
          <cell r="E512" t="str">
            <v>陕西</v>
          </cell>
        </row>
        <row r="513">
          <cell r="A513" t="str">
            <v>赖文杰</v>
          </cell>
          <cell r="B513" t="str">
            <v>01153</v>
          </cell>
          <cell r="C513" t="str">
            <v>山东时代蜂族营销策划有限公司</v>
          </cell>
          <cell r="D513">
            <v>45601</v>
          </cell>
          <cell r="E513" t="str">
            <v>山东</v>
          </cell>
        </row>
        <row r="514">
          <cell r="A514" t="str">
            <v>陈金生</v>
          </cell>
          <cell r="B514" t="str">
            <v>01154</v>
          </cell>
          <cell r="C514" t="str">
            <v>山东时代蜂族营销策划有限公司</v>
          </cell>
          <cell r="D514">
            <v>45600</v>
          </cell>
          <cell r="E514" t="str">
            <v>山东</v>
          </cell>
        </row>
        <row r="515">
          <cell r="A515" t="str">
            <v>翁碧霞</v>
          </cell>
          <cell r="B515" t="str">
            <v>01151</v>
          </cell>
          <cell r="C515" t="str">
            <v>四川优诺通瑞商贸有限公司</v>
          </cell>
          <cell r="D515">
            <v>45600</v>
          </cell>
          <cell r="E515" t="str">
            <v>西南总部</v>
          </cell>
        </row>
        <row r="516">
          <cell r="A516" t="str">
            <v>马少波</v>
          </cell>
          <cell r="B516" t="str">
            <v>01148</v>
          </cell>
          <cell r="C516" t="str">
            <v>陕西蜂族科技有限公司</v>
          </cell>
          <cell r="D516">
            <v>45599</v>
          </cell>
          <cell r="E516" t="str">
            <v>陕西</v>
          </cell>
        </row>
        <row r="517">
          <cell r="A517" t="str">
            <v>闫柏年</v>
          </cell>
          <cell r="B517" t="str">
            <v>01143</v>
          </cell>
          <cell r="C517" t="str">
            <v>湖南时代蜂族营销策划有限公司</v>
          </cell>
          <cell r="D517">
            <v>45598</v>
          </cell>
          <cell r="E517" t="str">
            <v>湖南</v>
          </cell>
        </row>
        <row r="518">
          <cell r="A518" t="str">
            <v>唐敏</v>
          </cell>
          <cell r="B518" t="str">
            <v>01145</v>
          </cell>
          <cell r="C518" t="str">
            <v>四川时代蜂族营销策划有限公司</v>
          </cell>
          <cell r="D518">
            <v>45598</v>
          </cell>
          <cell r="E518" t="str">
            <v>西南总部</v>
          </cell>
        </row>
        <row r="519">
          <cell r="A519" t="str">
            <v>刘敏</v>
          </cell>
          <cell r="B519" t="str">
            <v>01146</v>
          </cell>
          <cell r="C519" t="str">
            <v>四川时代蜂族营销策划有限公司</v>
          </cell>
          <cell r="D519">
            <v>45598</v>
          </cell>
          <cell r="E519" t="str">
            <v>西南总部</v>
          </cell>
        </row>
        <row r="520">
          <cell r="A520" t="str">
            <v>孟鹏刚</v>
          </cell>
          <cell r="B520" t="str">
            <v>01142</v>
          </cell>
          <cell r="C520" t="str">
            <v>陕西蜂族科技有限公司</v>
          </cell>
          <cell r="D520">
            <v>45597</v>
          </cell>
          <cell r="E520" t="str">
            <v>陕西</v>
          </cell>
        </row>
        <row r="521">
          <cell r="A521" t="str">
            <v>牟扬</v>
          </cell>
          <cell r="B521" t="str">
            <v>01139</v>
          </cell>
          <cell r="C521" t="str">
            <v>四川时代蜂族营销策划有限公司</v>
          </cell>
          <cell r="D521">
            <v>45597</v>
          </cell>
          <cell r="E521" t="str">
            <v>西南总部</v>
          </cell>
        </row>
        <row r="522">
          <cell r="A522" t="str">
            <v>孙芳</v>
          </cell>
          <cell r="B522" t="str">
            <v>01138</v>
          </cell>
          <cell r="C522" t="str">
            <v>四川时代蜂族营销策划有限公司</v>
          </cell>
          <cell r="D522">
            <v>45597</v>
          </cell>
          <cell r="E522" t="str">
            <v>辽宁</v>
          </cell>
        </row>
        <row r="523">
          <cell r="A523" t="str">
            <v>刘欣</v>
          </cell>
          <cell r="B523" t="str">
            <v>01135</v>
          </cell>
          <cell r="C523" t="str">
            <v>四川时代蜂族营销策划有限公司</v>
          </cell>
          <cell r="D523">
            <v>45597</v>
          </cell>
          <cell r="E523" t="str">
            <v>西南总部</v>
          </cell>
        </row>
        <row r="524">
          <cell r="A524" t="str">
            <v>李涛2</v>
          </cell>
          <cell r="B524" t="str">
            <v>01134</v>
          </cell>
          <cell r="C524" t="str">
            <v>四川金巴牛网络科技有限公司</v>
          </cell>
          <cell r="D524">
            <v>45596</v>
          </cell>
          <cell r="E524" t="str">
            <v>西南总部</v>
          </cell>
        </row>
        <row r="525">
          <cell r="A525" t="str">
            <v>王晓刚</v>
          </cell>
          <cell r="B525" t="str">
            <v>01133</v>
          </cell>
          <cell r="C525" t="str">
            <v>陕西蜂族科技有限公司</v>
          </cell>
          <cell r="D525">
            <v>45595</v>
          </cell>
          <cell r="E525" t="str">
            <v>陕西</v>
          </cell>
        </row>
        <row r="526">
          <cell r="A526" t="str">
            <v>付波</v>
          </cell>
          <cell r="B526" t="str">
            <v>01132</v>
          </cell>
          <cell r="C526" t="str">
            <v>湖北蜜蜂族房地产经纪有限公司</v>
          </cell>
          <cell r="D526">
            <v>45594</v>
          </cell>
          <cell r="E526" t="str">
            <v>湖北</v>
          </cell>
        </row>
        <row r="527">
          <cell r="A527" t="str">
            <v>李蓓</v>
          </cell>
          <cell r="B527" t="str">
            <v>01127</v>
          </cell>
          <cell r="C527" t="str">
            <v>湖北蜜蜂族房地产经纪有限公司</v>
          </cell>
          <cell r="D527">
            <v>45593</v>
          </cell>
          <cell r="E527" t="str">
            <v>湖北</v>
          </cell>
        </row>
        <row r="528">
          <cell r="A528" t="str">
            <v>谢莉莎</v>
          </cell>
          <cell r="B528" t="str">
            <v>01128</v>
          </cell>
          <cell r="C528" t="str">
            <v>山西时代蜂族房地产经纪有限公司</v>
          </cell>
          <cell r="D528">
            <v>45593</v>
          </cell>
          <cell r="E528" t="str">
            <v>山西</v>
          </cell>
        </row>
        <row r="529">
          <cell r="A529" t="str">
            <v>任富胜</v>
          </cell>
          <cell r="B529" t="str">
            <v>01130</v>
          </cell>
          <cell r="C529" t="str">
            <v>陕西蜂族科技有限公司</v>
          </cell>
          <cell r="D529">
            <v>45593</v>
          </cell>
          <cell r="E529" t="str">
            <v>陕西</v>
          </cell>
        </row>
        <row r="530">
          <cell r="A530" t="str">
            <v>卢宝元</v>
          </cell>
          <cell r="B530" t="str">
            <v>01129</v>
          </cell>
          <cell r="C530" t="str">
            <v>湖北蜜蜂族房地产经纪有限公司</v>
          </cell>
          <cell r="D530">
            <v>45593</v>
          </cell>
          <cell r="E530" t="str">
            <v>湖北</v>
          </cell>
        </row>
        <row r="531">
          <cell r="A531" t="str">
            <v>吕涛</v>
          </cell>
          <cell r="B531" t="str">
            <v>01124</v>
          </cell>
          <cell r="C531" t="str">
            <v>四川时代蜂族营销策划有限公司</v>
          </cell>
          <cell r="D531">
            <v>45590</v>
          </cell>
          <cell r="E531" t="str">
            <v>内蒙古</v>
          </cell>
        </row>
        <row r="532">
          <cell r="A532" t="str">
            <v>王磊</v>
          </cell>
          <cell r="B532" t="str">
            <v>01121</v>
          </cell>
          <cell r="C532" t="str">
            <v>陕西蜂族科技有限公司</v>
          </cell>
          <cell r="D532">
            <v>45590</v>
          </cell>
          <cell r="E532" t="str">
            <v>陕西</v>
          </cell>
        </row>
        <row r="533">
          <cell r="A533" t="str">
            <v>高旭</v>
          </cell>
          <cell r="B533" t="str">
            <v>01119</v>
          </cell>
          <cell r="C533" t="str">
            <v>四川时代蜂族营销策划有限公司</v>
          </cell>
          <cell r="D533">
            <v>45589</v>
          </cell>
          <cell r="E533" t="str">
            <v>河南</v>
          </cell>
        </row>
        <row r="534">
          <cell r="A534" t="str">
            <v>雷小平</v>
          </cell>
          <cell r="B534" t="str">
            <v>01115</v>
          </cell>
          <cell r="C534" t="str">
            <v>四川时代蜂族营销策划有限公司</v>
          </cell>
          <cell r="D534">
            <v>45588</v>
          </cell>
          <cell r="E534" t="str">
            <v>西南总部</v>
          </cell>
        </row>
        <row r="535">
          <cell r="A535" t="str">
            <v>卢思琴</v>
          </cell>
          <cell r="B535" t="str">
            <v>01109</v>
          </cell>
          <cell r="C535" t="str">
            <v>四川大礼连连科技有限公司</v>
          </cell>
          <cell r="D535">
            <v>45587</v>
          </cell>
          <cell r="E535" t="str">
            <v>西南总部</v>
          </cell>
        </row>
        <row r="536">
          <cell r="A536" t="str">
            <v>胡智锦</v>
          </cell>
          <cell r="B536" t="str">
            <v>01195</v>
          </cell>
          <cell r="C536" t="str">
            <v>湖南时代蜂族营销策划有限公司</v>
          </cell>
          <cell r="D536">
            <v>45587</v>
          </cell>
          <cell r="E536" t="str">
            <v>湖南</v>
          </cell>
        </row>
        <row r="537">
          <cell r="A537" t="str">
            <v>罗宁2</v>
          </cell>
          <cell r="B537" t="str">
            <v>01105</v>
          </cell>
          <cell r="C537" t="str">
            <v>四川时代蜂族营销策划有限公司</v>
          </cell>
          <cell r="D537">
            <v>45586</v>
          </cell>
          <cell r="E537" t="str">
            <v>西南总部</v>
          </cell>
        </row>
        <row r="538">
          <cell r="A538" t="str">
            <v>牟新月</v>
          </cell>
          <cell r="B538" t="str">
            <v>01103</v>
          </cell>
          <cell r="C538" t="str">
            <v>四川优诺通瑞商贸有限公司</v>
          </cell>
          <cell r="D538">
            <v>45586</v>
          </cell>
          <cell r="E538" t="str">
            <v>西南总部</v>
          </cell>
        </row>
        <row r="539">
          <cell r="A539" t="str">
            <v>寇唐云楠</v>
          </cell>
          <cell r="B539" t="str">
            <v>01102</v>
          </cell>
          <cell r="C539" t="str">
            <v>四川优诺通瑞商贸有限公司</v>
          </cell>
          <cell r="D539">
            <v>45586</v>
          </cell>
          <cell r="E539" t="str">
            <v>西南总部</v>
          </cell>
        </row>
        <row r="540">
          <cell r="A540" t="str">
            <v>应小军</v>
          </cell>
          <cell r="B540" t="str">
            <v>01106</v>
          </cell>
          <cell r="C540" t="str">
            <v>陕西蜂族科技有限公司</v>
          </cell>
          <cell r="D540">
            <v>45586</v>
          </cell>
          <cell r="E540" t="str">
            <v>陕西</v>
          </cell>
        </row>
        <row r="541">
          <cell r="A541" t="str">
            <v>陶元召</v>
          </cell>
          <cell r="B541" t="str">
            <v>01101</v>
          </cell>
          <cell r="C541" t="str">
            <v>陕西蜂族科技有限公司</v>
          </cell>
          <cell r="D541">
            <v>45585</v>
          </cell>
          <cell r="E541" t="str">
            <v>陕西</v>
          </cell>
        </row>
        <row r="542">
          <cell r="A542" t="str">
            <v>赵京玉</v>
          </cell>
          <cell r="B542" t="str">
            <v>01098</v>
          </cell>
          <cell r="C542" t="str">
            <v>陕西蜂族科技有限公司</v>
          </cell>
          <cell r="D542">
            <v>45583</v>
          </cell>
          <cell r="E542" t="str">
            <v>陕西</v>
          </cell>
        </row>
        <row r="543">
          <cell r="A543" t="str">
            <v>谢沁霜</v>
          </cell>
          <cell r="B543" t="str">
            <v>01099</v>
          </cell>
          <cell r="C543" t="str">
            <v>四川时代蜂族营销策划有限公司</v>
          </cell>
          <cell r="D543">
            <v>45583</v>
          </cell>
          <cell r="E543" t="str">
            <v>西南总部</v>
          </cell>
        </row>
        <row r="544">
          <cell r="A544" t="str">
            <v>何彦宏</v>
          </cell>
          <cell r="B544" t="str">
            <v>01100</v>
          </cell>
          <cell r="C544" t="str">
            <v>四川优诺通瑞商贸有限公司</v>
          </cell>
          <cell r="D544">
            <v>45583</v>
          </cell>
          <cell r="E544" t="str">
            <v>西南总部</v>
          </cell>
        </row>
        <row r="545">
          <cell r="A545" t="str">
            <v>马玉玲</v>
          </cell>
          <cell r="B545" t="str">
            <v>01093</v>
          </cell>
          <cell r="C545" t="str">
            <v>四川时代蜂族营销策划有限公司</v>
          </cell>
          <cell r="D545">
            <v>45582</v>
          </cell>
          <cell r="E545" t="str">
            <v>河北</v>
          </cell>
        </row>
        <row r="546">
          <cell r="A546" t="str">
            <v>刘谨瑞</v>
          </cell>
          <cell r="B546" t="str">
            <v>01091</v>
          </cell>
          <cell r="C546" t="str">
            <v>山东时代蜂族营销策划有限公司</v>
          </cell>
          <cell r="D546">
            <v>45582</v>
          </cell>
          <cell r="E546" t="str">
            <v>山东</v>
          </cell>
        </row>
        <row r="547">
          <cell r="A547" t="str">
            <v>冯光辉</v>
          </cell>
          <cell r="B547" t="str">
            <v>01096</v>
          </cell>
          <cell r="C547" t="str">
            <v>四川时代蜂族营销策划有限公司</v>
          </cell>
          <cell r="D547">
            <v>45582</v>
          </cell>
          <cell r="E547" t="str">
            <v>西南总部</v>
          </cell>
        </row>
        <row r="548">
          <cell r="A548" t="str">
            <v>黄俊</v>
          </cell>
          <cell r="B548" t="str">
            <v>01092</v>
          </cell>
          <cell r="C548" t="str">
            <v>湖北蜜蜂族房地产经纪有限公司</v>
          </cell>
          <cell r="D548">
            <v>45581</v>
          </cell>
          <cell r="E548" t="str">
            <v>湖北</v>
          </cell>
        </row>
        <row r="549">
          <cell r="A549" t="str">
            <v>吴清华</v>
          </cell>
          <cell r="B549" t="str">
            <v>01090</v>
          </cell>
          <cell r="C549" t="str">
            <v>山东时代蜂族营销策划有限公司</v>
          </cell>
          <cell r="D549">
            <v>45580</v>
          </cell>
          <cell r="E549" t="str">
            <v>山东</v>
          </cell>
        </row>
        <row r="550">
          <cell r="A550" t="str">
            <v>何秋怡</v>
          </cell>
          <cell r="B550" t="str">
            <v>01087</v>
          </cell>
          <cell r="C550" t="str">
            <v>四川时代蜂族营销策划有限公司</v>
          </cell>
          <cell r="D550">
            <v>45579</v>
          </cell>
          <cell r="E550" t="str">
            <v>河南</v>
          </cell>
        </row>
        <row r="551">
          <cell r="A551" t="str">
            <v>岳文</v>
          </cell>
          <cell r="B551" t="str">
            <v>01088</v>
          </cell>
          <cell r="C551" t="str">
            <v>湖北蜜蜂族房地产经纪有限公司</v>
          </cell>
          <cell r="D551">
            <v>45579</v>
          </cell>
          <cell r="E551" t="str">
            <v>湖北</v>
          </cell>
        </row>
        <row r="552">
          <cell r="A552" t="str">
            <v>余星海</v>
          </cell>
          <cell r="B552" t="str">
            <v>01085</v>
          </cell>
          <cell r="C552" t="str">
            <v>湖北蜜蜂族房地产经纪有限公司</v>
          </cell>
          <cell r="D552">
            <v>45579</v>
          </cell>
          <cell r="E552" t="str">
            <v>湖北</v>
          </cell>
        </row>
        <row r="553">
          <cell r="A553" t="str">
            <v>胡建鸳</v>
          </cell>
          <cell r="B553" t="str">
            <v>01086</v>
          </cell>
          <cell r="C553" t="str">
            <v>四川优诺通瑞商贸有限公司</v>
          </cell>
          <cell r="D553">
            <v>45579</v>
          </cell>
          <cell r="E553" t="str">
            <v>西南总部</v>
          </cell>
        </row>
        <row r="554">
          <cell r="A554" t="str">
            <v>张丽2</v>
          </cell>
          <cell r="B554" t="str">
            <v>01082</v>
          </cell>
          <cell r="C554" t="str">
            <v>四川时代蜂族营销策划有限公司</v>
          </cell>
          <cell r="D554">
            <v>45577</v>
          </cell>
          <cell r="E554" t="str">
            <v>西南总部</v>
          </cell>
        </row>
        <row r="555">
          <cell r="A555" t="str">
            <v>李家鸿</v>
          </cell>
          <cell r="B555" t="str">
            <v>01083</v>
          </cell>
          <cell r="C555" t="str">
            <v>湖北蜜蜂族房地产经纪有限公司</v>
          </cell>
          <cell r="D555">
            <v>45577</v>
          </cell>
          <cell r="E555" t="str">
            <v>湖北</v>
          </cell>
        </row>
        <row r="556">
          <cell r="A556" t="str">
            <v>廖常玖</v>
          </cell>
          <cell r="B556" t="str">
            <v>01078</v>
          </cell>
          <cell r="C556" t="str">
            <v>四川时代蜂族营销策划有限公司</v>
          </cell>
          <cell r="D556">
            <v>45577</v>
          </cell>
          <cell r="E556" t="str">
            <v>山西</v>
          </cell>
        </row>
        <row r="557">
          <cell r="A557" t="str">
            <v>陈俊儒2</v>
          </cell>
          <cell r="B557" t="str">
            <v>01080</v>
          </cell>
          <cell r="C557" t="str">
            <v>湖南时代蜂族营销策划有限公司</v>
          </cell>
          <cell r="D557">
            <v>45577</v>
          </cell>
          <cell r="E557" t="str">
            <v>湖南</v>
          </cell>
        </row>
        <row r="558">
          <cell r="A558" t="str">
            <v>王力平</v>
          </cell>
          <cell r="B558" t="str">
            <v>01077</v>
          </cell>
          <cell r="C558" t="str">
            <v>四川时代蜂族营销策划有限公司</v>
          </cell>
          <cell r="D558">
            <v>45576</v>
          </cell>
          <cell r="E558" t="str">
            <v>山西</v>
          </cell>
        </row>
        <row r="559">
          <cell r="A559" t="str">
            <v>周青天</v>
          </cell>
          <cell r="B559" t="str">
            <v>00630</v>
          </cell>
          <cell r="C559" t="str">
            <v>湖南时代蜂族营销策划有限公司</v>
          </cell>
          <cell r="D559">
            <v>45575</v>
          </cell>
          <cell r="E559" t="str">
            <v>西南总部</v>
          </cell>
        </row>
        <row r="560">
          <cell r="A560" t="str">
            <v>周建</v>
          </cell>
          <cell r="B560" t="str">
            <v>01073</v>
          </cell>
          <cell r="C560" t="str">
            <v>山东时代蜂族营销策划有限公司</v>
          </cell>
          <cell r="D560">
            <v>45569</v>
          </cell>
          <cell r="E560" t="str">
            <v>山东</v>
          </cell>
        </row>
        <row r="561">
          <cell r="A561" t="str">
            <v>易香君</v>
          </cell>
          <cell r="B561" t="str">
            <v>01070</v>
          </cell>
          <cell r="C561" t="str">
            <v>山东时代蜂族营销策划有限公司</v>
          </cell>
          <cell r="D561">
            <v>45565</v>
          </cell>
          <cell r="E561" t="str">
            <v>山东</v>
          </cell>
        </row>
        <row r="562">
          <cell r="A562" t="str">
            <v>胡强</v>
          </cell>
          <cell r="B562" t="str">
            <v>01067</v>
          </cell>
          <cell r="C562" t="str">
            <v>山西时代蜂族房地产经纪有限公司</v>
          </cell>
          <cell r="D562">
            <v>45562</v>
          </cell>
          <cell r="E562" t="str">
            <v>山西</v>
          </cell>
        </row>
        <row r="563">
          <cell r="A563" t="str">
            <v>尹稳</v>
          </cell>
          <cell r="B563" t="str">
            <v>01068</v>
          </cell>
          <cell r="C563" t="str">
            <v>四川时代蜂族营销策划有限公司</v>
          </cell>
          <cell r="D563">
            <v>45562</v>
          </cell>
          <cell r="E563" t="str">
            <v>西南总部</v>
          </cell>
        </row>
        <row r="564">
          <cell r="A564" t="str">
            <v>江皓</v>
          </cell>
          <cell r="B564" t="str">
            <v>01065</v>
          </cell>
          <cell r="C564" t="str">
            <v>湖南时代蜂族营销策划有限公司</v>
          </cell>
          <cell r="D564">
            <v>45561</v>
          </cell>
          <cell r="E564" t="str">
            <v>湖南</v>
          </cell>
        </row>
        <row r="565">
          <cell r="A565" t="str">
            <v>王华兴</v>
          </cell>
          <cell r="B565" t="str">
            <v>01066</v>
          </cell>
          <cell r="C565" t="str">
            <v>四川时代蜂族营销策划有限公司</v>
          </cell>
          <cell r="D565">
            <v>45561</v>
          </cell>
          <cell r="E565" t="str">
            <v>西南总部</v>
          </cell>
        </row>
        <row r="566">
          <cell r="A566" t="str">
            <v>冯玉霞</v>
          </cell>
          <cell r="B566" t="str">
            <v>01062</v>
          </cell>
          <cell r="C566" t="str">
            <v>四川时代蜂族营销策划有限公司</v>
          </cell>
          <cell r="D566">
            <v>45559</v>
          </cell>
          <cell r="E566" t="str">
            <v>西南总部</v>
          </cell>
        </row>
        <row r="567">
          <cell r="A567" t="str">
            <v>李小琴</v>
          </cell>
          <cell r="B567" t="str">
            <v>00613</v>
          </cell>
          <cell r="C567" t="str">
            <v>四川时代蜂族营销策划有限公司</v>
          </cell>
          <cell r="D567">
            <v>45556</v>
          </cell>
          <cell r="E567" t="str">
            <v>河北</v>
          </cell>
        </row>
        <row r="568">
          <cell r="A568" t="str">
            <v>谭琴</v>
          </cell>
          <cell r="B568" t="str">
            <v>01053</v>
          </cell>
          <cell r="C568" t="str">
            <v>四川大礼连连科技有限公司</v>
          </cell>
          <cell r="D568">
            <v>45553</v>
          </cell>
          <cell r="E568" t="str">
            <v>西南总部</v>
          </cell>
        </row>
        <row r="569">
          <cell r="A569" t="str">
            <v>李欣然</v>
          </cell>
          <cell r="B569" t="str">
            <v>01050</v>
          </cell>
          <cell r="C569" t="str">
            <v>河北时代蜂族营销策划有限公司</v>
          </cell>
          <cell r="D569">
            <v>45548</v>
          </cell>
          <cell r="E569" t="str">
            <v>河北</v>
          </cell>
        </row>
        <row r="570">
          <cell r="A570" t="str">
            <v>张圣梁</v>
          </cell>
          <cell r="B570" t="str">
            <v>01047</v>
          </cell>
          <cell r="C570" t="str">
            <v>四川时代蜂族营销策划有限公司</v>
          </cell>
          <cell r="D570">
            <v>45545</v>
          </cell>
          <cell r="E570" t="str">
            <v>西南总部</v>
          </cell>
        </row>
        <row r="571">
          <cell r="A571" t="str">
            <v>马发平</v>
          </cell>
          <cell r="B571" t="str">
            <v>01046</v>
          </cell>
          <cell r="C571" t="str">
            <v>四川时代蜂族营销策划有限公司</v>
          </cell>
          <cell r="D571">
            <v>45539</v>
          </cell>
          <cell r="E571" t="str">
            <v>山西</v>
          </cell>
        </row>
        <row r="572">
          <cell r="A572" t="str">
            <v>袁廷蛟</v>
          </cell>
          <cell r="B572" t="str">
            <v>01045</v>
          </cell>
          <cell r="C572" t="str">
            <v>四川时代蜂族营销策划有限公司</v>
          </cell>
          <cell r="D572">
            <v>45538</v>
          </cell>
          <cell r="E572" t="str">
            <v>西南总部</v>
          </cell>
        </row>
        <row r="573">
          <cell r="A573" t="str">
            <v>罗征</v>
          </cell>
          <cell r="B573" t="str">
            <v>01044</v>
          </cell>
          <cell r="C573" t="str">
            <v>四川时代蜂族营销策划有限公司</v>
          </cell>
          <cell r="D573">
            <v>45538</v>
          </cell>
          <cell r="E573" t="str">
            <v>西南总部</v>
          </cell>
        </row>
        <row r="574">
          <cell r="A574" t="str">
            <v>龙峻杰</v>
          </cell>
          <cell r="B574" t="str">
            <v>01043</v>
          </cell>
          <cell r="C574" t="str">
            <v>四川蜂起营销策划有限公司</v>
          </cell>
          <cell r="D574">
            <v>45537</v>
          </cell>
          <cell r="E574" t="str">
            <v>西南总部</v>
          </cell>
        </row>
        <row r="575">
          <cell r="A575" t="str">
            <v>罗津俞</v>
          </cell>
          <cell r="B575" t="str">
            <v>01042</v>
          </cell>
          <cell r="C575" t="str">
            <v>四川时代蜂族营销策划有限公司</v>
          </cell>
          <cell r="D575">
            <v>45536</v>
          </cell>
          <cell r="E575" t="str">
            <v>西南总部</v>
          </cell>
        </row>
        <row r="576">
          <cell r="A576" t="str">
            <v>刘丽萍</v>
          </cell>
          <cell r="B576" t="str">
            <v>01040</v>
          </cell>
          <cell r="C576" t="str">
            <v>四川时代蜂族营销策划有限公司</v>
          </cell>
          <cell r="D576">
            <v>45535</v>
          </cell>
          <cell r="E576" t="str">
            <v>西南总部</v>
          </cell>
        </row>
        <row r="577">
          <cell r="A577" t="str">
            <v>贾春燕</v>
          </cell>
          <cell r="B577" t="str">
            <v>01031</v>
          </cell>
          <cell r="C577" t="str">
            <v>四川时代蜂族营销策划有限公司</v>
          </cell>
          <cell r="D577">
            <v>45530</v>
          </cell>
          <cell r="E577" t="str">
            <v>西南总部</v>
          </cell>
        </row>
        <row r="578">
          <cell r="A578" t="str">
            <v>李鑫3</v>
          </cell>
          <cell r="B578" t="str">
            <v>01029</v>
          </cell>
          <cell r="C578" t="str">
            <v>四川金巴牛网络科技有限公司</v>
          </cell>
          <cell r="D578">
            <v>45530</v>
          </cell>
          <cell r="E578" t="str">
            <v>西南总部</v>
          </cell>
        </row>
        <row r="579">
          <cell r="A579" t="str">
            <v>蒲建宇</v>
          </cell>
          <cell r="B579" t="str">
            <v>01028</v>
          </cell>
          <cell r="C579" t="str">
            <v>山东时代蜂族营销策划有限公司</v>
          </cell>
          <cell r="D579">
            <v>45529</v>
          </cell>
          <cell r="E579" t="str">
            <v>山东</v>
          </cell>
        </row>
        <row r="580">
          <cell r="A580" t="str">
            <v>陈竺</v>
          </cell>
          <cell r="B580" t="str">
            <v>01019</v>
          </cell>
          <cell r="C580" t="str">
            <v>湖北蜜蜂族房地产经纪有限公司</v>
          </cell>
          <cell r="D580">
            <v>45526</v>
          </cell>
          <cell r="E580" t="str">
            <v>湖北</v>
          </cell>
        </row>
        <row r="581">
          <cell r="A581" t="str">
            <v>张黎明</v>
          </cell>
          <cell r="B581" t="str">
            <v>01018</v>
          </cell>
          <cell r="C581" t="str">
            <v>四川时代蜂族营销策划有限公司</v>
          </cell>
          <cell r="D581">
            <v>45525</v>
          </cell>
          <cell r="E581" t="str">
            <v>西南总部</v>
          </cell>
        </row>
        <row r="582">
          <cell r="A582" t="str">
            <v>苏佳倩</v>
          </cell>
          <cell r="B582" t="str">
            <v>01016</v>
          </cell>
          <cell r="C582" t="str">
            <v>陕西蜂族科技有限公司</v>
          </cell>
          <cell r="D582">
            <v>45523</v>
          </cell>
          <cell r="E582" t="str">
            <v>陕西</v>
          </cell>
        </row>
        <row r="583">
          <cell r="A583" t="str">
            <v>曾祥忠</v>
          </cell>
          <cell r="B583" t="str">
            <v>01010</v>
          </cell>
          <cell r="C583" t="str">
            <v>陕西蜂族科技有限公司</v>
          </cell>
          <cell r="D583">
            <v>45521</v>
          </cell>
          <cell r="E583" t="str">
            <v>陕西</v>
          </cell>
        </row>
        <row r="584">
          <cell r="A584" t="str">
            <v>郭平</v>
          </cell>
          <cell r="B584" t="str">
            <v>01009</v>
          </cell>
          <cell r="C584" t="str">
            <v>四川时代蜂族营销策划有限公司</v>
          </cell>
          <cell r="D584">
            <v>45520</v>
          </cell>
          <cell r="E584" t="str">
            <v>河南</v>
          </cell>
        </row>
        <row r="585">
          <cell r="A585" t="str">
            <v>万硕佳</v>
          </cell>
          <cell r="B585" t="str">
            <v>01004</v>
          </cell>
          <cell r="C585" t="str">
            <v>四川时代蜂族营销策划有限公司</v>
          </cell>
          <cell r="D585">
            <v>45516</v>
          </cell>
          <cell r="E585" t="str">
            <v>西南总部</v>
          </cell>
        </row>
        <row r="586">
          <cell r="A586" t="str">
            <v>泡里来们</v>
          </cell>
          <cell r="B586" t="str">
            <v>01005</v>
          </cell>
          <cell r="C586" t="str">
            <v>四川时代蜂族营销策划有限公司</v>
          </cell>
          <cell r="D586">
            <v>45516</v>
          </cell>
          <cell r="E586" t="str">
            <v>西南总部</v>
          </cell>
        </row>
        <row r="587">
          <cell r="A587" t="str">
            <v>申慧</v>
          </cell>
          <cell r="B587" t="str">
            <v>01003</v>
          </cell>
          <cell r="C587" t="str">
            <v>四川时代蜂族营销策划有限公司</v>
          </cell>
          <cell r="D587">
            <v>45515</v>
          </cell>
          <cell r="E587" t="str">
            <v>西南总部</v>
          </cell>
        </row>
        <row r="588">
          <cell r="A588" t="str">
            <v>李佳</v>
          </cell>
          <cell r="B588" t="str">
            <v>01002</v>
          </cell>
          <cell r="C588" t="str">
            <v>四川时代蜂族营销策划有限公司</v>
          </cell>
          <cell r="D588">
            <v>45514</v>
          </cell>
          <cell r="E588" t="str">
            <v>西南总部</v>
          </cell>
        </row>
        <row r="589">
          <cell r="A589" t="str">
            <v>唐维</v>
          </cell>
          <cell r="B589" t="str">
            <v>00998</v>
          </cell>
          <cell r="C589" t="str">
            <v>四川时代蜂族营销策划有限公司</v>
          </cell>
          <cell r="D589">
            <v>45511</v>
          </cell>
          <cell r="E589" t="str">
            <v>辽宁</v>
          </cell>
        </row>
        <row r="590">
          <cell r="A590" t="str">
            <v>张云芳</v>
          </cell>
          <cell r="B590" t="str">
            <v>00988</v>
          </cell>
          <cell r="C590" t="str">
            <v>四川时代蜂族营销策划有限公司</v>
          </cell>
          <cell r="D590">
            <v>45505</v>
          </cell>
          <cell r="E590" t="str">
            <v>西南总部</v>
          </cell>
        </row>
        <row r="591">
          <cell r="A591" t="str">
            <v>周昕</v>
          </cell>
          <cell r="B591" t="str">
            <v>00991</v>
          </cell>
          <cell r="C591" t="str">
            <v>山西时代蜂族房地产经纪有限公司</v>
          </cell>
          <cell r="D591">
            <v>45505</v>
          </cell>
          <cell r="E591" t="str">
            <v>山西</v>
          </cell>
        </row>
        <row r="592">
          <cell r="A592" t="str">
            <v>李洋</v>
          </cell>
          <cell r="B592" t="str">
            <v>00993</v>
          </cell>
          <cell r="C592" t="str">
            <v>山东时代蜂族营销策划有限公司</v>
          </cell>
          <cell r="D592">
            <v>45505</v>
          </cell>
          <cell r="E592" t="str">
            <v>山东</v>
          </cell>
        </row>
        <row r="593">
          <cell r="A593" t="str">
            <v>赵龙</v>
          </cell>
          <cell r="B593" t="str">
            <v>00996</v>
          </cell>
          <cell r="C593" t="str">
            <v>山西时代蜂族房地产经纪有限公司</v>
          </cell>
          <cell r="D593">
            <v>45502</v>
          </cell>
          <cell r="E593" t="str">
            <v>山西</v>
          </cell>
        </row>
        <row r="594">
          <cell r="A594" t="str">
            <v>郭永曼</v>
          </cell>
          <cell r="B594" t="str">
            <v>00984</v>
          </cell>
          <cell r="C594" t="str">
            <v>山西时代蜂族房地产经纪有限公司</v>
          </cell>
          <cell r="D594">
            <v>45502</v>
          </cell>
          <cell r="E594" t="str">
            <v>山西</v>
          </cell>
        </row>
        <row r="595">
          <cell r="A595" t="str">
            <v>刘聪</v>
          </cell>
          <cell r="B595" t="str">
            <v>00982</v>
          </cell>
          <cell r="C595" t="str">
            <v>陕西蜂族科技有限公司</v>
          </cell>
          <cell r="D595">
            <v>45499</v>
          </cell>
          <cell r="E595" t="str">
            <v>陕西</v>
          </cell>
        </row>
        <row r="596">
          <cell r="A596" t="str">
            <v>陈政阳</v>
          </cell>
          <cell r="B596" t="str">
            <v>00979</v>
          </cell>
          <cell r="C596" t="str">
            <v>四川时代蜂族营销策划有限公司</v>
          </cell>
          <cell r="D596">
            <v>45497</v>
          </cell>
          <cell r="E596" t="str">
            <v>西南总部</v>
          </cell>
        </row>
        <row r="597">
          <cell r="A597" t="str">
            <v>王锦涛</v>
          </cell>
          <cell r="B597" t="str">
            <v>00978</v>
          </cell>
          <cell r="C597" t="str">
            <v>陕西蜂族科技有限公司</v>
          </cell>
          <cell r="D597">
            <v>45496</v>
          </cell>
          <cell r="E597" t="str">
            <v>甘肃</v>
          </cell>
        </row>
        <row r="598">
          <cell r="A598" t="str">
            <v>张亚娟</v>
          </cell>
          <cell r="B598" t="str">
            <v>00975</v>
          </cell>
          <cell r="C598" t="str">
            <v>湖北蜜蜂族房地产经纪有限公司</v>
          </cell>
          <cell r="D598">
            <v>45495</v>
          </cell>
          <cell r="E598" t="str">
            <v>湖北</v>
          </cell>
        </row>
        <row r="599">
          <cell r="A599" t="str">
            <v>杨翠茹</v>
          </cell>
          <cell r="B599" t="str">
            <v>00970</v>
          </cell>
          <cell r="C599" t="str">
            <v>四川时代蜂族营销策划有限公司</v>
          </cell>
          <cell r="D599">
            <v>45491</v>
          </cell>
          <cell r="E599" t="str">
            <v>西南总部</v>
          </cell>
        </row>
        <row r="600">
          <cell r="A600" t="str">
            <v>胡建忠</v>
          </cell>
          <cell r="B600" t="str">
            <v>00966</v>
          </cell>
          <cell r="C600" t="str">
            <v>四川时代蜂族营销策划有限公司</v>
          </cell>
          <cell r="D600">
            <v>45485</v>
          </cell>
          <cell r="E600" t="str">
            <v>西南总部</v>
          </cell>
        </row>
        <row r="601">
          <cell r="A601" t="str">
            <v>王杰</v>
          </cell>
          <cell r="B601" t="str">
            <v>00961</v>
          </cell>
          <cell r="C601" t="str">
            <v>山东时代蜂族营销策划有限公司</v>
          </cell>
          <cell r="D601">
            <v>45482</v>
          </cell>
          <cell r="E601" t="str">
            <v>山东</v>
          </cell>
        </row>
        <row r="602">
          <cell r="A602" t="str">
            <v>古天鹏</v>
          </cell>
          <cell r="B602" t="str">
            <v>00960</v>
          </cell>
          <cell r="C602" t="str">
            <v>四川蜂起营销策划有限公司</v>
          </cell>
          <cell r="D602">
            <v>45481</v>
          </cell>
          <cell r="E602" t="str">
            <v>西南总部</v>
          </cell>
        </row>
        <row r="603">
          <cell r="A603" t="str">
            <v>宋红江</v>
          </cell>
          <cell r="B603" t="str">
            <v>00958</v>
          </cell>
          <cell r="C603" t="str">
            <v>陕西蜂族科技有限公司</v>
          </cell>
          <cell r="D603">
            <v>45480</v>
          </cell>
          <cell r="E603" t="str">
            <v>陕西</v>
          </cell>
        </row>
        <row r="604">
          <cell r="A604" t="str">
            <v>陈超2</v>
          </cell>
          <cell r="B604" t="str">
            <v>00956</v>
          </cell>
          <cell r="C604" t="str">
            <v>四川时代蜂族营销策划有限公司</v>
          </cell>
          <cell r="D604">
            <v>45477</v>
          </cell>
          <cell r="E604" t="str">
            <v>西南总部</v>
          </cell>
        </row>
        <row r="605">
          <cell r="A605" t="str">
            <v>周欣</v>
          </cell>
          <cell r="B605" t="str">
            <v>00954</v>
          </cell>
          <cell r="C605" t="str">
            <v>四川时代蜂族营销策划有限公司</v>
          </cell>
          <cell r="D605">
            <v>45477</v>
          </cell>
          <cell r="E605" t="str">
            <v>西南总部</v>
          </cell>
        </row>
        <row r="606">
          <cell r="A606" t="str">
            <v>谭东</v>
          </cell>
          <cell r="B606" t="str">
            <v>00955</v>
          </cell>
          <cell r="C606" t="str">
            <v>山西时代蜂族房地产经纪有限公司</v>
          </cell>
          <cell r="D606">
            <v>45477</v>
          </cell>
          <cell r="E606" t="str">
            <v>山西</v>
          </cell>
        </row>
        <row r="607">
          <cell r="A607" t="str">
            <v>刘礼军</v>
          </cell>
          <cell r="B607" t="str">
            <v>00951</v>
          </cell>
          <cell r="C607" t="str">
            <v>陕西蜂族科技有限公司</v>
          </cell>
          <cell r="D607">
            <v>45475</v>
          </cell>
          <cell r="E607" t="str">
            <v>陕西</v>
          </cell>
        </row>
        <row r="608">
          <cell r="A608" t="str">
            <v>杨鹏</v>
          </cell>
          <cell r="B608" t="str">
            <v>00950</v>
          </cell>
          <cell r="C608" t="str">
            <v>四川时代蜂族营销策划有限公司</v>
          </cell>
          <cell r="D608">
            <v>45475</v>
          </cell>
          <cell r="E608" t="str">
            <v>西南总部</v>
          </cell>
        </row>
        <row r="609">
          <cell r="A609" t="str">
            <v>陈薇</v>
          </cell>
          <cell r="B609" t="str">
            <v>00948</v>
          </cell>
          <cell r="C609" t="str">
            <v>河南蜜蜂族营销策划有限公司</v>
          </cell>
          <cell r="D609">
            <v>45474</v>
          </cell>
          <cell r="E609" t="str">
            <v>河南</v>
          </cell>
        </row>
        <row r="610">
          <cell r="A610" t="str">
            <v>王超2</v>
          </cell>
          <cell r="B610" t="str">
            <v>00945</v>
          </cell>
          <cell r="C610" t="str">
            <v>陕西蜂族科技有限公司</v>
          </cell>
          <cell r="D610">
            <v>45467</v>
          </cell>
          <cell r="E610" t="str">
            <v>陕西</v>
          </cell>
        </row>
        <row r="611">
          <cell r="A611" t="str">
            <v>赵敏</v>
          </cell>
          <cell r="B611" t="str">
            <v>00943</v>
          </cell>
          <cell r="C611" t="str">
            <v>山西时代蜂族房地产经纪有限公司</v>
          </cell>
          <cell r="D611">
            <v>45467</v>
          </cell>
          <cell r="E611" t="str">
            <v>山西</v>
          </cell>
        </row>
        <row r="612">
          <cell r="A612" t="str">
            <v>周乐意</v>
          </cell>
          <cell r="B612" t="str">
            <v>00944</v>
          </cell>
          <cell r="C612" t="str">
            <v>四川时代蜂族营销策划有限公司</v>
          </cell>
          <cell r="D612">
            <v>45467</v>
          </cell>
          <cell r="E612" t="str">
            <v>西南总部</v>
          </cell>
        </row>
        <row r="613">
          <cell r="A613" t="str">
            <v>周敏</v>
          </cell>
          <cell r="B613" t="str">
            <v>00941</v>
          </cell>
          <cell r="C613" t="str">
            <v>成都蓉天城房地产营销策划有限公司</v>
          </cell>
          <cell r="D613">
            <v>45464</v>
          </cell>
          <cell r="E613" t="str">
            <v>西南总部</v>
          </cell>
        </row>
        <row r="614">
          <cell r="A614" t="str">
            <v>李悬</v>
          </cell>
          <cell r="B614" t="str">
            <v>00942</v>
          </cell>
          <cell r="C614" t="str">
            <v>山西时代蜂族房地产经纪有限公司</v>
          </cell>
          <cell r="D614">
            <v>45464</v>
          </cell>
          <cell r="E614" t="str">
            <v>山西</v>
          </cell>
        </row>
        <row r="615">
          <cell r="A615" t="str">
            <v>郑景慕</v>
          </cell>
          <cell r="B615" t="str">
            <v>00938</v>
          </cell>
          <cell r="C615" t="str">
            <v>四川时代蜂族营销策划有限公司</v>
          </cell>
          <cell r="D615">
            <v>45462</v>
          </cell>
          <cell r="E615" t="str">
            <v>西南总部</v>
          </cell>
        </row>
        <row r="616">
          <cell r="A616" t="str">
            <v>郭继伟</v>
          </cell>
          <cell r="B616" t="str">
            <v>00939</v>
          </cell>
          <cell r="C616" t="str">
            <v>陕西蜂族科技有限公司</v>
          </cell>
          <cell r="D616">
            <v>45462</v>
          </cell>
          <cell r="E616" t="str">
            <v>陕西</v>
          </cell>
        </row>
        <row r="617">
          <cell r="A617" t="str">
            <v>冯郑</v>
          </cell>
          <cell r="B617" t="str">
            <v>00933</v>
          </cell>
          <cell r="C617" t="str">
            <v>四川时代蜂族营销策划有限公司</v>
          </cell>
          <cell r="D617">
            <v>45448</v>
          </cell>
          <cell r="E617" t="str">
            <v>西南总部</v>
          </cell>
        </row>
        <row r="618">
          <cell r="A618" t="str">
            <v>李晓梅</v>
          </cell>
          <cell r="B618" t="str">
            <v>00929</v>
          </cell>
          <cell r="C618" t="str">
            <v>四川时代蜂族营销策划有限公司</v>
          </cell>
          <cell r="D618">
            <v>45446</v>
          </cell>
          <cell r="E618" t="str">
            <v>西南总部</v>
          </cell>
        </row>
        <row r="619">
          <cell r="A619" t="str">
            <v>杨虹艳</v>
          </cell>
          <cell r="B619" t="str">
            <v>00928</v>
          </cell>
          <cell r="C619" t="str">
            <v>四川时代蜂族营销策划有限公司</v>
          </cell>
          <cell r="D619">
            <v>45446</v>
          </cell>
          <cell r="E619" t="str">
            <v>西南总部</v>
          </cell>
        </row>
        <row r="620">
          <cell r="A620" t="str">
            <v>徐子康</v>
          </cell>
          <cell r="B620" t="str">
            <v>00925</v>
          </cell>
          <cell r="C620" t="str">
            <v>湖南时代蜂族营销策划有限公司</v>
          </cell>
          <cell r="D620">
            <v>45445</v>
          </cell>
          <cell r="E620" t="str">
            <v>湖南</v>
          </cell>
        </row>
        <row r="621">
          <cell r="A621" t="str">
            <v>周文</v>
          </cell>
          <cell r="B621" t="str">
            <v>00924</v>
          </cell>
          <cell r="C621" t="str">
            <v>陕西蜂族科技有限公司</v>
          </cell>
          <cell r="D621">
            <v>45444</v>
          </cell>
          <cell r="E621" t="str">
            <v>陕西</v>
          </cell>
        </row>
        <row r="622">
          <cell r="A622" t="str">
            <v>张彬</v>
          </cell>
          <cell r="B622" t="str">
            <v>00923</v>
          </cell>
          <cell r="C622" t="str">
            <v>湖北蜜蜂族房地产经纪有限公司</v>
          </cell>
          <cell r="D622">
            <v>45443</v>
          </cell>
          <cell r="E622" t="str">
            <v>湖北</v>
          </cell>
        </row>
        <row r="623">
          <cell r="A623" t="str">
            <v>冯乙航</v>
          </cell>
          <cell r="B623" t="str">
            <v>00922</v>
          </cell>
          <cell r="C623" t="str">
            <v>四川时代蜂族营销策划有限公司</v>
          </cell>
          <cell r="D623">
            <v>45442</v>
          </cell>
          <cell r="E623" t="str">
            <v>西南总部</v>
          </cell>
        </row>
        <row r="624">
          <cell r="A624" t="str">
            <v>张梁</v>
          </cell>
          <cell r="B624" t="str">
            <v>00921</v>
          </cell>
          <cell r="C624" t="str">
            <v>四川时代蜂族营销策划有限公司</v>
          </cell>
          <cell r="D624">
            <v>45442</v>
          </cell>
          <cell r="E624" t="str">
            <v>西南总部</v>
          </cell>
        </row>
        <row r="625">
          <cell r="A625" t="str">
            <v>李桃</v>
          </cell>
          <cell r="B625" t="str">
            <v>00917</v>
          </cell>
          <cell r="C625" t="str">
            <v>四川时代蜂族营销策划有限公司</v>
          </cell>
          <cell r="D625">
            <v>45437</v>
          </cell>
          <cell r="E625" t="str">
            <v>西南总部</v>
          </cell>
        </row>
        <row r="626">
          <cell r="A626" t="str">
            <v>张雨盈</v>
          </cell>
          <cell r="B626" t="str">
            <v>00916</v>
          </cell>
          <cell r="C626" t="str">
            <v>四川大礼连连科技有限公司</v>
          </cell>
          <cell r="D626">
            <v>45436</v>
          </cell>
          <cell r="E626" t="str">
            <v>西南总部</v>
          </cell>
        </row>
        <row r="627">
          <cell r="A627" t="str">
            <v>左嘉南</v>
          </cell>
          <cell r="B627" t="str">
            <v>00915</v>
          </cell>
          <cell r="C627" t="str">
            <v>四川时代蜂族营销策划有限公司</v>
          </cell>
          <cell r="D627">
            <v>45435</v>
          </cell>
          <cell r="E627" t="str">
            <v>西南总部</v>
          </cell>
        </row>
        <row r="628">
          <cell r="A628" t="str">
            <v>彭小琴</v>
          </cell>
          <cell r="B628" t="str">
            <v>00914</v>
          </cell>
          <cell r="C628" t="str">
            <v>四川时代蜂族营销策划有限公司</v>
          </cell>
          <cell r="D628">
            <v>45435</v>
          </cell>
          <cell r="E628" t="str">
            <v>西南总部</v>
          </cell>
        </row>
        <row r="629">
          <cell r="A629" t="str">
            <v>杨芊</v>
          </cell>
          <cell r="B629" t="str">
            <v>00912</v>
          </cell>
          <cell r="C629" t="str">
            <v>四川时代蜂族营销策划有限公司</v>
          </cell>
          <cell r="D629">
            <v>45434</v>
          </cell>
          <cell r="E629" t="str">
            <v>西南总部</v>
          </cell>
        </row>
        <row r="630">
          <cell r="A630" t="str">
            <v>朱清</v>
          </cell>
          <cell r="B630" t="str">
            <v>00910</v>
          </cell>
          <cell r="C630" t="str">
            <v>四川时代蜂族营销策划有限公司</v>
          </cell>
          <cell r="D630">
            <v>45433</v>
          </cell>
          <cell r="E630" t="str">
            <v>西南总部</v>
          </cell>
        </row>
        <row r="631">
          <cell r="A631" t="str">
            <v>曾令兰</v>
          </cell>
          <cell r="B631" t="str">
            <v>00691</v>
          </cell>
          <cell r="C631" t="str">
            <v>湖北蜜蜂族房地产经纪有限公司</v>
          </cell>
          <cell r="D631">
            <v>45432</v>
          </cell>
          <cell r="E631" t="str">
            <v>湖北</v>
          </cell>
        </row>
        <row r="632">
          <cell r="A632" t="str">
            <v>杨波</v>
          </cell>
          <cell r="B632" t="str">
            <v>00906</v>
          </cell>
          <cell r="C632" t="str">
            <v>四川时代蜂族营销策划有限公司</v>
          </cell>
          <cell r="D632">
            <v>45431</v>
          </cell>
          <cell r="E632" t="str">
            <v>西南总部</v>
          </cell>
        </row>
        <row r="633">
          <cell r="A633" t="str">
            <v>陈龙</v>
          </cell>
          <cell r="B633" t="str">
            <v>00904</v>
          </cell>
          <cell r="C633" t="str">
            <v>河北时代蜂族营销策划有限公司</v>
          </cell>
          <cell r="D633">
            <v>45430</v>
          </cell>
          <cell r="E633" t="str">
            <v>山东</v>
          </cell>
        </row>
        <row r="634">
          <cell r="A634" t="str">
            <v>范优强</v>
          </cell>
          <cell r="B634" t="str">
            <v>00905</v>
          </cell>
          <cell r="C634" t="str">
            <v>兰州时代蜂族营销策划有限公司</v>
          </cell>
          <cell r="D634">
            <v>45430</v>
          </cell>
          <cell r="E634" t="str">
            <v>甘肃</v>
          </cell>
        </row>
        <row r="635">
          <cell r="A635" t="str">
            <v>许春艳</v>
          </cell>
          <cell r="B635" t="str">
            <v>00901</v>
          </cell>
          <cell r="C635" t="str">
            <v>四川时代蜂族营销策划有限公司</v>
          </cell>
          <cell r="D635">
            <v>45429</v>
          </cell>
          <cell r="E635" t="str">
            <v>西南总部</v>
          </cell>
        </row>
        <row r="636">
          <cell r="A636" t="str">
            <v>艾林</v>
          </cell>
          <cell r="B636" t="str">
            <v>00896</v>
          </cell>
          <cell r="C636" t="str">
            <v>山西时代蜂族房地产经纪有限公司</v>
          </cell>
          <cell r="D636">
            <v>45427</v>
          </cell>
          <cell r="E636" t="str">
            <v>山西</v>
          </cell>
        </row>
        <row r="637">
          <cell r="A637" t="str">
            <v>吴江平</v>
          </cell>
          <cell r="B637" t="str">
            <v>00898</v>
          </cell>
          <cell r="C637" t="str">
            <v>四川时代蜂族营销策划有限公司</v>
          </cell>
          <cell r="D637">
            <v>45427</v>
          </cell>
          <cell r="E637" t="str">
            <v>山东</v>
          </cell>
        </row>
        <row r="638">
          <cell r="A638" t="str">
            <v>吴洪蝶</v>
          </cell>
          <cell r="B638" t="str">
            <v>00893</v>
          </cell>
          <cell r="C638" t="str">
            <v>四川时代蜂族营销策划有限公司</v>
          </cell>
          <cell r="D638">
            <v>45425</v>
          </cell>
          <cell r="E638" t="str">
            <v>西南总部</v>
          </cell>
        </row>
        <row r="639">
          <cell r="A639" t="str">
            <v>刘姚林</v>
          </cell>
          <cell r="B639" t="str">
            <v>00888</v>
          </cell>
          <cell r="C639" t="str">
            <v>山西时代蜂族房地产经纪有限公司</v>
          </cell>
          <cell r="D639">
            <v>45420</v>
          </cell>
          <cell r="E639" t="str">
            <v>山西</v>
          </cell>
        </row>
        <row r="640">
          <cell r="A640" t="str">
            <v>李鑫2</v>
          </cell>
          <cell r="B640" t="str">
            <v>00886</v>
          </cell>
          <cell r="C640" t="str">
            <v>四川时代蜂族营销策划有限公司</v>
          </cell>
          <cell r="D640">
            <v>45414</v>
          </cell>
          <cell r="E640" t="str">
            <v>河南</v>
          </cell>
        </row>
        <row r="641">
          <cell r="A641" t="str">
            <v>田银萍</v>
          </cell>
          <cell r="B641" t="str">
            <v>00875</v>
          </cell>
          <cell r="C641" t="str">
            <v>湖北蜜蜂族房地产经纪有限公司</v>
          </cell>
          <cell r="D641">
            <v>45408</v>
          </cell>
          <cell r="E641" t="str">
            <v>湖北</v>
          </cell>
        </row>
        <row r="642">
          <cell r="A642" t="str">
            <v>陈帅</v>
          </cell>
          <cell r="B642" t="str">
            <v>00883</v>
          </cell>
          <cell r="C642" t="str">
            <v>四川时代蜂族营销策划有限公司</v>
          </cell>
          <cell r="D642">
            <v>45406</v>
          </cell>
          <cell r="E642" t="str">
            <v>西南总部</v>
          </cell>
        </row>
        <row r="643">
          <cell r="A643" t="str">
            <v>谭海芹</v>
          </cell>
          <cell r="B643" t="str">
            <v>00878</v>
          </cell>
          <cell r="C643" t="str">
            <v>湖南时代蜂族营销策划有限公司</v>
          </cell>
          <cell r="D643">
            <v>45404</v>
          </cell>
          <cell r="E643" t="str">
            <v>湖南</v>
          </cell>
        </row>
        <row r="644">
          <cell r="A644" t="str">
            <v>罗瑞</v>
          </cell>
          <cell r="B644" t="str">
            <v>00873</v>
          </cell>
          <cell r="C644" t="str">
            <v>河南蜜蜂族营销策划有限公司</v>
          </cell>
          <cell r="D644">
            <v>45401</v>
          </cell>
          <cell r="E644" t="str">
            <v>河南</v>
          </cell>
        </row>
        <row r="645">
          <cell r="A645" t="str">
            <v>刘洋2</v>
          </cell>
          <cell r="B645" t="str">
            <v>00874</v>
          </cell>
          <cell r="C645" t="str">
            <v>河南蜜蜂族营销策划有限公司</v>
          </cell>
          <cell r="D645">
            <v>45401</v>
          </cell>
          <cell r="E645" t="str">
            <v>河南</v>
          </cell>
        </row>
        <row r="646">
          <cell r="A646" t="str">
            <v>周涛</v>
          </cell>
          <cell r="B646" t="str">
            <v>00869</v>
          </cell>
          <cell r="C646" t="str">
            <v>山东时代蜂族营销策划有限公司</v>
          </cell>
          <cell r="D646">
            <v>45400</v>
          </cell>
          <cell r="E646" t="str">
            <v>山东</v>
          </cell>
        </row>
        <row r="647">
          <cell r="A647" t="str">
            <v>吕瑞仙</v>
          </cell>
          <cell r="B647" t="str">
            <v>00864</v>
          </cell>
          <cell r="C647" t="str">
            <v>陕西蜂族科技有限公司</v>
          </cell>
          <cell r="D647">
            <v>45390</v>
          </cell>
          <cell r="E647" t="str">
            <v>陕西</v>
          </cell>
        </row>
        <row r="648">
          <cell r="A648" t="str">
            <v>寇美玲</v>
          </cell>
          <cell r="B648" t="str">
            <v>00862</v>
          </cell>
          <cell r="C648" t="str">
            <v>四川时代蜂族营销策划有限公司</v>
          </cell>
          <cell r="D648">
            <v>45384</v>
          </cell>
          <cell r="E648" t="str">
            <v>西南总部</v>
          </cell>
        </row>
        <row r="649">
          <cell r="A649" t="str">
            <v>王涛涛</v>
          </cell>
          <cell r="B649" t="str">
            <v>00861</v>
          </cell>
          <cell r="C649" t="str">
            <v>陕西蜂族科技有限公司</v>
          </cell>
          <cell r="D649">
            <v>45384</v>
          </cell>
          <cell r="E649" t="str">
            <v>陕西</v>
          </cell>
        </row>
        <row r="650">
          <cell r="A650" t="str">
            <v>叶献颐</v>
          </cell>
          <cell r="B650" t="str">
            <v>00863</v>
          </cell>
          <cell r="C650" t="str">
            <v>山东时代蜂族营销策划有限公司</v>
          </cell>
          <cell r="D650">
            <v>45384</v>
          </cell>
          <cell r="E650" t="str">
            <v>山东</v>
          </cell>
        </row>
        <row r="651">
          <cell r="A651" t="str">
            <v>谢铭</v>
          </cell>
          <cell r="B651" t="str">
            <v>00860</v>
          </cell>
          <cell r="C651" t="str">
            <v>四川时代蜂族营销策划有限公司</v>
          </cell>
          <cell r="D651">
            <v>45383</v>
          </cell>
          <cell r="E651" t="str">
            <v>西南总部</v>
          </cell>
        </row>
        <row r="652">
          <cell r="A652" t="str">
            <v>刘军</v>
          </cell>
          <cell r="B652" t="str">
            <v>00856</v>
          </cell>
          <cell r="C652" t="str">
            <v>四川时代蜂族营销策划有限公司</v>
          </cell>
          <cell r="D652">
            <v>45377</v>
          </cell>
          <cell r="E652" t="str">
            <v>山西</v>
          </cell>
        </row>
        <row r="653">
          <cell r="A653" t="str">
            <v>陈其</v>
          </cell>
          <cell r="B653" t="str">
            <v>00857</v>
          </cell>
          <cell r="C653" t="str">
            <v>四川时代蜂族营销策划有限公司</v>
          </cell>
          <cell r="D653">
            <v>45377</v>
          </cell>
          <cell r="E653" t="str">
            <v>河北</v>
          </cell>
        </row>
        <row r="654">
          <cell r="A654" t="str">
            <v>邓岗</v>
          </cell>
          <cell r="B654" t="str">
            <v>00853</v>
          </cell>
          <cell r="C654" t="str">
            <v>河南蜜蜂族营销策划有限公司</v>
          </cell>
          <cell r="D654">
            <v>45371</v>
          </cell>
          <cell r="E654" t="str">
            <v>河南</v>
          </cell>
        </row>
        <row r="655">
          <cell r="A655" t="str">
            <v>郑菊</v>
          </cell>
          <cell r="B655" t="str">
            <v>00855</v>
          </cell>
          <cell r="C655" t="str">
            <v>四川时代蜂族营销策划有限公司</v>
          </cell>
          <cell r="D655">
            <v>45371</v>
          </cell>
          <cell r="E655" t="str">
            <v>西南总部</v>
          </cell>
        </row>
        <row r="656">
          <cell r="A656" t="str">
            <v>邵亮</v>
          </cell>
          <cell r="B656" t="str">
            <v>00849</v>
          </cell>
          <cell r="C656" t="str">
            <v>陕西蜂族科技有限公司</v>
          </cell>
          <cell r="D656">
            <v>45364</v>
          </cell>
          <cell r="E656" t="str">
            <v>陕西</v>
          </cell>
        </row>
        <row r="657">
          <cell r="A657" t="str">
            <v>王强2</v>
          </cell>
          <cell r="B657" t="str">
            <v>00847</v>
          </cell>
          <cell r="C657" t="str">
            <v>四川时代蜂族营销策划有限公司</v>
          </cell>
          <cell r="D657">
            <v>45363</v>
          </cell>
          <cell r="E657" t="str">
            <v>西南总部</v>
          </cell>
        </row>
        <row r="658">
          <cell r="A658" t="str">
            <v>冯玺</v>
          </cell>
          <cell r="B658" t="str">
            <v>00848</v>
          </cell>
          <cell r="C658" t="str">
            <v>陕西蜂族科技有限公司</v>
          </cell>
          <cell r="D658">
            <v>45363</v>
          </cell>
          <cell r="E658" t="str">
            <v>陕西</v>
          </cell>
        </row>
        <row r="659">
          <cell r="A659" t="str">
            <v>周榆力</v>
          </cell>
          <cell r="B659" t="str">
            <v>00846</v>
          </cell>
          <cell r="C659" t="str">
            <v>重庆市江北区蜂顺营销策划有限公司</v>
          </cell>
          <cell r="D659">
            <v>45361</v>
          </cell>
          <cell r="E659" t="str">
            <v>湖北</v>
          </cell>
        </row>
        <row r="660">
          <cell r="A660" t="str">
            <v>王守瑶</v>
          </cell>
          <cell r="B660" t="str">
            <v>00844</v>
          </cell>
          <cell r="C660" t="str">
            <v>山东时代蜂族营销策划有限公司</v>
          </cell>
          <cell r="D660">
            <v>45358</v>
          </cell>
          <cell r="E660" t="str">
            <v>山东</v>
          </cell>
        </row>
        <row r="661">
          <cell r="A661" t="str">
            <v>吴建鑫</v>
          </cell>
          <cell r="B661" t="str">
            <v>00841</v>
          </cell>
          <cell r="C661" t="str">
            <v>四川时代蜂族营销策划有限公司</v>
          </cell>
          <cell r="D661">
            <v>45357</v>
          </cell>
          <cell r="E661" t="str">
            <v>西南总部</v>
          </cell>
        </row>
        <row r="662">
          <cell r="A662" t="str">
            <v>刘红梅</v>
          </cell>
          <cell r="B662" t="str">
            <v>00840</v>
          </cell>
          <cell r="C662" t="str">
            <v>湖南时代蜂族营销策划有限公司</v>
          </cell>
          <cell r="D662">
            <v>45353</v>
          </cell>
          <cell r="E662" t="str">
            <v>湖南</v>
          </cell>
        </row>
        <row r="663">
          <cell r="A663" t="str">
            <v>任凯</v>
          </cell>
          <cell r="B663" t="str">
            <v>00839</v>
          </cell>
          <cell r="C663" t="str">
            <v>重庆市渝北区蜂族时代营销策划有限公司</v>
          </cell>
          <cell r="D663">
            <v>45352</v>
          </cell>
          <cell r="E663" t="str">
            <v>西南总部</v>
          </cell>
        </row>
        <row r="664">
          <cell r="A664" t="str">
            <v>刘丹</v>
          </cell>
          <cell r="B664" t="str">
            <v>00835</v>
          </cell>
          <cell r="C664" t="str">
            <v>四川时代蜂族营销策划有限公司</v>
          </cell>
          <cell r="D664">
            <v>45352</v>
          </cell>
          <cell r="E664" t="str">
            <v>河北</v>
          </cell>
        </row>
        <row r="665">
          <cell r="A665" t="str">
            <v>罗浩</v>
          </cell>
          <cell r="B665" t="str">
            <v>00829</v>
          </cell>
          <cell r="C665" t="str">
            <v>湖北蜜蜂族房地产经纪有限公司</v>
          </cell>
          <cell r="D665">
            <v>45347</v>
          </cell>
          <cell r="E665" t="str">
            <v>湖北</v>
          </cell>
        </row>
        <row r="666">
          <cell r="A666" t="str">
            <v>吴泽涵</v>
          </cell>
          <cell r="B666" t="str">
            <v>00825</v>
          </cell>
          <cell r="C666" t="str">
            <v>陕西蜂族科技有限公司</v>
          </cell>
          <cell r="D666">
            <v>45345</v>
          </cell>
          <cell r="E666" t="str">
            <v>陕西</v>
          </cell>
        </row>
        <row r="667">
          <cell r="A667" t="str">
            <v>黄洁</v>
          </cell>
          <cell r="B667" t="str">
            <v>00828</v>
          </cell>
          <cell r="C667" t="str">
            <v>四川大礼连连科技有限公司</v>
          </cell>
          <cell r="D667">
            <v>45345</v>
          </cell>
          <cell r="E667" t="str">
            <v>西南总部</v>
          </cell>
        </row>
        <row r="668">
          <cell r="A668" t="str">
            <v>薛鹏</v>
          </cell>
          <cell r="B668" t="str">
            <v>00822</v>
          </cell>
          <cell r="C668" t="str">
            <v>兰州时代蜂族营销策划有限公司</v>
          </cell>
          <cell r="D668">
            <v>45343</v>
          </cell>
          <cell r="E668" t="str">
            <v>甘肃</v>
          </cell>
        </row>
        <row r="669">
          <cell r="A669" t="str">
            <v>曾小林</v>
          </cell>
          <cell r="B669" t="str">
            <v>00821</v>
          </cell>
          <cell r="C669" t="str">
            <v>河北时代蜂族营销策划有限公司</v>
          </cell>
          <cell r="D669">
            <v>45342</v>
          </cell>
          <cell r="E669" t="str">
            <v>河北</v>
          </cell>
        </row>
        <row r="670">
          <cell r="A670" t="str">
            <v>周思鸿</v>
          </cell>
          <cell r="B670" t="str">
            <v>00817</v>
          </cell>
          <cell r="C670" t="str">
            <v>四川时代蜂族营销策划有限公司</v>
          </cell>
          <cell r="D670">
            <v>45341</v>
          </cell>
          <cell r="E670" t="str">
            <v>西南总部</v>
          </cell>
        </row>
        <row r="671">
          <cell r="A671" t="str">
            <v>钟明</v>
          </cell>
          <cell r="B671" t="str">
            <v>00811</v>
          </cell>
          <cell r="C671" t="str">
            <v>四川时代蜂族营销策划有限公司</v>
          </cell>
          <cell r="D671">
            <v>45297</v>
          </cell>
          <cell r="E671" t="str">
            <v>西南总部</v>
          </cell>
        </row>
        <row r="672">
          <cell r="A672" t="str">
            <v>童小林</v>
          </cell>
          <cell r="B672" t="str">
            <v>00808</v>
          </cell>
          <cell r="C672" t="str">
            <v>陕西蜂族科技有限公司</v>
          </cell>
          <cell r="D672">
            <v>45294</v>
          </cell>
          <cell r="E672" t="str">
            <v>陕西</v>
          </cell>
        </row>
        <row r="673">
          <cell r="A673" t="str">
            <v>刘洪</v>
          </cell>
          <cell r="B673" t="str">
            <v>01469</v>
          </cell>
          <cell r="C673" t="str">
            <v>四川时代蜂族营销策划有限公司</v>
          </cell>
          <cell r="D673">
            <v>45292</v>
          </cell>
          <cell r="E673" t="str">
            <v>西南总部</v>
          </cell>
        </row>
        <row r="674">
          <cell r="A674" t="str">
            <v>熊若岚</v>
          </cell>
          <cell r="B674" t="str">
            <v>00805</v>
          </cell>
          <cell r="C674" t="str">
            <v>湖北蜜蜂族房地产经纪有限公司</v>
          </cell>
          <cell r="D674">
            <v>45289</v>
          </cell>
          <cell r="E674" t="str">
            <v>湖北</v>
          </cell>
        </row>
        <row r="675">
          <cell r="A675" t="str">
            <v>万文俊</v>
          </cell>
          <cell r="B675" t="str">
            <v>00801</v>
          </cell>
          <cell r="C675" t="str">
            <v>山东时代蜂族营销策划有限公司</v>
          </cell>
          <cell r="D675">
            <v>45272</v>
          </cell>
          <cell r="E675" t="str">
            <v>山东</v>
          </cell>
        </row>
        <row r="676">
          <cell r="A676" t="str">
            <v>扈岭楠</v>
          </cell>
          <cell r="B676" t="str">
            <v>00798</v>
          </cell>
          <cell r="C676" t="str">
            <v>四川时代蜂族营销策划有限公司</v>
          </cell>
          <cell r="D676">
            <v>45269</v>
          </cell>
          <cell r="E676" t="str">
            <v>西南总部</v>
          </cell>
        </row>
        <row r="677">
          <cell r="A677" t="str">
            <v>殷昌容</v>
          </cell>
          <cell r="B677" t="str">
            <v>00797</v>
          </cell>
          <cell r="C677" t="str">
            <v>四川时代蜂族营销策划有限公司</v>
          </cell>
          <cell r="D677">
            <v>45267</v>
          </cell>
          <cell r="E677" t="str">
            <v>辽宁</v>
          </cell>
        </row>
        <row r="678">
          <cell r="A678" t="str">
            <v>彭停</v>
          </cell>
          <cell r="B678" t="str">
            <v>00796</v>
          </cell>
          <cell r="C678" t="str">
            <v>四川时代蜂族营销策划有限公司</v>
          </cell>
          <cell r="D678">
            <v>45265</v>
          </cell>
          <cell r="E678" t="str">
            <v>山西</v>
          </cell>
        </row>
        <row r="679">
          <cell r="A679" t="str">
            <v>赵玉兰</v>
          </cell>
          <cell r="B679" t="str">
            <v>00793</v>
          </cell>
          <cell r="C679" t="str">
            <v>四川时代蜂族营销策划有限公司</v>
          </cell>
          <cell r="D679">
            <v>45261</v>
          </cell>
          <cell r="E679" t="str">
            <v>山西</v>
          </cell>
        </row>
        <row r="680">
          <cell r="A680" t="str">
            <v>文鹏羽</v>
          </cell>
          <cell r="B680" t="str">
            <v>00792</v>
          </cell>
          <cell r="C680" t="str">
            <v>四川时代蜂族营销策划有限公司</v>
          </cell>
          <cell r="D680">
            <v>45260</v>
          </cell>
          <cell r="E680" t="str">
            <v>西南总部</v>
          </cell>
        </row>
        <row r="681">
          <cell r="A681" t="str">
            <v>曹朝霞</v>
          </cell>
          <cell r="B681" t="str">
            <v>00791</v>
          </cell>
          <cell r="C681" t="str">
            <v>四川蜂起营销策划有限公司</v>
          </cell>
          <cell r="D681">
            <v>45259</v>
          </cell>
          <cell r="E681" t="str">
            <v>西南总部</v>
          </cell>
        </row>
        <row r="682">
          <cell r="A682" t="str">
            <v>刘元发</v>
          </cell>
          <cell r="B682" t="str">
            <v>00787</v>
          </cell>
          <cell r="C682" t="str">
            <v>湖南时代蜂族营销策划有限公司</v>
          </cell>
          <cell r="D682">
            <v>45255</v>
          </cell>
          <cell r="E682" t="str">
            <v>湖南</v>
          </cell>
        </row>
        <row r="683">
          <cell r="A683" t="str">
            <v>乔磊</v>
          </cell>
          <cell r="B683" t="str">
            <v>00772</v>
          </cell>
          <cell r="C683" t="str">
            <v>陕西时代蜂族营销策划有限公司</v>
          </cell>
          <cell r="D683">
            <v>45245</v>
          </cell>
          <cell r="E683" t="str">
            <v>陕西</v>
          </cell>
        </row>
        <row r="684">
          <cell r="A684" t="str">
            <v>杨蓉</v>
          </cell>
          <cell r="B684" t="str">
            <v>00770</v>
          </cell>
          <cell r="C684" t="str">
            <v>四川时代蜂族营销策划有限公司</v>
          </cell>
          <cell r="D684">
            <v>45244</v>
          </cell>
          <cell r="E684" t="str">
            <v>西南总部</v>
          </cell>
        </row>
        <row r="685">
          <cell r="A685" t="str">
            <v>季俊先</v>
          </cell>
          <cell r="B685" t="str">
            <v>00769</v>
          </cell>
          <cell r="C685" t="str">
            <v>四川时代蜂族营销策划有限公司</v>
          </cell>
          <cell r="D685">
            <v>45241</v>
          </cell>
          <cell r="E685" t="str">
            <v>西南总部</v>
          </cell>
        </row>
        <row r="686">
          <cell r="A686" t="str">
            <v>范莉兰</v>
          </cell>
          <cell r="B686" t="str">
            <v>00764</v>
          </cell>
          <cell r="C686" t="str">
            <v>陕西蜂族科技有限公司</v>
          </cell>
          <cell r="D686">
            <v>45236</v>
          </cell>
          <cell r="E686" t="str">
            <v>陕西</v>
          </cell>
        </row>
        <row r="687">
          <cell r="A687" t="str">
            <v>贾萍</v>
          </cell>
          <cell r="B687" t="str">
            <v>00762</v>
          </cell>
          <cell r="C687" t="str">
            <v>重庆市沙坪坝区时代蜂族营销策划有限公司</v>
          </cell>
          <cell r="D687">
            <v>45233</v>
          </cell>
          <cell r="E687" t="str">
            <v>西南总部</v>
          </cell>
        </row>
        <row r="688">
          <cell r="A688" t="str">
            <v>姜舒怡</v>
          </cell>
          <cell r="B688" t="str">
            <v>00763</v>
          </cell>
          <cell r="C688" t="str">
            <v>陕西蜂族科技有限公司</v>
          </cell>
          <cell r="D688">
            <v>45233</v>
          </cell>
          <cell r="E688" t="str">
            <v>陕西</v>
          </cell>
        </row>
        <row r="689">
          <cell r="A689" t="str">
            <v>何亚琼</v>
          </cell>
          <cell r="B689" t="str">
            <v>00761</v>
          </cell>
          <cell r="C689" t="str">
            <v>四川时代蜂族营销策划有限公司</v>
          </cell>
          <cell r="D689">
            <v>45231</v>
          </cell>
          <cell r="E689" t="str">
            <v>西南总部</v>
          </cell>
        </row>
        <row r="690">
          <cell r="A690" t="str">
            <v>王付豪</v>
          </cell>
          <cell r="B690" t="str">
            <v>00760</v>
          </cell>
          <cell r="C690" t="str">
            <v>湖北蜜蜂族房地产经纪有限公司</v>
          </cell>
          <cell r="D690">
            <v>45230</v>
          </cell>
          <cell r="E690" t="str">
            <v>湖北</v>
          </cell>
        </row>
        <row r="691">
          <cell r="A691" t="str">
            <v>杨凌</v>
          </cell>
          <cell r="B691" t="str">
            <v>00758</v>
          </cell>
          <cell r="C691" t="str">
            <v>四川时代蜂族营销策划有限公司</v>
          </cell>
          <cell r="D691">
            <v>45220</v>
          </cell>
          <cell r="E691" t="str">
            <v>西南总部</v>
          </cell>
        </row>
        <row r="692">
          <cell r="A692" t="str">
            <v>朱家艳</v>
          </cell>
          <cell r="B692" t="str">
            <v>00755</v>
          </cell>
          <cell r="C692" t="str">
            <v>四川时代蜂族营销策划有限公司</v>
          </cell>
          <cell r="D692">
            <v>45213</v>
          </cell>
          <cell r="E692" t="str">
            <v>西南总部</v>
          </cell>
        </row>
        <row r="693">
          <cell r="A693" t="str">
            <v>杜鸿梅</v>
          </cell>
          <cell r="B693" t="str">
            <v>00753</v>
          </cell>
          <cell r="C693" t="str">
            <v>四川优诺通瑞商贸有限公司</v>
          </cell>
          <cell r="D693">
            <v>45204</v>
          </cell>
          <cell r="E693" t="str">
            <v>西南总部</v>
          </cell>
        </row>
        <row r="694">
          <cell r="A694" t="str">
            <v>许琪</v>
          </cell>
          <cell r="B694" t="str">
            <v>00752</v>
          </cell>
          <cell r="C694" t="str">
            <v>山东时代蜂族营销策划有限公司</v>
          </cell>
          <cell r="D694">
            <v>45203</v>
          </cell>
          <cell r="E694" t="str">
            <v>山东</v>
          </cell>
        </row>
        <row r="695">
          <cell r="A695" t="str">
            <v>冀敏</v>
          </cell>
          <cell r="B695" t="str">
            <v>00751</v>
          </cell>
          <cell r="C695" t="str">
            <v>陕西蜂族科技有限公司</v>
          </cell>
          <cell r="D695">
            <v>45196</v>
          </cell>
          <cell r="E695" t="str">
            <v>陕西</v>
          </cell>
        </row>
        <row r="696">
          <cell r="A696" t="str">
            <v>张宗铭</v>
          </cell>
          <cell r="B696" t="str">
            <v>00420</v>
          </cell>
          <cell r="C696" t="str">
            <v>湖北蜜蜂族房地产经纪有限公司</v>
          </cell>
          <cell r="D696">
            <v>45193</v>
          </cell>
          <cell r="E696" t="str">
            <v>湖北</v>
          </cell>
        </row>
        <row r="697">
          <cell r="A697" t="str">
            <v>陈嘉文</v>
          </cell>
          <cell r="B697" t="str">
            <v>00750</v>
          </cell>
          <cell r="C697" t="str">
            <v>四川时代蜂族营销策划有限公司</v>
          </cell>
          <cell r="D697">
            <v>45192</v>
          </cell>
          <cell r="E697" t="str">
            <v>西南总部</v>
          </cell>
        </row>
        <row r="698">
          <cell r="A698" t="str">
            <v>王辉</v>
          </cell>
          <cell r="B698" t="str">
            <v>00743</v>
          </cell>
          <cell r="C698" t="str">
            <v>陕西蜂族科技有限公司</v>
          </cell>
          <cell r="D698">
            <v>45175</v>
          </cell>
          <cell r="E698" t="str">
            <v>甘肃</v>
          </cell>
        </row>
        <row r="699">
          <cell r="A699" t="str">
            <v>周磊</v>
          </cell>
          <cell r="B699" t="str">
            <v>00742</v>
          </cell>
          <cell r="C699" t="str">
            <v>湖北蜜蜂族房地产经纪有限公司</v>
          </cell>
          <cell r="D699">
            <v>45174</v>
          </cell>
          <cell r="E699" t="str">
            <v>湖北</v>
          </cell>
        </row>
        <row r="700">
          <cell r="A700" t="str">
            <v>王孝勇</v>
          </cell>
          <cell r="B700" t="str">
            <v>00737</v>
          </cell>
          <cell r="C700" t="str">
            <v>四川时代蜂族营销策划有限公司</v>
          </cell>
          <cell r="D700">
            <v>45162</v>
          </cell>
          <cell r="E700" t="str">
            <v>西南总部</v>
          </cell>
        </row>
        <row r="701">
          <cell r="A701" t="str">
            <v>陶燕红</v>
          </cell>
          <cell r="B701" t="str">
            <v>00733</v>
          </cell>
          <cell r="C701" t="str">
            <v>四川优诺通瑞商贸有限公司</v>
          </cell>
          <cell r="D701">
            <v>45145</v>
          </cell>
          <cell r="E701" t="str">
            <v>西南总部</v>
          </cell>
        </row>
        <row r="702">
          <cell r="A702" t="str">
            <v>卢鲜仝</v>
          </cell>
          <cell r="B702" t="str">
            <v>00730</v>
          </cell>
          <cell r="C702" t="str">
            <v>四川时代蜂族营销策划有限公司</v>
          </cell>
          <cell r="D702">
            <v>45132</v>
          </cell>
          <cell r="E702" t="str">
            <v>西南总部</v>
          </cell>
        </row>
        <row r="703">
          <cell r="A703" t="str">
            <v>赵文涛</v>
          </cell>
          <cell r="B703" t="str">
            <v>00728</v>
          </cell>
          <cell r="C703" t="str">
            <v>山东时代蜂族营销策划有限公司</v>
          </cell>
          <cell r="D703">
            <v>45131</v>
          </cell>
          <cell r="E703" t="str">
            <v>山东</v>
          </cell>
        </row>
        <row r="704">
          <cell r="A704" t="str">
            <v>黄瑞雪</v>
          </cell>
          <cell r="B704" t="str">
            <v>00722</v>
          </cell>
          <cell r="C704" t="str">
            <v>山东时代蜂族营销策划有限公司</v>
          </cell>
          <cell r="D704">
            <v>45126</v>
          </cell>
          <cell r="E704" t="str">
            <v>山东</v>
          </cell>
        </row>
        <row r="705">
          <cell r="A705" t="str">
            <v>冉贵川</v>
          </cell>
          <cell r="B705" t="str">
            <v>00720</v>
          </cell>
          <cell r="C705" t="str">
            <v>四川时代蜂族营销策划有限公司</v>
          </cell>
          <cell r="D705">
            <v>45124</v>
          </cell>
          <cell r="E705" t="str">
            <v>西南总部</v>
          </cell>
        </row>
        <row r="706">
          <cell r="A706" t="str">
            <v>朱思刚</v>
          </cell>
          <cell r="B706" t="str">
            <v>00718</v>
          </cell>
          <cell r="C706" t="str">
            <v>河南蜜蜂族营销策划有限公司</v>
          </cell>
          <cell r="D706">
            <v>45122</v>
          </cell>
          <cell r="E706" t="str">
            <v>河南</v>
          </cell>
        </row>
        <row r="707">
          <cell r="A707" t="str">
            <v>王晶晶</v>
          </cell>
          <cell r="B707" t="str">
            <v>00711</v>
          </cell>
          <cell r="C707" t="str">
            <v>湖南时代蜂族营销策划有限公司</v>
          </cell>
          <cell r="D707">
            <v>45119</v>
          </cell>
          <cell r="E707" t="str">
            <v>湖南</v>
          </cell>
        </row>
        <row r="708">
          <cell r="A708" t="str">
            <v>张佩瑶</v>
          </cell>
          <cell r="B708" t="str">
            <v>00707</v>
          </cell>
          <cell r="C708" t="str">
            <v>四川时代蜂族营销策划有限公司</v>
          </cell>
          <cell r="D708">
            <v>45114</v>
          </cell>
          <cell r="E708" t="str">
            <v>西南总部</v>
          </cell>
        </row>
        <row r="709">
          <cell r="A709" t="str">
            <v>吴金桦</v>
          </cell>
          <cell r="B709" t="str">
            <v>00706</v>
          </cell>
          <cell r="C709" t="str">
            <v>四川时代蜂族营销策划有限公司</v>
          </cell>
          <cell r="D709">
            <v>45113</v>
          </cell>
          <cell r="E709" t="str">
            <v>西南总部</v>
          </cell>
        </row>
        <row r="710">
          <cell r="A710" t="str">
            <v>张顺桂</v>
          </cell>
          <cell r="B710" t="str">
            <v>00701</v>
          </cell>
          <cell r="C710" t="str">
            <v>四川时代蜂族营销策划有限公司</v>
          </cell>
          <cell r="D710">
            <v>45104</v>
          </cell>
          <cell r="E710" t="str">
            <v>河南</v>
          </cell>
        </row>
        <row r="711">
          <cell r="A711" t="str">
            <v>李芙蓉</v>
          </cell>
          <cell r="B711" t="str">
            <v>00702</v>
          </cell>
          <cell r="C711" t="str">
            <v>四川蜂起营销策划有限公司</v>
          </cell>
          <cell r="D711">
            <v>45104</v>
          </cell>
          <cell r="E711" t="str">
            <v>西南总部</v>
          </cell>
        </row>
        <row r="712">
          <cell r="A712" t="str">
            <v>邱超</v>
          </cell>
          <cell r="B712" t="str">
            <v>00700</v>
          </cell>
          <cell r="C712" t="str">
            <v>四川时代蜂族营销策划有限公司</v>
          </cell>
          <cell r="D712">
            <v>45103</v>
          </cell>
          <cell r="E712" t="str">
            <v>河南</v>
          </cell>
        </row>
        <row r="713">
          <cell r="A713" t="str">
            <v>郑小强</v>
          </cell>
          <cell r="B713" t="str">
            <v>00699</v>
          </cell>
          <cell r="C713" t="str">
            <v>四川时代蜂族营销策划有限公司</v>
          </cell>
          <cell r="D713">
            <v>45099</v>
          </cell>
          <cell r="E713" t="str">
            <v>西南总部</v>
          </cell>
        </row>
        <row r="714">
          <cell r="A714" t="str">
            <v>罗桂雪</v>
          </cell>
          <cell r="B714" t="str">
            <v>00693</v>
          </cell>
          <cell r="C714" t="str">
            <v>四川时代蜂族营销策划有限公司</v>
          </cell>
          <cell r="D714">
            <v>45097</v>
          </cell>
          <cell r="E714" t="str">
            <v>西南总部</v>
          </cell>
        </row>
        <row r="715">
          <cell r="A715" t="str">
            <v>黄苹</v>
          </cell>
          <cell r="B715" t="str">
            <v>00692</v>
          </cell>
          <cell r="C715" t="str">
            <v>山东时代蜂族营销策划有限公司</v>
          </cell>
          <cell r="D715">
            <v>45091</v>
          </cell>
          <cell r="E715" t="str">
            <v>山东</v>
          </cell>
        </row>
        <row r="716">
          <cell r="A716" t="str">
            <v>朱露颖</v>
          </cell>
          <cell r="B716" t="str">
            <v>00690</v>
          </cell>
          <cell r="C716" t="str">
            <v>陕西蜂族科技有限公司</v>
          </cell>
          <cell r="D716">
            <v>45086</v>
          </cell>
          <cell r="E716" t="str">
            <v>陕西</v>
          </cell>
        </row>
        <row r="717">
          <cell r="A717" t="str">
            <v>陈银</v>
          </cell>
          <cell r="B717" t="str">
            <v>00687</v>
          </cell>
          <cell r="C717" t="str">
            <v>河北时代蜂族营销策划有限公司</v>
          </cell>
          <cell r="D717">
            <v>45082</v>
          </cell>
          <cell r="E717" t="str">
            <v>山东</v>
          </cell>
        </row>
        <row r="718">
          <cell r="A718" t="str">
            <v>蒋吉勇</v>
          </cell>
          <cell r="B718" t="str">
            <v>00682</v>
          </cell>
          <cell r="C718" t="str">
            <v>四川时代蜂族营销策划有限公司</v>
          </cell>
          <cell r="D718">
            <v>45068</v>
          </cell>
          <cell r="E718" t="str">
            <v>西南总部</v>
          </cell>
        </row>
        <row r="719">
          <cell r="A719" t="str">
            <v>王融成</v>
          </cell>
          <cell r="B719" t="str">
            <v>00679</v>
          </cell>
          <cell r="C719" t="str">
            <v>陕西蜂族科技有限公司</v>
          </cell>
          <cell r="D719">
            <v>45065</v>
          </cell>
          <cell r="E719" t="str">
            <v>陕西</v>
          </cell>
        </row>
        <row r="720">
          <cell r="A720" t="str">
            <v>汪俊</v>
          </cell>
          <cell r="B720" t="str">
            <v>00676</v>
          </cell>
          <cell r="C720" t="str">
            <v>湖北蜜蜂族房地产经纪有限公司</v>
          </cell>
          <cell r="D720">
            <v>45063</v>
          </cell>
          <cell r="E720" t="str">
            <v>湖北</v>
          </cell>
        </row>
        <row r="721">
          <cell r="A721" t="str">
            <v>戢小霞</v>
          </cell>
          <cell r="B721" t="str">
            <v>00674</v>
          </cell>
          <cell r="C721" t="str">
            <v>湖北蜜蜂族房地产经纪有限公司</v>
          </cell>
          <cell r="D721">
            <v>45062</v>
          </cell>
          <cell r="E721" t="str">
            <v>湖北</v>
          </cell>
        </row>
        <row r="722">
          <cell r="A722" t="str">
            <v>孙宇</v>
          </cell>
          <cell r="B722" t="str">
            <v>00671</v>
          </cell>
          <cell r="C722" t="str">
            <v>陕西蜂族科技有限公司</v>
          </cell>
          <cell r="D722">
            <v>45059</v>
          </cell>
          <cell r="E722" t="str">
            <v>陕西</v>
          </cell>
        </row>
        <row r="723">
          <cell r="A723" t="str">
            <v>杨永梅</v>
          </cell>
          <cell r="B723" t="str">
            <v>00666</v>
          </cell>
          <cell r="C723" t="str">
            <v>四川时代蜂族营销策划有限公司</v>
          </cell>
          <cell r="D723">
            <v>45056</v>
          </cell>
          <cell r="E723" t="str">
            <v>陕西</v>
          </cell>
        </row>
        <row r="724">
          <cell r="A724" t="str">
            <v>张静</v>
          </cell>
          <cell r="B724" t="str">
            <v>00656</v>
          </cell>
          <cell r="C724" t="str">
            <v>四川金巴牛网络科技有限公司</v>
          </cell>
          <cell r="D724">
            <v>45049</v>
          </cell>
          <cell r="E724" t="str">
            <v>西南总部</v>
          </cell>
        </row>
        <row r="725">
          <cell r="A725" t="str">
            <v>倪艳萍</v>
          </cell>
          <cell r="B725" t="str">
            <v>00657</v>
          </cell>
          <cell r="C725" t="str">
            <v>四川蜂起营销策划有限公司</v>
          </cell>
          <cell r="D725">
            <v>45049</v>
          </cell>
          <cell r="E725" t="str">
            <v>西南总部</v>
          </cell>
        </row>
        <row r="726">
          <cell r="A726" t="str">
            <v>李先洪</v>
          </cell>
          <cell r="B726" t="str">
            <v>00654</v>
          </cell>
          <cell r="C726" t="str">
            <v>四川时代蜂族营销策划有限公司</v>
          </cell>
          <cell r="D726">
            <v>45046</v>
          </cell>
          <cell r="E726" t="str">
            <v>西南总部</v>
          </cell>
        </row>
        <row r="727">
          <cell r="A727" t="str">
            <v>刘鹏</v>
          </cell>
          <cell r="B727" t="str">
            <v>00653</v>
          </cell>
          <cell r="C727" t="str">
            <v>四川时代蜂族营销策划有限公司</v>
          </cell>
          <cell r="D727">
            <v>45045</v>
          </cell>
          <cell r="E727" t="str">
            <v>西南总部</v>
          </cell>
        </row>
        <row r="728">
          <cell r="A728" t="str">
            <v>张家涛</v>
          </cell>
          <cell r="B728" t="str">
            <v>00648</v>
          </cell>
          <cell r="C728" t="str">
            <v>成都蓉天城房地产营销策划有限公司</v>
          </cell>
          <cell r="D728">
            <v>45040</v>
          </cell>
          <cell r="E728" t="str">
            <v>西南总部</v>
          </cell>
        </row>
        <row r="729">
          <cell r="A729" t="str">
            <v>吴成杨</v>
          </cell>
          <cell r="B729" t="str">
            <v>00647</v>
          </cell>
          <cell r="C729" t="str">
            <v>陕西蜂族科技有限公司</v>
          </cell>
          <cell r="D729">
            <v>45036</v>
          </cell>
          <cell r="E729" t="str">
            <v>陕西</v>
          </cell>
        </row>
        <row r="730">
          <cell r="A730" t="str">
            <v>陈彪</v>
          </cell>
          <cell r="B730" t="str">
            <v>00646</v>
          </cell>
          <cell r="C730" t="str">
            <v>四川时代蜂族营销策划有限公司</v>
          </cell>
          <cell r="D730">
            <v>45035</v>
          </cell>
          <cell r="E730" t="str">
            <v>西南总部</v>
          </cell>
        </row>
        <row r="731">
          <cell r="A731" t="str">
            <v>陈俊儒</v>
          </cell>
          <cell r="B731" t="str">
            <v>00645</v>
          </cell>
          <cell r="C731" t="str">
            <v>湖北蜜蜂族房地产经纪有限公司</v>
          </cell>
          <cell r="D731">
            <v>45031</v>
          </cell>
          <cell r="E731" t="str">
            <v>湖北</v>
          </cell>
        </row>
        <row r="732">
          <cell r="A732" t="str">
            <v>陶静</v>
          </cell>
          <cell r="B732" t="str">
            <v>00637</v>
          </cell>
          <cell r="C732" t="str">
            <v>四川时代蜂族营销策划有限公司</v>
          </cell>
          <cell r="D732">
            <v>45029</v>
          </cell>
          <cell r="E732" t="str">
            <v>河南</v>
          </cell>
        </row>
        <row r="733">
          <cell r="A733" t="str">
            <v>任枭月</v>
          </cell>
          <cell r="B733" t="str">
            <v>00641</v>
          </cell>
          <cell r="C733" t="str">
            <v>河南蜜蜂族营销策划有限公司</v>
          </cell>
          <cell r="D733">
            <v>45029</v>
          </cell>
          <cell r="E733" t="str">
            <v>河南</v>
          </cell>
        </row>
        <row r="734">
          <cell r="A734" t="str">
            <v>邓富</v>
          </cell>
          <cell r="B734" t="str">
            <v>00643</v>
          </cell>
          <cell r="C734" t="str">
            <v>山西时代蜂族房地产经纪有限公司</v>
          </cell>
          <cell r="D734">
            <v>45029</v>
          </cell>
          <cell r="E734" t="str">
            <v>山西</v>
          </cell>
        </row>
        <row r="735">
          <cell r="A735" t="str">
            <v>王彬力</v>
          </cell>
          <cell r="B735" t="str">
            <v>00635</v>
          </cell>
          <cell r="C735" t="str">
            <v>成都蓉天城房地产营销策划有限公司</v>
          </cell>
          <cell r="D735">
            <v>45025</v>
          </cell>
          <cell r="E735" t="str">
            <v>西南总部</v>
          </cell>
        </row>
        <row r="736">
          <cell r="A736" t="str">
            <v>安芮</v>
          </cell>
          <cell r="B736" t="str">
            <v>00631</v>
          </cell>
          <cell r="C736" t="str">
            <v>四川时代蜂族营销策划有限公司</v>
          </cell>
          <cell r="D736">
            <v>45021</v>
          </cell>
          <cell r="E736" t="str">
            <v>内蒙古</v>
          </cell>
        </row>
        <row r="737">
          <cell r="A737" t="str">
            <v>范琴</v>
          </cell>
          <cell r="B737" t="str">
            <v>00628</v>
          </cell>
          <cell r="C737" t="str">
            <v>四川时代蜂族营销策划有限公司</v>
          </cell>
          <cell r="D737">
            <v>45019</v>
          </cell>
          <cell r="E737" t="str">
            <v>西南总部</v>
          </cell>
        </row>
        <row r="738">
          <cell r="A738" t="str">
            <v>张俊</v>
          </cell>
          <cell r="B738" t="str">
            <v>00622</v>
          </cell>
          <cell r="C738" t="str">
            <v>陕西蜂族科技有限公司</v>
          </cell>
          <cell r="D738">
            <v>45015</v>
          </cell>
          <cell r="E738" t="str">
            <v>陕西</v>
          </cell>
        </row>
        <row r="739">
          <cell r="A739" t="str">
            <v>李开来</v>
          </cell>
          <cell r="B739" t="str">
            <v>00621</v>
          </cell>
          <cell r="C739" t="str">
            <v>四川时代蜂族营销策划有限公司</v>
          </cell>
          <cell r="D739">
            <v>45014</v>
          </cell>
          <cell r="E739" t="str">
            <v>山西</v>
          </cell>
        </row>
        <row r="740">
          <cell r="A740" t="str">
            <v>唐浪波</v>
          </cell>
          <cell r="B740" t="str">
            <v>00620</v>
          </cell>
          <cell r="C740" t="str">
            <v>四川时代蜂族营销策划有限公司</v>
          </cell>
          <cell r="D740">
            <v>45014</v>
          </cell>
          <cell r="E740" t="str">
            <v>西南总部</v>
          </cell>
        </row>
        <row r="741">
          <cell r="A741" t="str">
            <v>韦霞</v>
          </cell>
          <cell r="B741" t="str">
            <v>00614</v>
          </cell>
          <cell r="C741" t="str">
            <v>成都蓉天城房地产营销策划有限公司</v>
          </cell>
          <cell r="D741">
            <v>45012</v>
          </cell>
          <cell r="E741" t="str">
            <v>河北</v>
          </cell>
        </row>
        <row r="742">
          <cell r="A742" t="str">
            <v>朱全兰</v>
          </cell>
          <cell r="B742" t="str">
            <v>00615</v>
          </cell>
          <cell r="C742" t="str">
            <v>陕西蜂族科技有限公司</v>
          </cell>
          <cell r="D742">
            <v>45011</v>
          </cell>
          <cell r="E742" t="str">
            <v>陕西</v>
          </cell>
        </row>
        <row r="743">
          <cell r="A743" t="str">
            <v>李权益</v>
          </cell>
          <cell r="B743" t="str">
            <v>00612</v>
          </cell>
          <cell r="C743" t="str">
            <v>山西时代蜂族房地产经纪有限公司</v>
          </cell>
          <cell r="D743">
            <v>45009</v>
          </cell>
          <cell r="E743" t="str">
            <v>山西</v>
          </cell>
        </row>
        <row r="744">
          <cell r="A744" t="str">
            <v>谭迪</v>
          </cell>
          <cell r="B744" t="str">
            <v>00611</v>
          </cell>
          <cell r="C744" t="str">
            <v>四川时代蜂族营销策划有限公司</v>
          </cell>
          <cell r="D744">
            <v>45009</v>
          </cell>
          <cell r="E744" t="str">
            <v>西南总部</v>
          </cell>
        </row>
        <row r="745">
          <cell r="A745" t="str">
            <v>赵国富</v>
          </cell>
          <cell r="B745" t="str">
            <v>00609</v>
          </cell>
          <cell r="C745" t="str">
            <v>湖北蜜蜂族房地产经纪有限公司</v>
          </cell>
          <cell r="D745">
            <v>45007</v>
          </cell>
          <cell r="E745" t="str">
            <v>湖北</v>
          </cell>
        </row>
        <row r="746">
          <cell r="A746" t="str">
            <v>陈滟</v>
          </cell>
          <cell r="B746" t="str">
            <v>00608</v>
          </cell>
          <cell r="C746" t="str">
            <v>四川时代蜂族营销策划有限公司</v>
          </cell>
          <cell r="D746">
            <v>45006</v>
          </cell>
          <cell r="E746" t="str">
            <v>西南总部</v>
          </cell>
        </row>
        <row r="747">
          <cell r="A747" t="str">
            <v>向高涵</v>
          </cell>
          <cell r="B747" t="str">
            <v>00590</v>
          </cell>
          <cell r="C747" t="str">
            <v>四川时代蜂族营销策划有限公司</v>
          </cell>
          <cell r="D747">
            <v>44982</v>
          </cell>
          <cell r="E747" t="str">
            <v>西南总部</v>
          </cell>
        </row>
        <row r="748">
          <cell r="A748" t="str">
            <v>梁霞</v>
          </cell>
          <cell r="B748" t="str">
            <v>00585</v>
          </cell>
          <cell r="C748" t="str">
            <v>四川优诺通瑞商贸有限公司</v>
          </cell>
          <cell r="D748">
            <v>44978</v>
          </cell>
          <cell r="E748" t="str">
            <v>西南总部</v>
          </cell>
        </row>
        <row r="749">
          <cell r="A749" t="str">
            <v>辜兰杰</v>
          </cell>
          <cell r="B749" t="str">
            <v>00582</v>
          </cell>
          <cell r="C749" t="str">
            <v>四川时代蜂族营销策划有限公司</v>
          </cell>
          <cell r="D749">
            <v>44973</v>
          </cell>
          <cell r="E749" t="str">
            <v>西南总部</v>
          </cell>
        </row>
        <row r="750">
          <cell r="A750" t="str">
            <v>曾竞超</v>
          </cell>
          <cell r="B750" t="str">
            <v>00577</v>
          </cell>
          <cell r="C750" t="str">
            <v>四川时代蜂族营销策划有限公司</v>
          </cell>
          <cell r="D750">
            <v>44969</v>
          </cell>
          <cell r="E750" t="str">
            <v>西南总部</v>
          </cell>
        </row>
        <row r="751">
          <cell r="A751" t="str">
            <v>钟魁</v>
          </cell>
          <cell r="B751" t="str">
            <v>00574</v>
          </cell>
          <cell r="C751" t="str">
            <v>山东时代蜂族营销策划有限公司</v>
          </cell>
          <cell r="D751">
            <v>44968</v>
          </cell>
          <cell r="E751" t="str">
            <v>山东</v>
          </cell>
        </row>
        <row r="752">
          <cell r="A752" t="str">
            <v>田静</v>
          </cell>
          <cell r="B752" t="str">
            <v>00567</v>
          </cell>
          <cell r="C752" t="str">
            <v>四川金巴牛网络科技有限公司</v>
          </cell>
          <cell r="D752">
            <v>44964</v>
          </cell>
          <cell r="E752" t="str">
            <v>西南总部</v>
          </cell>
        </row>
        <row r="753">
          <cell r="A753" t="str">
            <v>韩太</v>
          </cell>
          <cell r="B753" t="str">
            <v>00568</v>
          </cell>
          <cell r="C753" t="str">
            <v>湖北蜜蜂族房地产经纪有限公司</v>
          </cell>
          <cell r="D753">
            <v>44964</v>
          </cell>
          <cell r="E753" t="str">
            <v>湖北</v>
          </cell>
        </row>
        <row r="754">
          <cell r="A754" t="str">
            <v>叶湑</v>
          </cell>
          <cell r="B754" t="str">
            <v>00562</v>
          </cell>
          <cell r="C754" t="str">
            <v>陕西蜂族科技有限公司</v>
          </cell>
          <cell r="D754">
            <v>44962</v>
          </cell>
          <cell r="E754" t="str">
            <v>陕西</v>
          </cell>
        </row>
        <row r="755">
          <cell r="A755" t="str">
            <v>邱凯</v>
          </cell>
          <cell r="B755" t="str">
            <v>00560</v>
          </cell>
          <cell r="C755" t="str">
            <v>山东时代蜂族营销策划有限公司</v>
          </cell>
          <cell r="D755">
            <v>44961</v>
          </cell>
          <cell r="E755" t="str">
            <v>山东</v>
          </cell>
        </row>
        <row r="756">
          <cell r="A756" t="str">
            <v>聂闵</v>
          </cell>
          <cell r="B756" t="str">
            <v>00556</v>
          </cell>
          <cell r="C756" t="str">
            <v>陕西蜂族科技有限公司</v>
          </cell>
          <cell r="D756">
            <v>44960</v>
          </cell>
          <cell r="E756" t="str">
            <v>陕西</v>
          </cell>
        </row>
        <row r="757">
          <cell r="A757" t="str">
            <v>吴明银</v>
          </cell>
          <cell r="B757" t="str">
            <v>00554</v>
          </cell>
          <cell r="C757" t="str">
            <v>湖北蜜蜂族房地产经纪有限公司</v>
          </cell>
          <cell r="D757">
            <v>44959</v>
          </cell>
          <cell r="E757" t="str">
            <v>湖北</v>
          </cell>
        </row>
        <row r="758">
          <cell r="A758" t="str">
            <v>谢小东</v>
          </cell>
          <cell r="B758" t="str">
            <v>00551</v>
          </cell>
          <cell r="C758" t="str">
            <v>湖北蜜蜂族房地产经纪有限公司</v>
          </cell>
          <cell r="D758">
            <v>44937</v>
          </cell>
          <cell r="E758" t="str">
            <v>湖北</v>
          </cell>
        </row>
        <row r="759">
          <cell r="A759" t="str">
            <v>陈晓辉</v>
          </cell>
          <cell r="B759" t="str">
            <v>00549</v>
          </cell>
          <cell r="C759" t="str">
            <v>湖北蜜蜂族房地产经纪有限公司</v>
          </cell>
          <cell r="D759">
            <v>44933</v>
          </cell>
          <cell r="E759" t="str">
            <v>湖北</v>
          </cell>
        </row>
        <row r="760">
          <cell r="A760" t="str">
            <v>刘凯</v>
          </cell>
          <cell r="B760" t="str">
            <v>00545</v>
          </cell>
          <cell r="C760" t="str">
            <v>湖北蜜蜂族房地产经纪有限公司</v>
          </cell>
          <cell r="D760">
            <v>44931</v>
          </cell>
          <cell r="E760" t="str">
            <v>湖北</v>
          </cell>
        </row>
        <row r="761">
          <cell r="A761" t="str">
            <v>王艺燕</v>
          </cell>
          <cell r="B761" t="str">
            <v>00540</v>
          </cell>
          <cell r="C761" t="str">
            <v>四川时代蜂族营销策划有限公司</v>
          </cell>
          <cell r="D761">
            <v>44930</v>
          </cell>
          <cell r="E761" t="str">
            <v>山西</v>
          </cell>
        </row>
        <row r="762">
          <cell r="A762" t="str">
            <v>陈炳佑</v>
          </cell>
          <cell r="B762" t="str">
            <v>00536</v>
          </cell>
          <cell r="C762" t="str">
            <v>湖南时代蜂族营销策划有限公司</v>
          </cell>
          <cell r="D762">
            <v>44926</v>
          </cell>
          <cell r="E762" t="str">
            <v>湖南</v>
          </cell>
        </row>
        <row r="763">
          <cell r="A763" t="str">
            <v>江豪</v>
          </cell>
          <cell r="B763" t="str">
            <v>00532</v>
          </cell>
          <cell r="C763" t="str">
            <v>湖北蜜蜂族房地产经纪有限公司</v>
          </cell>
          <cell r="D763">
            <v>44924</v>
          </cell>
          <cell r="E763" t="str">
            <v>湖北</v>
          </cell>
        </row>
        <row r="764">
          <cell r="A764" t="str">
            <v>余金梅</v>
          </cell>
          <cell r="B764" t="str">
            <v>00527</v>
          </cell>
          <cell r="C764" t="str">
            <v>河南蜜蜂族营销策划有限公司</v>
          </cell>
          <cell r="D764">
            <v>44922</v>
          </cell>
          <cell r="E764" t="str">
            <v>河南</v>
          </cell>
        </row>
        <row r="765">
          <cell r="A765" t="str">
            <v>蒙建</v>
          </cell>
          <cell r="B765" t="str">
            <v>00528</v>
          </cell>
          <cell r="C765" t="str">
            <v>陕西蜂族科技有限公司</v>
          </cell>
          <cell r="D765">
            <v>44922</v>
          </cell>
          <cell r="E765" t="str">
            <v>陕西</v>
          </cell>
        </row>
        <row r="766">
          <cell r="A766" t="str">
            <v>魏飞翔</v>
          </cell>
          <cell r="B766" t="str">
            <v>00522</v>
          </cell>
          <cell r="C766" t="str">
            <v>四川时代蜂族营销策划有限公司</v>
          </cell>
          <cell r="D766">
            <v>44919</v>
          </cell>
          <cell r="E766" t="str">
            <v>西南总部</v>
          </cell>
        </row>
        <row r="767">
          <cell r="A767" t="str">
            <v>肖佳</v>
          </cell>
          <cell r="B767" t="str">
            <v>00521</v>
          </cell>
          <cell r="C767" t="str">
            <v>山东时代蜂族营销策划有限公司</v>
          </cell>
          <cell r="D767">
            <v>44919</v>
          </cell>
          <cell r="E767" t="str">
            <v>山东</v>
          </cell>
        </row>
        <row r="768">
          <cell r="A768" t="str">
            <v>杨勇</v>
          </cell>
          <cell r="B768" t="str">
            <v>00520</v>
          </cell>
          <cell r="C768" t="str">
            <v>山西时代蜂族房地产经纪有限公司</v>
          </cell>
          <cell r="D768">
            <v>44918</v>
          </cell>
          <cell r="E768" t="str">
            <v>山西</v>
          </cell>
        </row>
        <row r="769">
          <cell r="A769" t="str">
            <v>杨航</v>
          </cell>
          <cell r="B769" t="str">
            <v>00518</v>
          </cell>
          <cell r="C769" t="str">
            <v>四川时代蜂族营销策划有限公司</v>
          </cell>
          <cell r="D769">
            <v>44917</v>
          </cell>
          <cell r="E769" t="str">
            <v>河南</v>
          </cell>
        </row>
        <row r="770">
          <cell r="A770" t="str">
            <v>周行林</v>
          </cell>
          <cell r="B770" t="str">
            <v>00519</v>
          </cell>
          <cell r="C770" t="str">
            <v>四川时代蜂族营销策划有限公司</v>
          </cell>
          <cell r="D770">
            <v>44917</v>
          </cell>
          <cell r="E770" t="str">
            <v>西南总部</v>
          </cell>
        </row>
        <row r="771">
          <cell r="A771" t="str">
            <v>魏浪</v>
          </cell>
          <cell r="B771" t="str">
            <v>00516</v>
          </cell>
          <cell r="C771" t="str">
            <v>四川时代蜂族营销策划有限公司</v>
          </cell>
          <cell r="D771">
            <v>44916</v>
          </cell>
          <cell r="E771" t="str">
            <v>辽宁</v>
          </cell>
        </row>
        <row r="772">
          <cell r="A772" t="str">
            <v>吴大海</v>
          </cell>
          <cell r="B772" t="str">
            <v>00514</v>
          </cell>
          <cell r="C772" t="str">
            <v>四川时代蜂族营销策划有限公司</v>
          </cell>
          <cell r="D772">
            <v>44912</v>
          </cell>
          <cell r="E772" t="str">
            <v>西南总部</v>
          </cell>
        </row>
        <row r="773">
          <cell r="A773" t="str">
            <v>袁小龙</v>
          </cell>
          <cell r="B773" t="str">
            <v>00510</v>
          </cell>
          <cell r="C773" t="str">
            <v>四川时代蜂族营销策划有限公司</v>
          </cell>
          <cell r="D773">
            <v>44908</v>
          </cell>
          <cell r="E773" t="str">
            <v>西南总部</v>
          </cell>
        </row>
        <row r="774">
          <cell r="A774" t="str">
            <v>贾雪英</v>
          </cell>
          <cell r="B774" t="str">
            <v>00500</v>
          </cell>
          <cell r="C774" t="str">
            <v>四川金巴牛网络科技有限公司</v>
          </cell>
          <cell r="D774">
            <v>44900</v>
          </cell>
          <cell r="E774" t="str">
            <v>西南总部</v>
          </cell>
        </row>
        <row r="775">
          <cell r="A775" t="str">
            <v>刘大千</v>
          </cell>
          <cell r="B775" t="str">
            <v>00485</v>
          </cell>
          <cell r="C775" t="str">
            <v>四川时代蜂族营销策划有限公司</v>
          </cell>
          <cell r="D775">
            <v>44889</v>
          </cell>
          <cell r="E775" t="str">
            <v>西南总部</v>
          </cell>
        </row>
        <row r="776">
          <cell r="A776" t="str">
            <v>韩博雷</v>
          </cell>
          <cell r="B776" t="str">
            <v>00484</v>
          </cell>
          <cell r="C776" t="str">
            <v>四川时代蜂族营销策划有限公司</v>
          </cell>
          <cell r="D776">
            <v>44886</v>
          </cell>
          <cell r="E776" t="str">
            <v>西南总部</v>
          </cell>
        </row>
        <row r="777">
          <cell r="A777" t="str">
            <v>叶鑫</v>
          </cell>
          <cell r="B777" t="str">
            <v>00472</v>
          </cell>
          <cell r="C777" t="str">
            <v>四川时代蜂族营销策划有限公司</v>
          </cell>
          <cell r="D777">
            <v>44878</v>
          </cell>
          <cell r="E777" t="str">
            <v>河南</v>
          </cell>
        </row>
        <row r="778">
          <cell r="A778" t="str">
            <v>贺正杨</v>
          </cell>
          <cell r="B778" t="str">
            <v>00467</v>
          </cell>
          <cell r="C778" t="str">
            <v>四川时代蜂族营销策划有限公司</v>
          </cell>
          <cell r="D778">
            <v>44873</v>
          </cell>
          <cell r="E778" t="str">
            <v>西南总部</v>
          </cell>
        </row>
        <row r="779">
          <cell r="A779" t="str">
            <v>杨薇</v>
          </cell>
          <cell r="B779" t="str">
            <v>00456</v>
          </cell>
          <cell r="C779" t="str">
            <v>四川时代蜂族营销策划有限公司</v>
          </cell>
          <cell r="D779">
            <v>44865</v>
          </cell>
          <cell r="E779" t="str">
            <v>西南总部</v>
          </cell>
        </row>
        <row r="780">
          <cell r="A780" t="str">
            <v>李瑞文</v>
          </cell>
          <cell r="B780" t="str">
            <v>00452</v>
          </cell>
          <cell r="C780" t="str">
            <v>湖南时代蜂族营销策划有限公司</v>
          </cell>
          <cell r="D780">
            <v>44861</v>
          </cell>
          <cell r="E780" t="str">
            <v>湖南</v>
          </cell>
        </row>
        <row r="781">
          <cell r="A781" t="str">
            <v>骆志红</v>
          </cell>
          <cell r="B781" t="str">
            <v>00450</v>
          </cell>
          <cell r="C781" t="str">
            <v>四川时代蜂族营销策划有限公司</v>
          </cell>
          <cell r="D781">
            <v>44861</v>
          </cell>
          <cell r="E781" t="str">
            <v>湖北</v>
          </cell>
        </row>
        <row r="782">
          <cell r="A782" t="str">
            <v>陈国林</v>
          </cell>
          <cell r="B782" t="str">
            <v>00442</v>
          </cell>
          <cell r="C782" t="str">
            <v>四川时代蜂族营销策划有限公司</v>
          </cell>
          <cell r="D782">
            <v>44855</v>
          </cell>
          <cell r="E782" t="str">
            <v>西南总部</v>
          </cell>
        </row>
        <row r="783">
          <cell r="A783" t="str">
            <v>吴川江</v>
          </cell>
          <cell r="B783" t="str">
            <v>00695</v>
          </cell>
          <cell r="C783" t="str">
            <v>山西时代蜂族房地产经纪有限公司</v>
          </cell>
          <cell r="D783">
            <v>44849</v>
          </cell>
          <cell r="E783" t="str">
            <v>山西</v>
          </cell>
        </row>
        <row r="784">
          <cell r="A784" t="str">
            <v>王道彬</v>
          </cell>
          <cell r="B784" t="str">
            <v>01430</v>
          </cell>
          <cell r="C784" t="str">
            <v>四川时代蜂族营销策划有限公司</v>
          </cell>
          <cell r="D784">
            <v>44848</v>
          </cell>
          <cell r="E784" t="str">
            <v>西南总部</v>
          </cell>
        </row>
        <row r="785">
          <cell r="A785" t="str">
            <v>袁伟川</v>
          </cell>
          <cell r="B785" t="str">
            <v>00429</v>
          </cell>
          <cell r="C785" t="str">
            <v>湖北蜜蜂族房地产经纪有限公司</v>
          </cell>
          <cell r="D785">
            <v>44840</v>
          </cell>
          <cell r="E785" t="str">
            <v>湖北</v>
          </cell>
        </row>
        <row r="786">
          <cell r="A786" t="str">
            <v>赵鹏</v>
          </cell>
          <cell r="B786" t="str">
            <v>00428</v>
          </cell>
          <cell r="C786" t="str">
            <v>陕西蜂族科技有限公司</v>
          </cell>
          <cell r="D786">
            <v>44840</v>
          </cell>
          <cell r="E786" t="str">
            <v>陕西</v>
          </cell>
        </row>
        <row r="787">
          <cell r="A787" t="str">
            <v>隆陈亚</v>
          </cell>
          <cell r="B787" t="str">
            <v>00421</v>
          </cell>
          <cell r="C787" t="str">
            <v>四川时代蜂族营销策划有限公司</v>
          </cell>
          <cell r="D787">
            <v>44828</v>
          </cell>
          <cell r="E787" t="str">
            <v>西南总部</v>
          </cell>
        </row>
        <row r="788">
          <cell r="A788" t="str">
            <v>冯磊</v>
          </cell>
          <cell r="B788" t="str">
            <v>00415</v>
          </cell>
          <cell r="C788" t="str">
            <v>湖北蜜蜂族房地产经纪有限公司</v>
          </cell>
          <cell r="D788">
            <v>44805</v>
          </cell>
          <cell r="E788" t="str">
            <v>湖北</v>
          </cell>
        </row>
        <row r="789">
          <cell r="A789" t="str">
            <v>于强</v>
          </cell>
          <cell r="B789" t="str">
            <v>00416</v>
          </cell>
          <cell r="C789" t="str">
            <v>四川时代蜂族营销策划有限公司</v>
          </cell>
          <cell r="D789">
            <v>44805</v>
          </cell>
          <cell r="E789" t="str">
            <v>西南总部</v>
          </cell>
        </row>
        <row r="790">
          <cell r="A790" t="str">
            <v>李培金</v>
          </cell>
          <cell r="B790" t="str">
            <v>00411</v>
          </cell>
          <cell r="C790" t="str">
            <v>四川时代蜂族营销策划有限公司</v>
          </cell>
          <cell r="D790">
            <v>44802</v>
          </cell>
          <cell r="E790" t="str">
            <v>西南总部</v>
          </cell>
        </row>
        <row r="791">
          <cell r="A791" t="str">
            <v>张英</v>
          </cell>
          <cell r="B791" t="str">
            <v>00402</v>
          </cell>
          <cell r="C791" t="str">
            <v>陕西蜂族科技有限公司</v>
          </cell>
          <cell r="D791">
            <v>44790</v>
          </cell>
          <cell r="E791" t="str">
            <v>陕西</v>
          </cell>
        </row>
        <row r="792">
          <cell r="A792" t="str">
            <v>马超</v>
          </cell>
          <cell r="B792" t="str">
            <v>00384</v>
          </cell>
          <cell r="C792" t="str">
            <v>湖北蜜蜂族房地产经纪有限公司</v>
          </cell>
          <cell r="D792">
            <v>44760</v>
          </cell>
          <cell r="E792" t="str">
            <v>湖北</v>
          </cell>
        </row>
        <row r="793">
          <cell r="A793" t="str">
            <v>郭秉娜</v>
          </cell>
          <cell r="B793" t="str">
            <v>00380</v>
          </cell>
          <cell r="C793" t="str">
            <v>四川时代蜂族营销策划有限公司</v>
          </cell>
          <cell r="D793">
            <v>44753</v>
          </cell>
          <cell r="E793" t="str">
            <v>西南总部</v>
          </cell>
        </row>
        <row r="794">
          <cell r="A794" t="str">
            <v>冯菊蓉</v>
          </cell>
          <cell r="B794" t="str">
            <v>00378</v>
          </cell>
          <cell r="C794" t="str">
            <v>陕西蜂族科技有限公司</v>
          </cell>
          <cell r="D794">
            <v>44749</v>
          </cell>
          <cell r="E794" t="str">
            <v>陕西</v>
          </cell>
        </row>
        <row r="795">
          <cell r="A795" t="str">
            <v>徐莲</v>
          </cell>
          <cell r="B795" t="str">
            <v>00374</v>
          </cell>
          <cell r="C795" t="str">
            <v>四川时代蜂族营销策划有限公司</v>
          </cell>
          <cell r="D795">
            <v>44742</v>
          </cell>
          <cell r="E795" t="str">
            <v>西南总部</v>
          </cell>
        </row>
        <row r="796">
          <cell r="A796" t="str">
            <v>杨威</v>
          </cell>
          <cell r="B796" t="str">
            <v>00360</v>
          </cell>
          <cell r="C796" t="str">
            <v>四川时代蜂族营销策划有限公司</v>
          </cell>
          <cell r="D796">
            <v>44732</v>
          </cell>
          <cell r="E796" t="str">
            <v>西南总部</v>
          </cell>
        </row>
        <row r="797">
          <cell r="A797" t="str">
            <v>孙科</v>
          </cell>
          <cell r="B797" t="str">
            <v>00354</v>
          </cell>
          <cell r="C797" t="str">
            <v>四川时代蜂族营销策划有限公司</v>
          </cell>
          <cell r="D797">
            <v>44729</v>
          </cell>
          <cell r="E797" t="str">
            <v>辽宁</v>
          </cell>
        </row>
        <row r="798">
          <cell r="A798" t="str">
            <v>谢敏</v>
          </cell>
          <cell r="B798" t="str">
            <v>00349</v>
          </cell>
          <cell r="C798" t="str">
            <v>四川时代蜂族营销策划有限公司</v>
          </cell>
          <cell r="D798">
            <v>44725</v>
          </cell>
          <cell r="E798" t="str">
            <v>西南总部</v>
          </cell>
        </row>
        <row r="799">
          <cell r="A799" t="str">
            <v>蔺小燕</v>
          </cell>
          <cell r="B799" t="str">
            <v>00346</v>
          </cell>
          <cell r="C799" t="str">
            <v>湖北蜜蜂族房地产经纪有限公司</v>
          </cell>
          <cell r="D799">
            <v>44723</v>
          </cell>
          <cell r="E799" t="str">
            <v>湖北</v>
          </cell>
        </row>
        <row r="800">
          <cell r="A800" t="str">
            <v>刘佳</v>
          </cell>
          <cell r="B800" t="str">
            <v>00347</v>
          </cell>
          <cell r="C800" t="str">
            <v>四川时代蜂族营销策划有限公司</v>
          </cell>
          <cell r="D800">
            <v>44723</v>
          </cell>
          <cell r="E800" t="str">
            <v>西南总部</v>
          </cell>
        </row>
        <row r="801">
          <cell r="A801" t="str">
            <v>程新浩</v>
          </cell>
          <cell r="B801" t="str">
            <v>00345</v>
          </cell>
          <cell r="C801" t="str">
            <v>四川时代蜂族营销策划有限公司</v>
          </cell>
          <cell r="D801">
            <v>44721</v>
          </cell>
          <cell r="E801" t="str">
            <v>西南总部</v>
          </cell>
        </row>
        <row r="802">
          <cell r="A802" t="str">
            <v>李敏</v>
          </cell>
          <cell r="B802" t="str">
            <v>00336</v>
          </cell>
          <cell r="C802" t="str">
            <v>四川时代蜂族营销策划有限公司</v>
          </cell>
          <cell r="D802">
            <v>44703</v>
          </cell>
          <cell r="E802" t="str">
            <v>西南总部</v>
          </cell>
        </row>
        <row r="803">
          <cell r="A803" t="str">
            <v>霍艳</v>
          </cell>
          <cell r="B803" t="str">
            <v>00335</v>
          </cell>
          <cell r="C803" t="str">
            <v>陕西蜂族科技有限公司</v>
          </cell>
          <cell r="D803">
            <v>44703</v>
          </cell>
          <cell r="E803" t="str">
            <v>陕西</v>
          </cell>
        </row>
        <row r="804">
          <cell r="A804" t="str">
            <v>林浩</v>
          </cell>
          <cell r="B804" t="str">
            <v>00333</v>
          </cell>
          <cell r="C804" t="str">
            <v>湖北蜜蜂族房地产经纪有限公司</v>
          </cell>
          <cell r="D804">
            <v>44698</v>
          </cell>
          <cell r="E804" t="str">
            <v>湖北</v>
          </cell>
        </row>
        <row r="805">
          <cell r="A805" t="str">
            <v>段燕</v>
          </cell>
          <cell r="B805" t="str">
            <v>00320</v>
          </cell>
          <cell r="C805" t="str">
            <v>四川时代蜂族营销策划有限公司</v>
          </cell>
          <cell r="D805">
            <v>44663</v>
          </cell>
          <cell r="E805" t="str">
            <v>河北</v>
          </cell>
        </row>
        <row r="806">
          <cell r="A806" t="str">
            <v>杨永丽</v>
          </cell>
          <cell r="B806" t="str">
            <v>00312</v>
          </cell>
          <cell r="C806" t="str">
            <v>四川时代蜂族营销策划有限公司</v>
          </cell>
          <cell r="D806">
            <v>44652</v>
          </cell>
          <cell r="E806" t="str">
            <v>西南总部</v>
          </cell>
        </row>
        <row r="807">
          <cell r="A807" t="str">
            <v>秦娅玲</v>
          </cell>
          <cell r="B807" t="str">
            <v>00308</v>
          </cell>
          <cell r="C807" t="str">
            <v>四川时代蜂族营销策划有限公司</v>
          </cell>
          <cell r="D807">
            <v>44643</v>
          </cell>
          <cell r="E807" t="str">
            <v>湖北</v>
          </cell>
        </row>
        <row r="808">
          <cell r="A808" t="str">
            <v>孙丽琼</v>
          </cell>
          <cell r="B808" t="str">
            <v>00301</v>
          </cell>
          <cell r="C808" t="str">
            <v>四川时代蜂族营销策划有限公司</v>
          </cell>
          <cell r="D808">
            <v>44629</v>
          </cell>
          <cell r="E808" t="str">
            <v>西南总部</v>
          </cell>
        </row>
        <row r="809">
          <cell r="A809" t="str">
            <v>张鑫宇</v>
          </cell>
          <cell r="B809" t="str">
            <v>00300</v>
          </cell>
          <cell r="C809" t="str">
            <v>四川时代蜂族营销策划有限公司</v>
          </cell>
          <cell r="D809">
            <v>44628</v>
          </cell>
          <cell r="E809" t="str">
            <v>西南总部</v>
          </cell>
        </row>
        <row r="810">
          <cell r="A810" t="str">
            <v>杜雄</v>
          </cell>
          <cell r="B810" t="str">
            <v>00297</v>
          </cell>
          <cell r="C810" t="str">
            <v>河南蜜蜂族营销策划有限公司</v>
          </cell>
          <cell r="D810">
            <v>44626</v>
          </cell>
          <cell r="E810" t="str">
            <v>河南</v>
          </cell>
        </row>
        <row r="811">
          <cell r="A811" t="str">
            <v>蒋杨</v>
          </cell>
          <cell r="B811" t="str">
            <v>00294</v>
          </cell>
          <cell r="C811" t="str">
            <v>四川时代蜂族营销策划有限公司</v>
          </cell>
          <cell r="D811">
            <v>44623</v>
          </cell>
          <cell r="E811" t="str">
            <v>西南总部</v>
          </cell>
        </row>
        <row r="812">
          <cell r="A812" t="str">
            <v>李晓虹</v>
          </cell>
          <cell r="B812" t="str">
            <v>00291</v>
          </cell>
          <cell r="C812" t="str">
            <v>四川时代蜂族营销策划有限公司</v>
          </cell>
          <cell r="D812">
            <v>44615</v>
          </cell>
          <cell r="E812" t="str">
            <v>湖南</v>
          </cell>
        </row>
        <row r="813">
          <cell r="A813" t="str">
            <v>孙小龙</v>
          </cell>
          <cell r="B813" t="str">
            <v>00288</v>
          </cell>
          <cell r="C813" t="str">
            <v>四川时代蜂族营销策划有限公司</v>
          </cell>
          <cell r="D813">
            <v>44578</v>
          </cell>
          <cell r="E813" t="str">
            <v>西南总部</v>
          </cell>
        </row>
        <row r="814">
          <cell r="A814" t="str">
            <v>冯洁</v>
          </cell>
          <cell r="B814" t="str">
            <v>00285</v>
          </cell>
          <cell r="C814" t="str">
            <v>山东时代蜂族营销策划有限公司</v>
          </cell>
          <cell r="D814">
            <v>44571</v>
          </cell>
          <cell r="E814" t="str">
            <v>山东</v>
          </cell>
        </row>
        <row r="815">
          <cell r="A815" t="str">
            <v>罗小花</v>
          </cell>
          <cell r="B815" t="str">
            <v>00283</v>
          </cell>
          <cell r="C815" t="str">
            <v>陕西蜂族科技有限公司</v>
          </cell>
          <cell r="D815">
            <v>44565</v>
          </cell>
          <cell r="E815" t="str">
            <v>陕西</v>
          </cell>
        </row>
        <row r="816">
          <cell r="A816" t="str">
            <v>伍浩东</v>
          </cell>
          <cell r="B816" t="str">
            <v>00275</v>
          </cell>
          <cell r="C816" t="str">
            <v>四川时代蜂族营销策划有限公司</v>
          </cell>
          <cell r="D816">
            <v>44558</v>
          </cell>
          <cell r="E816" t="str">
            <v>西南总部</v>
          </cell>
        </row>
        <row r="817">
          <cell r="A817" t="str">
            <v>蒋明霞</v>
          </cell>
          <cell r="B817" t="str">
            <v>00273</v>
          </cell>
          <cell r="C817" t="str">
            <v>四川优诺通瑞商贸有限公司</v>
          </cell>
          <cell r="D817">
            <v>44557</v>
          </cell>
          <cell r="E817" t="str">
            <v>西南总部</v>
          </cell>
        </row>
        <row r="818">
          <cell r="A818" t="str">
            <v>周吉双</v>
          </cell>
          <cell r="B818" t="str">
            <v>00270</v>
          </cell>
          <cell r="C818" t="str">
            <v>四川时代蜂族营销策划有限公司</v>
          </cell>
          <cell r="D818">
            <v>44555</v>
          </cell>
          <cell r="E818" t="str">
            <v>河南</v>
          </cell>
        </row>
        <row r="819">
          <cell r="A819" t="str">
            <v>韩旭</v>
          </cell>
          <cell r="B819" t="str">
            <v>00263</v>
          </cell>
          <cell r="C819" t="str">
            <v>四川时代蜂族营销策划有限公司</v>
          </cell>
          <cell r="D819">
            <v>44552</v>
          </cell>
          <cell r="E819" t="str">
            <v>河北</v>
          </cell>
        </row>
        <row r="820">
          <cell r="A820" t="str">
            <v>朱林</v>
          </cell>
          <cell r="B820" t="str">
            <v>00266</v>
          </cell>
          <cell r="C820" t="str">
            <v>河南蜜蜂族营销策划有限公司</v>
          </cell>
          <cell r="D820">
            <v>44552</v>
          </cell>
          <cell r="E820" t="str">
            <v>河南</v>
          </cell>
        </row>
        <row r="821">
          <cell r="A821" t="str">
            <v>袁华</v>
          </cell>
          <cell r="B821" t="str">
            <v>00255</v>
          </cell>
          <cell r="C821" t="str">
            <v>四川时代蜂族营销策划有限公司</v>
          </cell>
          <cell r="D821">
            <v>44548</v>
          </cell>
          <cell r="E821" t="str">
            <v>西南总部</v>
          </cell>
        </row>
        <row r="822">
          <cell r="A822" t="str">
            <v>雷鸣</v>
          </cell>
          <cell r="B822" t="str">
            <v>00248</v>
          </cell>
          <cell r="C822" t="str">
            <v>兰州时代蜂族营销策划有限公司</v>
          </cell>
          <cell r="D822">
            <v>44546</v>
          </cell>
          <cell r="E822" t="str">
            <v>甘肃</v>
          </cell>
        </row>
        <row r="823">
          <cell r="A823" t="str">
            <v>杨应</v>
          </cell>
          <cell r="B823" t="str">
            <v>00232</v>
          </cell>
          <cell r="C823" t="str">
            <v>陕西蜂族科技有限公司</v>
          </cell>
          <cell r="D823">
            <v>44543</v>
          </cell>
          <cell r="E823" t="str">
            <v>陕西</v>
          </cell>
        </row>
        <row r="824">
          <cell r="A824" t="str">
            <v>刘岷</v>
          </cell>
          <cell r="B824" t="str">
            <v>00235</v>
          </cell>
          <cell r="C824" t="str">
            <v>四川时代蜂族营销策划有限公司</v>
          </cell>
          <cell r="D824">
            <v>44543</v>
          </cell>
          <cell r="E824" t="str">
            <v>湖南</v>
          </cell>
        </row>
        <row r="825">
          <cell r="A825" t="str">
            <v>覃波</v>
          </cell>
          <cell r="B825" t="str">
            <v>00747</v>
          </cell>
          <cell r="C825" t="str">
            <v>陕西蜂族科技有限公司</v>
          </cell>
          <cell r="D825">
            <v>44543</v>
          </cell>
          <cell r="E825" t="str">
            <v>陕西</v>
          </cell>
        </row>
        <row r="826">
          <cell r="A826" t="str">
            <v>杨唐</v>
          </cell>
          <cell r="B826" t="str">
            <v>00237</v>
          </cell>
          <cell r="C826" t="str">
            <v>山东时代蜂族营销策划有限公司</v>
          </cell>
          <cell r="D826">
            <v>44543</v>
          </cell>
          <cell r="E826" t="str">
            <v>山东</v>
          </cell>
        </row>
        <row r="827">
          <cell r="A827" t="str">
            <v>王兴云</v>
          </cell>
          <cell r="B827" t="str">
            <v>00224</v>
          </cell>
          <cell r="C827" t="str">
            <v>四川时代蜂族营销策划有限公司</v>
          </cell>
          <cell r="D827">
            <v>44538</v>
          </cell>
          <cell r="E827" t="str">
            <v>河南</v>
          </cell>
        </row>
        <row r="828">
          <cell r="A828" t="str">
            <v>姚瑶</v>
          </cell>
          <cell r="B828" t="str">
            <v>00217</v>
          </cell>
          <cell r="C828" t="str">
            <v>四川时代蜂族营销策划有限公司</v>
          </cell>
          <cell r="D828">
            <v>44530</v>
          </cell>
          <cell r="E828" t="str">
            <v>西南总部</v>
          </cell>
        </row>
        <row r="829">
          <cell r="A829" t="str">
            <v>黄小东</v>
          </cell>
          <cell r="B829" t="str">
            <v>00215</v>
          </cell>
          <cell r="C829" t="str">
            <v>四川时代蜂族营销策划有限公司</v>
          </cell>
          <cell r="D829">
            <v>44525</v>
          </cell>
          <cell r="E829" t="str">
            <v>新疆</v>
          </cell>
        </row>
        <row r="830">
          <cell r="A830" t="str">
            <v>蒋婉萍</v>
          </cell>
          <cell r="B830" t="str">
            <v>00745</v>
          </cell>
          <cell r="C830" t="str">
            <v>四川时代蜂族营销策划有限公司</v>
          </cell>
          <cell r="D830">
            <v>44522</v>
          </cell>
          <cell r="E830" t="str">
            <v>西南总部</v>
          </cell>
        </row>
        <row r="831">
          <cell r="A831" t="str">
            <v>谢淅安</v>
          </cell>
          <cell r="B831" t="str">
            <v>00206</v>
          </cell>
          <cell r="C831" t="str">
            <v>四川时代蜂族营销策划有限公司</v>
          </cell>
          <cell r="D831">
            <v>44511</v>
          </cell>
          <cell r="E831" t="str">
            <v>山西</v>
          </cell>
        </row>
        <row r="832">
          <cell r="A832" t="str">
            <v>杨英</v>
          </cell>
          <cell r="B832" t="str">
            <v>00205</v>
          </cell>
          <cell r="C832" t="str">
            <v>四川时代蜂族营销策划有限公司</v>
          </cell>
          <cell r="D832">
            <v>44505</v>
          </cell>
          <cell r="E832" t="str">
            <v>西南总部</v>
          </cell>
        </row>
        <row r="833">
          <cell r="A833" t="str">
            <v>肖秀丽</v>
          </cell>
          <cell r="B833" t="str">
            <v>00204</v>
          </cell>
          <cell r="C833" t="str">
            <v>四川时代蜂族营销策划有限公司</v>
          </cell>
          <cell r="D833">
            <v>44504</v>
          </cell>
          <cell r="E833" t="str">
            <v>西南总部</v>
          </cell>
        </row>
        <row r="834">
          <cell r="A834" t="str">
            <v>李文</v>
          </cell>
          <cell r="B834" t="str">
            <v>00195</v>
          </cell>
          <cell r="C834" t="str">
            <v>湖北蜜蜂族房地产经纪有限公司</v>
          </cell>
          <cell r="D834">
            <v>44489</v>
          </cell>
          <cell r="E834" t="str">
            <v>湖北</v>
          </cell>
        </row>
        <row r="835">
          <cell r="A835" t="str">
            <v>胡雪梅</v>
          </cell>
          <cell r="B835" t="str">
            <v>00178</v>
          </cell>
          <cell r="C835" t="str">
            <v>四川时代蜂族营销策划有限公司</v>
          </cell>
          <cell r="D835">
            <v>44464</v>
          </cell>
          <cell r="E835" t="str">
            <v>西南总部</v>
          </cell>
        </row>
        <row r="836">
          <cell r="A836" t="str">
            <v>苏晓青</v>
          </cell>
          <cell r="B836" t="str">
            <v>00166</v>
          </cell>
          <cell r="C836" t="str">
            <v>山东时代蜂族营销策划有限公司</v>
          </cell>
          <cell r="D836">
            <v>44426</v>
          </cell>
          <cell r="E836" t="str">
            <v>山东</v>
          </cell>
        </row>
        <row r="837">
          <cell r="A837" t="str">
            <v>杨兰</v>
          </cell>
          <cell r="B837" t="str">
            <v>00165</v>
          </cell>
          <cell r="C837" t="str">
            <v>山东时代蜂族营销策划有限公司</v>
          </cell>
          <cell r="D837">
            <v>44426</v>
          </cell>
          <cell r="E837" t="str">
            <v>山东</v>
          </cell>
        </row>
        <row r="838">
          <cell r="A838" t="str">
            <v>汤伟</v>
          </cell>
          <cell r="B838" t="str">
            <v>00161</v>
          </cell>
          <cell r="C838" t="str">
            <v>四川金巴牛网络科技有限公司</v>
          </cell>
          <cell r="D838">
            <v>44424</v>
          </cell>
          <cell r="E838" t="str">
            <v>西南总部</v>
          </cell>
        </row>
        <row r="839">
          <cell r="A839" t="str">
            <v>吴志虎</v>
          </cell>
          <cell r="B839" t="str">
            <v>00160</v>
          </cell>
          <cell r="C839" t="str">
            <v>山西时代蜂族房地产经纪有限公司</v>
          </cell>
          <cell r="D839">
            <v>44420</v>
          </cell>
          <cell r="E839" t="str">
            <v>山西</v>
          </cell>
        </row>
        <row r="840">
          <cell r="A840" t="str">
            <v>刘宇</v>
          </cell>
          <cell r="B840" t="str">
            <v>00154</v>
          </cell>
          <cell r="C840" t="str">
            <v>四川时代蜂族营销策划有限公司</v>
          </cell>
          <cell r="D840">
            <v>44415</v>
          </cell>
          <cell r="E840" t="str">
            <v>内蒙古</v>
          </cell>
        </row>
        <row r="841">
          <cell r="A841" t="str">
            <v>罗诗雨</v>
          </cell>
          <cell r="B841" t="str">
            <v>00146</v>
          </cell>
          <cell r="C841" t="str">
            <v>四川大礼连连科技有限公司</v>
          </cell>
          <cell r="D841">
            <v>44396</v>
          </cell>
          <cell r="E841" t="str">
            <v>西南总部</v>
          </cell>
        </row>
        <row r="842">
          <cell r="A842" t="str">
            <v>王小春</v>
          </cell>
          <cell r="B842" t="str">
            <v>00143</v>
          </cell>
          <cell r="C842" t="str">
            <v>四川时代蜂族营销策划有限公司</v>
          </cell>
          <cell r="D842">
            <v>44376</v>
          </cell>
          <cell r="E842" t="str">
            <v>西南总部</v>
          </cell>
        </row>
        <row r="843">
          <cell r="A843" t="str">
            <v>罗小清</v>
          </cell>
          <cell r="B843" t="str">
            <v>00135</v>
          </cell>
          <cell r="C843" t="str">
            <v>四川蜂起营销策划有限公司</v>
          </cell>
          <cell r="D843">
            <v>44354</v>
          </cell>
          <cell r="E843" t="str">
            <v>西南总部</v>
          </cell>
        </row>
        <row r="844">
          <cell r="A844" t="str">
            <v>罗敏</v>
          </cell>
          <cell r="B844" t="str">
            <v>00134</v>
          </cell>
          <cell r="C844" t="str">
            <v>湖南时代蜂族营销策划有限公司</v>
          </cell>
          <cell r="D844">
            <v>44351</v>
          </cell>
          <cell r="E844" t="str">
            <v>湖南</v>
          </cell>
        </row>
        <row r="845">
          <cell r="A845" t="str">
            <v>杨超群</v>
          </cell>
          <cell r="B845" t="str">
            <v>00128</v>
          </cell>
          <cell r="C845" t="str">
            <v>四川时代蜂族营销策划有限公司</v>
          </cell>
          <cell r="D845">
            <v>44333</v>
          </cell>
          <cell r="E845" t="str">
            <v>湖南</v>
          </cell>
        </row>
        <row r="846">
          <cell r="A846" t="str">
            <v>张仁久</v>
          </cell>
          <cell r="B846" t="str">
            <v>00122</v>
          </cell>
          <cell r="C846" t="str">
            <v>四川金巴牛网络科技有限公司</v>
          </cell>
          <cell r="D846">
            <v>44309</v>
          </cell>
          <cell r="E846" t="str">
            <v>西南总部</v>
          </cell>
        </row>
        <row r="847">
          <cell r="A847" t="str">
            <v>干银</v>
          </cell>
          <cell r="B847" t="str">
            <v>00121</v>
          </cell>
          <cell r="C847" t="str">
            <v>四川金巴牛网络科技有限公司</v>
          </cell>
          <cell r="D847">
            <v>44301</v>
          </cell>
          <cell r="E847" t="str">
            <v>西南总部</v>
          </cell>
        </row>
        <row r="848">
          <cell r="A848" t="str">
            <v>张亚东</v>
          </cell>
          <cell r="B848" t="str">
            <v>00120</v>
          </cell>
          <cell r="C848" t="str">
            <v>四川金巴牛网络科技有限公司</v>
          </cell>
          <cell r="D848">
            <v>44298</v>
          </cell>
          <cell r="E848" t="str">
            <v>西南总部</v>
          </cell>
        </row>
        <row r="849">
          <cell r="A849" t="str">
            <v>颜超</v>
          </cell>
          <cell r="B849" t="str">
            <v>00118</v>
          </cell>
          <cell r="C849" t="str">
            <v>四川时代蜂族营销策划有限公司</v>
          </cell>
          <cell r="D849">
            <v>44279</v>
          </cell>
          <cell r="E849" t="str">
            <v>西南总部</v>
          </cell>
        </row>
        <row r="850">
          <cell r="A850" t="str">
            <v>刘亮</v>
          </cell>
          <cell r="B850" t="str">
            <v>00117</v>
          </cell>
          <cell r="C850" t="str">
            <v>四川时代蜂族营销策划有限公司</v>
          </cell>
          <cell r="D850">
            <v>44272</v>
          </cell>
          <cell r="E850" t="str">
            <v>西南总部</v>
          </cell>
        </row>
        <row r="851">
          <cell r="A851" t="str">
            <v>党虹</v>
          </cell>
          <cell r="B851" t="str">
            <v>00113</v>
          </cell>
          <cell r="C851" t="str">
            <v>四川时代蜂族营销策划有限公司</v>
          </cell>
          <cell r="D851">
            <v>44264</v>
          </cell>
          <cell r="E851" t="str">
            <v>西南总部</v>
          </cell>
        </row>
        <row r="852">
          <cell r="A852" t="str">
            <v>李娜</v>
          </cell>
          <cell r="B852" t="str">
            <v>00111</v>
          </cell>
          <cell r="C852" t="str">
            <v>四川金巴牛网络科技有限公司</v>
          </cell>
          <cell r="D852">
            <v>44254</v>
          </cell>
          <cell r="E852" t="str">
            <v>西南总部</v>
          </cell>
        </row>
        <row r="853">
          <cell r="A853" t="str">
            <v>丁伟</v>
          </cell>
          <cell r="B853" t="str">
            <v>00106</v>
          </cell>
          <cell r="C853" t="str">
            <v>湖北蜜蜂族房地产经纪有限公司</v>
          </cell>
          <cell r="D853">
            <v>44250</v>
          </cell>
          <cell r="E853" t="str">
            <v>湖北</v>
          </cell>
        </row>
        <row r="854">
          <cell r="A854" t="str">
            <v>雷金梅</v>
          </cell>
          <cell r="B854" t="str">
            <v>00101</v>
          </cell>
          <cell r="C854" t="str">
            <v>四川时代蜂族营销策划有限公司</v>
          </cell>
          <cell r="D854">
            <v>44218</v>
          </cell>
          <cell r="E854" t="str">
            <v>西南总部</v>
          </cell>
        </row>
        <row r="855">
          <cell r="A855" t="str">
            <v>王超飞</v>
          </cell>
          <cell r="B855" t="str">
            <v>00094</v>
          </cell>
          <cell r="C855" t="str">
            <v>杭州蜂族时代网络科技有限公司</v>
          </cell>
          <cell r="D855">
            <v>44175</v>
          </cell>
          <cell r="E855" t="str">
            <v>湖南</v>
          </cell>
        </row>
        <row r="856">
          <cell r="A856" t="str">
            <v>税锐</v>
          </cell>
          <cell r="B856" t="str">
            <v>00092</v>
          </cell>
          <cell r="C856" t="str">
            <v>四川时代蜂族营销策划有限公司</v>
          </cell>
          <cell r="D856">
            <v>44158</v>
          </cell>
          <cell r="E856" t="str">
            <v>西南总部</v>
          </cell>
        </row>
        <row r="857">
          <cell r="A857" t="str">
            <v>李丝丝</v>
          </cell>
          <cell r="B857" t="str">
            <v>00090</v>
          </cell>
          <cell r="C857" t="str">
            <v>陕西蜂族科技有限公司</v>
          </cell>
          <cell r="D857">
            <v>44153</v>
          </cell>
          <cell r="E857" t="str">
            <v>陕西</v>
          </cell>
        </row>
        <row r="858">
          <cell r="A858" t="str">
            <v>毛富林</v>
          </cell>
          <cell r="B858" t="str">
            <v>00087</v>
          </cell>
          <cell r="C858" t="str">
            <v>四川时代蜂族营销策划有限公司</v>
          </cell>
          <cell r="D858">
            <v>44139</v>
          </cell>
          <cell r="E858" t="str">
            <v>西南总部</v>
          </cell>
        </row>
        <row r="859">
          <cell r="A859" t="str">
            <v>蒋建秋</v>
          </cell>
          <cell r="B859" t="str">
            <v>00080</v>
          </cell>
          <cell r="C859" t="str">
            <v>四川时代蜂族营销策划有限公司</v>
          </cell>
          <cell r="D859">
            <v>44092</v>
          </cell>
          <cell r="E859" t="str">
            <v>西南总部</v>
          </cell>
        </row>
        <row r="860">
          <cell r="A860" t="str">
            <v>李耀</v>
          </cell>
          <cell r="B860" t="str">
            <v>00077</v>
          </cell>
          <cell r="C860" t="str">
            <v>陕西蜂族科技有限公司</v>
          </cell>
          <cell r="D860">
            <v>44088</v>
          </cell>
          <cell r="E860" t="str">
            <v>陕西</v>
          </cell>
        </row>
        <row r="861">
          <cell r="A861" t="str">
            <v>熊桃桃</v>
          </cell>
          <cell r="B861" t="str">
            <v>00075</v>
          </cell>
          <cell r="C861" t="str">
            <v>湖北蜜蜂族房地产经纪有限公司</v>
          </cell>
          <cell r="D861">
            <v>44079</v>
          </cell>
          <cell r="E861" t="str">
            <v>湖北</v>
          </cell>
        </row>
        <row r="862">
          <cell r="A862" t="str">
            <v>谢文明</v>
          </cell>
          <cell r="B862" t="str">
            <v>00069</v>
          </cell>
          <cell r="C862" t="str">
            <v>陕西蜂族科技有限公司</v>
          </cell>
          <cell r="D862">
            <v>44068</v>
          </cell>
          <cell r="E862" t="str">
            <v>陕西</v>
          </cell>
        </row>
        <row r="863">
          <cell r="A863" t="str">
            <v>查丹</v>
          </cell>
          <cell r="B863" t="str">
            <v>00068</v>
          </cell>
          <cell r="C863" t="str">
            <v>四川优诺通瑞商贸有限公司</v>
          </cell>
          <cell r="D863">
            <v>44062</v>
          </cell>
          <cell r="E863" t="str">
            <v>西南总部</v>
          </cell>
        </row>
        <row r="864">
          <cell r="A864" t="str">
            <v>李丹</v>
          </cell>
          <cell r="B864" t="str">
            <v>00067</v>
          </cell>
          <cell r="C864" t="str">
            <v>山东时代蜂族营销策划有限公司</v>
          </cell>
          <cell r="D864">
            <v>44054</v>
          </cell>
          <cell r="E864" t="str">
            <v>山东</v>
          </cell>
        </row>
        <row r="865">
          <cell r="A865" t="str">
            <v>刘科</v>
          </cell>
          <cell r="B865" t="str">
            <v>00065</v>
          </cell>
          <cell r="C865" t="str">
            <v>山西时代蜂族房地产经纪有限公司</v>
          </cell>
          <cell r="D865">
            <v>44048</v>
          </cell>
          <cell r="E865" t="str">
            <v>山西</v>
          </cell>
        </row>
        <row r="866">
          <cell r="A866" t="str">
            <v>柏刚</v>
          </cell>
          <cell r="B866" t="str">
            <v>00060</v>
          </cell>
          <cell r="C866" t="str">
            <v>四川时代蜂族营销策划有限公司</v>
          </cell>
          <cell r="D866">
            <v>44033</v>
          </cell>
          <cell r="E866" t="str">
            <v>西南总部</v>
          </cell>
        </row>
        <row r="867">
          <cell r="A867" t="str">
            <v>黄勇刚</v>
          </cell>
          <cell r="B867" t="str">
            <v>00058</v>
          </cell>
          <cell r="C867" t="str">
            <v>湖南时代蜂族营销策划有限公司</v>
          </cell>
          <cell r="D867">
            <v>44023</v>
          </cell>
          <cell r="E867" t="str">
            <v>湖南</v>
          </cell>
        </row>
        <row r="868">
          <cell r="A868" t="str">
            <v>聂仕平</v>
          </cell>
          <cell r="B868" t="str">
            <v>00057</v>
          </cell>
          <cell r="C868" t="str">
            <v>四川时代蜂族营销策划有限公司</v>
          </cell>
          <cell r="D868">
            <v>44019</v>
          </cell>
          <cell r="E868" t="str">
            <v>辽宁</v>
          </cell>
        </row>
        <row r="869">
          <cell r="A869" t="str">
            <v>王天成</v>
          </cell>
          <cell r="B869" t="str">
            <v>00052</v>
          </cell>
          <cell r="C869" t="str">
            <v>陕西蜂族科技有限公司</v>
          </cell>
          <cell r="D869">
            <v>44012</v>
          </cell>
          <cell r="E869" t="str">
            <v>陕西</v>
          </cell>
        </row>
        <row r="870">
          <cell r="A870" t="str">
            <v>刘进</v>
          </cell>
          <cell r="B870" t="str">
            <v>00050</v>
          </cell>
          <cell r="C870" t="str">
            <v>湖南时代蜂族营销策划有限公司</v>
          </cell>
          <cell r="D870">
            <v>43997</v>
          </cell>
          <cell r="E870" t="str">
            <v>湖南</v>
          </cell>
        </row>
        <row r="871">
          <cell r="A871" t="str">
            <v>向润</v>
          </cell>
          <cell r="B871" t="str">
            <v>00315</v>
          </cell>
          <cell r="C871" t="str">
            <v>山东时代蜂族营销策划有限公司</v>
          </cell>
          <cell r="D871">
            <v>43974</v>
          </cell>
          <cell r="E871" t="str">
            <v>山东</v>
          </cell>
        </row>
        <row r="872">
          <cell r="A872" t="str">
            <v>杨滔</v>
          </cell>
          <cell r="B872" t="str">
            <v>00034</v>
          </cell>
          <cell r="C872" t="str">
            <v>四川金巴牛网络科技有限公司</v>
          </cell>
          <cell r="D872">
            <v>43948</v>
          </cell>
          <cell r="E872" t="str">
            <v>西南总部</v>
          </cell>
        </row>
        <row r="873">
          <cell r="A873" t="str">
            <v>许钊</v>
          </cell>
          <cell r="B873" t="str">
            <v>00032</v>
          </cell>
          <cell r="C873" t="str">
            <v>四川蜂起营销策划有限公司</v>
          </cell>
          <cell r="D873">
            <v>43910</v>
          </cell>
          <cell r="E873" t="str">
            <v>安徽</v>
          </cell>
        </row>
        <row r="874">
          <cell r="A874" t="str">
            <v>赖慧</v>
          </cell>
          <cell r="B874" t="str">
            <v>00016</v>
          </cell>
          <cell r="C874" t="str">
            <v>四川时代蜂族营销策划有限公司</v>
          </cell>
          <cell r="D874">
            <v>43904</v>
          </cell>
          <cell r="E874" t="str">
            <v>辽宁</v>
          </cell>
        </row>
        <row r="875">
          <cell r="A875" t="str">
            <v>刘辉</v>
          </cell>
          <cell r="B875" t="str">
            <v>00015</v>
          </cell>
          <cell r="C875" t="str">
            <v>山西时代蜂族房地产经纪有限公司</v>
          </cell>
          <cell r="D875">
            <v>43904</v>
          </cell>
          <cell r="E875" t="str">
            <v>山西</v>
          </cell>
        </row>
        <row r="876">
          <cell r="A876" t="str">
            <v>刘超</v>
          </cell>
          <cell r="B876" t="str">
            <v>00029</v>
          </cell>
          <cell r="C876" t="str">
            <v>四川时代蜂族营销策划有限公司</v>
          </cell>
          <cell r="D876">
            <v>43833</v>
          </cell>
          <cell r="E876" t="str">
            <v>西南总部</v>
          </cell>
        </row>
        <row r="877">
          <cell r="A877" t="str">
            <v>黄磊</v>
          </cell>
          <cell r="B877" t="str">
            <v>00014</v>
          </cell>
          <cell r="C877" t="str">
            <v>四川时代蜂族营销策划有限公司</v>
          </cell>
          <cell r="D877">
            <v>43831</v>
          </cell>
          <cell r="E877" t="str">
            <v>湖南</v>
          </cell>
        </row>
        <row r="878">
          <cell r="A878" t="str">
            <v>刘盼</v>
          </cell>
          <cell r="B878" t="str">
            <v>00036</v>
          </cell>
          <cell r="C878" t="str">
            <v>四川优诺通瑞商贸有限公司</v>
          </cell>
          <cell r="D878">
            <v>43800</v>
          </cell>
          <cell r="E878" t="str">
            <v>西南总部</v>
          </cell>
        </row>
        <row r="879">
          <cell r="A879" t="str">
            <v>杨科</v>
          </cell>
          <cell r="B879" t="str">
            <v>00012</v>
          </cell>
          <cell r="C879" t="str">
            <v>四川时代蜂族营销策划有限公司</v>
          </cell>
          <cell r="D879">
            <v>43757</v>
          </cell>
          <cell r="E879" t="str">
            <v>西南总部</v>
          </cell>
        </row>
        <row r="880">
          <cell r="A880" t="str">
            <v>毛孝树</v>
          </cell>
          <cell r="B880" t="str">
            <v>00010</v>
          </cell>
          <cell r="C880" t="str">
            <v>河南蜜蜂族营销策划有限公司</v>
          </cell>
          <cell r="D880">
            <v>43743</v>
          </cell>
          <cell r="E880" t="str">
            <v>河南</v>
          </cell>
        </row>
        <row r="881">
          <cell r="A881" t="str">
            <v>雷小金</v>
          </cell>
          <cell r="B881" t="str">
            <v>00011</v>
          </cell>
          <cell r="C881" t="str">
            <v>四川时代蜂族营销策划有限公司</v>
          </cell>
          <cell r="D881">
            <v>43743</v>
          </cell>
          <cell r="E881" t="str">
            <v>西南总部</v>
          </cell>
        </row>
        <row r="882">
          <cell r="A882" t="str">
            <v>张冀</v>
          </cell>
          <cell r="B882" t="str">
            <v>00039</v>
          </cell>
          <cell r="C882" t="str">
            <v>河北时代蜂族营销策划有限公司</v>
          </cell>
          <cell r="D882">
            <v>43721</v>
          </cell>
          <cell r="E882" t="str">
            <v>河北</v>
          </cell>
        </row>
        <row r="883">
          <cell r="A883" t="str">
            <v>廖静</v>
          </cell>
          <cell r="B883" t="str">
            <v>00040</v>
          </cell>
          <cell r="C883" t="str">
            <v>四川时代蜂族营销策划有限公司</v>
          </cell>
          <cell r="D883">
            <v>43692</v>
          </cell>
          <cell r="E883" t="str">
            <v>河南</v>
          </cell>
        </row>
        <row r="884">
          <cell r="A884" t="str">
            <v>廖小朋</v>
          </cell>
          <cell r="B884" t="str">
            <v>00009</v>
          </cell>
          <cell r="C884" t="str">
            <v>陕西蜂族科技有限公司</v>
          </cell>
          <cell r="D884">
            <v>43602</v>
          </cell>
          <cell r="E884" t="str">
            <v>陕西</v>
          </cell>
        </row>
        <row r="885">
          <cell r="A885" t="str">
            <v>李港一</v>
          </cell>
          <cell r="B885" t="str">
            <v>00008</v>
          </cell>
          <cell r="C885" t="str">
            <v>河北时代蜂族营销策划有限公司</v>
          </cell>
          <cell r="D885">
            <v>43598</v>
          </cell>
          <cell r="E885" t="str">
            <v>河北</v>
          </cell>
        </row>
        <row r="886">
          <cell r="A886" t="str">
            <v>庄素芳</v>
          </cell>
          <cell r="B886" t="str">
            <v>00006</v>
          </cell>
          <cell r="C886" t="str">
            <v>四川时代蜂族营销策划有限公司</v>
          </cell>
          <cell r="D886">
            <v>43572</v>
          </cell>
          <cell r="E886" t="str">
            <v>湖南</v>
          </cell>
        </row>
        <row r="887">
          <cell r="A887" t="str">
            <v>李旭</v>
          </cell>
          <cell r="B887" t="str">
            <v>00035</v>
          </cell>
          <cell r="C887" t="str">
            <v>四川蜂起营销策划有限公司</v>
          </cell>
          <cell r="D887">
            <v>43570</v>
          </cell>
          <cell r="E887" t="str">
            <v>西南总部</v>
          </cell>
        </row>
        <row r="888">
          <cell r="A888" t="str">
            <v>陈萍</v>
          </cell>
          <cell r="B888" t="str">
            <v>00037</v>
          </cell>
          <cell r="C888" t="str">
            <v>四川时代蜂族营销策划有限公司</v>
          </cell>
          <cell r="D888">
            <v>43525</v>
          </cell>
          <cell r="E888" t="str">
            <v>西南总部</v>
          </cell>
        </row>
        <row r="889">
          <cell r="A889" t="str">
            <v>何文斌</v>
          </cell>
          <cell r="B889" t="str">
            <v>00033</v>
          </cell>
          <cell r="C889" t="str">
            <v>四川金巴牛网络科技有限公司</v>
          </cell>
          <cell r="D889">
            <v>43525</v>
          </cell>
          <cell r="E889" t="str">
            <v>西南总部</v>
          </cell>
        </row>
        <row r="890">
          <cell r="A890" t="str">
            <v>范庚</v>
          </cell>
          <cell r="B890" t="str">
            <v>00004</v>
          </cell>
          <cell r="C890" t="str">
            <v>湖北蜜蜂族房地产经纪有限公司</v>
          </cell>
          <cell r="D890">
            <v>43519</v>
          </cell>
          <cell r="E890" t="str">
            <v>湖北</v>
          </cell>
        </row>
        <row r="891">
          <cell r="A891" t="str">
            <v>黄伟</v>
          </cell>
          <cell r="B891" t="str">
            <v>00043</v>
          </cell>
          <cell r="C891" t="str">
            <v>四川时代蜂族营销策划有限公司</v>
          </cell>
          <cell r="D891">
            <v>43516</v>
          </cell>
          <cell r="E891" t="str">
            <v>河北</v>
          </cell>
        </row>
        <row r="892">
          <cell r="A892" t="str">
            <v>黄芳</v>
          </cell>
          <cell r="B892" t="str">
            <v>00001</v>
          </cell>
          <cell r="C892" t="str">
            <v>四川蜜蜂族网络科技有限公司</v>
          </cell>
          <cell r="D892">
            <v>43466</v>
          </cell>
          <cell r="E892" t="str">
            <v>西南总部</v>
          </cell>
        </row>
        <row r="893">
          <cell r="A893" t="str">
            <v>欧松林</v>
          </cell>
          <cell r="B893" t="str">
            <v>00002</v>
          </cell>
          <cell r="C893" t="str">
            <v>四川时代蜂族营销策划有限公司</v>
          </cell>
          <cell r="D893">
            <v>43466</v>
          </cell>
          <cell r="E893" t="str">
            <v>西南总部</v>
          </cell>
        </row>
        <row r="894">
          <cell r="A894" t="str">
            <v>刘文宇</v>
          </cell>
          <cell r="B894" t="str">
            <v>00003</v>
          </cell>
          <cell r="C894" t="str">
            <v>四川时代蜂族营销策划有限公司</v>
          </cell>
          <cell r="D894">
            <v>43466</v>
          </cell>
          <cell r="E894" t="str">
            <v>西南总部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在职"/>
      <sheetName val="离职"/>
    </sheetNames>
    <sheetDataSet>
      <sheetData sheetId="0">
        <row r="1">
          <cell r="A1" t="str">
            <v>parent_Name</v>
          </cell>
          <cell r="B1" t="str">
            <v>JobNumber</v>
          </cell>
          <cell r="C1" t="str">
            <v>LookupPrefix_UserID_FirstPartyCode</v>
          </cell>
          <cell r="D1" t="str">
            <v>EntryDate</v>
          </cell>
          <cell r="E1" t="str">
            <v>LookupPrefix_OIdDepartment_FirstLevelOrganization</v>
          </cell>
          <cell r="F1" t="str">
            <v>LookupPrefix_OIdDepartment_SecondLevelOrganization</v>
          </cell>
          <cell r="G1" t="str">
            <v>LookupPrefix_OIdDepartment_ThirdLevelOrganization</v>
          </cell>
          <cell r="H1" t="str">
            <v>LookupPrefix_OIdDepartment_FourthLevelOrganization</v>
          </cell>
          <cell r="I1" t="str">
            <v>OIdJobPost</v>
          </cell>
          <cell r="J1" t="str">
            <v>parent_Gender</v>
          </cell>
          <cell r="K1" t="str">
            <v>EmployeeStatus</v>
          </cell>
          <cell r="L1" t="str">
            <v>EmployType</v>
          </cell>
          <cell r="M1" t="str">
            <v>POIdEmpAdmin-ExportName</v>
          </cell>
        </row>
        <row r="2">
          <cell r="A2" t="str">
            <v>姓名</v>
          </cell>
          <cell r="B2" t="str">
            <v>工号</v>
          </cell>
          <cell r="C2" t="str">
            <v>公司</v>
          </cell>
          <cell r="D2" t="str">
            <v>任职入职日期</v>
          </cell>
          <cell r="E2" t="str">
            <v>一级组织</v>
          </cell>
          <cell r="F2" t="str">
            <v>二级组织</v>
          </cell>
          <cell r="G2" t="str">
            <v>三级组织</v>
          </cell>
          <cell r="H2" t="str">
            <v>四级组织</v>
          </cell>
          <cell r="I2" t="str">
            <v>职务</v>
          </cell>
          <cell r="J2" t="str">
            <v>性别</v>
          </cell>
          <cell r="K2" t="str">
            <v>人员状态</v>
          </cell>
          <cell r="L2" t="str">
            <v>雇佣关系</v>
          </cell>
          <cell r="M2" t="str">
            <v>直线经理</v>
          </cell>
        </row>
        <row r="3">
          <cell r="A3" t="str">
            <v>王娅芳</v>
          </cell>
          <cell r="B3" t="str">
            <v>01996</v>
          </cell>
          <cell r="C3" t="str">
            <v>四川大礼连连科技有限公司</v>
          </cell>
          <cell r="D3">
            <v>46099</v>
          </cell>
          <cell r="E3" t="str">
            <v>集团职能</v>
          </cell>
          <cell r="F3" t="str">
            <v>职能总部</v>
          </cell>
          <cell r="G3" t="str">
            <v>策划部</v>
          </cell>
        </row>
        <row r="3">
          <cell r="I3" t="str">
            <v>法务专员</v>
          </cell>
          <cell r="J3" t="str">
            <v>女</v>
          </cell>
          <cell r="K3" t="str">
            <v>试用</v>
          </cell>
          <cell r="L3" t="str">
            <v>内部员工</v>
          </cell>
          <cell r="M3" t="str">
            <v>古天鹏</v>
          </cell>
        </row>
        <row r="4">
          <cell r="A4" t="str">
            <v>贺锐</v>
          </cell>
          <cell r="B4" t="str">
            <v>00963</v>
          </cell>
          <cell r="C4" t="str">
            <v>河南蜜蜂族营销策划有限公司</v>
          </cell>
          <cell r="D4">
            <v>46099</v>
          </cell>
          <cell r="E4" t="str">
            <v>河南</v>
          </cell>
          <cell r="F4" t="str">
            <v>河南营销中心</v>
          </cell>
        </row>
        <row r="4">
          <cell r="I4" t="str">
            <v>一星销售顾问</v>
          </cell>
          <cell r="J4" t="str">
            <v>男</v>
          </cell>
          <cell r="K4" t="str">
            <v>试用</v>
          </cell>
          <cell r="L4" t="str">
            <v>内部员工</v>
          </cell>
          <cell r="M4" t="str">
            <v>毛孝树</v>
          </cell>
        </row>
        <row r="5">
          <cell r="A5" t="str">
            <v>闫格</v>
          </cell>
          <cell r="B5" t="str">
            <v>02006</v>
          </cell>
          <cell r="C5" t="str">
            <v>陕西时代蜂族营销策划有限公司</v>
          </cell>
          <cell r="D5">
            <v>46097</v>
          </cell>
          <cell r="E5" t="str">
            <v>陕西</v>
          </cell>
          <cell r="F5" t="str">
            <v>陕西办公室</v>
          </cell>
        </row>
        <row r="5">
          <cell r="I5" t="str">
            <v>设计专员</v>
          </cell>
          <cell r="J5" t="str">
            <v>女</v>
          </cell>
          <cell r="K5" t="str">
            <v>试用</v>
          </cell>
          <cell r="L5" t="str">
            <v>内部员工</v>
          </cell>
          <cell r="M5" t="str">
            <v>廖小朋</v>
          </cell>
        </row>
        <row r="6">
          <cell r="A6" t="str">
            <v>王宽</v>
          </cell>
          <cell r="B6" t="str">
            <v>02000</v>
          </cell>
          <cell r="C6" t="str">
            <v>山东时代蜂族营销策划有限公司</v>
          </cell>
          <cell r="D6">
            <v>46097</v>
          </cell>
          <cell r="E6" t="str">
            <v>山东</v>
          </cell>
          <cell r="F6" t="str">
            <v>山东营销中心</v>
          </cell>
        </row>
        <row r="6">
          <cell r="I6" t="str">
            <v>实习销售</v>
          </cell>
          <cell r="J6" t="str">
            <v>男</v>
          </cell>
          <cell r="K6" t="str">
            <v>试用</v>
          </cell>
          <cell r="L6" t="str">
            <v>内部员工</v>
          </cell>
          <cell r="M6" t="str">
            <v>李丹</v>
          </cell>
        </row>
        <row r="7">
          <cell r="A7" t="str">
            <v>陈雪莲</v>
          </cell>
          <cell r="B7" t="str">
            <v>02001</v>
          </cell>
          <cell r="C7" t="str">
            <v>四川大礼连连科技有限公司</v>
          </cell>
          <cell r="D7">
            <v>46097</v>
          </cell>
          <cell r="E7" t="str">
            <v>集团职能</v>
          </cell>
          <cell r="F7" t="str">
            <v>职能总部</v>
          </cell>
          <cell r="G7" t="str">
            <v>人资行政部</v>
          </cell>
        </row>
        <row r="7">
          <cell r="I7" t="str">
            <v>薪酬专员</v>
          </cell>
          <cell r="J7" t="str">
            <v>女</v>
          </cell>
          <cell r="K7" t="str">
            <v>试用</v>
          </cell>
          <cell r="L7" t="str">
            <v>内部员工</v>
          </cell>
          <cell r="M7" t="str">
            <v>孔群慧</v>
          </cell>
        </row>
        <row r="8">
          <cell r="A8" t="str">
            <v>赵帅</v>
          </cell>
          <cell r="B8" t="str">
            <v>01997</v>
          </cell>
          <cell r="C8" t="str">
            <v>陕西时代蜂族营销策划有限公司</v>
          </cell>
          <cell r="D8">
            <v>46095</v>
          </cell>
          <cell r="E8" t="str">
            <v>陕西</v>
          </cell>
          <cell r="F8" t="str">
            <v>陕西营销中心</v>
          </cell>
          <cell r="G8" t="str">
            <v>陕西2部</v>
          </cell>
          <cell r="H8" t="str">
            <v>王辉</v>
          </cell>
          <cell r="I8" t="str">
            <v>实习销售</v>
          </cell>
          <cell r="J8" t="str">
            <v>男</v>
          </cell>
          <cell r="K8" t="str">
            <v>试用</v>
          </cell>
          <cell r="L8" t="str">
            <v>内部员工</v>
          </cell>
          <cell r="M8" t="str">
            <v>王辉</v>
          </cell>
        </row>
        <row r="9">
          <cell r="A9" t="str">
            <v>滕凯</v>
          </cell>
          <cell r="B9" t="str">
            <v>02002</v>
          </cell>
          <cell r="C9" t="str">
            <v>陕西蜂族科技有限公司</v>
          </cell>
          <cell r="D9">
            <v>46095</v>
          </cell>
          <cell r="E9" t="str">
            <v>陕西</v>
          </cell>
          <cell r="F9" t="str">
            <v>陕西营销中心</v>
          </cell>
          <cell r="G9" t="str">
            <v>陕西1部</v>
          </cell>
          <cell r="H9" t="str">
            <v>张英</v>
          </cell>
          <cell r="I9" t="str">
            <v>实习销售</v>
          </cell>
          <cell r="J9" t="str">
            <v>男</v>
          </cell>
          <cell r="K9" t="str">
            <v>试用</v>
          </cell>
          <cell r="L9" t="str">
            <v>内部员工</v>
          </cell>
          <cell r="M9" t="str">
            <v>张英</v>
          </cell>
        </row>
        <row r="10">
          <cell r="A10" t="str">
            <v>曾建才</v>
          </cell>
          <cell r="B10" t="str">
            <v>01999</v>
          </cell>
          <cell r="C10" t="str">
            <v>湖南时代蜂族营销策划有限公司</v>
          </cell>
          <cell r="D10">
            <v>46095</v>
          </cell>
          <cell r="E10" t="str">
            <v>湖南</v>
          </cell>
          <cell r="F10" t="str">
            <v>湖南营销中心</v>
          </cell>
        </row>
        <row r="10">
          <cell r="I10" t="str">
            <v>实习销售</v>
          </cell>
          <cell r="J10" t="str">
            <v>男</v>
          </cell>
          <cell r="K10" t="str">
            <v>试用</v>
          </cell>
          <cell r="L10" t="str">
            <v>内部员工</v>
          </cell>
          <cell r="M10" t="str">
            <v>刘进</v>
          </cell>
        </row>
        <row r="11">
          <cell r="A11" t="str">
            <v>邓智清</v>
          </cell>
          <cell r="B11" t="str">
            <v>01992</v>
          </cell>
          <cell r="C11" t="str">
            <v>四川时代蜂族营销策划有限公司</v>
          </cell>
          <cell r="D11">
            <v>46095</v>
          </cell>
          <cell r="E11" t="str">
            <v>西南总部</v>
          </cell>
          <cell r="F11" t="str">
            <v>西南营销中心</v>
          </cell>
        </row>
        <row r="11">
          <cell r="I11" t="str">
            <v>实习销售</v>
          </cell>
          <cell r="J11" t="str">
            <v>女</v>
          </cell>
          <cell r="K11" t="str">
            <v>试用</v>
          </cell>
          <cell r="L11" t="str">
            <v>内部员工</v>
          </cell>
          <cell r="M11" t="str">
            <v>欧松林</v>
          </cell>
        </row>
        <row r="12">
          <cell r="A12" t="str">
            <v>任康建</v>
          </cell>
          <cell r="B12" t="str">
            <v>01998</v>
          </cell>
          <cell r="C12" t="str">
            <v>湖南时代蜂族营销策划有限公司</v>
          </cell>
          <cell r="D12">
            <v>46095</v>
          </cell>
          <cell r="E12" t="str">
            <v>湖南</v>
          </cell>
          <cell r="F12" t="str">
            <v>湖南营销中心</v>
          </cell>
        </row>
        <row r="12">
          <cell r="I12" t="str">
            <v>实习销售</v>
          </cell>
          <cell r="J12" t="str">
            <v>男</v>
          </cell>
          <cell r="K12" t="str">
            <v>试用</v>
          </cell>
          <cell r="L12" t="str">
            <v>内部员工</v>
          </cell>
          <cell r="M12" t="str">
            <v>刘进</v>
          </cell>
        </row>
        <row r="13">
          <cell r="A13" t="str">
            <v>葛川川</v>
          </cell>
          <cell r="B13" t="str">
            <v>00041</v>
          </cell>
          <cell r="C13" t="str">
            <v>四川时代蜂族营销策划有限公司</v>
          </cell>
          <cell r="D13">
            <v>46094</v>
          </cell>
          <cell r="E13" t="str">
            <v>吉林</v>
          </cell>
          <cell r="F13" t="str">
            <v>吉林拓展部</v>
          </cell>
        </row>
        <row r="13">
          <cell r="I13" t="str">
            <v>区域拓展总监</v>
          </cell>
          <cell r="J13" t="str">
            <v>男</v>
          </cell>
          <cell r="K13" t="str">
            <v>正式</v>
          </cell>
          <cell r="L13" t="str">
            <v>内部员工</v>
          </cell>
          <cell r="M13" t="str">
            <v>黄芳</v>
          </cell>
        </row>
        <row r="14">
          <cell r="A14" t="str">
            <v>吴丽君</v>
          </cell>
          <cell r="B14" t="str">
            <v>01993</v>
          </cell>
          <cell r="C14" t="str">
            <v>山西时代蜂族房地产经纪有限公司</v>
          </cell>
          <cell r="D14">
            <v>46094</v>
          </cell>
          <cell r="E14" t="str">
            <v>山西</v>
          </cell>
          <cell r="F14" t="str">
            <v>山西营销中心</v>
          </cell>
        </row>
        <row r="14">
          <cell r="I14" t="str">
            <v>实习销售</v>
          </cell>
          <cell r="J14" t="str">
            <v>女</v>
          </cell>
          <cell r="K14" t="str">
            <v>试用</v>
          </cell>
          <cell r="L14" t="str">
            <v>内部员工</v>
          </cell>
          <cell r="M14" t="str">
            <v>刘辉</v>
          </cell>
        </row>
        <row r="15">
          <cell r="A15" t="str">
            <v>方佳豪</v>
          </cell>
          <cell r="B15" t="str">
            <v>01981</v>
          </cell>
          <cell r="C15" t="str">
            <v>陕西时代蜂族营销策划有限公司</v>
          </cell>
          <cell r="D15">
            <v>46094</v>
          </cell>
          <cell r="E15" t="str">
            <v>陕西</v>
          </cell>
          <cell r="F15" t="str">
            <v>陕西营销中心</v>
          </cell>
          <cell r="G15" t="str">
            <v>陕西2部</v>
          </cell>
          <cell r="H15" t="str">
            <v>王超2</v>
          </cell>
          <cell r="I15" t="str">
            <v>实习销售</v>
          </cell>
          <cell r="J15" t="str">
            <v>男</v>
          </cell>
          <cell r="K15" t="str">
            <v>试用</v>
          </cell>
          <cell r="L15" t="str">
            <v>内部员工</v>
          </cell>
          <cell r="M15" t="str">
            <v>王超2</v>
          </cell>
        </row>
        <row r="16">
          <cell r="A16" t="str">
            <v>周欢</v>
          </cell>
          <cell r="B16" t="str">
            <v>01994</v>
          </cell>
          <cell r="C16" t="str">
            <v>四川时代蜂族营销策划有限公司</v>
          </cell>
          <cell r="D16">
            <v>46093</v>
          </cell>
          <cell r="E16" t="str">
            <v>西南总部</v>
          </cell>
          <cell r="F16" t="str">
            <v>西南营销中心</v>
          </cell>
          <cell r="G16" t="str">
            <v>营业二部</v>
          </cell>
          <cell r="H16" t="str">
            <v>黄磊</v>
          </cell>
          <cell r="I16" t="str">
            <v>实习销售</v>
          </cell>
          <cell r="J16" t="str">
            <v>女</v>
          </cell>
          <cell r="K16" t="str">
            <v>试用</v>
          </cell>
          <cell r="L16" t="str">
            <v>内部员工</v>
          </cell>
          <cell r="M16" t="str">
            <v>黄磊</v>
          </cell>
        </row>
        <row r="17">
          <cell r="A17" t="str">
            <v>刘芳芝</v>
          </cell>
          <cell r="B17" t="str">
            <v>02004</v>
          </cell>
          <cell r="C17" t="str">
            <v>四川时代蜂族营销策划有限公司</v>
          </cell>
          <cell r="D17">
            <v>46093</v>
          </cell>
          <cell r="E17" t="str">
            <v>西南总部</v>
          </cell>
          <cell r="F17" t="str">
            <v>西南营销中心</v>
          </cell>
        </row>
        <row r="17">
          <cell r="I17" t="str">
            <v>实习销售</v>
          </cell>
          <cell r="J17" t="str">
            <v>女</v>
          </cell>
          <cell r="K17" t="str">
            <v>试用</v>
          </cell>
          <cell r="L17" t="str">
            <v>内部员工</v>
          </cell>
          <cell r="M17" t="str">
            <v>欧松林</v>
          </cell>
        </row>
        <row r="18">
          <cell r="A18" t="str">
            <v>周围</v>
          </cell>
          <cell r="B18" t="str">
            <v>01995</v>
          </cell>
          <cell r="C18" t="str">
            <v>河北时代蜂族营销策划有限公司</v>
          </cell>
          <cell r="D18">
            <v>46093</v>
          </cell>
          <cell r="E18" t="str">
            <v>河北</v>
          </cell>
          <cell r="F18" t="str">
            <v>河北营销中心</v>
          </cell>
        </row>
        <row r="18">
          <cell r="I18" t="str">
            <v>实习销售</v>
          </cell>
          <cell r="J18" t="str">
            <v>男</v>
          </cell>
          <cell r="K18" t="str">
            <v>试用</v>
          </cell>
          <cell r="L18" t="str">
            <v>内部员工</v>
          </cell>
          <cell r="M18" t="str">
            <v>李港一</v>
          </cell>
        </row>
        <row r="19">
          <cell r="A19" t="str">
            <v>孙敏</v>
          </cell>
          <cell r="B19" t="str">
            <v>01984</v>
          </cell>
          <cell r="C19" t="str">
            <v>四川大礼连连科技有限公司</v>
          </cell>
          <cell r="D19">
            <v>46093</v>
          </cell>
          <cell r="E19" t="str">
            <v>集团职能</v>
          </cell>
          <cell r="F19" t="str">
            <v>职能总部</v>
          </cell>
          <cell r="G19" t="str">
            <v>人资行政部</v>
          </cell>
        </row>
        <row r="19">
          <cell r="I19" t="str">
            <v>人事专员</v>
          </cell>
          <cell r="J19" t="str">
            <v>女</v>
          </cell>
          <cell r="K19" t="str">
            <v>试用</v>
          </cell>
          <cell r="L19" t="str">
            <v>内部员工</v>
          </cell>
          <cell r="M19" t="str">
            <v>孔群慧</v>
          </cell>
        </row>
        <row r="20">
          <cell r="A20" t="str">
            <v>薛恒远</v>
          </cell>
          <cell r="B20" t="str">
            <v>01982</v>
          </cell>
          <cell r="C20" t="str">
            <v>河南蜜蜂族营销策划有限公司</v>
          </cell>
          <cell r="D20">
            <v>46093</v>
          </cell>
          <cell r="E20" t="str">
            <v>河南</v>
          </cell>
          <cell r="F20" t="str">
            <v>河南营销中心</v>
          </cell>
          <cell r="G20" t="str">
            <v>河南销售部</v>
          </cell>
          <cell r="H20" t="str">
            <v>周吉双河南</v>
          </cell>
          <cell r="I20" t="str">
            <v>实习销售</v>
          </cell>
          <cell r="J20" t="str">
            <v>男</v>
          </cell>
          <cell r="K20" t="str">
            <v>试用</v>
          </cell>
          <cell r="L20" t="str">
            <v>内部员工</v>
          </cell>
          <cell r="M20" t="str">
            <v>周吉双</v>
          </cell>
        </row>
        <row r="21">
          <cell r="A21" t="str">
            <v>赵春磊</v>
          </cell>
          <cell r="B21" t="str">
            <v>01986</v>
          </cell>
          <cell r="C21" t="str">
            <v>河北时代蜂族营销策划有限公司</v>
          </cell>
          <cell r="D21">
            <v>46093</v>
          </cell>
          <cell r="E21" t="str">
            <v>河北</v>
          </cell>
          <cell r="F21" t="str">
            <v>河北营销中心</v>
          </cell>
          <cell r="G21" t="str">
            <v>河北销售部</v>
          </cell>
          <cell r="H21" t="str">
            <v>陈东2河北</v>
          </cell>
          <cell r="I21" t="str">
            <v>实习销售</v>
          </cell>
          <cell r="J21" t="str">
            <v>男</v>
          </cell>
          <cell r="K21" t="str">
            <v>试用</v>
          </cell>
          <cell r="L21" t="str">
            <v>内部员工</v>
          </cell>
          <cell r="M21" t="str">
            <v>陈东2</v>
          </cell>
        </row>
        <row r="22">
          <cell r="A22" t="str">
            <v>樊建军</v>
          </cell>
          <cell r="B22" t="str">
            <v>02003</v>
          </cell>
          <cell r="C22" t="str">
            <v>四川时代蜂族营销策划有限公司</v>
          </cell>
          <cell r="D22">
            <v>46092</v>
          </cell>
          <cell r="E22" t="str">
            <v>西南总部</v>
          </cell>
          <cell r="F22" t="str">
            <v>西南营销中心</v>
          </cell>
        </row>
        <row r="22">
          <cell r="I22" t="str">
            <v>实习销售</v>
          </cell>
          <cell r="J22" t="str">
            <v>男</v>
          </cell>
          <cell r="K22" t="str">
            <v>试用</v>
          </cell>
          <cell r="L22" t="str">
            <v>内部员工</v>
          </cell>
          <cell r="M22" t="str">
            <v>欧松林</v>
          </cell>
        </row>
        <row r="23">
          <cell r="A23" t="str">
            <v>黎丹</v>
          </cell>
          <cell r="B23" t="str">
            <v>01988</v>
          </cell>
          <cell r="C23" t="str">
            <v>四川时代蜂族营销策划有限公司</v>
          </cell>
          <cell r="D23">
            <v>46092</v>
          </cell>
          <cell r="E23" t="str">
            <v>西南总部</v>
          </cell>
          <cell r="F23" t="str">
            <v>西南营销中心</v>
          </cell>
        </row>
        <row r="23">
          <cell r="I23" t="str">
            <v>实习销售</v>
          </cell>
          <cell r="J23" t="str">
            <v>女</v>
          </cell>
          <cell r="K23" t="str">
            <v>试用</v>
          </cell>
          <cell r="L23" t="str">
            <v>内部员工</v>
          </cell>
          <cell r="M23" t="str">
            <v>欧松林</v>
          </cell>
        </row>
        <row r="24">
          <cell r="A24" t="str">
            <v>周廉丰</v>
          </cell>
          <cell r="B24" t="str">
            <v>01989</v>
          </cell>
          <cell r="C24" t="str">
            <v>四川时代蜂族营销策划有限公司</v>
          </cell>
          <cell r="D24">
            <v>46091</v>
          </cell>
          <cell r="E24" t="str">
            <v>西南总部</v>
          </cell>
          <cell r="F24" t="str">
            <v>西南营销中心</v>
          </cell>
        </row>
        <row r="24">
          <cell r="I24" t="str">
            <v>实习销售</v>
          </cell>
          <cell r="J24" t="str">
            <v>男</v>
          </cell>
          <cell r="K24" t="str">
            <v>试用</v>
          </cell>
          <cell r="L24" t="str">
            <v>内部员工</v>
          </cell>
          <cell r="M24" t="str">
            <v>欧松林</v>
          </cell>
        </row>
        <row r="25">
          <cell r="A25" t="str">
            <v>林立</v>
          </cell>
          <cell r="B25" t="str">
            <v>01990</v>
          </cell>
          <cell r="C25" t="str">
            <v>四川时代蜂族营销策划有限公司</v>
          </cell>
          <cell r="D25">
            <v>46091</v>
          </cell>
          <cell r="E25" t="str">
            <v>西南总部</v>
          </cell>
          <cell r="F25" t="str">
            <v>西南营销中心</v>
          </cell>
        </row>
        <row r="25">
          <cell r="I25" t="str">
            <v>实习销售</v>
          </cell>
          <cell r="J25" t="str">
            <v>男</v>
          </cell>
          <cell r="K25" t="str">
            <v>试用</v>
          </cell>
          <cell r="L25" t="str">
            <v>内部员工</v>
          </cell>
          <cell r="M25" t="str">
            <v>欧松林</v>
          </cell>
        </row>
        <row r="26">
          <cell r="A26" t="str">
            <v>马彦超</v>
          </cell>
          <cell r="B26" t="str">
            <v>01991</v>
          </cell>
          <cell r="C26" t="str">
            <v>四川时代蜂族营销策划有限公司</v>
          </cell>
          <cell r="D26">
            <v>46091</v>
          </cell>
          <cell r="E26" t="str">
            <v>西南总部</v>
          </cell>
          <cell r="F26" t="str">
            <v>西南营销中心</v>
          </cell>
          <cell r="G26" t="str">
            <v>营业三部</v>
          </cell>
          <cell r="H26" t="str">
            <v>肖秀丽</v>
          </cell>
          <cell r="I26" t="str">
            <v>实习销售</v>
          </cell>
          <cell r="J26" t="str">
            <v>男</v>
          </cell>
          <cell r="K26" t="str">
            <v>试用</v>
          </cell>
          <cell r="L26" t="str">
            <v>内部员工</v>
          </cell>
          <cell r="M26" t="str">
            <v>肖秀丽</v>
          </cell>
        </row>
        <row r="27">
          <cell r="A27" t="str">
            <v>陈红林</v>
          </cell>
          <cell r="B27" t="str">
            <v>01985</v>
          </cell>
          <cell r="C27" t="str">
            <v>湖南时代蜂族营销策划有限公司</v>
          </cell>
          <cell r="D27">
            <v>46090</v>
          </cell>
          <cell r="E27" t="str">
            <v>湖南</v>
          </cell>
          <cell r="F27" t="str">
            <v>湖南营销中心</v>
          </cell>
          <cell r="G27" t="str">
            <v>湖南销售部</v>
          </cell>
          <cell r="H27" t="str">
            <v>陈炳佑</v>
          </cell>
          <cell r="I27" t="str">
            <v>实习销售</v>
          </cell>
          <cell r="J27" t="str">
            <v>男</v>
          </cell>
          <cell r="K27" t="str">
            <v>试用</v>
          </cell>
          <cell r="L27" t="str">
            <v>内部员工</v>
          </cell>
          <cell r="M27" t="str">
            <v>陈炳佑</v>
          </cell>
        </row>
        <row r="28">
          <cell r="A28" t="str">
            <v>孙凯</v>
          </cell>
          <cell r="B28" t="str">
            <v>01977</v>
          </cell>
          <cell r="C28" t="str">
            <v>湖北蜜蜂族房地产经纪有限公司</v>
          </cell>
          <cell r="D28">
            <v>46090</v>
          </cell>
          <cell r="E28" t="str">
            <v>湖北</v>
          </cell>
          <cell r="F28" t="str">
            <v>湖北营销中心</v>
          </cell>
          <cell r="G28" t="str">
            <v>湖北1部</v>
          </cell>
          <cell r="H28" t="str">
            <v>张宗铭湖北</v>
          </cell>
          <cell r="I28" t="str">
            <v>实习销售</v>
          </cell>
          <cell r="J28" t="str">
            <v>男</v>
          </cell>
          <cell r="K28" t="str">
            <v>试用</v>
          </cell>
          <cell r="L28" t="str">
            <v>内部员工</v>
          </cell>
          <cell r="M28" t="str">
            <v>张宗铭</v>
          </cell>
        </row>
        <row r="29">
          <cell r="A29" t="str">
            <v>叶宗武</v>
          </cell>
          <cell r="B29" t="str">
            <v>01987</v>
          </cell>
          <cell r="C29" t="str">
            <v>四川时代蜂族营销策划有限公司</v>
          </cell>
          <cell r="D29">
            <v>46090</v>
          </cell>
          <cell r="E29" t="str">
            <v>西南总部</v>
          </cell>
          <cell r="F29" t="str">
            <v>西南营销中心</v>
          </cell>
        </row>
        <row r="29">
          <cell r="I29" t="str">
            <v>实习销售</v>
          </cell>
          <cell r="J29" t="str">
            <v>男</v>
          </cell>
          <cell r="K29" t="str">
            <v>试用</v>
          </cell>
          <cell r="L29" t="str">
            <v>内部员工</v>
          </cell>
          <cell r="M29" t="str">
            <v>欧松林</v>
          </cell>
        </row>
        <row r="30">
          <cell r="A30" t="str">
            <v>杨彭艺</v>
          </cell>
          <cell r="B30" t="str">
            <v>01973</v>
          </cell>
          <cell r="C30" t="str">
            <v>陕西时代蜂族营销策划有限公司</v>
          </cell>
          <cell r="D30">
            <v>46089</v>
          </cell>
          <cell r="E30" t="str">
            <v>陕西</v>
          </cell>
          <cell r="F30" t="str">
            <v>陕西营销中心</v>
          </cell>
          <cell r="G30" t="str">
            <v>陕西1部</v>
          </cell>
          <cell r="H30" t="str">
            <v>吕瑞仙</v>
          </cell>
          <cell r="I30" t="str">
            <v>实习销售</v>
          </cell>
          <cell r="J30" t="str">
            <v>男</v>
          </cell>
          <cell r="K30" t="str">
            <v>试用</v>
          </cell>
          <cell r="L30" t="str">
            <v>内部员工</v>
          </cell>
          <cell r="M30" t="str">
            <v>吕瑞仙</v>
          </cell>
        </row>
        <row r="31">
          <cell r="A31" t="str">
            <v>赵旭升</v>
          </cell>
          <cell r="B31" t="str">
            <v>01962</v>
          </cell>
          <cell r="C31" t="str">
            <v>河北时代蜂族营销策划有限公司</v>
          </cell>
          <cell r="D31">
            <v>46088</v>
          </cell>
          <cell r="E31" t="str">
            <v>河北</v>
          </cell>
          <cell r="F31" t="str">
            <v>河北营销中心</v>
          </cell>
          <cell r="G31" t="str">
            <v>河北销售部</v>
          </cell>
          <cell r="H31" t="str">
            <v>陈东2河北</v>
          </cell>
          <cell r="I31" t="str">
            <v>实习销售</v>
          </cell>
          <cell r="J31" t="str">
            <v>男</v>
          </cell>
          <cell r="K31" t="str">
            <v>试用</v>
          </cell>
          <cell r="L31" t="str">
            <v>内部员工</v>
          </cell>
          <cell r="M31" t="str">
            <v>陈东2</v>
          </cell>
        </row>
        <row r="32">
          <cell r="A32" t="str">
            <v>贾小杨</v>
          </cell>
          <cell r="B32" t="str">
            <v>01970</v>
          </cell>
          <cell r="C32" t="str">
            <v>四川时代蜂族营销策划有限公司</v>
          </cell>
          <cell r="D32">
            <v>46088</v>
          </cell>
          <cell r="E32" t="str">
            <v>西南总部</v>
          </cell>
          <cell r="F32" t="str">
            <v>西南营销中心</v>
          </cell>
          <cell r="G32" t="str">
            <v>营业三部</v>
          </cell>
          <cell r="H32" t="str">
            <v>吴建鑫</v>
          </cell>
          <cell r="I32" t="str">
            <v>实习销售</v>
          </cell>
          <cell r="J32" t="str">
            <v>男</v>
          </cell>
          <cell r="K32" t="str">
            <v>试用</v>
          </cell>
          <cell r="L32" t="str">
            <v>内部员工</v>
          </cell>
          <cell r="M32" t="str">
            <v>吴建鑫</v>
          </cell>
        </row>
        <row r="33">
          <cell r="A33" t="str">
            <v>谢立新</v>
          </cell>
          <cell r="B33" t="str">
            <v>01969</v>
          </cell>
          <cell r="C33" t="str">
            <v>四川时代蜂族营销策划有限公司</v>
          </cell>
          <cell r="D33">
            <v>46087</v>
          </cell>
          <cell r="E33" t="str">
            <v>西南总部</v>
          </cell>
          <cell r="F33" t="str">
            <v>西南营销中心</v>
          </cell>
          <cell r="G33" t="str">
            <v>营业六部</v>
          </cell>
          <cell r="H33" t="str">
            <v>毛富林</v>
          </cell>
          <cell r="I33" t="str">
            <v>实习销售</v>
          </cell>
          <cell r="J33" t="str">
            <v>男</v>
          </cell>
          <cell r="K33" t="str">
            <v>试用</v>
          </cell>
          <cell r="L33" t="str">
            <v>内部员工</v>
          </cell>
          <cell r="M33" t="str">
            <v>毛富林</v>
          </cell>
        </row>
        <row r="34">
          <cell r="A34" t="str">
            <v>谢明森</v>
          </cell>
          <cell r="B34" t="str">
            <v>01967</v>
          </cell>
          <cell r="C34" t="str">
            <v>四川时代蜂族营销策划有限公司</v>
          </cell>
          <cell r="D34">
            <v>46087</v>
          </cell>
          <cell r="E34" t="str">
            <v>西南总部</v>
          </cell>
          <cell r="F34" t="str">
            <v>西南营销中心</v>
          </cell>
          <cell r="G34" t="str">
            <v>营业二部</v>
          </cell>
          <cell r="H34" t="str">
            <v>魏飞翔</v>
          </cell>
          <cell r="I34" t="str">
            <v>实习销售</v>
          </cell>
          <cell r="J34" t="str">
            <v>男</v>
          </cell>
          <cell r="K34" t="str">
            <v>试用</v>
          </cell>
          <cell r="L34" t="str">
            <v>内部员工</v>
          </cell>
          <cell r="M34" t="str">
            <v>魏飞翔</v>
          </cell>
        </row>
        <row r="35">
          <cell r="A35" t="str">
            <v>林超兰</v>
          </cell>
          <cell r="B35" t="str">
            <v>01974</v>
          </cell>
          <cell r="C35" t="str">
            <v>四川时代蜂族营销策划有限公司</v>
          </cell>
          <cell r="D35">
            <v>46087</v>
          </cell>
          <cell r="E35" t="str">
            <v>西南总部</v>
          </cell>
          <cell r="F35" t="str">
            <v>西南营销中心</v>
          </cell>
          <cell r="G35" t="str">
            <v>营业六部</v>
          </cell>
          <cell r="H35" t="str">
            <v>袁华</v>
          </cell>
          <cell r="I35" t="str">
            <v>实习销售</v>
          </cell>
          <cell r="J35" t="str">
            <v>女</v>
          </cell>
          <cell r="K35" t="str">
            <v>试用</v>
          </cell>
          <cell r="L35" t="str">
            <v>内部员工</v>
          </cell>
          <cell r="M35" t="str">
            <v>袁华</v>
          </cell>
        </row>
        <row r="36">
          <cell r="A36" t="str">
            <v>张智熊</v>
          </cell>
          <cell r="B36" t="str">
            <v>01980</v>
          </cell>
          <cell r="C36" t="str">
            <v>四川时代蜂族营销策划有限公司</v>
          </cell>
          <cell r="D36">
            <v>46087</v>
          </cell>
          <cell r="E36" t="str">
            <v>西南总部</v>
          </cell>
          <cell r="F36" t="str">
            <v>西南营销中心</v>
          </cell>
          <cell r="G36" t="str">
            <v>营业二部</v>
          </cell>
          <cell r="H36" t="str">
            <v>李先洪</v>
          </cell>
          <cell r="I36" t="str">
            <v>实习销售</v>
          </cell>
          <cell r="J36" t="str">
            <v>男</v>
          </cell>
          <cell r="K36" t="str">
            <v>正式</v>
          </cell>
          <cell r="L36" t="str">
            <v>实习生</v>
          </cell>
          <cell r="M36" t="str">
            <v>李先洪</v>
          </cell>
        </row>
        <row r="37">
          <cell r="A37" t="str">
            <v>刘从伟</v>
          </cell>
          <cell r="B37" t="str">
            <v>01975</v>
          </cell>
          <cell r="C37" t="str">
            <v>四川时代蜂族营销策划有限公司</v>
          </cell>
          <cell r="D37">
            <v>46087</v>
          </cell>
          <cell r="E37" t="str">
            <v>西南总部</v>
          </cell>
          <cell r="F37" t="str">
            <v>西南营销中心</v>
          </cell>
          <cell r="G37" t="str">
            <v>营业六部</v>
          </cell>
          <cell r="H37" t="str">
            <v>袁华</v>
          </cell>
          <cell r="I37" t="str">
            <v>实习销售</v>
          </cell>
          <cell r="J37" t="str">
            <v>男</v>
          </cell>
          <cell r="K37" t="str">
            <v>试用</v>
          </cell>
          <cell r="L37" t="str">
            <v>内部员工</v>
          </cell>
          <cell r="M37" t="str">
            <v>袁华</v>
          </cell>
        </row>
        <row r="38">
          <cell r="A38" t="str">
            <v>李熙</v>
          </cell>
          <cell r="B38" t="str">
            <v>01948</v>
          </cell>
          <cell r="C38" t="str">
            <v>四川大礼连连科技有限公司</v>
          </cell>
          <cell r="D38">
            <v>46087</v>
          </cell>
          <cell r="E38" t="str">
            <v>集团职能</v>
          </cell>
          <cell r="F38" t="str">
            <v>职能总部</v>
          </cell>
          <cell r="G38" t="str">
            <v>人资行政部</v>
          </cell>
        </row>
        <row r="38">
          <cell r="I38" t="str">
            <v>行政专员</v>
          </cell>
          <cell r="J38" t="str">
            <v>女</v>
          </cell>
          <cell r="K38" t="str">
            <v>试用</v>
          </cell>
          <cell r="L38" t="str">
            <v>内部员工</v>
          </cell>
          <cell r="M38" t="str">
            <v>孔群慧</v>
          </cell>
        </row>
        <row r="39">
          <cell r="A39" t="str">
            <v>杨敏</v>
          </cell>
          <cell r="B39" t="str">
            <v>01968</v>
          </cell>
          <cell r="C39" t="str">
            <v>四川时代蜂族营销策划有限公司</v>
          </cell>
          <cell r="D39">
            <v>46087</v>
          </cell>
          <cell r="E39" t="str">
            <v>西南总部</v>
          </cell>
          <cell r="F39" t="str">
            <v>西南营销中心</v>
          </cell>
        </row>
        <row r="39">
          <cell r="I39" t="str">
            <v>实习销售</v>
          </cell>
          <cell r="J39" t="str">
            <v>女</v>
          </cell>
          <cell r="K39" t="str">
            <v>试用</v>
          </cell>
          <cell r="L39" t="str">
            <v>内部员工</v>
          </cell>
          <cell r="M39" t="str">
            <v>欧松林</v>
          </cell>
        </row>
        <row r="40">
          <cell r="A40" t="str">
            <v>邓发</v>
          </cell>
          <cell r="B40" t="str">
            <v>01966</v>
          </cell>
          <cell r="C40" t="str">
            <v>四川时代蜂族营销策划有限公司</v>
          </cell>
          <cell r="D40">
            <v>46086</v>
          </cell>
          <cell r="E40" t="str">
            <v>西南总部</v>
          </cell>
          <cell r="F40" t="str">
            <v>西南营销中心</v>
          </cell>
          <cell r="G40" t="str">
            <v>营业一部</v>
          </cell>
          <cell r="H40" t="str">
            <v>胡雪梅</v>
          </cell>
          <cell r="I40" t="str">
            <v>实习销售</v>
          </cell>
          <cell r="J40" t="str">
            <v>男</v>
          </cell>
          <cell r="K40" t="str">
            <v>试用</v>
          </cell>
          <cell r="L40" t="str">
            <v>内部员工</v>
          </cell>
          <cell r="M40" t="str">
            <v>胡雪梅</v>
          </cell>
        </row>
        <row r="41">
          <cell r="A41" t="str">
            <v>苏波</v>
          </cell>
          <cell r="B41" t="str">
            <v>01978</v>
          </cell>
          <cell r="C41" t="str">
            <v>四川时代蜂族营销策划有限公司</v>
          </cell>
          <cell r="D41">
            <v>46086</v>
          </cell>
          <cell r="E41" t="str">
            <v>西南总部</v>
          </cell>
          <cell r="F41" t="str">
            <v>西南营销中心</v>
          </cell>
          <cell r="G41" t="str">
            <v>营业一部</v>
          </cell>
          <cell r="H41" t="str">
            <v>白世根</v>
          </cell>
          <cell r="I41" t="str">
            <v>实习销售</v>
          </cell>
          <cell r="J41" t="str">
            <v>男</v>
          </cell>
          <cell r="K41" t="str">
            <v>试用</v>
          </cell>
          <cell r="L41" t="str">
            <v>内部员工</v>
          </cell>
          <cell r="M41" t="str">
            <v>白世根</v>
          </cell>
        </row>
        <row r="42">
          <cell r="A42" t="str">
            <v>陈申茂</v>
          </cell>
          <cell r="B42" t="str">
            <v>00866</v>
          </cell>
          <cell r="C42" t="str">
            <v>河南蜜蜂族营销策划有限公司</v>
          </cell>
          <cell r="D42">
            <v>46086</v>
          </cell>
          <cell r="E42" t="str">
            <v>河南</v>
          </cell>
          <cell r="F42" t="str">
            <v>河南营销中心</v>
          </cell>
          <cell r="G42" t="str">
            <v>河南销售部</v>
          </cell>
          <cell r="H42" t="str">
            <v>杜雄</v>
          </cell>
          <cell r="I42" t="str">
            <v>实习销售</v>
          </cell>
          <cell r="J42" t="str">
            <v>男</v>
          </cell>
          <cell r="K42" t="str">
            <v>试用</v>
          </cell>
          <cell r="L42" t="str">
            <v>内部员工</v>
          </cell>
          <cell r="M42" t="str">
            <v>杜雄</v>
          </cell>
        </row>
        <row r="43">
          <cell r="A43" t="str">
            <v>张洪佳</v>
          </cell>
          <cell r="B43" t="str">
            <v>01961</v>
          </cell>
          <cell r="C43" t="str">
            <v>辽宁时代蜂族营销策划有限公司</v>
          </cell>
          <cell r="D43">
            <v>46086</v>
          </cell>
          <cell r="E43" t="str">
            <v>辽宁</v>
          </cell>
          <cell r="F43" t="str">
            <v>辽宁营销中心</v>
          </cell>
          <cell r="G43" t="str">
            <v>辽宁销售部</v>
          </cell>
          <cell r="H43" t="str">
            <v>孙科辽宁</v>
          </cell>
          <cell r="I43" t="str">
            <v>实习销售</v>
          </cell>
          <cell r="J43" t="str">
            <v>男</v>
          </cell>
          <cell r="K43" t="str">
            <v>试用</v>
          </cell>
          <cell r="L43" t="str">
            <v>内部员工</v>
          </cell>
          <cell r="M43" t="str">
            <v>孙科</v>
          </cell>
        </row>
        <row r="44">
          <cell r="A44" t="str">
            <v>邱洋</v>
          </cell>
          <cell r="B44" t="str">
            <v>01965</v>
          </cell>
          <cell r="C44" t="str">
            <v>四川时代蜂族营销策划有限公司</v>
          </cell>
          <cell r="D44">
            <v>46085</v>
          </cell>
          <cell r="E44" t="str">
            <v>西南总部</v>
          </cell>
          <cell r="F44" t="str">
            <v>西南营销中心</v>
          </cell>
          <cell r="G44" t="str">
            <v>营业二部</v>
          </cell>
          <cell r="H44" t="str">
            <v>王彬力</v>
          </cell>
          <cell r="I44" t="str">
            <v>实习销售</v>
          </cell>
          <cell r="J44" t="str">
            <v>男</v>
          </cell>
          <cell r="K44" t="str">
            <v>试用</v>
          </cell>
          <cell r="L44" t="str">
            <v>内部员工</v>
          </cell>
          <cell r="M44" t="str">
            <v>王彬力</v>
          </cell>
        </row>
        <row r="45">
          <cell r="A45" t="str">
            <v>蒲佳燕</v>
          </cell>
          <cell r="B45" t="str">
            <v>01963</v>
          </cell>
          <cell r="C45" t="str">
            <v>四川时代蜂族营销策划有限公司</v>
          </cell>
          <cell r="D45">
            <v>46085</v>
          </cell>
          <cell r="E45" t="str">
            <v>西南总部</v>
          </cell>
          <cell r="F45" t="str">
            <v>西南营销中心</v>
          </cell>
          <cell r="G45" t="str">
            <v>营业一部</v>
          </cell>
          <cell r="H45" t="str">
            <v>白世根</v>
          </cell>
          <cell r="I45" t="str">
            <v>实习销售</v>
          </cell>
          <cell r="J45" t="str">
            <v>女</v>
          </cell>
          <cell r="K45" t="str">
            <v>试用</v>
          </cell>
          <cell r="L45" t="str">
            <v>内部员工</v>
          </cell>
          <cell r="M45" t="str">
            <v>白世根</v>
          </cell>
        </row>
        <row r="46">
          <cell r="A46" t="str">
            <v>郑肖巧</v>
          </cell>
          <cell r="B46" t="str">
            <v>01960</v>
          </cell>
          <cell r="C46" t="str">
            <v>四川时代蜂族营销策划有限公司</v>
          </cell>
          <cell r="D46">
            <v>46085</v>
          </cell>
          <cell r="E46" t="str">
            <v>西南总部</v>
          </cell>
          <cell r="F46" t="str">
            <v>西南营销中心</v>
          </cell>
          <cell r="G46" t="str">
            <v>营业五部</v>
          </cell>
          <cell r="H46" t="str">
            <v>尹稳</v>
          </cell>
          <cell r="I46" t="str">
            <v>实习销售</v>
          </cell>
          <cell r="J46" t="str">
            <v>女</v>
          </cell>
          <cell r="K46" t="str">
            <v>试用</v>
          </cell>
          <cell r="L46" t="str">
            <v>内部员工</v>
          </cell>
          <cell r="M46" t="str">
            <v>尹稳</v>
          </cell>
        </row>
        <row r="47">
          <cell r="A47" t="str">
            <v>周越</v>
          </cell>
          <cell r="B47" t="str">
            <v>01955</v>
          </cell>
          <cell r="C47" t="str">
            <v>陕西时代蜂族营销策划有限公司</v>
          </cell>
          <cell r="D47">
            <v>46085</v>
          </cell>
          <cell r="E47" t="str">
            <v>陕西</v>
          </cell>
          <cell r="F47" t="str">
            <v>陕西营销中心</v>
          </cell>
          <cell r="G47" t="str">
            <v>陕西1部</v>
          </cell>
          <cell r="H47" t="str">
            <v>叶湑</v>
          </cell>
          <cell r="I47" t="str">
            <v>实习销售</v>
          </cell>
          <cell r="J47" t="str">
            <v>男</v>
          </cell>
          <cell r="K47" t="str">
            <v>试用</v>
          </cell>
          <cell r="L47" t="str">
            <v>内部员工</v>
          </cell>
          <cell r="M47" t="str">
            <v>叶湑</v>
          </cell>
        </row>
        <row r="48">
          <cell r="A48" t="str">
            <v>张海平</v>
          </cell>
          <cell r="B48" t="str">
            <v>01959</v>
          </cell>
          <cell r="C48" t="str">
            <v>四川时代蜂族营销策划有限公司</v>
          </cell>
          <cell r="D48">
            <v>46085</v>
          </cell>
          <cell r="E48" t="str">
            <v>西南总部</v>
          </cell>
          <cell r="F48" t="str">
            <v>西南营销中心</v>
          </cell>
          <cell r="G48" t="str">
            <v>营业七部</v>
          </cell>
          <cell r="H48" t="str">
            <v>彭小琴</v>
          </cell>
          <cell r="I48" t="str">
            <v>实习销售</v>
          </cell>
          <cell r="J48" t="str">
            <v>男</v>
          </cell>
          <cell r="K48" t="str">
            <v>试用</v>
          </cell>
          <cell r="L48" t="str">
            <v>内部员工</v>
          </cell>
          <cell r="M48" t="str">
            <v>彭小琴</v>
          </cell>
        </row>
        <row r="49">
          <cell r="A49" t="str">
            <v>李佳2</v>
          </cell>
          <cell r="B49" t="str">
            <v>01958</v>
          </cell>
          <cell r="C49" t="str">
            <v>四川时代蜂族营销策划有限公司</v>
          </cell>
          <cell r="D49">
            <v>46084</v>
          </cell>
          <cell r="E49" t="str">
            <v>西南总部</v>
          </cell>
          <cell r="F49" t="str">
            <v>西南营销中心</v>
          </cell>
          <cell r="G49" t="str">
            <v>营业七部</v>
          </cell>
          <cell r="H49" t="str">
            <v>彭小琴</v>
          </cell>
          <cell r="I49" t="str">
            <v>实习销售</v>
          </cell>
          <cell r="J49" t="str">
            <v>男</v>
          </cell>
          <cell r="K49" t="str">
            <v>试用</v>
          </cell>
          <cell r="L49" t="str">
            <v>内部员工</v>
          </cell>
          <cell r="M49" t="str">
            <v>彭小琴</v>
          </cell>
        </row>
        <row r="50">
          <cell r="A50" t="str">
            <v>张杰</v>
          </cell>
          <cell r="B50" t="str">
            <v>01956</v>
          </cell>
          <cell r="C50" t="str">
            <v>山东时代蜂族营销策划有限公司</v>
          </cell>
          <cell r="D50">
            <v>46084</v>
          </cell>
          <cell r="E50" t="str">
            <v>山东</v>
          </cell>
          <cell r="F50" t="str">
            <v>山东营销中心</v>
          </cell>
          <cell r="G50" t="str">
            <v>山东销售部</v>
          </cell>
          <cell r="H50" t="str">
            <v>肖佳</v>
          </cell>
          <cell r="I50" t="str">
            <v>实习销售</v>
          </cell>
          <cell r="J50" t="str">
            <v>男</v>
          </cell>
          <cell r="K50" t="str">
            <v>试用</v>
          </cell>
          <cell r="L50" t="str">
            <v>内部员工</v>
          </cell>
          <cell r="M50" t="str">
            <v>肖佳</v>
          </cell>
        </row>
        <row r="51">
          <cell r="A51" t="str">
            <v>王奇</v>
          </cell>
          <cell r="B51" t="str">
            <v>01943</v>
          </cell>
          <cell r="C51" t="str">
            <v>陕西时代蜂族营销策划有限公司</v>
          </cell>
          <cell r="D51">
            <v>46084</v>
          </cell>
          <cell r="E51" t="str">
            <v>陕西</v>
          </cell>
          <cell r="F51" t="str">
            <v>陕西营销中心</v>
          </cell>
          <cell r="G51" t="str">
            <v>陕西2部</v>
          </cell>
          <cell r="H51" t="str">
            <v>王超2</v>
          </cell>
          <cell r="I51" t="str">
            <v>实习销售</v>
          </cell>
          <cell r="J51" t="str">
            <v>女</v>
          </cell>
          <cell r="K51" t="str">
            <v>试用</v>
          </cell>
          <cell r="L51" t="str">
            <v>内部员工</v>
          </cell>
          <cell r="M51" t="str">
            <v>王超2</v>
          </cell>
        </row>
        <row r="52">
          <cell r="A52" t="str">
            <v>李帅2</v>
          </cell>
          <cell r="B52" t="str">
            <v>01953</v>
          </cell>
          <cell r="C52" t="str">
            <v>四川时代蜂族营销策划有限公司</v>
          </cell>
          <cell r="D52">
            <v>46083</v>
          </cell>
          <cell r="E52" t="str">
            <v>西南总部</v>
          </cell>
          <cell r="F52" t="str">
            <v>西南营销中心</v>
          </cell>
          <cell r="G52" t="str">
            <v>营业六部</v>
          </cell>
          <cell r="H52" t="str">
            <v>郑雄</v>
          </cell>
          <cell r="I52" t="str">
            <v>实习销售</v>
          </cell>
          <cell r="J52" t="str">
            <v>男</v>
          </cell>
          <cell r="K52" t="str">
            <v>试用</v>
          </cell>
          <cell r="L52" t="str">
            <v>内部员工</v>
          </cell>
          <cell r="M52" t="str">
            <v>郑雄</v>
          </cell>
        </row>
        <row r="53">
          <cell r="A53" t="str">
            <v>罗成</v>
          </cell>
          <cell r="B53" t="str">
            <v>01971</v>
          </cell>
          <cell r="C53" t="str">
            <v>四川时代蜂族营销策划有限公司</v>
          </cell>
          <cell r="D53">
            <v>46083</v>
          </cell>
          <cell r="E53" t="str">
            <v>西南总部</v>
          </cell>
          <cell r="F53" t="str">
            <v>西南营销中心</v>
          </cell>
          <cell r="G53" t="str">
            <v>营业六部</v>
          </cell>
          <cell r="H53" t="str">
            <v>袁华</v>
          </cell>
          <cell r="I53" t="str">
            <v>实习销售</v>
          </cell>
          <cell r="J53" t="str">
            <v>男</v>
          </cell>
          <cell r="K53" t="str">
            <v>试用</v>
          </cell>
          <cell r="L53" t="str">
            <v>内部员工</v>
          </cell>
          <cell r="M53" t="str">
            <v>袁华</v>
          </cell>
        </row>
        <row r="54">
          <cell r="A54" t="str">
            <v>邱卿</v>
          </cell>
          <cell r="B54" t="str">
            <v>01937</v>
          </cell>
          <cell r="C54" t="str">
            <v>四川蜂起营销策划有限公司</v>
          </cell>
          <cell r="D54">
            <v>46083</v>
          </cell>
          <cell r="E54" t="str">
            <v>集团职能</v>
          </cell>
          <cell r="F54" t="str">
            <v>职能总部</v>
          </cell>
          <cell r="G54" t="str">
            <v>人资行政部</v>
          </cell>
        </row>
        <row r="54">
          <cell r="I54" t="str">
            <v>采购专员</v>
          </cell>
          <cell r="J54" t="str">
            <v>女</v>
          </cell>
          <cell r="K54" t="str">
            <v>试用</v>
          </cell>
          <cell r="L54" t="str">
            <v>内部员工</v>
          </cell>
          <cell r="M54" t="str">
            <v>孔群慧</v>
          </cell>
        </row>
        <row r="55">
          <cell r="A55" t="str">
            <v>杨婷婷</v>
          </cell>
          <cell r="B55" t="str">
            <v>01945</v>
          </cell>
          <cell r="C55" t="str">
            <v>四川时代蜂族营销策划有限公司</v>
          </cell>
          <cell r="D55">
            <v>46083</v>
          </cell>
          <cell r="E55" t="str">
            <v>西南总部</v>
          </cell>
          <cell r="F55" t="str">
            <v>西南营销中心</v>
          </cell>
          <cell r="G55" t="str">
            <v>营业七部</v>
          </cell>
          <cell r="H55" t="str">
            <v>程新浩</v>
          </cell>
          <cell r="I55" t="str">
            <v>实习销售</v>
          </cell>
          <cell r="J55" t="str">
            <v>女</v>
          </cell>
          <cell r="K55" t="str">
            <v>试用</v>
          </cell>
          <cell r="L55" t="str">
            <v>内部员工</v>
          </cell>
          <cell r="M55" t="str">
            <v>程新浩</v>
          </cell>
        </row>
        <row r="56">
          <cell r="A56" t="str">
            <v>吴海龙</v>
          </cell>
          <cell r="B56" t="str">
            <v>01952</v>
          </cell>
          <cell r="C56" t="str">
            <v>四川时代蜂族营销策划有限公司</v>
          </cell>
          <cell r="D56">
            <v>46083</v>
          </cell>
          <cell r="E56" t="str">
            <v>西南总部</v>
          </cell>
          <cell r="F56" t="str">
            <v>西南营销中心</v>
          </cell>
          <cell r="G56" t="str">
            <v>营业三部</v>
          </cell>
          <cell r="H56" t="str">
            <v>陶再阳</v>
          </cell>
          <cell r="I56" t="str">
            <v>实习销售</v>
          </cell>
          <cell r="J56" t="str">
            <v>男</v>
          </cell>
          <cell r="K56" t="str">
            <v>正式</v>
          </cell>
          <cell r="L56" t="str">
            <v>实习生</v>
          </cell>
          <cell r="M56" t="str">
            <v>陶再阳</v>
          </cell>
        </row>
        <row r="57">
          <cell r="A57" t="str">
            <v>吴玉龙</v>
          </cell>
          <cell r="B57" t="str">
            <v>01964</v>
          </cell>
          <cell r="C57" t="str">
            <v>四川时代蜂族营销策划有限公司</v>
          </cell>
          <cell r="D57">
            <v>46083</v>
          </cell>
          <cell r="E57" t="str">
            <v>西南总部</v>
          </cell>
          <cell r="F57" t="str">
            <v>西南营销中心</v>
          </cell>
          <cell r="G57" t="str">
            <v>营业一部</v>
          </cell>
          <cell r="H57" t="str">
            <v>白世根</v>
          </cell>
          <cell r="I57" t="str">
            <v>实习销售</v>
          </cell>
          <cell r="J57" t="str">
            <v>男</v>
          </cell>
          <cell r="K57" t="str">
            <v>试用</v>
          </cell>
          <cell r="L57" t="str">
            <v>内部员工</v>
          </cell>
          <cell r="M57" t="str">
            <v>白世根</v>
          </cell>
        </row>
        <row r="58">
          <cell r="A58" t="str">
            <v>刘识慧</v>
          </cell>
          <cell r="B58" t="str">
            <v>01947</v>
          </cell>
          <cell r="C58" t="str">
            <v>山东时代蜂族营销策划有限公司</v>
          </cell>
          <cell r="D58">
            <v>46083</v>
          </cell>
          <cell r="E58" t="str">
            <v>山东</v>
          </cell>
          <cell r="F58" t="str">
            <v>山东营销中心</v>
          </cell>
          <cell r="G58" t="str">
            <v>山东销售部</v>
          </cell>
          <cell r="H58" t="str">
            <v>周涛</v>
          </cell>
          <cell r="I58" t="str">
            <v>实习销售</v>
          </cell>
          <cell r="J58" t="str">
            <v>女</v>
          </cell>
          <cell r="K58" t="str">
            <v>试用</v>
          </cell>
          <cell r="L58" t="str">
            <v>内部员工</v>
          </cell>
          <cell r="M58" t="str">
            <v>周涛</v>
          </cell>
        </row>
        <row r="59">
          <cell r="A59" t="str">
            <v>刘凯3</v>
          </cell>
          <cell r="B59" t="str">
            <v>01946</v>
          </cell>
          <cell r="C59" t="str">
            <v>湖北蜜蜂族房地产经纪有限公司</v>
          </cell>
          <cell r="D59">
            <v>46082</v>
          </cell>
          <cell r="E59" t="str">
            <v>湖北</v>
          </cell>
          <cell r="F59" t="str">
            <v>湖北营销中心</v>
          </cell>
          <cell r="G59" t="str">
            <v>湖北1部</v>
          </cell>
          <cell r="H59" t="str">
            <v>秦娅玲</v>
          </cell>
          <cell r="I59" t="str">
            <v>实习销售</v>
          </cell>
          <cell r="J59" t="str">
            <v>男</v>
          </cell>
          <cell r="K59" t="str">
            <v>试用</v>
          </cell>
          <cell r="L59" t="str">
            <v>内部员工</v>
          </cell>
          <cell r="M59" t="str">
            <v>秦娅玲</v>
          </cell>
        </row>
        <row r="60">
          <cell r="A60" t="str">
            <v>王强3</v>
          </cell>
          <cell r="B60" t="str">
            <v>01951</v>
          </cell>
          <cell r="C60" t="str">
            <v>四川时代蜂族营销策划有限公司</v>
          </cell>
          <cell r="D60">
            <v>46082</v>
          </cell>
          <cell r="E60" t="str">
            <v>西南总部</v>
          </cell>
          <cell r="F60" t="str">
            <v>西南营销中心</v>
          </cell>
          <cell r="G60" t="str">
            <v>营业七部</v>
          </cell>
          <cell r="H60" t="str">
            <v>申慧</v>
          </cell>
          <cell r="I60" t="str">
            <v>实习销售</v>
          </cell>
          <cell r="J60" t="str">
            <v>男</v>
          </cell>
          <cell r="K60" t="str">
            <v>试用</v>
          </cell>
          <cell r="L60" t="str">
            <v>内部员工</v>
          </cell>
          <cell r="M60" t="str">
            <v>申慧</v>
          </cell>
        </row>
        <row r="61">
          <cell r="A61" t="str">
            <v>华宇霜</v>
          </cell>
          <cell r="B61" t="str">
            <v>00136</v>
          </cell>
          <cell r="C61" t="str">
            <v>山东时代蜂族营销策划有限公司</v>
          </cell>
          <cell r="D61">
            <v>46081</v>
          </cell>
          <cell r="E61" t="str">
            <v>山东</v>
          </cell>
          <cell r="F61" t="str">
            <v>山东营销中心</v>
          </cell>
          <cell r="G61" t="str">
            <v>山东销售部</v>
          </cell>
          <cell r="H61" t="str">
            <v>苏晓青</v>
          </cell>
          <cell r="I61" t="str">
            <v>一星销售顾问</v>
          </cell>
          <cell r="J61" t="str">
            <v>女</v>
          </cell>
          <cell r="K61" t="str">
            <v>正式</v>
          </cell>
          <cell r="L61" t="str">
            <v>内部员工</v>
          </cell>
          <cell r="M61" t="str">
            <v>苏晓青</v>
          </cell>
        </row>
        <row r="62">
          <cell r="A62" t="str">
            <v>王秋蕾</v>
          </cell>
          <cell r="B62" t="str">
            <v>01944</v>
          </cell>
          <cell r="C62" t="str">
            <v>湖北蜜蜂族房地产经纪有限公司</v>
          </cell>
          <cell r="D62">
            <v>46081</v>
          </cell>
          <cell r="E62" t="str">
            <v>湖北</v>
          </cell>
          <cell r="F62" t="str">
            <v>湖北营销中心</v>
          </cell>
          <cell r="G62" t="str">
            <v>湖北1部</v>
          </cell>
          <cell r="H62" t="str">
            <v>黄俊</v>
          </cell>
          <cell r="I62" t="str">
            <v>实习销售</v>
          </cell>
          <cell r="J62" t="str">
            <v>女</v>
          </cell>
          <cell r="K62" t="str">
            <v>试用</v>
          </cell>
          <cell r="L62" t="str">
            <v>内部员工</v>
          </cell>
          <cell r="M62" t="str">
            <v>黄俊</v>
          </cell>
        </row>
        <row r="63">
          <cell r="A63" t="str">
            <v>黄怡建</v>
          </cell>
          <cell r="B63" t="str">
            <v>01942</v>
          </cell>
          <cell r="C63" t="str">
            <v>湖北蜜蜂族房地产经纪有限公司</v>
          </cell>
          <cell r="D63">
            <v>46081</v>
          </cell>
          <cell r="E63" t="str">
            <v>湖北</v>
          </cell>
          <cell r="F63" t="str">
            <v>湖北营销中心</v>
          </cell>
          <cell r="G63" t="str">
            <v>湖北2部</v>
          </cell>
          <cell r="H63" t="str">
            <v>马超</v>
          </cell>
          <cell r="I63" t="str">
            <v>实习销售</v>
          </cell>
          <cell r="J63" t="str">
            <v>男</v>
          </cell>
          <cell r="K63" t="str">
            <v>试用</v>
          </cell>
          <cell r="L63" t="str">
            <v>内部员工</v>
          </cell>
          <cell r="M63" t="str">
            <v>马超</v>
          </cell>
        </row>
        <row r="64">
          <cell r="A64" t="str">
            <v>田荣</v>
          </cell>
          <cell r="B64" t="str">
            <v>01939</v>
          </cell>
          <cell r="C64" t="str">
            <v>四川时代蜂族营销策划有限公司</v>
          </cell>
          <cell r="D64">
            <v>46081</v>
          </cell>
          <cell r="E64" t="str">
            <v>西南总部</v>
          </cell>
          <cell r="F64" t="str">
            <v>西南营销中心</v>
          </cell>
          <cell r="G64" t="str">
            <v>营业一部</v>
          </cell>
          <cell r="H64" t="str">
            <v>朱家艳</v>
          </cell>
          <cell r="I64" t="str">
            <v>实习销售</v>
          </cell>
          <cell r="J64" t="str">
            <v>男</v>
          </cell>
          <cell r="K64" t="str">
            <v>试用</v>
          </cell>
          <cell r="L64" t="str">
            <v>内部员工</v>
          </cell>
          <cell r="M64" t="str">
            <v>朱家艳</v>
          </cell>
        </row>
        <row r="65">
          <cell r="A65" t="str">
            <v>贾润</v>
          </cell>
          <cell r="B65" t="str">
            <v>01938</v>
          </cell>
          <cell r="C65" t="str">
            <v>四川时代蜂族营销策划有限公司</v>
          </cell>
          <cell r="D65">
            <v>46080</v>
          </cell>
          <cell r="E65" t="str">
            <v>西南总部</v>
          </cell>
          <cell r="F65" t="str">
            <v>西南营销中心</v>
          </cell>
          <cell r="G65" t="str">
            <v>杨薇</v>
          </cell>
        </row>
        <row r="65">
          <cell r="I65" t="str">
            <v>实习销售</v>
          </cell>
          <cell r="J65" t="str">
            <v>男</v>
          </cell>
          <cell r="K65" t="str">
            <v>试用</v>
          </cell>
          <cell r="L65" t="str">
            <v>内部员工</v>
          </cell>
          <cell r="M65" t="str">
            <v>杨薇</v>
          </cell>
        </row>
        <row r="66">
          <cell r="A66" t="str">
            <v>张新月</v>
          </cell>
          <cell r="B66" t="str">
            <v>01936</v>
          </cell>
          <cell r="C66" t="str">
            <v>山东时代蜂族营销策划有限公司</v>
          </cell>
          <cell r="D66">
            <v>46079</v>
          </cell>
          <cell r="E66" t="str">
            <v>山东</v>
          </cell>
          <cell r="F66" t="str">
            <v>山东营销中心</v>
          </cell>
          <cell r="G66" t="str">
            <v>山东销售部</v>
          </cell>
          <cell r="H66" t="str">
            <v>赵文涛</v>
          </cell>
          <cell r="I66" t="str">
            <v>实习销售</v>
          </cell>
          <cell r="J66" t="str">
            <v>男</v>
          </cell>
          <cell r="K66" t="str">
            <v>试用</v>
          </cell>
          <cell r="L66" t="str">
            <v>内部员工</v>
          </cell>
          <cell r="M66" t="str">
            <v>赵文涛</v>
          </cell>
        </row>
        <row r="67">
          <cell r="A67" t="str">
            <v>何娜</v>
          </cell>
          <cell r="B67" t="str">
            <v>01935</v>
          </cell>
          <cell r="C67" t="str">
            <v>四川时代蜂族营销策划有限公司</v>
          </cell>
          <cell r="D67">
            <v>46062</v>
          </cell>
          <cell r="E67" t="str">
            <v>西南总部</v>
          </cell>
          <cell r="F67" t="str">
            <v>西南营销中心</v>
          </cell>
          <cell r="G67" t="str">
            <v>营业二部</v>
          </cell>
          <cell r="H67" t="str">
            <v>魏飞翔</v>
          </cell>
          <cell r="I67" t="str">
            <v>实习销售</v>
          </cell>
          <cell r="J67" t="str">
            <v>女</v>
          </cell>
          <cell r="K67" t="str">
            <v>试用</v>
          </cell>
          <cell r="L67" t="str">
            <v>内部员工</v>
          </cell>
          <cell r="M67" t="str">
            <v>魏飞翔</v>
          </cell>
        </row>
        <row r="68">
          <cell r="A68" t="str">
            <v>傅成艳</v>
          </cell>
          <cell r="B68" t="str">
            <v>01934</v>
          </cell>
          <cell r="C68" t="str">
            <v>四川时代蜂族营销策划有限公司</v>
          </cell>
          <cell r="D68">
            <v>46061</v>
          </cell>
          <cell r="E68" t="str">
            <v>西南总部</v>
          </cell>
          <cell r="F68" t="str">
            <v>西南营销中心</v>
          </cell>
          <cell r="G68" t="str">
            <v>营业五部</v>
          </cell>
          <cell r="H68" t="str">
            <v>杨科</v>
          </cell>
          <cell r="I68" t="str">
            <v>实习销售</v>
          </cell>
          <cell r="J68" t="str">
            <v>女</v>
          </cell>
          <cell r="K68" t="str">
            <v>试用</v>
          </cell>
          <cell r="L68" t="str">
            <v>内部员工</v>
          </cell>
          <cell r="M68" t="str">
            <v>杨科</v>
          </cell>
        </row>
        <row r="69">
          <cell r="A69" t="str">
            <v>强芮</v>
          </cell>
          <cell r="B69" t="str">
            <v>01932</v>
          </cell>
          <cell r="C69" t="str">
            <v>陕西时代蜂族营销策划有限公司</v>
          </cell>
          <cell r="D69">
            <v>46058</v>
          </cell>
          <cell r="E69" t="str">
            <v>陕西</v>
          </cell>
          <cell r="F69" t="str">
            <v>陕西营销中心</v>
          </cell>
          <cell r="G69" t="str">
            <v>陕西2部</v>
          </cell>
          <cell r="H69" t="str">
            <v>朱全兰</v>
          </cell>
          <cell r="I69" t="str">
            <v>实习销售</v>
          </cell>
          <cell r="J69" t="str">
            <v>女</v>
          </cell>
          <cell r="K69" t="str">
            <v>试用</v>
          </cell>
          <cell r="L69" t="str">
            <v>内部员工</v>
          </cell>
          <cell r="M69" t="str">
            <v>朱全兰</v>
          </cell>
        </row>
        <row r="70">
          <cell r="A70" t="str">
            <v>唐伟</v>
          </cell>
          <cell r="B70" t="str">
            <v>01933</v>
          </cell>
          <cell r="C70" t="str">
            <v>四川时代蜂族营销策划有限公司</v>
          </cell>
          <cell r="D70">
            <v>46057</v>
          </cell>
          <cell r="E70" t="str">
            <v>西南总部</v>
          </cell>
          <cell r="F70" t="str">
            <v>西南营销中心</v>
          </cell>
          <cell r="G70" t="str">
            <v>营业七部</v>
          </cell>
          <cell r="H70" t="str">
            <v>蒋杨</v>
          </cell>
          <cell r="I70" t="str">
            <v>实习销售</v>
          </cell>
          <cell r="J70" t="str">
            <v>男</v>
          </cell>
          <cell r="K70" t="str">
            <v>试用</v>
          </cell>
          <cell r="L70" t="str">
            <v>内部员工</v>
          </cell>
          <cell r="M70" t="str">
            <v>蒋杨</v>
          </cell>
        </row>
        <row r="71">
          <cell r="A71" t="str">
            <v>黄雪茹</v>
          </cell>
          <cell r="B71" t="str">
            <v>01931</v>
          </cell>
          <cell r="C71" t="str">
            <v>四川大礼连连科技有限公司</v>
          </cell>
          <cell r="D71">
            <v>46056</v>
          </cell>
          <cell r="E71" t="str">
            <v>集团职能</v>
          </cell>
          <cell r="F71" t="str">
            <v>职能营销</v>
          </cell>
          <cell r="G71" t="str">
            <v>培训部</v>
          </cell>
        </row>
        <row r="71">
          <cell r="I71" t="str">
            <v>培训专员</v>
          </cell>
          <cell r="J71" t="str">
            <v>女</v>
          </cell>
          <cell r="K71" t="str">
            <v>试用</v>
          </cell>
          <cell r="L71" t="str">
            <v>内部员工</v>
          </cell>
          <cell r="M71" t="str">
            <v>黄洁</v>
          </cell>
        </row>
        <row r="72">
          <cell r="A72" t="str">
            <v>陈敏</v>
          </cell>
          <cell r="B72" t="str">
            <v>01928</v>
          </cell>
          <cell r="C72" t="str">
            <v>四川时代蜂族营销策划有限公司</v>
          </cell>
          <cell r="D72">
            <v>46056</v>
          </cell>
          <cell r="E72" t="str">
            <v>集团职能</v>
          </cell>
          <cell r="F72" t="str">
            <v>职能总部</v>
          </cell>
          <cell r="G72" t="str">
            <v>停车场运营部</v>
          </cell>
        </row>
        <row r="72">
          <cell r="I72" t="str">
            <v>停车场运营经理</v>
          </cell>
          <cell r="J72" t="str">
            <v>男</v>
          </cell>
          <cell r="K72" t="str">
            <v>试用</v>
          </cell>
          <cell r="L72" t="str">
            <v>内部员工</v>
          </cell>
          <cell r="M72" t="str">
            <v>刘文宇</v>
          </cell>
        </row>
        <row r="73">
          <cell r="A73" t="str">
            <v>田静2</v>
          </cell>
          <cell r="B73" t="str">
            <v>01930</v>
          </cell>
          <cell r="C73" t="str">
            <v>陕西时代蜂族营销策划有限公司</v>
          </cell>
          <cell r="D73">
            <v>46054</v>
          </cell>
          <cell r="E73" t="str">
            <v>陕西</v>
          </cell>
          <cell r="F73" t="str">
            <v>陕西营销中心</v>
          </cell>
          <cell r="G73" t="str">
            <v>陕西2部</v>
          </cell>
          <cell r="H73" t="str">
            <v>乔磊</v>
          </cell>
          <cell r="I73" t="str">
            <v>实习销售</v>
          </cell>
          <cell r="J73" t="str">
            <v>女</v>
          </cell>
          <cell r="K73" t="str">
            <v>试用</v>
          </cell>
          <cell r="L73" t="str">
            <v>内部员工</v>
          </cell>
          <cell r="M73" t="str">
            <v>乔磊</v>
          </cell>
        </row>
        <row r="74">
          <cell r="A74" t="str">
            <v>吴三国</v>
          </cell>
          <cell r="B74" t="str">
            <v>01926</v>
          </cell>
          <cell r="C74" t="str">
            <v>湖南时代蜂族营销策划有限公司</v>
          </cell>
          <cell r="D74">
            <v>46050</v>
          </cell>
          <cell r="E74" t="str">
            <v>湖南</v>
          </cell>
          <cell r="F74" t="str">
            <v>湖南营销中心</v>
          </cell>
          <cell r="G74" t="str">
            <v>湖南销售部</v>
          </cell>
          <cell r="H74" t="str">
            <v>罗敏</v>
          </cell>
          <cell r="I74" t="str">
            <v>实习销售</v>
          </cell>
          <cell r="J74" t="str">
            <v>男</v>
          </cell>
          <cell r="K74" t="str">
            <v>试用</v>
          </cell>
          <cell r="L74" t="str">
            <v>内部员工</v>
          </cell>
          <cell r="M74" t="str">
            <v>扈岭楠</v>
          </cell>
        </row>
        <row r="75">
          <cell r="A75" t="str">
            <v>梁一丹</v>
          </cell>
          <cell r="B75" t="str">
            <v>01917</v>
          </cell>
          <cell r="C75" t="str">
            <v>河南蜜蜂族营销策划有限公司</v>
          </cell>
          <cell r="D75">
            <v>46049</v>
          </cell>
          <cell r="E75" t="str">
            <v>河南</v>
          </cell>
          <cell r="F75" t="str">
            <v>河南办公室</v>
          </cell>
        </row>
        <row r="75">
          <cell r="I75" t="str">
            <v>办公室主任</v>
          </cell>
          <cell r="J75" t="str">
            <v>女</v>
          </cell>
          <cell r="K75" t="str">
            <v>试用</v>
          </cell>
          <cell r="L75" t="str">
            <v>内部员工</v>
          </cell>
          <cell r="M75" t="str">
            <v>廖静</v>
          </cell>
        </row>
        <row r="76">
          <cell r="A76" t="str">
            <v>米东</v>
          </cell>
          <cell r="B76" t="str">
            <v>01927</v>
          </cell>
          <cell r="C76" t="str">
            <v>四川时代蜂族营销策划有限公司</v>
          </cell>
          <cell r="D76">
            <v>46049</v>
          </cell>
          <cell r="E76" t="str">
            <v>西南总部</v>
          </cell>
          <cell r="F76" t="str">
            <v>西南营销中心</v>
          </cell>
          <cell r="G76" t="str">
            <v>营业三部</v>
          </cell>
          <cell r="H76" t="str">
            <v>李海艳</v>
          </cell>
          <cell r="I76" t="str">
            <v>实习销售</v>
          </cell>
          <cell r="J76" t="str">
            <v>男</v>
          </cell>
          <cell r="K76" t="str">
            <v>试用</v>
          </cell>
          <cell r="L76" t="str">
            <v>内部员工</v>
          </cell>
          <cell r="M76" t="str">
            <v>李海艳</v>
          </cell>
        </row>
        <row r="77">
          <cell r="A77" t="str">
            <v>邓松元</v>
          </cell>
          <cell r="B77" t="str">
            <v>01920</v>
          </cell>
          <cell r="C77" t="str">
            <v>湖南时代蜂族营销策划有限公司</v>
          </cell>
          <cell r="D77">
            <v>46048</v>
          </cell>
          <cell r="E77" t="str">
            <v>湖南</v>
          </cell>
          <cell r="F77" t="str">
            <v>湖南营销中心</v>
          </cell>
          <cell r="G77" t="str">
            <v>湖南销售部</v>
          </cell>
          <cell r="H77" t="str">
            <v>庄素芳</v>
          </cell>
          <cell r="I77" t="str">
            <v>实习销售</v>
          </cell>
          <cell r="J77" t="str">
            <v>男</v>
          </cell>
          <cell r="K77" t="str">
            <v>试用</v>
          </cell>
          <cell r="L77" t="str">
            <v>内部员工</v>
          </cell>
          <cell r="M77" t="str">
            <v>庄素芳</v>
          </cell>
        </row>
        <row r="78">
          <cell r="A78" t="str">
            <v>肖文君</v>
          </cell>
          <cell r="B78" t="str">
            <v>01929</v>
          </cell>
          <cell r="C78" t="str">
            <v>四川时代蜂族营销策划有限公司</v>
          </cell>
          <cell r="D78">
            <v>46048</v>
          </cell>
          <cell r="E78" t="str">
            <v>西南总部</v>
          </cell>
          <cell r="F78" t="str">
            <v>西南营销中心</v>
          </cell>
          <cell r="G78" t="str">
            <v>营业一部</v>
          </cell>
          <cell r="H78" t="str">
            <v>白世根</v>
          </cell>
          <cell r="I78" t="str">
            <v>实习销售</v>
          </cell>
          <cell r="J78" t="str">
            <v>女</v>
          </cell>
          <cell r="K78" t="str">
            <v>试用</v>
          </cell>
          <cell r="L78" t="str">
            <v>内部员工</v>
          </cell>
          <cell r="M78" t="str">
            <v>白世根</v>
          </cell>
        </row>
        <row r="79">
          <cell r="A79" t="str">
            <v>敖之美</v>
          </cell>
          <cell r="B79" t="str">
            <v>01924</v>
          </cell>
          <cell r="C79" t="str">
            <v>四川时代蜂族营销策划有限公司</v>
          </cell>
          <cell r="D79">
            <v>46048</v>
          </cell>
          <cell r="E79" t="str">
            <v>西南总部</v>
          </cell>
          <cell r="F79" t="str">
            <v>西南营销中心</v>
          </cell>
          <cell r="G79" t="str">
            <v>营业一部</v>
          </cell>
          <cell r="H79" t="str">
            <v>张圣梁</v>
          </cell>
          <cell r="I79" t="str">
            <v>实习销售</v>
          </cell>
          <cell r="J79" t="str">
            <v>女</v>
          </cell>
          <cell r="K79" t="str">
            <v>试用</v>
          </cell>
          <cell r="L79" t="str">
            <v>内部员工</v>
          </cell>
          <cell r="M79" t="str">
            <v>张圣梁</v>
          </cell>
        </row>
        <row r="80">
          <cell r="A80" t="str">
            <v>徐潇洋</v>
          </cell>
          <cell r="B80" t="str">
            <v>01925</v>
          </cell>
          <cell r="C80" t="str">
            <v>辽宁时代蜂族营销策划有限公司</v>
          </cell>
          <cell r="D80">
            <v>46048</v>
          </cell>
          <cell r="E80" t="str">
            <v>辽宁</v>
          </cell>
          <cell r="F80" t="str">
            <v>辽宁营销中心</v>
          </cell>
          <cell r="G80" t="str">
            <v>辽宁销售部</v>
          </cell>
          <cell r="H80" t="str">
            <v>孙科辽宁</v>
          </cell>
          <cell r="I80" t="str">
            <v>实习销售</v>
          </cell>
          <cell r="J80" t="str">
            <v>男</v>
          </cell>
          <cell r="K80" t="str">
            <v>试用</v>
          </cell>
          <cell r="L80" t="str">
            <v>内部员工</v>
          </cell>
          <cell r="M80" t="str">
            <v>孙科</v>
          </cell>
        </row>
        <row r="81">
          <cell r="A81" t="str">
            <v>李恒2</v>
          </cell>
          <cell r="B81" t="str">
            <v>01921</v>
          </cell>
          <cell r="C81" t="str">
            <v>四川时代蜂族营销策划有限公司</v>
          </cell>
          <cell r="D81">
            <v>46048</v>
          </cell>
          <cell r="E81" t="str">
            <v>西南总部</v>
          </cell>
          <cell r="F81" t="str">
            <v>西南营销中心</v>
          </cell>
          <cell r="G81" t="str">
            <v>营业一部</v>
          </cell>
          <cell r="H81" t="str">
            <v>朱家艳</v>
          </cell>
          <cell r="I81" t="str">
            <v>实习销售</v>
          </cell>
          <cell r="J81" t="str">
            <v>男</v>
          </cell>
          <cell r="K81" t="str">
            <v>试用</v>
          </cell>
          <cell r="L81" t="str">
            <v>内部员工</v>
          </cell>
          <cell r="M81" t="str">
            <v>朱家艳</v>
          </cell>
        </row>
        <row r="82">
          <cell r="A82" t="str">
            <v>孔群慧</v>
          </cell>
          <cell r="B82" t="str">
            <v>01918</v>
          </cell>
          <cell r="C82" t="str">
            <v>四川优诺通瑞商贸有限公司</v>
          </cell>
          <cell r="D82">
            <v>46048</v>
          </cell>
          <cell r="E82" t="str">
            <v>集团职能</v>
          </cell>
          <cell r="F82" t="str">
            <v>职能总部</v>
          </cell>
          <cell r="G82" t="str">
            <v>人资行政部</v>
          </cell>
        </row>
        <row r="82">
          <cell r="I82" t="str">
            <v>人资行政经理</v>
          </cell>
          <cell r="J82" t="str">
            <v>女</v>
          </cell>
          <cell r="K82" t="str">
            <v>试用</v>
          </cell>
          <cell r="L82" t="str">
            <v>内部员工</v>
          </cell>
          <cell r="M82" t="str">
            <v>黄芳</v>
          </cell>
        </row>
        <row r="83">
          <cell r="A83" t="str">
            <v>石丹</v>
          </cell>
          <cell r="B83" t="str">
            <v>01922</v>
          </cell>
          <cell r="C83" t="str">
            <v>四川时代蜂族营销策划有限公司</v>
          </cell>
          <cell r="D83">
            <v>46048</v>
          </cell>
          <cell r="E83" t="str">
            <v>西南总部</v>
          </cell>
          <cell r="F83" t="str">
            <v>西南营销中心</v>
          </cell>
          <cell r="G83" t="str">
            <v>营业四部</v>
          </cell>
          <cell r="H83" t="str">
            <v>贾萍</v>
          </cell>
          <cell r="I83" t="str">
            <v>实习销售</v>
          </cell>
          <cell r="J83" t="str">
            <v>女</v>
          </cell>
          <cell r="K83" t="str">
            <v>试用</v>
          </cell>
          <cell r="L83" t="str">
            <v>内部员工</v>
          </cell>
          <cell r="M83" t="str">
            <v>贾萍</v>
          </cell>
        </row>
        <row r="84">
          <cell r="A84" t="str">
            <v>杨星</v>
          </cell>
          <cell r="B84" t="str">
            <v>01915</v>
          </cell>
          <cell r="C84" t="str">
            <v>河北时代蜂族营销策划有限公司</v>
          </cell>
          <cell r="D84">
            <v>46045</v>
          </cell>
          <cell r="E84" t="str">
            <v>河北</v>
          </cell>
          <cell r="F84" t="str">
            <v>河北办公室</v>
          </cell>
        </row>
        <row r="84">
          <cell r="I84" t="str">
            <v>办公室主任</v>
          </cell>
          <cell r="J84" t="str">
            <v>女</v>
          </cell>
          <cell r="K84" t="str">
            <v>试用</v>
          </cell>
          <cell r="L84" t="str">
            <v>内部员工</v>
          </cell>
          <cell r="M84" t="str">
            <v>张冀</v>
          </cell>
        </row>
        <row r="85">
          <cell r="A85" t="str">
            <v>陈国钊</v>
          </cell>
          <cell r="B85" t="str">
            <v>01919</v>
          </cell>
          <cell r="C85" t="str">
            <v>四川时代蜂族营销策划有限公司</v>
          </cell>
          <cell r="D85">
            <v>46045</v>
          </cell>
          <cell r="E85" t="str">
            <v>西南总部</v>
          </cell>
          <cell r="F85" t="str">
            <v>西南营销中心</v>
          </cell>
          <cell r="G85" t="str">
            <v>营业二部</v>
          </cell>
          <cell r="H85" t="str">
            <v>文鹏羽</v>
          </cell>
          <cell r="I85" t="str">
            <v>实习销售</v>
          </cell>
          <cell r="J85" t="str">
            <v>男</v>
          </cell>
          <cell r="K85" t="str">
            <v>试用</v>
          </cell>
          <cell r="L85" t="str">
            <v>内部员工</v>
          </cell>
          <cell r="M85" t="str">
            <v>文鹏羽</v>
          </cell>
        </row>
        <row r="86">
          <cell r="A86" t="str">
            <v>何松键</v>
          </cell>
          <cell r="B86" t="str">
            <v>01916</v>
          </cell>
          <cell r="C86" t="str">
            <v>四川时代蜂族营销策划有限公司</v>
          </cell>
          <cell r="D86">
            <v>46042</v>
          </cell>
          <cell r="E86" t="str">
            <v>西南总部</v>
          </cell>
          <cell r="F86" t="str">
            <v>西南营销中心</v>
          </cell>
          <cell r="G86" t="str">
            <v>营业七部</v>
          </cell>
          <cell r="H86" t="str">
            <v>程新浩</v>
          </cell>
          <cell r="I86" t="str">
            <v>实习销售</v>
          </cell>
          <cell r="J86" t="str">
            <v>男</v>
          </cell>
          <cell r="K86" t="str">
            <v>试用</v>
          </cell>
          <cell r="L86" t="str">
            <v>内部员工</v>
          </cell>
          <cell r="M86" t="str">
            <v>程新浩</v>
          </cell>
        </row>
        <row r="87">
          <cell r="A87" t="str">
            <v>李根</v>
          </cell>
          <cell r="B87" t="str">
            <v>01914</v>
          </cell>
          <cell r="C87" t="str">
            <v>湖南时代蜂族营销策划有限公司</v>
          </cell>
          <cell r="D87">
            <v>46039</v>
          </cell>
          <cell r="E87" t="str">
            <v>湖南</v>
          </cell>
          <cell r="F87" t="str">
            <v>湖南营销中心</v>
          </cell>
          <cell r="G87" t="str">
            <v>湖南销售部</v>
          </cell>
          <cell r="H87" t="str">
            <v>杨超群</v>
          </cell>
          <cell r="I87" t="str">
            <v>实习销售</v>
          </cell>
          <cell r="J87" t="str">
            <v>男</v>
          </cell>
          <cell r="K87" t="str">
            <v>试用</v>
          </cell>
          <cell r="L87" t="str">
            <v>内部员工</v>
          </cell>
          <cell r="M87" t="str">
            <v>杨超群</v>
          </cell>
        </row>
        <row r="88">
          <cell r="A88" t="str">
            <v>李嘉</v>
          </cell>
          <cell r="B88" t="str">
            <v>01911</v>
          </cell>
          <cell r="C88" t="str">
            <v>四川时代蜂族营销策划有限公司</v>
          </cell>
          <cell r="D88">
            <v>46038</v>
          </cell>
          <cell r="E88" t="str">
            <v>集团职能</v>
          </cell>
          <cell r="F88" t="str">
            <v>职能总部</v>
          </cell>
          <cell r="G88" t="str">
            <v>策划部</v>
          </cell>
        </row>
        <row r="88">
          <cell r="I88" t="str">
            <v>法务专员</v>
          </cell>
          <cell r="J88" t="str">
            <v>女</v>
          </cell>
          <cell r="K88" t="str">
            <v>试用</v>
          </cell>
          <cell r="L88" t="str">
            <v>内部员工</v>
          </cell>
          <cell r="M88" t="str">
            <v>古天鹏</v>
          </cell>
        </row>
        <row r="89">
          <cell r="A89" t="str">
            <v>徐琮翔</v>
          </cell>
          <cell r="B89" t="str">
            <v>01913</v>
          </cell>
          <cell r="C89" t="str">
            <v>四川大礼连连科技有限公司</v>
          </cell>
          <cell r="D89">
            <v>46036</v>
          </cell>
          <cell r="E89" t="str">
            <v>集团职能</v>
          </cell>
          <cell r="F89" t="str">
            <v>职能营销</v>
          </cell>
          <cell r="G89" t="str">
            <v>培训部</v>
          </cell>
        </row>
        <row r="89">
          <cell r="I89" t="str">
            <v>培训专员</v>
          </cell>
          <cell r="J89" t="str">
            <v>男</v>
          </cell>
          <cell r="K89" t="str">
            <v>试用</v>
          </cell>
          <cell r="L89" t="str">
            <v>内部员工</v>
          </cell>
          <cell r="M89" t="str">
            <v>黄洁</v>
          </cell>
        </row>
        <row r="90">
          <cell r="A90" t="str">
            <v>王应刚</v>
          </cell>
          <cell r="B90" t="str">
            <v>01912</v>
          </cell>
          <cell r="C90" t="str">
            <v>河北时代蜂族营销策划有限公司</v>
          </cell>
          <cell r="D90">
            <v>46035</v>
          </cell>
          <cell r="E90" t="str">
            <v>河北</v>
          </cell>
          <cell r="F90" t="str">
            <v>河北营销中心</v>
          </cell>
          <cell r="G90" t="str">
            <v>河北销售部</v>
          </cell>
          <cell r="H90" t="str">
            <v>韩旭河北</v>
          </cell>
          <cell r="I90" t="str">
            <v>实习销售</v>
          </cell>
          <cell r="J90" t="str">
            <v>男</v>
          </cell>
          <cell r="K90" t="str">
            <v>试用</v>
          </cell>
          <cell r="L90" t="str">
            <v>内部员工</v>
          </cell>
          <cell r="M90" t="str">
            <v>韩旭</v>
          </cell>
        </row>
        <row r="91">
          <cell r="A91" t="str">
            <v>赵成</v>
          </cell>
          <cell r="B91" t="str">
            <v>01909</v>
          </cell>
          <cell r="C91" t="str">
            <v>四川时代蜂族营销策划有限公司</v>
          </cell>
          <cell r="D91">
            <v>46031</v>
          </cell>
          <cell r="E91" t="str">
            <v>西南总部</v>
          </cell>
          <cell r="F91" t="str">
            <v>西南营销中心</v>
          </cell>
          <cell r="G91" t="str">
            <v>营业一部</v>
          </cell>
          <cell r="H91" t="str">
            <v>唐浪波</v>
          </cell>
          <cell r="I91" t="str">
            <v>实习销售</v>
          </cell>
          <cell r="J91" t="str">
            <v>男</v>
          </cell>
          <cell r="K91" t="str">
            <v>试用</v>
          </cell>
          <cell r="L91" t="str">
            <v>内部员工</v>
          </cell>
          <cell r="M91" t="str">
            <v>唐浪波</v>
          </cell>
        </row>
        <row r="92">
          <cell r="A92" t="str">
            <v>郑昌豪</v>
          </cell>
          <cell r="B92" t="str">
            <v>01910</v>
          </cell>
          <cell r="C92" t="str">
            <v>四川时代蜂族营销策划有限公司</v>
          </cell>
          <cell r="D92">
            <v>46031</v>
          </cell>
          <cell r="E92" t="str">
            <v>西南总部</v>
          </cell>
          <cell r="F92" t="str">
            <v>西南营销中心</v>
          </cell>
          <cell r="G92" t="str">
            <v>营业一部</v>
          </cell>
          <cell r="H92" t="str">
            <v>胡雪梅</v>
          </cell>
          <cell r="I92" t="str">
            <v>实习销售</v>
          </cell>
          <cell r="J92" t="str">
            <v>男</v>
          </cell>
          <cell r="K92" t="str">
            <v>试用</v>
          </cell>
          <cell r="L92" t="str">
            <v>内部员工</v>
          </cell>
          <cell r="M92" t="str">
            <v>胡雪梅</v>
          </cell>
        </row>
        <row r="93">
          <cell r="A93" t="str">
            <v>敖玉</v>
          </cell>
          <cell r="B93" t="str">
            <v>01907</v>
          </cell>
          <cell r="C93" t="str">
            <v>湖南时代蜂族营销策划有限公司</v>
          </cell>
          <cell r="D93">
            <v>46030</v>
          </cell>
          <cell r="E93" t="str">
            <v>湖南</v>
          </cell>
          <cell r="F93" t="str">
            <v>湖南营销中心</v>
          </cell>
          <cell r="G93" t="str">
            <v>湖南销售部</v>
          </cell>
          <cell r="H93" t="str">
            <v>刘元发</v>
          </cell>
          <cell r="I93" t="str">
            <v>实习销售</v>
          </cell>
          <cell r="J93" t="str">
            <v>女</v>
          </cell>
          <cell r="K93" t="str">
            <v>试用</v>
          </cell>
          <cell r="L93" t="str">
            <v>内部员工</v>
          </cell>
          <cell r="M93" t="str">
            <v>刘元发</v>
          </cell>
        </row>
        <row r="94">
          <cell r="A94" t="str">
            <v>唐筠</v>
          </cell>
          <cell r="B94" t="str">
            <v>01905</v>
          </cell>
          <cell r="C94" t="str">
            <v>四川时代蜂族营销策划有限公司</v>
          </cell>
          <cell r="D94">
            <v>46027</v>
          </cell>
          <cell r="E94" t="str">
            <v>西南总部</v>
          </cell>
          <cell r="F94" t="str">
            <v>西南营销中心</v>
          </cell>
          <cell r="G94" t="str">
            <v>营业七部</v>
          </cell>
          <cell r="H94" t="str">
            <v>张家涛</v>
          </cell>
          <cell r="I94" t="str">
            <v>实习销售</v>
          </cell>
          <cell r="J94" t="str">
            <v>女</v>
          </cell>
          <cell r="K94" t="str">
            <v>试用</v>
          </cell>
          <cell r="L94" t="str">
            <v>内部员工</v>
          </cell>
          <cell r="M94" t="str">
            <v>张家涛</v>
          </cell>
        </row>
        <row r="95">
          <cell r="A95" t="str">
            <v>王晓潮</v>
          </cell>
          <cell r="B95" t="str">
            <v>01902</v>
          </cell>
          <cell r="C95" t="str">
            <v>河北时代蜂族营销策划有限公司</v>
          </cell>
          <cell r="D95">
            <v>46026</v>
          </cell>
          <cell r="E95" t="str">
            <v>河北</v>
          </cell>
          <cell r="F95" t="str">
            <v>河北营销中心</v>
          </cell>
          <cell r="G95" t="str">
            <v>河北销售部</v>
          </cell>
          <cell r="H95" t="str">
            <v>陈东2河北</v>
          </cell>
          <cell r="I95" t="str">
            <v>实习销售</v>
          </cell>
          <cell r="J95" t="str">
            <v>男</v>
          </cell>
          <cell r="K95" t="str">
            <v>试用</v>
          </cell>
          <cell r="L95" t="str">
            <v>内部员工</v>
          </cell>
          <cell r="M95" t="str">
            <v>陈东2</v>
          </cell>
        </row>
        <row r="96">
          <cell r="A96" t="str">
            <v>王小蓬</v>
          </cell>
          <cell r="B96" t="str">
            <v>01898</v>
          </cell>
          <cell r="C96" t="str">
            <v>四川时代蜂族营销策划有限公司</v>
          </cell>
          <cell r="D96">
            <v>46025</v>
          </cell>
          <cell r="E96" t="str">
            <v>西南总部</v>
          </cell>
          <cell r="F96" t="str">
            <v>西南营销中心</v>
          </cell>
          <cell r="G96" t="str">
            <v>营业五部</v>
          </cell>
          <cell r="H96" t="str">
            <v>张萍2</v>
          </cell>
          <cell r="I96" t="str">
            <v>实习销售</v>
          </cell>
          <cell r="J96" t="str">
            <v>男</v>
          </cell>
          <cell r="K96" t="str">
            <v>试用</v>
          </cell>
          <cell r="L96" t="str">
            <v>内部员工</v>
          </cell>
          <cell r="M96" t="str">
            <v>张萍2</v>
          </cell>
        </row>
        <row r="97">
          <cell r="A97" t="str">
            <v>赵雪勤</v>
          </cell>
          <cell r="B97" t="str">
            <v>01904</v>
          </cell>
          <cell r="C97" t="str">
            <v>河南蜜蜂族营销策划有限公司</v>
          </cell>
          <cell r="D97">
            <v>46024</v>
          </cell>
          <cell r="E97" t="str">
            <v>河南</v>
          </cell>
          <cell r="F97" t="str">
            <v>河南营销中心</v>
          </cell>
          <cell r="G97" t="str">
            <v>河南销售部</v>
          </cell>
          <cell r="H97" t="str">
            <v>张萍河南</v>
          </cell>
          <cell r="I97" t="str">
            <v>实习销售</v>
          </cell>
          <cell r="J97" t="str">
            <v>女</v>
          </cell>
          <cell r="K97" t="str">
            <v>试用</v>
          </cell>
          <cell r="L97" t="str">
            <v>内部员工</v>
          </cell>
          <cell r="M97" t="str">
            <v>张萍</v>
          </cell>
        </row>
        <row r="98">
          <cell r="A98" t="str">
            <v>红英</v>
          </cell>
          <cell r="B98" t="str">
            <v>01889</v>
          </cell>
          <cell r="C98" t="str">
            <v>四川时代蜂族营销策划有限公司</v>
          </cell>
          <cell r="D98">
            <v>46022</v>
          </cell>
          <cell r="E98" t="str">
            <v>西南总部</v>
          </cell>
          <cell r="F98" t="str">
            <v>西南营销中心</v>
          </cell>
          <cell r="G98" t="str">
            <v>营业二部</v>
          </cell>
          <cell r="H98" t="str">
            <v>魏飞翔</v>
          </cell>
          <cell r="I98" t="str">
            <v>实习销售</v>
          </cell>
          <cell r="J98" t="str">
            <v>女</v>
          </cell>
          <cell r="K98" t="str">
            <v>正式</v>
          </cell>
          <cell r="L98" t="str">
            <v>实习生</v>
          </cell>
          <cell r="M98" t="str">
            <v>魏飞翔</v>
          </cell>
        </row>
        <row r="99">
          <cell r="A99" t="str">
            <v>杜俊杰</v>
          </cell>
          <cell r="B99" t="str">
            <v>01901</v>
          </cell>
          <cell r="C99" t="str">
            <v>四川时代蜂族营销策划有限公司</v>
          </cell>
          <cell r="D99">
            <v>46022</v>
          </cell>
          <cell r="E99" t="str">
            <v>西南总部</v>
          </cell>
          <cell r="F99" t="str">
            <v>西南营销中心</v>
          </cell>
          <cell r="G99" t="str">
            <v>营业六部</v>
          </cell>
          <cell r="H99" t="str">
            <v>韩颖</v>
          </cell>
          <cell r="I99" t="str">
            <v>实习销售</v>
          </cell>
          <cell r="J99" t="str">
            <v>男</v>
          </cell>
          <cell r="K99" t="str">
            <v>试用</v>
          </cell>
          <cell r="L99" t="str">
            <v>内部员工</v>
          </cell>
          <cell r="M99" t="str">
            <v>韩颖</v>
          </cell>
        </row>
        <row r="100">
          <cell r="A100" t="str">
            <v>徐超2</v>
          </cell>
          <cell r="B100" t="str">
            <v>01892</v>
          </cell>
          <cell r="C100" t="str">
            <v>四川时代蜂族营销策划有限公司</v>
          </cell>
          <cell r="D100">
            <v>46022</v>
          </cell>
          <cell r="E100" t="str">
            <v>西南总部</v>
          </cell>
          <cell r="F100" t="str">
            <v>西南营销中心</v>
          </cell>
          <cell r="G100" t="str">
            <v>营业五部</v>
          </cell>
          <cell r="H100" t="str">
            <v>杨科</v>
          </cell>
          <cell r="I100" t="str">
            <v>实习销售</v>
          </cell>
          <cell r="J100" t="str">
            <v>男</v>
          </cell>
          <cell r="K100" t="str">
            <v>正式</v>
          </cell>
          <cell r="L100" t="str">
            <v>实习生</v>
          </cell>
          <cell r="M100" t="str">
            <v>杨科</v>
          </cell>
        </row>
        <row r="101">
          <cell r="A101" t="str">
            <v>刘兴东</v>
          </cell>
          <cell r="B101" t="str">
            <v>01884</v>
          </cell>
          <cell r="C101" t="str">
            <v>四川时代蜂族营销策划有限公司</v>
          </cell>
          <cell r="D101">
            <v>46022</v>
          </cell>
          <cell r="E101" t="str">
            <v>西南总部</v>
          </cell>
          <cell r="F101" t="str">
            <v>西南营销中心</v>
          </cell>
          <cell r="G101" t="str">
            <v>营业一部</v>
          </cell>
          <cell r="H101" t="str">
            <v>胡雪梅</v>
          </cell>
          <cell r="I101" t="str">
            <v>实习销售</v>
          </cell>
          <cell r="J101" t="str">
            <v>男</v>
          </cell>
          <cell r="K101" t="str">
            <v>正式</v>
          </cell>
          <cell r="L101" t="str">
            <v>实习生</v>
          </cell>
          <cell r="M101" t="str">
            <v>胡雪梅</v>
          </cell>
        </row>
        <row r="102">
          <cell r="A102" t="str">
            <v>曹雪浩</v>
          </cell>
          <cell r="B102" t="str">
            <v>01886</v>
          </cell>
          <cell r="C102" t="str">
            <v>四川时代蜂族营销策划有限公司</v>
          </cell>
          <cell r="D102">
            <v>46022</v>
          </cell>
          <cell r="E102" t="str">
            <v>西南总部</v>
          </cell>
          <cell r="F102" t="str">
            <v>西南营销中心</v>
          </cell>
          <cell r="G102" t="str">
            <v>营业五部</v>
          </cell>
          <cell r="H102" t="str">
            <v>杨科</v>
          </cell>
          <cell r="I102" t="str">
            <v>实习销售</v>
          </cell>
          <cell r="J102" t="str">
            <v>男</v>
          </cell>
          <cell r="K102" t="str">
            <v>正式</v>
          </cell>
          <cell r="L102" t="str">
            <v>实习生</v>
          </cell>
          <cell r="M102" t="str">
            <v>杨科</v>
          </cell>
        </row>
        <row r="103">
          <cell r="A103" t="str">
            <v>吴海蛟</v>
          </cell>
          <cell r="B103" t="str">
            <v>01881</v>
          </cell>
          <cell r="C103" t="str">
            <v>四川时代蜂族营销策划有限公司</v>
          </cell>
          <cell r="D103">
            <v>46022</v>
          </cell>
          <cell r="E103" t="str">
            <v>西南总部</v>
          </cell>
          <cell r="F103" t="str">
            <v>西南营销中心</v>
          </cell>
          <cell r="G103" t="str">
            <v>营业五部</v>
          </cell>
          <cell r="H103" t="str">
            <v>张萍2</v>
          </cell>
          <cell r="I103" t="str">
            <v>实习销售</v>
          </cell>
          <cell r="J103" t="str">
            <v>男</v>
          </cell>
          <cell r="K103" t="str">
            <v>正式</v>
          </cell>
          <cell r="L103" t="str">
            <v>实习生</v>
          </cell>
          <cell r="M103" t="str">
            <v>张萍2</v>
          </cell>
        </row>
        <row r="104">
          <cell r="A104" t="str">
            <v>王成鑫</v>
          </cell>
          <cell r="B104" t="str">
            <v>01882</v>
          </cell>
          <cell r="C104" t="str">
            <v>四川时代蜂族营销策划有限公司</v>
          </cell>
          <cell r="D104">
            <v>46022</v>
          </cell>
          <cell r="E104" t="str">
            <v>西南总部</v>
          </cell>
          <cell r="F104" t="str">
            <v>西南营销中心</v>
          </cell>
          <cell r="G104" t="str">
            <v>营业四部</v>
          </cell>
          <cell r="H104" t="str">
            <v>陈帅</v>
          </cell>
          <cell r="I104" t="str">
            <v>实习销售</v>
          </cell>
          <cell r="J104" t="str">
            <v>男</v>
          </cell>
          <cell r="K104" t="str">
            <v>正式</v>
          </cell>
          <cell r="L104" t="str">
            <v>实习生</v>
          </cell>
          <cell r="M104" t="str">
            <v>陈帅</v>
          </cell>
        </row>
        <row r="105">
          <cell r="A105" t="str">
            <v>田浩</v>
          </cell>
          <cell r="B105" t="str">
            <v>01900</v>
          </cell>
          <cell r="C105" t="str">
            <v>四川时代蜂族营销策划有限公司</v>
          </cell>
          <cell r="D105">
            <v>46021</v>
          </cell>
          <cell r="E105" t="str">
            <v>西南总部</v>
          </cell>
          <cell r="F105" t="str">
            <v>西南营销中心</v>
          </cell>
          <cell r="G105" t="str">
            <v>营业七部</v>
          </cell>
          <cell r="H105" t="str">
            <v>刘鹏</v>
          </cell>
          <cell r="I105" t="str">
            <v>实习销售</v>
          </cell>
          <cell r="J105" t="str">
            <v>男</v>
          </cell>
          <cell r="K105" t="str">
            <v>正式</v>
          </cell>
          <cell r="L105" t="str">
            <v>实习生</v>
          </cell>
          <cell r="M105" t="str">
            <v>刘鹏</v>
          </cell>
        </row>
        <row r="106">
          <cell r="A106" t="str">
            <v>杨孟</v>
          </cell>
          <cell r="B106" t="str">
            <v>01891</v>
          </cell>
          <cell r="C106" t="str">
            <v>山东时代蜂族营销策划有限公司</v>
          </cell>
          <cell r="D106">
            <v>46020</v>
          </cell>
          <cell r="E106" t="str">
            <v>山东</v>
          </cell>
          <cell r="F106" t="str">
            <v>山东营销中心</v>
          </cell>
          <cell r="G106" t="str">
            <v>山东销售部</v>
          </cell>
          <cell r="H106" t="str">
            <v>王杰</v>
          </cell>
          <cell r="I106" t="str">
            <v>实习销售</v>
          </cell>
          <cell r="J106" t="str">
            <v>男</v>
          </cell>
          <cell r="K106" t="str">
            <v>试用</v>
          </cell>
          <cell r="L106" t="str">
            <v>内部员工</v>
          </cell>
          <cell r="M106" t="str">
            <v>王杰</v>
          </cell>
        </row>
        <row r="107">
          <cell r="A107" t="str">
            <v>谭霜鹰</v>
          </cell>
          <cell r="B107" t="str">
            <v>01897</v>
          </cell>
          <cell r="C107" t="str">
            <v>四川时代蜂族营销策划有限公司</v>
          </cell>
          <cell r="D107">
            <v>46020</v>
          </cell>
          <cell r="E107" t="str">
            <v>西南总部</v>
          </cell>
          <cell r="F107" t="str">
            <v>西南营销中心</v>
          </cell>
          <cell r="G107" t="str">
            <v>营业七部</v>
          </cell>
          <cell r="H107" t="str">
            <v>谢沁霜</v>
          </cell>
          <cell r="I107" t="str">
            <v>实习销售</v>
          </cell>
          <cell r="J107" t="str">
            <v>女</v>
          </cell>
          <cell r="K107" t="str">
            <v>试用</v>
          </cell>
          <cell r="L107" t="str">
            <v>内部员工</v>
          </cell>
          <cell r="M107" t="str">
            <v>谢沁霜</v>
          </cell>
        </row>
        <row r="108">
          <cell r="A108" t="str">
            <v>杨皖佳</v>
          </cell>
          <cell r="B108" t="str">
            <v>01896</v>
          </cell>
          <cell r="C108" t="str">
            <v>四川优诺通瑞商贸有限公司</v>
          </cell>
          <cell r="D108">
            <v>46020</v>
          </cell>
          <cell r="E108" t="str">
            <v>集团职能</v>
          </cell>
          <cell r="F108" t="str">
            <v>职能总部</v>
          </cell>
          <cell r="G108" t="str">
            <v>业绩增长部</v>
          </cell>
        </row>
        <row r="108">
          <cell r="I108" t="str">
            <v>拓展BP</v>
          </cell>
          <cell r="J108" t="str">
            <v>女</v>
          </cell>
          <cell r="K108" t="str">
            <v>试用</v>
          </cell>
          <cell r="L108" t="str">
            <v>内部员工</v>
          </cell>
          <cell r="M108" t="str">
            <v>梁霞</v>
          </cell>
        </row>
        <row r="109">
          <cell r="A109" t="str">
            <v>侯春红</v>
          </cell>
          <cell r="B109" t="str">
            <v>01893</v>
          </cell>
          <cell r="C109" t="str">
            <v>四川时代蜂族营销策划有限公司</v>
          </cell>
          <cell r="D109">
            <v>46019</v>
          </cell>
          <cell r="E109" t="str">
            <v>西南总部</v>
          </cell>
          <cell r="F109" t="str">
            <v>西南营销中心</v>
          </cell>
          <cell r="G109" t="str">
            <v>营业三部</v>
          </cell>
          <cell r="H109" t="str">
            <v>郑景慕</v>
          </cell>
          <cell r="I109" t="str">
            <v>实习销售</v>
          </cell>
          <cell r="J109" t="str">
            <v>女</v>
          </cell>
          <cell r="K109" t="str">
            <v>试用</v>
          </cell>
          <cell r="L109" t="str">
            <v>内部员工</v>
          </cell>
          <cell r="M109" t="str">
            <v>郑景慕</v>
          </cell>
        </row>
        <row r="110">
          <cell r="A110" t="str">
            <v>杨康</v>
          </cell>
          <cell r="B110" t="str">
            <v>01610</v>
          </cell>
          <cell r="C110" t="str">
            <v>四川时代蜂族营销策划有限公司</v>
          </cell>
          <cell r="D110">
            <v>46018</v>
          </cell>
          <cell r="E110" t="str">
            <v>河南</v>
          </cell>
          <cell r="F110" t="str">
            <v>河南营销中心</v>
          </cell>
          <cell r="G110" t="str">
            <v>河南销售部</v>
          </cell>
          <cell r="H110" t="str">
            <v>蒋吉勇河南</v>
          </cell>
          <cell r="I110" t="str">
            <v>实习销售</v>
          </cell>
          <cell r="J110" t="str">
            <v>男</v>
          </cell>
          <cell r="K110" t="str">
            <v>试用</v>
          </cell>
          <cell r="L110" t="str">
            <v>内部员工</v>
          </cell>
          <cell r="M110" t="str">
            <v>蒋吉勇</v>
          </cell>
        </row>
        <row r="111">
          <cell r="A111" t="str">
            <v>董衡</v>
          </cell>
          <cell r="B111" t="str">
            <v>01876</v>
          </cell>
          <cell r="C111" t="str">
            <v>四川时代蜂族营销策划有限公司</v>
          </cell>
          <cell r="D111">
            <v>46017</v>
          </cell>
          <cell r="E111" t="str">
            <v>西南总部</v>
          </cell>
          <cell r="F111" t="str">
            <v>西南营销中心</v>
          </cell>
          <cell r="G111" t="str">
            <v>营业五部</v>
          </cell>
          <cell r="H111" t="str">
            <v>张萍2</v>
          </cell>
          <cell r="I111" t="str">
            <v>实习销售</v>
          </cell>
          <cell r="J111" t="str">
            <v>男</v>
          </cell>
          <cell r="K111" t="str">
            <v>试用</v>
          </cell>
          <cell r="L111" t="str">
            <v>内部员工</v>
          </cell>
          <cell r="M111" t="str">
            <v>张萍2</v>
          </cell>
        </row>
        <row r="112">
          <cell r="A112" t="str">
            <v>沈锐</v>
          </cell>
          <cell r="B112" t="str">
            <v>01880</v>
          </cell>
          <cell r="C112" t="str">
            <v>四川时代蜂族营销策划有限公司</v>
          </cell>
          <cell r="D112">
            <v>46015</v>
          </cell>
          <cell r="E112" t="str">
            <v>河北</v>
          </cell>
          <cell r="F112" t="str">
            <v>河北营销中心</v>
          </cell>
          <cell r="G112" t="str">
            <v>河北销售部</v>
          </cell>
        </row>
        <row r="112">
          <cell r="I112" t="str">
            <v>实习销售</v>
          </cell>
          <cell r="J112" t="str">
            <v>男</v>
          </cell>
          <cell r="K112" t="str">
            <v>试用</v>
          </cell>
          <cell r="L112" t="str">
            <v>内部员工</v>
          </cell>
          <cell r="M112" t="str">
            <v>扈岭楠</v>
          </cell>
        </row>
        <row r="113">
          <cell r="A113" t="str">
            <v>杨鹏鹏</v>
          </cell>
          <cell r="B113" t="str">
            <v>01894</v>
          </cell>
          <cell r="C113" t="str">
            <v>湖南时代蜂族营销策划有限公司</v>
          </cell>
          <cell r="D113">
            <v>46014</v>
          </cell>
          <cell r="E113" t="str">
            <v>湖南</v>
          </cell>
          <cell r="F113" t="str">
            <v>湖南营销中心</v>
          </cell>
          <cell r="G113" t="str">
            <v>湖南销售部</v>
          </cell>
          <cell r="H113" t="str">
            <v>王晶晶</v>
          </cell>
          <cell r="I113" t="str">
            <v>实习销售</v>
          </cell>
          <cell r="J113" t="str">
            <v>男</v>
          </cell>
          <cell r="K113" t="str">
            <v>正式</v>
          </cell>
          <cell r="L113" t="str">
            <v>实习生</v>
          </cell>
          <cell r="M113" t="str">
            <v>王晶晶</v>
          </cell>
        </row>
        <row r="114">
          <cell r="A114" t="str">
            <v>易束梅</v>
          </cell>
          <cell r="B114" t="str">
            <v>01872</v>
          </cell>
          <cell r="C114" t="str">
            <v>四川时代蜂族营销策划有限公司</v>
          </cell>
          <cell r="D114">
            <v>46013</v>
          </cell>
          <cell r="E114" t="str">
            <v>集团职能</v>
          </cell>
          <cell r="F114" t="str">
            <v>职能营销</v>
          </cell>
          <cell r="G114" t="str">
            <v>督导部</v>
          </cell>
        </row>
        <row r="114">
          <cell r="I114" t="str">
            <v>售后</v>
          </cell>
          <cell r="J114" t="str">
            <v>女</v>
          </cell>
          <cell r="K114" t="str">
            <v>试用</v>
          </cell>
          <cell r="L114" t="str">
            <v>内部员工</v>
          </cell>
          <cell r="M114" t="str">
            <v>刘盼</v>
          </cell>
        </row>
        <row r="115">
          <cell r="A115" t="str">
            <v>莫嘉鑫</v>
          </cell>
          <cell r="B115" t="str">
            <v>01871</v>
          </cell>
          <cell r="C115" t="str">
            <v>四川时代蜂族营销策划有限公司</v>
          </cell>
          <cell r="D115">
            <v>46013</v>
          </cell>
          <cell r="E115" t="str">
            <v>西南总部</v>
          </cell>
          <cell r="F115" t="str">
            <v>西南营销中心</v>
          </cell>
          <cell r="G115" t="str">
            <v>营业六部</v>
          </cell>
          <cell r="H115" t="str">
            <v>毛富林</v>
          </cell>
          <cell r="I115" t="str">
            <v>实习销售</v>
          </cell>
          <cell r="J115" t="str">
            <v>女</v>
          </cell>
          <cell r="K115" t="str">
            <v>试用</v>
          </cell>
          <cell r="L115" t="str">
            <v>内部员工</v>
          </cell>
          <cell r="M115" t="str">
            <v>毛富林</v>
          </cell>
        </row>
        <row r="116">
          <cell r="A116" t="str">
            <v>邓联红</v>
          </cell>
          <cell r="B116" t="str">
            <v>01873</v>
          </cell>
          <cell r="C116" t="str">
            <v>湖南时代蜂族营销策划有限公司</v>
          </cell>
          <cell r="D116">
            <v>46013</v>
          </cell>
          <cell r="E116" t="str">
            <v>湖南</v>
          </cell>
          <cell r="F116" t="str">
            <v>湖南营销中心</v>
          </cell>
          <cell r="G116" t="str">
            <v>湖南销售部</v>
          </cell>
          <cell r="H116" t="str">
            <v>杨超群</v>
          </cell>
          <cell r="I116" t="str">
            <v>实习销售</v>
          </cell>
          <cell r="J116" t="str">
            <v>男</v>
          </cell>
          <cell r="K116" t="str">
            <v>试用</v>
          </cell>
          <cell r="L116" t="str">
            <v>内部员工</v>
          </cell>
          <cell r="M116" t="str">
            <v>杨超群</v>
          </cell>
        </row>
        <row r="117">
          <cell r="A117" t="str">
            <v>杨璐通</v>
          </cell>
          <cell r="B117" t="str">
            <v>01870</v>
          </cell>
          <cell r="C117" t="str">
            <v>河南蜜蜂族营销策划有限公司</v>
          </cell>
          <cell r="D117">
            <v>46011</v>
          </cell>
          <cell r="E117" t="str">
            <v>河南</v>
          </cell>
          <cell r="F117" t="str">
            <v>河南营销中心</v>
          </cell>
          <cell r="G117" t="str">
            <v>河南销售部</v>
          </cell>
          <cell r="H117" t="str">
            <v>余金梅</v>
          </cell>
          <cell r="I117" t="str">
            <v>实习销售</v>
          </cell>
          <cell r="J117" t="str">
            <v>男</v>
          </cell>
          <cell r="K117" t="str">
            <v>试用</v>
          </cell>
          <cell r="L117" t="str">
            <v>内部员工</v>
          </cell>
          <cell r="M117" t="str">
            <v>余金梅</v>
          </cell>
        </row>
        <row r="118">
          <cell r="A118" t="str">
            <v>刘超2</v>
          </cell>
          <cell r="B118" t="str">
            <v>01869</v>
          </cell>
          <cell r="C118" t="str">
            <v>湖北蜜蜂族房地产经纪有限公司</v>
          </cell>
          <cell r="D118">
            <v>46011</v>
          </cell>
          <cell r="E118" t="str">
            <v>湖北</v>
          </cell>
          <cell r="F118" t="str">
            <v>湖北营销中心</v>
          </cell>
          <cell r="G118" t="str">
            <v>湖北1部</v>
          </cell>
          <cell r="H118" t="str">
            <v>林浩</v>
          </cell>
          <cell r="I118" t="str">
            <v>实习销售</v>
          </cell>
          <cell r="J118" t="str">
            <v>男</v>
          </cell>
          <cell r="K118" t="str">
            <v>试用</v>
          </cell>
          <cell r="L118" t="str">
            <v>内部员工</v>
          </cell>
          <cell r="M118" t="str">
            <v>林浩</v>
          </cell>
        </row>
        <row r="119">
          <cell r="A119" t="str">
            <v>何娟</v>
          </cell>
          <cell r="B119" t="str">
            <v>01051</v>
          </cell>
          <cell r="C119" t="str">
            <v>河南蜜蜂族营销策划有限公司</v>
          </cell>
          <cell r="D119">
            <v>46010</v>
          </cell>
          <cell r="E119" t="str">
            <v>河南</v>
          </cell>
          <cell r="F119" t="str">
            <v>河南营销中心</v>
          </cell>
        </row>
        <row r="119">
          <cell r="I119" t="str">
            <v>实习销售</v>
          </cell>
          <cell r="J119" t="str">
            <v>女</v>
          </cell>
          <cell r="K119" t="str">
            <v>试用</v>
          </cell>
          <cell r="L119" t="str">
            <v>内部员工</v>
          </cell>
          <cell r="M119" t="str">
            <v>毛孝树</v>
          </cell>
        </row>
        <row r="120">
          <cell r="A120" t="str">
            <v>米雪琴</v>
          </cell>
          <cell r="B120" t="str">
            <v>01866</v>
          </cell>
          <cell r="C120" t="str">
            <v>四川时代蜂族营销策划有限公司</v>
          </cell>
          <cell r="D120">
            <v>46010</v>
          </cell>
          <cell r="E120" t="str">
            <v>西南总部</v>
          </cell>
          <cell r="F120" t="str">
            <v>西南营销中心</v>
          </cell>
          <cell r="G120" t="str">
            <v>营业五部</v>
          </cell>
          <cell r="H120" t="str">
            <v>杨科</v>
          </cell>
          <cell r="I120" t="str">
            <v>实习销售</v>
          </cell>
          <cell r="J120" t="str">
            <v>女</v>
          </cell>
          <cell r="K120" t="str">
            <v>试用</v>
          </cell>
          <cell r="L120" t="str">
            <v>内部员工</v>
          </cell>
          <cell r="M120" t="str">
            <v>杨科</v>
          </cell>
        </row>
        <row r="121">
          <cell r="A121" t="str">
            <v>孙莺之</v>
          </cell>
          <cell r="B121" t="str">
            <v>01860</v>
          </cell>
          <cell r="C121" t="str">
            <v>四川优诺通瑞商贸有限公司</v>
          </cell>
          <cell r="D121">
            <v>46010</v>
          </cell>
          <cell r="E121" t="str">
            <v>集团职能</v>
          </cell>
          <cell r="F121" t="str">
            <v>职能总部</v>
          </cell>
          <cell r="G121" t="str">
            <v>财务部</v>
          </cell>
        </row>
        <row r="121">
          <cell r="I121" t="str">
            <v>会计</v>
          </cell>
          <cell r="J121" t="str">
            <v>女</v>
          </cell>
          <cell r="K121" t="str">
            <v>试用</v>
          </cell>
          <cell r="L121" t="str">
            <v>内部员工</v>
          </cell>
          <cell r="M121" t="str">
            <v>陈萍</v>
          </cell>
        </row>
        <row r="122">
          <cell r="A122" t="str">
            <v>李宇洁</v>
          </cell>
          <cell r="B122" t="str">
            <v>01856</v>
          </cell>
          <cell r="C122" t="str">
            <v>山西时代蜂族房地产经纪有限公司</v>
          </cell>
          <cell r="D122">
            <v>46009</v>
          </cell>
          <cell r="E122" t="str">
            <v>山西</v>
          </cell>
          <cell r="F122" t="str">
            <v>山西办公室</v>
          </cell>
        </row>
        <row r="122">
          <cell r="I122" t="str">
            <v>办公室主任</v>
          </cell>
          <cell r="J122" t="str">
            <v>女</v>
          </cell>
          <cell r="K122" t="str">
            <v>试用</v>
          </cell>
          <cell r="L122" t="str">
            <v>内部员工</v>
          </cell>
          <cell r="M122" t="str">
            <v>吴川江</v>
          </cell>
        </row>
        <row r="123">
          <cell r="A123" t="str">
            <v>杨茜影</v>
          </cell>
          <cell r="B123" t="str">
            <v>01867</v>
          </cell>
          <cell r="C123" t="str">
            <v>四川优诺通瑞商贸有限公司</v>
          </cell>
          <cell r="D123">
            <v>46009</v>
          </cell>
          <cell r="E123" t="str">
            <v>集团职能</v>
          </cell>
          <cell r="F123" t="str">
            <v>职能总部</v>
          </cell>
          <cell r="G123" t="str">
            <v>人资行政部</v>
          </cell>
          <cell r="H123" t="str">
            <v>招聘部</v>
          </cell>
          <cell r="I123" t="str">
            <v>招聘专员</v>
          </cell>
          <cell r="J123" t="str">
            <v>女</v>
          </cell>
          <cell r="K123" t="str">
            <v>试用</v>
          </cell>
          <cell r="L123" t="str">
            <v>内部员工</v>
          </cell>
          <cell r="M123" t="str">
            <v>杨先达</v>
          </cell>
        </row>
        <row r="124">
          <cell r="A124" t="str">
            <v>沙元晗</v>
          </cell>
          <cell r="B124" t="str">
            <v>01855</v>
          </cell>
          <cell r="C124" t="str">
            <v>山东时代蜂族营销策划有限公司</v>
          </cell>
          <cell r="D124">
            <v>46009</v>
          </cell>
          <cell r="E124" t="str">
            <v>山东</v>
          </cell>
          <cell r="F124" t="str">
            <v>山东办公室</v>
          </cell>
        </row>
        <row r="124">
          <cell r="I124" t="str">
            <v>办公室主任</v>
          </cell>
          <cell r="J124" t="str">
            <v>女</v>
          </cell>
          <cell r="K124" t="str">
            <v>试用</v>
          </cell>
          <cell r="L124" t="str">
            <v>内部员工</v>
          </cell>
          <cell r="M124" t="str">
            <v>李丹</v>
          </cell>
        </row>
        <row r="125">
          <cell r="A125" t="str">
            <v>屈文涛</v>
          </cell>
          <cell r="B125" t="str">
            <v>01864</v>
          </cell>
          <cell r="C125" t="str">
            <v>四川时代蜂族营销策划有限公司</v>
          </cell>
          <cell r="D125">
            <v>46008</v>
          </cell>
          <cell r="E125" t="str">
            <v>西南总部</v>
          </cell>
          <cell r="F125" t="str">
            <v>西南营销中心</v>
          </cell>
          <cell r="G125" t="str">
            <v>营业六部</v>
          </cell>
          <cell r="H125" t="str">
            <v>郑雄</v>
          </cell>
          <cell r="I125" t="str">
            <v>实习销售</v>
          </cell>
          <cell r="J125" t="str">
            <v>男</v>
          </cell>
          <cell r="K125" t="str">
            <v>试用</v>
          </cell>
          <cell r="L125" t="str">
            <v>内部员工</v>
          </cell>
          <cell r="M125" t="str">
            <v>郑雄</v>
          </cell>
        </row>
        <row r="126">
          <cell r="A126" t="str">
            <v>李杰4</v>
          </cell>
          <cell r="B126" t="str">
            <v>01863</v>
          </cell>
          <cell r="C126" t="str">
            <v>四川时代蜂族营销策划有限公司</v>
          </cell>
          <cell r="D126">
            <v>46008</v>
          </cell>
          <cell r="E126" t="str">
            <v>西南总部</v>
          </cell>
          <cell r="F126" t="str">
            <v>西南营销中心</v>
          </cell>
          <cell r="G126" t="str">
            <v>营业一部</v>
          </cell>
          <cell r="H126" t="str">
            <v>张圣梁</v>
          </cell>
          <cell r="I126" t="str">
            <v>实习销售</v>
          </cell>
          <cell r="J126" t="str">
            <v>男</v>
          </cell>
          <cell r="K126" t="str">
            <v>试用</v>
          </cell>
          <cell r="L126" t="str">
            <v>内部员工</v>
          </cell>
          <cell r="M126" t="str">
            <v>张圣梁</v>
          </cell>
        </row>
        <row r="127">
          <cell r="A127" t="str">
            <v>蒋亚丽</v>
          </cell>
          <cell r="B127" t="str">
            <v>01862</v>
          </cell>
          <cell r="C127" t="str">
            <v>陕西时代蜂族营销策划有限公司</v>
          </cell>
          <cell r="D127">
            <v>46006</v>
          </cell>
          <cell r="E127" t="str">
            <v>陕西</v>
          </cell>
          <cell r="F127" t="str">
            <v>陕西营销中心</v>
          </cell>
          <cell r="G127" t="str">
            <v>陕西2部</v>
          </cell>
          <cell r="H127" t="str">
            <v>李耀</v>
          </cell>
          <cell r="I127" t="str">
            <v>实习销售</v>
          </cell>
          <cell r="J127" t="str">
            <v>女</v>
          </cell>
          <cell r="K127" t="str">
            <v>试用</v>
          </cell>
          <cell r="L127" t="str">
            <v>内部员工</v>
          </cell>
          <cell r="M127" t="str">
            <v>李耀</v>
          </cell>
        </row>
        <row r="128">
          <cell r="A128" t="str">
            <v>龚梦勤</v>
          </cell>
          <cell r="B128" t="str">
            <v>01858</v>
          </cell>
          <cell r="C128" t="str">
            <v>四川时代蜂族营销策划有限公司</v>
          </cell>
          <cell r="D128">
            <v>46006</v>
          </cell>
          <cell r="E128" t="str">
            <v>西南总部</v>
          </cell>
          <cell r="F128" t="str">
            <v>西南营销中心</v>
          </cell>
          <cell r="G128" t="str">
            <v>营业五部</v>
          </cell>
          <cell r="H128" t="str">
            <v>周远芮</v>
          </cell>
          <cell r="I128" t="str">
            <v>实习销售</v>
          </cell>
          <cell r="J128" t="str">
            <v>女</v>
          </cell>
          <cell r="K128" t="str">
            <v>试用</v>
          </cell>
          <cell r="L128" t="str">
            <v>内部员工</v>
          </cell>
          <cell r="M128" t="str">
            <v>周远芮</v>
          </cell>
        </row>
        <row r="129">
          <cell r="A129" t="str">
            <v>但佳佳</v>
          </cell>
          <cell r="B129" t="str">
            <v>01859</v>
          </cell>
          <cell r="C129" t="str">
            <v>四川时代蜂族营销策划有限公司</v>
          </cell>
          <cell r="D129">
            <v>46006</v>
          </cell>
          <cell r="E129" t="str">
            <v>西南总部</v>
          </cell>
          <cell r="F129" t="str">
            <v>西南营销中心</v>
          </cell>
          <cell r="G129" t="str">
            <v>营业三部</v>
          </cell>
          <cell r="H129" t="str">
            <v>李海艳</v>
          </cell>
          <cell r="I129" t="str">
            <v>实习销售</v>
          </cell>
          <cell r="J129" t="str">
            <v>女</v>
          </cell>
          <cell r="K129" t="str">
            <v>试用</v>
          </cell>
          <cell r="L129" t="str">
            <v>内部员工</v>
          </cell>
          <cell r="M129" t="str">
            <v>李海艳</v>
          </cell>
        </row>
        <row r="130">
          <cell r="A130" t="str">
            <v>潘柯</v>
          </cell>
          <cell r="B130" t="str">
            <v>01854</v>
          </cell>
          <cell r="C130" t="str">
            <v>四川时代蜂族营销策划有限公司</v>
          </cell>
          <cell r="D130">
            <v>46005</v>
          </cell>
          <cell r="E130" t="str">
            <v>西南总部</v>
          </cell>
          <cell r="F130" t="str">
            <v>西南营销中心</v>
          </cell>
          <cell r="G130" t="str">
            <v>营业六部</v>
          </cell>
          <cell r="H130" t="str">
            <v>杨翠茹</v>
          </cell>
          <cell r="I130" t="str">
            <v>实习销售</v>
          </cell>
          <cell r="J130" t="str">
            <v>男</v>
          </cell>
          <cell r="K130" t="str">
            <v>试用</v>
          </cell>
          <cell r="L130" t="str">
            <v>内部员工</v>
          </cell>
          <cell r="M130" t="str">
            <v>杨翠茹</v>
          </cell>
        </row>
        <row r="131">
          <cell r="A131" t="str">
            <v>吕亚美</v>
          </cell>
          <cell r="B131" t="str">
            <v>01861</v>
          </cell>
          <cell r="C131" t="str">
            <v>河南蜜蜂族营销策划有限公司</v>
          </cell>
          <cell r="D131">
            <v>46004</v>
          </cell>
          <cell r="E131" t="str">
            <v>河南</v>
          </cell>
          <cell r="F131" t="str">
            <v>河南营销中心</v>
          </cell>
          <cell r="G131" t="str">
            <v>河南销售部</v>
          </cell>
          <cell r="H131" t="str">
            <v>余金梅</v>
          </cell>
          <cell r="I131" t="str">
            <v>实习销售</v>
          </cell>
          <cell r="J131" t="str">
            <v>女</v>
          </cell>
          <cell r="K131" t="str">
            <v>试用</v>
          </cell>
          <cell r="L131" t="str">
            <v>内部员工</v>
          </cell>
          <cell r="M131" t="str">
            <v>余金梅</v>
          </cell>
        </row>
        <row r="132">
          <cell r="A132" t="str">
            <v>曹誉磊</v>
          </cell>
          <cell r="B132" t="str">
            <v>01852</v>
          </cell>
          <cell r="C132" t="str">
            <v>四川时代蜂族营销策划有限公司</v>
          </cell>
          <cell r="D132">
            <v>46003</v>
          </cell>
          <cell r="E132" t="str">
            <v>西南总部</v>
          </cell>
          <cell r="F132" t="str">
            <v>西南营销中心</v>
          </cell>
          <cell r="G132" t="str">
            <v>营业七部</v>
          </cell>
          <cell r="H132" t="str">
            <v>申慧</v>
          </cell>
          <cell r="I132" t="str">
            <v>实习销售</v>
          </cell>
          <cell r="J132" t="str">
            <v>男</v>
          </cell>
          <cell r="K132" t="str">
            <v>试用</v>
          </cell>
          <cell r="L132" t="str">
            <v>内部员工</v>
          </cell>
          <cell r="M132" t="str">
            <v>申慧</v>
          </cell>
        </row>
        <row r="133">
          <cell r="A133" t="str">
            <v>王琪</v>
          </cell>
          <cell r="B133" t="str">
            <v>01850</v>
          </cell>
          <cell r="C133" t="str">
            <v>河北时代蜂族营销策划有限公司</v>
          </cell>
          <cell r="D133">
            <v>46003</v>
          </cell>
          <cell r="E133" t="str">
            <v>河北</v>
          </cell>
          <cell r="F133" t="str">
            <v>河北营销中心</v>
          </cell>
          <cell r="G133" t="str">
            <v>河北销售部</v>
          </cell>
          <cell r="H133" t="str">
            <v>李港一</v>
          </cell>
          <cell r="I133" t="str">
            <v>一星销售顾问</v>
          </cell>
          <cell r="J133" t="str">
            <v>女</v>
          </cell>
          <cell r="K133" t="str">
            <v>正式</v>
          </cell>
          <cell r="L133" t="str">
            <v>内部员工</v>
          </cell>
          <cell r="M133" t="str">
            <v>李港一</v>
          </cell>
        </row>
        <row r="134">
          <cell r="A134" t="str">
            <v>耿腾飞</v>
          </cell>
          <cell r="B134" t="str">
            <v>01849</v>
          </cell>
          <cell r="C134" t="str">
            <v>山东时代蜂族营销策划有限公司</v>
          </cell>
          <cell r="D134">
            <v>46003</v>
          </cell>
          <cell r="E134" t="str">
            <v>山东</v>
          </cell>
          <cell r="F134" t="str">
            <v>山东营销中心</v>
          </cell>
          <cell r="G134" t="str">
            <v>山东销售部</v>
          </cell>
          <cell r="H134" t="str">
            <v>肖佳</v>
          </cell>
          <cell r="I134" t="str">
            <v>一星销售顾问</v>
          </cell>
          <cell r="J134" t="str">
            <v>男</v>
          </cell>
          <cell r="K134" t="str">
            <v>正式</v>
          </cell>
          <cell r="L134" t="str">
            <v>内部员工</v>
          </cell>
          <cell r="M134" t="str">
            <v>肖佳</v>
          </cell>
        </row>
        <row r="135">
          <cell r="A135" t="str">
            <v>杨晓</v>
          </cell>
          <cell r="B135" t="str">
            <v>01846</v>
          </cell>
          <cell r="C135" t="str">
            <v>陕西时代蜂族营销策划有限公司</v>
          </cell>
          <cell r="D135">
            <v>46002</v>
          </cell>
          <cell r="E135" t="str">
            <v>陕西</v>
          </cell>
          <cell r="F135" t="str">
            <v>陕西营销中心</v>
          </cell>
          <cell r="G135" t="str">
            <v>陕西2部</v>
          </cell>
          <cell r="H135" t="str">
            <v>蒙建</v>
          </cell>
          <cell r="I135" t="str">
            <v>实习销售</v>
          </cell>
          <cell r="J135" t="str">
            <v>女</v>
          </cell>
          <cell r="K135" t="str">
            <v>试用</v>
          </cell>
          <cell r="L135" t="str">
            <v>内部员工</v>
          </cell>
          <cell r="M135" t="str">
            <v>蒙建</v>
          </cell>
        </row>
        <row r="136">
          <cell r="A136" t="str">
            <v>陈思竹</v>
          </cell>
          <cell r="B136" t="str">
            <v>01848</v>
          </cell>
          <cell r="C136" t="str">
            <v>四川时代蜂族营销策划有限公司</v>
          </cell>
          <cell r="D136">
            <v>46002</v>
          </cell>
          <cell r="E136" t="str">
            <v>西南总部</v>
          </cell>
          <cell r="F136" t="str">
            <v>西南营销中心</v>
          </cell>
          <cell r="G136" t="str">
            <v>营业三部</v>
          </cell>
          <cell r="H136" t="str">
            <v>张萍</v>
          </cell>
          <cell r="I136" t="str">
            <v>实习销售</v>
          </cell>
          <cell r="J136" t="str">
            <v>女</v>
          </cell>
          <cell r="K136" t="str">
            <v>试用</v>
          </cell>
          <cell r="L136" t="str">
            <v>内部员工</v>
          </cell>
          <cell r="M136" t="str">
            <v>张萍</v>
          </cell>
        </row>
        <row r="137">
          <cell r="A137" t="str">
            <v>吴俊芳</v>
          </cell>
          <cell r="B137" t="str">
            <v>01851</v>
          </cell>
          <cell r="C137" t="str">
            <v>湖北蜜蜂族房地产经纪有限公司</v>
          </cell>
          <cell r="D137">
            <v>46002</v>
          </cell>
          <cell r="E137" t="str">
            <v>湖北</v>
          </cell>
          <cell r="F137" t="str">
            <v>湖北营销中心</v>
          </cell>
          <cell r="G137" t="str">
            <v>湖北2部</v>
          </cell>
          <cell r="H137" t="str">
            <v>陈俊儒</v>
          </cell>
          <cell r="I137" t="str">
            <v>实习销售</v>
          </cell>
          <cell r="J137" t="str">
            <v>女</v>
          </cell>
          <cell r="K137" t="str">
            <v>试用</v>
          </cell>
          <cell r="L137" t="str">
            <v>内部员工</v>
          </cell>
          <cell r="M137" t="str">
            <v>陈俊儒</v>
          </cell>
        </row>
        <row r="138">
          <cell r="A138" t="str">
            <v>范仕宽</v>
          </cell>
          <cell r="B138" t="str">
            <v>01853</v>
          </cell>
          <cell r="C138" t="str">
            <v>四川时代蜂族营销策划有限公司</v>
          </cell>
          <cell r="D138">
            <v>46001</v>
          </cell>
          <cell r="E138" t="str">
            <v>西南总部</v>
          </cell>
          <cell r="F138" t="str">
            <v>西南营销中心</v>
          </cell>
          <cell r="G138" t="str">
            <v>营业二部</v>
          </cell>
          <cell r="H138" t="str">
            <v>李先洪</v>
          </cell>
          <cell r="I138" t="str">
            <v>实习销售</v>
          </cell>
          <cell r="J138" t="str">
            <v>男</v>
          </cell>
          <cell r="K138" t="str">
            <v>试用</v>
          </cell>
          <cell r="L138" t="str">
            <v>内部员工</v>
          </cell>
          <cell r="M138" t="str">
            <v>李先洪</v>
          </cell>
        </row>
        <row r="139">
          <cell r="A139" t="str">
            <v>杨诗语</v>
          </cell>
          <cell r="B139" t="str">
            <v>01844</v>
          </cell>
          <cell r="C139" t="str">
            <v>陕西蜂族科技有限公司</v>
          </cell>
          <cell r="D139">
            <v>45999</v>
          </cell>
          <cell r="E139" t="str">
            <v>陕西</v>
          </cell>
          <cell r="F139" t="str">
            <v>陕西营销中心</v>
          </cell>
          <cell r="G139" t="str">
            <v>陕西1部</v>
          </cell>
          <cell r="H139" t="str">
            <v>张英</v>
          </cell>
          <cell r="I139" t="str">
            <v>实习销售</v>
          </cell>
          <cell r="J139" t="str">
            <v>女</v>
          </cell>
          <cell r="K139" t="str">
            <v>试用</v>
          </cell>
          <cell r="L139" t="str">
            <v>内部员工</v>
          </cell>
          <cell r="M139" t="str">
            <v>张英</v>
          </cell>
        </row>
        <row r="140">
          <cell r="A140" t="str">
            <v>张钰忠</v>
          </cell>
          <cell r="B140" t="str">
            <v>01832</v>
          </cell>
          <cell r="C140" t="str">
            <v>四川时代蜂族营销策划有限公司</v>
          </cell>
          <cell r="D140">
            <v>45998</v>
          </cell>
          <cell r="E140" t="str">
            <v>西南总部</v>
          </cell>
          <cell r="F140" t="str">
            <v>西南营销中心</v>
          </cell>
          <cell r="G140" t="str">
            <v>营业三部</v>
          </cell>
          <cell r="H140" t="str">
            <v>陶再阳</v>
          </cell>
          <cell r="I140" t="str">
            <v>实习销售</v>
          </cell>
          <cell r="J140" t="str">
            <v>男</v>
          </cell>
          <cell r="K140" t="str">
            <v>正式</v>
          </cell>
          <cell r="L140" t="str">
            <v>实习生</v>
          </cell>
          <cell r="M140" t="str">
            <v>陶再阳</v>
          </cell>
        </row>
        <row r="141">
          <cell r="A141" t="str">
            <v>钟亚坤</v>
          </cell>
          <cell r="B141" t="str">
            <v>01843</v>
          </cell>
          <cell r="C141" t="str">
            <v>陕西时代蜂族营销策划有限公司</v>
          </cell>
          <cell r="D141">
            <v>45998</v>
          </cell>
          <cell r="E141" t="str">
            <v>陕西</v>
          </cell>
          <cell r="F141" t="str">
            <v>陕西营销中心</v>
          </cell>
          <cell r="G141" t="str">
            <v>陕西2部</v>
          </cell>
          <cell r="H141" t="str">
            <v>朱全兰</v>
          </cell>
          <cell r="I141" t="str">
            <v>实习销售</v>
          </cell>
          <cell r="J141" t="str">
            <v>男</v>
          </cell>
          <cell r="K141" t="str">
            <v>试用</v>
          </cell>
          <cell r="L141" t="str">
            <v>内部员工</v>
          </cell>
          <cell r="M141" t="str">
            <v>朱全兰</v>
          </cell>
        </row>
        <row r="142">
          <cell r="A142" t="str">
            <v>林乔乔</v>
          </cell>
          <cell r="B142" t="str">
            <v>01841</v>
          </cell>
          <cell r="C142" t="str">
            <v>四川时代蜂族营销策划有限公司</v>
          </cell>
          <cell r="D142">
            <v>45998</v>
          </cell>
          <cell r="E142" t="str">
            <v>西南总部</v>
          </cell>
          <cell r="F142" t="str">
            <v>西南营销中心</v>
          </cell>
          <cell r="G142" t="str">
            <v>营业一部</v>
          </cell>
          <cell r="H142" t="str">
            <v>雷小金</v>
          </cell>
          <cell r="I142" t="str">
            <v>实习销售</v>
          </cell>
          <cell r="J142" t="str">
            <v>女</v>
          </cell>
          <cell r="K142" t="str">
            <v>试用</v>
          </cell>
          <cell r="L142" t="str">
            <v>内部员工</v>
          </cell>
          <cell r="M142" t="str">
            <v>雷小金</v>
          </cell>
        </row>
        <row r="143">
          <cell r="A143" t="str">
            <v>向旭</v>
          </cell>
          <cell r="B143" t="str">
            <v>01825</v>
          </cell>
          <cell r="C143" t="str">
            <v>四川时代蜂族营销策划有限公司</v>
          </cell>
          <cell r="D143">
            <v>45998</v>
          </cell>
          <cell r="E143" t="str">
            <v>西南总部</v>
          </cell>
          <cell r="F143" t="str">
            <v>西南营销中心</v>
          </cell>
          <cell r="G143" t="str">
            <v>营业三部</v>
          </cell>
          <cell r="H143" t="str">
            <v>张萍</v>
          </cell>
          <cell r="I143" t="str">
            <v>实习销售</v>
          </cell>
          <cell r="J143" t="str">
            <v>男</v>
          </cell>
          <cell r="K143" t="str">
            <v>正式</v>
          </cell>
          <cell r="L143" t="str">
            <v>实习生</v>
          </cell>
          <cell r="M143" t="str">
            <v>张萍</v>
          </cell>
        </row>
        <row r="144">
          <cell r="A144" t="str">
            <v>牟鸿立</v>
          </cell>
          <cell r="B144" t="str">
            <v>01830</v>
          </cell>
          <cell r="C144" t="str">
            <v>四川时代蜂族营销策划有限公司</v>
          </cell>
          <cell r="D144">
            <v>45998</v>
          </cell>
          <cell r="E144" t="str">
            <v>西南总部</v>
          </cell>
          <cell r="F144" t="str">
            <v>西南营销中心</v>
          </cell>
          <cell r="G144" t="str">
            <v>营业七部</v>
          </cell>
          <cell r="H144" t="str">
            <v>刘鹏</v>
          </cell>
          <cell r="I144" t="str">
            <v>实习销售</v>
          </cell>
          <cell r="J144" t="str">
            <v>男</v>
          </cell>
          <cell r="K144" t="str">
            <v>正式</v>
          </cell>
          <cell r="L144" t="str">
            <v>实习生</v>
          </cell>
          <cell r="M144" t="str">
            <v>刘鹏</v>
          </cell>
        </row>
        <row r="145">
          <cell r="A145" t="str">
            <v>叶秀慧</v>
          </cell>
          <cell r="B145" t="str">
            <v>01837</v>
          </cell>
          <cell r="C145" t="str">
            <v>四川时代蜂族营销策划有限公司</v>
          </cell>
          <cell r="D145">
            <v>45998</v>
          </cell>
          <cell r="E145" t="str">
            <v>西南总部</v>
          </cell>
          <cell r="F145" t="str">
            <v>西南营销中心</v>
          </cell>
          <cell r="G145" t="str">
            <v>营业六部</v>
          </cell>
          <cell r="H145" t="str">
            <v>税锐</v>
          </cell>
          <cell r="I145" t="str">
            <v>实习销售</v>
          </cell>
          <cell r="J145" t="str">
            <v>女</v>
          </cell>
          <cell r="K145" t="str">
            <v>正式</v>
          </cell>
          <cell r="L145" t="str">
            <v>实习生</v>
          </cell>
          <cell r="M145" t="str">
            <v>税锐</v>
          </cell>
        </row>
        <row r="146">
          <cell r="A146" t="str">
            <v>陈俊文</v>
          </cell>
          <cell r="B146" t="str">
            <v>01836</v>
          </cell>
          <cell r="C146" t="str">
            <v>四川时代蜂族营销策划有限公司</v>
          </cell>
          <cell r="D146">
            <v>45998</v>
          </cell>
          <cell r="E146" t="str">
            <v>西南总部</v>
          </cell>
          <cell r="F146" t="str">
            <v>西南营销中心</v>
          </cell>
          <cell r="G146" t="str">
            <v>营业二部</v>
          </cell>
          <cell r="H146" t="str">
            <v>王彬力</v>
          </cell>
          <cell r="I146" t="str">
            <v>实习销售</v>
          </cell>
          <cell r="J146" t="str">
            <v>女</v>
          </cell>
          <cell r="K146" t="str">
            <v>正式</v>
          </cell>
          <cell r="L146" t="str">
            <v>实习生</v>
          </cell>
          <cell r="M146" t="str">
            <v>王彬力</v>
          </cell>
        </row>
        <row r="147">
          <cell r="A147" t="str">
            <v>胡月2</v>
          </cell>
          <cell r="B147" t="str">
            <v>01840</v>
          </cell>
          <cell r="C147" t="str">
            <v>山西时代蜂族房地产经纪有限公司</v>
          </cell>
          <cell r="D147">
            <v>45995</v>
          </cell>
          <cell r="E147" t="str">
            <v>山西</v>
          </cell>
          <cell r="F147" t="str">
            <v>山西营销中心</v>
          </cell>
          <cell r="G147" t="str">
            <v>山西销售部</v>
          </cell>
          <cell r="H147" t="str">
            <v>郭永曼</v>
          </cell>
          <cell r="I147" t="str">
            <v>实习销售</v>
          </cell>
          <cell r="J147" t="str">
            <v>女</v>
          </cell>
          <cell r="K147" t="str">
            <v>试用</v>
          </cell>
          <cell r="L147" t="str">
            <v>内部员工</v>
          </cell>
          <cell r="M147" t="str">
            <v>郭永曼</v>
          </cell>
        </row>
        <row r="148">
          <cell r="A148" t="str">
            <v>林兴江</v>
          </cell>
          <cell r="B148" t="str">
            <v>01835</v>
          </cell>
          <cell r="C148" t="str">
            <v>四川时代蜂族营销策划有限公司</v>
          </cell>
          <cell r="D148">
            <v>45994</v>
          </cell>
          <cell r="E148" t="str">
            <v>西南总部</v>
          </cell>
          <cell r="F148" t="str">
            <v>西南营销中心</v>
          </cell>
          <cell r="G148" t="str">
            <v>营业六部</v>
          </cell>
          <cell r="H148" t="str">
            <v>袁华</v>
          </cell>
          <cell r="I148" t="str">
            <v>实习销售</v>
          </cell>
          <cell r="J148" t="str">
            <v>男</v>
          </cell>
          <cell r="K148" t="str">
            <v>试用</v>
          </cell>
          <cell r="L148" t="str">
            <v>内部员工</v>
          </cell>
          <cell r="M148" t="str">
            <v>袁华</v>
          </cell>
        </row>
        <row r="149">
          <cell r="A149" t="str">
            <v>章小康</v>
          </cell>
          <cell r="B149" t="str">
            <v>01838</v>
          </cell>
          <cell r="C149" t="str">
            <v>湖北蜜蜂族房地产经纪有限公司</v>
          </cell>
          <cell r="D149">
            <v>45994</v>
          </cell>
          <cell r="E149" t="str">
            <v>湖北</v>
          </cell>
          <cell r="F149" t="str">
            <v>湖北营销中心</v>
          </cell>
          <cell r="G149" t="str">
            <v>湖北2部</v>
          </cell>
          <cell r="H149" t="str">
            <v>马超</v>
          </cell>
          <cell r="I149" t="str">
            <v>实习销售</v>
          </cell>
          <cell r="J149" t="str">
            <v>男</v>
          </cell>
          <cell r="K149" t="str">
            <v>试用</v>
          </cell>
          <cell r="L149" t="str">
            <v>内部员工</v>
          </cell>
          <cell r="M149" t="str">
            <v>马超</v>
          </cell>
        </row>
        <row r="150">
          <cell r="A150" t="str">
            <v>李强3</v>
          </cell>
          <cell r="B150" t="str">
            <v>01833</v>
          </cell>
          <cell r="C150" t="str">
            <v>湖南时代蜂族营销策划有限公司</v>
          </cell>
          <cell r="D150">
            <v>45993</v>
          </cell>
          <cell r="E150" t="str">
            <v>湖南</v>
          </cell>
          <cell r="F150" t="str">
            <v>湖南营销中心</v>
          </cell>
          <cell r="G150" t="str">
            <v>湖南销售部</v>
          </cell>
          <cell r="H150" t="str">
            <v>刘元发</v>
          </cell>
          <cell r="I150" t="str">
            <v>实习销售</v>
          </cell>
          <cell r="J150" t="str">
            <v>男</v>
          </cell>
          <cell r="K150" t="str">
            <v>试用</v>
          </cell>
          <cell r="L150" t="str">
            <v>内部员工</v>
          </cell>
          <cell r="M150" t="str">
            <v>刘元发</v>
          </cell>
        </row>
        <row r="151">
          <cell r="A151" t="str">
            <v>李青松</v>
          </cell>
          <cell r="B151" t="str">
            <v>01821</v>
          </cell>
          <cell r="C151" t="str">
            <v>四川时代蜂族营销策划有限公司</v>
          </cell>
          <cell r="D151">
            <v>45992</v>
          </cell>
          <cell r="E151" t="str">
            <v>西南总部</v>
          </cell>
          <cell r="F151" t="str">
            <v>西南营销中心</v>
          </cell>
          <cell r="G151" t="str">
            <v>营业一部</v>
          </cell>
          <cell r="H151" t="str">
            <v>白世根</v>
          </cell>
          <cell r="I151" t="str">
            <v>一星销售顾问</v>
          </cell>
          <cell r="J151" t="str">
            <v>男</v>
          </cell>
          <cell r="K151" t="str">
            <v>正式</v>
          </cell>
          <cell r="L151" t="str">
            <v>内部员工</v>
          </cell>
          <cell r="M151" t="str">
            <v>白世根</v>
          </cell>
        </row>
        <row r="152">
          <cell r="A152" t="str">
            <v>郭希鹏</v>
          </cell>
          <cell r="B152" t="str">
            <v>01819</v>
          </cell>
          <cell r="C152" t="str">
            <v>陕西蜂族科技有限公司</v>
          </cell>
          <cell r="D152">
            <v>45992</v>
          </cell>
          <cell r="E152" t="str">
            <v>陕西</v>
          </cell>
          <cell r="F152" t="str">
            <v>陕西营销中心</v>
          </cell>
          <cell r="G152" t="str">
            <v>陕西1部</v>
          </cell>
          <cell r="H152" t="str">
            <v>马少波</v>
          </cell>
          <cell r="I152" t="str">
            <v>实习销售</v>
          </cell>
          <cell r="J152" t="str">
            <v>男</v>
          </cell>
          <cell r="K152" t="str">
            <v>试用</v>
          </cell>
          <cell r="L152" t="str">
            <v>内部员工</v>
          </cell>
          <cell r="M152" t="str">
            <v>马少波</v>
          </cell>
        </row>
        <row r="153">
          <cell r="A153" t="str">
            <v>费玲玲</v>
          </cell>
          <cell r="B153" t="str">
            <v>01820</v>
          </cell>
          <cell r="C153" t="str">
            <v>湖南时代蜂族营销策划有限公司</v>
          </cell>
          <cell r="D153">
            <v>45992</v>
          </cell>
          <cell r="E153" t="str">
            <v>湖南</v>
          </cell>
          <cell r="F153" t="str">
            <v>湖南营销中心</v>
          </cell>
          <cell r="G153" t="str">
            <v>湖南销售部</v>
          </cell>
          <cell r="H153" t="str">
            <v>黄勇刚湖南</v>
          </cell>
          <cell r="I153" t="str">
            <v>实习销售</v>
          </cell>
          <cell r="J153" t="str">
            <v>女</v>
          </cell>
          <cell r="K153" t="str">
            <v>试用</v>
          </cell>
          <cell r="L153" t="str">
            <v>内部员工</v>
          </cell>
          <cell r="M153" t="str">
            <v>黄勇刚</v>
          </cell>
        </row>
        <row r="154">
          <cell r="A154" t="str">
            <v>杜文博</v>
          </cell>
          <cell r="B154" t="str">
            <v>01823</v>
          </cell>
          <cell r="C154" t="str">
            <v>陕西时代蜂族营销策划有限公司</v>
          </cell>
          <cell r="D154">
            <v>45992</v>
          </cell>
          <cell r="E154" t="str">
            <v>陕西</v>
          </cell>
          <cell r="F154" t="str">
            <v>陕西营销中心</v>
          </cell>
          <cell r="G154" t="str">
            <v>陕西2部</v>
          </cell>
          <cell r="H154" t="str">
            <v>王晓刚</v>
          </cell>
          <cell r="I154" t="str">
            <v>实习销售</v>
          </cell>
          <cell r="J154" t="str">
            <v>男</v>
          </cell>
          <cell r="K154" t="str">
            <v>试用</v>
          </cell>
          <cell r="L154" t="str">
            <v>内部员工</v>
          </cell>
          <cell r="M154" t="str">
            <v>王晓刚</v>
          </cell>
        </row>
        <row r="155">
          <cell r="A155" t="str">
            <v>关志亮</v>
          </cell>
          <cell r="B155" t="str">
            <v>01824</v>
          </cell>
          <cell r="C155" t="str">
            <v>山西时代蜂族房地产经纪有限公司</v>
          </cell>
          <cell r="D155">
            <v>45992</v>
          </cell>
          <cell r="E155" t="str">
            <v>山西</v>
          </cell>
          <cell r="F155" t="str">
            <v>山西营销中心</v>
          </cell>
          <cell r="G155" t="str">
            <v>山西销售部</v>
          </cell>
          <cell r="H155" t="str">
            <v>邓富</v>
          </cell>
          <cell r="I155" t="str">
            <v>一星销售顾问</v>
          </cell>
          <cell r="J155" t="str">
            <v>男</v>
          </cell>
          <cell r="K155" t="str">
            <v>正式</v>
          </cell>
          <cell r="L155" t="str">
            <v>内部员工</v>
          </cell>
          <cell r="M155" t="str">
            <v>邓富</v>
          </cell>
        </row>
        <row r="156">
          <cell r="A156" t="str">
            <v>陈超3</v>
          </cell>
          <cell r="B156" t="str">
            <v>01822</v>
          </cell>
          <cell r="C156" t="str">
            <v>四川时代蜂族营销策划有限公司</v>
          </cell>
          <cell r="D156">
            <v>45990</v>
          </cell>
          <cell r="E156" t="str">
            <v>西南总部</v>
          </cell>
          <cell r="F156" t="str">
            <v>西南营销中心</v>
          </cell>
          <cell r="G156" t="str">
            <v>营业七部</v>
          </cell>
          <cell r="H156" t="str">
            <v>程新浩</v>
          </cell>
          <cell r="I156" t="str">
            <v>实习销售</v>
          </cell>
          <cell r="J156" t="str">
            <v>男</v>
          </cell>
          <cell r="K156" t="str">
            <v>试用</v>
          </cell>
          <cell r="L156" t="str">
            <v>内部员工</v>
          </cell>
          <cell r="M156" t="str">
            <v>程新浩</v>
          </cell>
        </row>
        <row r="157">
          <cell r="A157" t="str">
            <v>王胜波</v>
          </cell>
          <cell r="B157" t="str">
            <v>01817</v>
          </cell>
          <cell r="C157" t="str">
            <v>四川时代蜂族营销策划有限公司</v>
          </cell>
          <cell r="D157">
            <v>45989</v>
          </cell>
          <cell r="E157" t="str">
            <v>河北</v>
          </cell>
          <cell r="F157" t="str">
            <v>河北营销中心</v>
          </cell>
          <cell r="G157" t="str">
            <v>河北销售部</v>
          </cell>
        </row>
        <row r="157">
          <cell r="I157" t="str">
            <v>实习销售</v>
          </cell>
          <cell r="J157" t="str">
            <v>男</v>
          </cell>
          <cell r="K157" t="str">
            <v>试用</v>
          </cell>
          <cell r="L157" t="str">
            <v>内部员工</v>
          </cell>
          <cell r="M157" t="str">
            <v>扈岭楠</v>
          </cell>
        </row>
        <row r="158">
          <cell r="A158" t="str">
            <v>王建根</v>
          </cell>
          <cell r="B158" t="str">
            <v>01274</v>
          </cell>
          <cell r="C158" t="str">
            <v>四川时代蜂族营销策划有限公司</v>
          </cell>
          <cell r="D158">
            <v>45989</v>
          </cell>
          <cell r="E158" t="str">
            <v>西南总部</v>
          </cell>
          <cell r="F158" t="str">
            <v>西南营销中心</v>
          </cell>
          <cell r="G158" t="str">
            <v>营业六部</v>
          </cell>
          <cell r="H158" t="str">
            <v>杨威</v>
          </cell>
          <cell r="I158" t="str">
            <v>一星销售顾问</v>
          </cell>
          <cell r="J158" t="str">
            <v>男</v>
          </cell>
          <cell r="K158" t="str">
            <v>正式</v>
          </cell>
          <cell r="L158" t="str">
            <v>内部员工</v>
          </cell>
          <cell r="M158" t="str">
            <v>杨威</v>
          </cell>
        </row>
        <row r="159">
          <cell r="A159" t="str">
            <v>李帅</v>
          </cell>
          <cell r="B159" t="str">
            <v>01842</v>
          </cell>
          <cell r="C159" t="str">
            <v>四川时代蜂族营销策划有限公司</v>
          </cell>
          <cell r="D159">
            <v>45989</v>
          </cell>
          <cell r="E159" t="str">
            <v>西南总部</v>
          </cell>
          <cell r="F159" t="str">
            <v>西南营销中心</v>
          </cell>
          <cell r="G159" t="str">
            <v>营业七部</v>
          </cell>
          <cell r="H159" t="str">
            <v>蒋杨</v>
          </cell>
          <cell r="I159" t="str">
            <v>实习销售</v>
          </cell>
          <cell r="J159" t="str">
            <v>男</v>
          </cell>
          <cell r="K159" t="str">
            <v>试用</v>
          </cell>
          <cell r="L159" t="str">
            <v>内部员工</v>
          </cell>
          <cell r="M159" t="str">
            <v>蒋杨</v>
          </cell>
        </row>
        <row r="160">
          <cell r="A160" t="str">
            <v>王涛2</v>
          </cell>
          <cell r="B160" t="str">
            <v>01814</v>
          </cell>
          <cell r="C160" t="str">
            <v>山西时代蜂族房地产经纪有限公司</v>
          </cell>
          <cell r="D160">
            <v>45986</v>
          </cell>
          <cell r="E160" t="str">
            <v>山西</v>
          </cell>
          <cell r="F160" t="str">
            <v>山西营销中心</v>
          </cell>
          <cell r="G160" t="str">
            <v>山西销售部</v>
          </cell>
          <cell r="H160" t="str">
            <v>邓富</v>
          </cell>
          <cell r="I160" t="str">
            <v>一星销售顾问</v>
          </cell>
          <cell r="J160" t="str">
            <v>男</v>
          </cell>
          <cell r="K160" t="str">
            <v>正式</v>
          </cell>
          <cell r="L160" t="str">
            <v>内部员工</v>
          </cell>
          <cell r="M160" t="str">
            <v>邓富</v>
          </cell>
        </row>
        <row r="161">
          <cell r="A161" t="str">
            <v>刘涛</v>
          </cell>
          <cell r="B161" t="str">
            <v>01810</v>
          </cell>
          <cell r="C161" t="str">
            <v>山西时代蜂族房地产经纪有限公司</v>
          </cell>
          <cell r="D161">
            <v>45986</v>
          </cell>
          <cell r="E161" t="str">
            <v>山西</v>
          </cell>
          <cell r="F161" t="str">
            <v>山西营销中心</v>
          </cell>
          <cell r="G161" t="str">
            <v>山西销售部</v>
          </cell>
          <cell r="H161" t="str">
            <v>李权益</v>
          </cell>
          <cell r="I161" t="str">
            <v>实习销售</v>
          </cell>
          <cell r="J161" t="str">
            <v>男</v>
          </cell>
          <cell r="K161" t="str">
            <v>试用</v>
          </cell>
          <cell r="L161" t="str">
            <v>内部员工</v>
          </cell>
          <cell r="M161" t="str">
            <v>李权益</v>
          </cell>
        </row>
        <row r="162">
          <cell r="A162" t="str">
            <v>杜丽娜</v>
          </cell>
          <cell r="B162" t="str">
            <v>01813</v>
          </cell>
          <cell r="C162" t="str">
            <v>山西时代蜂族房地产经纪有限公司</v>
          </cell>
          <cell r="D162">
            <v>45986</v>
          </cell>
          <cell r="E162" t="str">
            <v>山西</v>
          </cell>
          <cell r="F162" t="str">
            <v>山西营销中心</v>
          </cell>
          <cell r="G162" t="str">
            <v>山西销售部</v>
          </cell>
          <cell r="H162" t="str">
            <v>赵龙</v>
          </cell>
          <cell r="I162" t="str">
            <v>实习销售</v>
          </cell>
          <cell r="J162" t="str">
            <v>女</v>
          </cell>
          <cell r="K162" t="str">
            <v>试用</v>
          </cell>
          <cell r="L162" t="str">
            <v>内部员工</v>
          </cell>
          <cell r="M162" t="str">
            <v>赵龙</v>
          </cell>
        </row>
        <row r="163">
          <cell r="A163" t="str">
            <v>李钰倩</v>
          </cell>
          <cell r="B163" t="str">
            <v>01795</v>
          </cell>
          <cell r="C163" t="str">
            <v>四川优诺通瑞商贸有限公司</v>
          </cell>
          <cell r="D163">
            <v>45985</v>
          </cell>
          <cell r="E163" t="str">
            <v>集团职能</v>
          </cell>
          <cell r="F163" t="str">
            <v>职能总部</v>
          </cell>
          <cell r="G163" t="str">
            <v>人资行政部</v>
          </cell>
        </row>
        <row r="163">
          <cell r="I163" t="str">
            <v>行政专员</v>
          </cell>
          <cell r="J163" t="str">
            <v>女</v>
          </cell>
          <cell r="K163" t="str">
            <v>正式</v>
          </cell>
          <cell r="L163" t="str">
            <v>内部员工</v>
          </cell>
          <cell r="M163" t="str">
            <v>孔群慧</v>
          </cell>
        </row>
        <row r="164">
          <cell r="A164" t="str">
            <v>李思雨</v>
          </cell>
          <cell r="B164" t="str">
            <v>01806</v>
          </cell>
          <cell r="C164" t="str">
            <v>湖南时代蜂族营销策划有限公司</v>
          </cell>
          <cell r="D164">
            <v>45985</v>
          </cell>
          <cell r="E164" t="str">
            <v>湖南</v>
          </cell>
          <cell r="F164" t="str">
            <v>湖南营销中心</v>
          </cell>
          <cell r="G164" t="str">
            <v>湖南销售部</v>
          </cell>
          <cell r="H164" t="str">
            <v>黄勇刚湖南</v>
          </cell>
          <cell r="I164" t="str">
            <v>实习销售</v>
          </cell>
          <cell r="J164" t="str">
            <v>女</v>
          </cell>
          <cell r="K164" t="str">
            <v>试用</v>
          </cell>
          <cell r="L164" t="str">
            <v>内部员工</v>
          </cell>
          <cell r="M164" t="str">
            <v>黄勇刚</v>
          </cell>
        </row>
        <row r="165">
          <cell r="A165" t="str">
            <v>黄佳宇</v>
          </cell>
          <cell r="B165" t="str">
            <v>01812</v>
          </cell>
          <cell r="C165" t="str">
            <v>湖南时代蜂族营销策划有限公司</v>
          </cell>
          <cell r="D165">
            <v>45985</v>
          </cell>
          <cell r="E165" t="str">
            <v>湖南</v>
          </cell>
          <cell r="F165" t="str">
            <v>湖南营销中心</v>
          </cell>
          <cell r="G165" t="str">
            <v>湖南销售部</v>
          </cell>
          <cell r="H165" t="str">
            <v>刘元发</v>
          </cell>
          <cell r="I165" t="str">
            <v>实习销售</v>
          </cell>
          <cell r="J165" t="str">
            <v>男</v>
          </cell>
          <cell r="K165" t="str">
            <v>试用</v>
          </cell>
          <cell r="L165" t="str">
            <v>内部员工</v>
          </cell>
          <cell r="M165" t="str">
            <v>刘元发</v>
          </cell>
        </row>
        <row r="166">
          <cell r="A166" t="str">
            <v>雷单</v>
          </cell>
          <cell r="B166" t="str">
            <v>01805</v>
          </cell>
          <cell r="C166" t="str">
            <v>湖南时代蜂族营销策划有限公司</v>
          </cell>
          <cell r="D166">
            <v>45984</v>
          </cell>
          <cell r="E166" t="str">
            <v>湖南</v>
          </cell>
          <cell r="F166" t="str">
            <v>湖南营销中心</v>
          </cell>
          <cell r="G166" t="str">
            <v>湖南销售部</v>
          </cell>
          <cell r="H166" t="str">
            <v>徐子康湖南</v>
          </cell>
          <cell r="I166" t="str">
            <v>实习销售</v>
          </cell>
          <cell r="J166" t="str">
            <v>女</v>
          </cell>
          <cell r="K166" t="str">
            <v>试用</v>
          </cell>
          <cell r="L166" t="str">
            <v>内部员工</v>
          </cell>
          <cell r="M166" t="str">
            <v>徐子康</v>
          </cell>
        </row>
        <row r="167">
          <cell r="A167" t="str">
            <v>武玄耀</v>
          </cell>
          <cell r="B167" t="str">
            <v>01800</v>
          </cell>
          <cell r="C167" t="str">
            <v>陕西时代蜂族营销策划有限公司</v>
          </cell>
          <cell r="D167">
            <v>45983</v>
          </cell>
          <cell r="E167" t="str">
            <v>陕西</v>
          </cell>
          <cell r="F167" t="str">
            <v>陕西营销中心</v>
          </cell>
          <cell r="G167" t="str">
            <v>陕西2部</v>
          </cell>
          <cell r="H167" t="str">
            <v>朱全兰</v>
          </cell>
          <cell r="I167" t="str">
            <v>实习销售</v>
          </cell>
          <cell r="J167" t="str">
            <v>男</v>
          </cell>
          <cell r="K167" t="str">
            <v>试用</v>
          </cell>
          <cell r="L167" t="str">
            <v>内部员工</v>
          </cell>
          <cell r="M167" t="str">
            <v>朱全兰</v>
          </cell>
        </row>
        <row r="168">
          <cell r="A168" t="str">
            <v>侯萌萌</v>
          </cell>
          <cell r="B168" t="str">
            <v>01802</v>
          </cell>
          <cell r="C168" t="str">
            <v>陕西蜂族科技有限公司</v>
          </cell>
          <cell r="D168">
            <v>45982</v>
          </cell>
          <cell r="E168" t="str">
            <v>陕西</v>
          </cell>
          <cell r="F168" t="str">
            <v>陕西营销中心</v>
          </cell>
          <cell r="G168" t="str">
            <v>陕西1部</v>
          </cell>
          <cell r="H168" t="str">
            <v>朱露颖</v>
          </cell>
          <cell r="I168" t="str">
            <v>实习销售</v>
          </cell>
          <cell r="J168" t="str">
            <v>男</v>
          </cell>
          <cell r="K168" t="str">
            <v>试用</v>
          </cell>
          <cell r="L168" t="str">
            <v>内部员工</v>
          </cell>
          <cell r="M168" t="str">
            <v>朱露颖</v>
          </cell>
        </row>
        <row r="169">
          <cell r="A169" t="str">
            <v>王建平</v>
          </cell>
          <cell r="B169" t="str">
            <v>01803</v>
          </cell>
          <cell r="C169" t="str">
            <v>陕西时代蜂族营销策划有限公司</v>
          </cell>
          <cell r="D169">
            <v>45980</v>
          </cell>
          <cell r="E169" t="str">
            <v>陕西</v>
          </cell>
          <cell r="F169" t="str">
            <v>陕西营销中心</v>
          </cell>
          <cell r="G169" t="str">
            <v>陕西1部</v>
          </cell>
          <cell r="H169" t="str">
            <v>马少波</v>
          </cell>
          <cell r="I169" t="str">
            <v>实习销售</v>
          </cell>
          <cell r="J169" t="str">
            <v>男</v>
          </cell>
          <cell r="K169" t="str">
            <v>试用</v>
          </cell>
          <cell r="L169" t="str">
            <v>内部员工</v>
          </cell>
          <cell r="M169" t="str">
            <v>马少波</v>
          </cell>
        </row>
        <row r="170">
          <cell r="A170" t="str">
            <v>蒲家智</v>
          </cell>
          <cell r="B170" t="str">
            <v>01798</v>
          </cell>
          <cell r="C170" t="str">
            <v>四川时代蜂族营销策划有限公司</v>
          </cell>
          <cell r="D170">
            <v>45980</v>
          </cell>
          <cell r="E170" t="str">
            <v>西南总部</v>
          </cell>
          <cell r="F170" t="str">
            <v>西南营销中心</v>
          </cell>
          <cell r="G170" t="str">
            <v>营业二部</v>
          </cell>
          <cell r="H170" t="str">
            <v>王彬力</v>
          </cell>
          <cell r="I170" t="str">
            <v>实习销售</v>
          </cell>
          <cell r="J170" t="str">
            <v>男</v>
          </cell>
          <cell r="K170" t="str">
            <v>试用</v>
          </cell>
          <cell r="L170" t="str">
            <v>内部员工</v>
          </cell>
          <cell r="M170" t="str">
            <v>王彬力</v>
          </cell>
        </row>
        <row r="171">
          <cell r="A171" t="str">
            <v>翟亚飞</v>
          </cell>
          <cell r="B171" t="str">
            <v>01807</v>
          </cell>
          <cell r="C171" t="str">
            <v>河南蜜蜂族营销策划有限公司</v>
          </cell>
          <cell r="D171">
            <v>45979</v>
          </cell>
          <cell r="E171" t="str">
            <v>河南</v>
          </cell>
          <cell r="F171" t="str">
            <v>河南营销中心</v>
          </cell>
          <cell r="G171" t="str">
            <v>河南销售部</v>
          </cell>
          <cell r="H171" t="str">
            <v>吕涛河南</v>
          </cell>
          <cell r="I171" t="str">
            <v>实习销售</v>
          </cell>
          <cell r="J171" t="str">
            <v>男</v>
          </cell>
          <cell r="K171" t="str">
            <v>试用</v>
          </cell>
          <cell r="L171" t="str">
            <v>内部员工</v>
          </cell>
          <cell r="M171" t="str">
            <v>吕涛</v>
          </cell>
        </row>
        <row r="172">
          <cell r="A172" t="str">
            <v>崔建伟</v>
          </cell>
          <cell r="B172" t="str">
            <v>01797</v>
          </cell>
          <cell r="C172" t="str">
            <v>四川时代蜂族营销策划有限公司</v>
          </cell>
          <cell r="D172">
            <v>45979</v>
          </cell>
          <cell r="E172" t="str">
            <v>西南总部</v>
          </cell>
          <cell r="F172" t="str">
            <v>西南营销中心</v>
          </cell>
          <cell r="G172" t="str">
            <v>营业二部</v>
          </cell>
          <cell r="H172" t="str">
            <v>魏飞翔</v>
          </cell>
          <cell r="I172" t="str">
            <v>实习销售</v>
          </cell>
          <cell r="J172" t="str">
            <v>男</v>
          </cell>
          <cell r="K172" t="str">
            <v>试用</v>
          </cell>
          <cell r="L172" t="str">
            <v>内部员工</v>
          </cell>
          <cell r="M172" t="str">
            <v>魏飞翔</v>
          </cell>
        </row>
        <row r="173">
          <cell r="A173" t="str">
            <v>张剑虹</v>
          </cell>
          <cell r="B173" t="str">
            <v>01792</v>
          </cell>
          <cell r="C173" t="str">
            <v>四川时代蜂族营销策划有限公司</v>
          </cell>
          <cell r="D173">
            <v>45978</v>
          </cell>
          <cell r="E173" t="str">
            <v>西南总部</v>
          </cell>
          <cell r="F173" t="str">
            <v>西南营销中心</v>
          </cell>
          <cell r="G173" t="str">
            <v>营业六部</v>
          </cell>
          <cell r="H173" t="str">
            <v>韩颖</v>
          </cell>
          <cell r="I173" t="str">
            <v>实习销售</v>
          </cell>
          <cell r="J173" t="str">
            <v>女</v>
          </cell>
          <cell r="K173" t="str">
            <v>试用</v>
          </cell>
          <cell r="L173" t="str">
            <v>内部员工</v>
          </cell>
          <cell r="M173" t="str">
            <v>韩颖</v>
          </cell>
        </row>
        <row r="174">
          <cell r="A174" t="str">
            <v>钟雪娇</v>
          </cell>
          <cell r="B174" t="str">
            <v>01781</v>
          </cell>
          <cell r="C174" t="str">
            <v>四川时代蜂族营销策划有限公司</v>
          </cell>
          <cell r="D174">
            <v>45978</v>
          </cell>
          <cell r="E174" t="str">
            <v>集团职能</v>
          </cell>
          <cell r="F174" t="str">
            <v>职能总部</v>
          </cell>
          <cell r="G174" t="str">
            <v>外呼中心</v>
          </cell>
        </row>
        <row r="174">
          <cell r="I174" t="str">
            <v>调研专员</v>
          </cell>
          <cell r="J174" t="str">
            <v>女</v>
          </cell>
          <cell r="K174" t="str">
            <v>正式</v>
          </cell>
          <cell r="L174" t="str">
            <v>内部员工</v>
          </cell>
          <cell r="M174" t="str">
            <v>罗津俞</v>
          </cell>
        </row>
        <row r="175">
          <cell r="A175" t="str">
            <v>陈家丽</v>
          </cell>
          <cell r="B175" t="str">
            <v>00685</v>
          </cell>
          <cell r="C175" t="str">
            <v>四川时代蜂族营销策划有限公司</v>
          </cell>
          <cell r="D175">
            <v>45976</v>
          </cell>
          <cell r="E175" t="str">
            <v>西南总部</v>
          </cell>
          <cell r="F175" t="str">
            <v>西南营销中心</v>
          </cell>
          <cell r="G175" t="str">
            <v>营业七部</v>
          </cell>
          <cell r="H175" t="str">
            <v>程新浩</v>
          </cell>
          <cell r="I175" t="str">
            <v>一星销售顾问</v>
          </cell>
          <cell r="J175" t="str">
            <v>女</v>
          </cell>
          <cell r="K175" t="str">
            <v>正式</v>
          </cell>
          <cell r="L175" t="str">
            <v>内部员工</v>
          </cell>
          <cell r="M175" t="str">
            <v>程新浩</v>
          </cell>
        </row>
        <row r="176">
          <cell r="A176" t="str">
            <v>陶克英</v>
          </cell>
          <cell r="B176" t="str">
            <v>01789</v>
          </cell>
          <cell r="C176" t="str">
            <v>陕西蜂族科技有限公司</v>
          </cell>
          <cell r="D176">
            <v>45976</v>
          </cell>
          <cell r="E176" t="str">
            <v>陕西</v>
          </cell>
          <cell r="F176" t="str">
            <v>陕西营销中心</v>
          </cell>
          <cell r="G176" t="str">
            <v>陕西1部</v>
          </cell>
          <cell r="H176" t="str">
            <v>刘聪</v>
          </cell>
          <cell r="I176" t="str">
            <v>实习销售</v>
          </cell>
          <cell r="J176" t="str">
            <v>女</v>
          </cell>
          <cell r="K176" t="str">
            <v>试用</v>
          </cell>
          <cell r="L176" t="str">
            <v>内部员工</v>
          </cell>
          <cell r="M176" t="str">
            <v>刘聪</v>
          </cell>
        </row>
        <row r="177">
          <cell r="A177" t="str">
            <v>刘宗贵</v>
          </cell>
          <cell r="B177" t="str">
            <v>01787</v>
          </cell>
          <cell r="C177" t="str">
            <v>湖北蜜蜂族房地产经纪有限公司</v>
          </cell>
          <cell r="D177">
            <v>45976</v>
          </cell>
          <cell r="E177" t="str">
            <v>湖北</v>
          </cell>
          <cell r="F177" t="str">
            <v>湖北营销中心</v>
          </cell>
          <cell r="G177" t="str">
            <v>湖北1部</v>
          </cell>
          <cell r="H177" t="str">
            <v>李文</v>
          </cell>
          <cell r="I177" t="str">
            <v>实习销售</v>
          </cell>
          <cell r="J177" t="str">
            <v>男</v>
          </cell>
          <cell r="K177" t="str">
            <v>试用</v>
          </cell>
          <cell r="L177" t="str">
            <v>内部员工</v>
          </cell>
          <cell r="M177" t="str">
            <v>李文</v>
          </cell>
        </row>
        <row r="178">
          <cell r="A178" t="str">
            <v>丁聪</v>
          </cell>
          <cell r="B178" t="str">
            <v>01786</v>
          </cell>
          <cell r="C178" t="str">
            <v>湖北蜜蜂族房地产经纪有限公司</v>
          </cell>
          <cell r="D178">
            <v>45975</v>
          </cell>
          <cell r="E178" t="str">
            <v>湖北</v>
          </cell>
          <cell r="F178" t="str">
            <v>湖北营销中心</v>
          </cell>
          <cell r="G178" t="str">
            <v>湖北1部</v>
          </cell>
          <cell r="H178" t="str">
            <v>张宗铭湖北</v>
          </cell>
          <cell r="I178" t="str">
            <v>实习销售</v>
          </cell>
          <cell r="J178" t="str">
            <v>男</v>
          </cell>
          <cell r="K178" t="str">
            <v>试用</v>
          </cell>
          <cell r="L178" t="str">
            <v>内部员工</v>
          </cell>
          <cell r="M178" t="str">
            <v>张宗铭</v>
          </cell>
        </row>
        <row r="179">
          <cell r="A179" t="str">
            <v>廖东</v>
          </cell>
          <cell r="B179" t="str">
            <v>01784</v>
          </cell>
          <cell r="C179" t="str">
            <v>湖南时代蜂族营销策划有限公司</v>
          </cell>
          <cell r="D179">
            <v>45974</v>
          </cell>
          <cell r="E179" t="str">
            <v>湖南</v>
          </cell>
          <cell r="F179" t="str">
            <v>湖南营销中心</v>
          </cell>
          <cell r="G179" t="str">
            <v>湖南销售部</v>
          </cell>
          <cell r="H179" t="str">
            <v>王晶晶</v>
          </cell>
          <cell r="I179" t="str">
            <v>实习销售</v>
          </cell>
          <cell r="J179" t="str">
            <v>男</v>
          </cell>
          <cell r="K179" t="str">
            <v>试用</v>
          </cell>
          <cell r="L179" t="str">
            <v>内部员工</v>
          </cell>
          <cell r="M179" t="str">
            <v>王晶晶</v>
          </cell>
        </row>
        <row r="180">
          <cell r="A180" t="str">
            <v>段帆</v>
          </cell>
          <cell r="B180" t="str">
            <v>01783</v>
          </cell>
          <cell r="C180" t="str">
            <v>湖南时代蜂族营销策划有限公司</v>
          </cell>
          <cell r="D180">
            <v>45974</v>
          </cell>
          <cell r="E180" t="str">
            <v>湖南</v>
          </cell>
          <cell r="F180" t="str">
            <v>湖南营销中心</v>
          </cell>
          <cell r="G180" t="str">
            <v>湖南销售部</v>
          </cell>
          <cell r="H180" t="str">
            <v>罗敏</v>
          </cell>
          <cell r="I180" t="str">
            <v>实习销售</v>
          </cell>
          <cell r="J180" t="str">
            <v>女</v>
          </cell>
          <cell r="K180" t="str">
            <v>试用</v>
          </cell>
          <cell r="L180" t="str">
            <v>内部员工</v>
          </cell>
          <cell r="M180" t="str">
            <v>罗敏</v>
          </cell>
        </row>
        <row r="181">
          <cell r="A181" t="str">
            <v>何仔馨</v>
          </cell>
          <cell r="B181" t="str">
            <v>01790</v>
          </cell>
          <cell r="C181" t="str">
            <v>四川时代蜂族营销策划有限公司</v>
          </cell>
          <cell r="D181">
            <v>45974</v>
          </cell>
          <cell r="E181" t="str">
            <v>西南总部</v>
          </cell>
          <cell r="F181" t="str">
            <v>西南营销中心</v>
          </cell>
          <cell r="G181" t="str">
            <v>营业四部</v>
          </cell>
          <cell r="H181" t="str">
            <v>李培金</v>
          </cell>
          <cell r="I181" t="str">
            <v>一星销售顾问</v>
          </cell>
          <cell r="J181" t="str">
            <v>女</v>
          </cell>
          <cell r="K181" t="str">
            <v>正式</v>
          </cell>
          <cell r="L181" t="str">
            <v>内部员工</v>
          </cell>
          <cell r="M181" t="str">
            <v>李培金</v>
          </cell>
        </row>
        <row r="182">
          <cell r="A182" t="str">
            <v>杨富浩</v>
          </cell>
          <cell r="B182" t="str">
            <v>01779</v>
          </cell>
          <cell r="C182" t="str">
            <v>四川时代蜂族营销策划有限公司</v>
          </cell>
          <cell r="D182">
            <v>45972</v>
          </cell>
          <cell r="E182" t="str">
            <v>西南总部</v>
          </cell>
          <cell r="F182" t="str">
            <v>西南营销中心</v>
          </cell>
          <cell r="G182" t="str">
            <v>营业五部</v>
          </cell>
          <cell r="H182" t="str">
            <v>谢敏</v>
          </cell>
          <cell r="I182" t="str">
            <v>实习销售</v>
          </cell>
          <cell r="J182" t="str">
            <v>男</v>
          </cell>
          <cell r="K182" t="str">
            <v>试用</v>
          </cell>
          <cell r="L182" t="str">
            <v>内部员工</v>
          </cell>
          <cell r="M182" t="str">
            <v>谢敏</v>
          </cell>
        </row>
        <row r="183">
          <cell r="A183" t="str">
            <v>张合元</v>
          </cell>
          <cell r="B183" t="str">
            <v>01780</v>
          </cell>
          <cell r="C183" t="str">
            <v>四川时代蜂族营销策划有限公司</v>
          </cell>
          <cell r="D183">
            <v>45971</v>
          </cell>
          <cell r="E183" t="str">
            <v>西南总部</v>
          </cell>
          <cell r="F183" t="str">
            <v>西南营销中心</v>
          </cell>
          <cell r="G183" t="str">
            <v>营业二部</v>
          </cell>
          <cell r="H183" t="str">
            <v>李先洪</v>
          </cell>
          <cell r="I183" t="str">
            <v>实习销售</v>
          </cell>
          <cell r="J183" t="str">
            <v>男</v>
          </cell>
          <cell r="K183" t="str">
            <v>试用</v>
          </cell>
          <cell r="L183" t="str">
            <v>内部员工</v>
          </cell>
          <cell r="M183" t="str">
            <v>李先洪</v>
          </cell>
        </row>
        <row r="184">
          <cell r="A184" t="str">
            <v>苏聪</v>
          </cell>
          <cell r="B184" t="str">
            <v>01785</v>
          </cell>
          <cell r="C184" t="str">
            <v>四川时代蜂族营销策划有限公司</v>
          </cell>
          <cell r="D184">
            <v>45971</v>
          </cell>
          <cell r="E184" t="str">
            <v>西南总部</v>
          </cell>
          <cell r="F184" t="str">
            <v>西南营销中心</v>
          </cell>
          <cell r="G184" t="str">
            <v>营业二部</v>
          </cell>
          <cell r="H184" t="str">
            <v>张佩瑶</v>
          </cell>
          <cell r="I184" t="str">
            <v>一星销售顾问</v>
          </cell>
          <cell r="J184" t="str">
            <v>男</v>
          </cell>
          <cell r="K184" t="str">
            <v>正式</v>
          </cell>
          <cell r="L184" t="str">
            <v>内部员工</v>
          </cell>
          <cell r="M184" t="str">
            <v>张佩瑶</v>
          </cell>
        </row>
        <row r="185">
          <cell r="A185" t="str">
            <v>王波</v>
          </cell>
          <cell r="B185" t="str">
            <v>01774</v>
          </cell>
          <cell r="C185" t="str">
            <v>陕西时代蜂族营销策划有限公司</v>
          </cell>
          <cell r="D185">
            <v>45971</v>
          </cell>
          <cell r="E185" t="str">
            <v>陕西</v>
          </cell>
          <cell r="F185" t="str">
            <v>陕西营销中心</v>
          </cell>
          <cell r="G185" t="str">
            <v>陕西2部</v>
          </cell>
          <cell r="H185" t="str">
            <v>王辉</v>
          </cell>
          <cell r="I185" t="str">
            <v>实习销售</v>
          </cell>
          <cell r="J185" t="str">
            <v>男</v>
          </cell>
          <cell r="K185" t="str">
            <v>试用</v>
          </cell>
          <cell r="L185" t="str">
            <v>内部员工</v>
          </cell>
          <cell r="M185" t="str">
            <v>王辉</v>
          </cell>
        </row>
        <row r="186">
          <cell r="A186" t="str">
            <v>蒋婷</v>
          </cell>
          <cell r="B186" t="str">
            <v>01011</v>
          </cell>
          <cell r="C186" t="str">
            <v>四川时代蜂族营销策划有限公司</v>
          </cell>
          <cell r="D186">
            <v>45970</v>
          </cell>
          <cell r="E186" t="str">
            <v>内蒙古</v>
          </cell>
          <cell r="F186" t="str">
            <v>内蒙古营销中心</v>
          </cell>
          <cell r="G186" t="str">
            <v>内蒙古销售部</v>
          </cell>
          <cell r="H186" t="str">
            <v>安芮内蒙古</v>
          </cell>
          <cell r="I186" t="str">
            <v>一星销售顾问</v>
          </cell>
          <cell r="J186" t="str">
            <v>女</v>
          </cell>
          <cell r="K186" t="str">
            <v>正式</v>
          </cell>
          <cell r="L186" t="str">
            <v>内部员工</v>
          </cell>
          <cell r="M186" t="str">
            <v>安芮</v>
          </cell>
        </row>
        <row r="187">
          <cell r="A187" t="str">
            <v>李艺芳</v>
          </cell>
          <cell r="B187" t="str">
            <v>01777</v>
          </cell>
          <cell r="C187" t="str">
            <v>湖南时代蜂族营销策划有限公司</v>
          </cell>
          <cell r="D187">
            <v>45970</v>
          </cell>
          <cell r="E187" t="str">
            <v>湖南</v>
          </cell>
          <cell r="F187" t="str">
            <v>湖南营销中心</v>
          </cell>
          <cell r="G187" t="str">
            <v>湖南销售部</v>
          </cell>
          <cell r="H187" t="str">
            <v>杨超群</v>
          </cell>
          <cell r="I187" t="str">
            <v>实习销售</v>
          </cell>
          <cell r="J187" t="str">
            <v>男</v>
          </cell>
          <cell r="K187" t="str">
            <v>试用</v>
          </cell>
          <cell r="L187" t="str">
            <v>内部员工</v>
          </cell>
          <cell r="M187" t="str">
            <v>杨超群</v>
          </cell>
        </row>
        <row r="188">
          <cell r="A188" t="str">
            <v>卢泽平</v>
          </cell>
          <cell r="B188" t="str">
            <v>01775</v>
          </cell>
          <cell r="C188" t="str">
            <v>陕西时代蜂族营销策划有限公司</v>
          </cell>
          <cell r="D188">
            <v>45970</v>
          </cell>
          <cell r="E188" t="str">
            <v>陕西</v>
          </cell>
          <cell r="F188" t="str">
            <v>陕西营销中心</v>
          </cell>
          <cell r="G188" t="str">
            <v>陕西1部</v>
          </cell>
          <cell r="H188" t="str">
            <v>朱露颖</v>
          </cell>
          <cell r="I188" t="str">
            <v>实习销售</v>
          </cell>
          <cell r="J188" t="str">
            <v>男</v>
          </cell>
          <cell r="K188" t="str">
            <v>试用</v>
          </cell>
          <cell r="L188" t="str">
            <v>内部员工</v>
          </cell>
          <cell r="M188" t="str">
            <v>朱露颖</v>
          </cell>
        </row>
        <row r="189">
          <cell r="A189" t="str">
            <v>刘杰</v>
          </cell>
          <cell r="B189" t="str">
            <v>01770</v>
          </cell>
          <cell r="C189" t="str">
            <v>陕西蜂族科技有限公司</v>
          </cell>
          <cell r="D189">
            <v>45967</v>
          </cell>
          <cell r="E189" t="str">
            <v>陕西</v>
          </cell>
          <cell r="F189" t="str">
            <v>陕西营销中心</v>
          </cell>
          <cell r="G189" t="str">
            <v>陕西2部</v>
          </cell>
          <cell r="H189" t="str">
            <v>乔磊</v>
          </cell>
          <cell r="I189" t="str">
            <v>一星销售顾问</v>
          </cell>
          <cell r="J189" t="str">
            <v>女</v>
          </cell>
          <cell r="K189" t="str">
            <v>正式</v>
          </cell>
          <cell r="L189" t="str">
            <v>内部员工</v>
          </cell>
          <cell r="M189" t="str">
            <v>乔磊</v>
          </cell>
        </row>
        <row r="190">
          <cell r="A190" t="str">
            <v>陈妍君</v>
          </cell>
          <cell r="B190" t="str">
            <v>01768</v>
          </cell>
          <cell r="C190" t="str">
            <v>四川时代蜂族营销策划有限公司</v>
          </cell>
          <cell r="D190">
            <v>45966</v>
          </cell>
          <cell r="E190" t="str">
            <v>西南总部</v>
          </cell>
          <cell r="F190" t="str">
            <v>西南营销中心</v>
          </cell>
          <cell r="G190" t="str">
            <v>营业三部</v>
          </cell>
          <cell r="H190" t="str">
            <v>吴建鑫</v>
          </cell>
          <cell r="I190" t="str">
            <v>实习销售</v>
          </cell>
          <cell r="J190" t="str">
            <v>女</v>
          </cell>
          <cell r="K190" t="str">
            <v>试用</v>
          </cell>
          <cell r="L190" t="str">
            <v>内部员工</v>
          </cell>
          <cell r="M190" t="str">
            <v>吴建鑫</v>
          </cell>
        </row>
        <row r="191">
          <cell r="A191" t="str">
            <v>郭强4</v>
          </cell>
          <cell r="B191" t="str">
            <v>01771</v>
          </cell>
          <cell r="C191" t="str">
            <v>山西时代蜂族房地产经纪有限公司</v>
          </cell>
          <cell r="D191">
            <v>45965</v>
          </cell>
          <cell r="E191" t="str">
            <v>山西</v>
          </cell>
          <cell r="F191" t="str">
            <v>山西营销中心</v>
          </cell>
          <cell r="G191" t="str">
            <v>山西销售部</v>
          </cell>
          <cell r="H191" t="str">
            <v>赵龙</v>
          </cell>
          <cell r="I191" t="str">
            <v>实习销售</v>
          </cell>
          <cell r="J191" t="str">
            <v>男</v>
          </cell>
          <cell r="K191" t="str">
            <v>试用</v>
          </cell>
          <cell r="L191" t="str">
            <v>内部员工</v>
          </cell>
          <cell r="M191" t="str">
            <v>赵龙</v>
          </cell>
        </row>
        <row r="192">
          <cell r="A192" t="str">
            <v>许建</v>
          </cell>
          <cell r="B192" t="str">
            <v>01772</v>
          </cell>
          <cell r="C192" t="str">
            <v>湖南时代蜂族营销策划有限公司</v>
          </cell>
          <cell r="D192">
            <v>45962</v>
          </cell>
          <cell r="E192" t="str">
            <v>湖南</v>
          </cell>
          <cell r="F192" t="str">
            <v>湖南办公室</v>
          </cell>
        </row>
        <row r="192">
          <cell r="I192" t="str">
            <v>残疾人</v>
          </cell>
          <cell r="J192" t="str">
            <v>男</v>
          </cell>
          <cell r="K192" t="str">
            <v>正式</v>
          </cell>
          <cell r="L192" t="str">
            <v>内部员工</v>
          </cell>
          <cell r="M192" t="str">
            <v>王超飞</v>
          </cell>
        </row>
        <row r="193">
          <cell r="A193" t="str">
            <v>孙维</v>
          </cell>
          <cell r="B193" t="str">
            <v>01764</v>
          </cell>
          <cell r="C193" t="str">
            <v>四川时代蜂族营销策划有限公司</v>
          </cell>
          <cell r="D193">
            <v>45962</v>
          </cell>
          <cell r="E193" t="str">
            <v>西南总部</v>
          </cell>
          <cell r="F193" t="str">
            <v>西南营销中心</v>
          </cell>
          <cell r="G193" t="str">
            <v>营业二部</v>
          </cell>
          <cell r="H193" t="str">
            <v>文鹏羽</v>
          </cell>
          <cell r="I193" t="str">
            <v>一星销售顾问</v>
          </cell>
          <cell r="J193" t="str">
            <v>男</v>
          </cell>
          <cell r="K193" t="str">
            <v>正式</v>
          </cell>
          <cell r="L193" t="str">
            <v>内部员工</v>
          </cell>
          <cell r="M193" t="str">
            <v>文鹏羽</v>
          </cell>
        </row>
        <row r="194">
          <cell r="A194" t="str">
            <v>罗嶺</v>
          </cell>
          <cell r="B194" t="str">
            <v>01765</v>
          </cell>
          <cell r="C194" t="str">
            <v>四川时代蜂族营销策划有限公司</v>
          </cell>
          <cell r="D194">
            <v>45962</v>
          </cell>
          <cell r="E194" t="str">
            <v>西南总部</v>
          </cell>
          <cell r="F194" t="str">
            <v>西南营销中心</v>
          </cell>
          <cell r="G194" t="str">
            <v>营业五部</v>
          </cell>
          <cell r="H194" t="str">
            <v>张萍2</v>
          </cell>
          <cell r="I194" t="str">
            <v>实习销售</v>
          </cell>
          <cell r="J194" t="str">
            <v>男</v>
          </cell>
          <cell r="K194" t="str">
            <v>试用</v>
          </cell>
          <cell r="L194" t="str">
            <v>内部员工</v>
          </cell>
          <cell r="M194" t="str">
            <v>张萍2</v>
          </cell>
        </row>
        <row r="195">
          <cell r="A195" t="str">
            <v>雷有财</v>
          </cell>
          <cell r="B195" t="str">
            <v>01767</v>
          </cell>
          <cell r="C195" t="str">
            <v>四川时代蜂族营销策划有限公司</v>
          </cell>
          <cell r="D195">
            <v>45959</v>
          </cell>
          <cell r="E195" t="str">
            <v>西南总部</v>
          </cell>
          <cell r="F195" t="str">
            <v>西南营销中心</v>
          </cell>
          <cell r="G195" t="str">
            <v>营业四部</v>
          </cell>
          <cell r="H195" t="str">
            <v>李培金</v>
          </cell>
          <cell r="I195" t="str">
            <v>一星销售顾问</v>
          </cell>
          <cell r="J195" t="str">
            <v>男</v>
          </cell>
          <cell r="K195" t="str">
            <v>正式</v>
          </cell>
          <cell r="L195" t="str">
            <v>内部员工</v>
          </cell>
          <cell r="M195" t="str">
            <v>李培金</v>
          </cell>
        </row>
        <row r="196">
          <cell r="A196" t="str">
            <v>杨华明</v>
          </cell>
          <cell r="B196" t="str">
            <v>01766</v>
          </cell>
          <cell r="C196" t="str">
            <v>河南蜜蜂族营销策划有限公司</v>
          </cell>
          <cell r="D196">
            <v>45958</v>
          </cell>
          <cell r="E196" t="str">
            <v>河南</v>
          </cell>
          <cell r="F196" t="str">
            <v>河南营销中心</v>
          </cell>
          <cell r="G196" t="str">
            <v>河南销售部</v>
          </cell>
          <cell r="H196" t="str">
            <v>吕涛河南</v>
          </cell>
          <cell r="I196" t="str">
            <v>一星销售顾问</v>
          </cell>
          <cell r="J196" t="str">
            <v>男</v>
          </cell>
          <cell r="K196" t="str">
            <v>正式</v>
          </cell>
          <cell r="L196" t="str">
            <v>内部员工</v>
          </cell>
          <cell r="M196" t="str">
            <v>吕涛</v>
          </cell>
        </row>
        <row r="197">
          <cell r="A197" t="str">
            <v>巴甜甜</v>
          </cell>
          <cell r="B197" t="str">
            <v>01760</v>
          </cell>
          <cell r="C197" t="str">
            <v>陕西时代蜂族营销策划有限公司</v>
          </cell>
          <cell r="D197">
            <v>45958</v>
          </cell>
          <cell r="E197" t="str">
            <v>陕西</v>
          </cell>
          <cell r="F197" t="str">
            <v>陕西营销中心</v>
          </cell>
          <cell r="G197" t="str">
            <v>陕西2部</v>
          </cell>
          <cell r="H197" t="str">
            <v>王晓刚</v>
          </cell>
          <cell r="I197" t="str">
            <v>实习销售</v>
          </cell>
          <cell r="J197" t="str">
            <v>女</v>
          </cell>
          <cell r="K197" t="str">
            <v>试用</v>
          </cell>
          <cell r="L197" t="str">
            <v>内部员工</v>
          </cell>
          <cell r="M197" t="str">
            <v>王晓刚</v>
          </cell>
        </row>
        <row r="198">
          <cell r="A198" t="str">
            <v>陈绪</v>
          </cell>
          <cell r="B198" t="str">
            <v>01762</v>
          </cell>
          <cell r="C198" t="str">
            <v>河南蜜蜂族营销策划有限公司</v>
          </cell>
          <cell r="D198">
            <v>45958</v>
          </cell>
          <cell r="E198" t="str">
            <v>河南</v>
          </cell>
          <cell r="F198" t="str">
            <v>河南营销中心</v>
          </cell>
          <cell r="G198" t="str">
            <v>河南销售部</v>
          </cell>
          <cell r="H198" t="str">
            <v>吕涛河南</v>
          </cell>
          <cell r="I198" t="str">
            <v>一星销售顾问</v>
          </cell>
          <cell r="J198" t="str">
            <v>男</v>
          </cell>
          <cell r="K198" t="str">
            <v>正式</v>
          </cell>
          <cell r="L198" t="str">
            <v>内部员工</v>
          </cell>
          <cell r="M198" t="str">
            <v>吕涛</v>
          </cell>
        </row>
        <row r="199">
          <cell r="A199" t="str">
            <v>杨博文</v>
          </cell>
          <cell r="B199" t="str">
            <v>01761</v>
          </cell>
          <cell r="C199" t="str">
            <v>四川时代蜂族营销策划有限公司</v>
          </cell>
          <cell r="D199">
            <v>45957</v>
          </cell>
          <cell r="E199" t="str">
            <v>西南总部</v>
          </cell>
          <cell r="F199" t="str">
            <v>西南营销中心</v>
          </cell>
          <cell r="G199" t="str">
            <v>营业二部</v>
          </cell>
          <cell r="H199" t="str">
            <v>王彬力</v>
          </cell>
          <cell r="I199" t="str">
            <v>实习销售</v>
          </cell>
          <cell r="J199" t="str">
            <v>男</v>
          </cell>
          <cell r="K199" t="str">
            <v>试用</v>
          </cell>
          <cell r="L199" t="str">
            <v>内部员工</v>
          </cell>
          <cell r="M199" t="str">
            <v>王彬力</v>
          </cell>
        </row>
        <row r="200">
          <cell r="A200" t="str">
            <v>杨朝闻</v>
          </cell>
          <cell r="B200" t="str">
            <v>01759</v>
          </cell>
          <cell r="C200" t="str">
            <v>四川时代蜂族营销策划有限公司</v>
          </cell>
          <cell r="D200">
            <v>45955</v>
          </cell>
          <cell r="E200" t="str">
            <v>西南总部</v>
          </cell>
          <cell r="F200" t="str">
            <v>西南营销中心</v>
          </cell>
          <cell r="G200" t="str">
            <v>营业五部</v>
          </cell>
          <cell r="H200" t="str">
            <v>周远芮</v>
          </cell>
          <cell r="I200" t="str">
            <v>实习销售</v>
          </cell>
          <cell r="J200" t="str">
            <v>男</v>
          </cell>
          <cell r="K200" t="str">
            <v>试用</v>
          </cell>
          <cell r="L200" t="str">
            <v>内部员工</v>
          </cell>
          <cell r="M200" t="str">
            <v>周远芮</v>
          </cell>
        </row>
        <row r="201">
          <cell r="A201" t="str">
            <v>徐泰</v>
          </cell>
          <cell r="B201" t="str">
            <v>01758</v>
          </cell>
          <cell r="C201" t="str">
            <v>四川时代蜂族营销策划有限公司</v>
          </cell>
          <cell r="D201">
            <v>45955</v>
          </cell>
          <cell r="E201" t="str">
            <v>西南总部</v>
          </cell>
          <cell r="F201" t="str">
            <v>西南营销中心</v>
          </cell>
          <cell r="G201" t="str">
            <v>营业四部</v>
          </cell>
          <cell r="H201" t="str">
            <v>陈帅</v>
          </cell>
          <cell r="I201" t="str">
            <v>实习销售</v>
          </cell>
          <cell r="J201" t="str">
            <v>男</v>
          </cell>
          <cell r="K201" t="str">
            <v>试用</v>
          </cell>
          <cell r="L201" t="str">
            <v>内部员工</v>
          </cell>
          <cell r="M201" t="str">
            <v>陈帅</v>
          </cell>
        </row>
        <row r="202">
          <cell r="A202" t="str">
            <v>周悦昭</v>
          </cell>
          <cell r="B202" t="str">
            <v>01755</v>
          </cell>
          <cell r="C202" t="str">
            <v>山东时代蜂族营销策划有限公司</v>
          </cell>
          <cell r="D202">
            <v>45954</v>
          </cell>
          <cell r="E202" t="str">
            <v>山东</v>
          </cell>
          <cell r="F202" t="str">
            <v>山东营销中心</v>
          </cell>
          <cell r="G202" t="str">
            <v>山东销售部</v>
          </cell>
          <cell r="H202" t="str">
            <v>李祥春</v>
          </cell>
          <cell r="I202" t="str">
            <v>实习销售</v>
          </cell>
          <cell r="J202" t="str">
            <v>男</v>
          </cell>
          <cell r="K202" t="str">
            <v>试用</v>
          </cell>
          <cell r="L202" t="str">
            <v>内部员工</v>
          </cell>
          <cell r="M202" t="str">
            <v>李祥春</v>
          </cell>
        </row>
        <row r="203">
          <cell r="A203" t="str">
            <v>吕梦月</v>
          </cell>
          <cell r="B203" t="str">
            <v>01752</v>
          </cell>
          <cell r="C203" t="str">
            <v>湖北蜜蜂族房地产经纪有限公司</v>
          </cell>
          <cell r="D203">
            <v>45953</v>
          </cell>
          <cell r="E203" t="str">
            <v>湖北</v>
          </cell>
          <cell r="F203" t="str">
            <v>湖北营销中心</v>
          </cell>
          <cell r="G203" t="str">
            <v>湖北2部</v>
          </cell>
          <cell r="H203" t="str">
            <v>陈竺</v>
          </cell>
          <cell r="I203" t="str">
            <v>实习销售</v>
          </cell>
          <cell r="J203" t="str">
            <v>女</v>
          </cell>
          <cell r="K203" t="str">
            <v>试用</v>
          </cell>
          <cell r="L203" t="str">
            <v>内部员工</v>
          </cell>
          <cell r="M203" t="str">
            <v>陈竺</v>
          </cell>
        </row>
        <row r="204">
          <cell r="A204" t="str">
            <v>何庆</v>
          </cell>
          <cell r="B204" t="str">
            <v>01750</v>
          </cell>
          <cell r="C204" t="str">
            <v>陕西时代蜂族营销策划有限公司</v>
          </cell>
          <cell r="D204">
            <v>45953</v>
          </cell>
          <cell r="E204" t="str">
            <v>陕西</v>
          </cell>
          <cell r="F204" t="str">
            <v>陕西营销中心</v>
          </cell>
          <cell r="G204" t="str">
            <v>陕西2部</v>
          </cell>
          <cell r="H204" t="str">
            <v>李耀</v>
          </cell>
          <cell r="I204" t="str">
            <v>实习销售</v>
          </cell>
          <cell r="J204" t="str">
            <v>男</v>
          </cell>
          <cell r="K204" t="str">
            <v>试用</v>
          </cell>
          <cell r="L204" t="str">
            <v>内部员工</v>
          </cell>
          <cell r="M204" t="str">
            <v>李耀</v>
          </cell>
        </row>
        <row r="205">
          <cell r="A205" t="str">
            <v>游钰姣</v>
          </cell>
          <cell r="B205" t="str">
            <v>01763</v>
          </cell>
          <cell r="C205" t="str">
            <v>四川时代蜂族营销策划有限公司</v>
          </cell>
          <cell r="D205">
            <v>45952</v>
          </cell>
          <cell r="E205" t="str">
            <v>西南总部</v>
          </cell>
          <cell r="F205" t="str">
            <v>西南营销中心</v>
          </cell>
          <cell r="G205" t="str">
            <v>营业一部</v>
          </cell>
          <cell r="H205" t="str">
            <v>白世根</v>
          </cell>
          <cell r="I205" t="str">
            <v>一星销售顾问</v>
          </cell>
          <cell r="J205" t="str">
            <v>女</v>
          </cell>
          <cell r="K205" t="str">
            <v>正式</v>
          </cell>
          <cell r="L205" t="str">
            <v>内部员工</v>
          </cell>
          <cell r="M205" t="str">
            <v>白世根</v>
          </cell>
        </row>
        <row r="206">
          <cell r="A206" t="str">
            <v>邱炬淞</v>
          </cell>
          <cell r="B206" t="str">
            <v>01757</v>
          </cell>
          <cell r="C206" t="str">
            <v>四川时代蜂族营销策划有限公司</v>
          </cell>
          <cell r="D206">
            <v>45951</v>
          </cell>
          <cell r="E206" t="str">
            <v>西南总部</v>
          </cell>
          <cell r="F206" t="str">
            <v>西南营销中心</v>
          </cell>
          <cell r="G206" t="str">
            <v>杨薇</v>
          </cell>
        </row>
        <row r="206">
          <cell r="I206" t="str">
            <v>实习销售</v>
          </cell>
          <cell r="J206" t="str">
            <v>男</v>
          </cell>
          <cell r="K206" t="str">
            <v>试用</v>
          </cell>
          <cell r="L206" t="str">
            <v>内部员工</v>
          </cell>
          <cell r="M206" t="str">
            <v>杨薇</v>
          </cell>
        </row>
        <row r="207">
          <cell r="A207" t="str">
            <v>邓湘</v>
          </cell>
          <cell r="B207" t="str">
            <v>01753</v>
          </cell>
          <cell r="C207" t="str">
            <v>四川时代蜂族营销策划有限公司</v>
          </cell>
          <cell r="D207">
            <v>45951</v>
          </cell>
          <cell r="E207" t="str">
            <v>西南总部</v>
          </cell>
          <cell r="F207" t="str">
            <v>西南营销中心</v>
          </cell>
          <cell r="G207" t="str">
            <v>营业一部</v>
          </cell>
          <cell r="H207" t="str">
            <v>白世根</v>
          </cell>
          <cell r="I207" t="str">
            <v>一星销售顾问</v>
          </cell>
          <cell r="J207" t="str">
            <v>女</v>
          </cell>
          <cell r="K207" t="str">
            <v>正式</v>
          </cell>
          <cell r="L207" t="str">
            <v>内部员工</v>
          </cell>
          <cell r="M207" t="str">
            <v>白世根</v>
          </cell>
        </row>
        <row r="208">
          <cell r="A208" t="str">
            <v>刘佳秋</v>
          </cell>
          <cell r="B208" t="str">
            <v>01743</v>
          </cell>
          <cell r="C208" t="str">
            <v>湖北蜜蜂族房地产经纪有限公司</v>
          </cell>
          <cell r="D208">
            <v>45950</v>
          </cell>
          <cell r="E208" t="str">
            <v>湖北</v>
          </cell>
          <cell r="F208" t="str">
            <v>湖北营销中心</v>
          </cell>
          <cell r="G208" t="str">
            <v>湖北2部</v>
          </cell>
          <cell r="H208" t="str">
            <v>赵国富</v>
          </cell>
          <cell r="I208" t="str">
            <v>实习销售</v>
          </cell>
          <cell r="J208" t="str">
            <v>女</v>
          </cell>
          <cell r="K208" t="str">
            <v>试用</v>
          </cell>
          <cell r="L208" t="str">
            <v>内部员工</v>
          </cell>
          <cell r="M208" t="str">
            <v>赵国富</v>
          </cell>
        </row>
        <row r="209">
          <cell r="A209" t="str">
            <v>周宗娥</v>
          </cell>
          <cell r="B209" t="str">
            <v>01749</v>
          </cell>
          <cell r="C209" t="str">
            <v>四川时代蜂族营销策划有限公司</v>
          </cell>
          <cell r="D209">
            <v>45950</v>
          </cell>
          <cell r="E209" t="str">
            <v>西南总部</v>
          </cell>
          <cell r="F209" t="str">
            <v>西南营销中心</v>
          </cell>
          <cell r="G209" t="str">
            <v>营业二部</v>
          </cell>
          <cell r="H209" t="str">
            <v>李先洪</v>
          </cell>
          <cell r="I209" t="str">
            <v>实习销售</v>
          </cell>
          <cell r="J209" t="str">
            <v>女</v>
          </cell>
          <cell r="K209" t="str">
            <v>试用</v>
          </cell>
          <cell r="L209" t="str">
            <v>内部员工</v>
          </cell>
          <cell r="M209" t="str">
            <v>李先洪</v>
          </cell>
        </row>
        <row r="210">
          <cell r="A210" t="str">
            <v>王莹</v>
          </cell>
          <cell r="B210" t="str">
            <v>01748</v>
          </cell>
          <cell r="C210" t="str">
            <v>山西时代蜂族房地产经纪有限公司</v>
          </cell>
          <cell r="D210">
            <v>45950</v>
          </cell>
          <cell r="E210" t="str">
            <v>山西</v>
          </cell>
          <cell r="F210" t="str">
            <v>山西营销中心</v>
          </cell>
          <cell r="G210" t="str">
            <v>山西销售部</v>
          </cell>
          <cell r="H210" t="str">
            <v>刘辉</v>
          </cell>
          <cell r="I210" t="str">
            <v>实习销售</v>
          </cell>
          <cell r="J210" t="str">
            <v>女</v>
          </cell>
          <cell r="K210" t="str">
            <v>试用</v>
          </cell>
          <cell r="L210" t="str">
            <v>内部员工</v>
          </cell>
          <cell r="M210" t="str">
            <v>刘辉</v>
          </cell>
        </row>
        <row r="211">
          <cell r="A211" t="str">
            <v>王博凯</v>
          </cell>
          <cell r="B211" t="str">
            <v>01747</v>
          </cell>
          <cell r="C211" t="str">
            <v>陕西时代蜂族营销策划有限公司</v>
          </cell>
          <cell r="D211">
            <v>45950</v>
          </cell>
          <cell r="E211" t="str">
            <v>陕西</v>
          </cell>
          <cell r="F211" t="str">
            <v>陕西营销中心</v>
          </cell>
          <cell r="G211" t="str">
            <v>陕西2部</v>
          </cell>
          <cell r="H211" t="str">
            <v>李耀</v>
          </cell>
          <cell r="I211" t="str">
            <v>实习销售</v>
          </cell>
          <cell r="J211" t="str">
            <v>男</v>
          </cell>
          <cell r="K211" t="str">
            <v>试用</v>
          </cell>
          <cell r="L211" t="str">
            <v>内部员工</v>
          </cell>
          <cell r="M211" t="str">
            <v>李耀</v>
          </cell>
        </row>
        <row r="212">
          <cell r="A212" t="str">
            <v>代宇龙</v>
          </cell>
          <cell r="B212" t="str">
            <v>01744</v>
          </cell>
          <cell r="C212" t="str">
            <v>陕西时代蜂族营销策划有限公司</v>
          </cell>
          <cell r="D212">
            <v>45949</v>
          </cell>
          <cell r="E212" t="str">
            <v>陕西</v>
          </cell>
          <cell r="F212" t="str">
            <v>陕西营销中心</v>
          </cell>
          <cell r="G212" t="str">
            <v>陕西1部</v>
          </cell>
          <cell r="H212" t="str">
            <v>孙宇</v>
          </cell>
          <cell r="I212" t="str">
            <v>实习销售</v>
          </cell>
          <cell r="J212" t="str">
            <v>男</v>
          </cell>
          <cell r="K212" t="str">
            <v>试用</v>
          </cell>
          <cell r="L212" t="str">
            <v>内部员工</v>
          </cell>
          <cell r="M212" t="str">
            <v>孙宇</v>
          </cell>
        </row>
        <row r="213">
          <cell r="A213" t="str">
            <v>周加银</v>
          </cell>
          <cell r="B213" t="str">
            <v>01740</v>
          </cell>
          <cell r="C213" t="str">
            <v>四川时代蜂族营销策划有限公司</v>
          </cell>
          <cell r="D213">
            <v>45947</v>
          </cell>
          <cell r="E213" t="str">
            <v>西南总部</v>
          </cell>
          <cell r="F213" t="str">
            <v>西南营销中心</v>
          </cell>
          <cell r="G213" t="str">
            <v>营业三部</v>
          </cell>
          <cell r="H213" t="str">
            <v>刘佳</v>
          </cell>
          <cell r="I213" t="str">
            <v>一星销售顾问</v>
          </cell>
          <cell r="J213" t="str">
            <v>女</v>
          </cell>
          <cell r="K213" t="str">
            <v>正式</v>
          </cell>
          <cell r="L213" t="str">
            <v>内部员工</v>
          </cell>
          <cell r="M213" t="str">
            <v>刘佳</v>
          </cell>
        </row>
        <row r="214">
          <cell r="A214" t="str">
            <v>夏亮亮</v>
          </cell>
          <cell r="B214" t="str">
            <v>01738</v>
          </cell>
          <cell r="C214" t="str">
            <v>湖北蜜蜂族房地产经纪有限公司</v>
          </cell>
          <cell r="D214">
            <v>45946</v>
          </cell>
          <cell r="E214" t="str">
            <v>湖北</v>
          </cell>
          <cell r="F214" t="str">
            <v>湖北营销中心</v>
          </cell>
          <cell r="G214" t="str">
            <v>湖北2部</v>
          </cell>
          <cell r="H214" t="str">
            <v>吴明银</v>
          </cell>
          <cell r="I214" t="str">
            <v>实习销售</v>
          </cell>
          <cell r="J214" t="str">
            <v>男</v>
          </cell>
          <cell r="K214" t="str">
            <v>试用</v>
          </cell>
          <cell r="L214" t="str">
            <v>内部员工</v>
          </cell>
          <cell r="M214" t="str">
            <v>吴明银</v>
          </cell>
        </row>
        <row r="215">
          <cell r="A215" t="str">
            <v>马丹丹</v>
          </cell>
          <cell r="B215" t="str">
            <v>01741</v>
          </cell>
          <cell r="C215" t="str">
            <v>成都蓉天城房地产营销策划有限公司</v>
          </cell>
          <cell r="D215">
            <v>45946</v>
          </cell>
          <cell r="E215" t="str">
            <v>集团职能</v>
          </cell>
          <cell r="F215" t="str">
            <v>职能总部</v>
          </cell>
          <cell r="G215" t="str">
            <v>外呼中心</v>
          </cell>
        </row>
        <row r="215">
          <cell r="I215" t="str">
            <v>调研专员</v>
          </cell>
          <cell r="J215" t="str">
            <v>女</v>
          </cell>
          <cell r="K215" t="str">
            <v>正式</v>
          </cell>
          <cell r="L215" t="str">
            <v>内部员工</v>
          </cell>
          <cell r="M215" t="str">
            <v>罗津俞</v>
          </cell>
        </row>
        <row r="216">
          <cell r="A216" t="str">
            <v>王思颖</v>
          </cell>
          <cell r="B216" t="str">
            <v>01729</v>
          </cell>
          <cell r="C216" t="str">
            <v>四川时代蜂族营销策划有限公司</v>
          </cell>
          <cell r="D216">
            <v>45945</v>
          </cell>
          <cell r="E216" t="str">
            <v>西南总部</v>
          </cell>
          <cell r="F216" t="str">
            <v>西南营销中心</v>
          </cell>
          <cell r="G216" t="str">
            <v>营业三部</v>
          </cell>
          <cell r="H216" t="str">
            <v>刘佳</v>
          </cell>
          <cell r="I216" t="str">
            <v>一星销售顾问</v>
          </cell>
          <cell r="J216" t="str">
            <v>女</v>
          </cell>
          <cell r="K216" t="str">
            <v>正式</v>
          </cell>
          <cell r="L216" t="str">
            <v>内部员工</v>
          </cell>
          <cell r="M216" t="str">
            <v>刘佳</v>
          </cell>
        </row>
        <row r="217">
          <cell r="A217" t="str">
            <v>王紫瑞</v>
          </cell>
          <cell r="B217" t="str">
            <v>01732</v>
          </cell>
          <cell r="C217" t="str">
            <v>四川时代蜂族营销策划有限公司</v>
          </cell>
          <cell r="D217">
            <v>45944</v>
          </cell>
          <cell r="E217" t="str">
            <v>西南总部</v>
          </cell>
          <cell r="F217" t="str">
            <v>西南营销中心</v>
          </cell>
          <cell r="G217" t="str">
            <v>营业七部</v>
          </cell>
          <cell r="H217" t="str">
            <v>陈彪</v>
          </cell>
          <cell r="I217" t="str">
            <v>一星销售顾问</v>
          </cell>
          <cell r="J217" t="str">
            <v>男</v>
          </cell>
          <cell r="K217" t="str">
            <v>正式</v>
          </cell>
          <cell r="L217" t="str">
            <v>实习生</v>
          </cell>
          <cell r="M217" t="str">
            <v>陈彪</v>
          </cell>
        </row>
        <row r="218">
          <cell r="A218" t="str">
            <v>李立</v>
          </cell>
          <cell r="B218" t="str">
            <v>01739</v>
          </cell>
          <cell r="C218" t="str">
            <v>四川时代蜂族营销策划有限公司</v>
          </cell>
          <cell r="D218">
            <v>45944</v>
          </cell>
          <cell r="E218" t="str">
            <v>西南总部</v>
          </cell>
          <cell r="F218" t="str">
            <v>西南营销中心</v>
          </cell>
          <cell r="G218" t="str">
            <v>营业六部</v>
          </cell>
          <cell r="H218" t="str">
            <v>杨翠茹</v>
          </cell>
          <cell r="I218" t="str">
            <v>一星销售顾问</v>
          </cell>
          <cell r="J218" t="str">
            <v>女</v>
          </cell>
          <cell r="K218" t="str">
            <v>正式</v>
          </cell>
          <cell r="L218" t="str">
            <v>内部员工</v>
          </cell>
          <cell r="M218" t="str">
            <v>杨翠茹</v>
          </cell>
        </row>
        <row r="219">
          <cell r="A219" t="str">
            <v>曾渝轩</v>
          </cell>
          <cell r="B219" t="str">
            <v>00462</v>
          </cell>
          <cell r="C219" t="str">
            <v>山东时代蜂族营销策划有限公司</v>
          </cell>
          <cell r="D219">
            <v>45943</v>
          </cell>
          <cell r="E219" t="str">
            <v>山东</v>
          </cell>
          <cell r="F219" t="str">
            <v>山东营销中心</v>
          </cell>
          <cell r="G219" t="str">
            <v>山东销售部</v>
          </cell>
          <cell r="H219" t="str">
            <v>杨唐山东</v>
          </cell>
          <cell r="I219" t="str">
            <v>实习销售</v>
          </cell>
          <cell r="J219" t="str">
            <v>男</v>
          </cell>
          <cell r="K219" t="str">
            <v>试用</v>
          </cell>
          <cell r="L219" t="str">
            <v>内部员工</v>
          </cell>
          <cell r="M219" t="str">
            <v>杨唐</v>
          </cell>
        </row>
        <row r="220">
          <cell r="A220" t="str">
            <v>马文茂</v>
          </cell>
          <cell r="B220" t="str">
            <v>01736</v>
          </cell>
          <cell r="C220" t="str">
            <v>四川时代蜂族营销策划有限公司</v>
          </cell>
          <cell r="D220">
            <v>45943</v>
          </cell>
          <cell r="E220" t="str">
            <v>西南总部</v>
          </cell>
          <cell r="F220" t="str">
            <v>西南营销中心</v>
          </cell>
          <cell r="G220" t="str">
            <v>营业三部</v>
          </cell>
          <cell r="H220" t="str">
            <v>张萍</v>
          </cell>
          <cell r="I220" t="str">
            <v>一星销售顾问</v>
          </cell>
          <cell r="J220" t="str">
            <v>男</v>
          </cell>
          <cell r="K220" t="str">
            <v>正式</v>
          </cell>
          <cell r="L220" t="str">
            <v>内部员工</v>
          </cell>
          <cell r="M220" t="str">
            <v>张萍</v>
          </cell>
        </row>
        <row r="221">
          <cell r="A221" t="str">
            <v>赵红宇</v>
          </cell>
          <cell r="B221" t="str">
            <v>01728</v>
          </cell>
          <cell r="C221" t="str">
            <v>陕西时代蜂族营销策划有限公司</v>
          </cell>
          <cell r="D221">
            <v>45943</v>
          </cell>
          <cell r="E221" t="str">
            <v>陕西</v>
          </cell>
          <cell r="F221" t="str">
            <v>陕西营销中心</v>
          </cell>
          <cell r="G221" t="str">
            <v>陕西2部</v>
          </cell>
          <cell r="H221" t="str">
            <v>王晓刚</v>
          </cell>
          <cell r="I221" t="str">
            <v>实习销售</v>
          </cell>
          <cell r="J221" t="str">
            <v>男</v>
          </cell>
          <cell r="K221" t="str">
            <v>试用</v>
          </cell>
          <cell r="L221" t="str">
            <v>内部员工</v>
          </cell>
          <cell r="M221" t="str">
            <v>王晓刚</v>
          </cell>
        </row>
        <row r="222">
          <cell r="A222" t="str">
            <v>黄浩</v>
          </cell>
          <cell r="B222" t="str">
            <v>01735</v>
          </cell>
          <cell r="C222" t="str">
            <v>四川时代蜂族营销策划有限公司</v>
          </cell>
          <cell r="D222">
            <v>45943</v>
          </cell>
          <cell r="E222" t="str">
            <v>西南总部</v>
          </cell>
          <cell r="F222" t="str">
            <v>西南营销中心</v>
          </cell>
          <cell r="G222" t="str">
            <v>营业四部</v>
          </cell>
          <cell r="H222" t="str">
            <v>李培金</v>
          </cell>
          <cell r="I222" t="str">
            <v>一星销售顾问</v>
          </cell>
          <cell r="J222" t="str">
            <v>男</v>
          </cell>
          <cell r="K222" t="str">
            <v>正式</v>
          </cell>
          <cell r="L222" t="str">
            <v>内部员工</v>
          </cell>
          <cell r="M222" t="str">
            <v>李培金</v>
          </cell>
        </row>
        <row r="223">
          <cell r="A223" t="str">
            <v>王杰2</v>
          </cell>
          <cell r="B223" t="str">
            <v>01731</v>
          </cell>
          <cell r="C223" t="str">
            <v>四川时代蜂族营销策划有限公司</v>
          </cell>
          <cell r="D223">
            <v>45943</v>
          </cell>
          <cell r="E223" t="str">
            <v>湖南</v>
          </cell>
          <cell r="F223" t="str">
            <v>湖南营销中心</v>
          </cell>
          <cell r="G223" t="str">
            <v>湖南销售部</v>
          </cell>
          <cell r="H223" t="str">
            <v>孙小龙湖南</v>
          </cell>
          <cell r="I223" t="str">
            <v>一星销售顾问</v>
          </cell>
          <cell r="J223" t="str">
            <v>男</v>
          </cell>
          <cell r="K223" t="str">
            <v>正式</v>
          </cell>
          <cell r="L223" t="str">
            <v>内部员工</v>
          </cell>
          <cell r="M223" t="str">
            <v>孙小龙</v>
          </cell>
        </row>
        <row r="224">
          <cell r="A224" t="str">
            <v>孙江林</v>
          </cell>
          <cell r="B224" t="str">
            <v>01723</v>
          </cell>
          <cell r="C224" t="str">
            <v>四川时代蜂族营销策划有限公司</v>
          </cell>
          <cell r="D224">
            <v>45941</v>
          </cell>
          <cell r="E224" t="str">
            <v>西南总部</v>
          </cell>
          <cell r="F224" t="str">
            <v>西南营销中心</v>
          </cell>
          <cell r="G224" t="str">
            <v>营业七部</v>
          </cell>
          <cell r="H224" t="str">
            <v>刘鹏</v>
          </cell>
          <cell r="I224" t="str">
            <v>一星销售顾问</v>
          </cell>
          <cell r="J224" t="str">
            <v>男</v>
          </cell>
          <cell r="K224" t="str">
            <v>正式</v>
          </cell>
          <cell r="L224" t="str">
            <v>内部员工</v>
          </cell>
          <cell r="M224" t="str">
            <v>刘鹏</v>
          </cell>
        </row>
        <row r="225">
          <cell r="A225" t="str">
            <v>张拓</v>
          </cell>
          <cell r="B225" t="str">
            <v>01725</v>
          </cell>
          <cell r="C225" t="str">
            <v>陕西蜂族科技有限公司</v>
          </cell>
          <cell r="D225">
            <v>45941</v>
          </cell>
          <cell r="E225" t="str">
            <v>陕西</v>
          </cell>
          <cell r="F225" t="str">
            <v>陕西营销中心</v>
          </cell>
          <cell r="G225" t="str">
            <v>陕西1部</v>
          </cell>
          <cell r="H225" t="str">
            <v>马少波</v>
          </cell>
          <cell r="I225" t="str">
            <v>实习销售</v>
          </cell>
          <cell r="J225" t="str">
            <v>男</v>
          </cell>
          <cell r="K225" t="str">
            <v>试用</v>
          </cell>
          <cell r="L225" t="str">
            <v>内部员工</v>
          </cell>
          <cell r="M225" t="str">
            <v>马少波</v>
          </cell>
        </row>
        <row r="226">
          <cell r="A226" t="str">
            <v>刘嘉馨</v>
          </cell>
          <cell r="B226" t="str">
            <v>01726</v>
          </cell>
          <cell r="C226" t="str">
            <v>山西时代蜂族房地产经纪有限公司</v>
          </cell>
          <cell r="D226">
            <v>45940</v>
          </cell>
          <cell r="E226" t="str">
            <v>山西</v>
          </cell>
          <cell r="F226" t="str">
            <v>山西营销中心</v>
          </cell>
          <cell r="G226" t="str">
            <v>山西销售部</v>
          </cell>
          <cell r="H226" t="str">
            <v>刘辉</v>
          </cell>
          <cell r="I226" t="str">
            <v>一星销售顾问</v>
          </cell>
          <cell r="J226" t="str">
            <v>男</v>
          </cell>
          <cell r="K226" t="str">
            <v>正式</v>
          </cell>
          <cell r="L226" t="str">
            <v>内部员工</v>
          </cell>
          <cell r="M226" t="str">
            <v>刘辉</v>
          </cell>
        </row>
        <row r="227">
          <cell r="A227" t="str">
            <v>张琴霞</v>
          </cell>
          <cell r="B227" t="str">
            <v>01724</v>
          </cell>
          <cell r="C227" t="str">
            <v>四川时代蜂族营销策划有限公司</v>
          </cell>
          <cell r="D227">
            <v>45939</v>
          </cell>
          <cell r="E227" t="str">
            <v>西南总部</v>
          </cell>
          <cell r="F227" t="str">
            <v>西南营销中心</v>
          </cell>
          <cell r="G227" t="str">
            <v>营业五部</v>
          </cell>
          <cell r="H227" t="str">
            <v>李敏</v>
          </cell>
          <cell r="I227" t="str">
            <v>一星销售顾问</v>
          </cell>
          <cell r="J227" t="str">
            <v>女</v>
          </cell>
          <cell r="K227" t="str">
            <v>正式</v>
          </cell>
          <cell r="L227" t="str">
            <v>内部员工</v>
          </cell>
          <cell r="M227" t="str">
            <v>李敏</v>
          </cell>
        </row>
        <row r="228">
          <cell r="A228" t="str">
            <v>胡彬</v>
          </cell>
          <cell r="B228" t="str">
            <v>01716</v>
          </cell>
          <cell r="C228" t="str">
            <v>四川蜂起营销策划有限公司</v>
          </cell>
          <cell r="D228">
            <v>45939</v>
          </cell>
          <cell r="E228" t="str">
            <v>集团职能</v>
          </cell>
          <cell r="F228" t="str">
            <v>职能营销</v>
          </cell>
          <cell r="G228" t="str">
            <v>设计部</v>
          </cell>
        </row>
        <row r="228">
          <cell r="I228" t="str">
            <v>设计专员</v>
          </cell>
          <cell r="J228" t="str">
            <v>男</v>
          </cell>
          <cell r="K228" t="str">
            <v>正式</v>
          </cell>
          <cell r="L228" t="str">
            <v>内部员工</v>
          </cell>
          <cell r="M228" t="str">
            <v>李旭</v>
          </cell>
        </row>
        <row r="229">
          <cell r="A229" t="str">
            <v>曾树兰</v>
          </cell>
          <cell r="B229" t="str">
            <v>01719</v>
          </cell>
          <cell r="C229" t="str">
            <v>四川时代蜂族营销策划有限公司</v>
          </cell>
          <cell r="D229">
            <v>45938</v>
          </cell>
          <cell r="E229" t="str">
            <v>西南总部</v>
          </cell>
          <cell r="F229" t="str">
            <v>西南营销中心</v>
          </cell>
          <cell r="G229" t="str">
            <v>营业三部</v>
          </cell>
          <cell r="H229" t="str">
            <v>陶再阳</v>
          </cell>
          <cell r="I229" t="str">
            <v>一星销售顾问</v>
          </cell>
          <cell r="J229" t="str">
            <v>女</v>
          </cell>
          <cell r="K229" t="str">
            <v>正式</v>
          </cell>
          <cell r="L229" t="str">
            <v>内部员工</v>
          </cell>
          <cell r="M229" t="str">
            <v>陶再阳</v>
          </cell>
        </row>
        <row r="230">
          <cell r="A230" t="str">
            <v>席楠</v>
          </cell>
          <cell r="B230" t="str">
            <v>01720</v>
          </cell>
          <cell r="C230" t="str">
            <v>陕西蜂族科技有限公司</v>
          </cell>
          <cell r="D230">
            <v>45938</v>
          </cell>
          <cell r="E230" t="str">
            <v>陕西</v>
          </cell>
          <cell r="F230" t="str">
            <v>陕西营销中心</v>
          </cell>
          <cell r="G230" t="str">
            <v>陕西2部</v>
          </cell>
          <cell r="H230" t="str">
            <v>罗小花</v>
          </cell>
          <cell r="I230" t="str">
            <v>一星销售顾问</v>
          </cell>
          <cell r="J230" t="str">
            <v>男</v>
          </cell>
          <cell r="K230" t="str">
            <v>正式</v>
          </cell>
          <cell r="L230" t="str">
            <v>内部员工</v>
          </cell>
          <cell r="M230" t="str">
            <v>罗小花</v>
          </cell>
        </row>
        <row r="231">
          <cell r="A231" t="str">
            <v>李可馨</v>
          </cell>
          <cell r="B231" t="str">
            <v>01722</v>
          </cell>
          <cell r="C231" t="str">
            <v>陕西时代蜂族营销策划有限公司</v>
          </cell>
          <cell r="D231">
            <v>45938</v>
          </cell>
          <cell r="E231" t="str">
            <v>陕西</v>
          </cell>
          <cell r="F231" t="str">
            <v>陕西办公室</v>
          </cell>
        </row>
        <row r="231">
          <cell r="I231" t="str">
            <v>实习销售政委</v>
          </cell>
          <cell r="J231" t="str">
            <v>女</v>
          </cell>
          <cell r="K231" t="str">
            <v>正式</v>
          </cell>
          <cell r="L231" t="str">
            <v>内部员工</v>
          </cell>
          <cell r="M231" t="str">
            <v>廖小朋</v>
          </cell>
        </row>
        <row r="232">
          <cell r="A232" t="str">
            <v>路俊亮</v>
          </cell>
          <cell r="B232" t="str">
            <v>01718</v>
          </cell>
          <cell r="C232" t="str">
            <v>河南蜜蜂族营销策划有限公司</v>
          </cell>
          <cell r="D232">
            <v>45935</v>
          </cell>
          <cell r="E232" t="str">
            <v>河南</v>
          </cell>
          <cell r="F232" t="str">
            <v>河南营销中心</v>
          </cell>
          <cell r="G232" t="str">
            <v>河南销售部</v>
          </cell>
          <cell r="H232" t="str">
            <v>蒋吉勇河南</v>
          </cell>
          <cell r="I232" t="str">
            <v>实习销售</v>
          </cell>
          <cell r="J232" t="str">
            <v>男</v>
          </cell>
          <cell r="K232" t="str">
            <v>试用</v>
          </cell>
          <cell r="L232" t="str">
            <v>内部员工</v>
          </cell>
          <cell r="M232" t="str">
            <v>蒋吉勇</v>
          </cell>
        </row>
        <row r="233">
          <cell r="A233" t="str">
            <v>徐林</v>
          </cell>
          <cell r="B233" t="str">
            <v>01714</v>
          </cell>
          <cell r="C233" t="str">
            <v>陕西蜂族科技有限公司</v>
          </cell>
          <cell r="D233">
            <v>45932</v>
          </cell>
          <cell r="E233" t="str">
            <v>陕西</v>
          </cell>
          <cell r="F233" t="str">
            <v>陕西营销中心</v>
          </cell>
          <cell r="G233" t="str">
            <v>陕西2部</v>
          </cell>
          <cell r="H233" t="str">
            <v>王晓刚</v>
          </cell>
          <cell r="I233" t="str">
            <v>实习销售</v>
          </cell>
          <cell r="J233" t="str">
            <v>女</v>
          </cell>
          <cell r="K233" t="str">
            <v>试用</v>
          </cell>
          <cell r="L233" t="str">
            <v>内部员工</v>
          </cell>
          <cell r="M233" t="str">
            <v>王晓刚</v>
          </cell>
        </row>
        <row r="234">
          <cell r="A234" t="str">
            <v>赵玲</v>
          </cell>
          <cell r="B234" t="str">
            <v>01049</v>
          </cell>
          <cell r="C234" t="str">
            <v>四川时代蜂族营销策划有限公司</v>
          </cell>
          <cell r="D234">
            <v>45929</v>
          </cell>
          <cell r="E234" t="str">
            <v>辽宁</v>
          </cell>
          <cell r="F234" t="str">
            <v>辽宁营销中心</v>
          </cell>
          <cell r="G234" t="str">
            <v>辽宁销售部</v>
          </cell>
          <cell r="H234" t="str">
            <v>孙科辽宁</v>
          </cell>
          <cell r="I234" t="str">
            <v>二星销售顾问</v>
          </cell>
          <cell r="J234" t="str">
            <v>女</v>
          </cell>
          <cell r="K234" t="str">
            <v>正式</v>
          </cell>
          <cell r="L234" t="str">
            <v>内部员工</v>
          </cell>
          <cell r="M234" t="str">
            <v>孙科</v>
          </cell>
        </row>
        <row r="235">
          <cell r="A235" t="str">
            <v>王锐</v>
          </cell>
          <cell r="B235" t="str">
            <v>01710</v>
          </cell>
          <cell r="C235" t="str">
            <v>四川时代蜂族营销策划有限公司</v>
          </cell>
          <cell r="D235">
            <v>45927</v>
          </cell>
          <cell r="E235" t="str">
            <v>西南总部</v>
          </cell>
          <cell r="F235" t="str">
            <v>西南营销中心</v>
          </cell>
          <cell r="G235" t="str">
            <v>营业五部</v>
          </cell>
          <cell r="H235" t="str">
            <v>李敏</v>
          </cell>
          <cell r="I235" t="str">
            <v>一星销售顾问</v>
          </cell>
          <cell r="J235" t="str">
            <v>男</v>
          </cell>
          <cell r="K235" t="str">
            <v>正式</v>
          </cell>
          <cell r="L235" t="str">
            <v>内部员工</v>
          </cell>
          <cell r="M235" t="str">
            <v>李敏</v>
          </cell>
        </row>
        <row r="236">
          <cell r="A236" t="str">
            <v>王志红</v>
          </cell>
          <cell r="B236" t="str">
            <v>01715</v>
          </cell>
          <cell r="C236" t="str">
            <v>湖南时代蜂族营销策划有限公司</v>
          </cell>
          <cell r="D236">
            <v>45927</v>
          </cell>
          <cell r="E236" t="str">
            <v>湖南</v>
          </cell>
          <cell r="F236" t="str">
            <v>湖南营销中心</v>
          </cell>
          <cell r="G236" t="str">
            <v>湖南销售部</v>
          </cell>
          <cell r="H236" t="str">
            <v>夏富杨</v>
          </cell>
          <cell r="I236" t="str">
            <v>实习销售</v>
          </cell>
          <cell r="J236" t="str">
            <v>男</v>
          </cell>
          <cell r="K236" t="str">
            <v>试用</v>
          </cell>
          <cell r="L236" t="str">
            <v>内部员工</v>
          </cell>
          <cell r="M236" t="str">
            <v>夏富杨</v>
          </cell>
        </row>
        <row r="237">
          <cell r="A237" t="str">
            <v>钟昌燕</v>
          </cell>
          <cell r="B237" t="str">
            <v>01709</v>
          </cell>
          <cell r="C237" t="str">
            <v>四川时代蜂族营销策划有限公司</v>
          </cell>
          <cell r="D237">
            <v>45927</v>
          </cell>
          <cell r="E237" t="str">
            <v>西南总部</v>
          </cell>
          <cell r="F237" t="str">
            <v>西南营销中心</v>
          </cell>
          <cell r="G237" t="str">
            <v>营业五部</v>
          </cell>
          <cell r="H237" t="str">
            <v>尹稳</v>
          </cell>
          <cell r="I237" t="str">
            <v>一星销售顾问</v>
          </cell>
          <cell r="J237" t="str">
            <v>女</v>
          </cell>
          <cell r="K237" t="str">
            <v>正式</v>
          </cell>
          <cell r="L237" t="str">
            <v>内部员工</v>
          </cell>
          <cell r="M237" t="str">
            <v>尹稳</v>
          </cell>
        </row>
        <row r="238">
          <cell r="A238" t="str">
            <v>颜尚清</v>
          </cell>
          <cell r="B238" t="str">
            <v>01706</v>
          </cell>
          <cell r="C238" t="str">
            <v>四川时代蜂族营销策划有限公司</v>
          </cell>
          <cell r="D238">
            <v>45927</v>
          </cell>
          <cell r="E238" t="str">
            <v>西南总部</v>
          </cell>
          <cell r="F238" t="str">
            <v>西南营销中心</v>
          </cell>
          <cell r="G238" t="str">
            <v>营业六部</v>
          </cell>
          <cell r="H238" t="str">
            <v>贾雪英</v>
          </cell>
          <cell r="I238" t="str">
            <v>一星销售顾问</v>
          </cell>
          <cell r="J238" t="str">
            <v>男</v>
          </cell>
          <cell r="K238" t="str">
            <v>正式</v>
          </cell>
          <cell r="L238" t="str">
            <v>内部员工</v>
          </cell>
          <cell r="M238" t="str">
            <v>贾雪英</v>
          </cell>
        </row>
        <row r="239">
          <cell r="A239" t="str">
            <v>牛子玮</v>
          </cell>
          <cell r="B239" t="str">
            <v>01705</v>
          </cell>
          <cell r="C239" t="str">
            <v>山东时代蜂族营销策划有限公司</v>
          </cell>
          <cell r="D239">
            <v>45922</v>
          </cell>
          <cell r="E239" t="str">
            <v>山东</v>
          </cell>
          <cell r="F239" t="str">
            <v>山东营销中心</v>
          </cell>
          <cell r="G239" t="str">
            <v>山东销售部</v>
          </cell>
          <cell r="H239" t="str">
            <v>肖佳</v>
          </cell>
          <cell r="I239" t="str">
            <v>一星销售顾问</v>
          </cell>
          <cell r="J239" t="str">
            <v>男</v>
          </cell>
          <cell r="K239" t="str">
            <v>正式</v>
          </cell>
          <cell r="L239" t="str">
            <v>内部员工</v>
          </cell>
          <cell r="M239" t="str">
            <v>肖佳</v>
          </cell>
        </row>
        <row r="240">
          <cell r="A240" t="str">
            <v>邢红英</v>
          </cell>
          <cell r="B240" t="str">
            <v>01704</v>
          </cell>
          <cell r="C240" t="str">
            <v>四川时代蜂族营销策划有限公司</v>
          </cell>
          <cell r="D240">
            <v>45920</v>
          </cell>
          <cell r="E240" t="str">
            <v>西南总部</v>
          </cell>
          <cell r="F240" t="str">
            <v>西南营销中心</v>
          </cell>
          <cell r="G240" t="str">
            <v>营业六部</v>
          </cell>
          <cell r="H240" t="str">
            <v>税锐</v>
          </cell>
          <cell r="I240" t="str">
            <v>一星销售顾问</v>
          </cell>
          <cell r="J240" t="str">
            <v>女</v>
          </cell>
          <cell r="K240" t="str">
            <v>正式</v>
          </cell>
          <cell r="L240" t="str">
            <v>内部员工</v>
          </cell>
          <cell r="M240" t="str">
            <v>税锐</v>
          </cell>
        </row>
        <row r="241">
          <cell r="A241" t="str">
            <v>王成</v>
          </cell>
          <cell r="B241" t="str">
            <v>00827</v>
          </cell>
          <cell r="C241" t="str">
            <v>四川时代蜂族营销策划有限公司</v>
          </cell>
          <cell r="D241">
            <v>45920</v>
          </cell>
          <cell r="E241" t="str">
            <v>西南总部</v>
          </cell>
          <cell r="F241" t="str">
            <v>西南营销中心</v>
          </cell>
          <cell r="G241" t="str">
            <v>营业二部</v>
          </cell>
          <cell r="H241" t="str">
            <v>黄磊</v>
          </cell>
          <cell r="I241" t="str">
            <v>二星销售顾问</v>
          </cell>
          <cell r="J241" t="str">
            <v>男</v>
          </cell>
          <cell r="K241" t="str">
            <v>正式</v>
          </cell>
          <cell r="L241" t="str">
            <v>内部员工</v>
          </cell>
          <cell r="M241" t="str">
            <v>黄磊</v>
          </cell>
        </row>
        <row r="242">
          <cell r="A242" t="str">
            <v>周玉兰</v>
          </cell>
          <cell r="B242" t="str">
            <v>01699</v>
          </cell>
          <cell r="C242" t="str">
            <v>四川时代蜂族营销策划有限公司</v>
          </cell>
          <cell r="D242">
            <v>45918</v>
          </cell>
          <cell r="E242" t="str">
            <v>西南总部</v>
          </cell>
          <cell r="F242" t="str">
            <v>西南营销中心</v>
          </cell>
          <cell r="G242" t="str">
            <v>营业六部</v>
          </cell>
          <cell r="H242" t="str">
            <v>税锐</v>
          </cell>
          <cell r="I242" t="str">
            <v>一星销售顾问</v>
          </cell>
          <cell r="J242" t="str">
            <v>女</v>
          </cell>
          <cell r="K242" t="str">
            <v>正式</v>
          </cell>
          <cell r="L242" t="str">
            <v>内部员工</v>
          </cell>
          <cell r="M242" t="str">
            <v>税锐</v>
          </cell>
        </row>
        <row r="243">
          <cell r="A243" t="str">
            <v>余侃侃</v>
          </cell>
          <cell r="B243" t="str">
            <v>01702</v>
          </cell>
          <cell r="C243" t="str">
            <v>四川时代蜂族营销策划有限公司</v>
          </cell>
          <cell r="D243">
            <v>45918</v>
          </cell>
          <cell r="E243" t="str">
            <v>河北</v>
          </cell>
          <cell r="F243" t="str">
            <v>河北营销中心</v>
          </cell>
          <cell r="G243" t="str">
            <v>河北销售部</v>
          </cell>
          <cell r="H243" t="str">
            <v>李港一</v>
          </cell>
          <cell r="I243" t="str">
            <v>一星销售顾问</v>
          </cell>
          <cell r="J243" t="str">
            <v>男</v>
          </cell>
          <cell r="K243" t="str">
            <v>正式</v>
          </cell>
          <cell r="L243" t="str">
            <v>内部员工</v>
          </cell>
          <cell r="M243" t="str">
            <v>李港一</v>
          </cell>
        </row>
        <row r="244">
          <cell r="A244" t="str">
            <v>周佳玲</v>
          </cell>
          <cell r="B244" t="str">
            <v>00388</v>
          </cell>
          <cell r="C244" t="str">
            <v>四川时代蜂族营销策划有限公司</v>
          </cell>
          <cell r="D244">
            <v>45917</v>
          </cell>
          <cell r="E244" t="str">
            <v>西南总部</v>
          </cell>
          <cell r="F244" t="str">
            <v>西南营销中心</v>
          </cell>
          <cell r="G244" t="str">
            <v>营业七部</v>
          </cell>
          <cell r="H244" t="str">
            <v>刘鹏</v>
          </cell>
          <cell r="I244" t="str">
            <v>二星销售顾问</v>
          </cell>
          <cell r="J244" t="str">
            <v>女</v>
          </cell>
          <cell r="K244" t="str">
            <v>正式</v>
          </cell>
          <cell r="L244" t="str">
            <v>内部员工</v>
          </cell>
          <cell r="M244" t="str">
            <v>刘鹏</v>
          </cell>
        </row>
        <row r="245">
          <cell r="A245" t="str">
            <v>刘俊海</v>
          </cell>
          <cell r="B245" t="str">
            <v>00385</v>
          </cell>
          <cell r="C245" t="str">
            <v>湖南时代蜂族营销策划有限公司</v>
          </cell>
          <cell r="D245">
            <v>45915</v>
          </cell>
          <cell r="E245" t="str">
            <v>湖南</v>
          </cell>
          <cell r="F245" t="str">
            <v>湖南营销中心</v>
          </cell>
          <cell r="G245" t="str">
            <v>湖南销售部</v>
          </cell>
          <cell r="H245" t="str">
            <v>杨超群</v>
          </cell>
          <cell r="I245" t="str">
            <v>一星实习经理</v>
          </cell>
          <cell r="J245" t="str">
            <v>男</v>
          </cell>
          <cell r="K245" t="str">
            <v>正式</v>
          </cell>
          <cell r="L245" t="str">
            <v>内部员工</v>
          </cell>
          <cell r="M245" t="str">
            <v>杨超群</v>
          </cell>
        </row>
        <row r="246">
          <cell r="A246" t="str">
            <v>张泽坤</v>
          </cell>
          <cell r="B246" t="str">
            <v>01697</v>
          </cell>
          <cell r="C246" t="str">
            <v>陕西蜂族科技有限公司</v>
          </cell>
          <cell r="D246">
            <v>45915</v>
          </cell>
          <cell r="E246" t="str">
            <v>陕西</v>
          </cell>
          <cell r="F246" t="str">
            <v>陕西营销中心</v>
          </cell>
          <cell r="G246" t="str">
            <v>陕西1部</v>
          </cell>
          <cell r="H246" t="str">
            <v>杨永梅</v>
          </cell>
          <cell r="I246" t="str">
            <v>实习销售</v>
          </cell>
          <cell r="J246" t="str">
            <v>男</v>
          </cell>
          <cell r="K246" t="str">
            <v>试用</v>
          </cell>
          <cell r="L246" t="str">
            <v>内部员工</v>
          </cell>
          <cell r="M246" t="str">
            <v>杨永梅</v>
          </cell>
        </row>
        <row r="247">
          <cell r="A247" t="str">
            <v>蒲洪</v>
          </cell>
          <cell r="B247" t="str">
            <v>01703</v>
          </cell>
          <cell r="C247" t="str">
            <v>四川时代蜂族营销策划有限公司</v>
          </cell>
          <cell r="D247">
            <v>45914</v>
          </cell>
          <cell r="E247" t="str">
            <v>西南总部</v>
          </cell>
          <cell r="F247" t="str">
            <v>西南营销中心</v>
          </cell>
          <cell r="G247" t="str">
            <v>营业五部</v>
          </cell>
          <cell r="H247" t="str">
            <v>尹稳</v>
          </cell>
          <cell r="I247" t="str">
            <v>一星销售顾问</v>
          </cell>
          <cell r="J247" t="str">
            <v>男</v>
          </cell>
          <cell r="K247" t="str">
            <v>正式</v>
          </cell>
          <cell r="L247" t="str">
            <v>内部员工</v>
          </cell>
          <cell r="M247" t="str">
            <v>尹稳</v>
          </cell>
        </row>
        <row r="248">
          <cell r="A248" t="str">
            <v>汪强</v>
          </cell>
          <cell r="B248" t="str">
            <v>01694</v>
          </cell>
          <cell r="C248" t="str">
            <v>四川时代蜂族营销策划有限公司</v>
          </cell>
          <cell r="D248">
            <v>45913</v>
          </cell>
          <cell r="E248" t="str">
            <v>西南总部</v>
          </cell>
          <cell r="F248" t="str">
            <v>西南营销中心</v>
          </cell>
          <cell r="G248" t="str">
            <v>营业二部</v>
          </cell>
          <cell r="H248" t="str">
            <v>李先洪</v>
          </cell>
          <cell r="I248" t="str">
            <v>实习销售</v>
          </cell>
          <cell r="J248" t="str">
            <v>男</v>
          </cell>
          <cell r="K248" t="str">
            <v>试用</v>
          </cell>
          <cell r="L248" t="str">
            <v>内部员工</v>
          </cell>
          <cell r="M248" t="str">
            <v>李先洪</v>
          </cell>
        </row>
        <row r="249">
          <cell r="A249" t="str">
            <v>王勤博</v>
          </cell>
          <cell r="B249" t="str">
            <v>01698</v>
          </cell>
          <cell r="C249" t="str">
            <v>山西时代蜂族房地产经纪有限公司</v>
          </cell>
          <cell r="D249">
            <v>45913</v>
          </cell>
          <cell r="E249" t="str">
            <v>山西</v>
          </cell>
          <cell r="F249" t="str">
            <v>山西营销中心</v>
          </cell>
          <cell r="G249" t="str">
            <v>山西销售部</v>
          </cell>
          <cell r="H249" t="str">
            <v>郭永曼</v>
          </cell>
          <cell r="I249" t="str">
            <v>二星销售顾问</v>
          </cell>
          <cell r="J249" t="str">
            <v>男</v>
          </cell>
          <cell r="K249" t="str">
            <v>正式</v>
          </cell>
          <cell r="L249" t="str">
            <v>内部员工</v>
          </cell>
          <cell r="M249" t="str">
            <v>郭永曼</v>
          </cell>
        </row>
        <row r="250">
          <cell r="A250" t="str">
            <v>李凤琴</v>
          </cell>
          <cell r="B250" t="str">
            <v>01223</v>
          </cell>
          <cell r="C250" t="str">
            <v>四川时代蜂族营销策划有限公司</v>
          </cell>
          <cell r="D250">
            <v>45912</v>
          </cell>
          <cell r="E250" t="str">
            <v>西南总部</v>
          </cell>
          <cell r="F250" t="str">
            <v>西南营销中心</v>
          </cell>
          <cell r="G250" t="str">
            <v>营业七部</v>
          </cell>
          <cell r="H250" t="str">
            <v>程新浩</v>
          </cell>
          <cell r="I250" t="str">
            <v>一星销售顾问</v>
          </cell>
          <cell r="J250" t="str">
            <v>女</v>
          </cell>
          <cell r="K250" t="str">
            <v>正式</v>
          </cell>
          <cell r="L250" t="str">
            <v>内部员工</v>
          </cell>
          <cell r="M250" t="str">
            <v>程新浩</v>
          </cell>
        </row>
        <row r="251">
          <cell r="A251" t="str">
            <v>李松</v>
          </cell>
          <cell r="B251" t="str">
            <v>01689</v>
          </cell>
          <cell r="C251" t="str">
            <v>陕西蜂族科技有限公司</v>
          </cell>
          <cell r="D251">
            <v>45910</v>
          </cell>
          <cell r="E251" t="str">
            <v>陕西</v>
          </cell>
          <cell r="F251" t="str">
            <v>陕西营销中心</v>
          </cell>
          <cell r="G251" t="str">
            <v>陕西1部</v>
          </cell>
          <cell r="H251" t="str">
            <v>李丝丝</v>
          </cell>
          <cell r="I251" t="str">
            <v>一星销售顾问</v>
          </cell>
          <cell r="J251" t="str">
            <v>男</v>
          </cell>
          <cell r="K251" t="str">
            <v>正式</v>
          </cell>
          <cell r="L251" t="str">
            <v>内部员工</v>
          </cell>
          <cell r="M251" t="str">
            <v>李丝丝</v>
          </cell>
        </row>
        <row r="252">
          <cell r="A252" t="str">
            <v>孙其盟</v>
          </cell>
          <cell r="B252" t="str">
            <v>01692</v>
          </cell>
          <cell r="C252" t="str">
            <v>山东时代蜂族营销策划有限公司</v>
          </cell>
          <cell r="D252">
            <v>45910</v>
          </cell>
          <cell r="E252" t="str">
            <v>山东</v>
          </cell>
          <cell r="F252" t="str">
            <v>山东营销中心</v>
          </cell>
          <cell r="G252" t="str">
            <v>山东销售部</v>
          </cell>
          <cell r="H252" t="str">
            <v>苏晓青</v>
          </cell>
          <cell r="I252" t="str">
            <v>一星销售顾问</v>
          </cell>
          <cell r="J252" t="str">
            <v>男</v>
          </cell>
          <cell r="K252" t="str">
            <v>正式</v>
          </cell>
          <cell r="L252" t="str">
            <v>内部员工</v>
          </cell>
          <cell r="M252" t="str">
            <v>苏晓青</v>
          </cell>
        </row>
        <row r="253">
          <cell r="A253" t="str">
            <v>徐凯凯</v>
          </cell>
          <cell r="B253" t="str">
            <v>01690</v>
          </cell>
          <cell r="C253" t="str">
            <v>四川时代蜂族营销策划有限公司</v>
          </cell>
          <cell r="D253">
            <v>45909</v>
          </cell>
          <cell r="E253" t="str">
            <v>西南总部</v>
          </cell>
          <cell r="F253" t="str">
            <v>西南营销中心</v>
          </cell>
          <cell r="G253" t="str">
            <v>营业一部</v>
          </cell>
          <cell r="H253" t="str">
            <v>胡雪梅</v>
          </cell>
          <cell r="I253" t="str">
            <v>一星销售顾问</v>
          </cell>
          <cell r="J253" t="str">
            <v>男</v>
          </cell>
          <cell r="K253" t="str">
            <v>正式</v>
          </cell>
          <cell r="L253" t="str">
            <v>实习生</v>
          </cell>
          <cell r="M253" t="str">
            <v>胡雪梅</v>
          </cell>
        </row>
        <row r="254">
          <cell r="A254" t="str">
            <v>李玲</v>
          </cell>
          <cell r="B254" t="str">
            <v>01693</v>
          </cell>
          <cell r="C254" t="str">
            <v>四川时代蜂族营销策划有限公司</v>
          </cell>
          <cell r="D254">
            <v>45908</v>
          </cell>
          <cell r="E254" t="str">
            <v>西南总部</v>
          </cell>
          <cell r="F254" t="str">
            <v>西南营销中心</v>
          </cell>
          <cell r="G254" t="str">
            <v>营业七部</v>
          </cell>
          <cell r="H254" t="str">
            <v>彭小琴</v>
          </cell>
          <cell r="I254" t="str">
            <v>一星销售顾问</v>
          </cell>
          <cell r="J254" t="str">
            <v>女</v>
          </cell>
          <cell r="K254" t="str">
            <v>正式</v>
          </cell>
          <cell r="L254" t="str">
            <v>内部员工</v>
          </cell>
          <cell r="M254" t="str">
            <v>彭小琴</v>
          </cell>
        </row>
        <row r="255">
          <cell r="A255" t="str">
            <v>曹佳荣</v>
          </cell>
          <cell r="B255" t="str">
            <v>01685</v>
          </cell>
          <cell r="C255" t="str">
            <v>湖北蜜蜂族房地产经纪有限公司</v>
          </cell>
          <cell r="D255">
            <v>45905</v>
          </cell>
          <cell r="E255" t="str">
            <v>湖北</v>
          </cell>
          <cell r="F255" t="str">
            <v>湖北营销中心</v>
          </cell>
          <cell r="G255" t="str">
            <v>湖北2部</v>
          </cell>
          <cell r="H255" t="str">
            <v>陈竺</v>
          </cell>
          <cell r="I255" t="str">
            <v>一星销售顾问</v>
          </cell>
          <cell r="J255" t="str">
            <v>男</v>
          </cell>
          <cell r="K255" t="str">
            <v>正式</v>
          </cell>
          <cell r="L255" t="str">
            <v>内部员工</v>
          </cell>
          <cell r="M255" t="str">
            <v>陈竺</v>
          </cell>
        </row>
        <row r="256">
          <cell r="A256" t="str">
            <v>税小蓉</v>
          </cell>
          <cell r="B256" t="str">
            <v>01684</v>
          </cell>
          <cell r="C256" t="str">
            <v>四川时代蜂族营销策划有限公司</v>
          </cell>
          <cell r="D256">
            <v>45905</v>
          </cell>
          <cell r="E256" t="str">
            <v>西南总部</v>
          </cell>
          <cell r="F256" t="str">
            <v>西南营销中心</v>
          </cell>
          <cell r="G256" t="str">
            <v>营业一部</v>
          </cell>
          <cell r="H256" t="str">
            <v>朱家艳</v>
          </cell>
          <cell r="I256" t="str">
            <v>一星销售顾问</v>
          </cell>
          <cell r="J256" t="str">
            <v>女</v>
          </cell>
          <cell r="K256" t="str">
            <v>正式</v>
          </cell>
          <cell r="L256" t="str">
            <v>内部员工</v>
          </cell>
          <cell r="M256" t="str">
            <v>朱家艳</v>
          </cell>
        </row>
        <row r="257">
          <cell r="A257" t="str">
            <v>苏燕</v>
          </cell>
          <cell r="B257" t="str">
            <v>01680</v>
          </cell>
          <cell r="C257" t="str">
            <v>四川时代蜂族营销策划有限公司</v>
          </cell>
          <cell r="D257">
            <v>45903</v>
          </cell>
          <cell r="E257" t="str">
            <v>山西</v>
          </cell>
          <cell r="F257" t="str">
            <v>山西营销中心</v>
          </cell>
          <cell r="G257" t="str">
            <v>山西销售部</v>
          </cell>
          <cell r="H257" t="str">
            <v>艾林山西</v>
          </cell>
          <cell r="I257" t="str">
            <v>一星销售顾问</v>
          </cell>
          <cell r="J257" t="str">
            <v>女</v>
          </cell>
          <cell r="K257" t="str">
            <v>正式</v>
          </cell>
          <cell r="L257" t="str">
            <v>内部员工</v>
          </cell>
          <cell r="M257" t="str">
            <v>艾林</v>
          </cell>
        </row>
        <row r="258">
          <cell r="A258" t="str">
            <v>蔡申文</v>
          </cell>
          <cell r="B258" t="str">
            <v>01682</v>
          </cell>
          <cell r="C258" t="str">
            <v>四川时代蜂族营销策划有限公司</v>
          </cell>
          <cell r="D258">
            <v>45903</v>
          </cell>
          <cell r="E258" t="str">
            <v>西南总部</v>
          </cell>
          <cell r="F258" t="str">
            <v>西南营销中心</v>
          </cell>
          <cell r="G258" t="str">
            <v>营业一部</v>
          </cell>
          <cell r="H258" t="str">
            <v>朱家艳</v>
          </cell>
          <cell r="I258" t="str">
            <v>一星销售顾问</v>
          </cell>
          <cell r="J258" t="str">
            <v>男</v>
          </cell>
          <cell r="K258" t="str">
            <v>正式</v>
          </cell>
          <cell r="L258" t="str">
            <v>内部员工</v>
          </cell>
          <cell r="M258" t="str">
            <v>朱家艳</v>
          </cell>
        </row>
        <row r="259">
          <cell r="A259" t="str">
            <v>张利娟</v>
          </cell>
          <cell r="B259" t="str">
            <v>01679</v>
          </cell>
          <cell r="C259" t="str">
            <v>山东时代蜂族营销策划有限公司</v>
          </cell>
          <cell r="D259">
            <v>45900</v>
          </cell>
          <cell r="E259" t="str">
            <v>山东</v>
          </cell>
          <cell r="F259" t="str">
            <v>山东营销中心</v>
          </cell>
          <cell r="G259" t="str">
            <v>山东销售部</v>
          </cell>
          <cell r="H259" t="str">
            <v>肖佳</v>
          </cell>
          <cell r="I259" t="str">
            <v>一星销售顾问</v>
          </cell>
          <cell r="J259" t="str">
            <v>女</v>
          </cell>
          <cell r="K259" t="str">
            <v>正式</v>
          </cell>
          <cell r="L259" t="str">
            <v>内部员工</v>
          </cell>
          <cell r="M259" t="str">
            <v>肖佳</v>
          </cell>
        </row>
        <row r="260">
          <cell r="A260" t="str">
            <v>刘浩江</v>
          </cell>
          <cell r="B260" t="str">
            <v>01683</v>
          </cell>
          <cell r="C260" t="str">
            <v>湖南时代蜂族营销策划有限公司</v>
          </cell>
          <cell r="D260">
            <v>45899</v>
          </cell>
          <cell r="E260" t="str">
            <v>湖南</v>
          </cell>
          <cell r="F260" t="str">
            <v>湖南营销中心</v>
          </cell>
          <cell r="G260" t="str">
            <v>湖南销售部</v>
          </cell>
          <cell r="H260" t="str">
            <v>闫柏年</v>
          </cell>
          <cell r="I260" t="str">
            <v>一星销售顾问</v>
          </cell>
          <cell r="J260" t="str">
            <v>男</v>
          </cell>
          <cell r="K260" t="str">
            <v>正式</v>
          </cell>
          <cell r="L260" t="str">
            <v>内部员工</v>
          </cell>
          <cell r="M260" t="str">
            <v>闫柏年</v>
          </cell>
        </row>
        <row r="261">
          <cell r="A261" t="str">
            <v>张永华</v>
          </cell>
          <cell r="B261" t="str">
            <v>01673</v>
          </cell>
          <cell r="C261" t="str">
            <v>四川时代蜂族营销策划有限公司</v>
          </cell>
          <cell r="D261">
            <v>45896</v>
          </cell>
          <cell r="E261" t="str">
            <v>西南总部</v>
          </cell>
          <cell r="F261" t="str">
            <v>西南营销中心</v>
          </cell>
          <cell r="G261" t="str">
            <v>营业五部</v>
          </cell>
          <cell r="H261" t="str">
            <v>杨科</v>
          </cell>
          <cell r="I261" t="str">
            <v>实习销售</v>
          </cell>
          <cell r="J261" t="str">
            <v>男</v>
          </cell>
          <cell r="K261" t="str">
            <v>试用</v>
          </cell>
          <cell r="L261" t="str">
            <v>内部员工</v>
          </cell>
          <cell r="M261" t="str">
            <v>杨科</v>
          </cell>
        </row>
        <row r="262">
          <cell r="A262" t="str">
            <v>童云昌</v>
          </cell>
          <cell r="B262" t="str">
            <v>01667</v>
          </cell>
          <cell r="C262" t="str">
            <v>四川时代蜂族营销策划有限公司</v>
          </cell>
          <cell r="D262">
            <v>45896</v>
          </cell>
          <cell r="E262" t="str">
            <v>西南总部</v>
          </cell>
          <cell r="F262" t="str">
            <v>西南营销中心</v>
          </cell>
          <cell r="G262" t="str">
            <v>营业三部</v>
          </cell>
          <cell r="H262" t="str">
            <v>陶再阳</v>
          </cell>
          <cell r="I262" t="str">
            <v>一星销售顾问</v>
          </cell>
          <cell r="J262" t="str">
            <v>男</v>
          </cell>
          <cell r="K262" t="str">
            <v>正式</v>
          </cell>
          <cell r="L262" t="str">
            <v>内部员工</v>
          </cell>
          <cell r="M262" t="str">
            <v>陶再阳</v>
          </cell>
        </row>
        <row r="263">
          <cell r="A263" t="str">
            <v>李金华</v>
          </cell>
          <cell r="B263" t="str">
            <v>01675</v>
          </cell>
          <cell r="C263" t="str">
            <v>四川时代蜂族营销策划有限公司</v>
          </cell>
          <cell r="D263">
            <v>45894</v>
          </cell>
          <cell r="E263" t="str">
            <v>西南总部</v>
          </cell>
          <cell r="F263" t="str">
            <v>西南营销中心</v>
          </cell>
          <cell r="G263" t="str">
            <v>营业七部</v>
          </cell>
          <cell r="H263" t="str">
            <v>彭小琴</v>
          </cell>
          <cell r="I263" t="str">
            <v>一星销售顾问</v>
          </cell>
          <cell r="J263" t="str">
            <v>女</v>
          </cell>
          <cell r="K263" t="str">
            <v>试用</v>
          </cell>
          <cell r="L263" t="str">
            <v>内部员工</v>
          </cell>
          <cell r="M263" t="str">
            <v>彭小琴</v>
          </cell>
        </row>
        <row r="264">
          <cell r="A264" t="str">
            <v>张启华</v>
          </cell>
          <cell r="B264" t="str">
            <v>01671</v>
          </cell>
          <cell r="C264" t="str">
            <v>四川时代蜂族营销策划有限公司</v>
          </cell>
          <cell r="D264">
            <v>45890</v>
          </cell>
          <cell r="E264" t="str">
            <v>河北</v>
          </cell>
          <cell r="F264" t="str">
            <v>河北营销中心</v>
          </cell>
          <cell r="G264" t="str">
            <v>河北销售部</v>
          </cell>
          <cell r="H264" t="str">
            <v>陈东2河北</v>
          </cell>
          <cell r="I264" t="str">
            <v>一星销售顾问</v>
          </cell>
          <cell r="J264" t="str">
            <v>男</v>
          </cell>
          <cell r="K264" t="str">
            <v>正式</v>
          </cell>
          <cell r="L264" t="str">
            <v>内部员工</v>
          </cell>
          <cell r="M264" t="str">
            <v>陈东2</v>
          </cell>
        </row>
        <row r="265">
          <cell r="A265" t="str">
            <v>潘晓冬</v>
          </cell>
          <cell r="B265" t="str">
            <v>01665</v>
          </cell>
          <cell r="C265" t="str">
            <v>陕西蜂族科技有限公司</v>
          </cell>
          <cell r="D265">
            <v>45887</v>
          </cell>
          <cell r="E265" t="str">
            <v>陕西</v>
          </cell>
          <cell r="F265" t="str">
            <v>陕西营销中心</v>
          </cell>
          <cell r="G265" t="str">
            <v>陕西1部</v>
          </cell>
          <cell r="H265" t="str">
            <v>刘聪</v>
          </cell>
          <cell r="I265" t="str">
            <v>一星销售顾问</v>
          </cell>
          <cell r="J265" t="str">
            <v>男</v>
          </cell>
          <cell r="K265" t="str">
            <v>正式</v>
          </cell>
          <cell r="L265" t="str">
            <v>内部员工</v>
          </cell>
          <cell r="M265" t="str">
            <v>刘聪</v>
          </cell>
        </row>
        <row r="266">
          <cell r="A266" t="str">
            <v>张国坤</v>
          </cell>
          <cell r="B266" t="str">
            <v>01664</v>
          </cell>
          <cell r="C266" t="str">
            <v>山东时代蜂族营销策划有限公司</v>
          </cell>
          <cell r="D266">
            <v>45885</v>
          </cell>
          <cell r="E266" t="str">
            <v>山东</v>
          </cell>
          <cell r="F266" t="str">
            <v>山东营销中心</v>
          </cell>
          <cell r="G266" t="str">
            <v>山东销售部</v>
          </cell>
          <cell r="H266" t="str">
            <v>王杰</v>
          </cell>
          <cell r="I266" t="str">
            <v>一星销售顾问</v>
          </cell>
          <cell r="J266" t="str">
            <v>男</v>
          </cell>
          <cell r="K266" t="str">
            <v>正式</v>
          </cell>
          <cell r="L266" t="str">
            <v>内部员工</v>
          </cell>
          <cell r="M266" t="str">
            <v>王杰</v>
          </cell>
        </row>
        <row r="267">
          <cell r="A267" t="str">
            <v>王学军</v>
          </cell>
          <cell r="B267" t="str">
            <v>01666</v>
          </cell>
          <cell r="C267" t="str">
            <v>四川时代蜂族营销策划有限公司</v>
          </cell>
          <cell r="D267">
            <v>45884</v>
          </cell>
          <cell r="E267" t="str">
            <v>西南总部</v>
          </cell>
          <cell r="F267" t="str">
            <v>西南营销中心</v>
          </cell>
          <cell r="G267" t="str">
            <v>营业二部</v>
          </cell>
          <cell r="H267" t="str">
            <v>张佩瑶</v>
          </cell>
          <cell r="I267" t="str">
            <v>二星销售顾问</v>
          </cell>
          <cell r="J267" t="str">
            <v>男</v>
          </cell>
          <cell r="K267" t="str">
            <v>正式</v>
          </cell>
          <cell r="L267" t="str">
            <v>内部员工</v>
          </cell>
          <cell r="M267" t="str">
            <v>张佩瑶</v>
          </cell>
        </row>
        <row r="268">
          <cell r="A268" t="str">
            <v>黄建</v>
          </cell>
          <cell r="B268" t="str">
            <v>01657</v>
          </cell>
          <cell r="C268" t="str">
            <v>四川时代蜂族营销策划有限公司</v>
          </cell>
          <cell r="D268">
            <v>45883</v>
          </cell>
          <cell r="E268" t="str">
            <v>湖北</v>
          </cell>
          <cell r="F268" t="str">
            <v>湖北营销中心</v>
          </cell>
          <cell r="G268" t="str">
            <v>湖北1部</v>
          </cell>
          <cell r="H268" t="str">
            <v>张宗铭湖北</v>
          </cell>
          <cell r="I268" t="str">
            <v>二星销售顾问</v>
          </cell>
          <cell r="J268" t="str">
            <v>男</v>
          </cell>
          <cell r="K268" t="str">
            <v>正式</v>
          </cell>
          <cell r="L268" t="str">
            <v>内部员工</v>
          </cell>
          <cell r="M268" t="str">
            <v>张宗铭</v>
          </cell>
        </row>
        <row r="269">
          <cell r="A269" t="str">
            <v>庞彬城</v>
          </cell>
          <cell r="B269" t="str">
            <v>01660</v>
          </cell>
          <cell r="C269" t="str">
            <v>四川时代蜂族营销策划有限公司</v>
          </cell>
          <cell r="D269">
            <v>45883</v>
          </cell>
          <cell r="E269" t="str">
            <v>西南总部</v>
          </cell>
          <cell r="F269" t="str">
            <v>西南营销中心</v>
          </cell>
          <cell r="G269" t="str">
            <v>营业六部</v>
          </cell>
          <cell r="H269" t="str">
            <v>杨威</v>
          </cell>
          <cell r="I269" t="str">
            <v>一星销售顾问</v>
          </cell>
          <cell r="J269" t="str">
            <v>男</v>
          </cell>
          <cell r="K269" t="str">
            <v>正式</v>
          </cell>
          <cell r="L269" t="str">
            <v>内部员工</v>
          </cell>
          <cell r="M269" t="str">
            <v>杨威</v>
          </cell>
        </row>
        <row r="270">
          <cell r="A270" t="str">
            <v>邓世才</v>
          </cell>
          <cell r="B270" t="str">
            <v>01669</v>
          </cell>
          <cell r="C270" t="str">
            <v>四川时代蜂族营销策划有限公司</v>
          </cell>
          <cell r="D270">
            <v>45882</v>
          </cell>
          <cell r="E270" t="str">
            <v>西南总部</v>
          </cell>
          <cell r="F270" t="str">
            <v>西南营销中心</v>
          </cell>
          <cell r="G270" t="str">
            <v>营业五部</v>
          </cell>
          <cell r="H270" t="str">
            <v>尹稳</v>
          </cell>
          <cell r="I270" t="str">
            <v>一星销售顾问</v>
          </cell>
          <cell r="J270" t="str">
            <v>男</v>
          </cell>
          <cell r="K270" t="str">
            <v>正式</v>
          </cell>
          <cell r="L270" t="str">
            <v>内部员工</v>
          </cell>
          <cell r="M270" t="str">
            <v>尹稳</v>
          </cell>
        </row>
        <row r="271">
          <cell r="A271" t="str">
            <v>张世豪</v>
          </cell>
          <cell r="B271" t="str">
            <v>01656</v>
          </cell>
          <cell r="C271" t="str">
            <v>陕西蜂族科技有限公司</v>
          </cell>
          <cell r="D271">
            <v>45882</v>
          </cell>
          <cell r="E271" t="str">
            <v>陕西</v>
          </cell>
          <cell r="F271" t="str">
            <v>陕西营销中心</v>
          </cell>
          <cell r="G271" t="str">
            <v>陕西1部</v>
          </cell>
          <cell r="H271" t="str">
            <v>刘聪</v>
          </cell>
          <cell r="I271" t="str">
            <v>一星销售顾问</v>
          </cell>
          <cell r="J271" t="str">
            <v>男</v>
          </cell>
          <cell r="K271" t="str">
            <v>正式</v>
          </cell>
          <cell r="L271" t="str">
            <v>内部员工</v>
          </cell>
          <cell r="M271" t="str">
            <v>刘聪</v>
          </cell>
        </row>
        <row r="272">
          <cell r="A272" t="str">
            <v>安娅丽</v>
          </cell>
          <cell r="B272" t="str">
            <v>01653</v>
          </cell>
          <cell r="C272" t="str">
            <v>陕西蜂族科技有限公司</v>
          </cell>
          <cell r="D272">
            <v>45881</v>
          </cell>
          <cell r="E272" t="str">
            <v>陕西</v>
          </cell>
          <cell r="F272" t="str">
            <v>陕西营销中心</v>
          </cell>
          <cell r="G272" t="str">
            <v>陕西1部</v>
          </cell>
          <cell r="H272" t="str">
            <v>刘聪</v>
          </cell>
          <cell r="I272" t="str">
            <v>一星销售顾问</v>
          </cell>
          <cell r="J272" t="str">
            <v>女</v>
          </cell>
          <cell r="K272" t="str">
            <v>正式</v>
          </cell>
          <cell r="L272" t="str">
            <v>内部员工</v>
          </cell>
          <cell r="M272" t="str">
            <v>刘聪</v>
          </cell>
        </row>
        <row r="273">
          <cell r="A273" t="str">
            <v>杨钧</v>
          </cell>
          <cell r="B273" t="str">
            <v>01658</v>
          </cell>
          <cell r="C273" t="str">
            <v>四川时代蜂族营销策划有限公司</v>
          </cell>
          <cell r="D273">
            <v>45881</v>
          </cell>
          <cell r="E273" t="str">
            <v>西南总部</v>
          </cell>
          <cell r="F273" t="str">
            <v>西南营销中心</v>
          </cell>
          <cell r="G273" t="str">
            <v>营业三部</v>
          </cell>
          <cell r="H273" t="str">
            <v>姚瑶</v>
          </cell>
          <cell r="I273" t="str">
            <v>一星销售顾问</v>
          </cell>
          <cell r="J273" t="str">
            <v>男</v>
          </cell>
          <cell r="K273" t="str">
            <v>正式</v>
          </cell>
          <cell r="L273" t="str">
            <v>内部员工</v>
          </cell>
          <cell r="M273" t="str">
            <v>姚瑶</v>
          </cell>
        </row>
        <row r="274">
          <cell r="A274" t="str">
            <v>涂正丽</v>
          </cell>
          <cell r="B274" t="str">
            <v>01654</v>
          </cell>
          <cell r="C274" t="str">
            <v>陕西蜂族科技有限公司</v>
          </cell>
          <cell r="D274">
            <v>45881</v>
          </cell>
          <cell r="E274" t="str">
            <v>陕西</v>
          </cell>
          <cell r="F274" t="str">
            <v>陕西营销中心</v>
          </cell>
          <cell r="G274" t="str">
            <v>陕西2部</v>
          </cell>
          <cell r="H274" t="str">
            <v>冀敏</v>
          </cell>
          <cell r="I274" t="str">
            <v>一星销售顾问</v>
          </cell>
          <cell r="J274" t="str">
            <v>女</v>
          </cell>
          <cell r="K274" t="str">
            <v>正式</v>
          </cell>
          <cell r="L274" t="str">
            <v>内部员工</v>
          </cell>
          <cell r="M274" t="str">
            <v>冀敏</v>
          </cell>
        </row>
        <row r="275">
          <cell r="A275" t="str">
            <v>孙静</v>
          </cell>
          <cell r="B275" t="str">
            <v>01650</v>
          </cell>
          <cell r="C275" t="str">
            <v>四川大礼连连科技有限公司</v>
          </cell>
          <cell r="D275">
            <v>45880</v>
          </cell>
          <cell r="E275" t="str">
            <v>山西</v>
          </cell>
          <cell r="F275" t="str">
            <v>山西营销中心</v>
          </cell>
          <cell r="G275" t="str">
            <v>山西销售部</v>
          </cell>
          <cell r="H275" t="str">
            <v>李权益</v>
          </cell>
          <cell r="I275" t="str">
            <v>一星销售顾问</v>
          </cell>
          <cell r="J275" t="str">
            <v>女</v>
          </cell>
          <cell r="K275" t="str">
            <v>正式</v>
          </cell>
          <cell r="L275" t="str">
            <v>内部员工</v>
          </cell>
          <cell r="M275" t="str">
            <v>李权益</v>
          </cell>
        </row>
        <row r="276">
          <cell r="A276" t="str">
            <v>张文祥</v>
          </cell>
          <cell r="B276" t="str">
            <v>01649</v>
          </cell>
          <cell r="C276" t="str">
            <v>湖南时代蜂族营销策划有限公司</v>
          </cell>
          <cell r="D276">
            <v>45880</v>
          </cell>
          <cell r="E276" t="str">
            <v>湖南</v>
          </cell>
          <cell r="F276" t="str">
            <v>湖南营销中心</v>
          </cell>
          <cell r="G276" t="str">
            <v>湖南销售部</v>
          </cell>
          <cell r="H276" t="str">
            <v>徐子康湖南</v>
          </cell>
          <cell r="I276" t="str">
            <v>实习销售</v>
          </cell>
          <cell r="J276" t="str">
            <v>男</v>
          </cell>
          <cell r="K276" t="str">
            <v>试用</v>
          </cell>
          <cell r="L276" t="str">
            <v>内部员工</v>
          </cell>
          <cell r="M276" t="str">
            <v>徐子康</v>
          </cell>
        </row>
        <row r="277">
          <cell r="A277" t="str">
            <v>冯鑫</v>
          </cell>
          <cell r="B277" t="str">
            <v>01637</v>
          </cell>
          <cell r="C277" t="str">
            <v>四川时代蜂族营销策划有限公司</v>
          </cell>
          <cell r="D277">
            <v>45880</v>
          </cell>
          <cell r="E277" t="str">
            <v>西南总部</v>
          </cell>
          <cell r="F277" t="str">
            <v>西南营销中心</v>
          </cell>
          <cell r="G277" t="str">
            <v>杨薇</v>
          </cell>
        </row>
        <row r="277">
          <cell r="I277" t="str">
            <v>策划专员</v>
          </cell>
          <cell r="J277" t="str">
            <v>男</v>
          </cell>
          <cell r="K277" t="str">
            <v>正式</v>
          </cell>
          <cell r="L277" t="str">
            <v>内部员工</v>
          </cell>
          <cell r="M277" t="str">
            <v>杨薇</v>
          </cell>
        </row>
        <row r="278">
          <cell r="A278" t="str">
            <v>袁兴丰</v>
          </cell>
          <cell r="B278" t="str">
            <v>01648</v>
          </cell>
          <cell r="C278" t="str">
            <v>四川大礼连连科技有限公司</v>
          </cell>
          <cell r="D278">
            <v>45879</v>
          </cell>
          <cell r="E278" t="str">
            <v>西南总部</v>
          </cell>
          <cell r="F278" t="str">
            <v>西南营销中心</v>
          </cell>
          <cell r="G278" t="str">
            <v>营业二部</v>
          </cell>
          <cell r="H278" t="str">
            <v>魏飞翔</v>
          </cell>
          <cell r="I278" t="str">
            <v>二星销售顾问</v>
          </cell>
          <cell r="J278" t="str">
            <v>男</v>
          </cell>
          <cell r="K278" t="str">
            <v>正式</v>
          </cell>
          <cell r="L278" t="str">
            <v>内部员工</v>
          </cell>
          <cell r="M278" t="str">
            <v>魏飞翔</v>
          </cell>
        </row>
        <row r="279">
          <cell r="A279" t="str">
            <v>孙洪扬</v>
          </cell>
          <cell r="B279" t="str">
            <v>01652</v>
          </cell>
          <cell r="C279" t="str">
            <v>四川大礼连连科技有限公司</v>
          </cell>
          <cell r="D279">
            <v>45878</v>
          </cell>
          <cell r="E279" t="str">
            <v>西南总部</v>
          </cell>
          <cell r="F279" t="str">
            <v>西南营销中心</v>
          </cell>
          <cell r="G279" t="str">
            <v>营业五部</v>
          </cell>
          <cell r="H279" t="str">
            <v>谢敏</v>
          </cell>
          <cell r="I279" t="str">
            <v>一星销售顾问</v>
          </cell>
          <cell r="J279" t="str">
            <v>男</v>
          </cell>
          <cell r="K279" t="str">
            <v>正式</v>
          </cell>
          <cell r="L279" t="str">
            <v>内部员工</v>
          </cell>
          <cell r="M279" t="str">
            <v>谢敏</v>
          </cell>
        </row>
        <row r="280">
          <cell r="A280" t="str">
            <v>刘星</v>
          </cell>
          <cell r="B280" t="str">
            <v>01646</v>
          </cell>
          <cell r="C280" t="str">
            <v>四川时代蜂族营销策划有限公司</v>
          </cell>
          <cell r="D280">
            <v>45878</v>
          </cell>
          <cell r="E280" t="str">
            <v>西南总部</v>
          </cell>
          <cell r="F280" t="str">
            <v>西南营销中心</v>
          </cell>
          <cell r="G280" t="str">
            <v>营业六部</v>
          </cell>
          <cell r="H280" t="str">
            <v>党虹</v>
          </cell>
          <cell r="I280" t="str">
            <v>一星销售顾问</v>
          </cell>
          <cell r="J280" t="str">
            <v>男</v>
          </cell>
          <cell r="K280" t="str">
            <v>正式</v>
          </cell>
          <cell r="L280" t="str">
            <v>内部员工</v>
          </cell>
          <cell r="M280" t="str">
            <v>党虹</v>
          </cell>
        </row>
        <row r="281">
          <cell r="A281" t="str">
            <v>吴继花</v>
          </cell>
          <cell r="B281" t="str">
            <v>01644</v>
          </cell>
          <cell r="C281" t="str">
            <v>山西时代蜂族房地产经纪有限公司</v>
          </cell>
          <cell r="D281">
            <v>45876</v>
          </cell>
          <cell r="E281" t="str">
            <v>山西</v>
          </cell>
          <cell r="F281" t="str">
            <v>山西营销中心</v>
          </cell>
          <cell r="G281" t="str">
            <v>山西销售部</v>
          </cell>
          <cell r="H281" t="str">
            <v>郭永曼</v>
          </cell>
          <cell r="I281" t="str">
            <v>一星销售顾问</v>
          </cell>
          <cell r="J281" t="str">
            <v>女</v>
          </cell>
          <cell r="K281" t="str">
            <v>正式</v>
          </cell>
          <cell r="L281" t="str">
            <v>内部员工</v>
          </cell>
          <cell r="M281" t="str">
            <v>郭永曼</v>
          </cell>
        </row>
        <row r="282">
          <cell r="A282" t="str">
            <v>焦文豪</v>
          </cell>
          <cell r="B282" t="str">
            <v>01641</v>
          </cell>
          <cell r="C282" t="str">
            <v>山东时代蜂族营销策划有限公司</v>
          </cell>
          <cell r="D282">
            <v>45876</v>
          </cell>
          <cell r="E282" t="str">
            <v>山东</v>
          </cell>
          <cell r="F282" t="str">
            <v>山东营销中心</v>
          </cell>
          <cell r="G282" t="str">
            <v>山东销售部</v>
          </cell>
          <cell r="H282" t="str">
            <v>王杰</v>
          </cell>
          <cell r="I282" t="str">
            <v>一星销售顾问</v>
          </cell>
          <cell r="J282" t="str">
            <v>男</v>
          </cell>
          <cell r="K282" t="str">
            <v>正式</v>
          </cell>
          <cell r="L282" t="str">
            <v>内部员工</v>
          </cell>
          <cell r="M282" t="str">
            <v>王杰</v>
          </cell>
        </row>
        <row r="283">
          <cell r="A283" t="str">
            <v>熊明冬</v>
          </cell>
          <cell r="B283" t="str">
            <v>01642</v>
          </cell>
          <cell r="C283" t="str">
            <v>山西时代蜂族房地产经纪有限公司</v>
          </cell>
          <cell r="D283">
            <v>45874</v>
          </cell>
          <cell r="E283" t="str">
            <v>山西</v>
          </cell>
          <cell r="F283" t="str">
            <v>山西营销中心</v>
          </cell>
          <cell r="G283" t="str">
            <v>山西销售部</v>
          </cell>
          <cell r="H283" t="str">
            <v>郭永曼</v>
          </cell>
          <cell r="I283" t="str">
            <v>一星销售顾问</v>
          </cell>
          <cell r="J283" t="str">
            <v>男</v>
          </cell>
          <cell r="K283" t="str">
            <v>正式</v>
          </cell>
          <cell r="L283" t="str">
            <v>内部员工</v>
          </cell>
          <cell r="M283" t="str">
            <v>郭永曼</v>
          </cell>
        </row>
        <row r="284">
          <cell r="A284" t="str">
            <v>何小文</v>
          </cell>
          <cell r="B284" t="str">
            <v>01631</v>
          </cell>
          <cell r="C284" t="str">
            <v>四川蜂起营销策划有限公司</v>
          </cell>
          <cell r="D284">
            <v>45873</v>
          </cell>
          <cell r="E284" t="str">
            <v>西南总部</v>
          </cell>
          <cell r="F284" t="str">
            <v>西南营销中心</v>
          </cell>
          <cell r="G284" t="str">
            <v>营业三部</v>
          </cell>
          <cell r="H284" t="str">
            <v>李海艳</v>
          </cell>
          <cell r="I284" t="str">
            <v>一星销售顾问</v>
          </cell>
          <cell r="J284" t="str">
            <v>男</v>
          </cell>
          <cell r="K284" t="str">
            <v>正式</v>
          </cell>
          <cell r="L284" t="str">
            <v>内部员工</v>
          </cell>
          <cell r="M284" t="str">
            <v>李海艳</v>
          </cell>
        </row>
        <row r="285">
          <cell r="A285" t="str">
            <v>刘江超</v>
          </cell>
          <cell r="B285" t="str">
            <v>01632</v>
          </cell>
          <cell r="C285" t="str">
            <v>湖北蜜蜂族房地产经纪有限公司</v>
          </cell>
          <cell r="D285">
            <v>45873</v>
          </cell>
          <cell r="E285" t="str">
            <v>湖北</v>
          </cell>
          <cell r="F285" t="str">
            <v>湖北营销中心</v>
          </cell>
          <cell r="G285" t="str">
            <v>湖北1部</v>
          </cell>
          <cell r="H285" t="str">
            <v>骆志红</v>
          </cell>
          <cell r="I285" t="str">
            <v>一星销售顾问</v>
          </cell>
          <cell r="J285" t="str">
            <v>男</v>
          </cell>
          <cell r="K285" t="str">
            <v>正式</v>
          </cell>
          <cell r="L285" t="str">
            <v>内部员工</v>
          </cell>
          <cell r="M285" t="str">
            <v>骆志红</v>
          </cell>
        </row>
        <row r="286">
          <cell r="A286" t="str">
            <v>周悦</v>
          </cell>
          <cell r="B286" t="str">
            <v>01636</v>
          </cell>
          <cell r="C286" t="str">
            <v>湖北蜜蜂族房地产经纪有限公司</v>
          </cell>
          <cell r="D286">
            <v>45872</v>
          </cell>
          <cell r="E286" t="str">
            <v>湖北</v>
          </cell>
          <cell r="F286" t="str">
            <v>湖北营销中心</v>
          </cell>
          <cell r="G286" t="str">
            <v>湖北1部</v>
          </cell>
          <cell r="H286" t="str">
            <v>阮阳</v>
          </cell>
          <cell r="I286" t="str">
            <v>一星销售顾问</v>
          </cell>
          <cell r="J286" t="str">
            <v>女</v>
          </cell>
          <cell r="K286" t="str">
            <v>正式</v>
          </cell>
          <cell r="L286" t="str">
            <v>内部员工</v>
          </cell>
          <cell r="M286" t="str">
            <v>阮阳</v>
          </cell>
        </row>
        <row r="287">
          <cell r="A287" t="str">
            <v>向巡</v>
          </cell>
          <cell r="B287" t="str">
            <v>01634</v>
          </cell>
          <cell r="C287" t="str">
            <v>四川时代蜂族营销策划有限公司</v>
          </cell>
          <cell r="D287">
            <v>45872</v>
          </cell>
          <cell r="E287" t="str">
            <v>西南总部</v>
          </cell>
          <cell r="F287" t="str">
            <v>西南营销中心</v>
          </cell>
          <cell r="G287" t="str">
            <v>营业四部</v>
          </cell>
          <cell r="H287" t="str">
            <v>陈嘉文</v>
          </cell>
          <cell r="I287" t="str">
            <v>一星销售顾问</v>
          </cell>
          <cell r="J287" t="str">
            <v>女</v>
          </cell>
          <cell r="K287" t="str">
            <v>正式</v>
          </cell>
          <cell r="L287" t="str">
            <v>内部员工</v>
          </cell>
          <cell r="M287" t="str">
            <v>陈嘉文</v>
          </cell>
        </row>
        <row r="288">
          <cell r="A288" t="str">
            <v>李凯</v>
          </cell>
          <cell r="B288" t="str">
            <v>01627</v>
          </cell>
          <cell r="C288" t="str">
            <v>陕西蜂族科技有限公司</v>
          </cell>
          <cell r="D288">
            <v>45870</v>
          </cell>
          <cell r="E288" t="str">
            <v>陕西</v>
          </cell>
          <cell r="F288" t="str">
            <v>陕西营销中心</v>
          </cell>
          <cell r="G288" t="str">
            <v>陕西2部</v>
          </cell>
          <cell r="H288" t="str">
            <v>王超2</v>
          </cell>
          <cell r="I288" t="str">
            <v>一星销售顾问</v>
          </cell>
          <cell r="J288" t="str">
            <v>男</v>
          </cell>
          <cell r="K288" t="str">
            <v>正式</v>
          </cell>
          <cell r="L288" t="str">
            <v>内部员工</v>
          </cell>
          <cell r="M288" t="str">
            <v>王超2</v>
          </cell>
        </row>
        <row r="289">
          <cell r="A289" t="str">
            <v>张梦颖</v>
          </cell>
          <cell r="B289" t="str">
            <v>01623</v>
          </cell>
          <cell r="C289" t="str">
            <v>四川时代蜂族营销策划有限公司</v>
          </cell>
          <cell r="D289">
            <v>45870</v>
          </cell>
          <cell r="E289" t="str">
            <v>集团职能</v>
          </cell>
          <cell r="F289" t="str">
            <v>职能总部</v>
          </cell>
          <cell r="G289" t="str">
            <v>残疾人</v>
          </cell>
        </row>
        <row r="289">
          <cell r="I289" t="str">
            <v>残疾人</v>
          </cell>
          <cell r="J289" t="str">
            <v>女</v>
          </cell>
          <cell r="K289" t="str">
            <v>正式</v>
          </cell>
          <cell r="L289" t="str">
            <v>内部员工</v>
          </cell>
        </row>
        <row r="290">
          <cell r="A290" t="str">
            <v>李万林</v>
          </cell>
          <cell r="B290" t="str">
            <v>01663</v>
          </cell>
          <cell r="C290" t="str">
            <v>河南蜜蜂族营销策划有限公司</v>
          </cell>
          <cell r="D290">
            <v>45870</v>
          </cell>
          <cell r="E290" t="str">
            <v>河南</v>
          </cell>
          <cell r="F290" t="str">
            <v>河南营销中心</v>
          </cell>
        </row>
        <row r="290">
          <cell r="I290" t="str">
            <v>一星销售顾问</v>
          </cell>
          <cell r="J290" t="str">
            <v>男</v>
          </cell>
          <cell r="K290" t="str">
            <v>正式</v>
          </cell>
          <cell r="L290" t="str">
            <v>内部员工</v>
          </cell>
          <cell r="M290" t="str">
            <v>毛孝树</v>
          </cell>
        </row>
        <row r="291">
          <cell r="A291" t="str">
            <v>冯婉玉</v>
          </cell>
          <cell r="B291" t="str">
            <v>01626</v>
          </cell>
          <cell r="C291" t="str">
            <v>河南蜜蜂族营销策划有限公司</v>
          </cell>
          <cell r="D291">
            <v>45867</v>
          </cell>
          <cell r="E291" t="str">
            <v>河南</v>
          </cell>
          <cell r="F291" t="str">
            <v>河南营销中心</v>
          </cell>
          <cell r="G291" t="str">
            <v>河南销售部</v>
          </cell>
          <cell r="H291" t="str">
            <v>任枭月</v>
          </cell>
          <cell r="I291" t="str">
            <v>一星销售顾问</v>
          </cell>
          <cell r="J291" t="str">
            <v>女</v>
          </cell>
          <cell r="K291" t="str">
            <v>正式</v>
          </cell>
          <cell r="L291" t="str">
            <v>内部员工</v>
          </cell>
          <cell r="M291" t="str">
            <v>任枭月</v>
          </cell>
        </row>
        <row r="292">
          <cell r="A292" t="str">
            <v>许柯</v>
          </cell>
          <cell r="B292" t="str">
            <v>01624</v>
          </cell>
          <cell r="C292" t="str">
            <v>陕西蜂族科技有限公司</v>
          </cell>
          <cell r="D292">
            <v>45867</v>
          </cell>
          <cell r="E292" t="str">
            <v>陕西</v>
          </cell>
          <cell r="F292" t="str">
            <v>陕西营销中心</v>
          </cell>
          <cell r="G292" t="str">
            <v>陕西2部</v>
          </cell>
          <cell r="H292" t="str">
            <v>李耀</v>
          </cell>
          <cell r="I292" t="str">
            <v>实习销售</v>
          </cell>
          <cell r="J292" t="str">
            <v>女</v>
          </cell>
          <cell r="K292" t="str">
            <v>试用</v>
          </cell>
          <cell r="L292" t="str">
            <v>内部员工</v>
          </cell>
          <cell r="M292" t="str">
            <v>李耀</v>
          </cell>
        </row>
        <row r="293">
          <cell r="A293" t="str">
            <v>张强</v>
          </cell>
          <cell r="B293" t="str">
            <v>00644</v>
          </cell>
          <cell r="C293" t="str">
            <v>四川时代蜂族营销策划有限公司</v>
          </cell>
          <cell r="D293">
            <v>45867</v>
          </cell>
          <cell r="E293" t="str">
            <v>辽宁</v>
          </cell>
          <cell r="F293" t="str">
            <v>辽宁拓展部</v>
          </cell>
        </row>
        <row r="293">
          <cell r="I293" t="str">
            <v>实习拓展</v>
          </cell>
          <cell r="J293" t="str">
            <v>男</v>
          </cell>
          <cell r="K293" t="str">
            <v>正式</v>
          </cell>
          <cell r="L293" t="str">
            <v>内部员工</v>
          </cell>
          <cell r="M293" t="str">
            <v>聂仕平</v>
          </cell>
        </row>
        <row r="294">
          <cell r="A294" t="str">
            <v>邓姗姗</v>
          </cell>
          <cell r="B294" t="str">
            <v>01617</v>
          </cell>
          <cell r="C294" t="str">
            <v>陕西蜂族科技有限公司</v>
          </cell>
          <cell r="D294">
            <v>45866</v>
          </cell>
          <cell r="E294" t="str">
            <v>陕西</v>
          </cell>
          <cell r="F294" t="str">
            <v>陕西营销中心</v>
          </cell>
          <cell r="G294" t="str">
            <v>陕西1部</v>
          </cell>
          <cell r="H294" t="str">
            <v>杨应</v>
          </cell>
          <cell r="I294" t="str">
            <v>一星销售顾问</v>
          </cell>
          <cell r="J294" t="str">
            <v>女</v>
          </cell>
          <cell r="K294" t="str">
            <v>正式</v>
          </cell>
          <cell r="L294" t="str">
            <v>内部员工</v>
          </cell>
          <cell r="M294" t="str">
            <v>杨应</v>
          </cell>
        </row>
        <row r="295">
          <cell r="A295" t="str">
            <v>焦明昊</v>
          </cell>
          <cell r="B295" t="str">
            <v>01625</v>
          </cell>
          <cell r="C295" t="str">
            <v>山东时代蜂族营销策划有限公司</v>
          </cell>
          <cell r="D295">
            <v>45866</v>
          </cell>
          <cell r="E295" t="str">
            <v>山东</v>
          </cell>
          <cell r="F295" t="str">
            <v>山东营销中心</v>
          </cell>
          <cell r="G295" t="str">
            <v>山东销售部</v>
          </cell>
          <cell r="H295" t="str">
            <v>吴江平山东</v>
          </cell>
          <cell r="I295" t="str">
            <v>一星销售顾问</v>
          </cell>
          <cell r="J295" t="str">
            <v>男</v>
          </cell>
          <cell r="K295" t="str">
            <v>正式</v>
          </cell>
          <cell r="L295" t="str">
            <v>内部员工</v>
          </cell>
          <cell r="M295" t="str">
            <v>吴江平</v>
          </cell>
        </row>
        <row r="296">
          <cell r="A296" t="str">
            <v>王畅</v>
          </cell>
          <cell r="B296" t="str">
            <v>01629</v>
          </cell>
          <cell r="C296" t="str">
            <v>湖北蜜蜂族房地产经纪有限公司</v>
          </cell>
          <cell r="D296">
            <v>45866</v>
          </cell>
          <cell r="E296" t="str">
            <v>湖北</v>
          </cell>
          <cell r="F296" t="str">
            <v>湖北营销中心</v>
          </cell>
          <cell r="G296" t="str">
            <v>湖北1部</v>
          </cell>
          <cell r="H296" t="str">
            <v>秦娅玲</v>
          </cell>
          <cell r="I296" t="str">
            <v>一星销售顾问</v>
          </cell>
          <cell r="J296" t="str">
            <v>男</v>
          </cell>
          <cell r="K296" t="str">
            <v>正式</v>
          </cell>
          <cell r="L296" t="str">
            <v>内部员工</v>
          </cell>
          <cell r="M296" t="str">
            <v>秦娅玲</v>
          </cell>
        </row>
        <row r="297">
          <cell r="A297" t="str">
            <v>杜欢</v>
          </cell>
          <cell r="B297" t="str">
            <v>01615</v>
          </cell>
          <cell r="C297" t="str">
            <v>四川蜂起营销策划有限公司</v>
          </cell>
          <cell r="D297">
            <v>45864</v>
          </cell>
          <cell r="E297" t="str">
            <v>西南总部</v>
          </cell>
          <cell r="F297" t="str">
            <v>西南营销中心</v>
          </cell>
          <cell r="G297" t="str">
            <v>营业六部</v>
          </cell>
          <cell r="H297" t="str">
            <v>杨威</v>
          </cell>
          <cell r="I297" t="str">
            <v>一星销售顾问</v>
          </cell>
          <cell r="J297" t="str">
            <v>女</v>
          </cell>
          <cell r="K297" t="str">
            <v>正式</v>
          </cell>
          <cell r="L297" t="str">
            <v>内部员工</v>
          </cell>
          <cell r="M297" t="str">
            <v>杨威</v>
          </cell>
        </row>
        <row r="298">
          <cell r="A298" t="str">
            <v>邓孝礼</v>
          </cell>
          <cell r="B298" t="str">
            <v>01621</v>
          </cell>
          <cell r="C298" t="str">
            <v>四川蜂起营销策划有限公司</v>
          </cell>
          <cell r="D298">
            <v>45864</v>
          </cell>
          <cell r="E298" t="str">
            <v>西南总部</v>
          </cell>
          <cell r="F298" t="str">
            <v>西南营销中心</v>
          </cell>
          <cell r="G298" t="str">
            <v>营业四部</v>
          </cell>
          <cell r="H298" t="str">
            <v>陈帅</v>
          </cell>
          <cell r="I298" t="str">
            <v>一星销售顾问</v>
          </cell>
          <cell r="J298" t="str">
            <v>女</v>
          </cell>
          <cell r="K298" t="str">
            <v>正式</v>
          </cell>
          <cell r="L298" t="str">
            <v>内部员工</v>
          </cell>
          <cell r="M298" t="str">
            <v>陈帅</v>
          </cell>
        </row>
        <row r="299">
          <cell r="A299" t="str">
            <v>季浩</v>
          </cell>
          <cell r="B299" t="str">
            <v>01620</v>
          </cell>
          <cell r="C299" t="str">
            <v>河南蜜蜂族营销策划有限公司</v>
          </cell>
          <cell r="D299">
            <v>45861</v>
          </cell>
          <cell r="E299" t="str">
            <v>河南</v>
          </cell>
          <cell r="F299" t="str">
            <v>河南营销中心</v>
          </cell>
          <cell r="G299" t="str">
            <v>河南销售部</v>
          </cell>
          <cell r="H299" t="str">
            <v>杜雄</v>
          </cell>
          <cell r="I299" t="str">
            <v>一星销售顾问</v>
          </cell>
          <cell r="J299" t="str">
            <v>男</v>
          </cell>
          <cell r="K299" t="str">
            <v>正式</v>
          </cell>
          <cell r="L299" t="str">
            <v>内部员工</v>
          </cell>
          <cell r="M299" t="str">
            <v>杜雄</v>
          </cell>
        </row>
        <row r="300">
          <cell r="A300" t="str">
            <v>朱用晴</v>
          </cell>
          <cell r="B300" t="str">
            <v>01609</v>
          </cell>
          <cell r="C300" t="str">
            <v>四川蜂起营销策划有限公司</v>
          </cell>
          <cell r="D300">
            <v>45861</v>
          </cell>
          <cell r="E300" t="str">
            <v>河北</v>
          </cell>
          <cell r="F300" t="str">
            <v>河北营销中心</v>
          </cell>
          <cell r="G300" t="str">
            <v>河北销售部</v>
          </cell>
        </row>
        <row r="300">
          <cell r="I300" t="str">
            <v>一星销售顾问</v>
          </cell>
          <cell r="J300" t="str">
            <v>女</v>
          </cell>
          <cell r="K300" t="str">
            <v>正式</v>
          </cell>
          <cell r="L300" t="str">
            <v>内部员工</v>
          </cell>
          <cell r="M300" t="str">
            <v>扈岭楠</v>
          </cell>
        </row>
        <row r="301">
          <cell r="A301" t="str">
            <v>黄赛博</v>
          </cell>
          <cell r="B301" t="str">
            <v>01605</v>
          </cell>
          <cell r="C301" t="str">
            <v>湖南时代蜂族营销策划有限公司</v>
          </cell>
          <cell r="D301">
            <v>45860</v>
          </cell>
          <cell r="E301" t="str">
            <v>湖南</v>
          </cell>
          <cell r="F301" t="str">
            <v>湖南营销中心</v>
          </cell>
          <cell r="G301" t="str">
            <v>湖南销售部</v>
          </cell>
          <cell r="H301" t="str">
            <v>黄勇刚湖南</v>
          </cell>
          <cell r="I301" t="str">
            <v>实习销售</v>
          </cell>
          <cell r="J301" t="str">
            <v>男</v>
          </cell>
          <cell r="K301" t="str">
            <v>试用</v>
          </cell>
          <cell r="L301" t="str">
            <v>内部员工</v>
          </cell>
          <cell r="M301" t="str">
            <v>黄勇刚</v>
          </cell>
        </row>
        <row r="302">
          <cell r="A302" t="str">
            <v>龚祖明</v>
          </cell>
          <cell r="B302" t="str">
            <v>01607</v>
          </cell>
          <cell r="C302" t="str">
            <v>四川蜂起营销策划有限公司</v>
          </cell>
          <cell r="D302">
            <v>45858</v>
          </cell>
          <cell r="E302" t="str">
            <v>西南总部</v>
          </cell>
          <cell r="F302" t="str">
            <v>西南营销中心</v>
          </cell>
          <cell r="G302" t="str">
            <v>营业五部</v>
          </cell>
          <cell r="H302" t="str">
            <v>杨科</v>
          </cell>
          <cell r="I302" t="str">
            <v>一星销售顾问</v>
          </cell>
          <cell r="J302" t="str">
            <v>男</v>
          </cell>
          <cell r="K302" t="str">
            <v>正式</v>
          </cell>
          <cell r="L302" t="str">
            <v>内部员工</v>
          </cell>
          <cell r="M302" t="str">
            <v>杨科</v>
          </cell>
        </row>
        <row r="303">
          <cell r="A303" t="str">
            <v>陈子豪</v>
          </cell>
          <cell r="B303" t="str">
            <v>01602</v>
          </cell>
          <cell r="C303" t="str">
            <v>河北时代蜂族营销策划有限公司</v>
          </cell>
          <cell r="D303">
            <v>45856</v>
          </cell>
          <cell r="E303" t="str">
            <v>河北</v>
          </cell>
          <cell r="F303" t="str">
            <v>河北营销中心</v>
          </cell>
          <cell r="G303" t="str">
            <v>河北销售部</v>
          </cell>
          <cell r="H303" t="str">
            <v>韦霞河北</v>
          </cell>
          <cell r="I303" t="str">
            <v>一星销售顾问</v>
          </cell>
          <cell r="J303" t="str">
            <v>男</v>
          </cell>
          <cell r="K303" t="str">
            <v>正式</v>
          </cell>
          <cell r="L303" t="str">
            <v>内部员工</v>
          </cell>
          <cell r="M303" t="str">
            <v>韦霞</v>
          </cell>
        </row>
        <row r="304">
          <cell r="A304" t="str">
            <v>唐雨星</v>
          </cell>
          <cell r="B304" t="str">
            <v>01611</v>
          </cell>
          <cell r="C304" t="str">
            <v>四川优诺通瑞商贸有限公司</v>
          </cell>
          <cell r="D304">
            <v>45856</v>
          </cell>
          <cell r="E304" t="str">
            <v>集团职能</v>
          </cell>
          <cell r="F304" t="str">
            <v>职能总部</v>
          </cell>
          <cell r="G304" t="str">
            <v>人资行政部</v>
          </cell>
          <cell r="H304" t="str">
            <v>招聘部</v>
          </cell>
          <cell r="I304" t="str">
            <v>招聘专员</v>
          </cell>
          <cell r="J304" t="str">
            <v>女</v>
          </cell>
          <cell r="K304" t="str">
            <v>正式</v>
          </cell>
          <cell r="L304" t="str">
            <v>内部员工</v>
          </cell>
          <cell r="M304" t="str">
            <v>杨先达</v>
          </cell>
        </row>
        <row r="305">
          <cell r="A305" t="str">
            <v>周萍</v>
          </cell>
          <cell r="B305" t="str">
            <v>01601</v>
          </cell>
          <cell r="C305" t="str">
            <v>山东时代蜂族营销策划有限公司</v>
          </cell>
          <cell r="D305">
            <v>45856</v>
          </cell>
          <cell r="E305" t="str">
            <v>山东</v>
          </cell>
          <cell r="F305" t="str">
            <v>山东营销中心</v>
          </cell>
          <cell r="G305" t="str">
            <v>山东销售部</v>
          </cell>
          <cell r="H305" t="str">
            <v>杨唐山东</v>
          </cell>
          <cell r="I305" t="str">
            <v>一星销售顾问</v>
          </cell>
          <cell r="J305" t="str">
            <v>女</v>
          </cell>
          <cell r="K305" t="str">
            <v>正式</v>
          </cell>
          <cell r="L305" t="str">
            <v>内部员工</v>
          </cell>
          <cell r="M305" t="str">
            <v>杨唐</v>
          </cell>
        </row>
        <row r="306">
          <cell r="A306" t="str">
            <v>张帅</v>
          </cell>
          <cell r="B306" t="str">
            <v>01600</v>
          </cell>
          <cell r="C306" t="str">
            <v>四川蜂起营销策划有限公司</v>
          </cell>
          <cell r="D306">
            <v>45855</v>
          </cell>
          <cell r="E306" t="str">
            <v>西南总部</v>
          </cell>
          <cell r="F306" t="str">
            <v>西南营销中心</v>
          </cell>
          <cell r="G306" t="str">
            <v>营业五部</v>
          </cell>
          <cell r="H306" t="str">
            <v>尹稳</v>
          </cell>
          <cell r="I306" t="str">
            <v>二星销售顾问</v>
          </cell>
          <cell r="J306" t="str">
            <v>男</v>
          </cell>
          <cell r="K306" t="str">
            <v>正式</v>
          </cell>
          <cell r="L306" t="str">
            <v>内部员工</v>
          </cell>
          <cell r="M306" t="str">
            <v>尹稳</v>
          </cell>
        </row>
        <row r="307">
          <cell r="A307" t="str">
            <v>李宗霖</v>
          </cell>
          <cell r="B307" t="str">
            <v>01599</v>
          </cell>
          <cell r="C307" t="str">
            <v>四川蜂起营销策划有限公司</v>
          </cell>
          <cell r="D307">
            <v>45855</v>
          </cell>
          <cell r="E307" t="str">
            <v>西南总部</v>
          </cell>
          <cell r="F307" t="str">
            <v>西南营销中心</v>
          </cell>
          <cell r="G307" t="str">
            <v>营业七部</v>
          </cell>
          <cell r="H307" t="str">
            <v>刘鹏</v>
          </cell>
          <cell r="I307" t="str">
            <v>二星销售顾问</v>
          </cell>
          <cell r="J307" t="str">
            <v>男</v>
          </cell>
          <cell r="K307" t="str">
            <v>正式</v>
          </cell>
          <cell r="L307" t="str">
            <v>内部员工</v>
          </cell>
          <cell r="M307" t="str">
            <v>刘鹏</v>
          </cell>
        </row>
        <row r="308">
          <cell r="A308" t="str">
            <v>宋兰萍</v>
          </cell>
          <cell r="B308" t="str">
            <v>01595</v>
          </cell>
          <cell r="C308" t="str">
            <v>湖北蜜蜂族房地产经纪有限公司</v>
          </cell>
          <cell r="D308">
            <v>45853</v>
          </cell>
          <cell r="E308" t="str">
            <v>湖北</v>
          </cell>
          <cell r="F308" t="str">
            <v>湖北营销中心</v>
          </cell>
          <cell r="G308" t="str">
            <v>湖北1部</v>
          </cell>
          <cell r="H308" t="str">
            <v>张宗铭湖北</v>
          </cell>
          <cell r="I308" t="str">
            <v>一星销售顾问</v>
          </cell>
          <cell r="J308" t="str">
            <v>女</v>
          </cell>
          <cell r="K308" t="str">
            <v>正式</v>
          </cell>
          <cell r="L308" t="str">
            <v>内部员工</v>
          </cell>
          <cell r="M308" t="str">
            <v>张宗铭</v>
          </cell>
        </row>
        <row r="309">
          <cell r="A309" t="str">
            <v>杨哲</v>
          </cell>
          <cell r="B309" t="str">
            <v>01596</v>
          </cell>
          <cell r="C309" t="str">
            <v>陕西蜂族科技有限公司</v>
          </cell>
          <cell r="D309">
            <v>45853</v>
          </cell>
          <cell r="E309" t="str">
            <v>陕西</v>
          </cell>
          <cell r="F309" t="str">
            <v>陕西营销中心</v>
          </cell>
          <cell r="G309" t="str">
            <v>陕西1部</v>
          </cell>
          <cell r="H309" t="str">
            <v>叶湑</v>
          </cell>
          <cell r="I309" t="str">
            <v>实习销售</v>
          </cell>
          <cell r="J309" t="str">
            <v>男</v>
          </cell>
          <cell r="K309" t="str">
            <v>试用</v>
          </cell>
          <cell r="L309" t="str">
            <v>内部员工</v>
          </cell>
          <cell r="M309" t="str">
            <v>叶湑</v>
          </cell>
        </row>
        <row r="310">
          <cell r="A310" t="str">
            <v>陈军2</v>
          </cell>
          <cell r="B310" t="str">
            <v>01598</v>
          </cell>
          <cell r="C310" t="str">
            <v>河北时代蜂族营销策划有限公司</v>
          </cell>
          <cell r="D310">
            <v>45853</v>
          </cell>
          <cell r="E310" t="str">
            <v>河北</v>
          </cell>
          <cell r="F310" t="str">
            <v>河北营销中心</v>
          </cell>
          <cell r="G310" t="str">
            <v>河北销售部</v>
          </cell>
          <cell r="H310" t="str">
            <v>韦霞河北</v>
          </cell>
          <cell r="I310" t="str">
            <v>一星销售顾问</v>
          </cell>
          <cell r="J310" t="str">
            <v>男</v>
          </cell>
          <cell r="K310" t="str">
            <v>正式</v>
          </cell>
          <cell r="L310" t="str">
            <v>内部员工</v>
          </cell>
          <cell r="M310" t="str">
            <v>韦霞</v>
          </cell>
        </row>
        <row r="311">
          <cell r="A311" t="str">
            <v>张娇</v>
          </cell>
          <cell r="B311" t="str">
            <v>01597</v>
          </cell>
          <cell r="C311" t="str">
            <v>四川大礼连连科技有限公司</v>
          </cell>
          <cell r="D311">
            <v>45852</v>
          </cell>
          <cell r="E311" t="str">
            <v>河南</v>
          </cell>
          <cell r="F311" t="str">
            <v>河南营销中心</v>
          </cell>
          <cell r="G311" t="str">
            <v>河南销售部</v>
          </cell>
          <cell r="H311" t="str">
            <v>蒋吉勇河南</v>
          </cell>
          <cell r="I311" t="str">
            <v>二星销售顾问</v>
          </cell>
          <cell r="J311" t="str">
            <v>女</v>
          </cell>
          <cell r="K311" t="str">
            <v>正式</v>
          </cell>
          <cell r="L311" t="str">
            <v>内部员工</v>
          </cell>
          <cell r="M311" t="str">
            <v>蒋吉勇</v>
          </cell>
        </row>
        <row r="312">
          <cell r="A312" t="str">
            <v>王维</v>
          </cell>
          <cell r="B312" t="str">
            <v>00569</v>
          </cell>
          <cell r="C312" t="str">
            <v>四川时代蜂族营销策划有限公司</v>
          </cell>
          <cell r="D312">
            <v>45849</v>
          </cell>
          <cell r="E312" t="str">
            <v>西南总部</v>
          </cell>
          <cell r="F312" t="str">
            <v>西南营销中心</v>
          </cell>
          <cell r="G312" t="str">
            <v>营业二部</v>
          </cell>
          <cell r="H312" t="str">
            <v>张佩瑶</v>
          </cell>
          <cell r="I312" t="str">
            <v>二星销售顾问</v>
          </cell>
          <cell r="J312" t="str">
            <v>男</v>
          </cell>
          <cell r="K312" t="str">
            <v>正式</v>
          </cell>
          <cell r="L312" t="str">
            <v>内部员工</v>
          </cell>
          <cell r="M312" t="str">
            <v>张佩瑶</v>
          </cell>
        </row>
        <row r="313">
          <cell r="A313" t="str">
            <v>邓富成</v>
          </cell>
          <cell r="B313" t="str">
            <v>01591</v>
          </cell>
          <cell r="C313" t="str">
            <v>四川时代蜂族营销策划有限公司</v>
          </cell>
          <cell r="D313">
            <v>45848</v>
          </cell>
          <cell r="E313" t="str">
            <v>西南总部</v>
          </cell>
          <cell r="F313" t="str">
            <v>西南营销中心</v>
          </cell>
          <cell r="G313" t="str">
            <v>营业六部</v>
          </cell>
          <cell r="H313" t="str">
            <v>韩颖</v>
          </cell>
          <cell r="I313" t="str">
            <v>二星销售顾问</v>
          </cell>
          <cell r="J313" t="str">
            <v>男</v>
          </cell>
          <cell r="K313" t="str">
            <v>正式</v>
          </cell>
          <cell r="L313" t="str">
            <v>内部员工</v>
          </cell>
          <cell r="M313" t="str">
            <v>韩颖</v>
          </cell>
        </row>
        <row r="314">
          <cell r="A314" t="str">
            <v>张勤</v>
          </cell>
          <cell r="B314" t="str">
            <v>01584</v>
          </cell>
          <cell r="C314" t="str">
            <v>四川蜂起营销策划有限公司</v>
          </cell>
          <cell r="D314">
            <v>45847</v>
          </cell>
          <cell r="E314" t="str">
            <v>集团职能</v>
          </cell>
          <cell r="F314" t="str">
            <v>职能总部</v>
          </cell>
          <cell r="G314" t="str">
            <v>策划部</v>
          </cell>
        </row>
        <row r="314">
          <cell r="I314" t="str">
            <v>策划专员</v>
          </cell>
          <cell r="J314" t="str">
            <v>女</v>
          </cell>
          <cell r="K314" t="str">
            <v>正式</v>
          </cell>
          <cell r="L314" t="str">
            <v>内部员工</v>
          </cell>
          <cell r="M314" t="str">
            <v>古天鹏</v>
          </cell>
        </row>
        <row r="315">
          <cell r="A315" t="str">
            <v>周帅</v>
          </cell>
          <cell r="B315" t="str">
            <v>01588</v>
          </cell>
          <cell r="C315" t="str">
            <v>河南蜜蜂族营销策划有限公司</v>
          </cell>
          <cell r="D315">
            <v>45846</v>
          </cell>
          <cell r="E315" t="str">
            <v>河南</v>
          </cell>
          <cell r="F315" t="str">
            <v>河南营销中心</v>
          </cell>
        </row>
        <row r="315">
          <cell r="I315" t="str">
            <v>实习销售</v>
          </cell>
          <cell r="J315" t="str">
            <v>男</v>
          </cell>
          <cell r="K315" t="str">
            <v>试用</v>
          </cell>
          <cell r="L315" t="str">
            <v>内部员工</v>
          </cell>
          <cell r="M315" t="str">
            <v>毛孝树</v>
          </cell>
        </row>
        <row r="316">
          <cell r="A316" t="str">
            <v>朱静</v>
          </cell>
          <cell r="B316" t="str">
            <v>01587</v>
          </cell>
          <cell r="C316" t="str">
            <v>四川时代蜂族营销策划有限公司</v>
          </cell>
          <cell r="D316">
            <v>45845</v>
          </cell>
          <cell r="E316" t="str">
            <v>西南总部</v>
          </cell>
          <cell r="F316" t="str">
            <v>西南营销中心</v>
          </cell>
          <cell r="G316" t="str">
            <v>营业五部</v>
          </cell>
          <cell r="H316" t="str">
            <v>杨科</v>
          </cell>
          <cell r="I316" t="str">
            <v>二星销售顾问</v>
          </cell>
          <cell r="J316" t="str">
            <v>女</v>
          </cell>
          <cell r="K316" t="str">
            <v>正式</v>
          </cell>
          <cell r="L316" t="str">
            <v>内部员工</v>
          </cell>
          <cell r="M316" t="str">
            <v>杨科</v>
          </cell>
        </row>
        <row r="317">
          <cell r="A317" t="str">
            <v>蒋元香</v>
          </cell>
          <cell r="B317" t="str">
            <v>01567</v>
          </cell>
          <cell r="C317" t="str">
            <v>四川时代蜂族营销策划有限公司</v>
          </cell>
          <cell r="D317">
            <v>45844</v>
          </cell>
          <cell r="E317" t="str">
            <v>西南总部</v>
          </cell>
          <cell r="F317" t="str">
            <v>西南营销中心</v>
          </cell>
          <cell r="G317" t="str">
            <v>营业一部</v>
          </cell>
          <cell r="H317" t="str">
            <v>朱家艳</v>
          </cell>
          <cell r="I317" t="str">
            <v>二星销售顾问</v>
          </cell>
          <cell r="J317" t="str">
            <v>女</v>
          </cell>
          <cell r="K317" t="str">
            <v>正式</v>
          </cell>
          <cell r="L317" t="str">
            <v>实习生</v>
          </cell>
          <cell r="M317" t="str">
            <v>朱家艳</v>
          </cell>
        </row>
        <row r="318">
          <cell r="A318" t="str">
            <v>易青</v>
          </cell>
          <cell r="B318" t="str">
            <v>01569</v>
          </cell>
          <cell r="C318" t="str">
            <v>四川时代蜂族营销策划有限公司</v>
          </cell>
          <cell r="D318">
            <v>45844</v>
          </cell>
          <cell r="E318" t="str">
            <v>河北</v>
          </cell>
          <cell r="F318" t="str">
            <v>河北营销中心</v>
          </cell>
          <cell r="G318" t="str">
            <v>河北销售部</v>
          </cell>
        </row>
        <row r="318">
          <cell r="I318" t="str">
            <v>一星销售顾问</v>
          </cell>
          <cell r="J318" t="str">
            <v>女</v>
          </cell>
          <cell r="K318" t="str">
            <v>正式</v>
          </cell>
          <cell r="L318" t="str">
            <v>实习生</v>
          </cell>
          <cell r="M318" t="str">
            <v>扈岭楠</v>
          </cell>
        </row>
        <row r="319">
          <cell r="A319" t="str">
            <v>叶婷</v>
          </cell>
          <cell r="B319" t="str">
            <v>01571</v>
          </cell>
          <cell r="C319" t="str">
            <v>四川时代蜂族营销策划有限公司</v>
          </cell>
          <cell r="D319">
            <v>45844</v>
          </cell>
          <cell r="E319" t="str">
            <v>西南总部</v>
          </cell>
          <cell r="F319" t="str">
            <v>西南营销中心</v>
          </cell>
          <cell r="G319" t="str">
            <v>营业六部</v>
          </cell>
          <cell r="H319" t="str">
            <v>袁华</v>
          </cell>
          <cell r="I319" t="str">
            <v>一星销售顾问</v>
          </cell>
          <cell r="J319" t="str">
            <v>女</v>
          </cell>
          <cell r="K319" t="str">
            <v>正式</v>
          </cell>
          <cell r="L319" t="str">
            <v>实习生</v>
          </cell>
          <cell r="M319" t="str">
            <v>袁华</v>
          </cell>
        </row>
        <row r="320">
          <cell r="A320" t="str">
            <v>宋雨嫣</v>
          </cell>
          <cell r="B320" t="str">
            <v>01575</v>
          </cell>
          <cell r="C320" t="str">
            <v>四川时代蜂族营销策划有限公司</v>
          </cell>
          <cell r="D320">
            <v>45844</v>
          </cell>
          <cell r="E320" t="str">
            <v>西南总部</v>
          </cell>
          <cell r="F320" t="str">
            <v>西南营销中心</v>
          </cell>
          <cell r="G320" t="str">
            <v>营业三部</v>
          </cell>
          <cell r="H320" t="str">
            <v>吴建鑫</v>
          </cell>
          <cell r="I320" t="str">
            <v>一星销售顾问</v>
          </cell>
          <cell r="J320" t="str">
            <v>女</v>
          </cell>
          <cell r="K320" t="str">
            <v>正式</v>
          </cell>
          <cell r="L320" t="str">
            <v>实习生</v>
          </cell>
          <cell r="M320" t="str">
            <v>吴建鑫</v>
          </cell>
        </row>
        <row r="321">
          <cell r="A321" t="str">
            <v>刘源</v>
          </cell>
          <cell r="B321" t="str">
            <v>01568</v>
          </cell>
          <cell r="C321" t="str">
            <v>山西时代蜂族房地产经纪有限公司</v>
          </cell>
          <cell r="D321">
            <v>45844</v>
          </cell>
          <cell r="E321" t="str">
            <v>山西</v>
          </cell>
          <cell r="F321" t="str">
            <v>山西营销中心</v>
          </cell>
          <cell r="G321" t="str">
            <v>山西销售部</v>
          </cell>
          <cell r="H321" t="str">
            <v>彭停山西</v>
          </cell>
          <cell r="I321" t="str">
            <v>二星销售顾问</v>
          </cell>
          <cell r="J321" t="str">
            <v>男</v>
          </cell>
          <cell r="K321" t="str">
            <v>正式</v>
          </cell>
          <cell r="L321" t="str">
            <v>实习生</v>
          </cell>
          <cell r="M321" t="str">
            <v>彭停</v>
          </cell>
        </row>
        <row r="322">
          <cell r="A322" t="str">
            <v>李骏昊</v>
          </cell>
          <cell r="B322" t="str">
            <v>01573</v>
          </cell>
          <cell r="C322" t="str">
            <v>山西时代蜂族房地产经纪有限公司</v>
          </cell>
          <cell r="D322">
            <v>45844</v>
          </cell>
          <cell r="E322" t="str">
            <v>山西</v>
          </cell>
          <cell r="F322" t="str">
            <v>山西营销中心</v>
          </cell>
          <cell r="G322" t="str">
            <v>山西销售部</v>
          </cell>
          <cell r="H322" t="str">
            <v>赵龙</v>
          </cell>
          <cell r="I322" t="str">
            <v>一星销售顾问</v>
          </cell>
          <cell r="J322" t="str">
            <v>男</v>
          </cell>
          <cell r="K322" t="str">
            <v>正式</v>
          </cell>
          <cell r="L322" t="str">
            <v>实习生</v>
          </cell>
          <cell r="M322" t="str">
            <v>赵龙</v>
          </cell>
        </row>
        <row r="323">
          <cell r="A323" t="str">
            <v>李鑫4</v>
          </cell>
          <cell r="B323" t="str">
            <v>01579</v>
          </cell>
          <cell r="C323" t="str">
            <v>四川时代蜂族营销策划有限公司</v>
          </cell>
          <cell r="D323">
            <v>45844</v>
          </cell>
          <cell r="E323" t="str">
            <v>西南总部</v>
          </cell>
          <cell r="F323" t="str">
            <v>西南营销中心</v>
          </cell>
          <cell r="G323" t="str">
            <v>营业六部</v>
          </cell>
          <cell r="H323" t="str">
            <v>杨翠茹</v>
          </cell>
          <cell r="I323" t="str">
            <v>二星销售顾问</v>
          </cell>
          <cell r="J323" t="str">
            <v>男</v>
          </cell>
          <cell r="K323" t="str">
            <v>正式</v>
          </cell>
          <cell r="L323" t="str">
            <v>实习生</v>
          </cell>
          <cell r="M323" t="str">
            <v>杨翠茹</v>
          </cell>
        </row>
        <row r="324">
          <cell r="A324" t="str">
            <v>余勤昌</v>
          </cell>
          <cell r="B324" t="str">
            <v>01574</v>
          </cell>
          <cell r="C324" t="str">
            <v>四川时代蜂族营销策划有限公司</v>
          </cell>
          <cell r="D324">
            <v>45844</v>
          </cell>
          <cell r="E324" t="str">
            <v>西南总部</v>
          </cell>
          <cell r="F324" t="str">
            <v>西南营销中心</v>
          </cell>
          <cell r="G324" t="str">
            <v>营业二部</v>
          </cell>
          <cell r="H324" t="str">
            <v>张佩瑶</v>
          </cell>
          <cell r="I324" t="str">
            <v>二星销售顾问</v>
          </cell>
          <cell r="J324" t="str">
            <v>女</v>
          </cell>
          <cell r="K324" t="str">
            <v>正式</v>
          </cell>
          <cell r="L324" t="str">
            <v>实习生</v>
          </cell>
          <cell r="M324" t="str">
            <v>张佩瑶</v>
          </cell>
        </row>
        <row r="325">
          <cell r="A325" t="str">
            <v>陈佳乐</v>
          </cell>
          <cell r="B325" t="str">
            <v>01589</v>
          </cell>
          <cell r="C325" t="str">
            <v>陕西蜂族科技有限公司</v>
          </cell>
          <cell r="D325">
            <v>45843</v>
          </cell>
          <cell r="E325" t="str">
            <v>陕西</v>
          </cell>
          <cell r="F325" t="str">
            <v>陕西营销中心</v>
          </cell>
          <cell r="G325" t="str">
            <v>陕西1部</v>
          </cell>
          <cell r="H325" t="str">
            <v>杨永梅</v>
          </cell>
          <cell r="I325" t="str">
            <v>一星销售顾问</v>
          </cell>
          <cell r="J325" t="str">
            <v>男</v>
          </cell>
          <cell r="K325" t="str">
            <v>正式</v>
          </cell>
          <cell r="L325" t="str">
            <v>内部员工</v>
          </cell>
          <cell r="M325" t="str">
            <v>杨永梅</v>
          </cell>
        </row>
        <row r="326">
          <cell r="A326" t="str">
            <v>贾品超</v>
          </cell>
          <cell r="B326" t="str">
            <v>01585</v>
          </cell>
          <cell r="C326" t="str">
            <v>河南蜜蜂族营销策划有限公司</v>
          </cell>
          <cell r="D326">
            <v>45842</v>
          </cell>
          <cell r="E326" t="str">
            <v>河南</v>
          </cell>
          <cell r="F326" t="str">
            <v>河南营销中心</v>
          </cell>
          <cell r="G326" t="str">
            <v>河南销售部</v>
          </cell>
          <cell r="H326" t="str">
            <v>余金梅</v>
          </cell>
          <cell r="I326" t="str">
            <v>二星销售顾问</v>
          </cell>
          <cell r="J326" t="str">
            <v>男</v>
          </cell>
          <cell r="K326" t="str">
            <v>正式</v>
          </cell>
          <cell r="L326" t="str">
            <v>内部员工</v>
          </cell>
          <cell r="M326" t="str">
            <v>余金梅</v>
          </cell>
        </row>
        <row r="327">
          <cell r="A327" t="str">
            <v>汤茗棵</v>
          </cell>
          <cell r="B327" t="str">
            <v>01583</v>
          </cell>
          <cell r="C327" t="str">
            <v>陕西蜂族科技有限公司</v>
          </cell>
          <cell r="D327">
            <v>45841</v>
          </cell>
          <cell r="E327" t="str">
            <v>陕西</v>
          </cell>
          <cell r="F327" t="str">
            <v>陕西营销中心</v>
          </cell>
          <cell r="G327" t="str">
            <v>陕西1部</v>
          </cell>
          <cell r="H327" t="str">
            <v>刘聪</v>
          </cell>
          <cell r="I327" t="str">
            <v>实习销售</v>
          </cell>
          <cell r="J327" t="str">
            <v>男</v>
          </cell>
          <cell r="K327" t="str">
            <v>试用</v>
          </cell>
          <cell r="L327" t="str">
            <v>内部员工</v>
          </cell>
          <cell r="M327" t="str">
            <v>刘聪</v>
          </cell>
        </row>
        <row r="328">
          <cell r="A328" t="str">
            <v>张莉萍</v>
          </cell>
          <cell r="B328" t="str">
            <v>01581</v>
          </cell>
          <cell r="C328" t="str">
            <v>四川蜂起营销策划有限公司</v>
          </cell>
          <cell r="D328">
            <v>45841</v>
          </cell>
          <cell r="E328" t="str">
            <v>西南总部</v>
          </cell>
          <cell r="F328" t="str">
            <v>西南营销中心</v>
          </cell>
          <cell r="G328" t="str">
            <v>营业七部</v>
          </cell>
          <cell r="H328" t="str">
            <v>张家涛</v>
          </cell>
          <cell r="I328" t="str">
            <v>一星销售顾问</v>
          </cell>
          <cell r="J328" t="str">
            <v>女</v>
          </cell>
          <cell r="K328" t="str">
            <v>正式</v>
          </cell>
          <cell r="L328" t="str">
            <v>内部员工</v>
          </cell>
          <cell r="M328" t="str">
            <v>张家涛</v>
          </cell>
        </row>
        <row r="329">
          <cell r="A329" t="str">
            <v>李再桥</v>
          </cell>
          <cell r="B329" t="str">
            <v>01563</v>
          </cell>
          <cell r="C329" t="str">
            <v>湖南时代蜂族营销策划有限公司</v>
          </cell>
          <cell r="D329">
            <v>45840</v>
          </cell>
          <cell r="E329" t="str">
            <v>湖南</v>
          </cell>
          <cell r="F329" t="str">
            <v>湖南营销中心</v>
          </cell>
          <cell r="G329" t="str">
            <v>湖南销售部</v>
          </cell>
          <cell r="H329" t="str">
            <v>陈炳佑</v>
          </cell>
          <cell r="I329" t="str">
            <v>一星销售顾问</v>
          </cell>
          <cell r="J329" t="str">
            <v>男</v>
          </cell>
          <cell r="K329" t="str">
            <v>正式</v>
          </cell>
          <cell r="L329" t="str">
            <v>内部员工</v>
          </cell>
          <cell r="M329" t="str">
            <v>陈炳佑</v>
          </cell>
        </row>
        <row r="330">
          <cell r="A330" t="str">
            <v>赵书强</v>
          </cell>
          <cell r="B330" t="str">
            <v>01566</v>
          </cell>
          <cell r="C330" t="str">
            <v>陕西蜂族科技有限公司</v>
          </cell>
          <cell r="D330">
            <v>45838</v>
          </cell>
          <cell r="E330" t="str">
            <v>陕西</v>
          </cell>
          <cell r="F330" t="str">
            <v>陕西营销中心</v>
          </cell>
          <cell r="G330" t="str">
            <v>陕西2部</v>
          </cell>
          <cell r="H330" t="str">
            <v>王天成</v>
          </cell>
          <cell r="I330" t="str">
            <v>一星销售顾问</v>
          </cell>
          <cell r="J330" t="str">
            <v>男</v>
          </cell>
          <cell r="K330" t="str">
            <v>正式</v>
          </cell>
          <cell r="L330" t="str">
            <v>内部员工</v>
          </cell>
          <cell r="M330" t="str">
            <v>王天成</v>
          </cell>
        </row>
        <row r="331">
          <cell r="A331" t="str">
            <v>夏玉木</v>
          </cell>
          <cell r="B331" t="str">
            <v>01560</v>
          </cell>
          <cell r="C331" t="str">
            <v>四川大礼连连科技有限公司</v>
          </cell>
          <cell r="D331">
            <v>45838</v>
          </cell>
          <cell r="E331" t="str">
            <v>西南总部</v>
          </cell>
          <cell r="F331" t="str">
            <v>西南营销中心</v>
          </cell>
          <cell r="G331" t="str">
            <v>营业五部</v>
          </cell>
          <cell r="H331" t="str">
            <v>周远芮</v>
          </cell>
          <cell r="I331" t="str">
            <v>一星销售顾问</v>
          </cell>
          <cell r="J331" t="str">
            <v>男</v>
          </cell>
          <cell r="K331" t="str">
            <v>正式</v>
          </cell>
          <cell r="L331" t="str">
            <v>内部员工</v>
          </cell>
          <cell r="M331" t="str">
            <v>周远芮</v>
          </cell>
        </row>
        <row r="332">
          <cell r="A332" t="str">
            <v>孙杰梅</v>
          </cell>
          <cell r="B332" t="str">
            <v>01562</v>
          </cell>
          <cell r="C332" t="str">
            <v>四川大礼连连科技有限公司</v>
          </cell>
          <cell r="D332">
            <v>45838</v>
          </cell>
          <cell r="E332" t="str">
            <v>西南总部</v>
          </cell>
          <cell r="F332" t="str">
            <v>西南营销中心</v>
          </cell>
          <cell r="G332" t="str">
            <v>营业二部</v>
          </cell>
          <cell r="H332" t="str">
            <v>杨芊</v>
          </cell>
          <cell r="I332" t="str">
            <v>二星销售顾问</v>
          </cell>
          <cell r="J332" t="str">
            <v>女</v>
          </cell>
          <cell r="K332" t="str">
            <v>正式</v>
          </cell>
          <cell r="L332" t="str">
            <v>内部员工</v>
          </cell>
          <cell r="M332" t="str">
            <v>杨芊</v>
          </cell>
        </row>
        <row r="333">
          <cell r="A333" t="str">
            <v>陶福亮</v>
          </cell>
          <cell r="B333" t="str">
            <v>01558</v>
          </cell>
          <cell r="C333" t="str">
            <v>山东时代蜂族营销策划有限公司</v>
          </cell>
          <cell r="D333">
            <v>45838</v>
          </cell>
          <cell r="E333" t="str">
            <v>山东</v>
          </cell>
          <cell r="F333" t="str">
            <v>山东营销中心</v>
          </cell>
          <cell r="G333" t="str">
            <v>山东销售部</v>
          </cell>
          <cell r="H333" t="str">
            <v>周涛</v>
          </cell>
          <cell r="I333" t="str">
            <v>一星销售顾问</v>
          </cell>
          <cell r="J333" t="str">
            <v>男</v>
          </cell>
          <cell r="K333" t="str">
            <v>正式</v>
          </cell>
          <cell r="L333" t="str">
            <v>内部员工</v>
          </cell>
          <cell r="M333" t="str">
            <v>周涛</v>
          </cell>
        </row>
        <row r="334">
          <cell r="A334" t="str">
            <v>周光辉</v>
          </cell>
          <cell r="B334" t="str">
            <v>01565</v>
          </cell>
          <cell r="C334" t="str">
            <v>四川大礼连连科技有限公司</v>
          </cell>
          <cell r="D334">
            <v>45836</v>
          </cell>
          <cell r="E334" t="str">
            <v>西南总部</v>
          </cell>
          <cell r="F334" t="str">
            <v>西南营销中心</v>
          </cell>
          <cell r="G334" t="str">
            <v>营业一部</v>
          </cell>
          <cell r="H334" t="str">
            <v>唐浪波</v>
          </cell>
          <cell r="I334" t="str">
            <v>二星销售顾问</v>
          </cell>
          <cell r="J334" t="str">
            <v>男</v>
          </cell>
          <cell r="K334" t="str">
            <v>正式</v>
          </cell>
          <cell r="L334" t="str">
            <v>内部员工</v>
          </cell>
          <cell r="M334" t="str">
            <v>唐浪波</v>
          </cell>
        </row>
        <row r="335">
          <cell r="A335" t="str">
            <v>刘政</v>
          </cell>
          <cell r="B335" t="str">
            <v>01561</v>
          </cell>
          <cell r="C335" t="str">
            <v>山东时代蜂族营销策划有限公司</v>
          </cell>
          <cell r="D335">
            <v>45836</v>
          </cell>
          <cell r="E335" t="str">
            <v>山东</v>
          </cell>
          <cell r="F335" t="str">
            <v>山东营销中心</v>
          </cell>
          <cell r="G335" t="str">
            <v>山东销售部</v>
          </cell>
          <cell r="H335" t="str">
            <v>吴江平山东</v>
          </cell>
          <cell r="I335" t="str">
            <v>一星销售顾问</v>
          </cell>
          <cell r="J335" t="str">
            <v>男</v>
          </cell>
          <cell r="K335" t="str">
            <v>正式</v>
          </cell>
          <cell r="L335" t="str">
            <v>内部员工</v>
          </cell>
          <cell r="M335" t="str">
            <v>吴江平</v>
          </cell>
        </row>
        <row r="336">
          <cell r="A336" t="str">
            <v>任浩</v>
          </cell>
          <cell r="B336" t="str">
            <v>01557</v>
          </cell>
          <cell r="C336" t="str">
            <v>四川蜂起营销策划有限公司</v>
          </cell>
          <cell r="D336">
            <v>45836</v>
          </cell>
          <cell r="E336" t="str">
            <v>西南总部</v>
          </cell>
          <cell r="F336" t="str">
            <v>西南营销中心</v>
          </cell>
          <cell r="G336" t="str">
            <v>营业五部</v>
          </cell>
          <cell r="H336" t="str">
            <v>谢敏</v>
          </cell>
          <cell r="I336" t="str">
            <v>一星销售顾问</v>
          </cell>
          <cell r="J336" t="str">
            <v>男</v>
          </cell>
          <cell r="K336" t="str">
            <v>正式</v>
          </cell>
          <cell r="L336" t="str">
            <v>内部员工</v>
          </cell>
          <cell r="M336" t="str">
            <v>谢敏</v>
          </cell>
        </row>
        <row r="337">
          <cell r="A337" t="str">
            <v>张锦</v>
          </cell>
          <cell r="B337" t="str">
            <v>01556</v>
          </cell>
          <cell r="C337" t="str">
            <v>四川时代蜂族营销策划有限公司</v>
          </cell>
          <cell r="D337">
            <v>45836</v>
          </cell>
          <cell r="E337" t="str">
            <v>西南总部</v>
          </cell>
          <cell r="F337" t="str">
            <v>西南拓展中心</v>
          </cell>
          <cell r="G337" t="str">
            <v>川西</v>
          </cell>
        </row>
        <row r="337">
          <cell r="I337" t="str">
            <v>实习拓展</v>
          </cell>
          <cell r="J337" t="str">
            <v>男</v>
          </cell>
          <cell r="K337" t="str">
            <v>正式</v>
          </cell>
          <cell r="L337" t="str">
            <v>内部员工</v>
          </cell>
          <cell r="M337" t="str">
            <v>杨蓉</v>
          </cell>
        </row>
        <row r="338">
          <cell r="A338" t="str">
            <v>张强2</v>
          </cell>
          <cell r="B338" t="str">
            <v>01550</v>
          </cell>
          <cell r="C338" t="str">
            <v>四川时代蜂族营销策划有限公司</v>
          </cell>
          <cell r="D338">
            <v>45833</v>
          </cell>
          <cell r="E338" t="str">
            <v>西南总部</v>
          </cell>
          <cell r="F338" t="str">
            <v>西南营销中心</v>
          </cell>
          <cell r="G338" t="str">
            <v>营业三部</v>
          </cell>
          <cell r="H338" t="str">
            <v>肖秀丽</v>
          </cell>
          <cell r="I338" t="str">
            <v>实习销售</v>
          </cell>
          <cell r="J338" t="str">
            <v>男</v>
          </cell>
          <cell r="K338" t="str">
            <v>试用</v>
          </cell>
          <cell r="L338" t="str">
            <v>内部员工</v>
          </cell>
          <cell r="M338" t="str">
            <v>肖秀丽</v>
          </cell>
        </row>
        <row r="339">
          <cell r="A339" t="str">
            <v>王宇飞</v>
          </cell>
          <cell r="B339" t="str">
            <v>01555</v>
          </cell>
          <cell r="C339" t="str">
            <v>湖南时代蜂族营销策划有限公司</v>
          </cell>
          <cell r="D339">
            <v>45833</v>
          </cell>
          <cell r="E339" t="str">
            <v>湖南</v>
          </cell>
          <cell r="F339" t="str">
            <v>湖南营销中心</v>
          </cell>
          <cell r="G339" t="str">
            <v>湖南销售部</v>
          </cell>
          <cell r="H339" t="str">
            <v>陈炳佑</v>
          </cell>
          <cell r="I339" t="str">
            <v>二星销售顾问</v>
          </cell>
          <cell r="J339" t="str">
            <v>男</v>
          </cell>
          <cell r="K339" t="str">
            <v>正式</v>
          </cell>
          <cell r="L339" t="str">
            <v>内部员工</v>
          </cell>
          <cell r="M339" t="str">
            <v>陈炳佑</v>
          </cell>
        </row>
        <row r="340">
          <cell r="A340" t="str">
            <v>闫磊</v>
          </cell>
          <cell r="B340" t="str">
            <v>01553</v>
          </cell>
          <cell r="C340" t="str">
            <v>山东时代蜂族营销策划有限公司</v>
          </cell>
          <cell r="D340">
            <v>45833</v>
          </cell>
          <cell r="E340" t="str">
            <v>山东</v>
          </cell>
          <cell r="F340" t="str">
            <v>山东营销中心</v>
          </cell>
          <cell r="G340" t="str">
            <v>山东销售部</v>
          </cell>
          <cell r="H340" t="str">
            <v>吴江平山东</v>
          </cell>
          <cell r="I340" t="str">
            <v>二星销售顾问</v>
          </cell>
          <cell r="J340" t="str">
            <v>男</v>
          </cell>
          <cell r="K340" t="str">
            <v>正式</v>
          </cell>
          <cell r="L340" t="str">
            <v>内部员工</v>
          </cell>
          <cell r="M340" t="str">
            <v>吴江平</v>
          </cell>
        </row>
        <row r="341">
          <cell r="A341" t="str">
            <v>马夕鹏</v>
          </cell>
          <cell r="B341" t="str">
            <v>01559</v>
          </cell>
          <cell r="C341" t="str">
            <v>四川大礼连连科技有限公司</v>
          </cell>
          <cell r="D341">
            <v>45833</v>
          </cell>
          <cell r="E341" t="str">
            <v>西南总部</v>
          </cell>
          <cell r="F341" t="str">
            <v>西南营销中心</v>
          </cell>
          <cell r="G341" t="str">
            <v>营业四部</v>
          </cell>
          <cell r="H341" t="str">
            <v>彭停</v>
          </cell>
          <cell r="I341" t="str">
            <v>二星销售顾问</v>
          </cell>
          <cell r="J341" t="str">
            <v>男</v>
          </cell>
          <cell r="K341" t="str">
            <v>正式</v>
          </cell>
          <cell r="L341" t="str">
            <v>内部员工</v>
          </cell>
          <cell r="M341" t="str">
            <v>彭停</v>
          </cell>
        </row>
        <row r="342">
          <cell r="A342" t="str">
            <v>黄章强</v>
          </cell>
          <cell r="B342" t="str">
            <v>01551</v>
          </cell>
          <cell r="C342" t="str">
            <v>四川大礼连连科技有限公司</v>
          </cell>
          <cell r="D342">
            <v>45832</v>
          </cell>
          <cell r="E342" t="str">
            <v>西南总部</v>
          </cell>
          <cell r="F342" t="str">
            <v>西南营销中心</v>
          </cell>
          <cell r="G342" t="str">
            <v>营业六部</v>
          </cell>
          <cell r="H342" t="str">
            <v>贾雪英</v>
          </cell>
          <cell r="I342" t="str">
            <v>二星销售顾问</v>
          </cell>
          <cell r="J342" t="str">
            <v>男</v>
          </cell>
          <cell r="K342" t="str">
            <v>正式</v>
          </cell>
          <cell r="L342" t="str">
            <v>内部员工</v>
          </cell>
          <cell r="M342" t="str">
            <v>贾雪英</v>
          </cell>
        </row>
        <row r="343">
          <cell r="A343" t="str">
            <v>陈立新</v>
          </cell>
          <cell r="B343" t="str">
            <v>01548</v>
          </cell>
          <cell r="C343" t="str">
            <v>陕西蜂族科技有限公司</v>
          </cell>
          <cell r="D343">
            <v>45831</v>
          </cell>
          <cell r="E343" t="str">
            <v>陕西</v>
          </cell>
          <cell r="F343" t="str">
            <v>陕西营销中心</v>
          </cell>
          <cell r="G343" t="str">
            <v>陕西2部</v>
          </cell>
          <cell r="H343" t="str">
            <v>王超2</v>
          </cell>
          <cell r="I343" t="str">
            <v>实习销售</v>
          </cell>
          <cell r="J343" t="str">
            <v>男</v>
          </cell>
          <cell r="K343" t="str">
            <v>试用</v>
          </cell>
          <cell r="L343" t="str">
            <v>内部员工</v>
          </cell>
          <cell r="M343" t="str">
            <v>王超2</v>
          </cell>
        </row>
        <row r="344">
          <cell r="A344" t="str">
            <v>殷吉</v>
          </cell>
          <cell r="B344" t="str">
            <v>01547</v>
          </cell>
          <cell r="C344" t="str">
            <v>四川时代蜂族营销策划有限公司</v>
          </cell>
          <cell r="D344">
            <v>45830</v>
          </cell>
          <cell r="E344" t="str">
            <v>西南总部</v>
          </cell>
          <cell r="F344" t="str">
            <v>西南营销中心</v>
          </cell>
          <cell r="G344" t="str">
            <v>营业四部</v>
          </cell>
          <cell r="H344" t="str">
            <v>陈帅</v>
          </cell>
          <cell r="I344" t="str">
            <v>一星销售顾问</v>
          </cell>
          <cell r="J344" t="str">
            <v>女</v>
          </cell>
          <cell r="K344" t="str">
            <v>正式</v>
          </cell>
          <cell r="L344" t="str">
            <v>内部员工</v>
          </cell>
          <cell r="M344" t="str">
            <v>陈帅</v>
          </cell>
        </row>
        <row r="345">
          <cell r="A345" t="str">
            <v>赵安伟</v>
          </cell>
          <cell r="B345" t="str">
            <v>01544</v>
          </cell>
          <cell r="C345" t="str">
            <v>陕西蜂族科技有限公司</v>
          </cell>
          <cell r="D345">
            <v>45828</v>
          </cell>
          <cell r="E345" t="str">
            <v>陕西</v>
          </cell>
          <cell r="F345" t="str">
            <v>陕西营销中心</v>
          </cell>
          <cell r="G345" t="str">
            <v>陕西2部</v>
          </cell>
          <cell r="H345" t="str">
            <v>乔磊</v>
          </cell>
          <cell r="I345" t="str">
            <v>一星销售顾问</v>
          </cell>
          <cell r="J345" t="str">
            <v>男</v>
          </cell>
          <cell r="K345" t="str">
            <v>正式</v>
          </cell>
          <cell r="L345" t="str">
            <v>内部员工</v>
          </cell>
          <cell r="M345" t="str">
            <v>乔磊</v>
          </cell>
        </row>
        <row r="346">
          <cell r="A346" t="str">
            <v>陈相维</v>
          </cell>
          <cell r="B346" t="str">
            <v>01542</v>
          </cell>
          <cell r="C346" t="str">
            <v>辽宁时代蜂族营销策划有限公司</v>
          </cell>
          <cell r="D346">
            <v>45827</v>
          </cell>
          <cell r="E346" t="str">
            <v>辽宁</v>
          </cell>
          <cell r="F346" t="str">
            <v>辽宁营销中心</v>
          </cell>
          <cell r="G346" t="str">
            <v>辽宁销售部</v>
          </cell>
          <cell r="H346" t="str">
            <v>孙科辽宁</v>
          </cell>
          <cell r="I346" t="str">
            <v>一星销售顾问</v>
          </cell>
          <cell r="J346" t="str">
            <v>男</v>
          </cell>
          <cell r="K346" t="str">
            <v>正式</v>
          </cell>
          <cell r="L346" t="str">
            <v>内部员工</v>
          </cell>
          <cell r="M346" t="str">
            <v>孙科</v>
          </cell>
        </row>
        <row r="347">
          <cell r="A347" t="str">
            <v>沈依婷</v>
          </cell>
          <cell r="B347" t="str">
            <v>01534</v>
          </cell>
          <cell r="C347" t="str">
            <v>湖南时代蜂族营销策划有限公司</v>
          </cell>
          <cell r="D347">
            <v>45826</v>
          </cell>
          <cell r="E347" t="str">
            <v>湖南</v>
          </cell>
          <cell r="F347" t="str">
            <v>湖南办公室</v>
          </cell>
        </row>
        <row r="347">
          <cell r="I347" t="str">
            <v>办公室主任</v>
          </cell>
          <cell r="J347" t="str">
            <v>女</v>
          </cell>
          <cell r="K347" t="str">
            <v>正式</v>
          </cell>
          <cell r="L347" t="str">
            <v>内部员工</v>
          </cell>
          <cell r="M347" t="str">
            <v>王超飞</v>
          </cell>
        </row>
        <row r="348">
          <cell r="A348" t="str">
            <v>陈建利</v>
          </cell>
          <cell r="B348" t="str">
            <v>01079</v>
          </cell>
          <cell r="C348" t="str">
            <v>四川时代蜂族营销策划有限公司</v>
          </cell>
          <cell r="D348">
            <v>45826</v>
          </cell>
          <cell r="E348" t="str">
            <v>西南总部</v>
          </cell>
          <cell r="F348" t="str">
            <v>西南营销中心</v>
          </cell>
          <cell r="G348" t="str">
            <v>营业一部</v>
          </cell>
          <cell r="H348" t="str">
            <v>朱家艳</v>
          </cell>
          <cell r="I348" t="str">
            <v>三星销售顾问</v>
          </cell>
          <cell r="J348" t="str">
            <v>男</v>
          </cell>
          <cell r="K348" t="str">
            <v>正式</v>
          </cell>
          <cell r="L348" t="str">
            <v>内部员工</v>
          </cell>
          <cell r="M348" t="str">
            <v>朱家艳</v>
          </cell>
        </row>
        <row r="349">
          <cell r="A349" t="str">
            <v>周毅涛</v>
          </cell>
          <cell r="B349" t="str">
            <v>01545</v>
          </cell>
          <cell r="C349" t="str">
            <v>河南蜜蜂族营销策划有限公司</v>
          </cell>
          <cell r="D349">
            <v>45826</v>
          </cell>
          <cell r="E349" t="str">
            <v>河南</v>
          </cell>
          <cell r="F349" t="str">
            <v>河南营销中心</v>
          </cell>
          <cell r="G349" t="str">
            <v>河南销售部</v>
          </cell>
          <cell r="H349" t="str">
            <v>余金梅</v>
          </cell>
          <cell r="I349" t="str">
            <v>一星销售顾问</v>
          </cell>
          <cell r="J349" t="str">
            <v>男</v>
          </cell>
          <cell r="K349" t="str">
            <v>正式</v>
          </cell>
          <cell r="L349" t="str">
            <v>内部员工</v>
          </cell>
          <cell r="M349" t="str">
            <v>余金梅</v>
          </cell>
        </row>
        <row r="350">
          <cell r="A350" t="str">
            <v>胡浩南</v>
          </cell>
          <cell r="B350" t="str">
            <v>01541</v>
          </cell>
          <cell r="C350" t="str">
            <v>四川时代蜂族营销策划有限公司</v>
          </cell>
          <cell r="D350">
            <v>45823</v>
          </cell>
          <cell r="E350" t="str">
            <v>河南</v>
          </cell>
          <cell r="F350" t="str">
            <v>河南营销中心</v>
          </cell>
          <cell r="G350" t="str">
            <v>河南销售部</v>
          </cell>
          <cell r="H350" t="str">
            <v>蒋吉勇河南</v>
          </cell>
          <cell r="I350" t="str">
            <v>一星销售顾问</v>
          </cell>
          <cell r="J350" t="str">
            <v>男</v>
          </cell>
          <cell r="K350" t="str">
            <v>正式</v>
          </cell>
          <cell r="L350" t="str">
            <v>内部员工</v>
          </cell>
          <cell r="M350" t="str">
            <v>蒋吉勇</v>
          </cell>
        </row>
        <row r="351">
          <cell r="A351" t="str">
            <v>邢亚丹</v>
          </cell>
          <cell r="B351" t="str">
            <v>01535</v>
          </cell>
          <cell r="C351" t="str">
            <v>河南蜜蜂族营销策划有限公司</v>
          </cell>
          <cell r="D351">
            <v>45822</v>
          </cell>
          <cell r="E351" t="str">
            <v>河南</v>
          </cell>
          <cell r="F351" t="str">
            <v>河南营销中心</v>
          </cell>
          <cell r="G351" t="str">
            <v>河南销售部</v>
          </cell>
          <cell r="H351" t="str">
            <v>周吉双河南</v>
          </cell>
          <cell r="I351" t="str">
            <v>一星销售顾问</v>
          </cell>
          <cell r="J351" t="str">
            <v>女</v>
          </cell>
          <cell r="K351" t="str">
            <v>正式</v>
          </cell>
          <cell r="L351" t="str">
            <v>内部员工</v>
          </cell>
          <cell r="M351" t="str">
            <v>周吉双</v>
          </cell>
        </row>
        <row r="352">
          <cell r="A352" t="str">
            <v>潘盼盼</v>
          </cell>
          <cell r="B352" t="str">
            <v>01529</v>
          </cell>
          <cell r="C352" t="str">
            <v>河南蜜蜂族营销策划有限公司</v>
          </cell>
          <cell r="D352">
            <v>45822</v>
          </cell>
          <cell r="E352" t="str">
            <v>河南</v>
          </cell>
          <cell r="F352" t="str">
            <v>河南营销中心</v>
          </cell>
          <cell r="G352" t="str">
            <v>河南销售部</v>
          </cell>
          <cell r="H352" t="str">
            <v>周吉双河南</v>
          </cell>
          <cell r="I352" t="str">
            <v>一星销售顾问</v>
          </cell>
          <cell r="J352" t="str">
            <v>女</v>
          </cell>
          <cell r="K352" t="str">
            <v>正式</v>
          </cell>
          <cell r="L352" t="str">
            <v>内部员工</v>
          </cell>
          <cell r="M352" t="str">
            <v>周吉双</v>
          </cell>
        </row>
        <row r="353">
          <cell r="A353" t="str">
            <v>青琳琳</v>
          </cell>
          <cell r="B353" t="str">
            <v>01537</v>
          </cell>
          <cell r="C353" t="str">
            <v>湖北蜜蜂族房地产经纪有限公司</v>
          </cell>
          <cell r="D353">
            <v>45821</v>
          </cell>
          <cell r="E353" t="str">
            <v>湖北</v>
          </cell>
          <cell r="F353" t="str">
            <v>湖北营销中心</v>
          </cell>
          <cell r="G353" t="str">
            <v>湖北1部</v>
          </cell>
          <cell r="H353" t="str">
            <v>蔺小燕湖北</v>
          </cell>
          <cell r="I353" t="str">
            <v>一星销售顾问</v>
          </cell>
          <cell r="J353" t="str">
            <v>女</v>
          </cell>
          <cell r="K353" t="str">
            <v>正式</v>
          </cell>
          <cell r="L353" t="str">
            <v>内部员工</v>
          </cell>
          <cell r="M353" t="str">
            <v>蔺小燕</v>
          </cell>
        </row>
        <row r="354">
          <cell r="A354" t="str">
            <v>周凤</v>
          </cell>
          <cell r="B354" t="str">
            <v>01532</v>
          </cell>
          <cell r="C354" t="str">
            <v>四川时代蜂族营销策划有限公司</v>
          </cell>
          <cell r="D354">
            <v>45821</v>
          </cell>
          <cell r="E354" t="str">
            <v>西南总部</v>
          </cell>
          <cell r="F354" t="str">
            <v>西南营销中心</v>
          </cell>
          <cell r="G354" t="str">
            <v>营业五部</v>
          </cell>
          <cell r="H354" t="str">
            <v>李敏</v>
          </cell>
          <cell r="I354" t="str">
            <v>B岗经理</v>
          </cell>
          <cell r="J354" t="str">
            <v>女</v>
          </cell>
          <cell r="K354" t="str">
            <v>正式</v>
          </cell>
          <cell r="L354" t="str">
            <v>内部员工</v>
          </cell>
          <cell r="M354" t="str">
            <v>李敏</v>
          </cell>
        </row>
        <row r="355">
          <cell r="A355" t="str">
            <v>朱本兴</v>
          </cell>
          <cell r="B355" t="str">
            <v>01540</v>
          </cell>
          <cell r="C355" t="str">
            <v>四川时代蜂族营销策划有限公司</v>
          </cell>
          <cell r="D355">
            <v>45821</v>
          </cell>
          <cell r="E355" t="str">
            <v>西南总部</v>
          </cell>
          <cell r="F355" t="str">
            <v>西南营销中心</v>
          </cell>
          <cell r="G355" t="str">
            <v>营业三部</v>
          </cell>
          <cell r="H355" t="str">
            <v>郑景慕</v>
          </cell>
          <cell r="I355" t="str">
            <v>一星销售顾问</v>
          </cell>
          <cell r="J355" t="str">
            <v>男</v>
          </cell>
          <cell r="K355" t="str">
            <v>正式</v>
          </cell>
          <cell r="L355" t="str">
            <v>内部员工</v>
          </cell>
          <cell r="M355" t="str">
            <v>郑景慕</v>
          </cell>
        </row>
        <row r="356">
          <cell r="A356" t="str">
            <v>何佳乐</v>
          </cell>
          <cell r="B356" t="str">
            <v>01528</v>
          </cell>
          <cell r="C356" t="str">
            <v>陕西蜂族科技有限公司</v>
          </cell>
          <cell r="D356">
            <v>45820</v>
          </cell>
          <cell r="E356" t="str">
            <v>陕西</v>
          </cell>
          <cell r="F356" t="str">
            <v>陕西营销中心</v>
          </cell>
          <cell r="G356" t="str">
            <v>陕西2部</v>
          </cell>
          <cell r="H356" t="str">
            <v>冀敏</v>
          </cell>
          <cell r="I356" t="str">
            <v>二星销售顾问</v>
          </cell>
          <cell r="J356" t="str">
            <v>男</v>
          </cell>
          <cell r="K356" t="str">
            <v>正式</v>
          </cell>
          <cell r="L356" t="str">
            <v>内部员工</v>
          </cell>
          <cell r="M356" t="str">
            <v>冀敏</v>
          </cell>
        </row>
        <row r="357">
          <cell r="A357" t="str">
            <v>贺京京</v>
          </cell>
          <cell r="B357" t="str">
            <v>01531</v>
          </cell>
          <cell r="C357" t="str">
            <v>山西时代蜂族房地产经纪有限公司</v>
          </cell>
          <cell r="D357">
            <v>45820</v>
          </cell>
          <cell r="E357" t="str">
            <v>山西</v>
          </cell>
          <cell r="F357" t="str">
            <v>山西营销中心</v>
          </cell>
          <cell r="G357" t="str">
            <v>山西销售部</v>
          </cell>
          <cell r="H357" t="str">
            <v>艾林山西</v>
          </cell>
          <cell r="I357" t="str">
            <v>一星销售顾问</v>
          </cell>
          <cell r="J357" t="str">
            <v>男</v>
          </cell>
          <cell r="K357" t="str">
            <v>正式</v>
          </cell>
          <cell r="L357" t="str">
            <v>内部员工</v>
          </cell>
          <cell r="M357" t="str">
            <v>艾林</v>
          </cell>
        </row>
        <row r="358">
          <cell r="A358" t="str">
            <v>黄智虎</v>
          </cell>
          <cell r="B358" t="str">
            <v>01530</v>
          </cell>
          <cell r="C358" t="str">
            <v>四川时代蜂族营销策划有限公司</v>
          </cell>
          <cell r="D358">
            <v>45819</v>
          </cell>
          <cell r="E358" t="str">
            <v>河北</v>
          </cell>
          <cell r="F358" t="str">
            <v>河北营销中心</v>
          </cell>
          <cell r="G358" t="str">
            <v>河北销售部</v>
          </cell>
          <cell r="H358" t="str">
            <v>陈东2河北</v>
          </cell>
          <cell r="I358" t="str">
            <v>一星销售顾问</v>
          </cell>
          <cell r="J358" t="str">
            <v>男</v>
          </cell>
          <cell r="K358" t="str">
            <v>正式</v>
          </cell>
          <cell r="L358" t="str">
            <v>内部员工</v>
          </cell>
          <cell r="M358" t="str">
            <v>陈东2</v>
          </cell>
        </row>
        <row r="359">
          <cell r="A359" t="str">
            <v>黄哲</v>
          </cell>
          <cell r="B359" t="str">
            <v>01526</v>
          </cell>
          <cell r="C359" t="str">
            <v>陕西蜂族科技有限公司</v>
          </cell>
          <cell r="D359">
            <v>45817</v>
          </cell>
          <cell r="E359" t="str">
            <v>陕西</v>
          </cell>
          <cell r="F359" t="str">
            <v>陕西营销中心</v>
          </cell>
          <cell r="G359" t="str">
            <v>陕西2部</v>
          </cell>
          <cell r="H359" t="str">
            <v>乔磊</v>
          </cell>
          <cell r="I359" t="str">
            <v>一星销售顾问</v>
          </cell>
          <cell r="J359" t="str">
            <v>男</v>
          </cell>
          <cell r="K359" t="str">
            <v>正式</v>
          </cell>
          <cell r="L359" t="str">
            <v>内部员工</v>
          </cell>
          <cell r="M359" t="str">
            <v>乔磊</v>
          </cell>
        </row>
        <row r="360">
          <cell r="A360" t="str">
            <v>张建华</v>
          </cell>
          <cell r="B360" t="str">
            <v>00293</v>
          </cell>
          <cell r="C360" t="str">
            <v>四川时代蜂族营销策划有限公司</v>
          </cell>
          <cell r="D360">
            <v>45817</v>
          </cell>
          <cell r="E360" t="str">
            <v>西南总部</v>
          </cell>
          <cell r="F360" t="str">
            <v>西南营销中心</v>
          </cell>
          <cell r="G360" t="str">
            <v>营业二部</v>
          </cell>
          <cell r="H360" t="str">
            <v>王彬力</v>
          </cell>
          <cell r="I360" t="str">
            <v>二星销售顾问</v>
          </cell>
          <cell r="J360" t="str">
            <v>男</v>
          </cell>
          <cell r="K360" t="str">
            <v>正式</v>
          </cell>
          <cell r="L360" t="str">
            <v>内部员工</v>
          </cell>
          <cell r="M360" t="str">
            <v>王彬力</v>
          </cell>
        </row>
        <row r="361">
          <cell r="A361" t="str">
            <v>杨泽嘉</v>
          </cell>
          <cell r="B361" t="str">
            <v>01523</v>
          </cell>
          <cell r="C361" t="str">
            <v>四川时代蜂族营销策划有限公司</v>
          </cell>
          <cell r="D361">
            <v>45817</v>
          </cell>
          <cell r="E361" t="str">
            <v>西南总部</v>
          </cell>
          <cell r="F361" t="str">
            <v>西南营销中心</v>
          </cell>
          <cell r="G361" t="str">
            <v>营业三部</v>
          </cell>
          <cell r="H361" t="str">
            <v>曾竞超</v>
          </cell>
          <cell r="I361" t="str">
            <v>一星销售顾问</v>
          </cell>
          <cell r="J361" t="str">
            <v>女</v>
          </cell>
          <cell r="K361" t="str">
            <v>正式</v>
          </cell>
          <cell r="L361" t="str">
            <v>内部员工</v>
          </cell>
          <cell r="M361" t="str">
            <v>曾竞超</v>
          </cell>
        </row>
        <row r="362">
          <cell r="A362" t="str">
            <v>王博</v>
          </cell>
          <cell r="B362" t="str">
            <v>01522</v>
          </cell>
          <cell r="C362" t="str">
            <v>四川时代蜂族营销策划有限公司</v>
          </cell>
          <cell r="D362">
            <v>45817</v>
          </cell>
          <cell r="E362" t="str">
            <v>西南总部</v>
          </cell>
          <cell r="F362" t="str">
            <v>西南营销中心</v>
          </cell>
          <cell r="G362" t="str">
            <v>营业三部</v>
          </cell>
          <cell r="H362" t="str">
            <v>曾竞超</v>
          </cell>
          <cell r="I362" t="str">
            <v>一星销售顾问</v>
          </cell>
          <cell r="J362" t="str">
            <v>男</v>
          </cell>
          <cell r="K362" t="str">
            <v>正式</v>
          </cell>
          <cell r="L362" t="str">
            <v>内部员工</v>
          </cell>
          <cell r="M362" t="str">
            <v>曾竞超</v>
          </cell>
        </row>
        <row r="363">
          <cell r="A363" t="str">
            <v>罗雨梅</v>
          </cell>
          <cell r="B363" t="str">
            <v>01521</v>
          </cell>
          <cell r="C363" t="str">
            <v>山东时代蜂族营销策划有限公司</v>
          </cell>
          <cell r="D363">
            <v>45817</v>
          </cell>
          <cell r="E363" t="str">
            <v>山东</v>
          </cell>
          <cell r="F363" t="str">
            <v>山东营销中心</v>
          </cell>
          <cell r="G363" t="str">
            <v>山东销售部</v>
          </cell>
          <cell r="H363" t="str">
            <v>吴江平山东</v>
          </cell>
          <cell r="I363" t="str">
            <v>一星销售顾问</v>
          </cell>
          <cell r="J363" t="str">
            <v>女</v>
          </cell>
          <cell r="K363" t="str">
            <v>正式</v>
          </cell>
          <cell r="L363" t="str">
            <v>实习生</v>
          </cell>
          <cell r="M363" t="str">
            <v>吴江平</v>
          </cell>
        </row>
        <row r="364">
          <cell r="A364" t="str">
            <v>谢泽光</v>
          </cell>
          <cell r="B364" t="str">
            <v>01524</v>
          </cell>
          <cell r="C364" t="str">
            <v>湖南时代蜂族营销策划有限公司</v>
          </cell>
          <cell r="D364">
            <v>45816</v>
          </cell>
          <cell r="E364" t="str">
            <v>湖南</v>
          </cell>
          <cell r="F364" t="str">
            <v>湖南营销中心</v>
          </cell>
          <cell r="G364" t="str">
            <v>湖南销售部</v>
          </cell>
          <cell r="H364" t="str">
            <v>庄素芳</v>
          </cell>
          <cell r="I364" t="str">
            <v>一星销售顾问</v>
          </cell>
          <cell r="J364" t="str">
            <v>男</v>
          </cell>
          <cell r="K364" t="str">
            <v>正式</v>
          </cell>
          <cell r="L364" t="str">
            <v>内部员工</v>
          </cell>
          <cell r="M364" t="str">
            <v>庄素芳</v>
          </cell>
        </row>
        <row r="365">
          <cell r="A365" t="str">
            <v>尹年涛</v>
          </cell>
          <cell r="B365" t="str">
            <v>01517</v>
          </cell>
          <cell r="C365" t="str">
            <v>湖南时代蜂族营销策划有限公司</v>
          </cell>
          <cell r="D365">
            <v>45815</v>
          </cell>
          <cell r="E365" t="str">
            <v>湖南</v>
          </cell>
          <cell r="F365" t="str">
            <v>湖南营销中心</v>
          </cell>
          <cell r="G365" t="str">
            <v>湖南销售部</v>
          </cell>
          <cell r="H365" t="str">
            <v>王晶晶</v>
          </cell>
          <cell r="I365" t="str">
            <v>二星销售顾问</v>
          </cell>
          <cell r="J365" t="str">
            <v>男</v>
          </cell>
          <cell r="K365" t="str">
            <v>正式</v>
          </cell>
          <cell r="L365" t="str">
            <v>内部员工</v>
          </cell>
          <cell r="M365" t="str">
            <v>王晶晶</v>
          </cell>
        </row>
        <row r="366">
          <cell r="A366" t="str">
            <v>文祥伙</v>
          </cell>
          <cell r="B366" t="str">
            <v>01525</v>
          </cell>
          <cell r="C366" t="str">
            <v>四川时代蜂族营销策划有限公司</v>
          </cell>
          <cell r="D366">
            <v>45815</v>
          </cell>
          <cell r="E366" t="str">
            <v>西南总部</v>
          </cell>
          <cell r="F366" t="str">
            <v>西南营销中心</v>
          </cell>
          <cell r="G366" t="str">
            <v>营业三部</v>
          </cell>
          <cell r="H366" t="str">
            <v>姚瑶</v>
          </cell>
          <cell r="I366" t="str">
            <v>一星销售顾问</v>
          </cell>
          <cell r="J366" t="str">
            <v>男</v>
          </cell>
          <cell r="K366" t="str">
            <v>正式</v>
          </cell>
          <cell r="L366" t="str">
            <v>内部员工</v>
          </cell>
          <cell r="M366" t="str">
            <v>姚瑶</v>
          </cell>
        </row>
        <row r="367">
          <cell r="A367" t="str">
            <v>李萍</v>
          </cell>
          <cell r="B367" t="str">
            <v>01507</v>
          </cell>
          <cell r="C367" t="str">
            <v>四川时代蜂族营销策划有限公司</v>
          </cell>
          <cell r="D367">
            <v>45814</v>
          </cell>
          <cell r="E367" t="str">
            <v>内蒙古</v>
          </cell>
          <cell r="F367" t="str">
            <v>内蒙古拓展部</v>
          </cell>
        </row>
        <row r="367">
          <cell r="I367" t="str">
            <v>实习拓展</v>
          </cell>
          <cell r="J367" t="str">
            <v>女</v>
          </cell>
          <cell r="K367" t="str">
            <v>正式</v>
          </cell>
          <cell r="L367" t="str">
            <v>内部员工</v>
          </cell>
          <cell r="M367" t="str">
            <v>刘宇</v>
          </cell>
        </row>
        <row r="368">
          <cell r="A368" t="str">
            <v>潘俊峰</v>
          </cell>
          <cell r="B368" t="str">
            <v>01514</v>
          </cell>
          <cell r="C368" t="str">
            <v>四川时代蜂族营销策划有限公司</v>
          </cell>
          <cell r="D368">
            <v>45814</v>
          </cell>
          <cell r="E368" t="str">
            <v>西南总部</v>
          </cell>
          <cell r="F368" t="str">
            <v>西南营销中心</v>
          </cell>
          <cell r="G368" t="str">
            <v>营业五部</v>
          </cell>
          <cell r="H368" t="str">
            <v>杨科</v>
          </cell>
          <cell r="I368" t="str">
            <v>一星销售顾问</v>
          </cell>
          <cell r="J368" t="str">
            <v>男</v>
          </cell>
          <cell r="K368" t="str">
            <v>正式</v>
          </cell>
          <cell r="L368" t="str">
            <v>内部员工</v>
          </cell>
          <cell r="M368" t="str">
            <v>杨科</v>
          </cell>
        </row>
        <row r="369">
          <cell r="A369" t="str">
            <v>先波</v>
          </cell>
          <cell r="B369" t="str">
            <v>01512</v>
          </cell>
          <cell r="C369" t="str">
            <v>四川时代蜂族营销策划有限公司</v>
          </cell>
          <cell r="D369">
            <v>45812</v>
          </cell>
          <cell r="E369" t="str">
            <v>西南总部</v>
          </cell>
          <cell r="F369" t="str">
            <v>西南营销中心</v>
          </cell>
          <cell r="G369" t="str">
            <v>营业一部</v>
          </cell>
          <cell r="H369" t="str">
            <v>白世根</v>
          </cell>
          <cell r="I369" t="str">
            <v>二星销售顾问</v>
          </cell>
          <cell r="J369" t="str">
            <v>男</v>
          </cell>
          <cell r="K369" t="str">
            <v>正式</v>
          </cell>
          <cell r="L369" t="str">
            <v>内部员工</v>
          </cell>
          <cell r="M369" t="str">
            <v>白世根</v>
          </cell>
        </row>
        <row r="370">
          <cell r="A370" t="str">
            <v>龙鹏宇</v>
          </cell>
          <cell r="B370" t="str">
            <v>01505</v>
          </cell>
          <cell r="C370" t="str">
            <v>四川时代蜂族营销策划有限公司</v>
          </cell>
          <cell r="D370">
            <v>45812</v>
          </cell>
          <cell r="E370" t="str">
            <v>西南总部</v>
          </cell>
          <cell r="F370" t="str">
            <v>西南营销中心</v>
          </cell>
          <cell r="G370" t="str">
            <v>营业七部</v>
          </cell>
          <cell r="H370" t="str">
            <v>彭小琴</v>
          </cell>
          <cell r="I370" t="str">
            <v>二星销售顾问</v>
          </cell>
          <cell r="J370" t="str">
            <v>男</v>
          </cell>
          <cell r="K370" t="str">
            <v>正式</v>
          </cell>
          <cell r="L370" t="str">
            <v>内部员工</v>
          </cell>
          <cell r="M370" t="str">
            <v>彭小琴</v>
          </cell>
        </row>
        <row r="371">
          <cell r="A371" t="str">
            <v>王珊</v>
          </cell>
          <cell r="B371" t="str">
            <v>01503</v>
          </cell>
          <cell r="C371" t="str">
            <v>四川时代蜂族营销策划有限公司</v>
          </cell>
          <cell r="D371">
            <v>45810</v>
          </cell>
          <cell r="E371" t="str">
            <v>山西</v>
          </cell>
          <cell r="F371" t="str">
            <v>山西营销中心</v>
          </cell>
          <cell r="G371" t="str">
            <v>山西销售部</v>
          </cell>
          <cell r="H371" t="str">
            <v>彭停山西</v>
          </cell>
          <cell r="I371" t="str">
            <v>三星销售顾问</v>
          </cell>
          <cell r="J371" t="str">
            <v>女</v>
          </cell>
          <cell r="K371" t="str">
            <v>正式</v>
          </cell>
          <cell r="L371" t="str">
            <v>内部员工</v>
          </cell>
          <cell r="M371" t="str">
            <v>彭停</v>
          </cell>
        </row>
        <row r="372">
          <cell r="A372" t="str">
            <v>杜鹏</v>
          </cell>
          <cell r="B372" t="str">
            <v>01501</v>
          </cell>
          <cell r="C372" t="str">
            <v>四川时代蜂族营销策划有限公司</v>
          </cell>
          <cell r="D372">
            <v>45804</v>
          </cell>
          <cell r="E372" t="str">
            <v>西南总部</v>
          </cell>
          <cell r="F372" t="str">
            <v>西南营销中心</v>
          </cell>
          <cell r="G372" t="str">
            <v>营业四部</v>
          </cell>
          <cell r="H372" t="str">
            <v>贾萍</v>
          </cell>
          <cell r="I372" t="str">
            <v>二星销售顾问</v>
          </cell>
          <cell r="J372" t="str">
            <v>男</v>
          </cell>
          <cell r="K372" t="str">
            <v>正式</v>
          </cell>
          <cell r="L372" t="str">
            <v>内部员工</v>
          </cell>
          <cell r="M372" t="str">
            <v>贾萍</v>
          </cell>
        </row>
        <row r="373">
          <cell r="A373" t="str">
            <v>田丰</v>
          </cell>
          <cell r="B373" t="str">
            <v>01500</v>
          </cell>
          <cell r="C373" t="str">
            <v>四川时代蜂族营销策划有限公司</v>
          </cell>
          <cell r="D373">
            <v>45804</v>
          </cell>
          <cell r="E373" t="str">
            <v>西南总部</v>
          </cell>
          <cell r="F373" t="str">
            <v>西南营销中心</v>
          </cell>
          <cell r="G373" t="str">
            <v>营业七部</v>
          </cell>
          <cell r="H373" t="str">
            <v>陈彪</v>
          </cell>
          <cell r="I373" t="str">
            <v>一星销售顾问</v>
          </cell>
          <cell r="J373" t="str">
            <v>男</v>
          </cell>
          <cell r="K373" t="str">
            <v>正式</v>
          </cell>
          <cell r="L373" t="str">
            <v>内部员工</v>
          </cell>
          <cell r="M373" t="str">
            <v>陈彪</v>
          </cell>
        </row>
        <row r="374">
          <cell r="A374" t="str">
            <v>王思</v>
          </cell>
          <cell r="B374" t="str">
            <v>01493</v>
          </cell>
          <cell r="C374" t="str">
            <v>四川优诺通瑞商贸有限公司</v>
          </cell>
          <cell r="D374">
            <v>45803</v>
          </cell>
          <cell r="E374" t="str">
            <v>集团职能</v>
          </cell>
          <cell r="F374" t="str">
            <v>职能总部</v>
          </cell>
          <cell r="G374" t="str">
            <v>人资行政部</v>
          </cell>
        </row>
        <row r="374">
          <cell r="I374" t="str">
            <v>人事专员</v>
          </cell>
          <cell r="J374" t="str">
            <v>女</v>
          </cell>
          <cell r="K374" t="str">
            <v>正式</v>
          </cell>
          <cell r="L374" t="str">
            <v>内部员工</v>
          </cell>
          <cell r="M374" t="str">
            <v>孔群慧</v>
          </cell>
        </row>
        <row r="375">
          <cell r="A375" t="str">
            <v>郭川雄</v>
          </cell>
          <cell r="B375" t="str">
            <v>01492</v>
          </cell>
          <cell r="C375" t="str">
            <v>四川时代蜂族营销策划有限公司</v>
          </cell>
          <cell r="D375">
            <v>45803</v>
          </cell>
          <cell r="E375" t="str">
            <v>集团职能</v>
          </cell>
          <cell r="F375" t="str">
            <v>职能总部</v>
          </cell>
          <cell r="G375" t="str">
            <v>外呼中心</v>
          </cell>
        </row>
        <row r="375">
          <cell r="I375" t="str">
            <v>调研专员</v>
          </cell>
          <cell r="J375" t="str">
            <v>男</v>
          </cell>
          <cell r="K375" t="str">
            <v>正式</v>
          </cell>
          <cell r="L375" t="str">
            <v>内部员工</v>
          </cell>
          <cell r="M375" t="str">
            <v>罗津俞</v>
          </cell>
        </row>
        <row r="376">
          <cell r="A376" t="str">
            <v>唐磊</v>
          </cell>
          <cell r="B376" t="str">
            <v>01498</v>
          </cell>
          <cell r="C376" t="str">
            <v>四川时代蜂族营销策划有限公司</v>
          </cell>
          <cell r="D376">
            <v>45800</v>
          </cell>
          <cell r="E376" t="str">
            <v>西南总部</v>
          </cell>
          <cell r="F376" t="str">
            <v>西南营销中心</v>
          </cell>
          <cell r="G376" t="str">
            <v>营业三部</v>
          </cell>
          <cell r="H376" t="str">
            <v>刘佳</v>
          </cell>
          <cell r="I376" t="str">
            <v>一星销售顾问</v>
          </cell>
          <cell r="J376" t="str">
            <v>男</v>
          </cell>
          <cell r="K376" t="str">
            <v>正式</v>
          </cell>
          <cell r="L376" t="str">
            <v>内部员工</v>
          </cell>
          <cell r="M376" t="str">
            <v>刘佳</v>
          </cell>
        </row>
        <row r="377">
          <cell r="A377" t="str">
            <v>李嘉恒</v>
          </cell>
          <cell r="B377" t="str">
            <v>01490</v>
          </cell>
          <cell r="C377" t="str">
            <v>陕西蜂族科技有限公司</v>
          </cell>
          <cell r="D377">
            <v>45798</v>
          </cell>
          <cell r="E377" t="str">
            <v>陕西</v>
          </cell>
          <cell r="F377" t="str">
            <v>陕西营销中心</v>
          </cell>
          <cell r="G377" t="str">
            <v>陕西2部</v>
          </cell>
          <cell r="H377" t="str">
            <v>冀敏</v>
          </cell>
          <cell r="I377" t="str">
            <v>实习销售</v>
          </cell>
          <cell r="J377" t="str">
            <v>男</v>
          </cell>
          <cell r="K377" t="str">
            <v>试用</v>
          </cell>
          <cell r="L377" t="str">
            <v>内部员工</v>
          </cell>
          <cell r="M377" t="str">
            <v>冀敏</v>
          </cell>
        </row>
        <row r="378">
          <cell r="A378" t="str">
            <v>彭红燕</v>
          </cell>
          <cell r="B378" t="str">
            <v>01497</v>
          </cell>
          <cell r="C378" t="str">
            <v>山西时代蜂族房地产经纪有限公司</v>
          </cell>
          <cell r="D378">
            <v>45798</v>
          </cell>
          <cell r="E378" t="str">
            <v>山西</v>
          </cell>
          <cell r="F378" t="str">
            <v>山西营销中心</v>
          </cell>
          <cell r="G378" t="str">
            <v>山西销售部</v>
          </cell>
          <cell r="H378" t="str">
            <v>吴志虎山西</v>
          </cell>
          <cell r="I378" t="str">
            <v>二星销售顾问</v>
          </cell>
          <cell r="J378" t="str">
            <v>女</v>
          </cell>
          <cell r="K378" t="str">
            <v>正式</v>
          </cell>
          <cell r="L378" t="str">
            <v>内部员工</v>
          </cell>
          <cell r="M378" t="str">
            <v>吴志虎</v>
          </cell>
        </row>
        <row r="379">
          <cell r="A379" t="str">
            <v>田森</v>
          </cell>
          <cell r="B379" t="str">
            <v>01489</v>
          </cell>
          <cell r="C379" t="str">
            <v>陕西蜂族科技有限公司</v>
          </cell>
          <cell r="D379">
            <v>45796</v>
          </cell>
          <cell r="E379" t="str">
            <v>陕西</v>
          </cell>
          <cell r="F379" t="str">
            <v>陕西营销中心</v>
          </cell>
          <cell r="G379" t="str">
            <v>陕西1部</v>
          </cell>
          <cell r="H379" t="str">
            <v>杨应</v>
          </cell>
          <cell r="I379" t="str">
            <v>一星销售顾问</v>
          </cell>
          <cell r="J379" t="str">
            <v>男</v>
          </cell>
          <cell r="K379" t="str">
            <v>正式</v>
          </cell>
          <cell r="L379" t="str">
            <v>内部员工</v>
          </cell>
          <cell r="M379" t="str">
            <v>杨应</v>
          </cell>
        </row>
        <row r="380">
          <cell r="A380" t="str">
            <v>陈帅2</v>
          </cell>
          <cell r="B380" t="str">
            <v>01488</v>
          </cell>
          <cell r="C380" t="str">
            <v>四川时代蜂族营销策划有限公司</v>
          </cell>
          <cell r="D380">
            <v>45794</v>
          </cell>
          <cell r="E380" t="str">
            <v>西南总部</v>
          </cell>
          <cell r="F380" t="str">
            <v>西南营销中心</v>
          </cell>
          <cell r="G380" t="str">
            <v>营业四部</v>
          </cell>
          <cell r="H380" t="str">
            <v>陈嘉文</v>
          </cell>
          <cell r="I380" t="str">
            <v>二星销售顾问</v>
          </cell>
          <cell r="J380" t="str">
            <v>男</v>
          </cell>
          <cell r="K380" t="str">
            <v>正式</v>
          </cell>
          <cell r="L380" t="str">
            <v>内部员工</v>
          </cell>
          <cell r="M380" t="str">
            <v>陈嘉文</v>
          </cell>
        </row>
        <row r="381">
          <cell r="A381" t="str">
            <v>胡飞翔</v>
          </cell>
          <cell r="B381" t="str">
            <v>01482</v>
          </cell>
          <cell r="C381" t="str">
            <v>陕西蜂族科技有限公司</v>
          </cell>
          <cell r="D381">
            <v>45792</v>
          </cell>
          <cell r="E381" t="str">
            <v>陕西</v>
          </cell>
          <cell r="F381" t="str">
            <v>陕西营销中心</v>
          </cell>
          <cell r="G381" t="str">
            <v>陕西1部</v>
          </cell>
          <cell r="H381" t="str">
            <v>杨应</v>
          </cell>
          <cell r="I381" t="str">
            <v>二星销售顾问</v>
          </cell>
          <cell r="J381" t="str">
            <v>男</v>
          </cell>
          <cell r="K381" t="str">
            <v>正式</v>
          </cell>
          <cell r="L381" t="str">
            <v>内部员工</v>
          </cell>
          <cell r="M381" t="str">
            <v>杨应</v>
          </cell>
        </row>
        <row r="382">
          <cell r="A382" t="str">
            <v>文东林</v>
          </cell>
          <cell r="B382" t="str">
            <v>01480</v>
          </cell>
          <cell r="C382" t="str">
            <v>四川时代蜂族营销策划有限公司</v>
          </cell>
          <cell r="D382">
            <v>45791</v>
          </cell>
          <cell r="E382" t="str">
            <v>湖北</v>
          </cell>
          <cell r="F382" t="str">
            <v>湖北营销中心</v>
          </cell>
          <cell r="G382" t="str">
            <v>湖北1部</v>
          </cell>
          <cell r="H382" t="str">
            <v>秦娅玲</v>
          </cell>
          <cell r="I382" t="str">
            <v>一星销售顾问</v>
          </cell>
          <cell r="J382" t="str">
            <v>男</v>
          </cell>
          <cell r="K382" t="str">
            <v>正式</v>
          </cell>
          <cell r="L382" t="str">
            <v>内部员工</v>
          </cell>
          <cell r="M382" t="str">
            <v>秦娅玲</v>
          </cell>
        </row>
        <row r="383">
          <cell r="A383" t="str">
            <v>李祥春</v>
          </cell>
          <cell r="B383" t="str">
            <v>01481</v>
          </cell>
          <cell r="C383" t="str">
            <v>山东时代蜂族营销策划有限公司</v>
          </cell>
          <cell r="D383">
            <v>45791</v>
          </cell>
          <cell r="E383" t="str">
            <v>山东</v>
          </cell>
          <cell r="F383" t="str">
            <v>山东营销中心</v>
          </cell>
          <cell r="G383" t="str">
            <v>山东销售部</v>
          </cell>
        </row>
        <row r="383">
          <cell r="I383" t="str">
            <v>一星实习经理</v>
          </cell>
          <cell r="J383" t="str">
            <v>男</v>
          </cell>
          <cell r="K383" t="str">
            <v>正式</v>
          </cell>
          <cell r="L383" t="str">
            <v>内部员工</v>
          </cell>
          <cell r="M383" t="str">
            <v>李丹</v>
          </cell>
        </row>
        <row r="384">
          <cell r="A384" t="str">
            <v>邓颖</v>
          </cell>
          <cell r="B384" t="str">
            <v>01477</v>
          </cell>
          <cell r="C384" t="str">
            <v>四川时代蜂族营销策划有限公司</v>
          </cell>
          <cell r="D384">
            <v>45790</v>
          </cell>
          <cell r="E384" t="str">
            <v>湖南</v>
          </cell>
          <cell r="F384" t="str">
            <v>湖南营销中心</v>
          </cell>
          <cell r="G384" t="str">
            <v>湖南销售部</v>
          </cell>
          <cell r="H384" t="str">
            <v>孙小龙湖南</v>
          </cell>
          <cell r="I384" t="str">
            <v>二星销售顾问</v>
          </cell>
          <cell r="J384" t="str">
            <v>女</v>
          </cell>
          <cell r="K384" t="str">
            <v>正式</v>
          </cell>
          <cell r="L384" t="str">
            <v>内部员工</v>
          </cell>
          <cell r="M384" t="str">
            <v>孙小龙</v>
          </cell>
        </row>
        <row r="385">
          <cell r="A385" t="str">
            <v>方倩倩</v>
          </cell>
          <cell r="B385" t="str">
            <v>01473</v>
          </cell>
          <cell r="C385" t="str">
            <v>陕西蜂族科技有限公司</v>
          </cell>
          <cell r="D385">
            <v>45790</v>
          </cell>
          <cell r="E385" t="str">
            <v>陕西</v>
          </cell>
          <cell r="F385" t="str">
            <v>陕西营销中心</v>
          </cell>
          <cell r="G385" t="str">
            <v>陕西2部</v>
          </cell>
          <cell r="H385" t="str">
            <v>王超2</v>
          </cell>
          <cell r="I385" t="str">
            <v>实习销售</v>
          </cell>
          <cell r="J385" t="str">
            <v>女</v>
          </cell>
          <cell r="K385" t="str">
            <v>试用</v>
          </cell>
          <cell r="L385" t="str">
            <v>内部员工</v>
          </cell>
          <cell r="M385" t="str">
            <v>王超2</v>
          </cell>
        </row>
        <row r="386">
          <cell r="A386" t="str">
            <v>罗艳</v>
          </cell>
          <cell r="B386" t="str">
            <v>01485</v>
          </cell>
          <cell r="C386" t="str">
            <v>四川时代蜂族营销策划有限公司</v>
          </cell>
          <cell r="D386">
            <v>45790</v>
          </cell>
          <cell r="E386" t="str">
            <v>西南总部</v>
          </cell>
          <cell r="F386" t="str">
            <v>西南营销中心</v>
          </cell>
          <cell r="G386" t="str">
            <v>营业五部</v>
          </cell>
          <cell r="H386" t="str">
            <v>杨科</v>
          </cell>
          <cell r="I386" t="str">
            <v>二星销售顾问</v>
          </cell>
          <cell r="J386" t="str">
            <v>女</v>
          </cell>
          <cell r="K386" t="str">
            <v>正式</v>
          </cell>
          <cell r="L386" t="str">
            <v>内部员工</v>
          </cell>
          <cell r="M386" t="str">
            <v>杨科</v>
          </cell>
        </row>
        <row r="387">
          <cell r="A387" t="str">
            <v>杨涛2</v>
          </cell>
          <cell r="B387" t="str">
            <v>01476</v>
          </cell>
          <cell r="C387" t="str">
            <v>河北时代蜂族营销策划有限公司</v>
          </cell>
          <cell r="D387">
            <v>45790</v>
          </cell>
          <cell r="E387" t="str">
            <v>河北</v>
          </cell>
          <cell r="F387" t="str">
            <v>河北营销中心</v>
          </cell>
          <cell r="G387" t="str">
            <v>河北销售部</v>
          </cell>
          <cell r="H387" t="str">
            <v>李港一</v>
          </cell>
          <cell r="I387" t="str">
            <v>二星销售顾问</v>
          </cell>
          <cell r="J387" t="str">
            <v>男</v>
          </cell>
          <cell r="K387" t="str">
            <v>正式</v>
          </cell>
          <cell r="L387" t="str">
            <v>内部员工</v>
          </cell>
          <cell r="M387" t="str">
            <v>李港一</v>
          </cell>
        </row>
        <row r="388">
          <cell r="A388" t="str">
            <v>杨瑞玲</v>
          </cell>
          <cell r="B388" t="str">
            <v>01472</v>
          </cell>
          <cell r="C388" t="str">
            <v>山东时代蜂族营销策划有限公司</v>
          </cell>
          <cell r="D388">
            <v>45784</v>
          </cell>
          <cell r="E388" t="str">
            <v>山东</v>
          </cell>
          <cell r="F388" t="str">
            <v>山东营销中心</v>
          </cell>
          <cell r="G388" t="str">
            <v>山东销售部</v>
          </cell>
          <cell r="H388" t="str">
            <v>冯洁</v>
          </cell>
          <cell r="I388" t="str">
            <v>二星销售顾问</v>
          </cell>
          <cell r="J388" t="str">
            <v>女</v>
          </cell>
          <cell r="K388" t="str">
            <v>正式</v>
          </cell>
          <cell r="L388" t="str">
            <v>内部员工</v>
          </cell>
          <cell r="M388" t="str">
            <v>冯洁</v>
          </cell>
        </row>
        <row r="389">
          <cell r="A389" t="str">
            <v>唐笑麟</v>
          </cell>
          <cell r="B389" t="str">
            <v>00823</v>
          </cell>
          <cell r="C389" t="str">
            <v>陕西蜂族科技有限公司</v>
          </cell>
          <cell r="D389">
            <v>45782</v>
          </cell>
          <cell r="E389" t="str">
            <v>陕西</v>
          </cell>
          <cell r="F389" t="str">
            <v>陕西营销中心</v>
          </cell>
          <cell r="G389" t="str">
            <v>陕西2部</v>
          </cell>
          <cell r="H389" t="str">
            <v>罗小花</v>
          </cell>
          <cell r="I389" t="str">
            <v>三星销售顾问</v>
          </cell>
          <cell r="J389" t="str">
            <v>男</v>
          </cell>
          <cell r="K389" t="str">
            <v>正式</v>
          </cell>
          <cell r="L389" t="str">
            <v>内部员工</v>
          </cell>
          <cell r="M389" t="str">
            <v>罗小花</v>
          </cell>
        </row>
        <row r="390">
          <cell r="A390" t="str">
            <v>马杰</v>
          </cell>
          <cell r="B390" t="str">
            <v>01467</v>
          </cell>
          <cell r="C390" t="str">
            <v>湖北蜜蜂族房地产经纪有限公司</v>
          </cell>
          <cell r="D390">
            <v>45778</v>
          </cell>
          <cell r="E390" t="str">
            <v>湖北</v>
          </cell>
          <cell r="F390" t="str">
            <v>湖北后勤部门</v>
          </cell>
        </row>
        <row r="390">
          <cell r="I390" t="str">
            <v>残疾人</v>
          </cell>
          <cell r="J390" t="str">
            <v>男</v>
          </cell>
          <cell r="K390" t="str">
            <v>试用</v>
          </cell>
          <cell r="L390" t="str">
            <v>内部员工</v>
          </cell>
          <cell r="M390" t="str">
            <v>范庚</v>
          </cell>
        </row>
        <row r="391">
          <cell r="A391" t="str">
            <v>秦秀莉</v>
          </cell>
          <cell r="B391" t="str">
            <v>01459</v>
          </cell>
          <cell r="C391" t="str">
            <v>四川蜂起营销策划有限公司</v>
          </cell>
          <cell r="D391">
            <v>45772</v>
          </cell>
          <cell r="E391" t="str">
            <v>集团职能</v>
          </cell>
          <cell r="F391" t="str">
            <v>职能营销</v>
          </cell>
          <cell r="G391" t="str">
            <v>设计部</v>
          </cell>
        </row>
        <row r="391">
          <cell r="I391" t="str">
            <v>设计专员</v>
          </cell>
          <cell r="J391" t="str">
            <v>女</v>
          </cell>
          <cell r="K391" t="str">
            <v>正式</v>
          </cell>
          <cell r="L391" t="str">
            <v>内部员工</v>
          </cell>
          <cell r="M391" t="str">
            <v>李旭</v>
          </cell>
        </row>
        <row r="392">
          <cell r="A392" t="str">
            <v>李红婷</v>
          </cell>
          <cell r="B392" t="str">
            <v>01460</v>
          </cell>
          <cell r="C392" t="str">
            <v>山西时代蜂族房地产经纪有限公司</v>
          </cell>
          <cell r="D392">
            <v>45772</v>
          </cell>
          <cell r="E392" t="str">
            <v>山西</v>
          </cell>
          <cell r="F392" t="str">
            <v>山西营销中心</v>
          </cell>
          <cell r="G392" t="str">
            <v>山西销售部</v>
          </cell>
          <cell r="H392" t="str">
            <v>刘辉</v>
          </cell>
          <cell r="I392" t="str">
            <v>二星销售顾问</v>
          </cell>
          <cell r="J392" t="str">
            <v>女</v>
          </cell>
          <cell r="K392" t="str">
            <v>正式</v>
          </cell>
          <cell r="L392" t="str">
            <v>内部员工</v>
          </cell>
          <cell r="M392" t="str">
            <v>刘辉</v>
          </cell>
        </row>
        <row r="393">
          <cell r="A393" t="str">
            <v>罗加艺</v>
          </cell>
          <cell r="B393" t="str">
            <v>01455</v>
          </cell>
          <cell r="C393" t="str">
            <v>四川时代蜂族营销策划有限公司</v>
          </cell>
          <cell r="D393">
            <v>45768</v>
          </cell>
          <cell r="E393" t="str">
            <v>西南总部</v>
          </cell>
          <cell r="F393" t="str">
            <v>西南营销中心</v>
          </cell>
          <cell r="G393" t="str">
            <v>营业七部</v>
          </cell>
          <cell r="H393" t="str">
            <v>谢沁霜</v>
          </cell>
          <cell r="I393" t="str">
            <v>一星销售顾问</v>
          </cell>
          <cell r="J393" t="str">
            <v>男</v>
          </cell>
          <cell r="K393" t="str">
            <v>正式</v>
          </cell>
          <cell r="L393" t="str">
            <v>内部员工</v>
          </cell>
          <cell r="M393" t="str">
            <v>谢沁霜</v>
          </cell>
        </row>
        <row r="394">
          <cell r="A394" t="str">
            <v>赵斌</v>
          </cell>
          <cell r="B394" t="str">
            <v>01465</v>
          </cell>
          <cell r="C394" t="str">
            <v>四川时代蜂族营销策划有限公司</v>
          </cell>
          <cell r="D394">
            <v>45768</v>
          </cell>
          <cell r="E394" t="str">
            <v>西南总部</v>
          </cell>
          <cell r="F394" t="str">
            <v>西南营销中心</v>
          </cell>
          <cell r="G394" t="str">
            <v>营业七部</v>
          </cell>
          <cell r="H394" t="str">
            <v>刘鹏</v>
          </cell>
          <cell r="I394" t="str">
            <v>二星销售顾问</v>
          </cell>
          <cell r="J394" t="str">
            <v>男</v>
          </cell>
          <cell r="K394" t="str">
            <v>正式</v>
          </cell>
          <cell r="L394" t="str">
            <v>内部员工</v>
          </cell>
          <cell r="M394" t="str">
            <v>刘鹏</v>
          </cell>
        </row>
        <row r="395">
          <cell r="A395" t="str">
            <v>米贞东</v>
          </cell>
          <cell r="B395" t="str">
            <v>01440</v>
          </cell>
          <cell r="C395" t="str">
            <v>四川时代蜂族营销策划有限公司</v>
          </cell>
          <cell r="D395">
            <v>45764</v>
          </cell>
          <cell r="E395" t="str">
            <v>西南总部</v>
          </cell>
          <cell r="F395" t="str">
            <v>西南营销中心</v>
          </cell>
          <cell r="G395" t="str">
            <v>营业三部</v>
          </cell>
          <cell r="H395" t="str">
            <v>扈岭楠</v>
          </cell>
          <cell r="I395" t="str">
            <v>一星销售顾问</v>
          </cell>
          <cell r="J395" t="str">
            <v>男</v>
          </cell>
          <cell r="K395" t="str">
            <v>正式</v>
          </cell>
          <cell r="L395" t="str">
            <v>内部员工</v>
          </cell>
          <cell r="M395" t="str">
            <v>扈岭楠</v>
          </cell>
        </row>
        <row r="396">
          <cell r="A396" t="str">
            <v>李玥瑞</v>
          </cell>
          <cell r="B396" t="str">
            <v>00780</v>
          </cell>
          <cell r="C396" t="str">
            <v>陕西蜂族科技有限公司</v>
          </cell>
          <cell r="D396">
            <v>45764</v>
          </cell>
          <cell r="E396" t="str">
            <v>陕西</v>
          </cell>
          <cell r="F396" t="str">
            <v>陕西营销中心</v>
          </cell>
          <cell r="G396" t="str">
            <v>陕西1部</v>
          </cell>
          <cell r="H396" t="str">
            <v>杨应</v>
          </cell>
          <cell r="I396" t="str">
            <v>一星销售顾问</v>
          </cell>
          <cell r="J396" t="str">
            <v>女</v>
          </cell>
          <cell r="K396" t="str">
            <v>正式</v>
          </cell>
          <cell r="L396" t="str">
            <v>内部员工</v>
          </cell>
          <cell r="M396" t="str">
            <v>杨应</v>
          </cell>
        </row>
        <row r="397">
          <cell r="A397" t="str">
            <v>李晓莉</v>
          </cell>
          <cell r="B397" t="str">
            <v>00583</v>
          </cell>
          <cell r="C397" t="str">
            <v>陕西蜂族科技有限公司</v>
          </cell>
          <cell r="D397">
            <v>45763</v>
          </cell>
          <cell r="E397" t="str">
            <v>陕西</v>
          </cell>
          <cell r="F397" t="str">
            <v>陕西营销中心</v>
          </cell>
          <cell r="G397" t="str">
            <v>陕西2部</v>
          </cell>
          <cell r="H397" t="str">
            <v>李耀</v>
          </cell>
          <cell r="I397" t="str">
            <v>一星销售顾问</v>
          </cell>
          <cell r="J397" t="str">
            <v>女</v>
          </cell>
          <cell r="K397" t="str">
            <v>正式</v>
          </cell>
          <cell r="L397" t="str">
            <v>内部员工</v>
          </cell>
          <cell r="M397" t="str">
            <v>李耀</v>
          </cell>
        </row>
        <row r="398">
          <cell r="A398" t="str">
            <v>唐超</v>
          </cell>
          <cell r="B398" t="str">
            <v>01449</v>
          </cell>
          <cell r="C398" t="str">
            <v>四川时代蜂族营销策划有限公司</v>
          </cell>
          <cell r="D398">
            <v>45763</v>
          </cell>
          <cell r="E398" t="str">
            <v>西南总部</v>
          </cell>
          <cell r="F398" t="str">
            <v>西南营销中心</v>
          </cell>
          <cell r="G398" t="str">
            <v>营业六部</v>
          </cell>
          <cell r="H398" t="str">
            <v>党虹</v>
          </cell>
          <cell r="I398" t="str">
            <v>二星销售顾问</v>
          </cell>
          <cell r="J398" t="str">
            <v>男</v>
          </cell>
          <cell r="K398" t="str">
            <v>正式</v>
          </cell>
          <cell r="L398" t="str">
            <v>内部员工</v>
          </cell>
          <cell r="M398" t="str">
            <v>党虹</v>
          </cell>
        </row>
        <row r="399">
          <cell r="A399" t="str">
            <v>郑雄</v>
          </cell>
          <cell r="B399" t="str">
            <v>01456</v>
          </cell>
          <cell r="C399" t="str">
            <v>四川时代蜂族营销策划有限公司</v>
          </cell>
          <cell r="D399">
            <v>45763</v>
          </cell>
          <cell r="E399" t="str">
            <v>西南总部</v>
          </cell>
          <cell r="F399" t="str">
            <v>西南营销中心</v>
          </cell>
          <cell r="G399" t="str">
            <v>营业六部</v>
          </cell>
          <cell r="H399" t="str">
            <v>党虹</v>
          </cell>
          <cell r="I399" t="str">
            <v>一星实习经理</v>
          </cell>
          <cell r="J399" t="str">
            <v>男</v>
          </cell>
          <cell r="K399" t="str">
            <v>正式</v>
          </cell>
          <cell r="L399" t="str">
            <v>内部员工</v>
          </cell>
          <cell r="M399" t="str">
            <v>党虹</v>
          </cell>
        </row>
        <row r="400">
          <cell r="A400" t="str">
            <v>邹春梅</v>
          </cell>
          <cell r="B400" t="str">
            <v>01431</v>
          </cell>
          <cell r="C400" t="str">
            <v>陕西蜂族科技有限公司</v>
          </cell>
          <cell r="D400">
            <v>45761</v>
          </cell>
          <cell r="E400" t="str">
            <v>陕西</v>
          </cell>
          <cell r="F400" t="str">
            <v>陕西拓展部</v>
          </cell>
          <cell r="G400" t="str">
            <v>陕西2区</v>
          </cell>
        </row>
        <row r="400">
          <cell r="I400" t="str">
            <v>拓展组长</v>
          </cell>
          <cell r="J400" t="str">
            <v>女</v>
          </cell>
          <cell r="K400" t="str">
            <v>正式</v>
          </cell>
          <cell r="L400" t="str">
            <v>内部员工</v>
          </cell>
          <cell r="M400" t="str">
            <v>廖小朋</v>
          </cell>
        </row>
        <row r="401">
          <cell r="A401" t="str">
            <v>李欣荣</v>
          </cell>
          <cell r="B401" t="str">
            <v>00129</v>
          </cell>
          <cell r="C401" t="str">
            <v>陕西蜂族科技有限公司</v>
          </cell>
          <cell r="D401">
            <v>45757</v>
          </cell>
          <cell r="E401" t="str">
            <v>陕西</v>
          </cell>
          <cell r="F401" t="str">
            <v>陕西营销中心</v>
          </cell>
          <cell r="G401" t="str">
            <v>陕西1部</v>
          </cell>
          <cell r="H401" t="str">
            <v>马少波</v>
          </cell>
          <cell r="I401" t="str">
            <v>二星销售顾问</v>
          </cell>
          <cell r="J401" t="str">
            <v>女</v>
          </cell>
          <cell r="K401" t="str">
            <v>正式</v>
          </cell>
          <cell r="L401" t="str">
            <v>内部员工</v>
          </cell>
          <cell r="M401" t="str">
            <v>马少波</v>
          </cell>
        </row>
        <row r="402">
          <cell r="A402" t="str">
            <v>陈胤</v>
          </cell>
          <cell r="B402" t="str">
            <v>01444</v>
          </cell>
          <cell r="C402" t="str">
            <v>四川时代蜂族营销策划有限公司</v>
          </cell>
          <cell r="D402">
            <v>45756</v>
          </cell>
          <cell r="E402" t="str">
            <v>西南总部</v>
          </cell>
          <cell r="F402" t="str">
            <v>西南营销中心</v>
          </cell>
          <cell r="G402" t="str">
            <v>营业五部</v>
          </cell>
          <cell r="H402" t="str">
            <v>李敏</v>
          </cell>
          <cell r="I402" t="str">
            <v>二星销售顾问</v>
          </cell>
          <cell r="J402" t="str">
            <v>男</v>
          </cell>
          <cell r="K402" t="str">
            <v>正式</v>
          </cell>
          <cell r="L402" t="str">
            <v>内部员工</v>
          </cell>
          <cell r="M402" t="str">
            <v>李敏</v>
          </cell>
        </row>
        <row r="403">
          <cell r="A403" t="str">
            <v>黄齐勇</v>
          </cell>
          <cell r="B403" t="str">
            <v>01428</v>
          </cell>
          <cell r="C403" t="str">
            <v>湖北蜜蜂族房地产经纪有限公司</v>
          </cell>
          <cell r="D403">
            <v>45755</v>
          </cell>
          <cell r="E403" t="str">
            <v>湖北</v>
          </cell>
          <cell r="F403" t="str">
            <v>湖北营销中心</v>
          </cell>
          <cell r="G403" t="str">
            <v>湖北2部</v>
          </cell>
          <cell r="H403" t="str">
            <v>陈俊儒</v>
          </cell>
          <cell r="I403" t="str">
            <v>三星销售顾问</v>
          </cell>
          <cell r="J403" t="str">
            <v>男</v>
          </cell>
          <cell r="K403" t="str">
            <v>正式</v>
          </cell>
          <cell r="L403" t="str">
            <v>内部员工</v>
          </cell>
          <cell r="M403" t="str">
            <v>陈俊儒</v>
          </cell>
        </row>
        <row r="404">
          <cell r="A404" t="str">
            <v>梁辉武</v>
          </cell>
          <cell r="B404" t="str">
            <v>01427</v>
          </cell>
          <cell r="C404" t="str">
            <v>湖北蜜蜂族房地产经纪有限公司</v>
          </cell>
          <cell r="D404">
            <v>45754</v>
          </cell>
          <cell r="E404" t="str">
            <v>湖北</v>
          </cell>
          <cell r="F404" t="str">
            <v>湖北营销中心</v>
          </cell>
          <cell r="G404" t="str">
            <v>湖北1部</v>
          </cell>
          <cell r="H404" t="str">
            <v>黄俊</v>
          </cell>
          <cell r="I404" t="str">
            <v>一星销售顾问</v>
          </cell>
          <cell r="J404" t="str">
            <v>男</v>
          </cell>
          <cell r="K404" t="str">
            <v>正式</v>
          </cell>
          <cell r="L404" t="str">
            <v>内部员工</v>
          </cell>
          <cell r="M404" t="str">
            <v>黄俊</v>
          </cell>
        </row>
        <row r="405">
          <cell r="A405" t="str">
            <v>肖翠</v>
          </cell>
          <cell r="B405" t="str">
            <v>01424</v>
          </cell>
          <cell r="C405" t="str">
            <v>湖北蜜蜂族房地产经纪有限公司</v>
          </cell>
          <cell r="D405">
            <v>45754</v>
          </cell>
          <cell r="E405" t="str">
            <v>湖北</v>
          </cell>
          <cell r="F405" t="str">
            <v>湖北营销中心</v>
          </cell>
          <cell r="G405" t="str">
            <v>湖北1部</v>
          </cell>
          <cell r="H405" t="str">
            <v>黄俊</v>
          </cell>
          <cell r="I405" t="str">
            <v>二星销售顾问</v>
          </cell>
          <cell r="J405" t="str">
            <v>女</v>
          </cell>
          <cell r="K405" t="str">
            <v>正式</v>
          </cell>
          <cell r="L405" t="str">
            <v>内部员工</v>
          </cell>
          <cell r="M405" t="str">
            <v>黄俊</v>
          </cell>
        </row>
        <row r="406">
          <cell r="A406" t="str">
            <v>冉洪</v>
          </cell>
          <cell r="B406" t="str">
            <v>01426</v>
          </cell>
          <cell r="C406" t="str">
            <v>辽宁时代蜂族营销策划有限公司</v>
          </cell>
          <cell r="D406">
            <v>45754</v>
          </cell>
          <cell r="E406" t="str">
            <v>辽宁</v>
          </cell>
          <cell r="F406" t="str">
            <v>辽宁营销中心</v>
          </cell>
          <cell r="G406" t="str">
            <v>辽宁销售部</v>
          </cell>
          <cell r="H406" t="str">
            <v>孙科辽宁</v>
          </cell>
          <cell r="I406" t="str">
            <v>二星销售顾问</v>
          </cell>
          <cell r="J406" t="str">
            <v>男</v>
          </cell>
          <cell r="K406" t="str">
            <v>正式</v>
          </cell>
          <cell r="L406" t="str">
            <v>内部员工</v>
          </cell>
          <cell r="M406" t="str">
            <v>孙科</v>
          </cell>
        </row>
        <row r="407">
          <cell r="A407" t="str">
            <v>孙智港</v>
          </cell>
          <cell r="B407" t="str">
            <v>01423</v>
          </cell>
          <cell r="C407" t="str">
            <v>四川时代蜂族营销策划有限公司</v>
          </cell>
          <cell r="D407">
            <v>45749</v>
          </cell>
          <cell r="E407" t="str">
            <v>内蒙古</v>
          </cell>
          <cell r="F407" t="str">
            <v>内蒙古营销中心</v>
          </cell>
          <cell r="G407" t="str">
            <v>内蒙古销售部</v>
          </cell>
          <cell r="H407" t="str">
            <v>安芮内蒙古</v>
          </cell>
          <cell r="I407" t="str">
            <v>二星销售顾问</v>
          </cell>
          <cell r="J407" t="str">
            <v>男</v>
          </cell>
          <cell r="K407" t="str">
            <v>正式</v>
          </cell>
          <cell r="L407" t="str">
            <v>内部员工</v>
          </cell>
          <cell r="M407" t="str">
            <v>安芮</v>
          </cell>
        </row>
        <row r="408">
          <cell r="A408" t="str">
            <v>蔡凤军</v>
          </cell>
          <cell r="B408" t="str">
            <v>01425</v>
          </cell>
          <cell r="C408" t="str">
            <v>四川时代蜂族营销策划有限公司</v>
          </cell>
          <cell r="D408">
            <v>45749</v>
          </cell>
          <cell r="E408" t="str">
            <v>西南总部</v>
          </cell>
          <cell r="F408" t="str">
            <v>西南营销中心</v>
          </cell>
          <cell r="G408" t="str">
            <v>营业二部</v>
          </cell>
          <cell r="H408" t="str">
            <v>杨芊</v>
          </cell>
          <cell r="I408" t="str">
            <v>二星销售顾问</v>
          </cell>
          <cell r="J408" t="str">
            <v>女</v>
          </cell>
          <cell r="K408" t="str">
            <v>正式</v>
          </cell>
          <cell r="L408" t="str">
            <v>内部员工</v>
          </cell>
          <cell r="M408" t="str">
            <v>杨芊</v>
          </cell>
        </row>
        <row r="409">
          <cell r="A409" t="str">
            <v>刘宇3</v>
          </cell>
          <cell r="B409" t="str">
            <v>01429</v>
          </cell>
          <cell r="C409" t="str">
            <v>四川时代蜂族营销策划有限公司</v>
          </cell>
          <cell r="D409">
            <v>45748</v>
          </cell>
          <cell r="E409" t="str">
            <v>西南总部</v>
          </cell>
          <cell r="F409" t="str">
            <v>西南营销中心</v>
          </cell>
          <cell r="G409" t="str">
            <v>营业六部</v>
          </cell>
          <cell r="H409" t="str">
            <v>税锐</v>
          </cell>
          <cell r="I409" t="str">
            <v>二星销售顾问</v>
          </cell>
          <cell r="J409" t="str">
            <v>男</v>
          </cell>
          <cell r="K409" t="str">
            <v>正式</v>
          </cell>
          <cell r="L409" t="str">
            <v>内部员工</v>
          </cell>
          <cell r="M409" t="str">
            <v>税锐</v>
          </cell>
        </row>
        <row r="410">
          <cell r="A410" t="str">
            <v>李强</v>
          </cell>
          <cell r="B410" t="str">
            <v>01422</v>
          </cell>
          <cell r="C410" t="str">
            <v>陕西蜂族科技有限公司</v>
          </cell>
          <cell r="D410">
            <v>45747</v>
          </cell>
          <cell r="E410" t="str">
            <v>陕西</v>
          </cell>
          <cell r="F410" t="str">
            <v>陕西营销中心</v>
          </cell>
          <cell r="G410" t="str">
            <v>陕西1部</v>
          </cell>
          <cell r="H410" t="str">
            <v>吕瑞仙</v>
          </cell>
          <cell r="I410" t="str">
            <v>二星销售顾问</v>
          </cell>
          <cell r="J410" t="str">
            <v>男</v>
          </cell>
          <cell r="K410" t="str">
            <v>正式</v>
          </cell>
          <cell r="L410" t="str">
            <v>内部员工</v>
          </cell>
          <cell r="M410" t="str">
            <v>吕瑞仙</v>
          </cell>
        </row>
        <row r="411">
          <cell r="A411" t="str">
            <v>卢照明</v>
          </cell>
          <cell r="B411" t="str">
            <v>01407</v>
          </cell>
          <cell r="C411" t="str">
            <v>湖北蜜蜂族房地产经纪有限公司</v>
          </cell>
          <cell r="D411">
            <v>45747</v>
          </cell>
          <cell r="E411" t="str">
            <v>湖北</v>
          </cell>
          <cell r="F411" t="str">
            <v>湖北营销中心</v>
          </cell>
          <cell r="G411" t="str">
            <v>湖北2部</v>
          </cell>
          <cell r="H411" t="str">
            <v>陈晓辉</v>
          </cell>
          <cell r="I411" t="str">
            <v>二星销售顾问</v>
          </cell>
          <cell r="J411" t="str">
            <v>男</v>
          </cell>
          <cell r="K411" t="str">
            <v>正式</v>
          </cell>
          <cell r="L411" t="str">
            <v>内部员工</v>
          </cell>
          <cell r="M411" t="str">
            <v>陈晓辉</v>
          </cell>
        </row>
        <row r="412">
          <cell r="A412" t="str">
            <v>李裕楷</v>
          </cell>
          <cell r="B412" t="str">
            <v>01412</v>
          </cell>
          <cell r="C412" t="str">
            <v>四川时代蜂族营销策划有限公司</v>
          </cell>
          <cell r="D412">
            <v>45747</v>
          </cell>
          <cell r="E412" t="str">
            <v>内蒙古</v>
          </cell>
          <cell r="F412" t="str">
            <v>内蒙古营销中心</v>
          </cell>
          <cell r="G412" t="str">
            <v>内蒙古销售部</v>
          </cell>
          <cell r="H412" t="str">
            <v>安芮内蒙古</v>
          </cell>
          <cell r="I412" t="str">
            <v>一星销售顾问</v>
          </cell>
          <cell r="J412" t="str">
            <v>男</v>
          </cell>
          <cell r="K412" t="str">
            <v>正式</v>
          </cell>
          <cell r="L412" t="str">
            <v>内部员工</v>
          </cell>
          <cell r="M412" t="str">
            <v>安芮</v>
          </cell>
        </row>
        <row r="413">
          <cell r="A413" t="str">
            <v>陈文吉</v>
          </cell>
          <cell r="B413" t="str">
            <v>01415</v>
          </cell>
          <cell r="C413" t="str">
            <v>湖南时代蜂族营销策划有限公司</v>
          </cell>
          <cell r="D413">
            <v>45746</v>
          </cell>
          <cell r="E413" t="str">
            <v>湖南</v>
          </cell>
          <cell r="F413" t="str">
            <v>湖南营销中心</v>
          </cell>
          <cell r="G413" t="str">
            <v>湖南销售部</v>
          </cell>
          <cell r="H413" t="str">
            <v>杨超群</v>
          </cell>
          <cell r="I413" t="str">
            <v>三星销售顾问</v>
          </cell>
          <cell r="J413" t="str">
            <v>男</v>
          </cell>
          <cell r="K413" t="str">
            <v>正式</v>
          </cell>
          <cell r="L413" t="str">
            <v>内部员工</v>
          </cell>
          <cell r="M413" t="str">
            <v>杨超群</v>
          </cell>
        </row>
        <row r="414">
          <cell r="A414" t="str">
            <v>龙世锋</v>
          </cell>
          <cell r="B414" t="str">
            <v>01411</v>
          </cell>
          <cell r="C414" t="str">
            <v>湖南时代蜂族营销策划有限公司</v>
          </cell>
          <cell r="D414">
            <v>45743</v>
          </cell>
          <cell r="E414" t="str">
            <v>湖南</v>
          </cell>
          <cell r="F414" t="str">
            <v>湖南营销中心</v>
          </cell>
          <cell r="G414" t="str">
            <v>湖南销售部</v>
          </cell>
          <cell r="H414" t="str">
            <v>陈炳佑</v>
          </cell>
          <cell r="I414" t="str">
            <v>二星销售顾问</v>
          </cell>
          <cell r="J414" t="str">
            <v>男</v>
          </cell>
          <cell r="K414" t="str">
            <v>正式</v>
          </cell>
          <cell r="L414" t="str">
            <v>内部员工</v>
          </cell>
          <cell r="M414" t="str">
            <v>陈炳佑</v>
          </cell>
        </row>
        <row r="415">
          <cell r="A415" t="str">
            <v>顾大局</v>
          </cell>
          <cell r="B415" t="str">
            <v>01421</v>
          </cell>
          <cell r="C415" t="str">
            <v>河南蜜蜂族营销策划有限公司</v>
          </cell>
          <cell r="D415">
            <v>45743</v>
          </cell>
          <cell r="E415" t="str">
            <v>河南</v>
          </cell>
          <cell r="F415" t="str">
            <v>河南营销中心</v>
          </cell>
          <cell r="G415" t="str">
            <v>河南销售部</v>
          </cell>
          <cell r="H415" t="str">
            <v>余金梅</v>
          </cell>
          <cell r="I415" t="str">
            <v>二星销售顾问</v>
          </cell>
          <cell r="J415" t="str">
            <v>男</v>
          </cell>
          <cell r="K415" t="str">
            <v>正式</v>
          </cell>
          <cell r="L415" t="str">
            <v>内部员工</v>
          </cell>
          <cell r="M415" t="str">
            <v>余金梅</v>
          </cell>
        </row>
        <row r="416">
          <cell r="A416" t="str">
            <v>朱阳</v>
          </cell>
          <cell r="B416" t="str">
            <v>01408</v>
          </cell>
          <cell r="C416" t="str">
            <v>湖北蜜蜂族房地产经纪有限公司</v>
          </cell>
          <cell r="D416">
            <v>45743</v>
          </cell>
          <cell r="E416" t="str">
            <v>湖北</v>
          </cell>
          <cell r="F416" t="str">
            <v>湖北营销中心</v>
          </cell>
          <cell r="G416" t="str">
            <v>湖北2部</v>
          </cell>
          <cell r="H416" t="str">
            <v>陈竺</v>
          </cell>
          <cell r="I416" t="str">
            <v>二星销售顾问</v>
          </cell>
          <cell r="J416" t="str">
            <v>男</v>
          </cell>
          <cell r="K416" t="str">
            <v>正式</v>
          </cell>
          <cell r="L416" t="str">
            <v>内部员工</v>
          </cell>
          <cell r="M416" t="str">
            <v>陈竺</v>
          </cell>
        </row>
        <row r="417">
          <cell r="A417" t="str">
            <v>何丽2</v>
          </cell>
          <cell r="B417" t="str">
            <v>01410</v>
          </cell>
          <cell r="C417" t="str">
            <v>四川时代蜂族营销策划有限公司</v>
          </cell>
          <cell r="D417">
            <v>45741</v>
          </cell>
          <cell r="E417" t="str">
            <v>西南总部</v>
          </cell>
          <cell r="F417" t="str">
            <v>西南营销中心</v>
          </cell>
          <cell r="G417" t="str">
            <v>营业四部</v>
          </cell>
          <cell r="H417" t="str">
            <v>陈嘉文</v>
          </cell>
          <cell r="I417" t="str">
            <v>二星销售顾问</v>
          </cell>
          <cell r="J417" t="str">
            <v>女</v>
          </cell>
          <cell r="K417" t="str">
            <v>正式</v>
          </cell>
          <cell r="L417" t="str">
            <v>内部员工</v>
          </cell>
          <cell r="M417" t="str">
            <v>陈嘉文</v>
          </cell>
        </row>
        <row r="418">
          <cell r="A418" t="str">
            <v>田保山</v>
          </cell>
          <cell r="B418" t="str">
            <v>01400</v>
          </cell>
          <cell r="C418" t="str">
            <v>湖北蜜蜂族房地产经纪有限公司</v>
          </cell>
          <cell r="D418">
            <v>45740</v>
          </cell>
          <cell r="E418" t="str">
            <v>安徽</v>
          </cell>
          <cell r="F418" t="str">
            <v>安徽拓展部</v>
          </cell>
        </row>
        <row r="418">
          <cell r="I418" t="str">
            <v>实习拓展</v>
          </cell>
          <cell r="J418" t="str">
            <v>男</v>
          </cell>
          <cell r="K418" t="str">
            <v>正式</v>
          </cell>
          <cell r="L418" t="str">
            <v>内部员工</v>
          </cell>
          <cell r="M418" t="str">
            <v>许钊</v>
          </cell>
        </row>
        <row r="419">
          <cell r="A419" t="str">
            <v>李文迪</v>
          </cell>
          <cell r="B419" t="str">
            <v>01404</v>
          </cell>
          <cell r="C419" t="str">
            <v>湖北蜜蜂族房地产经纪有限公司</v>
          </cell>
          <cell r="D419">
            <v>45740</v>
          </cell>
          <cell r="E419" t="str">
            <v>湖北</v>
          </cell>
          <cell r="F419" t="str">
            <v>湖北营销中心</v>
          </cell>
          <cell r="G419" t="str">
            <v>湖北1部</v>
          </cell>
          <cell r="H419" t="str">
            <v>蔺小燕湖北</v>
          </cell>
          <cell r="I419" t="str">
            <v>二星销售顾问</v>
          </cell>
          <cell r="J419" t="str">
            <v>男</v>
          </cell>
          <cell r="K419" t="str">
            <v>正式</v>
          </cell>
          <cell r="L419" t="str">
            <v>内部员工</v>
          </cell>
          <cell r="M419" t="str">
            <v>蔺小燕</v>
          </cell>
        </row>
        <row r="420">
          <cell r="A420" t="str">
            <v>江俊宏</v>
          </cell>
          <cell r="B420" t="str">
            <v>01405</v>
          </cell>
          <cell r="C420" t="str">
            <v>四川时代蜂族营销策划有限公司</v>
          </cell>
          <cell r="D420">
            <v>45738</v>
          </cell>
          <cell r="E420" t="str">
            <v>西南总部</v>
          </cell>
          <cell r="F420" t="str">
            <v>西南营销中心</v>
          </cell>
          <cell r="G420" t="str">
            <v>营业七部</v>
          </cell>
          <cell r="H420" t="str">
            <v>蒋杨</v>
          </cell>
          <cell r="I420" t="str">
            <v>一星销售顾问</v>
          </cell>
          <cell r="J420" t="str">
            <v>男</v>
          </cell>
          <cell r="K420" t="str">
            <v>正式</v>
          </cell>
          <cell r="L420" t="str">
            <v>内部员工</v>
          </cell>
          <cell r="M420" t="str">
            <v>蒋杨</v>
          </cell>
        </row>
        <row r="421">
          <cell r="A421" t="str">
            <v>朱小英</v>
          </cell>
          <cell r="B421" t="str">
            <v>01398</v>
          </cell>
          <cell r="C421" t="str">
            <v>四川时代蜂族营销策划有限公司</v>
          </cell>
          <cell r="D421">
            <v>45738</v>
          </cell>
          <cell r="E421" t="str">
            <v>西南总部</v>
          </cell>
          <cell r="F421" t="str">
            <v>西南营销中心</v>
          </cell>
          <cell r="G421" t="str">
            <v>营业六部</v>
          </cell>
          <cell r="H421" t="str">
            <v>税锐</v>
          </cell>
          <cell r="I421" t="str">
            <v>二星销售顾问</v>
          </cell>
          <cell r="J421" t="str">
            <v>女</v>
          </cell>
          <cell r="K421" t="str">
            <v>正式</v>
          </cell>
          <cell r="L421" t="str">
            <v>内部员工</v>
          </cell>
          <cell r="M421" t="str">
            <v>税锐</v>
          </cell>
        </row>
        <row r="422">
          <cell r="A422" t="str">
            <v>黄雯霞</v>
          </cell>
          <cell r="B422" t="str">
            <v>01403</v>
          </cell>
          <cell r="C422" t="str">
            <v>四川时代蜂族营销策划有限公司</v>
          </cell>
          <cell r="D422">
            <v>45738</v>
          </cell>
          <cell r="E422" t="str">
            <v>西南总部</v>
          </cell>
          <cell r="F422" t="str">
            <v>西南营销中心</v>
          </cell>
          <cell r="G422" t="str">
            <v>营业一部</v>
          </cell>
          <cell r="H422" t="str">
            <v>胡雪梅</v>
          </cell>
          <cell r="I422" t="str">
            <v>二星销售顾问</v>
          </cell>
          <cell r="J422" t="str">
            <v>女</v>
          </cell>
          <cell r="K422" t="str">
            <v>正式</v>
          </cell>
          <cell r="L422" t="str">
            <v>内部员工</v>
          </cell>
          <cell r="M422" t="str">
            <v>胡雪梅</v>
          </cell>
        </row>
        <row r="423">
          <cell r="A423" t="str">
            <v>罗施宇</v>
          </cell>
          <cell r="B423" t="str">
            <v>01402</v>
          </cell>
          <cell r="C423" t="str">
            <v>辽宁时代蜂族营销策划有限公司</v>
          </cell>
          <cell r="D423">
            <v>45737</v>
          </cell>
          <cell r="E423" t="str">
            <v>辽宁</v>
          </cell>
          <cell r="F423" t="str">
            <v>辽宁营销中心</v>
          </cell>
          <cell r="G423" t="str">
            <v>辽宁销售部</v>
          </cell>
          <cell r="H423" t="str">
            <v>赖慧辽宁</v>
          </cell>
          <cell r="I423" t="str">
            <v>一星销售顾问</v>
          </cell>
          <cell r="J423" t="str">
            <v>女</v>
          </cell>
          <cell r="K423" t="str">
            <v>正式</v>
          </cell>
          <cell r="L423" t="str">
            <v>内部员工</v>
          </cell>
          <cell r="M423" t="str">
            <v>赖慧</v>
          </cell>
        </row>
        <row r="424">
          <cell r="A424" t="str">
            <v>栾俊山</v>
          </cell>
          <cell r="B424" t="str">
            <v>01396</v>
          </cell>
          <cell r="C424" t="str">
            <v>湖北蜜蜂族房地产经纪有限公司</v>
          </cell>
          <cell r="D424">
            <v>45736</v>
          </cell>
          <cell r="E424" t="str">
            <v>湖北</v>
          </cell>
          <cell r="F424" t="str">
            <v>湖北拓展部</v>
          </cell>
        </row>
        <row r="424">
          <cell r="I424" t="str">
            <v>实习拓展</v>
          </cell>
          <cell r="J424" t="str">
            <v>男</v>
          </cell>
          <cell r="K424" t="str">
            <v>正式</v>
          </cell>
          <cell r="L424" t="str">
            <v>内部员工</v>
          </cell>
          <cell r="M424" t="str">
            <v>范庚</v>
          </cell>
        </row>
        <row r="425">
          <cell r="A425" t="str">
            <v>龚灵波</v>
          </cell>
          <cell r="B425" t="str">
            <v>01390</v>
          </cell>
          <cell r="C425" t="str">
            <v>湖南时代蜂族营销策划有限公司</v>
          </cell>
          <cell r="D425">
            <v>45734</v>
          </cell>
          <cell r="E425" t="str">
            <v>湖南</v>
          </cell>
          <cell r="F425" t="str">
            <v>湖南营销中心</v>
          </cell>
          <cell r="G425" t="str">
            <v>湖南销售部</v>
          </cell>
          <cell r="H425" t="str">
            <v>闫柏年</v>
          </cell>
          <cell r="I425" t="str">
            <v>二星销售顾问</v>
          </cell>
          <cell r="J425" t="str">
            <v>男</v>
          </cell>
          <cell r="K425" t="str">
            <v>正式</v>
          </cell>
          <cell r="L425" t="str">
            <v>内部员工</v>
          </cell>
          <cell r="M425" t="str">
            <v>闫柏年</v>
          </cell>
        </row>
        <row r="426">
          <cell r="A426" t="str">
            <v>张存瑞</v>
          </cell>
          <cell r="B426" t="str">
            <v>01392</v>
          </cell>
          <cell r="C426" t="str">
            <v>湖南时代蜂族营销策划有限公司</v>
          </cell>
          <cell r="D426">
            <v>45733</v>
          </cell>
          <cell r="E426" t="str">
            <v>湖南</v>
          </cell>
          <cell r="F426" t="str">
            <v>湖南营销中心</v>
          </cell>
          <cell r="G426" t="str">
            <v>湖南销售部</v>
          </cell>
          <cell r="H426" t="str">
            <v>刘俊海</v>
          </cell>
          <cell r="I426" t="str">
            <v>一星销售顾问</v>
          </cell>
          <cell r="J426" t="str">
            <v>男</v>
          </cell>
          <cell r="K426" t="str">
            <v>正式</v>
          </cell>
          <cell r="L426" t="str">
            <v>内部员工</v>
          </cell>
          <cell r="M426" t="str">
            <v>刘俊海</v>
          </cell>
        </row>
        <row r="427">
          <cell r="A427" t="str">
            <v>侯艺鹏</v>
          </cell>
          <cell r="B427" t="str">
            <v>01388</v>
          </cell>
          <cell r="C427" t="str">
            <v>陕西蜂族科技有限公司</v>
          </cell>
          <cell r="D427">
            <v>45730</v>
          </cell>
          <cell r="E427" t="str">
            <v>陕西</v>
          </cell>
          <cell r="F427" t="str">
            <v>陕西营销中心</v>
          </cell>
          <cell r="G427" t="str">
            <v>陕西1部</v>
          </cell>
          <cell r="H427" t="str">
            <v>李丝丝</v>
          </cell>
          <cell r="I427" t="str">
            <v>一星销售顾问</v>
          </cell>
          <cell r="J427" t="str">
            <v>男</v>
          </cell>
          <cell r="K427" t="str">
            <v>正式</v>
          </cell>
          <cell r="L427" t="str">
            <v>内部员工</v>
          </cell>
          <cell r="M427" t="str">
            <v>李丝丝</v>
          </cell>
        </row>
        <row r="428">
          <cell r="A428" t="str">
            <v>廖可</v>
          </cell>
          <cell r="B428" t="str">
            <v>01386</v>
          </cell>
          <cell r="C428" t="str">
            <v>四川时代蜂族营销策划有限公司</v>
          </cell>
          <cell r="D428">
            <v>45729</v>
          </cell>
          <cell r="E428" t="str">
            <v>西南总部</v>
          </cell>
          <cell r="F428" t="str">
            <v>西南营销中心</v>
          </cell>
          <cell r="G428" t="str">
            <v>营业四部</v>
          </cell>
          <cell r="H428" t="str">
            <v>李培金</v>
          </cell>
          <cell r="I428" t="str">
            <v>二星销售顾问</v>
          </cell>
          <cell r="J428" t="str">
            <v>男</v>
          </cell>
          <cell r="K428" t="str">
            <v>正式</v>
          </cell>
          <cell r="L428" t="str">
            <v>内部员工</v>
          </cell>
          <cell r="M428" t="str">
            <v>李培金</v>
          </cell>
        </row>
        <row r="429">
          <cell r="A429" t="str">
            <v>董常兆</v>
          </cell>
          <cell r="B429" t="str">
            <v>01383</v>
          </cell>
          <cell r="C429" t="str">
            <v>四川时代蜂族营销策划有限公司</v>
          </cell>
          <cell r="D429">
            <v>45727</v>
          </cell>
          <cell r="E429" t="str">
            <v>西南总部</v>
          </cell>
          <cell r="F429" t="str">
            <v>西南营销中心</v>
          </cell>
          <cell r="G429" t="str">
            <v>营业七部</v>
          </cell>
          <cell r="H429" t="str">
            <v>申慧</v>
          </cell>
          <cell r="I429" t="str">
            <v>三星销售顾问</v>
          </cell>
          <cell r="J429" t="str">
            <v>男</v>
          </cell>
          <cell r="K429" t="str">
            <v>正式</v>
          </cell>
          <cell r="L429" t="str">
            <v>内部员工</v>
          </cell>
          <cell r="M429" t="str">
            <v>申慧</v>
          </cell>
        </row>
        <row r="430">
          <cell r="A430" t="str">
            <v>刘余芳</v>
          </cell>
          <cell r="B430" t="str">
            <v>01380</v>
          </cell>
          <cell r="C430" t="str">
            <v>四川时代蜂族营销策划有限公司</v>
          </cell>
          <cell r="D430">
            <v>45724</v>
          </cell>
          <cell r="E430" t="str">
            <v>西南总部</v>
          </cell>
          <cell r="F430" t="str">
            <v>西南营销中心</v>
          </cell>
          <cell r="G430" t="str">
            <v>营业七部</v>
          </cell>
          <cell r="H430" t="str">
            <v>程新浩</v>
          </cell>
          <cell r="I430" t="str">
            <v>二星销售顾问</v>
          </cell>
          <cell r="J430" t="str">
            <v>女</v>
          </cell>
          <cell r="K430" t="str">
            <v>正式</v>
          </cell>
          <cell r="L430" t="str">
            <v>内部员工</v>
          </cell>
          <cell r="M430" t="str">
            <v>程新浩</v>
          </cell>
        </row>
        <row r="431">
          <cell r="A431" t="str">
            <v>鲜贵强</v>
          </cell>
          <cell r="B431" t="str">
            <v>01381</v>
          </cell>
          <cell r="C431" t="str">
            <v>四川时代蜂族营销策划有限公司</v>
          </cell>
          <cell r="D431">
            <v>45723</v>
          </cell>
          <cell r="E431" t="str">
            <v>西南总部</v>
          </cell>
          <cell r="F431" t="str">
            <v>西南营销中心</v>
          </cell>
          <cell r="G431" t="str">
            <v>营业三部</v>
          </cell>
          <cell r="H431" t="str">
            <v>吴建鑫</v>
          </cell>
          <cell r="I431" t="str">
            <v>三星销售顾问</v>
          </cell>
          <cell r="J431" t="str">
            <v>男</v>
          </cell>
          <cell r="K431" t="str">
            <v>正式</v>
          </cell>
          <cell r="L431" t="str">
            <v>内部员工</v>
          </cell>
          <cell r="M431" t="str">
            <v>吴建鑫</v>
          </cell>
        </row>
        <row r="432">
          <cell r="A432" t="str">
            <v>霍雪毅</v>
          </cell>
          <cell r="B432" t="str">
            <v>01374</v>
          </cell>
          <cell r="C432" t="str">
            <v>四川时代蜂族营销策划有限公司</v>
          </cell>
          <cell r="D432">
            <v>45723</v>
          </cell>
          <cell r="E432" t="str">
            <v>西南总部</v>
          </cell>
          <cell r="F432" t="str">
            <v>西南营销中心</v>
          </cell>
          <cell r="G432" t="str">
            <v>营业七部</v>
          </cell>
          <cell r="H432" t="str">
            <v>蒋杨</v>
          </cell>
          <cell r="I432" t="str">
            <v>B岗经理</v>
          </cell>
          <cell r="J432" t="str">
            <v>男</v>
          </cell>
          <cell r="K432" t="str">
            <v>正式</v>
          </cell>
          <cell r="L432" t="str">
            <v>内部员工</v>
          </cell>
          <cell r="M432" t="str">
            <v>蒋杨</v>
          </cell>
        </row>
        <row r="433">
          <cell r="A433" t="str">
            <v>胡信</v>
          </cell>
          <cell r="B433" t="str">
            <v>01369</v>
          </cell>
          <cell r="C433" t="str">
            <v>四川时代蜂族营销策划有限公司</v>
          </cell>
          <cell r="D433">
            <v>45722</v>
          </cell>
          <cell r="E433" t="str">
            <v>西南总部</v>
          </cell>
          <cell r="F433" t="str">
            <v>西南营销中心</v>
          </cell>
          <cell r="G433" t="str">
            <v>营业一部</v>
          </cell>
          <cell r="H433" t="str">
            <v>张圣梁</v>
          </cell>
          <cell r="I433" t="str">
            <v>一星销售顾问</v>
          </cell>
          <cell r="J433" t="str">
            <v>男</v>
          </cell>
          <cell r="K433" t="str">
            <v>正式</v>
          </cell>
          <cell r="L433" t="str">
            <v>内部员工</v>
          </cell>
          <cell r="M433" t="str">
            <v>张圣梁</v>
          </cell>
        </row>
        <row r="434">
          <cell r="A434" t="str">
            <v>黄鹏</v>
          </cell>
          <cell r="B434" t="str">
            <v>01382</v>
          </cell>
          <cell r="C434" t="str">
            <v>四川时代蜂族营销策划有限公司</v>
          </cell>
          <cell r="D434">
            <v>45722</v>
          </cell>
          <cell r="E434" t="str">
            <v>西南总部</v>
          </cell>
          <cell r="F434" t="str">
            <v>西南营销中心</v>
          </cell>
          <cell r="G434" t="str">
            <v>营业四部</v>
          </cell>
          <cell r="H434" t="str">
            <v>陈嘉文</v>
          </cell>
          <cell r="I434" t="str">
            <v>三星销售顾问</v>
          </cell>
          <cell r="J434" t="str">
            <v>男</v>
          </cell>
          <cell r="K434" t="str">
            <v>正式</v>
          </cell>
          <cell r="L434" t="str">
            <v>内部员工</v>
          </cell>
          <cell r="M434" t="str">
            <v>陈嘉文</v>
          </cell>
        </row>
        <row r="435">
          <cell r="A435" t="str">
            <v>赵梦妤</v>
          </cell>
          <cell r="B435" t="str">
            <v>01370</v>
          </cell>
          <cell r="C435" t="str">
            <v>四川时代蜂族营销策划有限公司</v>
          </cell>
          <cell r="D435">
            <v>45721</v>
          </cell>
          <cell r="E435" t="str">
            <v>辽宁</v>
          </cell>
          <cell r="F435" t="str">
            <v>辽宁营销中心</v>
          </cell>
          <cell r="G435" t="str">
            <v>辽宁销售部</v>
          </cell>
          <cell r="H435" t="str">
            <v>赖慧辽宁</v>
          </cell>
          <cell r="I435" t="str">
            <v>二星销售顾问</v>
          </cell>
          <cell r="J435" t="str">
            <v>女</v>
          </cell>
          <cell r="K435" t="str">
            <v>正式</v>
          </cell>
          <cell r="L435" t="str">
            <v>内部员工</v>
          </cell>
          <cell r="M435" t="str">
            <v>赖慧</v>
          </cell>
        </row>
        <row r="436">
          <cell r="A436" t="str">
            <v>李杰2</v>
          </cell>
          <cell r="B436" t="str">
            <v>01379</v>
          </cell>
          <cell r="C436" t="str">
            <v>湖北蜜蜂族房地产经纪有限公司</v>
          </cell>
          <cell r="D436">
            <v>45719</v>
          </cell>
          <cell r="E436" t="str">
            <v>湖北</v>
          </cell>
          <cell r="F436" t="str">
            <v>湖北营销中心</v>
          </cell>
          <cell r="G436" t="str">
            <v>湖北2部</v>
          </cell>
          <cell r="H436" t="str">
            <v>赵国富</v>
          </cell>
          <cell r="I436" t="str">
            <v>三星销售顾问</v>
          </cell>
          <cell r="J436" t="str">
            <v>男</v>
          </cell>
          <cell r="K436" t="str">
            <v>正式</v>
          </cell>
          <cell r="L436" t="str">
            <v>内部员工</v>
          </cell>
          <cell r="M436" t="str">
            <v>赵国富</v>
          </cell>
        </row>
        <row r="437">
          <cell r="A437" t="str">
            <v>张松</v>
          </cell>
          <cell r="B437" t="str">
            <v>01357</v>
          </cell>
          <cell r="C437" t="str">
            <v>陕西蜂族科技有限公司</v>
          </cell>
          <cell r="D437">
            <v>45718</v>
          </cell>
          <cell r="E437" t="str">
            <v>陕西</v>
          </cell>
          <cell r="F437" t="str">
            <v>陕西营销中心</v>
          </cell>
          <cell r="G437" t="str">
            <v>陕西2部</v>
          </cell>
          <cell r="H437" t="str">
            <v>蒙建</v>
          </cell>
          <cell r="I437" t="str">
            <v>二星销售顾问</v>
          </cell>
          <cell r="J437" t="str">
            <v>男</v>
          </cell>
          <cell r="K437" t="str">
            <v>正式</v>
          </cell>
          <cell r="L437" t="str">
            <v>内部员工</v>
          </cell>
          <cell r="M437" t="str">
            <v>蒙建</v>
          </cell>
        </row>
        <row r="438">
          <cell r="A438" t="str">
            <v>李世豪</v>
          </cell>
          <cell r="B438" t="str">
            <v>01362</v>
          </cell>
          <cell r="C438" t="str">
            <v>湖北蜜蜂族房地产经纪有限公司</v>
          </cell>
          <cell r="D438">
            <v>45717</v>
          </cell>
          <cell r="E438" t="str">
            <v>湖北</v>
          </cell>
          <cell r="F438" t="str">
            <v>湖北营销中心</v>
          </cell>
          <cell r="G438" t="str">
            <v>湖北1部</v>
          </cell>
          <cell r="H438" t="str">
            <v>李文</v>
          </cell>
          <cell r="I438" t="str">
            <v>一星销售顾问</v>
          </cell>
          <cell r="J438" t="str">
            <v>男</v>
          </cell>
          <cell r="K438" t="str">
            <v>正式</v>
          </cell>
          <cell r="L438" t="str">
            <v>内部员工</v>
          </cell>
          <cell r="M438" t="str">
            <v>李文</v>
          </cell>
        </row>
        <row r="439">
          <cell r="A439" t="str">
            <v>李浩</v>
          </cell>
          <cell r="B439" t="str">
            <v>01375</v>
          </cell>
          <cell r="C439" t="str">
            <v>辽宁时代蜂族营销策划有限公司</v>
          </cell>
          <cell r="D439">
            <v>45715</v>
          </cell>
          <cell r="E439" t="str">
            <v>辽宁</v>
          </cell>
          <cell r="F439" t="str">
            <v>辽宁营销中心</v>
          </cell>
          <cell r="G439" t="str">
            <v>辽宁销售部</v>
          </cell>
        </row>
        <row r="439">
          <cell r="I439" t="str">
            <v>二星销售顾问</v>
          </cell>
          <cell r="J439" t="str">
            <v>男</v>
          </cell>
          <cell r="K439" t="str">
            <v>正式</v>
          </cell>
          <cell r="L439" t="str">
            <v>内部员工</v>
          </cell>
          <cell r="M439" t="str">
            <v>郭永曼</v>
          </cell>
        </row>
        <row r="440">
          <cell r="A440" t="str">
            <v>何军辉</v>
          </cell>
          <cell r="B440" t="str">
            <v>01356</v>
          </cell>
          <cell r="C440" t="str">
            <v>四川时代蜂族营销策划有限公司</v>
          </cell>
          <cell r="D440">
            <v>45714</v>
          </cell>
          <cell r="E440" t="str">
            <v>西南总部</v>
          </cell>
          <cell r="F440" t="str">
            <v>西南营销中心</v>
          </cell>
          <cell r="G440" t="str">
            <v>营业七部</v>
          </cell>
          <cell r="H440" t="str">
            <v>蒋杨</v>
          </cell>
          <cell r="I440" t="str">
            <v>三星销售顾问</v>
          </cell>
          <cell r="J440" t="str">
            <v>男</v>
          </cell>
          <cell r="K440" t="str">
            <v>正式</v>
          </cell>
          <cell r="L440" t="str">
            <v>内部员工</v>
          </cell>
          <cell r="M440" t="str">
            <v>蒋杨</v>
          </cell>
        </row>
        <row r="441">
          <cell r="A441" t="str">
            <v>赵伟</v>
          </cell>
          <cell r="B441" t="str">
            <v>01365</v>
          </cell>
          <cell r="C441" t="str">
            <v>四川时代蜂族营销策划有限公司</v>
          </cell>
          <cell r="D441">
            <v>45713</v>
          </cell>
          <cell r="E441" t="str">
            <v>西南总部</v>
          </cell>
          <cell r="F441" t="str">
            <v>西南营销中心</v>
          </cell>
          <cell r="G441" t="str">
            <v>营业七部</v>
          </cell>
          <cell r="H441" t="str">
            <v>陈彪</v>
          </cell>
          <cell r="I441" t="str">
            <v>一星销售顾问</v>
          </cell>
          <cell r="J441" t="str">
            <v>男</v>
          </cell>
          <cell r="K441" t="str">
            <v>正式</v>
          </cell>
          <cell r="L441" t="str">
            <v>内部员工</v>
          </cell>
          <cell r="M441" t="str">
            <v>陈彪</v>
          </cell>
        </row>
        <row r="442">
          <cell r="A442" t="str">
            <v>陈天东</v>
          </cell>
          <cell r="B442" t="str">
            <v>01364</v>
          </cell>
          <cell r="C442" t="str">
            <v>湖南时代蜂族营销策划有限公司</v>
          </cell>
          <cell r="D442">
            <v>45712</v>
          </cell>
          <cell r="E442" t="str">
            <v>湖南</v>
          </cell>
          <cell r="F442" t="str">
            <v>湖南营销中心</v>
          </cell>
          <cell r="G442" t="str">
            <v>湖南销售部</v>
          </cell>
          <cell r="H442" t="str">
            <v>夏富杨</v>
          </cell>
          <cell r="I442" t="str">
            <v>二星销售顾问</v>
          </cell>
          <cell r="J442" t="str">
            <v>男</v>
          </cell>
          <cell r="K442" t="str">
            <v>正式</v>
          </cell>
          <cell r="L442" t="str">
            <v>内部员工</v>
          </cell>
          <cell r="M442" t="str">
            <v>夏富杨</v>
          </cell>
        </row>
        <row r="443">
          <cell r="A443" t="str">
            <v>夏明珠</v>
          </cell>
          <cell r="B443" t="str">
            <v>01347</v>
          </cell>
          <cell r="C443" t="str">
            <v>四川大礼连连科技有限公司</v>
          </cell>
          <cell r="D443">
            <v>45712</v>
          </cell>
          <cell r="E443" t="str">
            <v>集团职能</v>
          </cell>
          <cell r="F443" t="str">
            <v>职能营销</v>
          </cell>
          <cell r="G443" t="str">
            <v>培训部</v>
          </cell>
        </row>
        <row r="443">
          <cell r="I443" t="str">
            <v>培训专员</v>
          </cell>
          <cell r="J443" t="str">
            <v>女</v>
          </cell>
          <cell r="K443" t="str">
            <v>正式</v>
          </cell>
          <cell r="L443" t="str">
            <v>内部员工</v>
          </cell>
          <cell r="M443" t="str">
            <v>黄洁</v>
          </cell>
        </row>
        <row r="444">
          <cell r="A444" t="str">
            <v>闫亚豪</v>
          </cell>
          <cell r="B444" t="str">
            <v>01352</v>
          </cell>
          <cell r="C444" t="str">
            <v>湖南时代蜂族营销策划有限公司</v>
          </cell>
          <cell r="D444">
            <v>45711</v>
          </cell>
          <cell r="E444" t="str">
            <v>湖南</v>
          </cell>
          <cell r="F444" t="str">
            <v>湖南营销中心</v>
          </cell>
          <cell r="G444" t="str">
            <v>湖南销售部</v>
          </cell>
          <cell r="H444" t="str">
            <v>杨超群</v>
          </cell>
          <cell r="I444" t="str">
            <v>二星销售顾问</v>
          </cell>
          <cell r="J444" t="str">
            <v>男</v>
          </cell>
          <cell r="K444" t="str">
            <v>正式</v>
          </cell>
          <cell r="L444" t="str">
            <v>内部员工</v>
          </cell>
          <cell r="M444" t="str">
            <v>杨超群</v>
          </cell>
        </row>
        <row r="445">
          <cell r="A445" t="str">
            <v>陈诗洋</v>
          </cell>
          <cell r="B445" t="str">
            <v>01348</v>
          </cell>
          <cell r="C445" t="str">
            <v>四川时代蜂族营销策划有限公司</v>
          </cell>
          <cell r="D445">
            <v>45709</v>
          </cell>
          <cell r="E445" t="str">
            <v>西南总部</v>
          </cell>
          <cell r="F445" t="str">
            <v>西南营销中心</v>
          </cell>
          <cell r="G445" t="str">
            <v>营业二部</v>
          </cell>
          <cell r="H445" t="str">
            <v>柏刚</v>
          </cell>
          <cell r="I445" t="str">
            <v>二星销售顾问</v>
          </cell>
          <cell r="J445" t="str">
            <v>男</v>
          </cell>
          <cell r="K445" t="str">
            <v>正式</v>
          </cell>
          <cell r="L445" t="str">
            <v>内部员工</v>
          </cell>
          <cell r="M445" t="str">
            <v>柏刚</v>
          </cell>
        </row>
        <row r="446">
          <cell r="A446" t="str">
            <v>司思</v>
          </cell>
          <cell r="B446" t="str">
            <v>01339</v>
          </cell>
          <cell r="C446" t="str">
            <v>山东时代蜂族营销策划有限公司</v>
          </cell>
          <cell r="D446">
            <v>45709</v>
          </cell>
          <cell r="E446" t="str">
            <v>山东</v>
          </cell>
          <cell r="F446" t="str">
            <v>山东营销中心</v>
          </cell>
          <cell r="G446" t="str">
            <v>山东销售部</v>
          </cell>
          <cell r="H446" t="str">
            <v>蒲建宇山东</v>
          </cell>
          <cell r="I446" t="str">
            <v>二星销售顾问</v>
          </cell>
          <cell r="J446" t="str">
            <v>女</v>
          </cell>
          <cell r="K446" t="str">
            <v>正式</v>
          </cell>
          <cell r="L446" t="str">
            <v>内部员工</v>
          </cell>
          <cell r="M446" t="str">
            <v>蒲建宇</v>
          </cell>
        </row>
        <row r="447">
          <cell r="A447" t="str">
            <v>陈文娟</v>
          </cell>
          <cell r="B447" t="str">
            <v>01338</v>
          </cell>
          <cell r="C447" t="str">
            <v>四川时代蜂族营销策划有限公司</v>
          </cell>
          <cell r="D447">
            <v>45709</v>
          </cell>
          <cell r="E447" t="str">
            <v>西南总部</v>
          </cell>
          <cell r="F447" t="str">
            <v>西南营销中心</v>
          </cell>
          <cell r="G447" t="str">
            <v>营业二部</v>
          </cell>
          <cell r="H447" t="str">
            <v>文鹏羽</v>
          </cell>
          <cell r="I447" t="str">
            <v>三星销售顾问</v>
          </cell>
          <cell r="J447" t="str">
            <v>女</v>
          </cell>
          <cell r="K447" t="str">
            <v>正式</v>
          </cell>
          <cell r="L447" t="str">
            <v>内部员工</v>
          </cell>
          <cell r="M447" t="str">
            <v>文鹏羽</v>
          </cell>
        </row>
        <row r="448">
          <cell r="A448" t="str">
            <v>李杰</v>
          </cell>
          <cell r="B448" t="str">
            <v>01345</v>
          </cell>
          <cell r="C448" t="str">
            <v>河北时代蜂族营销策划有限公司</v>
          </cell>
          <cell r="D448">
            <v>45708</v>
          </cell>
          <cell r="E448" t="str">
            <v>河北</v>
          </cell>
          <cell r="F448" t="str">
            <v>河北拓展部</v>
          </cell>
        </row>
        <row r="448">
          <cell r="I448" t="str">
            <v>一星拓展专员</v>
          </cell>
          <cell r="J448" t="str">
            <v>男</v>
          </cell>
          <cell r="K448" t="str">
            <v>正式</v>
          </cell>
          <cell r="L448" t="str">
            <v>内部员工</v>
          </cell>
          <cell r="M448" t="str">
            <v>张冀</v>
          </cell>
        </row>
        <row r="449">
          <cell r="A449" t="str">
            <v>唐晋康</v>
          </cell>
          <cell r="B449" t="str">
            <v>01333</v>
          </cell>
          <cell r="C449" t="str">
            <v>山西时代蜂族房地产经纪有限公司</v>
          </cell>
          <cell r="D449">
            <v>45708</v>
          </cell>
          <cell r="E449" t="str">
            <v>山西</v>
          </cell>
          <cell r="F449" t="str">
            <v>山西拓展部</v>
          </cell>
        </row>
        <row r="449">
          <cell r="I449" t="str">
            <v>实习拓展</v>
          </cell>
          <cell r="J449" t="str">
            <v>男</v>
          </cell>
          <cell r="K449" t="str">
            <v>正式</v>
          </cell>
          <cell r="L449" t="str">
            <v>内部员工</v>
          </cell>
          <cell r="M449" t="str">
            <v>吴川江</v>
          </cell>
        </row>
        <row r="450">
          <cell r="A450" t="str">
            <v>刘琴</v>
          </cell>
          <cell r="B450" t="str">
            <v>01350</v>
          </cell>
          <cell r="C450" t="str">
            <v>辽宁时代蜂族营销策划有限公司</v>
          </cell>
          <cell r="D450">
            <v>45708</v>
          </cell>
          <cell r="E450" t="str">
            <v>辽宁</v>
          </cell>
          <cell r="F450" t="str">
            <v>辽宁营销中心</v>
          </cell>
          <cell r="G450" t="str">
            <v>辽宁销售部</v>
          </cell>
          <cell r="H450" t="str">
            <v>赖慧辽宁</v>
          </cell>
          <cell r="I450" t="str">
            <v>二星销售顾问</v>
          </cell>
          <cell r="J450" t="str">
            <v>女</v>
          </cell>
          <cell r="K450" t="str">
            <v>正式</v>
          </cell>
          <cell r="L450" t="str">
            <v>内部员工</v>
          </cell>
          <cell r="M450" t="str">
            <v>赖慧</v>
          </cell>
        </row>
        <row r="451">
          <cell r="A451" t="str">
            <v>李世靖</v>
          </cell>
          <cell r="B451" t="str">
            <v>01335</v>
          </cell>
          <cell r="C451" t="str">
            <v>四川时代蜂族营销策划有限公司</v>
          </cell>
          <cell r="D451">
            <v>45707</v>
          </cell>
          <cell r="E451" t="str">
            <v>河北</v>
          </cell>
          <cell r="F451" t="str">
            <v>河北营销中心</v>
          </cell>
          <cell r="G451" t="str">
            <v>河北销售部</v>
          </cell>
          <cell r="H451" t="str">
            <v>韩旭河北</v>
          </cell>
          <cell r="I451" t="str">
            <v>三星销售顾问</v>
          </cell>
          <cell r="J451" t="str">
            <v>男</v>
          </cell>
          <cell r="K451" t="str">
            <v>正式</v>
          </cell>
          <cell r="L451" t="str">
            <v>内部员工</v>
          </cell>
          <cell r="M451" t="str">
            <v>韩旭</v>
          </cell>
        </row>
        <row r="452">
          <cell r="A452" t="str">
            <v>李海艳</v>
          </cell>
          <cell r="B452" t="str">
            <v>01344</v>
          </cell>
          <cell r="C452" t="str">
            <v>四川时代蜂族营销策划有限公司</v>
          </cell>
          <cell r="D452">
            <v>45706</v>
          </cell>
          <cell r="E452" t="str">
            <v>西南总部</v>
          </cell>
          <cell r="F452" t="str">
            <v>西南营销中心</v>
          </cell>
          <cell r="G452" t="str">
            <v>营业三部</v>
          </cell>
          <cell r="H452" t="str">
            <v>肖秀丽</v>
          </cell>
          <cell r="I452" t="str">
            <v>一星实习经理</v>
          </cell>
          <cell r="J452" t="str">
            <v>女</v>
          </cell>
          <cell r="K452" t="str">
            <v>正式</v>
          </cell>
          <cell r="L452" t="str">
            <v>内部员工</v>
          </cell>
          <cell r="M452" t="str">
            <v>肖秀丽</v>
          </cell>
        </row>
        <row r="453">
          <cell r="A453" t="str">
            <v>刘淑兰</v>
          </cell>
          <cell r="B453" t="str">
            <v>01346</v>
          </cell>
          <cell r="C453" t="str">
            <v>四川时代蜂族营销策划有限公司</v>
          </cell>
          <cell r="D453">
            <v>45706</v>
          </cell>
          <cell r="E453" t="str">
            <v>西南总部</v>
          </cell>
          <cell r="F453" t="str">
            <v>西南拓展中心</v>
          </cell>
          <cell r="G453" t="str">
            <v>川南</v>
          </cell>
        </row>
        <row r="453">
          <cell r="I453" t="str">
            <v>一星拓展专员</v>
          </cell>
          <cell r="J453" t="str">
            <v>女</v>
          </cell>
          <cell r="K453" t="str">
            <v>正式</v>
          </cell>
          <cell r="L453" t="str">
            <v>内部员工</v>
          </cell>
          <cell r="M453" t="str">
            <v>于强</v>
          </cell>
        </row>
        <row r="454">
          <cell r="A454" t="str">
            <v>刘静</v>
          </cell>
          <cell r="B454" t="str">
            <v>01342</v>
          </cell>
          <cell r="C454" t="str">
            <v>四川时代蜂族营销策划有限公司</v>
          </cell>
          <cell r="D454">
            <v>45706</v>
          </cell>
          <cell r="E454" t="str">
            <v>河北</v>
          </cell>
          <cell r="F454" t="str">
            <v>河北营销中心</v>
          </cell>
          <cell r="G454" t="str">
            <v>河北销售部</v>
          </cell>
          <cell r="H454" t="str">
            <v>韦霞河北</v>
          </cell>
          <cell r="I454" t="str">
            <v>二星销售顾问</v>
          </cell>
          <cell r="J454" t="str">
            <v>女</v>
          </cell>
          <cell r="K454" t="str">
            <v>正式</v>
          </cell>
          <cell r="L454" t="str">
            <v>内部员工</v>
          </cell>
          <cell r="M454" t="str">
            <v>韦霞</v>
          </cell>
        </row>
        <row r="455">
          <cell r="A455" t="str">
            <v>陈亮</v>
          </cell>
          <cell r="B455" t="str">
            <v>01320</v>
          </cell>
          <cell r="C455" t="str">
            <v>湖北蜜蜂族房地产经纪有限公司</v>
          </cell>
          <cell r="D455">
            <v>45706</v>
          </cell>
          <cell r="E455" t="str">
            <v>湖北</v>
          </cell>
          <cell r="F455" t="str">
            <v>湖北营销中心</v>
          </cell>
          <cell r="G455" t="str">
            <v>湖北2部</v>
          </cell>
          <cell r="H455" t="str">
            <v>陈晓辉</v>
          </cell>
          <cell r="I455" t="str">
            <v>三星销售顾问</v>
          </cell>
          <cell r="J455" t="str">
            <v>男</v>
          </cell>
          <cell r="K455" t="str">
            <v>正式</v>
          </cell>
          <cell r="L455" t="str">
            <v>内部员工</v>
          </cell>
          <cell r="M455" t="str">
            <v>陈晓辉</v>
          </cell>
        </row>
        <row r="456">
          <cell r="A456" t="str">
            <v>文尤洋</v>
          </cell>
          <cell r="B456" t="str">
            <v>01351</v>
          </cell>
          <cell r="C456" t="str">
            <v>四川时代蜂族营销策划有限公司</v>
          </cell>
          <cell r="D456">
            <v>45705</v>
          </cell>
          <cell r="E456" t="str">
            <v>西南总部</v>
          </cell>
          <cell r="F456" t="str">
            <v>西南营销中心</v>
          </cell>
          <cell r="G456" t="str">
            <v>营业五部</v>
          </cell>
          <cell r="H456" t="str">
            <v>杨科</v>
          </cell>
          <cell r="I456" t="str">
            <v>B岗经理</v>
          </cell>
          <cell r="J456" t="str">
            <v>女</v>
          </cell>
          <cell r="K456" t="str">
            <v>正式</v>
          </cell>
          <cell r="L456" t="str">
            <v>内部员工</v>
          </cell>
          <cell r="M456" t="str">
            <v>杨科</v>
          </cell>
        </row>
        <row r="457">
          <cell r="A457" t="str">
            <v>沈冬晴</v>
          </cell>
          <cell r="B457" t="str">
            <v>01314</v>
          </cell>
          <cell r="C457" t="str">
            <v>四川优诺通瑞商贸有限公司</v>
          </cell>
          <cell r="D457">
            <v>45705</v>
          </cell>
          <cell r="E457" t="str">
            <v>集团职能</v>
          </cell>
          <cell r="F457" t="str">
            <v>职能营销</v>
          </cell>
          <cell r="G457" t="str">
            <v>督导部</v>
          </cell>
        </row>
        <row r="457">
          <cell r="I457" t="str">
            <v>一星销售政委</v>
          </cell>
          <cell r="J457" t="str">
            <v>女</v>
          </cell>
          <cell r="K457" t="str">
            <v>正式</v>
          </cell>
          <cell r="L457" t="str">
            <v>内部员工</v>
          </cell>
          <cell r="M457" t="str">
            <v>刘盼</v>
          </cell>
        </row>
        <row r="458">
          <cell r="A458" t="str">
            <v>陈杨</v>
          </cell>
          <cell r="B458" t="str">
            <v>01318</v>
          </cell>
          <cell r="C458" t="str">
            <v>湖南时代蜂族营销策划有限公司</v>
          </cell>
          <cell r="D458">
            <v>45704</v>
          </cell>
          <cell r="E458" t="str">
            <v>湖南</v>
          </cell>
          <cell r="F458" t="str">
            <v>湖南营销中心</v>
          </cell>
          <cell r="G458" t="str">
            <v>湖南销售部</v>
          </cell>
          <cell r="H458" t="str">
            <v>黄勇刚湖南</v>
          </cell>
          <cell r="I458" t="str">
            <v>二星销售顾问</v>
          </cell>
          <cell r="J458" t="str">
            <v>男</v>
          </cell>
          <cell r="K458" t="str">
            <v>正式</v>
          </cell>
          <cell r="L458" t="str">
            <v>内部员工</v>
          </cell>
          <cell r="M458" t="str">
            <v>黄勇刚</v>
          </cell>
        </row>
        <row r="459">
          <cell r="A459" t="str">
            <v>张鹏</v>
          </cell>
          <cell r="B459" t="str">
            <v>01321</v>
          </cell>
          <cell r="C459" t="str">
            <v>四川时代蜂族营销策划有限公司</v>
          </cell>
          <cell r="D459">
            <v>45703</v>
          </cell>
          <cell r="E459" t="str">
            <v>西南总部</v>
          </cell>
          <cell r="F459" t="str">
            <v>西南营销中心</v>
          </cell>
          <cell r="G459" t="str">
            <v>营业三部</v>
          </cell>
          <cell r="H459" t="str">
            <v>肖秀丽</v>
          </cell>
          <cell r="I459" t="str">
            <v>二星销售顾问</v>
          </cell>
          <cell r="J459" t="str">
            <v>男</v>
          </cell>
          <cell r="K459" t="str">
            <v>正式</v>
          </cell>
          <cell r="L459" t="str">
            <v>内部员工</v>
          </cell>
          <cell r="M459" t="str">
            <v>肖秀丽</v>
          </cell>
        </row>
        <row r="460">
          <cell r="A460" t="str">
            <v>陈岚</v>
          </cell>
          <cell r="B460" t="str">
            <v>01319</v>
          </cell>
          <cell r="C460" t="str">
            <v>河北时代蜂族营销策划有限公司</v>
          </cell>
          <cell r="D460">
            <v>45703</v>
          </cell>
          <cell r="E460" t="str">
            <v>河北</v>
          </cell>
          <cell r="F460" t="str">
            <v>河北拓展部</v>
          </cell>
        </row>
        <row r="460">
          <cell r="I460" t="str">
            <v>一星拓展专员</v>
          </cell>
          <cell r="J460" t="str">
            <v>男</v>
          </cell>
          <cell r="K460" t="str">
            <v>正式</v>
          </cell>
          <cell r="L460" t="str">
            <v>内部员工</v>
          </cell>
          <cell r="M460" t="str">
            <v>张冀</v>
          </cell>
        </row>
        <row r="461">
          <cell r="A461" t="str">
            <v>陈丽红</v>
          </cell>
          <cell r="B461" t="str">
            <v>01323</v>
          </cell>
          <cell r="C461" t="str">
            <v>山东时代蜂族营销策划有限公司</v>
          </cell>
          <cell r="D461">
            <v>45703</v>
          </cell>
          <cell r="E461" t="str">
            <v>山东</v>
          </cell>
          <cell r="F461" t="str">
            <v>山东拓展部</v>
          </cell>
          <cell r="G461" t="str">
            <v>山东战区2</v>
          </cell>
        </row>
        <row r="461">
          <cell r="I461" t="str">
            <v>实习拓展</v>
          </cell>
          <cell r="J461" t="str">
            <v>女</v>
          </cell>
          <cell r="K461" t="str">
            <v>正式</v>
          </cell>
          <cell r="L461" t="str">
            <v>内部员工</v>
          </cell>
          <cell r="M461" t="str">
            <v>向润</v>
          </cell>
        </row>
        <row r="462">
          <cell r="A462" t="str">
            <v>章芹</v>
          </cell>
          <cell r="B462" t="str">
            <v>01298</v>
          </cell>
          <cell r="C462" t="str">
            <v>湖北蜜蜂族房地产经纪有限公司</v>
          </cell>
          <cell r="D462">
            <v>45702</v>
          </cell>
          <cell r="E462" t="str">
            <v>湖北</v>
          </cell>
          <cell r="F462" t="str">
            <v>湖北营销中心</v>
          </cell>
          <cell r="G462" t="str">
            <v>湖北1部</v>
          </cell>
          <cell r="H462" t="str">
            <v>骆志红</v>
          </cell>
          <cell r="I462" t="str">
            <v>二星销售顾问</v>
          </cell>
          <cell r="J462" t="str">
            <v>女</v>
          </cell>
          <cell r="K462" t="str">
            <v>正式</v>
          </cell>
          <cell r="L462" t="str">
            <v>内部员工</v>
          </cell>
          <cell r="M462" t="str">
            <v>骆志红</v>
          </cell>
        </row>
        <row r="463">
          <cell r="A463" t="str">
            <v>鲜曦</v>
          </cell>
          <cell r="B463" t="str">
            <v>01301</v>
          </cell>
          <cell r="C463" t="str">
            <v>四川时代蜂族营销策划有限公司</v>
          </cell>
          <cell r="D463">
            <v>45702</v>
          </cell>
          <cell r="E463" t="str">
            <v>西南总部</v>
          </cell>
          <cell r="F463" t="str">
            <v>西南营销中心</v>
          </cell>
          <cell r="G463" t="str">
            <v>营业五部</v>
          </cell>
          <cell r="H463" t="str">
            <v>李敏</v>
          </cell>
          <cell r="I463" t="str">
            <v>三星销售顾问</v>
          </cell>
          <cell r="J463" t="str">
            <v>男</v>
          </cell>
          <cell r="K463" t="str">
            <v>正式</v>
          </cell>
          <cell r="L463" t="str">
            <v>内部员工</v>
          </cell>
          <cell r="M463" t="str">
            <v>李敏</v>
          </cell>
        </row>
        <row r="464">
          <cell r="A464" t="str">
            <v>刘志鹏</v>
          </cell>
          <cell r="B464" t="str">
            <v>01305</v>
          </cell>
          <cell r="C464" t="str">
            <v>山东时代蜂族营销策划有限公司</v>
          </cell>
          <cell r="D464">
            <v>45701</v>
          </cell>
          <cell r="E464" t="str">
            <v>山东</v>
          </cell>
          <cell r="F464" t="str">
            <v>山东营销中心</v>
          </cell>
          <cell r="G464" t="str">
            <v>山东销售部</v>
          </cell>
          <cell r="H464" t="str">
            <v>赵文涛</v>
          </cell>
          <cell r="I464" t="str">
            <v>三星销售顾问</v>
          </cell>
          <cell r="J464" t="str">
            <v>男</v>
          </cell>
          <cell r="K464" t="str">
            <v>正式</v>
          </cell>
          <cell r="L464" t="str">
            <v>内部员工</v>
          </cell>
          <cell r="M464" t="str">
            <v>赵文涛</v>
          </cell>
        </row>
        <row r="465">
          <cell r="A465" t="str">
            <v>张阳</v>
          </cell>
          <cell r="B465" t="str">
            <v>01303</v>
          </cell>
          <cell r="C465" t="str">
            <v>陕西蜂族科技有限公司</v>
          </cell>
          <cell r="D465">
            <v>45701</v>
          </cell>
          <cell r="E465" t="str">
            <v>陕西</v>
          </cell>
          <cell r="F465" t="str">
            <v>陕西营销中心</v>
          </cell>
          <cell r="G465" t="str">
            <v>陕西1部</v>
          </cell>
          <cell r="H465" t="str">
            <v>张英</v>
          </cell>
          <cell r="I465" t="str">
            <v>二星销售顾问</v>
          </cell>
          <cell r="J465" t="str">
            <v>女</v>
          </cell>
          <cell r="K465" t="str">
            <v>正式</v>
          </cell>
          <cell r="L465" t="str">
            <v>内部员工</v>
          </cell>
          <cell r="M465" t="str">
            <v>张英</v>
          </cell>
        </row>
        <row r="466">
          <cell r="A466" t="str">
            <v>陈治</v>
          </cell>
          <cell r="B466" t="str">
            <v>01307</v>
          </cell>
          <cell r="C466" t="str">
            <v>四川时代蜂族营销策划有限公司</v>
          </cell>
          <cell r="D466">
            <v>45701</v>
          </cell>
          <cell r="E466" t="str">
            <v>西南总部</v>
          </cell>
          <cell r="F466" t="str">
            <v>西南营销中心</v>
          </cell>
          <cell r="G466" t="str">
            <v>营业一部</v>
          </cell>
          <cell r="H466" t="str">
            <v>胡雪梅</v>
          </cell>
          <cell r="I466" t="str">
            <v>二星销售顾问</v>
          </cell>
          <cell r="J466" t="str">
            <v>男</v>
          </cell>
          <cell r="K466" t="str">
            <v>正式</v>
          </cell>
          <cell r="L466" t="str">
            <v>内部员工</v>
          </cell>
          <cell r="M466" t="str">
            <v>胡雪梅</v>
          </cell>
        </row>
        <row r="467">
          <cell r="A467" t="str">
            <v>蒲红霞</v>
          </cell>
          <cell r="B467" t="str">
            <v>01315</v>
          </cell>
          <cell r="C467" t="str">
            <v>四川大礼连连科技有限公司</v>
          </cell>
          <cell r="D467">
            <v>45701</v>
          </cell>
          <cell r="E467" t="str">
            <v>河南</v>
          </cell>
          <cell r="F467" t="str">
            <v>河南营销中心</v>
          </cell>
          <cell r="G467" t="str">
            <v>河南销售部</v>
          </cell>
          <cell r="H467" t="str">
            <v>蒋吉勇河南</v>
          </cell>
          <cell r="I467" t="str">
            <v>三星销售顾问</v>
          </cell>
          <cell r="J467" t="str">
            <v>女</v>
          </cell>
          <cell r="K467" t="str">
            <v>正式</v>
          </cell>
          <cell r="L467" t="str">
            <v>内部员工</v>
          </cell>
          <cell r="M467" t="str">
            <v>蒋吉勇</v>
          </cell>
        </row>
        <row r="468">
          <cell r="A468" t="str">
            <v>程秀财</v>
          </cell>
          <cell r="B468" t="str">
            <v>01308</v>
          </cell>
          <cell r="C468" t="str">
            <v>陕西蜂族科技有限公司</v>
          </cell>
          <cell r="D468">
            <v>45701</v>
          </cell>
          <cell r="E468" t="str">
            <v>陕西</v>
          </cell>
          <cell r="F468" t="str">
            <v>陕西营销中心</v>
          </cell>
          <cell r="G468" t="str">
            <v>陕西2部</v>
          </cell>
          <cell r="H468" t="str">
            <v>罗小花</v>
          </cell>
          <cell r="I468" t="str">
            <v>二星销售顾问</v>
          </cell>
          <cell r="J468" t="str">
            <v>女</v>
          </cell>
          <cell r="K468" t="str">
            <v>正式</v>
          </cell>
          <cell r="L468" t="str">
            <v>内部员工</v>
          </cell>
          <cell r="M468" t="str">
            <v>罗小花</v>
          </cell>
        </row>
        <row r="469">
          <cell r="A469" t="str">
            <v>周梦欢</v>
          </cell>
          <cell r="B469" t="str">
            <v>01304</v>
          </cell>
          <cell r="C469" t="str">
            <v>陕西蜂族科技有限公司</v>
          </cell>
          <cell r="D469">
            <v>45701</v>
          </cell>
          <cell r="E469" t="str">
            <v>陕西</v>
          </cell>
          <cell r="F469" t="str">
            <v>陕西营销中心</v>
          </cell>
          <cell r="G469" t="str">
            <v>陕西1部</v>
          </cell>
          <cell r="H469" t="str">
            <v>叶湑</v>
          </cell>
          <cell r="I469" t="str">
            <v>一星销售顾问</v>
          </cell>
          <cell r="J469" t="str">
            <v>女</v>
          </cell>
          <cell r="K469" t="str">
            <v>正式</v>
          </cell>
          <cell r="L469" t="str">
            <v>内部员工</v>
          </cell>
          <cell r="M469" t="str">
            <v>叶湑</v>
          </cell>
        </row>
        <row r="470">
          <cell r="A470" t="str">
            <v>何伟</v>
          </cell>
          <cell r="B470" t="str">
            <v>01309</v>
          </cell>
          <cell r="C470" t="str">
            <v>四川蜂起营销策划有限公司</v>
          </cell>
          <cell r="D470">
            <v>45700</v>
          </cell>
          <cell r="E470" t="str">
            <v>西南总部</v>
          </cell>
          <cell r="F470" t="str">
            <v>西南营销中心</v>
          </cell>
          <cell r="G470" t="str">
            <v>营业七部</v>
          </cell>
          <cell r="H470" t="str">
            <v>程新浩</v>
          </cell>
          <cell r="I470" t="str">
            <v>三星销售顾问</v>
          </cell>
          <cell r="J470" t="str">
            <v>男</v>
          </cell>
          <cell r="K470" t="str">
            <v>正式</v>
          </cell>
          <cell r="L470" t="str">
            <v>内部员工</v>
          </cell>
          <cell r="M470" t="str">
            <v>程新浩</v>
          </cell>
        </row>
        <row r="471">
          <cell r="A471" t="str">
            <v>周舜</v>
          </cell>
          <cell r="B471" t="str">
            <v>01297</v>
          </cell>
          <cell r="C471" t="str">
            <v>四川时代蜂族营销策划有限公司</v>
          </cell>
          <cell r="D471">
            <v>45700</v>
          </cell>
          <cell r="E471" t="str">
            <v>西南总部</v>
          </cell>
          <cell r="F471" t="str">
            <v>西南拓展中心</v>
          </cell>
          <cell r="G471" t="str">
            <v>川东</v>
          </cell>
        </row>
        <row r="471">
          <cell r="I471" t="str">
            <v>实习拓展</v>
          </cell>
          <cell r="J471" t="str">
            <v>男</v>
          </cell>
          <cell r="K471" t="str">
            <v>正式</v>
          </cell>
          <cell r="L471" t="str">
            <v>内部员工</v>
          </cell>
          <cell r="M471" t="str">
            <v>刘超</v>
          </cell>
        </row>
        <row r="472">
          <cell r="A472" t="str">
            <v>孙磊</v>
          </cell>
          <cell r="B472" t="str">
            <v>01289</v>
          </cell>
          <cell r="C472" t="str">
            <v>四川时代蜂族营销策划有限公司</v>
          </cell>
          <cell r="D472">
            <v>45700</v>
          </cell>
          <cell r="E472" t="str">
            <v>西南总部</v>
          </cell>
          <cell r="F472" t="str">
            <v>西南营销中心</v>
          </cell>
          <cell r="G472" t="str">
            <v>营业六部</v>
          </cell>
          <cell r="H472" t="str">
            <v>党虹</v>
          </cell>
          <cell r="I472" t="str">
            <v>三星销售顾问</v>
          </cell>
          <cell r="J472" t="str">
            <v>男</v>
          </cell>
          <cell r="K472" t="str">
            <v>正式</v>
          </cell>
          <cell r="L472" t="str">
            <v>内部员工</v>
          </cell>
          <cell r="M472" t="str">
            <v>党虹</v>
          </cell>
        </row>
        <row r="473">
          <cell r="A473" t="str">
            <v>丁浩</v>
          </cell>
          <cell r="B473" t="str">
            <v>01291</v>
          </cell>
          <cell r="C473" t="str">
            <v>辽宁时代蜂族营销策划有限公司</v>
          </cell>
          <cell r="D473">
            <v>45699</v>
          </cell>
          <cell r="E473" t="str">
            <v>辽宁</v>
          </cell>
          <cell r="F473" t="str">
            <v>辽宁营销中心</v>
          </cell>
          <cell r="G473" t="str">
            <v>辽宁销售部</v>
          </cell>
          <cell r="H473" t="str">
            <v>孙科辽宁</v>
          </cell>
          <cell r="I473" t="str">
            <v>三星销售顾问</v>
          </cell>
          <cell r="J473" t="str">
            <v>男</v>
          </cell>
          <cell r="K473" t="str">
            <v>正式</v>
          </cell>
          <cell r="L473" t="str">
            <v>内部员工</v>
          </cell>
          <cell r="M473" t="str">
            <v>孙科</v>
          </cell>
        </row>
        <row r="474">
          <cell r="A474" t="str">
            <v>王茜</v>
          </cell>
          <cell r="B474" t="str">
            <v>01324</v>
          </cell>
          <cell r="C474" t="str">
            <v>四川时代蜂族营销策划有限公司</v>
          </cell>
          <cell r="D474">
            <v>45699</v>
          </cell>
          <cell r="E474" t="str">
            <v>西南总部</v>
          </cell>
          <cell r="F474" t="str">
            <v>西南营销中心</v>
          </cell>
          <cell r="G474" t="str">
            <v>营业六部</v>
          </cell>
          <cell r="H474" t="str">
            <v>郑雄</v>
          </cell>
          <cell r="I474" t="str">
            <v>二星销售顾问</v>
          </cell>
          <cell r="J474" t="str">
            <v>女</v>
          </cell>
          <cell r="K474" t="str">
            <v>正式</v>
          </cell>
          <cell r="L474" t="str">
            <v>内部员工</v>
          </cell>
          <cell r="M474" t="str">
            <v>郑雄</v>
          </cell>
        </row>
        <row r="475">
          <cell r="A475" t="str">
            <v>寸春叶</v>
          </cell>
          <cell r="B475" t="str">
            <v>01294</v>
          </cell>
          <cell r="C475" t="str">
            <v>陕西蜂族科技有限公司</v>
          </cell>
          <cell r="D475">
            <v>45699</v>
          </cell>
          <cell r="E475" t="str">
            <v>陕西</v>
          </cell>
          <cell r="F475" t="str">
            <v>陕西营销中心</v>
          </cell>
          <cell r="G475" t="str">
            <v>陕西2部</v>
          </cell>
          <cell r="H475" t="str">
            <v>王辉</v>
          </cell>
          <cell r="I475" t="str">
            <v>二星销售顾问</v>
          </cell>
          <cell r="J475" t="str">
            <v>女</v>
          </cell>
          <cell r="K475" t="str">
            <v>正式</v>
          </cell>
          <cell r="L475" t="str">
            <v>内部员工</v>
          </cell>
          <cell r="M475" t="str">
            <v>王辉</v>
          </cell>
        </row>
        <row r="476">
          <cell r="A476" t="str">
            <v>王新国</v>
          </cell>
          <cell r="B476" t="str">
            <v>01292</v>
          </cell>
          <cell r="C476" t="str">
            <v>陕西蜂族科技有限公司</v>
          </cell>
          <cell r="D476">
            <v>45699</v>
          </cell>
          <cell r="E476" t="str">
            <v>陕西</v>
          </cell>
          <cell r="F476" t="str">
            <v>陕西营销中心</v>
          </cell>
          <cell r="G476" t="str">
            <v>陕西1部</v>
          </cell>
          <cell r="H476" t="str">
            <v>叶湑</v>
          </cell>
          <cell r="I476" t="str">
            <v>一星销售顾问</v>
          </cell>
          <cell r="J476" t="str">
            <v>男</v>
          </cell>
          <cell r="K476" t="str">
            <v>正式</v>
          </cell>
          <cell r="L476" t="str">
            <v>内部员工</v>
          </cell>
          <cell r="M476" t="str">
            <v>叶湑</v>
          </cell>
        </row>
        <row r="477">
          <cell r="A477" t="str">
            <v>穆霭元</v>
          </cell>
          <cell r="B477" t="str">
            <v>01299</v>
          </cell>
          <cell r="C477" t="str">
            <v>湖北蜜蜂族房地产经纪有限公司</v>
          </cell>
          <cell r="D477">
            <v>45699</v>
          </cell>
          <cell r="E477" t="str">
            <v>湖北</v>
          </cell>
          <cell r="F477" t="str">
            <v>湖北营销中心</v>
          </cell>
          <cell r="G477" t="str">
            <v>湖北2部</v>
          </cell>
          <cell r="H477" t="str">
            <v>陈俊儒</v>
          </cell>
          <cell r="I477" t="str">
            <v>三星销售顾问</v>
          </cell>
          <cell r="J477" t="str">
            <v>男</v>
          </cell>
          <cell r="K477" t="str">
            <v>正式</v>
          </cell>
          <cell r="L477" t="str">
            <v>内部员工</v>
          </cell>
          <cell r="M477" t="str">
            <v>陈俊儒</v>
          </cell>
        </row>
        <row r="478">
          <cell r="A478" t="str">
            <v>夏富杨</v>
          </cell>
          <cell r="B478" t="str">
            <v>01317</v>
          </cell>
          <cell r="C478" t="str">
            <v>湖南时代蜂族营销策划有限公司</v>
          </cell>
          <cell r="D478">
            <v>45699</v>
          </cell>
          <cell r="E478" t="str">
            <v>湖南</v>
          </cell>
          <cell r="F478" t="str">
            <v>湖南营销中心</v>
          </cell>
        </row>
        <row r="478">
          <cell r="I478" t="str">
            <v>一星实习经理</v>
          </cell>
          <cell r="J478" t="str">
            <v>男</v>
          </cell>
          <cell r="K478" t="str">
            <v>正式</v>
          </cell>
          <cell r="L478" t="str">
            <v>内部员工</v>
          </cell>
          <cell r="M478" t="str">
            <v>刘进</v>
          </cell>
        </row>
        <row r="479">
          <cell r="A479" t="str">
            <v>曾志勇</v>
          </cell>
          <cell r="B479" t="str">
            <v>01326</v>
          </cell>
          <cell r="C479" t="str">
            <v>山西时代蜂族房地产经纪有限公司</v>
          </cell>
          <cell r="D479">
            <v>45698</v>
          </cell>
          <cell r="E479" t="str">
            <v>山西</v>
          </cell>
          <cell r="F479" t="str">
            <v>山西营销中心</v>
          </cell>
          <cell r="G479" t="str">
            <v>山西销售部</v>
          </cell>
          <cell r="H479" t="str">
            <v>艾林山西</v>
          </cell>
          <cell r="I479" t="str">
            <v>三星销售顾问</v>
          </cell>
          <cell r="J479" t="str">
            <v>男</v>
          </cell>
          <cell r="K479" t="str">
            <v>正式</v>
          </cell>
          <cell r="L479" t="str">
            <v>内部员工</v>
          </cell>
          <cell r="M479" t="str">
            <v>艾林</v>
          </cell>
        </row>
        <row r="480">
          <cell r="A480" t="str">
            <v>周兴明</v>
          </cell>
          <cell r="B480" t="str">
            <v>01285</v>
          </cell>
          <cell r="C480" t="str">
            <v>四川时代蜂族营销策划有限公司</v>
          </cell>
          <cell r="D480">
            <v>45698</v>
          </cell>
          <cell r="E480" t="str">
            <v>西南总部</v>
          </cell>
          <cell r="F480" t="str">
            <v>西南营销中心</v>
          </cell>
          <cell r="G480" t="str">
            <v>营业三部</v>
          </cell>
          <cell r="H480" t="str">
            <v>李海艳</v>
          </cell>
          <cell r="I480" t="str">
            <v>一星销售顾问</v>
          </cell>
          <cell r="J480" t="str">
            <v>男</v>
          </cell>
          <cell r="K480" t="str">
            <v>正式</v>
          </cell>
          <cell r="L480" t="str">
            <v>内部员工</v>
          </cell>
          <cell r="M480" t="str">
            <v>李海艳</v>
          </cell>
        </row>
        <row r="481">
          <cell r="A481" t="str">
            <v>周远芮</v>
          </cell>
          <cell r="B481" t="str">
            <v>01284</v>
          </cell>
          <cell r="C481" t="str">
            <v>四川时代蜂族营销策划有限公司</v>
          </cell>
          <cell r="D481">
            <v>45698</v>
          </cell>
          <cell r="E481" t="str">
            <v>西南总部</v>
          </cell>
          <cell r="F481" t="str">
            <v>西南营销中心</v>
          </cell>
          <cell r="G481" t="str">
            <v>营业五部</v>
          </cell>
          <cell r="H481" t="str">
            <v>周远芮</v>
          </cell>
          <cell r="I481" t="str">
            <v>一星实习经理</v>
          </cell>
          <cell r="J481" t="str">
            <v>男</v>
          </cell>
          <cell r="K481" t="str">
            <v>正式</v>
          </cell>
          <cell r="L481" t="str">
            <v>内部员工</v>
          </cell>
          <cell r="M481" t="str">
            <v>叶鑫</v>
          </cell>
        </row>
        <row r="482">
          <cell r="A482" t="str">
            <v>王娜</v>
          </cell>
          <cell r="B482" t="str">
            <v>01280</v>
          </cell>
          <cell r="C482" t="str">
            <v>陕西蜂族科技有限公司</v>
          </cell>
          <cell r="D482">
            <v>45698</v>
          </cell>
          <cell r="E482" t="str">
            <v>陕西</v>
          </cell>
          <cell r="F482" t="str">
            <v>陕西营销中心</v>
          </cell>
          <cell r="G482" t="str">
            <v>陕西1部</v>
          </cell>
          <cell r="H482" t="str">
            <v>叶湑</v>
          </cell>
          <cell r="I482" t="str">
            <v>二星销售顾问</v>
          </cell>
          <cell r="J482" t="str">
            <v>女</v>
          </cell>
          <cell r="K482" t="str">
            <v>正式</v>
          </cell>
          <cell r="L482" t="str">
            <v>内部员工</v>
          </cell>
          <cell r="M482" t="str">
            <v>叶湑</v>
          </cell>
        </row>
        <row r="483">
          <cell r="A483" t="str">
            <v>王超</v>
          </cell>
          <cell r="B483" t="str">
            <v>00132</v>
          </cell>
          <cell r="C483" t="str">
            <v>山东时代蜂族营销策划有限公司</v>
          </cell>
          <cell r="D483">
            <v>45698</v>
          </cell>
          <cell r="E483" t="str">
            <v>山东</v>
          </cell>
          <cell r="F483" t="str">
            <v>山东营销中心</v>
          </cell>
          <cell r="G483" t="str">
            <v>山东销售部</v>
          </cell>
          <cell r="H483" t="str">
            <v>冯洁</v>
          </cell>
          <cell r="I483" t="str">
            <v>二星销售顾问</v>
          </cell>
          <cell r="J483" t="str">
            <v>男</v>
          </cell>
          <cell r="K483" t="str">
            <v>正式</v>
          </cell>
          <cell r="L483" t="str">
            <v>内部员工</v>
          </cell>
          <cell r="M483" t="str">
            <v>冯洁</v>
          </cell>
        </row>
        <row r="484">
          <cell r="A484" t="str">
            <v>董博涛</v>
          </cell>
          <cell r="B484" t="str">
            <v>01281</v>
          </cell>
          <cell r="C484" t="str">
            <v>陕西蜂族科技有限公司</v>
          </cell>
          <cell r="D484">
            <v>45697</v>
          </cell>
          <cell r="E484" t="str">
            <v>陕西</v>
          </cell>
          <cell r="F484" t="str">
            <v>陕西营销中心</v>
          </cell>
          <cell r="G484" t="str">
            <v>陕西2部</v>
          </cell>
          <cell r="H484" t="str">
            <v>乔磊</v>
          </cell>
          <cell r="I484" t="str">
            <v>二星销售顾问</v>
          </cell>
          <cell r="J484" t="str">
            <v>男</v>
          </cell>
          <cell r="K484" t="str">
            <v>正式</v>
          </cell>
          <cell r="L484" t="str">
            <v>内部员工</v>
          </cell>
          <cell r="M484" t="str">
            <v>乔磊</v>
          </cell>
        </row>
        <row r="485">
          <cell r="A485" t="str">
            <v>邱阳</v>
          </cell>
          <cell r="B485" t="str">
            <v>01276</v>
          </cell>
          <cell r="C485" t="str">
            <v>山东时代蜂族营销策划有限公司</v>
          </cell>
          <cell r="D485">
            <v>45673</v>
          </cell>
          <cell r="E485" t="str">
            <v>山东</v>
          </cell>
          <cell r="F485" t="str">
            <v>山东营销中心</v>
          </cell>
          <cell r="G485" t="str">
            <v>山东销售部</v>
          </cell>
          <cell r="H485" t="str">
            <v>李祥春</v>
          </cell>
          <cell r="I485" t="str">
            <v>三星销售顾问</v>
          </cell>
          <cell r="J485" t="str">
            <v>女</v>
          </cell>
          <cell r="K485" t="str">
            <v>正式</v>
          </cell>
          <cell r="L485" t="str">
            <v>内部员工</v>
          </cell>
          <cell r="M485" t="str">
            <v>李祥春</v>
          </cell>
        </row>
        <row r="486">
          <cell r="A486" t="str">
            <v>陈东2</v>
          </cell>
          <cell r="B486" t="str">
            <v>01273</v>
          </cell>
          <cell r="C486" t="str">
            <v>四川时代蜂族营销策划有限公司</v>
          </cell>
          <cell r="D486">
            <v>45673</v>
          </cell>
          <cell r="E486" t="str">
            <v>河北</v>
          </cell>
          <cell r="F486" t="str">
            <v>河北营销中心</v>
          </cell>
          <cell r="G486" t="str">
            <v>河北销售部</v>
          </cell>
        </row>
        <row r="486">
          <cell r="I486" t="str">
            <v>一星实习经理</v>
          </cell>
          <cell r="J486" t="str">
            <v>男</v>
          </cell>
          <cell r="K486" t="str">
            <v>正式</v>
          </cell>
          <cell r="L486" t="str">
            <v>内部员工</v>
          </cell>
          <cell r="M486" t="str">
            <v>李港一</v>
          </cell>
        </row>
        <row r="487">
          <cell r="A487" t="str">
            <v>杨先达</v>
          </cell>
          <cell r="B487" t="str">
            <v>01267</v>
          </cell>
          <cell r="C487" t="str">
            <v>四川大礼连连科技有限公司</v>
          </cell>
          <cell r="D487">
            <v>45671</v>
          </cell>
          <cell r="E487" t="str">
            <v>集团职能</v>
          </cell>
          <cell r="F487" t="str">
            <v>职能总部</v>
          </cell>
          <cell r="G487" t="str">
            <v>人资行政部</v>
          </cell>
          <cell r="H487" t="str">
            <v>招聘部</v>
          </cell>
          <cell r="I487" t="str">
            <v>招聘主管</v>
          </cell>
          <cell r="J487" t="str">
            <v>男</v>
          </cell>
          <cell r="K487" t="str">
            <v>正式</v>
          </cell>
          <cell r="L487" t="str">
            <v>内部员工</v>
          </cell>
          <cell r="M487" t="str">
            <v>孔群慧</v>
          </cell>
        </row>
        <row r="488">
          <cell r="A488" t="str">
            <v>陶再阳</v>
          </cell>
          <cell r="B488" t="str">
            <v>01271</v>
          </cell>
          <cell r="C488" t="str">
            <v>四川时代蜂族营销策划有限公司</v>
          </cell>
          <cell r="D488">
            <v>45669</v>
          </cell>
          <cell r="E488" t="str">
            <v>西南总部</v>
          </cell>
          <cell r="F488" t="str">
            <v>西南营销中心</v>
          </cell>
          <cell r="G488" t="str">
            <v>营业三部</v>
          </cell>
        </row>
        <row r="488">
          <cell r="I488" t="str">
            <v>一星实习经理</v>
          </cell>
          <cell r="J488" t="str">
            <v>男</v>
          </cell>
          <cell r="K488" t="str">
            <v>正式</v>
          </cell>
          <cell r="L488" t="str">
            <v>内部员工</v>
          </cell>
          <cell r="M488" t="str">
            <v>周吉双</v>
          </cell>
        </row>
        <row r="489">
          <cell r="A489" t="str">
            <v>黄婷</v>
          </cell>
          <cell r="B489" t="str">
            <v>01270</v>
          </cell>
          <cell r="C489" t="str">
            <v>四川时代蜂族营销策划有限公司</v>
          </cell>
          <cell r="D489">
            <v>45667</v>
          </cell>
          <cell r="E489" t="str">
            <v>西南总部</v>
          </cell>
          <cell r="F489" t="str">
            <v>西南营销中心</v>
          </cell>
          <cell r="G489" t="str">
            <v>营业二部</v>
          </cell>
          <cell r="H489" t="str">
            <v>黄磊</v>
          </cell>
          <cell r="I489" t="str">
            <v>三星销售顾问</v>
          </cell>
          <cell r="J489" t="str">
            <v>女</v>
          </cell>
          <cell r="K489" t="str">
            <v>正式</v>
          </cell>
          <cell r="L489" t="str">
            <v>内部员工</v>
          </cell>
          <cell r="M489" t="str">
            <v>黄磊</v>
          </cell>
        </row>
        <row r="490">
          <cell r="A490" t="str">
            <v>郑苓</v>
          </cell>
          <cell r="B490" t="str">
            <v>01268</v>
          </cell>
          <cell r="C490" t="str">
            <v>山西时代蜂族房地产经纪有限公司</v>
          </cell>
          <cell r="D490">
            <v>45667</v>
          </cell>
          <cell r="E490" t="str">
            <v>山西</v>
          </cell>
          <cell r="F490" t="str">
            <v>山西营销中心</v>
          </cell>
          <cell r="G490" t="str">
            <v>山西销售部</v>
          </cell>
          <cell r="H490" t="str">
            <v>赵龙</v>
          </cell>
          <cell r="I490" t="str">
            <v>三星销售顾问</v>
          </cell>
          <cell r="J490" t="str">
            <v>女</v>
          </cell>
          <cell r="K490" t="str">
            <v>正式</v>
          </cell>
          <cell r="L490" t="str">
            <v>内部员工</v>
          </cell>
          <cell r="M490" t="str">
            <v>赵龙</v>
          </cell>
        </row>
        <row r="491">
          <cell r="A491" t="str">
            <v>向明镜</v>
          </cell>
          <cell r="B491" t="str">
            <v>01265</v>
          </cell>
          <cell r="C491" t="str">
            <v>四川时代蜂族营销策划有限公司</v>
          </cell>
          <cell r="D491">
            <v>45666</v>
          </cell>
          <cell r="E491" t="str">
            <v>西南总部</v>
          </cell>
          <cell r="F491" t="str">
            <v>西南营销中心</v>
          </cell>
          <cell r="G491" t="str">
            <v>营业一部</v>
          </cell>
          <cell r="H491" t="str">
            <v>朱家艳</v>
          </cell>
          <cell r="I491" t="str">
            <v>三星销售顾问</v>
          </cell>
          <cell r="J491" t="str">
            <v>男</v>
          </cell>
          <cell r="K491" t="str">
            <v>正式</v>
          </cell>
          <cell r="L491" t="str">
            <v>内部员工</v>
          </cell>
          <cell r="M491" t="str">
            <v>朱家艳</v>
          </cell>
        </row>
        <row r="492">
          <cell r="A492" t="str">
            <v>李杰根</v>
          </cell>
          <cell r="B492" t="str">
            <v>01263</v>
          </cell>
          <cell r="C492" t="str">
            <v>四川时代蜂族营销策划有限公司</v>
          </cell>
          <cell r="D492">
            <v>45665</v>
          </cell>
          <cell r="E492" t="str">
            <v>西南总部</v>
          </cell>
          <cell r="F492" t="str">
            <v>西南营销中心</v>
          </cell>
          <cell r="G492" t="str">
            <v>营业七部</v>
          </cell>
          <cell r="H492" t="str">
            <v>申慧</v>
          </cell>
          <cell r="I492" t="str">
            <v>三星销售顾问</v>
          </cell>
          <cell r="J492" t="str">
            <v>男</v>
          </cell>
          <cell r="K492" t="str">
            <v>正式</v>
          </cell>
          <cell r="L492" t="str">
            <v>内部员工</v>
          </cell>
          <cell r="M492" t="str">
            <v>申慧</v>
          </cell>
        </row>
        <row r="493">
          <cell r="A493" t="str">
            <v>吴宋义</v>
          </cell>
          <cell r="B493" t="str">
            <v>01260</v>
          </cell>
          <cell r="C493" t="str">
            <v>山东时代蜂族营销策划有限公司</v>
          </cell>
          <cell r="D493">
            <v>45665</v>
          </cell>
          <cell r="E493" t="str">
            <v>山东</v>
          </cell>
          <cell r="F493" t="str">
            <v>山东营销中心</v>
          </cell>
          <cell r="G493" t="str">
            <v>山东销售部</v>
          </cell>
          <cell r="H493" t="str">
            <v>李祥春</v>
          </cell>
          <cell r="I493" t="str">
            <v>二星销售顾问</v>
          </cell>
          <cell r="J493" t="str">
            <v>男</v>
          </cell>
          <cell r="K493" t="str">
            <v>正式</v>
          </cell>
          <cell r="L493" t="str">
            <v>内部员工</v>
          </cell>
          <cell r="M493" t="str">
            <v>李祥春</v>
          </cell>
        </row>
        <row r="494">
          <cell r="A494" t="str">
            <v>邵敏</v>
          </cell>
          <cell r="B494" t="str">
            <v>01261</v>
          </cell>
          <cell r="C494" t="str">
            <v>湖南时代蜂族营销策划有限公司</v>
          </cell>
          <cell r="D494">
            <v>45665</v>
          </cell>
          <cell r="E494" t="str">
            <v>湖南</v>
          </cell>
          <cell r="F494" t="str">
            <v>湖南营销中心</v>
          </cell>
          <cell r="G494" t="str">
            <v>湖南销售部</v>
          </cell>
          <cell r="H494" t="str">
            <v>夏富杨</v>
          </cell>
          <cell r="I494" t="str">
            <v>一星销售顾问</v>
          </cell>
          <cell r="J494" t="str">
            <v>女</v>
          </cell>
          <cell r="K494" t="str">
            <v>正式</v>
          </cell>
          <cell r="L494" t="str">
            <v>内部员工</v>
          </cell>
          <cell r="M494" t="str">
            <v>夏富杨</v>
          </cell>
        </row>
        <row r="495">
          <cell r="A495" t="str">
            <v>李建华</v>
          </cell>
          <cell r="B495" t="str">
            <v>01258</v>
          </cell>
          <cell r="C495" t="str">
            <v>四川时代蜂族营销策划有限公司</v>
          </cell>
          <cell r="D495">
            <v>45664</v>
          </cell>
          <cell r="E495" t="str">
            <v>西南总部</v>
          </cell>
          <cell r="F495" t="str">
            <v>西南营销中心</v>
          </cell>
          <cell r="G495" t="str">
            <v>营业三部</v>
          </cell>
          <cell r="H495" t="str">
            <v>刘佳</v>
          </cell>
          <cell r="I495" t="str">
            <v>三星销售顾问</v>
          </cell>
          <cell r="J495" t="str">
            <v>男</v>
          </cell>
          <cell r="K495" t="str">
            <v>正式</v>
          </cell>
          <cell r="L495" t="str">
            <v>内部员工</v>
          </cell>
          <cell r="M495" t="str">
            <v>刘佳</v>
          </cell>
        </row>
        <row r="496">
          <cell r="A496" t="str">
            <v>张萍2</v>
          </cell>
          <cell r="B496" t="str">
            <v>01257</v>
          </cell>
          <cell r="C496" t="str">
            <v>四川时代蜂族营销策划有限公司</v>
          </cell>
          <cell r="D496">
            <v>45661</v>
          </cell>
          <cell r="E496" t="str">
            <v>西南总部</v>
          </cell>
          <cell r="F496" t="str">
            <v>西南营销中心</v>
          </cell>
          <cell r="G496" t="str">
            <v>营业五部</v>
          </cell>
          <cell r="H496" t="str">
            <v>叶鑫</v>
          </cell>
          <cell r="I496" t="str">
            <v>一星实习经理</v>
          </cell>
          <cell r="J496" t="str">
            <v>女</v>
          </cell>
          <cell r="K496" t="str">
            <v>正式</v>
          </cell>
          <cell r="L496" t="str">
            <v>内部员工</v>
          </cell>
          <cell r="M496" t="str">
            <v>叶鑫</v>
          </cell>
        </row>
        <row r="497">
          <cell r="A497" t="str">
            <v>雷浩</v>
          </cell>
          <cell r="B497" t="str">
            <v>01252</v>
          </cell>
          <cell r="C497" t="str">
            <v>四川时代蜂族营销策划有限公司</v>
          </cell>
          <cell r="D497">
            <v>45659</v>
          </cell>
          <cell r="E497" t="str">
            <v>西南总部</v>
          </cell>
          <cell r="F497" t="str">
            <v>西南营销中心</v>
          </cell>
          <cell r="G497" t="str">
            <v>营业三部</v>
          </cell>
          <cell r="H497" t="str">
            <v>肖秀丽</v>
          </cell>
          <cell r="I497" t="str">
            <v>三星销售顾问</v>
          </cell>
          <cell r="J497" t="str">
            <v>男</v>
          </cell>
          <cell r="K497" t="str">
            <v>正式</v>
          </cell>
          <cell r="L497" t="str">
            <v>内部员工</v>
          </cell>
          <cell r="M497" t="str">
            <v>肖秀丽</v>
          </cell>
        </row>
        <row r="498">
          <cell r="A498" t="str">
            <v>何勇</v>
          </cell>
          <cell r="B498" t="str">
            <v>01255</v>
          </cell>
          <cell r="C498" t="str">
            <v>山西时代蜂族房地产经纪有限公司</v>
          </cell>
          <cell r="D498">
            <v>45658</v>
          </cell>
          <cell r="E498" t="str">
            <v>山西</v>
          </cell>
          <cell r="F498" t="str">
            <v>山西营销中心</v>
          </cell>
          <cell r="G498" t="str">
            <v>山西销售部</v>
          </cell>
          <cell r="H498" t="str">
            <v>邓富</v>
          </cell>
          <cell r="I498" t="str">
            <v>三星销售顾问</v>
          </cell>
          <cell r="J498" t="str">
            <v>男</v>
          </cell>
          <cell r="K498" t="str">
            <v>正式</v>
          </cell>
          <cell r="L498" t="str">
            <v>内部员工</v>
          </cell>
          <cell r="M498" t="str">
            <v>邓富</v>
          </cell>
        </row>
        <row r="499">
          <cell r="A499" t="str">
            <v>韩颖</v>
          </cell>
          <cell r="B499" t="str">
            <v>01251</v>
          </cell>
          <cell r="C499" t="str">
            <v>四川时代蜂族营销策划有限公司</v>
          </cell>
          <cell r="D499">
            <v>45657</v>
          </cell>
          <cell r="E499" t="str">
            <v>西南总部</v>
          </cell>
          <cell r="F499" t="str">
            <v>西南营销中心</v>
          </cell>
          <cell r="G499" t="str">
            <v>营业五部</v>
          </cell>
        </row>
        <row r="499">
          <cell r="I499" t="str">
            <v>一星实习经理</v>
          </cell>
          <cell r="J499" t="str">
            <v>男</v>
          </cell>
          <cell r="K499" t="str">
            <v>正式</v>
          </cell>
          <cell r="L499" t="str">
            <v>内部员工</v>
          </cell>
          <cell r="M499" t="str">
            <v>叶鑫</v>
          </cell>
        </row>
        <row r="500">
          <cell r="A500" t="str">
            <v>王豪</v>
          </cell>
          <cell r="B500" t="str">
            <v>01249</v>
          </cell>
          <cell r="C500" t="str">
            <v>陕西蜂族科技有限公司</v>
          </cell>
          <cell r="D500">
            <v>45656</v>
          </cell>
          <cell r="E500" t="str">
            <v>陕西</v>
          </cell>
          <cell r="F500" t="str">
            <v>陕西营销中心</v>
          </cell>
          <cell r="G500" t="str">
            <v>陕西1部</v>
          </cell>
          <cell r="H500" t="str">
            <v>杨永梅</v>
          </cell>
          <cell r="I500" t="str">
            <v>三星销售顾问</v>
          </cell>
          <cell r="J500" t="str">
            <v>男</v>
          </cell>
          <cell r="K500" t="str">
            <v>正式</v>
          </cell>
          <cell r="L500" t="str">
            <v>内部员工</v>
          </cell>
          <cell r="M500" t="str">
            <v>杨永梅</v>
          </cell>
        </row>
        <row r="501">
          <cell r="A501" t="str">
            <v>李令</v>
          </cell>
          <cell r="B501" t="str">
            <v>01247</v>
          </cell>
          <cell r="C501" t="str">
            <v>湖北蜜蜂族房地产经纪有限公司</v>
          </cell>
          <cell r="D501">
            <v>45654</v>
          </cell>
          <cell r="E501" t="str">
            <v>湖北</v>
          </cell>
          <cell r="F501" t="str">
            <v>湖北营销中心</v>
          </cell>
          <cell r="G501" t="str">
            <v>湖北1部</v>
          </cell>
          <cell r="H501" t="str">
            <v>林浩</v>
          </cell>
          <cell r="I501" t="str">
            <v>三星销售顾问</v>
          </cell>
          <cell r="J501" t="str">
            <v>男</v>
          </cell>
          <cell r="K501" t="str">
            <v>正式</v>
          </cell>
          <cell r="L501" t="str">
            <v>内部员工</v>
          </cell>
          <cell r="M501" t="str">
            <v>林浩</v>
          </cell>
        </row>
        <row r="502">
          <cell r="A502" t="str">
            <v>黄丽</v>
          </cell>
          <cell r="B502" t="str">
            <v>01248</v>
          </cell>
          <cell r="C502" t="str">
            <v>山西时代蜂族房地产经纪有限公司</v>
          </cell>
          <cell r="D502">
            <v>45652</v>
          </cell>
          <cell r="E502" t="str">
            <v>山西</v>
          </cell>
          <cell r="F502" t="str">
            <v>山西营销中心</v>
          </cell>
          <cell r="G502" t="str">
            <v>山西销售部</v>
          </cell>
          <cell r="H502" t="str">
            <v>邓富</v>
          </cell>
          <cell r="I502" t="str">
            <v>三星销售顾问</v>
          </cell>
          <cell r="J502" t="str">
            <v>女</v>
          </cell>
          <cell r="K502" t="str">
            <v>正式</v>
          </cell>
          <cell r="L502" t="str">
            <v>内部员工</v>
          </cell>
          <cell r="M502" t="str">
            <v>邓富</v>
          </cell>
        </row>
        <row r="503">
          <cell r="A503" t="str">
            <v>何常禧</v>
          </cell>
          <cell r="B503" t="str">
            <v>01246</v>
          </cell>
          <cell r="C503" t="str">
            <v>四川时代蜂族营销策划有限公司</v>
          </cell>
          <cell r="D503">
            <v>45651</v>
          </cell>
          <cell r="E503" t="str">
            <v>西南总部</v>
          </cell>
          <cell r="F503" t="str">
            <v>西南营销中心</v>
          </cell>
          <cell r="G503" t="str">
            <v>营业七部</v>
          </cell>
          <cell r="H503" t="str">
            <v>谢沁霜</v>
          </cell>
          <cell r="I503" t="str">
            <v>二星销售顾问</v>
          </cell>
          <cell r="J503" t="str">
            <v>男</v>
          </cell>
          <cell r="K503" t="str">
            <v>正式</v>
          </cell>
          <cell r="L503" t="str">
            <v>内部员工</v>
          </cell>
          <cell r="M503" t="str">
            <v>谢沁霜</v>
          </cell>
        </row>
        <row r="504">
          <cell r="A504" t="str">
            <v>江梅</v>
          </cell>
          <cell r="B504" t="str">
            <v>01238</v>
          </cell>
          <cell r="C504" t="str">
            <v>四川时代蜂族营销策划有限公司</v>
          </cell>
          <cell r="D504">
            <v>45649</v>
          </cell>
          <cell r="E504" t="str">
            <v>西南总部</v>
          </cell>
          <cell r="F504" t="str">
            <v>西南营销中心</v>
          </cell>
          <cell r="G504" t="str">
            <v>营业五部</v>
          </cell>
          <cell r="H504" t="str">
            <v>叶鑫</v>
          </cell>
          <cell r="I504" t="str">
            <v>三星销售顾问</v>
          </cell>
          <cell r="J504" t="str">
            <v>女</v>
          </cell>
          <cell r="K504" t="str">
            <v>正式</v>
          </cell>
          <cell r="L504" t="str">
            <v>内部员工</v>
          </cell>
          <cell r="M504" t="str">
            <v>叶鑫</v>
          </cell>
        </row>
        <row r="505">
          <cell r="A505" t="str">
            <v>阮阳</v>
          </cell>
          <cell r="B505" t="str">
            <v>01239</v>
          </cell>
          <cell r="C505" t="str">
            <v>湖北蜜蜂族房地产经纪有限公司</v>
          </cell>
          <cell r="D505">
            <v>45649</v>
          </cell>
          <cell r="E505" t="str">
            <v>湖北</v>
          </cell>
          <cell r="F505" t="str">
            <v>湖北营销中心</v>
          </cell>
          <cell r="G505" t="str">
            <v>湖北1部</v>
          </cell>
        </row>
        <row r="505">
          <cell r="I505" t="str">
            <v>一星实习经理</v>
          </cell>
          <cell r="J505" t="str">
            <v>男</v>
          </cell>
          <cell r="K505" t="str">
            <v>正式</v>
          </cell>
          <cell r="L505" t="str">
            <v>内部员工</v>
          </cell>
          <cell r="M505" t="str">
            <v>林浩</v>
          </cell>
        </row>
        <row r="506">
          <cell r="A506" t="str">
            <v>肖娟</v>
          </cell>
          <cell r="B506" t="str">
            <v>01237</v>
          </cell>
          <cell r="C506" t="str">
            <v>四川时代蜂族营销策划有限公司</v>
          </cell>
          <cell r="D506">
            <v>45648</v>
          </cell>
          <cell r="E506" t="str">
            <v>西南总部</v>
          </cell>
          <cell r="F506" t="str">
            <v>西南营销中心</v>
          </cell>
          <cell r="G506" t="str">
            <v>营业一部</v>
          </cell>
          <cell r="H506" t="str">
            <v>张圣梁</v>
          </cell>
          <cell r="I506" t="str">
            <v>三星销售顾问</v>
          </cell>
          <cell r="J506" t="str">
            <v>女</v>
          </cell>
          <cell r="K506" t="str">
            <v>正式</v>
          </cell>
          <cell r="L506" t="str">
            <v>内部员工</v>
          </cell>
          <cell r="M506" t="str">
            <v>张圣梁</v>
          </cell>
        </row>
        <row r="507">
          <cell r="A507" t="str">
            <v>石军</v>
          </cell>
          <cell r="B507" t="str">
            <v>01234</v>
          </cell>
          <cell r="C507" t="str">
            <v>四川时代蜂族营销策划有限公司</v>
          </cell>
          <cell r="D507">
            <v>45646</v>
          </cell>
          <cell r="E507" t="str">
            <v>西南总部</v>
          </cell>
          <cell r="F507" t="str">
            <v>西南营销中心</v>
          </cell>
          <cell r="G507" t="str">
            <v>营业六部</v>
          </cell>
          <cell r="H507" t="str">
            <v>袁华</v>
          </cell>
          <cell r="I507" t="str">
            <v>三星销售顾问</v>
          </cell>
          <cell r="J507" t="str">
            <v>男</v>
          </cell>
          <cell r="K507" t="str">
            <v>正式</v>
          </cell>
          <cell r="L507" t="str">
            <v>内部员工</v>
          </cell>
          <cell r="M507" t="str">
            <v>袁华</v>
          </cell>
        </row>
        <row r="508">
          <cell r="A508" t="str">
            <v>郑栋财</v>
          </cell>
          <cell r="B508" t="str">
            <v>01236</v>
          </cell>
          <cell r="C508" t="str">
            <v>山西时代蜂族房地产经纪有限公司</v>
          </cell>
          <cell r="D508">
            <v>45645</v>
          </cell>
          <cell r="E508" t="str">
            <v>山西</v>
          </cell>
          <cell r="F508" t="str">
            <v>山西拓展部</v>
          </cell>
        </row>
        <row r="508">
          <cell r="I508" t="str">
            <v>一星拓展专员</v>
          </cell>
          <cell r="J508" t="str">
            <v>男</v>
          </cell>
          <cell r="K508" t="str">
            <v>正式</v>
          </cell>
          <cell r="L508" t="str">
            <v>内部员工</v>
          </cell>
          <cell r="M508" t="str">
            <v>吴川江</v>
          </cell>
        </row>
        <row r="509">
          <cell r="A509" t="str">
            <v>邓闻雯</v>
          </cell>
          <cell r="B509" t="str">
            <v>01228</v>
          </cell>
          <cell r="C509" t="str">
            <v>山东时代蜂族营销策划有限公司</v>
          </cell>
          <cell r="D509">
            <v>45642</v>
          </cell>
          <cell r="E509" t="str">
            <v>山东</v>
          </cell>
          <cell r="F509" t="str">
            <v>山东营销中心</v>
          </cell>
          <cell r="G509" t="str">
            <v>山东销售部</v>
          </cell>
          <cell r="H509" t="str">
            <v>苏晓青</v>
          </cell>
          <cell r="I509" t="str">
            <v>三星销售顾问</v>
          </cell>
          <cell r="J509" t="str">
            <v>女</v>
          </cell>
          <cell r="K509" t="str">
            <v>正式</v>
          </cell>
          <cell r="L509" t="str">
            <v>内部员工</v>
          </cell>
          <cell r="M509" t="str">
            <v>苏晓青</v>
          </cell>
        </row>
        <row r="510">
          <cell r="A510" t="str">
            <v>蒋明娥</v>
          </cell>
          <cell r="B510" t="str">
            <v>01231</v>
          </cell>
          <cell r="C510" t="str">
            <v>四川时代蜂族营销策划有限公司</v>
          </cell>
          <cell r="D510">
            <v>45641</v>
          </cell>
          <cell r="E510" t="str">
            <v>西南总部</v>
          </cell>
          <cell r="F510" t="str">
            <v>西南营销中心</v>
          </cell>
          <cell r="G510" t="str">
            <v>营业四部</v>
          </cell>
          <cell r="H510" t="str">
            <v>陈帅</v>
          </cell>
          <cell r="I510" t="str">
            <v>三星销售顾问</v>
          </cell>
          <cell r="J510" t="str">
            <v>女</v>
          </cell>
          <cell r="K510" t="str">
            <v>正式</v>
          </cell>
          <cell r="L510" t="str">
            <v>内部员工</v>
          </cell>
          <cell r="M510" t="str">
            <v>陈帅</v>
          </cell>
        </row>
        <row r="511">
          <cell r="A511" t="str">
            <v>陈蜀玥</v>
          </cell>
          <cell r="B511" t="str">
            <v>01232</v>
          </cell>
          <cell r="C511" t="str">
            <v>四川时代蜂族营销策划有限公司</v>
          </cell>
          <cell r="D511">
            <v>45639</v>
          </cell>
          <cell r="E511" t="str">
            <v>西南总部</v>
          </cell>
          <cell r="F511" t="str">
            <v>西南营销中心</v>
          </cell>
          <cell r="G511" t="str">
            <v>营业二部</v>
          </cell>
          <cell r="H511" t="str">
            <v>黄磊</v>
          </cell>
          <cell r="I511" t="str">
            <v>三星销售顾问</v>
          </cell>
          <cell r="J511" t="str">
            <v>女</v>
          </cell>
          <cell r="K511" t="str">
            <v>正式</v>
          </cell>
          <cell r="L511" t="str">
            <v>内部员工</v>
          </cell>
          <cell r="M511" t="str">
            <v>黄磊</v>
          </cell>
        </row>
        <row r="512">
          <cell r="A512" t="str">
            <v>何迎欣</v>
          </cell>
          <cell r="B512" t="str">
            <v>01230</v>
          </cell>
          <cell r="C512" t="str">
            <v>四川时代蜂族营销策划有限公司</v>
          </cell>
          <cell r="D512">
            <v>45639</v>
          </cell>
          <cell r="E512" t="str">
            <v>集团职能</v>
          </cell>
          <cell r="F512" t="str">
            <v>职能总部</v>
          </cell>
          <cell r="G512" t="str">
            <v>财务部</v>
          </cell>
        </row>
        <row r="512">
          <cell r="I512" t="str">
            <v>财务助理</v>
          </cell>
          <cell r="J512" t="str">
            <v>女</v>
          </cell>
          <cell r="K512" t="str">
            <v>正式</v>
          </cell>
          <cell r="L512" t="str">
            <v>内部员工</v>
          </cell>
          <cell r="M512" t="str">
            <v>陈萍</v>
          </cell>
        </row>
        <row r="513">
          <cell r="A513" t="str">
            <v>卢新山</v>
          </cell>
          <cell r="B513" t="str">
            <v>01220</v>
          </cell>
          <cell r="C513" t="str">
            <v>湖北蜜蜂族房地产经纪有限公司</v>
          </cell>
          <cell r="D513">
            <v>45638</v>
          </cell>
          <cell r="E513" t="str">
            <v>湖北</v>
          </cell>
          <cell r="F513" t="str">
            <v>湖北营销中心</v>
          </cell>
          <cell r="G513" t="str">
            <v>湖北1部</v>
          </cell>
          <cell r="H513" t="str">
            <v>骆志红</v>
          </cell>
          <cell r="I513" t="str">
            <v>三星销售顾问</v>
          </cell>
          <cell r="J513" t="str">
            <v>男</v>
          </cell>
          <cell r="K513" t="str">
            <v>正式</v>
          </cell>
          <cell r="L513" t="str">
            <v>内部员工</v>
          </cell>
          <cell r="M513" t="str">
            <v>骆志红</v>
          </cell>
        </row>
        <row r="514">
          <cell r="A514" t="str">
            <v>胡月</v>
          </cell>
          <cell r="B514" t="str">
            <v>01218</v>
          </cell>
          <cell r="C514" t="str">
            <v>四川时代蜂族营销策划有限公司</v>
          </cell>
          <cell r="D514">
            <v>45637</v>
          </cell>
          <cell r="E514" t="str">
            <v>集团职能</v>
          </cell>
          <cell r="F514" t="str">
            <v>职能总部</v>
          </cell>
          <cell r="G514" t="str">
            <v>财务部</v>
          </cell>
        </row>
        <row r="514">
          <cell r="I514" t="str">
            <v>出纳</v>
          </cell>
          <cell r="J514" t="str">
            <v>女</v>
          </cell>
          <cell r="K514" t="str">
            <v>正式</v>
          </cell>
          <cell r="L514" t="str">
            <v>内部员工</v>
          </cell>
          <cell r="M514" t="str">
            <v>陈萍</v>
          </cell>
        </row>
        <row r="515">
          <cell r="A515" t="str">
            <v>玖伶俐</v>
          </cell>
          <cell r="B515" t="str">
            <v>01217</v>
          </cell>
          <cell r="C515" t="str">
            <v>四川时代蜂族营销策划有限公司</v>
          </cell>
          <cell r="D515">
            <v>45634</v>
          </cell>
          <cell r="E515" t="str">
            <v>河南</v>
          </cell>
          <cell r="F515" t="str">
            <v>河南营销中心</v>
          </cell>
          <cell r="G515" t="str">
            <v>河南销售部</v>
          </cell>
          <cell r="H515" t="str">
            <v>周吉双河南</v>
          </cell>
          <cell r="I515" t="str">
            <v>三星销售顾问</v>
          </cell>
          <cell r="J515" t="str">
            <v>女</v>
          </cell>
          <cell r="K515" t="str">
            <v>正式</v>
          </cell>
          <cell r="L515" t="str">
            <v>内部员工</v>
          </cell>
          <cell r="M515" t="str">
            <v>周吉双</v>
          </cell>
        </row>
        <row r="516">
          <cell r="A516" t="str">
            <v>辜洪</v>
          </cell>
          <cell r="B516" t="str">
            <v>01208</v>
          </cell>
          <cell r="C516" t="str">
            <v>四川时代蜂族营销策划有限公司</v>
          </cell>
          <cell r="D516">
            <v>45630</v>
          </cell>
          <cell r="E516" t="str">
            <v>西南总部</v>
          </cell>
          <cell r="F516" t="str">
            <v>西南营销中心</v>
          </cell>
          <cell r="G516" t="str">
            <v>营业六部</v>
          </cell>
          <cell r="H516" t="str">
            <v>韩颖</v>
          </cell>
          <cell r="I516" t="str">
            <v>二星销售顾问</v>
          </cell>
          <cell r="J516" t="str">
            <v>男</v>
          </cell>
          <cell r="K516" t="str">
            <v>正式</v>
          </cell>
          <cell r="L516" t="str">
            <v>内部员工</v>
          </cell>
          <cell r="M516" t="str">
            <v>韩颖</v>
          </cell>
        </row>
        <row r="517">
          <cell r="A517" t="str">
            <v>曾朝伟</v>
          </cell>
          <cell r="B517" t="str">
            <v>01216</v>
          </cell>
          <cell r="C517" t="str">
            <v>陕西蜂族科技有限公司</v>
          </cell>
          <cell r="D517">
            <v>45630</v>
          </cell>
          <cell r="E517" t="str">
            <v>陕西</v>
          </cell>
          <cell r="F517" t="str">
            <v>陕西营销中心</v>
          </cell>
          <cell r="G517" t="str">
            <v>陕西1部</v>
          </cell>
          <cell r="H517" t="str">
            <v>李丝丝</v>
          </cell>
          <cell r="I517" t="str">
            <v>一星销售顾问</v>
          </cell>
          <cell r="J517" t="str">
            <v>男</v>
          </cell>
          <cell r="K517" t="str">
            <v>正式</v>
          </cell>
          <cell r="L517" t="str">
            <v>内部员工</v>
          </cell>
          <cell r="M517" t="str">
            <v>李丝丝</v>
          </cell>
        </row>
        <row r="518">
          <cell r="A518" t="str">
            <v>邛莫毛干干</v>
          </cell>
          <cell r="B518" t="str">
            <v>01207</v>
          </cell>
          <cell r="C518" t="str">
            <v>四川时代蜂族营销策划有限公司</v>
          </cell>
          <cell r="D518">
            <v>45629</v>
          </cell>
          <cell r="E518" t="str">
            <v>西南总部</v>
          </cell>
          <cell r="F518" t="str">
            <v>西南营销中心</v>
          </cell>
          <cell r="G518" t="str">
            <v>营业一部</v>
          </cell>
          <cell r="H518" t="str">
            <v>雷小金</v>
          </cell>
          <cell r="I518" t="str">
            <v>三星销售顾问</v>
          </cell>
          <cell r="J518" t="str">
            <v>女</v>
          </cell>
          <cell r="K518" t="str">
            <v>正式</v>
          </cell>
          <cell r="L518" t="str">
            <v>内部员工</v>
          </cell>
          <cell r="M518" t="str">
            <v>雷小金</v>
          </cell>
        </row>
        <row r="519">
          <cell r="A519" t="str">
            <v>陈静2</v>
          </cell>
          <cell r="B519" t="str">
            <v>01204</v>
          </cell>
          <cell r="C519" t="str">
            <v>山东时代蜂族营销策划有限公司</v>
          </cell>
          <cell r="D519">
            <v>45628</v>
          </cell>
          <cell r="E519" t="str">
            <v>山东</v>
          </cell>
          <cell r="F519" t="str">
            <v>山东营销中心</v>
          </cell>
          <cell r="G519" t="str">
            <v>山东销售部</v>
          </cell>
          <cell r="H519" t="str">
            <v>冯洁</v>
          </cell>
          <cell r="I519" t="str">
            <v>二星销售顾问</v>
          </cell>
          <cell r="J519" t="str">
            <v>女</v>
          </cell>
          <cell r="K519" t="str">
            <v>正式</v>
          </cell>
          <cell r="L519" t="str">
            <v>内部员工</v>
          </cell>
          <cell r="M519" t="str">
            <v>冯洁</v>
          </cell>
        </row>
        <row r="520">
          <cell r="A520" t="str">
            <v>徐超</v>
          </cell>
          <cell r="B520" t="str">
            <v>01203</v>
          </cell>
          <cell r="C520" t="str">
            <v>四川时代蜂族营销策划有限公司</v>
          </cell>
          <cell r="D520">
            <v>45627</v>
          </cell>
          <cell r="E520" t="str">
            <v>河南</v>
          </cell>
          <cell r="F520" t="str">
            <v>河南拓展部</v>
          </cell>
        </row>
        <row r="520">
          <cell r="I520" t="str">
            <v>一星拓展专员</v>
          </cell>
          <cell r="J520" t="str">
            <v>男</v>
          </cell>
          <cell r="K520" t="str">
            <v>正式</v>
          </cell>
          <cell r="L520" t="str">
            <v>内部员工</v>
          </cell>
          <cell r="M520" t="str">
            <v>廖静</v>
          </cell>
        </row>
        <row r="521">
          <cell r="A521" t="str">
            <v>唐远成</v>
          </cell>
          <cell r="B521" t="str">
            <v>01468</v>
          </cell>
          <cell r="C521" t="str">
            <v>四川时代蜂族营销策划有限公司</v>
          </cell>
          <cell r="D521">
            <v>45627</v>
          </cell>
          <cell r="E521" t="str">
            <v>集团职能</v>
          </cell>
          <cell r="F521" t="str">
            <v>职能总部</v>
          </cell>
          <cell r="G521" t="str">
            <v>残疾人</v>
          </cell>
        </row>
        <row r="521">
          <cell r="I521" t="str">
            <v>残疾人</v>
          </cell>
          <cell r="J521" t="str">
            <v>男</v>
          </cell>
          <cell r="K521" t="str">
            <v>正式</v>
          </cell>
          <cell r="L521" t="str">
            <v>内部员工</v>
          </cell>
        </row>
        <row r="522">
          <cell r="A522" t="str">
            <v>易成俊</v>
          </cell>
          <cell r="B522" t="str">
            <v>01201</v>
          </cell>
          <cell r="C522" t="str">
            <v>四川时代蜂族营销策划有限公司</v>
          </cell>
          <cell r="D522">
            <v>45626</v>
          </cell>
          <cell r="E522" t="str">
            <v>西南总部</v>
          </cell>
          <cell r="F522" t="str">
            <v>西南营销中心</v>
          </cell>
          <cell r="G522" t="str">
            <v>营业二部</v>
          </cell>
          <cell r="H522" t="str">
            <v>文鹏羽</v>
          </cell>
          <cell r="I522" t="str">
            <v>二星销售顾问</v>
          </cell>
          <cell r="J522" t="str">
            <v>男</v>
          </cell>
          <cell r="K522" t="str">
            <v>正式</v>
          </cell>
          <cell r="L522" t="str">
            <v>内部员工</v>
          </cell>
          <cell r="M522" t="str">
            <v>文鹏羽</v>
          </cell>
        </row>
        <row r="523">
          <cell r="A523" t="str">
            <v>熊梅</v>
          </cell>
          <cell r="B523" t="str">
            <v>01200</v>
          </cell>
          <cell r="C523" t="str">
            <v>湖北蜜蜂族房地产经纪有限公司</v>
          </cell>
          <cell r="D523">
            <v>45625</v>
          </cell>
          <cell r="E523" t="str">
            <v>湖北</v>
          </cell>
          <cell r="F523" t="str">
            <v>湖北营销中心</v>
          </cell>
          <cell r="G523" t="str">
            <v>湖北2部</v>
          </cell>
          <cell r="H523" t="str">
            <v>赵国富</v>
          </cell>
          <cell r="I523" t="str">
            <v>二星销售顾问</v>
          </cell>
          <cell r="J523" t="str">
            <v>女</v>
          </cell>
          <cell r="K523" t="str">
            <v>正式</v>
          </cell>
          <cell r="L523" t="str">
            <v>内部员工</v>
          </cell>
          <cell r="M523" t="str">
            <v>赵国富</v>
          </cell>
        </row>
        <row r="524">
          <cell r="A524" t="str">
            <v>杨溢鑫</v>
          </cell>
          <cell r="B524" t="str">
            <v>01199</v>
          </cell>
          <cell r="C524" t="str">
            <v>四川时代蜂族营销策划有限公司</v>
          </cell>
          <cell r="D524">
            <v>45625</v>
          </cell>
          <cell r="E524" t="str">
            <v>西南总部</v>
          </cell>
          <cell r="F524" t="str">
            <v>西南拓展中心</v>
          </cell>
          <cell r="G524" t="str">
            <v>川南</v>
          </cell>
        </row>
        <row r="524">
          <cell r="I524" t="str">
            <v>一星拓展专员</v>
          </cell>
          <cell r="J524" t="str">
            <v>男</v>
          </cell>
          <cell r="K524" t="str">
            <v>正式</v>
          </cell>
          <cell r="L524" t="str">
            <v>内部员工</v>
          </cell>
          <cell r="M524" t="str">
            <v>于强</v>
          </cell>
        </row>
        <row r="525">
          <cell r="A525" t="str">
            <v>路娟娟</v>
          </cell>
          <cell r="B525" t="str">
            <v>01197</v>
          </cell>
          <cell r="C525" t="str">
            <v>陕西蜂族科技有限公司</v>
          </cell>
          <cell r="D525">
            <v>45624</v>
          </cell>
          <cell r="E525" t="str">
            <v>陕西</v>
          </cell>
          <cell r="F525" t="str">
            <v>陕西营销中心</v>
          </cell>
          <cell r="G525" t="str">
            <v>陕西2部</v>
          </cell>
          <cell r="H525" t="str">
            <v>冀敏</v>
          </cell>
          <cell r="I525" t="str">
            <v>三星销售顾问</v>
          </cell>
          <cell r="J525" t="str">
            <v>女</v>
          </cell>
          <cell r="K525" t="str">
            <v>正式</v>
          </cell>
          <cell r="L525" t="str">
            <v>内部员工</v>
          </cell>
          <cell r="M525" t="str">
            <v>冀敏</v>
          </cell>
        </row>
        <row r="526">
          <cell r="A526" t="str">
            <v>刘溢</v>
          </cell>
          <cell r="B526" t="str">
            <v>01198</v>
          </cell>
          <cell r="C526" t="str">
            <v>四川时代蜂族营销策划有限公司</v>
          </cell>
          <cell r="D526">
            <v>45624</v>
          </cell>
          <cell r="E526" t="str">
            <v>西南总部</v>
          </cell>
          <cell r="F526" t="str">
            <v>西南营销中心</v>
          </cell>
          <cell r="G526" t="str">
            <v>营业七部</v>
          </cell>
          <cell r="H526" t="str">
            <v>申慧</v>
          </cell>
          <cell r="I526" t="str">
            <v>三星销售顾问</v>
          </cell>
          <cell r="J526" t="str">
            <v>男</v>
          </cell>
          <cell r="K526" t="str">
            <v>正式</v>
          </cell>
          <cell r="L526" t="str">
            <v>内部员工</v>
          </cell>
          <cell r="M526" t="str">
            <v>申慧</v>
          </cell>
        </row>
        <row r="527">
          <cell r="A527" t="str">
            <v>张欢</v>
          </cell>
          <cell r="B527" t="str">
            <v>01194</v>
          </cell>
          <cell r="C527" t="str">
            <v>四川时代蜂族营销策划有限公司</v>
          </cell>
          <cell r="D527">
            <v>45616</v>
          </cell>
          <cell r="E527" t="str">
            <v>西南总部</v>
          </cell>
          <cell r="F527" t="str">
            <v>西南营销中心</v>
          </cell>
          <cell r="G527" t="str">
            <v>营业六部</v>
          </cell>
          <cell r="H527" t="str">
            <v>党虹</v>
          </cell>
          <cell r="I527" t="str">
            <v>B岗经理</v>
          </cell>
          <cell r="J527" t="str">
            <v>女</v>
          </cell>
          <cell r="K527" t="str">
            <v>正式</v>
          </cell>
          <cell r="L527" t="str">
            <v>内部员工</v>
          </cell>
          <cell r="M527" t="str">
            <v>刘亮</v>
          </cell>
        </row>
        <row r="528">
          <cell r="A528" t="str">
            <v>任俊</v>
          </cell>
          <cell r="B528" t="str">
            <v>01192</v>
          </cell>
          <cell r="C528" t="str">
            <v>河南蜜蜂族营销策划有限公司</v>
          </cell>
          <cell r="D528">
            <v>45616</v>
          </cell>
          <cell r="E528" t="str">
            <v>河南</v>
          </cell>
          <cell r="F528" t="str">
            <v>河南营销中心</v>
          </cell>
          <cell r="G528" t="str">
            <v>河南销售部</v>
          </cell>
          <cell r="H528" t="str">
            <v>任枭月</v>
          </cell>
          <cell r="I528" t="str">
            <v>一星销售顾问</v>
          </cell>
          <cell r="J528" t="str">
            <v>男</v>
          </cell>
          <cell r="K528" t="str">
            <v>试用</v>
          </cell>
          <cell r="L528" t="str">
            <v>内部员工</v>
          </cell>
          <cell r="M528" t="str">
            <v>任枭月</v>
          </cell>
        </row>
        <row r="529">
          <cell r="A529" t="str">
            <v>罗瑶</v>
          </cell>
          <cell r="B529" t="str">
            <v>01190</v>
          </cell>
          <cell r="C529" t="str">
            <v>山东时代蜂族营销策划有限公司</v>
          </cell>
          <cell r="D529">
            <v>45616</v>
          </cell>
          <cell r="E529" t="str">
            <v>山东</v>
          </cell>
          <cell r="F529" t="str">
            <v>山东营销中心</v>
          </cell>
          <cell r="G529" t="str">
            <v>山东销售部</v>
          </cell>
          <cell r="H529" t="str">
            <v>赵文涛</v>
          </cell>
          <cell r="I529" t="str">
            <v>三星销售顾问</v>
          </cell>
          <cell r="J529" t="str">
            <v>男</v>
          </cell>
          <cell r="K529" t="str">
            <v>正式</v>
          </cell>
          <cell r="L529" t="str">
            <v>内部员工</v>
          </cell>
          <cell r="M529" t="str">
            <v>赵文涛</v>
          </cell>
        </row>
        <row r="530">
          <cell r="A530" t="str">
            <v>许千禧</v>
          </cell>
          <cell r="B530" t="str">
            <v>01193</v>
          </cell>
          <cell r="C530" t="str">
            <v>四川时代蜂族营销策划有限公司</v>
          </cell>
          <cell r="D530">
            <v>45616</v>
          </cell>
          <cell r="E530" t="str">
            <v>西南总部</v>
          </cell>
          <cell r="F530" t="str">
            <v>西南营销中心</v>
          </cell>
          <cell r="G530" t="str">
            <v>营业二部</v>
          </cell>
          <cell r="H530" t="str">
            <v>黄磊</v>
          </cell>
          <cell r="I530" t="str">
            <v>二星销售顾问</v>
          </cell>
          <cell r="J530" t="str">
            <v>男</v>
          </cell>
          <cell r="K530" t="str">
            <v>正式</v>
          </cell>
          <cell r="L530" t="str">
            <v>内部员工</v>
          </cell>
          <cell r="M530" t="str">
            <v>黄磊</v>
          </cell>
        </row>
        <row r="531">
          <cell r="A531" t="str">
            <v>吴康达</v>
          </cell>
          <cell r="B531" t="str">
            <v>01187</v>
          </cell>
          <cell r="C531" t="str">
            <v>湖北蜜蜂族房地产经纪有限公司</v>
          </cell>
          <cell r="D531">
            <v>45615</v>
          </cell>
          <cell r="E531" t="str">
            <v>湖北</v>
          </cell>
          <cell r="F531" t="str">
            <v>湖北营销中心</v>
          </cell>
          <cell r="G531" t="str">
            <v>湖北1部</v>
          </cell>
          <cell r="H531" t="str">
            <v>秦娅玲</v>
          </cell>
          <cell r="I531" t="str">
            <v>二星销售顾问</v>
          </cell>
          <cell r="J531" t="str">
            <v>男</v>
          </cell>
          <cell r="K531" t="str">
            <v>正式</v>
          </cell>
          <cell r="L531" t="str">
            <v>内部员工</v>
          </cell>
          <cell r="M531" t="str">
            <v>秦娅玲</v>
          </cell>
        </row>
        <row r="532">
          <cell r="A532" t="str">
            <v>李志恒</v>
          </cell>
          <cell r="B532" t="str">
            <v>01186</v>
          </cell>
          <cell r="C532" t="str">
            <v>湖北蜜蜂族房地产经纪有限公司</v>
          </cell>
          <cell r="D532">
            <v>45614</v>
          </cell>
          <cell r="E532" t="str">
            <v>湖北</v>
          </cell>
          <cell r="F532" t="str">
            <v>湖北拓展部</v>
          </cell>
        </row>
        <row r="532">
          <cell r="I532" t="str">
            <v>一星拓展专员</v>
          </cell>
          <cell r="J532" t="str">
            <v>男</v>
          </cell>
          <cell r="K532" t="str">
            <v>正式</v>
          </cell>
          <cell r="L532" t="str">
            <v>内部员工</v>
          </cell>
          <cell r="M532" t="str">
            <v>范庚</v>
          </cell>
        </row>
        <row r="533">
          <cell r="A533" t="str">
            <v>白世根</v>
          </cell>
          <cell r="B533" t="str">
            <v>01185</v>
          </cell>
          <cell r="C533" t="str">
            <v>四川时代蜂族营销策划有限公司</v>
          </cell>
          <cell r="D533">
            <v>45613</v>
          </cell>
          <cell r="E533" t="str">
            <v>西南总部</v>
          </cell>
          <cell r="F533" t="str">
            <v>西南营销中心</v>
          </cell>
          <cell r="G533" t="str">
            <v>营业一部</v>
          </cell>
        </row>
        <row r="533">
          <cell r="I533" t="str">
            <v>一星实习经理</v>
          </cell>
          <cell r="J533" t="str">
            <v>男</v>
          </cell>
          <cell r="K533" t="str">
            <v>正式</v>
          </cell>
          <cell r="L533" t="str">
            <v>内部员工</v>
          </cell>
          <cell r="M533" t="str">
            <v>雷小金</v>
          </cell>
        </row>
        <row r="534">
          <cell r="A534" t="str">
            <v>李树银</v>
          </cell>
          <cell r="B534" t="str">
            <v>01182</v>
          </cell>
          <cell r="C534" t="str">
            <v>山东时代蜂族营销策划有限公司</v>
          </cell>
          <cell r="D534">
            <v>45612</v>
          </cell>
          <cell r="E534" t="str">
            <v>山东</v>
          </cell>
          <cell r="F534" t="str">
            <v>山东拓展部</v>
          </cell>
          <cell r="G534" t="str">
            <v>山东战区1</v>
          </cell>
        </row>
        <row r="534">
          <cell r="I534" t="str">
            <v>实习拓展</v>
          </cell>
          <cell r="J534" t="str">
            <v>男</v>
          </cell>
          <cell r="K534" t="str">
            <v>正式</v>
          </cell>
          <cell r="L534" t="str">
            <v>内部员工</v>
          </cell>
          <cell r="M534" t="str">
            <v>向润</v>
          </cell>
        </row>
        <row r="535">
          <cell r="A535" t="str">
            <v>刘宗洋</v>
          </cell>
          <cell r="B535" t="str">
            <v>01183</v>
          </cell>
          <cell r="C535" t="str">
            <v>湖北蜜蜂族房地产经纪有限公司</v>
          </cell>
          <cell r="D535">
            <v>45612</v>
          </cell>
          <cell r="E535" t="str">
            <v>湖北</v>
          </cell>
          <cell r="F535" t="str">
            <v>湖北营销中心</v>
          </cell>
          <cell r="G535" t="str">
            <v>湖北2部</v>
          </cell>
          <cell r="H535" t="str">
            <v>赵国富</v>
          </cell>
          <cell r="I535" t="str">
            <v>三星销售顾问</v>
          </cell>
          <cell r="J535" t="str">
            <v>男</v>
          </cell>
          <cell r="K535" t="str">
            <v>正式</v>
          </cell>
          <cell r="L535" t="str">
            <v>内部员工</v>
          </cell>
          <cell r="M535" t="str">
            <v>赵国富</v>
          </cell>
        </row>
        <row r="536">
          <cell r="A536" t="str">
            <v>甘梓云</v>
          </cell>
          <cell r="B536" t="str">
            <v>01179</v>
          </cell>
          <cell r="C536" t="str">
            <v>四川金巴牛网络科技有限公司</v>
          </cell>
          <cell r="D536">
            <v>45611</v>
          </cell>
          <cell r="E536" t="str">
            <v>集团职能</v>
          </cell>
          <cell r="F536" t="str">
            <v>职能总部</v>
          </cell>
          <cell r="G536" t="str">
            <v>技术部</v>
          </cell>
        </row>
        <row r="536">
          <cell r="I536" t="str">
            <v>前端工程师</v>
          </cell>
          <cell r="J536" t="str">
            <v>男</v>
          </cell>
          <cell r="K536" t="str">
            <v>正式</v>
          </cell>
          <cell r="L536" t="str">
            <v>内部员工</v>
          </cell>
          <cell r="M536" t="str">
            <v>张亚东</v>
          </cell>
        </row>
        <row r="537">
          <cell r="A537" t="str">
            <v>汪鑫海</v>
          </cell>
          <cell r="B537" t="str">
            <v>01180</v>
          </cell>
          <cell r="C537" t="str">
            <v>四川时代蜂族营销策划有限公司</v>
          </cell>
          <cell r="D537">
            <v>45611</v>
          </cell>
          <cell r="E537" t="str">
            <v>西南总部</v>
          </cell>
          <cell r="F537" t="str">
            <v>西南营销中心</v>
          </cell>
          <cell r="G537" t="str">
            <v>营业二部</v>
          </cell>
          <cell r="H537" t="str">
            <v>文鹏羽</v>
          </cell>
          <cell r="I537" t="str">
            <v>一星销售顾问</v>
          </cell>
          <cell r="J537" t="str">
            <v>男</v>
          </cell>
          <cell r="K537" t="str">
            <v>正式</v>
          </cell>
          <cell r="L537" t="str">
            <v>内部员工</v>
          </cell>
          <cell r="M537" t="str">
            <v>文鹏羽</v>
          </cell>
        </row>
        <row r="538">
          <cell r="A538" t="str">
            <v>姚志科</v>
          </cell>
          <cell r="B538" t="str">
            <v>01176</v>
          </cell>
          <cell r="C538" t="str">
            <v>四川时代蜂族营销策划有限公司</v>
          </cell>
          <cell r="D538">
            <v>45611</v>
          </cell>
          <cell r="E538" t="str">
            <v>西南总部</v>
          </cell>
          <cell r="F538" t="str">
            <v>西南营销中心</v>
          </cell>
          <cell r="G538" t="str">
            <v>营业四部</v>
          </cell>
          <cell r="H538" t="str">
            <v>陈嘉文</v>
          </cell>
          <cell r="I538" t="str">
            <v>三星销售顾问</v>
          </cell>
          <cell r="J538" t="str">
            <v>男</v>
          </cell>
          <cell r="K538" t="str">
            <v>正式</v>
          </cell>
          <cell r="L538" t="str">
            <v>内部员工</v>
          </cell>
          <cell r="M538" t="str">
            <v>陈嘉文</v>
          </cell>
        </row>
        <row r="539">
          <cell r="A539" t="str">
            <v>郑海龙</v>
          </cell>
          <cell r="B539" t="str">
            <v>01173</v>
          </cell>
          <cell r="C539" t="str">
            <v>湖北蜜蜂族房地产经纪有限公司</v>
          </cell>
          <cell r="D539">
            <v>45609</v>
          </cell>
          <cell r="E539" t="str">
            <v>湖北</v>
          </cell>
          <cell r="F539" t="str">
            <v>湖北营销中心</v>
          </cell>
          <cell r="G539" t="str">
            <v>湖北2部</v>
          </cell>
          <cell r="H539" t="str">
            <v>吴明银</v>
          </cell>
          <cell r="I539" t="str">
            <v>三星销售顾问</v>
          </cell>
          <cell r="J539" t="str">
            <v>男</v>
          </cell>
          <cell r="K539" t="str">
            <v>正式</v>
          </cell>
          <cell r="L539" t="str">
            <v>内部员工</v>
          </cell>
          <cell r="M539" t="str">
            <v>吴明银</v>
          </cell>
        </row>
        <row r="540">
          <cell r="A540" t="str">
            <v>成泽</v>
          </cell>
          <cell r="B540" t="str">
            <v>01171</v>
          </cell>
          <cell r="C540" t="str">
            <v>兰州时代蜂族营销策划有限公司</v>
          </cell>
          <cell r="D540">
            <v>45609</v>
          </cell>
          <cell r="E540" t="str">
            <v>甘肃</v>
          </cell>
          <cell r="F540" t="str">
            <v>甘肃拓展部</v>
          </cell>
        </row>
        <row r="540">
          <cell r="I540" t="str">
            <v>一星拓展专员</v>
          </cell>
          <cell r="J540" t="str">
            <v>男</v>
          </cell>
          <cell r="K540" t="str">
            <v>正式</v>
          </cell>
          <cell r="L540" t="str">
            <v>内部员工</v>
          </cell>
          <cell r="M540" t="str">
            <v>雷鸣</v>
          </cell>
        </row>
        <row r="541">
          <cell r="A541" t="str">
            <v>张萍</v>
          </cell>
          <cell r="B541" t="str">
            <v>01166</v>
          </cell>
          <cell r="C541" t="str">
            <v>四川时代蜂族营销策划有限公司</v>
          </cell>
          <cell r="D541">
            <v>45604</v>
          </cell>
          <cell r="E541" t="str">
            <v>河南</v>
          </cell>
          <cell r="F541" t="str">
            <v>河南营销中心</v>
          </cell>
          <cell r="G541" t="str">
            <v>河南销售部</v>
          </cell>
        </row>
        <row r="541">
          <cell r="I541" t="str">
            <v>一星实习经理</v>
          </cell>
          <cell r="J541" t="str">
            <v>女</v>
          </cell>
          <cell r="K541" t="str">
            <v>正式</v>
          </cell>
          <cell r="L541" t="str">
            <v>内部员工</v>
          </cell>
          <cell r="M541" t="str">
            <v>毛孝树</v>
          </cell>
        </row>
        <row r="542">
          <cell r="A542" t="str">
            <v>骆世洪</v>
          </cell>
          <cell r="B542" t="str">
            <v>01161</v>
          </cell>
          <cell r="C542" t="str">
            <v>四川时代蜂族营销策划有限公司</v>
          </cell>
          <cell r="D542">
            <v>45603</v>
          </cell>
          <cell r="E542" t="str">
            <v>西南总部</v>
          </cell>
          <cell r="F542" t="str">
            <v>西南营销中心</v>
          </cell>
          <cell r="G542" t="str">
            <v>营业一部</v>
          </cell>
          <cell r="H542" t="str">
            <v>朱家艳</v>
          </cell>
          <cell r="I542" t="str">
            <v>三星销售顾问</v>
          </cell>
          <cell r="J542" t="str">
            <v>女</v>
          </cell>
          <cell r="K542" t="str">
            <v>正式</v>
          </cell>
          <cell r="L542" t="str">
            <v>内部员工</v>
          </cell>
          <cell r="M542" t="str">
            <v>朱家艳</v>
          </cell>
        </row>
        <row r="543">
          <cell r="A543" t="str">
            <v>李莎莎</v>
          </cell>
          <cell r="B543" t="str">
            <v>01165</v>
          </cell>
          <cell r="C543" t="str">
            <v>四川时代蜂族营销策划有限公司</v>
          </cell>
          <cell r="D543">
            <v>45603</v>
          </cell>
          <cell r="E543" t="str">
            <v>西南总部</v>
          </cell>
          <cell r="F543" t="str">
            <v>西南营销中心</v>
          </cell>
          <cell r="G543" t="str">
            <v>营业三部</v>
          </cell>
          <cell r="H543" t="str">
            <v>郑景慕</v>
          </cell>
          <cell r="I543" t="str">
            <v>三星销售顾问</v>
          </cell>
          <cell r="J543" t="str">
            <v>女</v>
          </cell>
          <cell r="K543" t="str">
            <v>正式</v>
          </cell>
          <cell r="L543" t="str">
            <v>内部员工</v>
          </cell>
          <cell r="M543" t="str">
            <v>郑景慕</v>
          </cell>
        </row>
        <row r="544">
          <cell r="A544" t="str">
            <v>全苗苗</v>
          </cell>
          <cell r="B544" t="str">
            <v>01159</v>
          </cell>
          <cell r="C544" t="str">
            <v>陕西蜂族科技有限公司</v>
          </cell>
          <cell r="D544">
            <v>45603</v>
          </cell>
          <cell r="E544" t="str">
            <v>陕西</v>
          </cell>
          <cell r="F544" t="str">
            <v>陕西营销中心</v>
          </cell>
          <cell r="G544" t="str">
            <v>陕西1部</v>
          </cell>
          <cell r="H544" t="str">
            <v>朱露颖</v>
          </cell>
          <cell r="I544" t="str">
            <v>三星销售顾问</v>
          </cell>
          <cell r="J544" t="str">
            <v>女</v>
          </cell>
          <cell r="K544" t="str">
            <v>正式</v>
          </cell>
          <cell r="L544" t="str">
            <v>内部员工</v>
          </cell>
          <cell r="M544" t="str">
            <v>朱露颖</v>
          </cell>
        </row>
        <row r="545">
          <cell r="A545" t="str">
            <v>何飞</v>
          </cell>
          <cell r="B545" t="str">
            <v>01158</v>
          </cell>
          <cell r="C545" t="str">
            <v>陕西蜂族科技有限公司</v>
          </cell>
          <cell r="D545">
            <v>45602</v>
          </cell>
          <cell r="E545" t="str">
            <v>陕西</v>
          </cell>
          <cell r="F545" t="str">
            <v>陕西营销中心</v>
          </cell>
          <cell r="G545" t="str">
            <v>陕西1部</v>
          </cell>
          <cell r="H545" t="str">
            <v>杨永梅</v>
          </cell>
          <cell r="I545" t="str">
            <v>三星销售顾问</v>
          </cell>
          <cell r="J545" t="str">
            <v>男</v>
          </cell>
          <cell r="K545" t="str">
            <v>正式</v>
          </cell>
          <cell r="L545" t="str">
            <v>内部员工</v>
          </cell>
          <cell r="M545" t="str">
            <v>杨永梅</v>
          </cell>
        </row>
        <row r="546">
          <cell r="A546" t="str">
            <v>陈思</v>
          </cell>
          <cell r="B546" t="str">
            <v>01156</v>
          </cell>
          <cell r="C546" t="str">
            <v>四川时代蜂族营销策划有限公司</v>
          </cell>
          <cell r="D546">
            <v>45602</v>
          </cell>
          <cell r="E546" t="str">
            <v>集团职能</v>
          </cell>
          <cell r="F546" t="str">
            <v>职能总部</v>
          </cell>
          <cell r="G546" t="str">
            <v>财务部</v>
          </cell>
        </row>
        <row r="546">
          <cell r="I546" t="str">
            <v>会计</v>
          </cell>
          <cell r="J546" t="str">
            <v>女</v>
          </cell>
          <cell r="K546" t="str">
            <v>正式</v>
          </cell>
          <cell r="L546" t="str">
            <v>内部员工</v>
          </cell>
          <cell r="M546" t="str">
            <v>陈萍</v>
          </cell>
        </row>
        <row r="547">
          <cell r="A547" t="str">
            <v>赖文杰</v>
          </cell>
          <cell r="B547" t="str">
            <v>01153</v>
          </cell>
          <cell r="C547" t="str">
            <v>山东时代蜂族营销策划有限公司</v>
          </cell>
          <cell r="D547">
            <v>45601</v>
          </cell>
          <cell r="E547" t="str">
            <v>山东</v>
          </cell>
          <cell r="F547" t="str">
            <v>山东拓展部</v>
          </cell>
          <cell r="G547" t="str">
            <v>山东战区2</v>
          </cell>
        </row>
        <row r="547">
          <cell r="I547" t="str">
            <v>二星拓展专员</v>
          </cell>
          <cell r="J547" t="str">
            <v>男</v>
          </cell>
          <cell r="K547" t="str">
            <v>正式</v>
          </cell>
          <cell r="L547" t="str">
            <v>内部员工</v>
          </cell>
          <cell r="M547" t="str">
            <v>向润</v>
          </cell>
        </row>
        <row r="548">
          <cell r="A548" t="str">
            <v>陈金生</v>
          </cell>
          <cell r="B548" t="str">
            <v>01154</v>
          </cell>
          <cell r="C548" t="str">
            <v>山东时代蜂族营销策划有限公司</v>
          </cell>
          <cell r="D548">
            <v>45600</v>
          </cell>
          <cell r="E548" t="str">
            <v>山东</v>
          </cell>
          <cell r="F548" t="str">
            <v>山东拓展部</v>
          </cell>
          <cell r="G548" t="str">
            <v>山东战区1</v>
          </cell>
        </row>
        <row r="548">
          <cell r="I548" t="str">
            <v>一星拓展专员</v>
          </cell>
          <cell r="J548" t="str">
            <v>男</v>
          </cell>
          <cell r="K548" t="str">
            <v>正式</v>
          </cell>
          <cell r="L548" t="str">
            <v>内部员工</v>
          </cell>
          <cell r="M548" t="str">
            <v>向润</v>
          </cell>
        </row>
        <row r="549">
          <cell r="A549" t="str">
            <v>翁碧霞</v>
          </cell>
          <cell r="B549" t="str">
            <v>01151</v>
          </cell>
          <cell r="C549" t="str">
            <v>四川优诺通瑞商贸有限公司</v>
          </cell>
          <cell r="D549">
            <v>45600</v>
          </cell>
          <cell r="E549" t="str">
            <v>集团职能</v>
          </cell>
          <cell r="F549" t="str">
            <v>职能总部</v>
          </cell>
          <cell r="G549" t="str">
            <v>人资行政部</v>
          </cell>
          <cell r="H549" t="str">
            <v>招聘部</v>
          </cell>
          <cell r="I549" t="str">
            <v>招聘专员</v>
          </cell>
          <cell r="J549" t="str">
            <v>女</v>
          </cell>
          <cell r="K549" t="str">
            <v>正式</v>
          </cell>
          <cell r="L549" t="str">
            <v>内部员工</v>
          </cell>
          <cell r="M549" t="str">
            <v>杨先达</v>
          </cell>
        </row>
        <row r="550">
          <cell r="A550" t="str">
            <v>马少波</v>
          </cell>
          <cell r="B550" t="str">
            <v>01148</v>
          </cell>
          <cell r="C550" t="str">
            <v>陕西蜂族科技有限公司</v>
          </cell>
          <cell r="D550">
            <v>45599</v>
          </cell>
          <cell r="E550" t="str">
            <v>陕西</v>
          </cell>
          <cell r="F550" t="str">
            <v>陕西营销中心</v>
          </cell>
          <cell r="G550" t="str">
            <v>陕西1部</v>
          </cell>
        </row>
        <row r="550">
          <cell r="I550" t="str">
            <v>一星实习经理</v>
          </cell>
          <cell r="J550" t="str">
            <v>男</v>
          </cell>
          <cell r="K550" t="str">
            <v>正式</v>
          </cell>
          <cell r="L550" t="str">
            <v>内部员工</v>
          </cell>
          <cell r="M550" t="str">
            <v>李丝丝</v>
          </cell>
        </row>
        <row r="551">
          <cell r="A551" t="str">
            <v>闫柏年</v>
          </cell>
          <cell r="B551" t="str">
            <v>01143</v>
          </cell>
          <cell r="C551" t="str">
            <v>湖南时代蜂族营销策划有限公司</v>
          </cell>
          <cell r="D551">
            <v>45598</v>
          </cell>
          <cell r="E551" t="str">
            <v>湖南</v>
          </cell>
          <cell r="F551" t="str">
            <v>湖南营销中心</v>
          </cell>
          <cell r="G551" t="str">
            <v>湖南销售部</v>
          </cell>
        </row>
        <row r="551">
          <cell r="I551" t="str">
            <v>一星实习经理</v>
          </cell>
          <cell r="J551" t="str">
            <v>男</v>
          </cell>
          <cell r="K551" t="str">
            <v>正式</v>
          </cell>
          <cell r="L551" t="str">
            <v>内部员工</v>
          </cell>
          <cell r="M551" t="str">
            <v>刘进</v>
          </cell>
        </row>
        <row r="552">
          <cell r="A552" t="str">
            <v>唐敏</v>
          </cell>
          <cell r="B552" t="str">
            <v>01145</v>
          </cell>
          <cell r="C552" t="str">
            <v>四川时代蜂族营销策划有限公司</v>
          </cell>
          <cell r="D552">
            <v>45598</v>
          </cell>
          <cell r="E552" t="str">
            <v>湖南</v>
          </cell>
          <cell r="F552" t="str">
            <v>湖南营销中心</v>
          </cell>
          <cell r="G552" t="str">
            <v>湖南销售部</v>
          </cell>
          <cell r="H552" t="str">
            <v>孙小龙湖南</v>
          </cell>
          <cell r="I552" t="str">
            <v>三星销售顾问</v>
          </cell>
          <cell r="J552" t="str">
            <v>男</v>
          </cell>
          <cell r="K552" t="str">
            <v>正式</v>
          </cell>
          <cell r="L552" t="str">
            <v>内部员工</v>
          </cell>
          <cell r="M552" t="str">
            <v>孙小龙</v>
          </cell>
        </row>
        <row r="553">
          <cell r="A553" t="str">
            <v>刘敏</v>
          </cell>
          <cell r="B553" t="str">
            <v>01146</v>
          </cell>
          <cell r="C553" t="str">
            <v>四川时代蜂族营销策划有限公司</v>
          </cell>
          <cell r="D553">
            <v>45598</v>
          </cell>
          <cell r="E553" t="str">
            <v>西南总部</v>
          </cell>
          <cell r="F553" t="str">
            <v>西南营销中心</v>
          </cell>
          <cell r="G553" t="str">
            <v>营业二部</v>
          </cell>
          <cell r="H553" t="str">
            <v>李先洪</v>
          </cell>
          <cell r="I553" t="str">
            <v>三星销售顾问</v>
          </cell>
          <cell r="J553" t="str">
            <v>女</v>
          </cell>
          <cell r="K553" t="str">
            <v>正式</v>
          </cell>
          <cell r="L553" t="str">
            <v>内部员工</v>
          </cell>
          <cell r="M553" t="str">
            <v>李先洪</v>
          </cell>
        </row>
        <row r="554">
          <cell r="A554" t="str">
            <v>孟鹏刚</v>
          </cell>
          <cell r="B554" t="str">
            <v>01142</v>
          </cell>
          <cell r="C554" t="str">
            <v>陕西蜂族科技有限公司</v>
          </cell>
          <cell r="D554">
            <v>45597</v>
          </cell>
          <cell r="E554" t="str">
            <v>陕西</v>
          </cell>
          <cell r="F554" t="str">
            <v>陕西营销中心</v>
          </cell>
          <cell r="G554" t="str">
            <v>陕西1部</v>
          </cell>
          <cell r="H554" t="str">
            <v>朱露颖</v>
          </cell>
          <cell r="I554" t="str">
            <v>二星销售顾问</v>
          </cell>
          <cell r="J554" t="str">
            <v>男</v>
          </cell>
          <cell r="K554" t="str">
            <v>正式</v>
          </cell>
          <cell r="L554" t="str">
            <v>内部员工</v>
          </cell>
          <cell r="M554" t="str">
            <v>朱露颖</v>
          </cell>
        </row>
        <row r="555">
          <cell r="A555" t="str">
            <v>牟扬</v>
          </cell>
          <cell r="B555" t="str">
            <v>01139</v>
          </cell>
          <cell r="C555" t="str">
            <v>四川时代蜂族营销策划有限公司</v>
          </cell>
          <cell r="D555">
            <v>45597</v>
          </cell>
          <cell r="E555" t="str">
            <v>西南总部</v>
          </cell>
          <cell r="F555" t="str">
            <v>西南营销中心</v>
          </cell>
          <cell r="G555" t="str">
            <v>营业七部</v>
          </cell>
          <cell r="H555" t="str">
            <v>彭小琴</v>
          </cell>
          <cell r="I555" t="str">
            <v>三星销售顾问</v>
          </cell>
          <cell r="J555" t="str">
            <v>男</v>
          </cell>
          <cell r="K555" t="str">
            <v>正式</v>
          </cell>
          <cell r="L555" t="str">
            <v>内部员工</v>
          </cell>
          <cell r="M555" t="str">
            <v>彭小琴</v>
          </cell>
        </row>
        <row r="556">
          <cell r="A556" t="str">
            <v>孙芳</v>
          </cell>
          <cell r="B556" t="str">
            <v>01138</v>
          </cell>
          <cell r="C556" t="str">
            <v>辽宁时代蜂族营销策划有限公司</v>
          </cell>
          <cell r="D556">
            <v>45597</v>
          </cell>
          <cell r="E556" t="str">
            <v>辽宁</v>
          </cell>
          <cell r="F556" t="str">
            <v>辽宁拓展部</v>
          </cell>
        </row>
        <row r="556">
          <cell r="I556" t="str">
            <v>一星拓展专员</v>
          </cell>
          <cell r="J556" t="str">
            <v>女</v>
          </cell>
          <cell r="K556" t="str">
            <v>正式</v>
          </cell>
          <cell r="L556" t="str">
            <v>内部员工</v>
          </cell>
          <cell r="M556" t="str">
            <v>聂仕平</v>
          </cell>
        </row>
        <row r="557">
          <cell r="A557" t="str">
            <v>刘欣</v>
          </cell>
          <cell r="B557" t="str">
            <v>01135</v>
          </cell>
          <cell r="C557" t="str">
            <v>四川时代蜂族营销策划有限公司</v>
          </cell>
          <cell r="D557">
            <v>45597</v>
          </cell>
          <cell r="E557" t="str">
            <v>西南总部</v>
          </cell>
          <cell r="F557" t="str">
            <v>西南营销中心</v>
          </cell>
          <cell r="G557" t="str">
            <v>营业六部</v>
          </cell>
          <cell r="H557" t="str">
            <v>贾雪英</v>
          </cell>
          <cell r="I557" t="str">
            <v>三星销售顾问</v>
          </cell>
          <cell r="J557" t="str">
            <v>男</v>
          </cell>
          <cell r="K557" t="str">
            <v>正式</v>
          </cell>
          <cell r="L557" t="str">
            <v>内部员工</v>
          </cell>
          <cell r="M557" t="str">
            <v>贾雪英</v>
          </cell>
        </row>
        <row r="558">
          <cell r="A558" t="str">
            <v>李涛2</v>
          </cell>
          <cell r="B558" t="str">
            <v>01134</v>
          </cell>
          <cell r="C558" t="str">
            <v>四川金巴牛网络科技有限公司</v>
          </cell>
          <cell r="D558">
            <v>45596</v>
          </cell>
          <cell r="E558" t="str">
            <v>集团职能</v>
          </cell>
          <cell r="F558" t="str">
            <v>职能总部</v>
          </cell>
          <cell r="G558" t="str">
            <v>技术部</v>
          </cell>
        </row>
        <row r="558">
          <cell r="I558" t="str">
            <v>产品经理</v>
          </cell>
          <cell r="J558" t="str">
            <v>男</v>
          </cell>
          <cell r="K558" t="str">
            <v>正式</v>
          </cell>
          <cell r="L558" t="str">
            <v>内部员工</v>
          </cell>
          <cell r="M558" t="str">
            <v>张亚东</v>
          </cell>
        </row>
        <row r="559">
          <cell r="A559" t="str">
            <v>王晓刚</v>
          </cell>
          <cell r="B559" t="str">
            <v>01133</v>
          </cell>
          <cell r="C559" t="str">
            <v>陕西蜂族科技有限公司</v>
          </cell>
          <cell r="D559">
            <v>45595</v>
          </cell>
          <cell r="E559" t="str">
            <v>陕西</v>
          </cell>
          <cell r="F559" t="str">
            <v>陕西营销中心</v>
          </cell>
          <cell r="G559" t="str">
            <v>陕西2部</v>
          </cell>
        </row>
        <row r="559">
          <cell r="I559" t="str">
            <v>一星实习经理</v>
          </cell>
          <cell r="J559" t="str">
            <v>男</v>
          </cell>
          <cell r="K559" t="str">
            <v>正式</v>
          </cell>
          <cell r="L559" t="str">
            <v>内部员工</v>
          </cell>
          <cell r="M559" t="str">
            <v>李耀</v>
          </cell>
        </row>
        <row r="560">
          <cell r="A560" t="str">
            <v>付波</v>
          </cell>
          <cell r="B560" t="str">
            <v>01132</v>
          </cell>
          <cell r="C560" t="str">
            <v>湖北蜜蜂族房地产经纪有限公司</v>
          </cell>
          <cell r="D560">
            <v>45594</v>
          </cell>
          <cell r="E560" t="str">
            <v>湖北</v>
          </cell>
          <cell r="F560" t="str">
            <v>湖北营销中心</v>
          </cell>
          <cell r="G560" t="str">
            <v>湖北2部</v>
          </cell>
          <cell r="H560" t="str">
            <v>马超</v>
          </cell>
          <cell r="I560" t="str">
            <v>三星销售顾问</v>
          </cell>
          <cell r="J560" t="str">
            <v>男</v>
          </cell>
          <cell r="K560" t="str">
            <v>正式</v>
          </cell>
          <cell r="L560" t="str">
            <v>内部员工</v>
          </cell>
          <cell r="M560" t="str">
            <v>马超</v>
          </cell>
        </row>
        <row r="561">
          <cell r="A561" t="str">
            <v>卢宝元</v>
          </cell>
          <cell r="B561" t="str">
            <v>01129</v>
          </cell>
          <cell r="C561" t="str">
            <v>湖北蜜蜂族房地产经纪有限公司</v>
          </cell>
          <cell r="D561">
            <v>45593</v>
          </cell>
          <cell r="E561" t="str">
            <v>湖北</v>
          </cell>
          <cell r="F561" t="str">
            <v>湖北营销中心</v>
          </cell>
          <cell r="G561" t="str">
            <v>湖北2部</v>
          </cell>
          <cell r="H561" t="str">
            <v>陈晓辉</v>
          </cell>
          <cell r="I561" t="str">
            <v>三星销售顾问</v>
          </cell>
          <cell r="J561" t="str">
            <v>男</v>
          </cell>
          <cell r="K561" t="str">
            <v>正式</v>
          </cell>
          <cell r="L561" t="str">
            <v>内部员工</v>
          </cell>
          <cell r="M561" t="str">
            <v>陈晓辉</v>
          </cell>
        </row>
        <row r="562">
          <cell r="A562" t="str">
            <v>谢莉莎</v>
          </cell>
          <cell r="B562" t="str">
            <v>01128</v>
          </cell>
          <cell r="C562" t="str">
            <v>山西时代蜂族房地产经纪有限公司</v>
          </cell>
          <cell r="D562">
            <v>45593</v>
          </cell>
          <cell r="E562" t="str">
            <v>山西</v>
          </cell>
          <cell r="F562" t="str">
            <v>山西拓展部</v>
          </cell>
        </row>
        <row r="562">
          <cell r="I562" t="str">
            <v>实习拓展</v>
          </cell>
          <cell r="J562" t="str">
            <v>女</v>
          </cell>
          <cell r="K562" t="str">
            <v>正式</v>
          </cell>
          <cell r="L562" t="str">
            <v>内部员工</v>
          </cell>
          <cell r="M562" t="str">
            <v>吴川江</v>
          </cell>
        </row>
        <row r="563">
          <cell r="A563" t="str">
            <v>任富胜</v>
          </cell>
          <cell r="B563" t="str">
            <v>01130</v>
          </cell>
          <cell r="C563" t="str">
            <v>陕西蜂族科技有限公司</v>
          </cell>
          <cell r="D563">
            <v>45593</v>
          </cell>
          <cell r="E563" t="str">
            <v>陕西</v>
          </cell>
          <cell r="F563" t="str">
            <v>陕西拓展部</v>
          </cell>
          <cell r="G563" t="str">
            <v>陕西2区</v>
          </cell>
        </row>
        <row r="563">
          <cell r="I563" t="str">
            <v>一星拓展专员</v>
          </cell>
          <cell r="J563" t="str">
            <v>男</v>
          </cell>
          <cell r="K563" t="str">
            <v>正式</v>
          </cell>
          <cell r="L563" t="str">
            <v>内部员工</v>
          </cell>
          <cell r="M563" t="str">
            <v>邹春梅</v>
          </cell>
        </row>
        <row r="564">
          <cell r="A564" t="str">
            <v>李蓓</v>
          </cell>
          <cell r="B564" t="str">
            <v>01127</v>
          </cell>
          <cell r="C564" t="str">
            <v>湖北蜜蜂族房地产经纪有限公司</v>
          </cell>
          <cell r="D564">
            <v>45593</v>
          </cell>
          <cell r="E564" t="str">
            <v>湖北</v>
          </cell>
          <cell r="F564" t="str">
            <v>湖北营销中心</v>
          </cell>
          <cell r="G564" t="str">
            <v>湖北2部</v>
          </cell>
          <cell r="H564" t="str">
            <v>赵国富</v>
          </cell>
          <cell r="I564" t="str">
            <v>三星销售顾问</v>
          </cell>
          <cell r="J564" t="str">
            <v>女</v>
          </cell>
          <cell r="K564" t="str">
            <v>正式</v>
          </cell>
          <cell r="L564" t="str">
            <v>内部员工</v>
          </cell>
          <cell r="M564" t="str">
            <v>赵国富</v>
          </cell>
        </row>
        <row r="565">
          <cell r="A565" t="str">
            <v>吕涛</v>
          </cell>
          <cell r="B565" t="str">
            <v>01124</v>
          </cell>
          <cell r="C565" t="str">
            <v>四川时代蜂族营销策划有限公司</v>
          </cell>
          <cell r="D565">
            <v>45590</v>
          </cell>
          <cell r="E565" t="str">
            <v>河南</v>
          </cell>
          <cell r="F565" t="str">
            <v>河南营销中心</v>
          </cell>
          <cell r="G565" t="str">
            <v>河南销售部</v>
          </cell>
        </row>
        <row r="565">
          <cell r="I565" t="str">
            <v>一星实习经理</v>
          </cell>
          <cell r="J565" t="str">
            <v>男</v>
          </cell>
          <cell r="K565" t="str">
            <v>正式</v>
          </cell>
          <cell r="L565" t="str">
            <v>内部员工</v>
          </cell>
          <cell r="M565" t="str">
            <v>毛孝树</v>
          </cell>
        </row>
        <row r="566">
          <cell r="A566" t="str">
            <v>王磊</v>
          </cell>
          <cell r="B566" t="str">
            <v>01121</v>
          </cell>
          <cell r="C566" t="str">
            <v>陕西蜂族科技有限公司</v>
          </cell>
          <cell r="D566">
            <v>45590</v>
          </cell>
          <cell r="E566" t="str">
            <v>陕西</v>
          </cell>
          <cell r="F566" t="str">
            <v>陕西营销中心</v>
          </cell>
          <cell r="G566" t="str">
            <v>陕西1部</v>
          </cell>
          <cell r="H566" t="str">
            <v>孙宇</v>
          </cell>
          <cell r="I566" t="str">
            <v>三星销售顾问</v>
          </cell>
          <cell r="J566" t="str">
            <v>男</v>
          </cell>
          <cell r="K566" t="str">
            <v>正式</v>
          </cell>
          <cell r="L566" t="str">
            <v>内部员工</v>
          </cell>
          <cell r="M566" t="str">
            <v>孙宇</v>
          </cell>
        </row>
        <row r="567">
          <cell r="A567" t="str">
            <v>高旭</v>
          </cell>
          <cell r="B567" t="str">
            <v>01119</v>
          </cell>
          <cell r="C567" t="str">
            <v>四川时代蜂族营销策划有限公司</v>
          </cell>
          <cell r="D567">
            <v>45589</v>
          </cell>
          <cell r="E567" t="str">
            <v>西南总部</v>
          </cell>
          <cell r="F567" t="str">
            <v>西南营销中心</v>
          </cell>
          <cell r="G567" t="str">
            <v>营业五部</v>
          </cell>
          <cell r="H567" t="str">
            <v>叶鑫</v>
          </cell>
          <cell r="I567" t="str">
            <v>三星销售顾问</v>
          </cell>
          <cell r="J567" t="str">
            <v>男</v>
          </cell>
          <cell r="K567" t="str">
            <v>正式</v>
          </cell>
          <cell r="L567" t="str">
            <v>内部员工</v>
          </cell>
          <cell r="M567" t="str">
            <v>叶鑫</v>
          </cell>
        </row>
        <row r="568">
          <cell r="A568" t="str">
            <v>雷小平</v>
          </cell>
          <cell r="B568" t="str">
            <v>01115</v>
          </cell>
          <cell r="C568" t="str">
            <v>四川时代蜂族营销策划有限公司</v>
          </cell>
          <cell r="D568">
            <v>45588</v>
          </cell>
          <cell r="E568" t="str">
            <v>集团职能</v>
          </cell>
          <cell r="F568" t="str">
            <v>职能营销</v>
          </cell>
          <cell r="G568" t="str">
            <v>督导部</v>
          </cell>
        </row>
        <row r="568">
          <cell r="I568" t="str">
            <v>一星销售政委</v>
          </cell>
          <cell r="J568" t="str">
            <v>女</v>
          </cell>
          <cell r="K568" t="str">
            <v>正式</v>
          </cell>
          <cell r="L568" t="str">
            <v>内部员工</v>
          </cell>
          <cell r="M568" t="str">
            <v>刘盼</v>
          </cell>
        </row>
        <row r="569">
          <cell r="A569" t="str">
            <v>卢思琴</v>
          </cell>
          <cell r="B569" t="str">
            <v>01109</v>
          </cell>
          <cell r="C569" t="str">
            <v>四川大礼连连科技有限公司</v>
          </cell>
          <cell r="D569">
            <v>45587</v>
          </cell>
          <cell r="E569" t="str">
            <v>集团职能</v>
          </cell>
          <cell r="F569" t="str">
            <v>职能总部</v>
          </cell>
          <cell r="G569" t="str">
            <v>人资行政部</v>
          </cell>
          <cell r="H569" t="str">
            <v>招聘部</v>
          </cell>
          <cell r="I569" t="str">
            <v>招聘专员</v>
          </cell>
          <cell r="J569" t="str">
            <v>女</v>
          </cell>
          <cell r="K569" t="str">
            <v>正式</v>
          </cell>
          <cell r="L569" t="str">
            <v>内部员工</v>
          </cell>
          <cell r="M569" t="str">
            <v>杨先达</v>
          </cell>
        </row>
        <row r="570">
          <cell r="A570" t="str">
            <v>胡智锦</v>
          </cell>
          <cell r="B570" t="str">
            <v>01195</v>
          </cell>
          <cell r="C570" t="str">
            <v>湖南时代蜂族营销策划有限公司</v>
          </cell>
          <cell r="D570">
            <v>45587</v>
          </cell>
          <cell r="E570" t="str">
            <v>湖南</v>
          </cell>
          <cell r="F570" t="str">
            <v>湖南拓展部</v>
          </cell>
        </row>
        <row r="570">
          <cell r="I570" t="str">
            <v>一星拓展专员</v>
          </cell>
          <cell r="J570" t="str">
            <v>男</v>
          </cell>
          <cell r="K570" t="str">
            <v>正式</v>
          </cell>
          <cell r="L570" t="str">
            <v>内部员工</v>
          </cell>
          <cell r="M570" t="str">
            <v>王超飞</v>
          </cell>
        </row>
        <row r="571">
          <cell r="A571" t="str">
            <v>牟新月</v>
          </cell>
          <cell r="B571" t="str">
            <v>01103</v>
          </cell>
          <cell r="C571" t="str">
            <v>四川优诺通瑞商贸有限公司</v>
          </cell>
          <cell r="D571">
            <v>45586</v>
          </cell>
          <cell r="E571" t="str">
            <v>集团职能</v>
          </cell>
          <cell r="F571" t="str">
            <v>职能总部</v>
          </cell>
          <cell r="G571" t="str">
            <v>外呼中心</v>
          </cell>
        </row>
        <row r="571">
          <cell r="I571" t="str">
            <v>调研专员</v>
          </cell>
          <cell r="J571" t="str">
            <v>女</v>
          </cell>
          <cell r="K571" t="str">
            <v>正式</v>
          </cell>
          <cell r="L571" t="str">
            <v>内部员工</v>
          </cell>
          <cell r="M571" t="str">
            <v>罗津俞</v>
          </cell>
        </row>
        <row r="572">
          <cell r="A572" t="str">
            <v>寇唐云楠</v>
          </cell>
          <cell r="B572" t="str">
            <v>01102</v>
          </cell>
          <cell r="C572" t="str">
            <v>四川优诺通瑞商贸有限公司</v>
          </cell>
          <cell r="D572">
            <v>45586</v>
          </cell>
          <cell r="E572" t="str">
            <v>集团职能</v>
          </cell>
          <cell r="F572" t="str">
            <v>职能总部</v>
          </cell>
          <cell r="G572" t="str">
            <v>外呼中心</v>
          </cell>
        </row>
        <row r="572">
          <cell r="I572" t="str">
            <v>调研专员</v>
          </cell>
          <cell r="J572" t="str">
            <v>女</v>
          </cell>
          <cell r="K572" t="str">
            <v>正式</v>
          </cell>
          <cell r="L572" t="str">
            <v>内部员工</v>
          </cell>
          <cell r="M572" t="str">
            <v>罗津俞</v>
          </cell>
        </row>
        <row r="573">
          <cell r="A573" t="str">
            <v>罗宁2</v>
          </cell>
          <cell r="B573" t="str">
            <v>01105</v>
          </cell>
          <cell r="C573" t="str">
            <v>四川时代蜂族营销策划有限公司</v>
          </cell>
          <cell r="D573">
            <v>45586</v>
          </cell>
          <cell r="E573" t="str">
            <v>西南总部</v>
          </cell>
          <cell r="F573" t="str">
            <v>西南营销中心</v>
          </cell>
          <cell r="G573" t="str">
            <v>营业四部</v>
          </cell>
          <cell r="H573" t="str">
            <v>刘亮</v>
          </cell>
          <cell r="I573" t="str">
            <v>B岗经理</v>
          </cell>
          <cell r="J573" t="str">
            <v>女</v>
          </cell>
          <cell r="K573" t="str">
            <v>正式</v>
          </cell>
          <cell r="L573" t="str">
            <v>内部员工</v>
          </cell>
          <cell r="M573" t="str">
            <v>刘亮</v>
          </cell>
        </row>
        <row r="574">
          <cell r="A574" t="str">
            <v>应小军</v>
          </cell>
          <cell r="B574" t="str">
            <v>01106</v>
          </cell>
          <cell r="C574" t="str">
            <v>陕西蜂族科技有限公司</v>
          </cell>
          <cell r="D574">
            <v>45586</v>
          </cell>
          <cell r="E574" t="str">
            <v>陕西</v>
          </cell>
          <cell r="F574" t="str">
            <v>陕西营销中心</v>
          </cell>
          <cell r="G574" t="str">
            <v>陕西2部</v>
          </cell>
          <cell r="H574" t="str">
            <v>蒙建</v>
          </cell>
          <cell r="I574" t="str">
            <v>三星销售顾问</v>
          </cell>
          <cell r="J574" t="str">
            <v>男</v>
          </cell>
          <cell r="K574" t="str">
            <v>正式</v>
          </cell>
          <cell r="L574" t="str">
            <v>内部员工</v>
          </cell>
          <cell r="M574" t="str">
            <v>蒙建</v>
          </cell>
        </row>
        <row r="575">
          <cell r="A575" t="str">
            <v>谢沁霜</v>
          </cell>
          <cell r="B575" t="str">
            <v>01099</v>
          </cell>
          <cell r="C575" t="str">
            <v>四川时代蜂族营销策划有限公司</v>
          </cell>
          <cell r="D575">
            <v>45583</v>
          </cell>
          <cell r="E575" t="str">
            <v>西南总部</v>
          </cell>
          <cell r="F575" t="str">
            <v>西南营销中心</v>
          </cell>
          <cell r="G575" t="str">
            <v>营业七部</v>
          </cell>
        </row>
        <row r="575">
          <cell r="I575" t="str">
            <v>一星实习经理</v>
          </cell>
          <cell r="J575" t="str">
            <v>女</v>
          </cell>
          <cell r="K575" t="str">
            <v>正式</v>
          </cell>
          <cell r="L575" t="str">
            <v>内部员工</v>
          </cell>
          <cell r="M575" t="str">
            <v>程新浩</v>
          </cell>
        </row>
        <row r="576">
          <cell r="A576" t="str">
            <v>赵京玉</v>
          </cell>
          <cell r="B576" t="str">
            <v>01098</v>
          </cell>
          <cell r="C576" t="str">
            <v>陕西蜂族科技有限公司</v>
          </cell>
          <cell r="D576">
            <v>45583</v>
          </cell>
          <cell r="E576" t="str">
            <v>陕西</v>
          </cell>
          <cell r="F576" t="str">
            <v>陕西营销中心</v>
          </cell>
          <cell r="G576" t="str">
            <v>陕西1部</v>
          </cell>
          <cell r="H576" t="str">
            <v>李丝丝</v>
          </cell>
          <cell r="I576" t="str">
            <v>二星销售顾问</v>
          </cell>
          <cell r="J576" t="str">
            <v>男</v>
          </cell>
          <cell r="K576" t="str">
            <v>正式</v>
          </cell>
          <cell r="L576" t="str">
            <v>内部员工</v>
          </cell>
          <cell r="M576" t="str">
            <v>李丝丝</v>
          </cell>
        </row>
        <row r="577">
          <cell r="A577" t="str">
            <v>何彦宏</v>
          </cell>
          <cell r="B577" t="str">
            <v>01100</v>
          </cell>
          <cell r="C577" t="str">
            <v>四川优诺通瑞商贸有限公司</v>
          </cell>
          <cell r="D577">
            <v>45583</v>
          </cell>
          <cell r="E577" t="str">
            <v>集团职能</v>
          </cell>
          <cell r="F577" t="str">
            <v>职能总部</v>
          </cell>
          <cell r="G577" t="str">
            <v>外呼中心</v>
          </cell>
        </row>
        <row r="577">
          <cell r="I577" t="str">
            <v>调研专员</v>
          </cell>
          <cell r="J577" t="str">
            <v>男</v>
          </cell>
          <cell r="K577" t="str">
            <v>正式</v>
          </cell>
          <cell r="L577" t="str">
            <v>内部员工</v>
          </cell>
          <cell r="M577" t="str">
            <v>罗津俞</v>
          </cell>
        </row>
        <row r="578">
          <cell r="A578" t="str">
            <v>马玉玲</v>
          </cell>
          <cell r="B578" t="str">
            <v>01093</v>
          </cell>
          <cell r="C578" t="str">
            <v>四川时代蜂族营销策划有限公司</v>
          </cell>
          <cell r="D578">
            <v>45582</v>
          </cell>
          <cell r="E578" t="str">
            <v>河北</v>
          </cell>
          <cell r="F578" t="str">
            <v>河北营销中心</v>
          </cell>
          <cell r="G578" t="str">
            <v>河北销售部</v>
          </cell>
          <cell r="H578" t="str">
            <v>韩旭河北</v>
          </cell>
          <cell r="I578" t="str">
            <v>三星销售顾问</v>
          </cell>
          <cell r="J578" t="str">
            <v>女</v>
          </cell>
          <cell r="K578" t="str">
            <v>正式</v>
          </cell>
          <cell r="L578" t="str">
            <v>内部员工</v>
          </cell>
          <cell r="M578" t="str">
            <v>韩旭</v>
          </cell>
        </row>
        <row r="579">
          <cell r="A579" t="str">
            <v>刘谨瑞</v>
          </cell>
          <cell r="B579" t="str">
            <v>01091</v>
          </cell>
          <cell r="C579" t="str">
            <v>山东时代蜂族营销策划有限公司</v>
          </cell>
          <cell r="D579">
            <v>45582</v>
          </cell>
          <cell r="E579" t="str">
            <v>山东</v>
          </cell>
          <cell r="F579" t="str">
            <v>山东营销中心</v>
          </cell>
          <cell r="G579" t="str">
            <v>山东销售部</v>
          </cell>
          <cell r="H579" t="str">
            <v>肖佳</v>
          </cell>
          <cell r="I579" t="str">
            <v>三星销售顾问</v>
          </cell>
          <cell r="J579" t="str">
            <v>女</v>
          </cell>
          <cell r="K579" t="str">
            <v>正式</v>
          </cell>
          <cell r="L579" t="str">
            <v>内部员工</v>
          </cell>
          <cell r="M579" t="str">
            <v>肖佳</v>
          </cell>
        </row>
        <row r="580">
          <cell r="A580" t="str">
            <v>冯光辉</v>
          </cell>
          <cell r="B580" t="str">
            <v>01096</v>
          </cell>
          <cell r="C580" t="str">
            <v>四川时代蜂族营销策划有限公司</v>
          </cell>
          <cell r="D580">
            <v>45582</v>
          </cell>
          <cell r="E580" t="str">
            <v>西南总部</v>
          </cell>
          <cell r="F580" t="str">
            <v>西南营销中心</v>
          </cell>
          <cell r="G580" t="str">
            <v>营业四部</v>
          </cell>
          <cell r="H580" t="str">
            <v>贾萍</v>
          </cell>
          <cell r="I580" t="str">
            <v>三星销售顾问</v>
          </cell>
          <cell r="J580" t="str">
            <v>男</v>
          </cell>
          <cell r="K580" t="str">
            <v>正式</v>
          </cell>
          <cell r="L580" t="str">
            <v>内部员工</v>
          </cell>
          <cell r="M580" t="str">
            <v>贾萍</v>
          </cell>
        </row>
        <row r="581">
          <cell r="A581" t="str">
            <v>黄俊</v>
          </cell>
          <cell r="B581" t="str">
            <v>01092</v>
          </cell>
          <cell r="C581" t="str">
            <v>湖北蜜蜂族房地产经纪有限公司</v>
          </cell>
          <cell r="D581">
            <v>45581</v>
          </cell>
          <cell r="E581" t="str">
            <v>湖北</v>
          </cell>
          <cell r="F581" t="str">
            <v>湖北营销中心</v>
          </cell>
          <cell r="G581" t="str">
            <v>湖北1部</v>
          </cell>
        </row>
        <row r="581">
          <cell r="I581" t="str">
            <v>一星实习经理</v>
          </cell>
          <cell r="J581" t="str">
            <v>男</v>
          </cell>
          <cell r="K581" t="str">
            <v>正式</v>
          </cell>
          <cell r="L581" t="str">
            <v>内部员工</v>
          </cell>
          <cell r="M581" t="str">
            <v>林浩</v>
          </cell>
        </row>
        <row r="582">
          <cell r="A582" t="str">
            <v>吴清华</v>
          </cell>
          <cell r="B582" t="str">
            <v>01090</v>
          </cell>
          <cell r="C582" t="str">
            <v>山东时代蜂族营销策划有限公司</v>
          </cell>
          <cell r="D582">
            <v>45580</v>
          </cell>
          <cell r="E582" t="str">
            <v>山东</v>
          </cell>
          <cell r="F582" t="str">
            <v>山东拓展部</v>
          </cell>
          <cell r="G582" t="str">
            <v>山东战区1</v>
          </cell>
        </row>
        <row r="582">
          <cell r="I582" t="str">
            <v>实习拓展</v>
          </cell>
          <cell r="J582" t="str">
            <v>男</v>
          </cell>
          <cell r="K582" t="str">
            <v>正式</v>
          </cell>
          <cell r="L582" t="str">
            <v>内部员工</v>
          </cell>
          <cell r="M582" t="str">
            <v>向润</v>
          </cell>
        </row>
        <row r="583">
          <cell r="A583" t="str">
            <v>岳文</v>
          </cell>
          <cell r="B583" t="str">
            <v>01088</v>
          </cell>
          <cell r="C583" t="str">
            <v>湖北蜜蜂族房地产经纪有限公司</v>
          </cell>
          <cell r="D583">
            <v>45579</v>
          </cell>
          <cell r="E583" t="str">
            <v>湖北</v>
          </cell>
          <cell r="F583" t="str">
            <v>湖北营销中心</v>
          </cell>
          <cell r="G583" t="str">
            <v>湖北1部</v>
          </cell>
          <cell r="H583" t="str">
            <v>李文</v>
          </cell>
          <cell r="I583" t="str">
            <v>三星销售顾问</v>
          </cell>
          <cell r="J583" t="str">
            <v>男</v>
          </cell>
          <cell r="K583" t="str">
            <v>正式</v>
          </cell>
          <cell r="L583" t="str">
            <v>内部员工</v>
          </cell>
          <cell r="M583" t="str">
            <v>李文</v>
          </cell>
        </row>
        <row r="584">
          <cell r="A584" t="str">
            <v>何秋怡</v>
          </cell>
          <cell r="B584" t="str">
            <v>01087</v>
          </cell>
          <cell r="C584" t="str">
            <v>四川时代蜂族营销策划有限公司</v>
          </cell>
          <cell r="D584">
            <v>45579</v>
          </cell>
          <cell r="E584" t="str">
            <v>西南总部</v>
          </cell>
          <cell r="F584" t="str">
            <v>西南营销中心</v>
          </cell>
          <cell r="G584" t="str">
            <v>营业五部</v>
          </cell>
          <cell r="H584" t="str">
            <v>叶鑫</v>
          </cell>
          <cell r="I584" t="str">
            <v>三星销售顾问</v>
          </cell>
          <cell r="J584" t="str">
            <v>女</v>
          </cell>
          <cell r="K584" t="str">
            <v>正式</v>
          </cell>
          <cell r="L584" t="str">
            <v>内部员工</v>
          </cell>
          <cell r="M584" t="str">
            <v>叶鑫</v>
          </cell>
        </row>
        <row r="585">
          <cell r="A585" t="str">
            <v>余星海</v>
          </cell>
          <cell r="B585" t="str">
            <v>01085</v>
          </cell>
          <cell r="C585" t="str">
            <v>湖北蜜蜂族房地产经纪有限公司</v>
          </cell>
          <cell r="D585">
            <v>45579</v>
          </cell>
          <cell r="E585" t="str">
            <v>湖北</v>
          </cell>
          <cell r="F585" t="str">
            <v>湖北营销中心</v>
          </cell>
          <cell r="G585" t="str">
            <v>湖北1部</v>
          </cell>
          <cell r="H585" t="str">
            <v>阮阳</v>
          </cell>
          <cell r="I585" t="str">
            <v>三星销售顾问</v>
          </cell>
          <cell r="J585" t="str">
            <v>男</v>
          </cell>
          <cell r="K585" t="str">
            <v>正式</v>
          </cell>
          <cell r="L585" t="str">
            <v>内部员工</v>
          </cell>
          <cell r="M585" t="str">
            <v>阮阳</v>
          </cell>
        </row>
        <row r="586">
          <cell r="A586" t="str">
            <v>胡建鸳</v>
          </cell>
          <cell r="B586" t="str">
            <v>01086</v>
          </cell>
          <cell r="C586" t="str">
            <v>四川优诺通瑞商贸有限公司</v>
          </cell>
          <cell r="D586">
            <v>45579</v>
          </cell>
          <cell r="E586" t="str">
            <v>集团职能</v>
          </cell>
          <cell r="F586" t="str">
            <v>职能总部</v>
          </cell>
          <cell r="G586" t="str">
            <v>外呼中心</v>
          </cell>
        </row>
        <row r="586">
          <cell r="I586" t="str">
            <v>调研专员</v>
          </cell>
          <cell r="J586" t="str">
            <v>女</v>
          </cell>
          <cell r="K586" t="str">
            <v>正式</v>
          </cell>
          <cell r="L586" t="str">
            <v>内部员工</v>
          </cell>
          <cell r="M586" t="str">
            <v>罗津俞</v>
          </cell>
        </row>
        <row r="587">
          <cell r="A587" t="str">
            <v>张丽2</v>
          </cell>
          <cell r="B587" t="str">
            <v>01082</v>
          </cell>
          <cell r="C587" t="str">
            <v>四川时代蜂族营销策划有限公司</v>
          </cell>
          <cell r="D587">
            <v>45577</v>
          </cell>
          <cell r="E587" t="str">
            <v>西南总部</v>
          </cell>
          <cell r="F587" t="str">
            <v>西南营销中心</v>
          </cell>
          <cell r="G587" t="str">
            <v>营业三部</v>
          </cell>
          <cell r="H587" t="str">
            <v>姚瑶</v>
          </cell>
          <cell r="I587" t="str">
            <v>三星销售顾问</v>
          </cell>
          <cell r="J587" t="str">
            <v>女</v>
          </cell>
          <cell r="K587" t="str">
            <v>正式</v>
          </cell>
          <cell r="L587" t="str">
            <v>内部员工</v>
          </cell>
          <cell r="M587" t="str">
            <v>姚瑶</v>
          </cell>
        </row>
        <row r="588">
          <cell r="A588" t="str">
            <v>李家鸿</v>
          </cell>
          <cell r="B588" t="str">
            <v>01083</v>
          </cell>
          <cell r="C588" t="str">
            <v>湖北蜜蜂族房地产经纪有限公司</v>
          </cell>
          <cell r="D588">
            <v>45577</v>
          </cell>
          <cell r="E588" t="str">
            <v>湖北</v>
          </cell>
          <cell r="F588" t="str">
            <v>湖北营销中心</v>
          </cell>
          <cell r="G588" t="str">
            <v>湖北1部</v>
          </cell>
          <cell r="H588" t="str">
            <v>阮阳</v>
          </cell>
          <cell r="I588" t="str">
            <v>三星销售顾问</v>
          </cell>
          <cell r="J588" t="str">
            <v>男</v>
          </cell>
          <cell r="K588" t="str">
            <v>正式</v>
          </cell>
          <cell r="L588" t="str">
            <v>内部员工</v>
          </cell>
          <cell r="M588" t="str">
            <v>阮阳</v>
          </cell>
        </row>
        <row r="589">
          <cell r="A589" t="str">
            <v>陈俊儒2</v>
          </cell>
          <cell r="B589" t="str">
            <v>01080</v>
          </cell>
          <cell r="C589" t="str">
            <v>湖南时代蜂族营销策划有限公司</v>
          </cell>
          <cell r="D589">
            <v>45577</v>
          </cell>
          <cell r="E589" t="str">
            <v>湖南</v>
          </cell>
          <cell r="F589" t="str">
            <v>湖南营销中心</v>
          </cell>
          <cell r="G589" t="str">
            <v>湖南销售部</v>
          </cell>
          <cell r="H589" t="str">
            <v>罗敏</v>
          </cell>
          <cell r="I589" t="str">
            <v>三星销售顾问</v>
          </cell>
          <cell r="J589" t="str">
            <v>男</v>
          </cell>
          <cell r="K589" t="str">
            <v>正式</v>
          </cell>
          <cell r="L589" t="str">
            <v>内部员工</v>
          </cell>
          <cell r="M589" t="str">
            <v>罗敏</v>
          </cell>
        </row>
        <row r="590">
          <cell r="A590" t="str">
            <v>廖常玖</v>
          </cell>
          <cell r="B590" t="str">
            <v>01078</v>
          </cell>
          <cell r="C590" t="str">
            <v>山西时代蜂族房地产经纪有限公司</v>
          </cell>
          <cell r="D590">
            <v>45577</v>
          </cell>
          <cell r="E590" t="str">
            <v>山西</v>
          </cell>
          <cell r="F590" t="str">
            <v>山西营销中心</v>
          </cell>
          <cell r="G590" t="str">
            <v>山西销售部</v>
          </cell>
          <cell r="H590" t="str">
            <v>艾林山西</v>
          </cell>
          <cell r="I590" t="str">
            <v>三星销售顾问</v>
          </cell>
          <cell r="J590" t="str">
            <v>男</v>
          </cell>
          <cell r="K590" t="str">
            <v>正式</v>
          </cell>
          <cell r="L590" t="str">
            <v>内部员工</v>
          </cell>
          <cell r="M590" t="str">
            <v>艾林</v>
          </cell>
        </row>
        <row r="591">
          <cell r="A591" t="str">
            <v>王力平</v>
          </cell>
          <cell r="B591" t="str">
            <v>01077</v>
          </cell>
          <cell r="C591" t="str">
            <v>山西时代蜂族房地产经纪有限公司</v>
          </cell>
          <cell r="D591">
            <v>45576</v>
          </cell>
          <cell r="E591" t="str">
            <v>山西</v>
          </cell>
          <cell r="F591" t="str">
            <v>山西营销中心</v>
          </cell>
          <cell r="G591" t="str">
            <v>山西销售部</v>
          </cell>
          <cell r="H591" t="str">
            <v>艾林山西</v>
          </cell>
          <cell r="I591" t="str">
            <v>三星销售顾问</v>
          </cell>
          <cell r="J591" t="str">
            <v>女</v>
          </cell>
          <cell r="K591" t="str">
            <v>正式</v>
          </cell>
          <cell r="L591" t="str">
            <v>内部员工</v>
          </cell>
          <cell r="M591" t="str">
            <v>艾林</v>
          </cell>
        </row>
        <row r="592">
          <cell r="A592" t="str">
            <v>周青天</v>
          </cell>
          <cell r="B592" t="str">
            <v>00630</v>
          </cell>
          <cell r="C592" t="str">
            <v>湖南时代蜂族营销策划有限公司</v>
          </cell>
          <cell r="D592">
            <v>45575</v>
          </cell>
          <cell r="E592" t="str">
            <v>湖南</v>
          </cell>
          <cell r="F592" t="str">
            <v>湖南拓展部</v>
          </cell>
        </row>
        <row r="592">
          <cell r="I592" t="str">
            <v>实习拓展</v>
          </cell>
          <cell r="J592" t="str">
            <v>男</v>
          </cell>
          <cell r="K592" t="str">
            <v>正式</v>
          </cell>
          <cell r="L592" t="str">
            <v>内部员工</v>
          </cell>
          <cell r="M592" t="str">
            <v>王超飞</v>
          </cell>
        </row>
        <row r="593">
          <cell r="A593" t="str">
            <v>周建</v>
          </cell>
          <cell r="B593" t="str">
            <v>01073</v>
          </cell>
          <cell r="C593" t="str">
            <v>山东时代蜂族营销策划有限公司</v>
          </cell>
          <cell r="D593">
            <v>45569</v>
          </cell>
          <cell r="E593" t="str">
            <v>山东</v>
          </cell>
          <cell r="F593" t="str">
            <v>山东营销中心</v>
          </cell>
          <cell r="G593" t="str">
            <v>山东销售部</v>
          </cell>
          <cell r="H593" t="str">
            <v>苏晓青</v>
          </cell>
          <cell r="I593" t="str">
            <v>三星销售顾问</v>
          </cell>
          <cell r="J593" t="str">
            <v>男</v>
          </cell>
          <cell r="K593" t="str">
            <v>正式</v>
          </cell>
          <cell r="L593" t="str">
            <v>内部员工</v>
          </cell>
          <cell r="M593" t="str">
            <v>苏晓青</v>
          </cell>
        </row>
        <row r="594">
          <cell r="A594" t="str">
            <v>易香君</v>
          </cell>
          <cell r="B594" t="str">
            <v>01070</v>
          </cell>
          <cell r="C594" t="str">
            <v>山东时代蜂族营销策划有限公司</v>
          </cell>
          <cell r="D594">
            <v>45565</v>
          </cell>
          <cell r="E594" t="str">
            <v>山东</v>
          </cell>
          <cell r="F594" t="str">
            <v>山东营销中心</v>
          </cell>
          <cell r="G594" t="str">
            <v>山东销售部</v>
          </cell>
          <cell r="H594" t="str">
            <v>王杰</v>
          </cell>
          <cell r="I594" t="str">
            <v>二星销售顾问</v>
          </cell>
          <cell r="J594" t="str">
            <v>女</v>
          </cell>
          <cell r="K594" t="str">
            <v>正式</v>
          </cell>
          <cell r="L594" t="str">
            <v>内部员工</v>
          </cell>
          <cell r="M594" t="str">
            <v>王杰</v>
          </cell>
        </row>
        <row r="595">
          <cell r="A595" t="str">
            <v>尹稳</v>
          </cell>
          <cell r="B595" t="str">
            <v>01068</v>
          </cell>
          <cell r="C595" t="str">
            <v>四川时代蜂族营销策划有限公司</v>
          </cell>
          <cell r="D595">
            <v>45562</v>
          </cell>
          <cell r="E595" t="str">
            <v>西南总部</v>
          </cell>
          <cell r="F595" t="str">
            <v>西南营销中心</v>
          </cell>
          <cell r="G595" t="str">
            <v>营业五部</v>
          </cell>
        </row>
        <row r="595">
          <cell r="I595" t="str">
            <v>一星实习经理</v>
          </cell>
          <cell r="J595" t="str">
            <v>男</v>
          </cell>
          <cell r="K595" t="str">
            <v>正式</v>
          </cell>
          <cell r="L595" t="str">
            <v>内部员工</v>
          </cell>
          <cell r="M595" t="str">
            <v>叶鑫</v>
          </cell>
        </row>
        <row r="596">
          <cell r="A596" t="str">
            <v>胡强</v>
          </cell>
          <cell r="B596" t="str">
            <v>01067</v>
          </cell>
          <cell r="C596" t="str">
            <v>山西时代蜂族房地产经纪有限公司</v>
          </cell>
          <cell r="D596">
            <v>45562</v>
          </cell>
          <cell r="E596" t="str">
            <v>山西</v>
          </cell>
          <cell r="F596" t="str">
            <v>山西营销中心</v>
          </cell>
          <cell r="G596" t="str">
            <v>山西销售部</v>
          </cell>
          <cell r="H596" t="str">
            <v>刘辉</v>
          </cell>
          <cell r="I596" t="str">
            <v>二星销售顾问</v>
          </cell>
          <cell r="J596" t="str">
            <v>男</v>
          </cell>
          <cell r="K596" t="str">
            <v>正式</v>
          </cell>
          <cell r="L596" t="str">
            <v>内部员工</v>
          </cell>
          <cell r="M596" t="str">
            <v>刘辉</v>
          </cell>
        </row>
        <row r="597">
          <cell r="A597" t="str">
            <v>江皓</v>
          </cell>
          <cell r="B597" t="str">
            <v>01065</v>
          </cell>
          <cell r="C597" t="str">
            <v>湖南时代蜂族营销策划有限公司</v>
          </cell>
          <cell r="D597">
            <v>45561</v>
          </cell>
          <cell r="E597" t="str">
            <v>湖南</v>
          </cell>
          <cell r="F597" t="str">
            <v>湖南拓展部</v>
          </cell>
        </row>
        <row r="597">
          <cell r="I597" t="str">
            <v>一星拓展专员</v>
          </cell>
          <cell r="J597" t="str">
            <v>男</v>
          </cell>
          <cell r="K597" t="str">
            <v>正式</v>
          </cell>
          <cell r="L597" t="str">
            <v>内部员工</v>
          </cell>
          <cell r="M597" t="str">
            <v>王超飞</v>
          </cell>
        </row>
        <row r="598">
          <cell r="A598" t="str">
            <v>王华兴</v>
          </cell>
          <cell r="B598" t="str">
            <v>01066</v>
          </cell>
          <cell r="C598" t="str">
            <v>四川时代蜂族营销策划有限公司</v>
          </cell>
          <cell r="D598">
            <v>45561</v>
          </cell>
          <cell r="E598" t="str">
            <v>西南总部</v>
          </cell>
          <cell r="F598" t="str">
            <v>西南营销中心</v>
          </cell>
          <cell r="G598" t="str">
            <v>营业七部</v>
          </cell>
          <cell r="H598" t="str">
            <v>张家涛</v>
          </cell>
          <cell r="I598" t="str">
            <v>三星销售顾问</v>
          </cell>
          <cell r="J598" t="str">
            <v>男</v>
          </cell>
          <cell r="K598" t="str">
            <v>正式</v>
          </cell>
          <cell r="L598" t="str">
            <v>内部员工</v>
          </cell>
          <cell r="M598" t="str">
            <v>张家涛</v>
          </cell>
        </row>
        <row r="599">
          <cell r="A599" t="str">
            <v>冯玉霞</v>
          </cell>
          <cell r="B599" t="str">
            <v>01062</v>
          </cell>
          <cell r="C599" t="str">
            <v>四川时代蜂族营销策划有限公司</v>
          </cell>
          <cell r="D599">
            <v>45559</v>
          </cell>
          <cell r="E599" t="str">
            <v>集团职能</v>
          </cell>
          <cell r="F599" t="str">
            <v>职能总部</v>
          </cell>
          <cell r="G599" t="str">
            <v>财务部</v>
          </cell>
        </row>
        <row r="599">
          <cell r="I599" t="str">
            <v>初级会计</v>
          </cell>
          <cell r="J599" t="str">
            <v>女</v>
          </cell>
          <cell r="K599" t="str">
            <v>正式</v>
          </cell>
          <cell r="L599" t="str">
            <v>内部员工</v>
          </cell>
          <cell r="M599" t="str">
            <v>陈萍</v>
          </cell>
        </row>
        <row r="600">
          <cell r="A600" t="str">
            <v>李小琴</v>
          </cell>
          <cell r="B600" t="str">
            <v>00613</v>
          </cell>
          <cell r="C600" t="str">
            <v>四川时代蜂族营销策划有限公司</v>
          </cell>
          <cell r="D600">
            <v>45556</v>
          </cell>
          <cell r="E600" t="str">
            <v>河北</v>
          </cell>
          <cell r="F600" t="str">
            <v>河北拓展部</v>
          </cell>
        </row>
        <row r="600">
          <cell r="I600" t="str">
            <v>一星拓展专员</v>
          </cell>
          <cell r="J600" t="str">
            <v>女</v>
          </cell>
          <cell r="K600" t="str">
            <v>正式</v>
          </cell>
          <cell r="L600" t="str">
            <v>内部员工</v>
          </cell>
          <cell r="M600" t="str">
            <v>黄伟</v>
          </cell>
        </row>
        <row r="601">
          <cell r="A601" t="str">
            <v>谭琴</v>
          </cell>
          <cell r="B601" t="str">
            <v>01053</v>
          </cell>
          <cell r="C601" t="str">
            <v>四川大礼连连科技有限公司</v>
          </cell>
          <cell r="D601">
            <v>45553</v>
          </cell>
          <cell r="E601" t="str">
            <v>集团职能</v>
          </cell>
          <cell r="F601" t="str">
            <v>职能总部</v>
          </cell>
          <cell r="G601" t="str">
            <v>人资行政部</v>
          </cell>
          <cell r="H601" t="str">
            <v>招聘部</v>
          </cell>
          <cell r="I601" t="str">
            <v>招聘专员</v>
          </cell>
          <cell r="J601" t="str">
            <v>女</v>
          </cell>
          <cell r="K601" t="str">
            <v>正式</v>
          </cell>
          <cell r="L601" t="str">
            <v>内部员工</v>
          </cell>
          <cell r="M601" t="str">
            <v>杨先达</v>
          </cell>
        </row>
        <row r="602">
          <cell r="A602" t="str">
            <v>李欣然</v>
          </cell>
          <cell r="B602" t="str">
            <v>01050</v>
          </cell>
          <cell r="C602" t="str">
            <v>河北时代蜂族营销策划有限公司</v>
          </cell>
          <cell r="D602">
            <v>45548</v>
          </cell>
          <cell r="E602" t="str">
            <v>河北</v>
          </cell>
          <cell r="F602" t="str">
            <v>河北营销中心</v>
          </cell>
          <cell r="G602" t="str">
            <v>河北销售部</v>
          </cell>
          <cell r="H602" t="str">
            <v>李港一</v>
          </cell>
          <cell r="I602" t="str">
            <v>三星销售顾问</v>
          </cell>
          <cell r="J602" t="str">
            <v>女</v>
          </cell>
          <cell r="K602" t="str">
            <v>正式</v>
          </cell>
          <cell r="L602" t="str">
            <v>内部员工</v>
          </cell>
          <cell r="M602" t="str">
            <v>李港一</v>
          </cell>
        </row>
        <row r="603">
          <cell r="A603" t="str">
            <v>张圣梁</v>
          </cell>
          <cell r="B603" t="str">
            <v>01047</v>
          </cell>
          <cell r="C603" t="str">
            <v>四川时代蜂族营销策划有限公司</v>
          </cell>
          <cell r="D603">
            <v>45545</v>
          </cell>
          <cell r="E603" t="str">
            <v>西南总部</v>
          </cell>
          <cell r="F603" t="str">
            <v>西南营销中心</v>
          </cell>
          <cell r="G603" t="str">
            <v>营业一部</v>
          </cell>
        </row>
        <row r="603">
          <cell r="I603" t="str">
            <v>一星实习经理</v>
          </cell>
          <cell r="J603" t="str">
            <v>男</v>
          </cell>
          <cell r="K603" t="str">
            <v>正式</v>
          </cell>
          <cell r="L603" t="str">
            <v>内部员工</v>
          </cell>
          <cell r="M603" t="str">
            <v>雷小金</v>
          </cell>
        </row>
        <row r="604">
          <cell r="A604" t="str">
            <v>马发平</v>
          </cell>
          <cell r="B604" t="str">
            <v>01046</v>
          </cell>
          <cell r="C604" t="str">
            <v>四川时代蜂族营销策划有限公司</v>
          </cell>
          <cell r="D604">
            <v>45539</v>
          </cell>
          <cell r="E604" t="str">
            <v>山西</v>
          </cell>
          <cell r="F604" t="str">
            <v>山西营销中心</v>
          </cell>
          <cell r="G604" t="str">
            <v>山西销售部</v>
          </cell>
          <cell r="H604" t="str">
            <v>彭停山西</v>
          </cell>
          <cell r="I604" t="str">
            <v>三星销售顾问</v>
          </cell>
          <cell r="J604" t="str">
            <v>男</v>
          </cell>
          <cell r="K604" t="str">
            <v>正式</v>
          </cell>
          <cell r="L604" t="str">
            <v>内部员工</v>
          </cell>
          <cell r="M604" t="str">
            <v>彭停</v>
          </cell>
        </row>
        <row r="605">
          <cell r="A605" t="str">
            <v>袁廷蛟</v>
          </cell>
          <cell r="B605" t="str">
            <v>01045</v>
          </cell>
          <cell r="C605" t="str">
            <v>四川时代蜂族营销策划有限公司</v>
          </cell>
          <cell r="D605">
            <v>45538</v>
          </cell>
          <cell r="E605" t="str">
            <v>西南总部</v>
          </cell>
          <cell r="F605" t="str">
            <v>西南营销中心</v>
          </cell>
          <cell r="G605" t="str">
            <v>营业二部</v>
          </cell>
          <cell r="H605" t="str">
            <v>杨芊</v>
          </cell>
          <cell r="I605" t="str">
            <v>三星销售顾问</v>
          </cell>
          <cell r="J605" t="str">
            <v>男</v>
          </cell>
          <cell r="K605" t="str">
            <v>正式</v>
          </cell>
          <cell r="L605" t="str">
            <v>内部员工</v>
          </cell>
          <cell r="M605" t="str">
            <v>杨芊</v>
          </cell>
        </row>
        <row r="606">
          <cell r="A606" t="str">
            <v>罗征</v>
          </cell>
          <cell r="B606" t="str">
            <v>01044</v>
          </cell>
          <cell r="C606" t="str">
            <v>四川时代蜂族营销策划有限公司</v>
          </cell>
          <cell r="D606">
            <v>45538</v>
          </cell>
          <cell r="E606" t="str">
            <v>西南总部</v>
          </cell>
          <cell r="F606" t="str">
            <v>西南营销中心</v>
          </cell>
          <cell r="G606" t="str">
            <v>营业四部</v>
          </cell>
          <cell r="H606" t="str">
            <v>刘亮</v>
          </cell>
          <cell r="I606" t="str">
            <v>三星销售顾问</v>
          </cell>
          <cell r="J606" t="str">
            <v>男</v>
          </cell>
          <cell r="K606" t="str">
            <v>正式</v>
          </cell>
          <cell r="L606" t="str">
            <v>内部员工</v>
          </cell>
          <cell r="M606" t="str">
            <v>刘亮</v>
          </cell>
        </row>
        <row r="607">
          <cell r="A607" t="str">
            <v>龙峻杰</v>
          </cell>
          <cell r="B607" t="str">
            <v>01043</v>
          </cell>
          <cell r="C607" t="str">
            <v>四川蜂起营销策划有限公司</v>
          </cell>
          <cell r="D607">
            <v>45537</v>
          </cell>
          <cell r="E607" t="str">
            <v>集团职能</v>
          </cell>
          <cell r="F607" t="str">
            <v>职能营销</v>
          </cell>
          <cell r="G607" t="str">
            <v>设计部</v>
          </cell>
        </row>
        <row r="607">
          <cell r="I607" t="str">
            <v>设计专员</v>
          </cell>
          <cell r="J607" t="str">
            <v>男</v>
          </cell>
          <cell r="K607" t="str">
            <v>正式</v>
          </cell>
          <cell r="L607" t="str">
            <v>内部员工</v>
          </cell>
          <cell r="M607" t="str">
            <v>李旭</v>
          </cell>
        </row>
        <row r="608">
          <cell r="A608" t="str">
            <v>罗津俞</v>
          </cell>
          <cell r="B608" t="str">
            <v>01042</v>
          </cell>
          <cell r="C608" t="str">
            <v>四川时代蜂族营销策划有限公司</v>
          </cell>
          <cell r="D608">
            <v>45536</v>
          </cell>
          <cell r="E608" t="str">
            <v>集团职能</v>
          </cell>
          <cell r="F608" t="str">
            <v>职能总部</v>
          </cell>
          <cell r="G608" t="str">
            <v>外呼中心</v>
          </cell>
        </row>
        <row r="608">
          <cell r="I608" t="str">
            <v>外呼主管</v>
          </cell>
          <cell r="J608" t="str">
            <v>女</v>
          </cell>
          <cell r="K608" t="str">
            <v>正式</v>
          </cell>
          <cell r="L608" t="str">
            <v>内部员工</v>
          </cell>
          <cell r="M608" t="str">
            <v>黄芳</v>
          </cell>
        </row>
        <row r="609">
          <cell r="A609" t="str">
            <v>刘丽萍</v>
          </cell>
          <cell r="B609" t="str">
            <v>01040</v>
          </cell>
          <cell r="C609" t="str">
            <v>四川时代蜂族营销策划有限公司</v>
          </cell>
          <cell r="D609">
            <v>45535</v>
          </cell>
          <cell r="E609" t="str">
            <v>西南总部</v>
          </cell>
          <cell r="F609" t="str">
            <v>西南营销中心</v>
          </cell>
          <cell r="G609" t="str">
            <v>营业三部</v>
          </cell>
          <cell r="H609" t="str">
            <v>曾竞超</v>
          </cell>
          <cell r="I609" t="str">
            <v>二星销售顾问</v>
          </cell>
          <cell r="J609" t="str">
            <v>女</v>
          </cell>
          <cell r="K609" t="str">
            <v>正式</v>
          </cell>
          <cell r="L609" t="str">
            <v>内部员工</v>
          </cell>
          <cell r="M609" t="str">
            <v>曾竞超</v>
          </cell>
        </row>
        <row r="610">
          <cell r="A610" t="str">
            <v>李鑫3</v>
          </cell>
          <cell r="B610" t="str">
            <v>01029</v>
          </cell>
          <cell r="C610" t="str">
            <v>四川金巴牛网络科技有限公司</v>
          </cell>
          <cell r="D610">
            <v>45530</v>
          </cell>
          <cell r="E610" t="str">
            <v>集团职能</v>
          </cell>
          <cell r="F610" t="str">
            <v>职能总部</v>
          </cell>
          <cell r="G610" t="str">
            <v>技术部</v>
          </cell>
        </row>
        <row r="610">
          <cell r="I610" t="str">
            <v>测试工程师</v>
          </cell>
          <cell r="J610" t="str">
            <v>男</v>
          </cell>
          <cell r="K610" t="str">
            <v>正式</v>
          </cell>
          <cell r="L610" t="str">
            <v>内部员工</v>
          </cell>
          <cell r="M610" t="str">
            <v>张亚东</v>
          </cell>
        </row>
        <row r="611">
          <cell r="A611" t="str">
            <v>贾春燕</v>
          </cell>
          <cell r="B611" t="str">
            <v>01031</v>
          </cell>
          <cell r="C611" t="str">
            <v>四川时代蜂族营销策划有限公司</v>
          </cell>
          <cell r="D611">
            <v>45530</v>
          </cell>
          <cell r="E611" t="str">
            <v>集团职能</v>
          </cell>
          <cell r="F611" t="str">
            <v>职能总部</v>
          </cell>
          <cell r="G611" t="str">
            <v>人资行政部</v>
          </cell>
        </row>
        <row r="611">
          <cell r="I611" t="str">
            <v>薪酬主管</v>
          </cell>
          <cell r="J611" t="str">
            <v>女</v>
          </cell>
          <cell r="K611" t="str">
            <v>正式</v>
          </cell>
          <cell r="L611" t="str">
            <v>内部员工</v>
          </cell>
          <cell r="M611" t="str">
            <v>孔群慧</v>
          </cell>
        </row>
        <row r="612">
          <cell r="A612" t="str">
            <v>蒲建宇</v>
          </cell>
          <cell r="B612" t="str">
            <v>01028</v>
          </cell>
          <cell r="C612" t="str">
            <v>山东时代蜂族营销策划有限公司</v>
          </cell>
          <cell r="D612">
            <v>45529</v>
          </cell>
          <cell r="E612" t="str">
            <v>山东</v>
          </cell>
          <cell r="F612" t="str">
            <v>山东营销中心</v>
          </cell>
          <cell r="G612" t="str">
            <v>山东销售部</v>
          </cell>
          <cell r="H612" t="str">
            <v>蒲建宇山东</v>
          </cell>
          <cell r="I612" t="str">
            <v>一星实习经理</v>
          </cell>
          <cell r="J612" t="str">
            <v>男</v>
          </cell>
          <cell r="K612" t="str">
            <v>正式</v>
          </cell>
          <cell r="L612" t="str">
            <v>内部员工</v>
          </cell>
          <cell r="M612" t="str">
            <v>李丹</v>
          </cell>
        </row>
        <row r="613">
          <cell r="A613" t="str">
            <v>陈竺</v>
          </cell>
          <cell r="B613" t="str">
            <v>01019</v>
          </cell>
          <cell r="C613" t="str">
            <v>湖北蜜蜂族房地产经纪有限公司</v>
          </cell>
          <cell r="D613">
            <v>45526</v>
          </cell>
          <cell r="E613" t="str">
            <v>湖北</v>
          </cell>
          <cell r="F613" t="str">
            <v>湖北营销中心</v>
          </cell>
          <cell r="G613" t="str">
            <v>湖北2部</v>
          </cell>
        </row>
        <row r="613">
          <cell r="I613" t="str">
            <v>一星实习经理</v>
          </cell>
          <cell r="J613" t="str">
            <v>女</v>
          </cell>
          <cell r="K613" t="str">
            <v>正式</v>
          </cell>
          <cell r="L613" t="str">
            <v>内部员工</v>
          </cell>
          <cell r="M613" t="str">
            <v>陈晓辉</v>
          </cell>
        </row>
        <row r="614">
          <cell r="A614" t="str">
            <v>张黎明</v>
          </cell>
          <cell r="B614" t="str">
            <v>01018</v>
          </cell>
          <cell r="C614" t="str">
            <v>四川时代蜂族营销策划有限公司</v>
          </cell>
          <cell r="D614">
            <v>45525</v>
          </cell>
          <cell r="E614" t="str">
            <v>西南总部</v>
          </cell>
          <cell r="F614" t="str">
            <v>西南营销中心</v>
          </cell>
          <cell r="G614" t="str">
            <v>营业一部</v>
          </cell>
          <cell r="H614" t="str">
            <v>唐浪波</v>
          </cell>
          <cell r="I614" t="str">
            <v>一星销售顾问</v>
          </cell>
          <cell r="J614" t="str">
            <v>男</v>
          </cell>
          <cell r="K614" t="str">
            <v>正式</v>
          </cell>
          <cell r="L614" t="str">
            <v>内部员工</v>
          </cell>
          <cell r="M614" t="str">
            <v>唐浪波</v>
          </cell>
        </row>
        <row r="615">
          <cell r="A615" t="str">
            <v>苏佳倩</v>
          </cell>
          <cell r="B615" t="str">
            <v>01016</v>
          </cell>
          <cell r="C615" t="str">
            <v>陕西蜂族科技有限公司</v>
          </cell>
          <cell r="D615">
            <v>45523</v>
          </cell>
          <cell r="E615" t="str">
            <v>陕西</v>
          </cell>
          <cell r="F615" t="str">
            <v>陕西营销中心</v>
          </cell>
          <cell r="G615" t="str">
            <v>陕西2部</v>
          </cell>
          <cell r="H615" t="str">
            <v>冀敏</v>
          </cell>
          <cell r="I615" t="str">
            <v>二星销售顾问</v>
          </cell>
          <cell r="J615" t="str">
            <v>女</v>
          </cell>
          <cell r="K615" t="str">
            <v>正式</v>
          </cell>
          <cell r="L615" t="str">
            <v>内部员工</v>
          </cell>
          <cell r="M615" t="str">
            <v>冀敏</v>
          </cell>
        </row>
        <row r="616">
          <cell r="A616" t="str">
            <v>曾祥忠</v>
          </cell>
          <cell r="B616" t="str">
            <v>01010</v>
          </cell>
          <cell r="C616" t="str">
            <v>陕西蜂族科技有限公司</v>
          </cell>
          <cell r="D616">
            <v>45521</v>
          </cell>
          <cell r="E616" t="str">
            <v>陕西</v>
          </cell>
          <cell r="F616" t="str">
            <v>陕西营销中心</v>
          </cell>
          <cell r="G616" t="str">
            <v>陕西1部</v>
          </cell>
          <cell r="H616" t="str">
            <v>张英</v>
          </cell>
          <cell r="I616" t="str">
            <v>三星销售顾问</v>
          </cell>
          <cell r="J616" t="str">
            <v>男</v>
          </cell>
          <cell r="K616" t="str">
            <v>正式</v>
          </cell>
          <cell r="L616" t="str">
            <v>内部员工</v>
          </cell>
          <cell r="M616" t="str">
            <v>张英</v>
          </cell>
        </row>
        <row r="617">
          <cell r="A617" t="str">
            <v>郭平</v>
          </cell>
          <cell r="B617" t="str">
            <v>01009</v>
          </cell>
          <cell r="C617" t="str">
            <v>四川时代蜂族营销策划有限公司</v>
          </cell>
          <cell r="D617">
            <v>45520</v>
          </cell>
          <cell r="E617" t="str">
            <v>西南总部</v>
          </cell>
          <cell r="F617" t="str">
            <v>西南营销中心</v>
          </cell>
          <cell r="G617" t="str">
            <v>营业五部</v>
          </cell>
          <cell r="H617" t="str">
            <v>叶鑫</v>
          </cell>
          <cell r="I617" t="str">
            <v>三星销售顾问</v>
          </cell>
          <cell r="J617" t="str">
            <v>男</v>
          </cell>
          <cell r="K617" t="str">
            <v>正式</v>
          </cell>
          <cell r="L617" t="str">
            <v>内部员工</v>
          </cell>
          <cell r="M617" t="str">
            <v>叶鑫</v>
          </cell>
        </row>
        <row r="618">
          <cell r="A618" t="str">
            <v>万硕佳</v>
          </cell>
          <cell r="B618" t="str">
            <v>01004</v>
          </cell>
          <cell r="C618" t="str">
            <v>四川时代蜂族营销策划有限公司</v>
          </cell>
          <cell r="D618">
            <v>45516</v>
          </cell>
          <cell r="E618" t="str">
            <v>集团职能</v>
          </cell>
          <cell r="F618" t="str">
            <v>职能总部</v>
          </cell>
          <cell r="G618" t="str">
            <v>财务部</v>
          </cell>
        </row>
        <row r="618">
          <cell r="I618" t="str">
            <v>财务助理</v>
          </cell>
          <cell r="J618" t="str">
            <v>女</v>
          </cell>
          <cell r="K618" t="str">
            <v>正式</v>
          </cell>
          <cell r="L618" t="str">
            <v>内部员工</v>
          </cell>
          <cell r="M618" t="str">
            <v>陈萍</v>
          </cell>
        </row>
        <row r="619">
          <cell r="A619" t="str">
            <v>泡里来们</v>
          </cell>
          <cell r="B619" t="str">
            <v>01005</v>
          </cell>
          <cell r="C619" t="str">
            <v>四川时代蜂族营销策划有限公司</v>
          </cell>
          <cell r="D619">
            <v>45516</v>
          </cell>
          <cell r="E619" t="str">
            <v>西南总部</v>
          </cell>
          <cell r="F619" t="str">
            <v>西南营销中心</v>
          </cell>
          <cell r="G619" t="str">
            <v>营业四部</v>
          </cell>
          <cell r="H619" t="str">
            <v>刘亮</v>
          </cell>
          <cell r="I619" t="str">
            <v>三星销售顾问</v>
          </cell>
          <cell r="J619" t="str">
            <v>男</v>
          </cell>
          <cell r="K619" t="str">
            <v>正式</v>
          </cell>
          <cell r="L619" t="str">
            <v>内部员工</v>
          </cell>
          <cell r="M619" t="str">
            <v>刘亮</v>
          </cell>
        </row>
        <row r="620">
          <cell r="A620" t="str">
            <v>申慧</v>
          </cell>
          <cell r="B620" t="str">
            <v>01003</v>
          </cell>
          <cell r="C620" t="str">
            <v>四川时代蜂族营销策划有限公司</v>
          </cell>
          <cell r="D620">
            <v>45515</v>
          </cell>
          <cell r="E620" t="str">
            <v>西南总部</v>
          </cell>
          <cell r="F620" t="str">
            <v>西南营销中心</v>
          </cell>
          <cell r="G620" t="str">
            <v>营业七部</v>
          </cell>
        </row>
        <row r="620">
          <cell r="I620" t="str">
            <v>一星实习经理</v>
          </cell>
          <cell r="J620" t="str">
            <v>女</v>
          </cell>
          <cell r="K620" t="str">
            <v>正式</v>
          </cell>
          <cell r="L620" t="str">
            <v>内部员工</v>
          </cell>
          <cell r="M620" t="str">
            <v>程新浩</v>
          </cell>
        </row>
        <row r="621">
          <cell r="A621" t="str">
            <v>李佳</v>
          </cell>
          <cell r="B621" t="str">
            <v>01002</v>
          </cell>
          <cell r="C621" t="str">
            <v>四川时代蜂族营销策划有限公司</v>
          </cell>
          <cell r="D621">
            <v>45514</v>
          </cell>
          <cell r="E621" t="str">
            <v>西南总部</v>
          </cell>
          <cell r="F621" t="str">
            <v>西南营销中心</v>
          </cell>
          <cell r="G621" t="str">
            <v>营业七部</v>
          </cell>
          <cell r="H621" t="str">
            <v>陈彪</v>
          </cell>
          <cell r="I621" t="str">
            <v>三星销售顾问</v>
          </cell>
          <cell r="J621" t="str">
            <v>男</v>
          </cell>
          <cell r="K621" t="str">
            <v>正式</v>
          </cell>
          <cell r="L621" t="str">
            <v>内部员工</v>
          </cell>
          <cell r="M621" t="str">
            <v>陈彪</v>
          </cell>
        </row>
        <row r="622">
          <cell r="A622" t="str">
            <v>唐维</v>
          </cell>
          <cell r="B622" t="str">
            <v>00998</v>
          </cell>
          <cell r="C622" t="str">
            <v>辽宁时代蜂族营销策划有限公司</v>
          </cell>
          <cell r="D622">
            <v>45511</v>
          </cell>
          <cell r="E622" t="str">
            <v>辽宁</v>
          </cell>
          <cell r="F622" t="str">
            <v>辽宁营销中心</v>
          </cell>
          <cell r="G622" t="str">
            <v>辽宁销售部</v>
          </cell>
          <cell r="H622" t="str">
            <v>赖慧辽宁</v>
          </cell>
          <cell r="I622" t="str">
            <v>三星销售顾问</v>
          </cell>
          <cell r="J622" t="str">
            <v>男</v>
          </cell>
          <cell r="K622" t="str">
            <v>正式</v>
          </cell>
          <cell r="L622" t="str">
            <v>内部员工</v>
          </cell>
          <cell r="M622" t="str">
            <v>赖慧</v>
          </cell>
        </row>
        <row r="623">
          <cell r="A623" t="str">
            <v>张云芳</v>
          </cell>
          <cell r="B623" t="str">
            <v>00988</v>
          </cell>
          <cell r="C623" t="str">
            <v>四川时代蜂族营销策划有限公司</v>
          </cell>
          <cell r="D623">
            <v>45505</v>
          </cell>
          <cell r="E623" t="str">
            <v>西南总部</v>
          </cell>
          <cell r="F623" t="str">
            <v>西南营销中心</v>
          </cell>
          <cell r="G623" t="str">
            <v>营业六部</v>
          </cell>
          <cell r="H623" t="str">
            <v>毛富林</v>
          </cell>
          <cell r="I623" t="str">
            <v>三星销售顾问</v>
          </cell>
          <cell r="J623" t="str">
            <v>女</v>
          </cell>
          <cell r="K623" t="str">
            <v>正式</v>
          </cell>
          <cell r="L623" t="str">
            <v>内部员工</v>
          </cell>
          <cell r="M623" t="str">
            <v>毛富林</v>
          </cell>
        </row>
        <row r="624">
          <cell r="A624" t="str">
            <v>周昕</v>
          </cell>
          <cell r="B624" t="str">
            <v>00991</v>
          </cell>
          <cell r="C624" t="str">
            <v>山西时代蜂族房地产经纪有限公司</v>
          </cell>
          <cell r="D624">
            <v>45505</v>
          </cell>
          <cell r="E624" t="str">
            <v>山西</v>
          </cell>
          <cell r="F624" t="str">
            <v>山西营销中心</v>
          </cell>
          <cell r="G624" t="str">
            <v>山西销售部</v>
          </cell>
          <cell r="H624" t="str">
            <v>刘辉</v>
          </cell>
          <cell r="I624" t="str">
            <v>三星销售顾问</v>
          </cell>
          <cell r="J624" t="str">
            <v>女</v>
          </cell>
          <cell r="K624" t="str">
            <v>正式</v>
          </cell>
          <cell r="L624" t="str">
            <v>内部员工</v>
          </cell>
          <cell r="M624" t="str">
            <v>刘辉</v>
          </cell>
        </row>
        <row r="625">
          <cell r="A625" t="str">
            <v>李洋</v>
          </cell>
          <cell r="B625" t="str">
            <v>00993</v>
          </cell>
          <cell r="C625" t="str">
            <v>山东时代蜂族营销策划有限公司</v>
          </cell>
          <cell r="D625">
            <v>45505</v>
          </cell>
          <cell r="E625" t="str">
            <v>山东</v>
          </cell>
          <cell r="F625" t="str">
            <v>山东营销中心</v>
          </cell>
          <cell r="G625" t="str">
            <v>山东销售部</v>
          </cell>
          <cell r="H625" t="str">
            <v>苏晓青</v>
          </cell>
          <cell r="I625" t="str">
            <v>B岗经理</v>
          </cell>
          <cell r="J625" t="str">
            <v>男</v>
          </cell>
          <cell r="K625" t="str">
            <v>正式</v>
          </cell>
          <cell r="L625" t="str">
            <v>内部员工</v>
          </cell>
          <cell r="M625" t="str">
            <v>苏晓青</v>
          </cell>
        </row>
        <row r="626">
          <cell r="A626" t="str">
            <v>郭永曼</v>
          </cell>
          <cell r="B626" t="str">
            <v>00984</v>
          </cell>
          <cell r="C626" t="str">
            <v>山西时代蜂族房地产经纪有限公司</v>
          </cell>
          <cell r="D626">
            <v>45502</v>
          </cell>
          <cell r="E626" t="str">
            <v>山西</v>
          </cell>
          <cell r="F626" t="str">
            <v>山西营销中心</v>
          </cell>
          <cell r="G626" t="str">
            <v>山西销售部</v>
          </cell>
        </row>
        <row r="626">
          <cell r="I626" t="str">
            <v>二星实习经理</v>
          </cell>
          <cell r="J626" t="str">
            <v>女</v>
          </cell>
          <cell r="K626" t="str">
            <v>正式</v>
          </cell>
          <cell r="L626" t="str">
            <v>内部员工</v>
          </cell>
          <cell r="M626" t="str">
            <v>刘辉</v>
          </cell>
        </row>
        <row r="627">
          <cell r="A627" t="str">
            <v>赵龙</v>
          </cell>
          <cell r="B627" t="str">
            <v>00996</v>
          </cell>
          <cell r="C627" t="str">
            <v>山西时代蜂族房地产经纪有限公司</v>
          </cell>
          <cell r="D627">
            <v>45502</v>
          </cell>
          <cell r="E627" t="str">
            <v>山西</v>
          </cell>
          <cell r="F627" t="str">
            <v>山西营销中心</v>
          </cell>
          <cell r="G627" t="str">
            <v>山西销售部</v>
          </cell>
          <cell r="H627" t="str">
            <v>刘辉</v>
          </cell>
          <cell r="I627" t="str">
            <v>一星实习经理</v>
          </cell>
          <cell r="J627" t="str">
            <v>男</v>
          </cell>
          <cell r="K627" t="str">
            <v>正式</v>
          </cell>
          <cell r="L627" t="str">
            <v>内部员工</v>
          </cell>
          <cell r="M627" t="str">
            <v>刘辉</v>
          </cell>
        </row>
        <row r="628">
          <cell r="A628" t="str">
            <v>刘聪</v>
          </cell>
          <cell r="B628" t="str">
            <v>00982</v>
          </cell>
          <cell r="C628" t="str">
            <v>陕西蜂族科技有限公司</v>
          </cell>
          <cell r="D628">
            <v>45499</v>
          </cell>
          <cell r="E628" t="str">
            <v>陕西</v>
          </cell>
          <cell r="F628" t="str">
            <v>陕西营销中心</v>
          </cell>
          <cell r="G628" t="str">
            <v>陕西1部</v>
          </cell>
        </row>
        <row r="628">
          <cell r="I628" t="str">
            <v>一星实习经理</v>
          </cell>
          <cell r="J628" t="str">
            <v>男</v>
          </cell>
          <cell r="K628" t="str">
            <v>正式</v>
          </cell>
          <cell r="L628" t="str">
            <v>内部员工</v>
          </cell>
          <cell r="M628" t="str">
            <v>李丝丝</v>
          </cell>
        </row>
        <row r="629">
          <cell r="A629" t="str">
            <v>陈政阳</v>
          </cell>
          <cell r="B629" t="str">
            <v>00979</v>
          </cell>
          <cell r="C629" t="str">
            <v>四川时代蜂族营销策划有限公司</v>
          </cell>
          <cell r="D629">
            <v>45497</v>
          </cell>
          <cell r="E629" t="str">
            <v>西南总部</v>
          </cell>
          <cell r="F629" t="str">
            <v>西南营销中心</v>
          </cell>
          <cell r="G629" t="str">
            <v>营业一部</v>
          </cell>
          <cell r="H629" t="str">
            <v>唐浪波</v>
          </cell>
          <cell r="I629" t="str">
            <v>三星销售顾问</v>
          </cell>
          <cell r="J629" t="str">
            <v>男</v>
          </cell>
          <cell r="K629" t="str">
            <v>正式</v>
          </cell>
          <cell r="L629" t="str">
            <v>内部员工</v>
          </cell>
          <cell r="M629" t="str">
            <v>唐浪波</v>
          </cell>
        </row>
        <row r="630">
          <cell r="A630" t="str">
            <v>王锦涛</v>
          </cell>
          <cell r="B630" t="str">
            <v>00978</v>
          </cell>
          <cell r="C630" t="str">
            <v>陕西蜂族科技有限公司</v>
          </cell>
          <cell r="D630">
            <v>45496</v>
          </cell>
          <cell r="E630" t="str">
            <v>陕西</v>
          </cell>
          <cell r="F630" t="str">
            <v>陕西营销中心</v>
          </cell>
          <cell r="G630" t="str">
            <v>陕西2部</v>
          </cell>
          <cell r="H630" t="str">
            <v>王辉</v>
          </cell>
          <cell r="I630" t="str">
            <v>三星销售顾问</v>
          </cell>
          <cell r="J630" t="str">
            <v>男</v>
          </cell>
          <cell r="K630" t="str">
            <v>正式</v>
          </cell>
          <cell r="L630" t="str">
            <v>内部员工</v>
          </cell>
          <cell r="M630" t="str">
            <v>王辉</v>
          </cell>
        </row>
        <row r="631">
          <cell r="A631" t="str">
            <v>张亚娟</v>
          </cell>
          <cell r="B631" t="str">
            <v>00975</v>
          </cell>
          <cell r="C631" t="str">
            <v>湖北蜜蜂族房地产经纪有限公司</v>
          </cell>
          <cell r="D631">
            <v>45495</v>
          </cell>
          <cell r="E631" t="str">
            <v>湖北</v>
          </cell>
          <cell r="F631" t="str">
            <v>湖北办公室</v>
          </cell>
        </row>
        <row r="631">
          <cell r="I631" t="str">
            <v>一星销售政委</v>
          </cell>
          <cell r="J631" t="str">
            <v>女</v>
          </cell>
          <cell r="K631" t="str">
            <v>正式</v>
          </cell>
          <cell r="L631" t="str">
            <v>内部员工</v>
          </cell>
          <cell r="M631" t="str">
            <v>范庚</v>
          </cell>
        </row>
        <row r="632">
          <cell r="A632" t="str">
            <v>杨翠茹</v>
          </cell>
          <cell r="B632" t="str">
            <v>00970</v>
          </cell>
          <cell r="C632" t="str">
            <v>四川时代蜂族营销策划有限公司</v>
          </cell>
          <cell r="D632">
            <v>45491</v>
          </cell>
          <cell r="E632" t="str">
            <v>西南总部</v>
          </cell>
          <cell r="F632" t="str">
            <v>西南营销中心</v>
          </cell>
          <cell r="G632" t="str">
            <v>营业六部</v>
          </cell>
        </row>
        <row r="632">
          <cell r="I632" t="str">
            <v>一星实习经理</v>
          </cell>
          <cell r="J632" t="str">
            <v>女</v>
          </cell>
          <cell r="K632" t="str">
            <v>正式</v>
          </cell>
          <cell r="L632" t="str">
            <v>内部员工</v>
          </cell>
          <cell r="M632" t="str">
            <v>毛富林</v>
          </cell>
        </row>
        <row r="633">
          <cell r="A633" t="str">
            <v>胡建忠</v>
          </cell>
          <cell r="B633" t="str">
            <v>00966</v>
          </cell>
          <cell r="C633" t="str">
            <v>四川时代蜂族营销策划有限公司</v>
          </cell>
          <cell r="D633">
            <v>45485</v>
          </cell>
          <cell r="E633" t="str">
            <v>西南总部</v>
          </cell>
          <cell r="F633" t="str">
            <v>西南营销中心</v>
          </cell>
          <cell r="G633" t="str">
            <v>营业三部</v>
          </cell>
          <cell r="H633" t="str">
            <v>李海艳</v>
          </cell>
          <cell r="I633" t="str">
            <v>三星销售顾问</v>
          </cell>
          <cell r="J633" t="str">
            <v>男</v>
          </cell>
          <cell r="K633" t="str">
            <v>正式</v>
          </cell>
          <cell r="L633" t="str">
            <v>内部员工</v>
          </cell>
          <cell r="M633" t="str">
            <v>李海艳</v>
          </cell>
        </row>
        <row r="634">
          <cell r="A634" t="str">
            <v>王杰</v>
          </cell>
          <cell r="B634" t="str">
            <v>00961</v>
          </cell>
          <cell r="C634" t="str">
            <v>山东时代蜂族营销策划有限公司</v>
          </cell>
          <cell r="D634">
            <v>45482</v>
          </cell>
          <cell r="E634" t="str">
            <v>山东</v>
          </cell>
          <cell r="F634" t="str">
            <v>山东营销中心</v>
          </cell>
          <cell r="G634" t="str">
            <v>山东销售部</v>
          </cell>
        </row>
        <row r="634">
          <cell r="I634" t="str">
            <v>二星实习经理</v>
          </cell>
          <cell r="J634" t="str">
            <v>男</v>
          </cell>
          <cell r="K634" t="str">
            <v>正式</v>
          </cell>
          <cell r="L634" t="str">
            <v>内部员工</v>
          </cell>
          <cell r="M634" t="str">
            <v>李丹</v>
          </cell>
        </row>
        <row r="635">
          <cell r="A635" t="str">
            <v>古天鹏</v>
          </cell>
          <cell r="B635" t="str">
            <v>00960</v>
          </cell>
          <cell r="C635" t="str">
            <v>四川蜂起营销策划有限公司</v>
          </cell>
          <cell r="D635">
            <v>45481</v>
          </cell>
          <cell r="E635" t="str">
            <v>集团职能</v>
          </cell>
          <cell r="F635" t="str">
            <v>职能总部</v>
          </cell>
          <cell r="G635" t="str">
            <v>策划部</v>
          </cell>
        </row>
        <row r="635">
          <cell r="I635" t="str">
            <v>策划主管</v>
          </cell>
          <cell r="J635" t="str">
            <v>男</v>
          </cell>
          <cell r="K635" t="str">
            <v>正式</v>
          </cell>
          <cell r="L635" t="str">
            <v>内部员工</v>
          </cell>
          <cell r="M635" t="str">
            <v>黄芳</v>
          </cell>
        </row>
        <row r="636">
          <cell r="A636" t="str">
            <v>宋红江</v>
          </cell>
          <cell r="B636" t="str">
            <v>00958</v>
          </cell>
          <cell r="C636" t="str">
            <v>陕西蜂族科技有限公司</v>
          </cell>
          <cell r="D636">
            <v>45480</v>
          </cell>
          <cell r="E636" t="str">
            <v>陕西</v>
          </cell>
          <cell r="F636" t="str">
            <v>陕西营销中心</v>
          </cell>
          <cell r="G636" t="str">
            <v>陕西2部</v>
          </cell>
          <cell r="H636" t="str">
            <v>罗小花</v>
          </cell>
          <cell r="I636" t="str">
            <v>三星销售顾问</v>
          </cell>
          <cell r="J636" t="str">
            <v>男</v>
          </cell>
          <cell r="K636" t="str">
            <v>正式</v>
          </cell>
          <cell r="L636" t="str">
            <v>内部员工</v>
          </cell>
          <cell r="M636" t="str">
            <v>罗小花</v>
          </cell>
        </row>
        <row r="637">
          <cell r="A637" t="str">
            <v>周欣</v>
          </cell>
          <cell r="B637" t="str">
            <v>00954</v>
          </cell>
          <cell r="C637" t="str">
            <v>四川时代蜂族营销策划有限公司</v>
          </cell>
          <cell r="D637">
            <v>45477</v>
          </cell>
          <cell r="E637" t="str">
            <v>河南</v>
          </cell>
          <cell r="F637" t="str">
            <v>河南营销中心</v>
          </cell>
          <cell r="G637" t="str">
            <v>河南销售部</v>
          </cell>
          <cell r="H637" t="str">
            <v>蒋吉勇河南</v>
          </cell>
          <cell r="I637" t="str">
            <v>三星销售顾问</v>
          </cell>
          <cell r="J637" t="str">
            <v>男</v>
          </cell>
          <cell r="K637" t="str">
            <v>正式</v>
          </cell>
          <cell r="L637" t="str">
            <v>内部员工</v>
          </cell>
          <cell r="M637" t="str">
            <v>蒋吉勇</v>
          </cell>
        </row>
        <row r="638">
          <cell r="A638" t="str">
            <v>谭东</v>
          </cell>
          <cell r="B638" t="str">
            <v>00955</v>
          </cell>
          <cell r="C638" t="str">
            <v>山西时代蜂族房地产经纪有限公司</v>
          </cell>
          <cell r="D638">
            <v>45477</v>
          </cell>
          <cell r="E638" t="str">
            <v>山西</v>
          </cell>
          <cell r="F638" t="str">
            <v>山西拓展部</v>
          </cell>
        </row>
        <row r="638">
          <cell r="I638" t="str">
            <v>二星拓展专员</v>
          </cell>
          <cell r="J638" t="str">
            <v>男</v>
          </cell>
          <cell r="K638" t="str">
            <v>正式</v>
          </cell>
          <cell r="L638" t="str">
            <v>内部员工</v>
          </cell>
          <cell r="M638" t="str">
            <v>吴川江</v>
          </cell>
        </row>
        <row r="639">
          <cell r="A639" t="str">
            <v>陈超2</v>
          </cell>
          <cell r="B639" t="str">
            <v>00956</v>
          </cell>
          <cell r="C639" t="str">
            <v>四川时代蜂族营销策划有限公司</v>
          </cell>
          <cell r="D639">
            <v>45477</v>
          </cell>
          <cell r="E639" t="str">
            <v>西南总部</v>
          </cell>
          <cell r="F639" t="str">
            <v>西南营销中心</v>
          </cell>
          <cell r="G639" t="str">
            <v>营业六部</v>
          </cell>
          <cell r="H639" t="str">
            <v>党虹</v>
          </cell>
          <cell r="I639" t="str">
            <v>三星销售顾问</v>
          </cell>
          <cell r="J639" t="str">
            <v>男</v>
          </cell>
          <cell r="K639" t="str">
            <v>正式</v>
          </cell>
          <cell r="L639" t="str">
            <v>内部员工</v>
          </cell>
          <cell r="M639" t="str">
            <v>党虹</v>
          </cell>
        </row>
        <row r="640">
          <cell r="A640" t="str">
            <v>杨鹏</v>
          </cell>
          <cell r="B640" t="str">
            <v>00950</v>
          </cell>
          <cell r="C640" t="str">
            <v>四川时代蜂族营销策划有限公司</v>
          </cell>
          <cell r="D640">
            <v>45475</v>
          </cell>
          <cell r="E640" t="str">
            <v>西南总部</v>
          </cell>
          <cell r="F640" t="str">
            <v>西南营销中心</v>
          </cell>
          <cell r="G640" t="str">
            <v>营业二部</v>
          </cell>
          <cell r="H640" t="str">
            <v>杨芊</v>
          </cell>
          <cell r="I640" t="str">
            <v>三星销售顾问</v>
          </cell>
          <cell r="J640" t="str">
            <v>男</v>
          </cell>
          <cell r="K640" t="str">
            <v>正式</v>
          </cell>
          <cell r="L640" t="str">
            <v>内部员工</v>
          </cell>
          <cell r="M640" t="str">
            <v>杨芊</v>
          </cell>
        </row>
        <row r="641">
          <cell r="A641" t="str">
            <v>刘礼军</v>
          </cell>
          <cell r="B641" t="str">
            <v>00951</v>
          </cell>
          <cell r="C641" t="str">
            <v>陕西蜂族科技有限公司</v>
          </cell>
          <cell r="D641">
            <v>45475</v>
          </cell>
          <cell r="E641" t="str">
            <v>陕西</v>
          </cell>
          <cell r="F641" t="str">
            <v>陕西营销中心</v>
          </cell>
          <cell r="G641" t="str">
            <v>陕西2部</v>
          </cell>
          <cell r="H641" t="str">
            <v>蒙建</v>
          </cell>
          <cell r="I641" t="str">
            <v>三星销售顾问</v>
          </cell>
          <cell r="J641" t="str">
            <v>男</v>
          </cell>
          <cell r="K641" t="str">
            <v>正式</v>
          </cell>
          <cell r="L641" t="str">
            <v>内部员工</v>
          </cell>
          <cell r="M641" t="str">
            <v>蒙建</v>
          </cell>
        </row>
        <row r="642">
          <cell r="A642" t="str">
            <v>陈薇</v>
          </cell>
          <cell r="B642" t="str">
            <v>00948</v>
          </cell>
          <cell r="C642" t="str">
            <v>河南蜜蜂族营销策划有限公司</v>
          </cell>
          <cell r="D642">
            <v>45474</v>
          </cell>
          <cell r="E642" t="str">
            <v>河南</v>
          </cell>
          <cell r="F642" t="str">
            <v>河南拓展部</v>
          </cell>
        </row>
        <row r="642">
          <cell r="I642" t="str">
            <v>一星拓展专员</v>
          </cell>
          <cell r="J642" t="str">
            <v>女</v>
          </cell>
          <cell r="K642" t="str">
            <v>正式</v>
          </cell>
          <cell r="L642" t="str">
            <v>内部员工</v>
          </cell>
          <cell r="M642" t="str">
            <v>廖静</v>
          </cell>
        </row>
        <row r="643">
          <cell r="A643" t="str">
            <v>王超2</v>
          </cell>
          <cell r="B643" t="str">
            <v>00945</v>
          </cell>
          <cell r="C643" t="str">
            <v>陕西蜂族科技有限公司</v>
          </cell>
          <cell r="D643">
            <v>45467</v>
          </cell>
          <cell r="E643" t="str">
            <v>陕西</v>
          </cell>
          <cell r="F643" t="str">
            <v>陕西营销中心</v>
          </cell>
          <cell r="G643" t="str">
            <v>陕西2部</v>
          </cell>
        </row>
        <row r="643">
          <cell r="I643" t="str">
            <v>三星销售顾问</v>
          </cell>
          <cell r="J643" t="str">
            <v>男</v>
          </cell>
          <cell r="K643" t="str">
            <v>正式</v>
          </cell>
          <cell r="L643" t="str">
            <v>内部员工</v>
          </cell>
          <cell r="M643" t="str">
            <v>李耀</v>
          </cell>
        </row>
        <row r="644">
          <cell r="A644" t="str">
            <v>赵敏</v>
          </cell>
          <cell r="B644" t="str">
            <v>00943</v>
          </cell>
          <cell r="C644" t="str">
            <v>山西时代蜂族房地产经纪有限公司</v>
          </cell>
          <cell r="D644">
            <v>45467</v>
          </cell>
          <cell r="E644" t="str">
            <v>山西</v>
          </cell>
          <cell r="F644" t="str">
            <v>山西营销中心</v>
          </cell>
          <cell r="G644" t="str">
            <v>山西销售部</v>
          </cell>
          <cell r="H644" t="str">
            <v>刘辉</v>
          </cell>
          <cell r="I644" t="str">
            <v>三星销售顾问</v>
          </cell>
          <cell r="J644" t="str">
            <v>女</v>
          </cell>
          <cell r="K644" t="str">
            <v>正式</v>
          </cell>
          <cell r="L644" t="str">
            <v>内部员工</v>
          </cell>
          <cell r="M644" t="str">
            <v>刘辉</v>
          </cell>
        </row>
        <row r="645">
          <cell r="A645" t="str">
            <v>周乐意</v>
          </cell>
          <cell r="B645" t="str">
            <v>00944</v>
          </cell>
          <cell r="C645" t="str">
            <v>四川时代蜂族营销策划有限公司</v>
          </cell>
          <cell r="D645">
            <v>45467</v>
          </cell>
          <cell r="E645" t="str">
            <v>西南总部</v>
          </cell>
          <cell r="F645" t="str">
            <v>西南营销中心</v>
          </cell>
          <cell r="G645" t="str">
            <v>营业四部</v>
          </cell>
          <cell r="H645" t="str">
            <v>刘亮</v>
          </cell>
          <cell r="I645" t="str">
            <v>三星销售顾问</v>
          </cell>
          <cell r="J645" t="str">
            <v>男</v>
          </cell>
          <cell r="K645" t="str">
            <v>正式</v>
          </cell>
          <cell r="L645" t="str">
            <v>内部员工</v>
          </cell>
          <cell r="M645" t="str">
            <v>刘亮</v>
          </cell>
        </row>
        <row r="646">
          <cell r="A646" t="str">
            <v>周敏</v>
          </cell>
          <cell r="B646" t="str">
            <v>00941</v>
          </cell>
          <cell r="C646" t="str">
            <v>成都蓉天城房地产营销策划有限公司</v>
          </cell>
          <cell r="D646">
            <v>45464</v>
          </cell>
          <cell r="E646" t="str">
            <v>集团职能</v>
          </cell>
          <cell r="F646" t="str">
            <v>职能总部</v>
          </cell>
          <cell r="G646" t="str">
            <v>策划部</v>
          </cell>
        </row>
        <row r="646">
          <cell r="I646" t="str">
            <v>投标专员</v>
          </cell>
          <cell r="J646" t="str">
            <v>女</v>
          </cell>
          <cell r="K646" t="str">
            <v>正式</v>
          </cell>
          <cell r="L646" t="str">
            <v>内部员工</v>
          </cell>
          <cell r="M646" t="str">
            <v>古天鹏</v>
          </cell>
        </row>
        <row r="647">
          <cell r="A647" t="str">
            <v>李悬</v>
          </cell>
          <cell r="B647" t="str">
            <v>00942</v>
          </cell>
          <cell r="C647" t="str">
            <v>山西时代蜂族房地产经纪有限公司</v>
          </cell>
          <cell r="D647">
            <v>45464</v>
          </cell>
          <cell r="E647" t="str">
            <v>山西</v>
          </cell>
          <cell r="F647" t="str">
            <v>山西营销中心</v>
          </cell>
          <cell r="G647" t="str">
            <v>山西销售部</v>
          </cell>
          <cell r="H647" t="str">
            <v>李权益</v>
          </cell>
          <cell r="I647" t="str">
            <v>三星销售顾问</v>
          </cell>
          <cell r="J647" t="str">
            <v>男</v>
          </cell>
          <cell r="K647" t="str">
            <v>正式</v>
          </cell>
          <cell r="L647" t="str">
            <v>内部员工</v>
          </cell>
          <cell r="M647" t="str">
            <v>李权益</v>
          </cell>
        </row>
        <row r="648">
          <cell r="A648" t="str">
            <v>郑景慕</v>
          </cell>
          <cell r="B648" t="str">
            <v>00938</v>
          </cell>
          <cell r="C648" t="str">
            <v>四川时代蜂族营销策划有限公司</v>
          </cell>
          <cell r="D648">
            <v>45462</v>
          </cell>
          <cell r="E648" t="str">
            <v>西南总部</v>
          </cell>
          <cell r="F648" t="str">
            <v>西南营销中心</v>
          </cell>
          <cell r="G648" t="str">
            <v>营业三部</v>
          </cell>
        </row>
        <row r="648">
          <cell r="I648" t="str">
            <v>一星实习经理</v>
          </cell>
          <cell r="J648" t="str">
            <v>女</v>
          </cell>
          <cell r="K648" t="str">
            <v>正式</v>
          </cell>
          <cell r="L648" t="str">
            <v>内部员工</v>
          </cell>
          <cell r="M648" t="str">
            <v>周吉双</v>
          </cell>
        </row>
        <row r="649">
          <cell r="A649" t="str">
            <v>郭继伟</v>
          </cell>
          <cell r="B649" t="str">
            <v>00939</v>
          </cell>
          <cell r="C649" t="str">
            <v>陕西蜂族科技有限公司</v>
          </cell>
          <cell r="D649">
            <v>45462</v>
          </cell>
          <cell r="E649" t="str">
            <v>陕西</v>
          </cell>
          <cell r="F649" t="str">
            <v>陕西拓展部</v>
          </cell>
          <cell r="G649" t="str">
            <v>陕西1区</v>
          </cell>
        </row>
        <row r="649">
          <cell r="I649" t="str">
            <v>一星拓展专员</v>
          </cell>
          <cell r="J649" t="str">
            <v>男</v>
          </cell>
          <cell r="K649" t="str">
            <v>正式</v>
          </cell>
          <cell r="L649" t="str">
            <v>内部员工</v>
          </cell>
          <cell r="M649" t="str">
            <v>覃波</v>
          </cell>
        </row>
        <row r="650">
          <cell r="A650" t="str">
            <v>冯郑</v>
          </cell>
          <cell r="B650" t="str">
            <v>00933</v>
          </cell>
          <cell r="C650" t="str">
            <v>四川时代蜂族营销策划有限公司</v>
          </cell>
          <cell r="D650">
            <v>45448</v>
          </cell>
          <cell r="E650" t="str">
            <v>西南总部</v>
          </cell>
          <cell r="F650" t="str">
            <v>西南营销中心</v>
          </cell>
          <cell r="G650" t="str">
            <v>营业六部</v>
          </cell>
          <cell r="H650" t="str">
            <v>党虹</v>
          </cell>
          <cell r="I650" t="str">
            <v>三星销售顾问</v>
          </cell>
          <cell r="J650" t="str">
            <v>女</v>
          </cell>
          <cell r="K650" t="str">
            <v>正式</v>
          </cell>
          <cell r="L650" t="str">
            <v>内部员工</v>
          </cell>
          <cell r="M650" t="str">
            <v>党虹</v>
          </cell>
        </row>
        <row r="651">
          <cell r="A651" t="str">
            <v>李晓梅</v>
          </cell>
          <cell r="B651" t="str">
            <v>00929</v>
          </cell>
          <cell r="C651" t="str">
            <v>四川时代蜂族营销策划有限公司</v>
          </cell>
          <cell r="D651">
            <v>45446</v>
          </cell>
          <cell r="E651" t="str">
            <v>湖南</v>
          </cell>
          <cell r="F651" t="str">
            <v>湖南营销中心</v>
          </cell>
          <cell r="G651" t="str">
            <v>湖南销售部</v>
          </cell>
          <cell r="H651" t="str">
            <v>孙小龙湖南</v>
          </cell>
          <cell r="I651" t="str">
            <v>三星销售顾问</v>
          </cell>
          <cell r="J651" t="str">
            <v>女</v>
          </cell>
          <cell r="K651" t="str">
            <v>正式</v>
          </cell>
          <cell r="L651" t="str">
            <v>内部员工</v>
          </cell>
          <cell r="M651" t="str">
            <v>孙小龙</v>
          </cell>
        </row>
        <row r="652">
          <cell r="A652" t="str">
            <v>徐子康</v>
          </cell>
          <cell r="B652" t="str">
            <v>00925</v>
          </cell>
          <cell r="C652" t="str">
            <v>湖南时代蜂族营销策划有限公司</v>
          </cell>
          <cell r="D652">
            <v>45445</v>
          </cell>
          <cell r="E652" t="str">
            <v>湖南</v>
          </cell>
          <cell r="F652" t="str">
            <v>湖南营销中心</v>
          </cell>
          <cell r="G652" t="str">
            <v>湖南销售部</v>
          </cell>
        </row>
        <row r="652">
          <cell r="I652" t="str">
            <v>一星实习经理</v>
          </cell>
          <cell r="J652" t="str">
            <v>男</v>
          </cell>
          <cell r="K652" t="str">
            <v>正式</v>
          </cell>
          <cell r="L652" t="str">
            <v>内部员工</v>
          </cell>
          <cell r="M652" t="str">
            <v>刘进</v>
          </cell>
        </row>
        <row r="653">
          <cell r="A653" t="str">
            <v>周文</v>
          </cell>
          <cell r="B653" t="str">
            <v>00924</v>
          </cell>
          <cell r="C653" t="str">
            <v>陕西蜂族科技有限公司</v>
          </cell>
          <cell r="D653">
            <v>45444</v>
          </cell>
          <cell r="E653" t="str">
            <v>陕西</v>
          </cell>
          <cell r="F653" t="str">
            <v>陕西营销中心</v>
          </cell>
          <cell r="G653" t="str">
            <v>陕西1部</v>
          </cell>
          <cell r="H653" t="str">
            <v>吕瑞仙</v>
          </cell>
          <cell r="I653" t="str">
            <v>三星销售顾问</v>
          </cell>
          <cell r="J653" t="str">
            <v>男</v>
          </cell>
          <cell r="K653" t="str">
            <v>正式</v>
          </cell>
          <cell r="L653" t="str">
            <v>内部员工</v>
          </cell>
          <cell r="M653" t="str">
            <v>吕瑞仙</v>
          </cell>
        </row>
        <row r="654">
          <cell r="A654" t="str">
            <v>张彬</v>
          </cell>
          <cell r="B654" t="str">
            <v>00923</v>
          </cell>
          <cell r="C654" t="str">
            <v>湖北蜜蜂族房地产经纪有限公司</v>
          </cell>
          <cell r="D654">
            <v>45443</v>
          </cell>
          <cell r="E654" t="str">
            <v>湖北</v>
          </cell>
          <cell r="F654" t="str">
            <v>湖北营销中心</v>
          </cell>
          <cell r="G654" t="str">
            <v>湖北1部</v>
          </cell>
          <cell r="H654" t="str">
            <v>阮阳</v>
          </cell>
          <cell r="I654" t="str">
            <v>三星销售顾问</v>
          </cell>
          <cell r="J654" t="str">
            <v>男</v>
          </cell>
          <cell r="K654" t="str">
            <v>正式</v>
          </cell>
          <cell r="L654" t="str">
            <v>内部员工</v>
          </cell>
          <cell r="M654" t="str">
            <v>阮阳</v>
          </cell>
        </row>
        <row r="655">
          <cell r="A655" t="str">
            <v>冯乙航</v>
          </cell>
          <cell r="B655" t="str">
            <v>00922</v>
          </cell>
          <cell r="C655" t="str">
            <v>四川时代蜂族营销策划有限公司</v>
          </cell>
          <cell r="D655">
            <v>45442</v>
          </cell>
          <cell r="E655" t="str">
            <v>西南总部</v>
          </cell>
          <cell r="F655" t="str">
            <v>西南营销中心</v>
          </cell>
          <cell r="G655" t="str">
            <v>营业六部</v>
          </cell>
          <cell r="H655" t="str">
            <v>党虹</v>
          </cell>
          <cell r="I655" t="str">
            <v>二星销售顾问</v>
          </cell>
          <cell r="J655" t="str">
            <v>男</v>
          </cell>
          <cell r="K655" t="str">
            <v>正式</v>
          </cell>
          <cell r="L655" t="str">
            <v>内部员工</v>
          </cell>
          <cell r="M655" t="str">
            <v>党虹</v>
          </cell>
        </row>
        <row r="656">
          <cell r="A656" t="str">
            <v>张雨盈</v>
          </cell>
          <cell r="B656" t="str">
            <v>00916</v>
          </cell>
          <cell r="C656" t="str">
            <v>四川大礼连连科技有限公司</v>
          </cell>
          <cell r="D656">
            <v>45436</v>
          </cell>
          <cell r="E656" t="str">
            <v>集团职能</v>
          </cell>
          <cell r="F656" t="str">
            <v>职能总部</v>
          </cell>
          <cell r="G656" t="str">
            <v>人资行政部</v>
          </cell>
        </row>
        <row r="656">
          <cell r="I656" t="str">
            <v>行政采购</v>
          </cell>
          <cell r="J656" t="str">
            <v>女</v>
          </cell>
          <cell r="K656" t="str">
            <v>正式</v>
          </cell>
          <cell r="L656" t="str">
            <v>内部员工</v>
          </cell>
          <cell r="M656" t="str">
            <v>孔群慧</v>
          </cell>
        </row>
        <row r="657">
          <cell r="A657" t="str">
            <v>左嘉南</v>
          </cell>
          <cell r="B657" t="str">
            <v>00915</v>
          </cell>
          <cell r="C657" t="str">
            <v>四川时代蜂族营销策划有限公司</v>
          </cell>
          <cell r="D657">
            <v>45435</v>
          </cell>
          <cell r="E657" t="str">
            <v>西南总部</v>
          </cell>
          <cell r="F657" t="str">
            <v>西南营销中心</v>
          </cell>
          <cell r="G657" t="str">
            <v>营业三部</v>
          </cell>
          <cell r="H657" t="str">
            <v>郑景慕</v>
          </cell>
          <cell r="I657" t="str">
            <v>三星销售顾问</v>
          </cell>
          <cell r="J657" t="str">
            <v>男</v>
          </cell>
          <cell r="K657" t="str">
            <v>正式</v>
          </cell>
          <cell r="L657" t="str">
            <v>内部员工</v>
          </cell>
          <cell r="M657" t="str">
            <v>郑景慕</v>
          </cell>
        </row>
        <row r="658">
          <cell r="A658" t="str">
            <v>彭小琴</v>
          </cell>
          <cell r="B658" t="str">
            <v>00914</v>
          </cell>
          <cell r="C658" t="str">
            <v>四川时代蜂族营销策划有限公司</v>
          </cell>
          <cell r="D658">
            <v>45435</v>
          </cell>
          <cell r="E658" t="str">
            <v>西南总部</v>
          </cell>
          <cell r="F658" t="str">
            <v>西南营销中心</v>
          </cell>
          <cell r="G658" t="str">
            <v>营业七部</v>
          </cell>
        </row>
        <row r="658">
          <cell r="I658" t="str">
            <v>二星实习经理</v>
          </cell>
          <cell r="J658" t="str">
            <v>女</v>
          </cell>
          <cell r="K658" t="str">
            <v>正式</v>
          </cell>
          <cell r="L658" t="str">
            <v>内部员工</v>
          </cell>
          <cell r="M658" t="str">
            <v>程新浩</v>
          </cell>
        </row>
        <row r="659">
          <cell r="A659" t="str">
            <v>杨芊</v>
          </cell>
          <cell r="B659" t="str">
            <v>00912</v>
          </cell>
          <cell r="C659" t="str">
            <v>四川时代蜂族营销策划有限公司</v>
          </cell>
          <cell r="D659">
            <v>45434</v>
          </cell>
          <cell r="E659" t="str">
            <v>西南总部</v>
          </cell>
          <cell r="F659" t="str">
            <v>西南营销中心</v>
          </cell>
          <cell r="G659" t="str">
            <v>营业二部</v>
          </cell>
        </row>
        <row r="659">
          <cell r="I659" t="str">
            <v>一星实习经理</v>
          </cell>
          <cell r="J659" t="str">
            <v>男</v>
          </cell>
          <cell r="K659" t="str">
            <v>正式</v>
          </cell>
          <cell r="L659" t="str">
            <v>内部员工</v>
          </cell>
          <cell r="M659" t="str">
            <v>柏刚</v>
          </cell>
        </row>
        <row r="660">
          <cell r="A660" t="str">
            <v>朱清</v>
          </cell>
          <cell r="B660" t="str">
            <v>00910</v>
          </cell>
          <cell r="C660" t="str">
            <v>四川时代蜂族营销策划有限公司</v>
          </cell>
          <cell r="D660">
            <v>45433</v>
          </cell>
          <cell r="E660" t="str">
            <v>西南总部</v>
          </cell>
          <cell r="F660" t="str">
            <v>西南营销中心</v>
          </cell>
          <cell r="G660" t="str">
            <v>营业三部</v>
          </cell>
          <cell r="H660" t="str">
            <v>郑景慕</v>
          </cell>
          <cell r="I660" t="str">
            <v>三星销售顾问</v>
          </cell>
          <cell r="J660" t="str">
            <v>男</v>
          </cell>
          <cell r="K660" t="str">
            <v>正式</v>
          </cell>
          <cell r="L660" t="str">
            <v>内部员工</v>
          </cell>
          <cell r="M660" t="str">
            <v>郑景慕</v>
          </cell>
        </row>
        <row r="661">
          <cell r="A661" t="str">
            <v>杨波</v>
          </cell>
          <cell r="B661" t="str">
            <v>00906</v>
          </cell>
          <cell r="C661" t="str">
            <v>四川时代蜂族营销策划有限公司</v>
          </cell>
          <cell r="D661">
            <v>45431</v>
          </cell>
          <cell r="E661" t="str">
            <v>西南总部</v>
          </cell>
          <cell r="F661" t="str">
            <v>西南营销中心</v>
          </cell>
          <cell r="G661" t="str">
            <v>营业二部</v>
          </cell>
          <cell r="H661" t="str">
            <v>柏刚</v>
          </cell>
          <cell r="I661" t="str">
            <v>三星销售顾问</v>
          </cell>
          <cell r="J661" t="str">
            <v>男</v>
          </cell>
          <cell r="K661" t="str">
            <v>正式</v>
          </cell>
          <cell r="L661" t="str">
            <v>内部员工</v>
          </cell>
          <cell r="M661" t="str">
            <v>柏刚</v>
          </cell>
        </row>
        <row r="662">
          <cell r="A662" t="str">
            <v>陈龙</v>
          </cell>
          <cell r="B662" t="str">
            <v>00904</v>
          </cell>
          <cell r="C662" t="str">
            <v>河北时代蜂族营销策划有限公司</v>
          </cell>
          <cell r="D662">
            <v>45430</v>
          </cell>
          <cell r="E662" t="str">
            <v>山东</v>
          </cell>
          <cell r="F662" t="str">
            <v>山东营销中心</v>
          </cell>
          <cell r="G662" t="str">
            <v>山东销售部</v>
          </cell>
          <cell r="H662" t="str">
            <v>冯洁</v>
          </cell>
          <cell r="I662" t="str">
            <v>三星销售顾问</v>
          </cell>
          <cell r="J662" t="str">
            <v>男</v>
          </cell>
          <cell r="K662" t="str">
            <v>正式</v>
          </cell>
          <cell r="L662" t="str">
            <v>内部员工</v>
          </cell>
          <cell r="M662" t="str">
            <v>冯洁</v>
          </cell>
        </row>
        <row r="663">
          <cell r="A663" t="str">
            <v>范优强</v>
          </cell>
          <cell r="B663" t="str">
            <v>00905</v>
          </cell>
          <cell r="C663" t="str">
            <v>兰州时代蜂族营销策划有限公司</v>
          </cell>
          <cell r="D663">
            <v>45430</v>
          </cell>
          <cell r="E663" t="str">
            <v>甘肃</v>
          </cell>
          <cell r="F663" t="str">
            <v>甘肃拓展部</v>
          </cell>
        </row>
        <row r="663">
          <cell r="I663" t="str">
            <v>实习拓展</v>
          </cell>
          <cell r="J663" t="str">
            <v>男</v>
          </cell>
          <cell r="K663" t="str">
            <v>正式</v>
          </cell>
          <cell r="L663" t="str">
            <v>内部员工</v>
          </cell>
          <cell r="M663" t="str">
            <v>雷鸣</v>
          </cell>
        </row>
        <row r="664">
          <cell r="A664" t="str">
            <v>许春艳</v>
          </cell>
          <cell r="B664" t="str">
            <v>00901</v>
          </cell>
          <cell r="C664" t="str">
            <v>四川时代蜂族营销策划有限公司</v>
          </cell>
          <cell r="D664">
            <v>45429</v>
          </cell>
          <cell r="E664" t="str">
            <v>西南总部</v>
          </cell>
          <cell r="F664" t="str">
            <v>西南营销中心</v>
          </cell>
          <cell r="G664" t="str">
            <v>营业四部</v>
          </cell>
          <cell r="H664" t="str">
            <v>李培金</v>
          </cell>
          <cell r="I664" t="str">
            <v>三星销售顾问</v>
          </cell>
          <cell r="J664" t="str">
            <v>女</v>
          </cell>
          <cell r="K664" t="str">
            <v>正式</v>
          </cell>
          <cell r="L664" t="str">
            <v>内部员工</v>
          </cell>
          <cell r="M664" t="str">
            <v>李培金</v>
          </cell>
        </row>
        <row r="665">
          <cell r="A665" t="str">
            <v>吴江平</v>
          </cell>
          <cell r="B665" t="str">
            <v>00898</v>
          </cell>
          <cell r="C665" t="str">
            <v>四川时代蜂族营销策划有限公司</v>
          </cell>
          <cell r="D665">
            <v>45427</v>
          </cell>
          <cell r="E665" t="str">
            <v>山东</v>
          </cell>
          <cell r="F665" t="str">
            <v>山东营销中心</v>
          </cell>
          <cell r="G665" t="str">
            <v>山东销售部</v>
          </cell>
          <cell r="H665" t="str">
            <v>李丹</v>
          </cell>
          <cell r="I665" t="str">
            <v>一星实习经理</v>
          </cell>
          <cell r="J665" t="str">
            <v>男</v>
          </cell>
          <cell r="K665" t="str">
            <v>正式</v>
          </cell>
          <cell r="L665" t="str">
            <v>内部员工</v>
          </cell>
          <cell r="M665" t="str">
            <v>李丹</v>
          </cell>
        </row>
        <row r="666">
          <cell r="A666" t="str">
            <v>艾林</v>
          </cell>
          <cell r="B666" t="str">
            <v>00896</v>
          </cell>
          <cell r="C666" t="str">
            <v>山西时代蜂族房地产经纪有限公司</v>
          </cell>
          <cell r="D666">
            <v>45427</v>
          </cell>
          <cell r="E666" t="str">
            <v>山西</v>
          </cell>
          <cell r="F666" t="str">
            <v>山西营销中心</v>
          </cell>
          <cell r="G666" t="str">
            <v>山西销售部</v>
          </cell>
        </row>
        <row r="666">
          <cell r="I666" t="str">
            <v>二星实习经理</v>
          </cell>
          <cell r="J666" t="str">
            <v>男</v>
          </cell>
          <cell r="K666" t="str">
            <v>正式</v>
          </cell>
          <cell r="L666" t="str">
            <v>内部员工</v>
          </cell>
          <cell r="M666" t="str">
            <v>刘辉</v>
          </cell>
        </row>
        <row r="667">
          <cell r="A667" t="str">
            <v>吴洪蝶</v>
          </cell>
          <cell r="B667" t="str">
            <v>00893</v>
          </cell>
          <cell r="C667" t="str">
            <v>四川时代蜂族营销策划有限公司</v>
          </cell>
          <cell r="D667">
            <v>45425</v>
          </cell>
          <cell r="E667" t="str">
            <v>西南总部</v>
          </cell>
          <cell r="F667" t="str">
            <v>西南营销中心</v>
          </cell>
          <cell r="G667" t="str">
            <v>营业七部</v>
          </cell>
          <cell r="H667" t="str">
            <v>谢沁霜</v>
          </cell>
          <cell r="I667" t="str">
            <v>三星销售顾问</v>
          </cell>
          <cell r="J667" t="str">
            <v>女</v>
          </cell>
          <cell r="K667" t="str">
            <v>正式</v>
          </cell>
          <cell r="L667" t="str">
            <v>内部员工</v>
          </cell>
          <cell r="M667" t="str">
            <v>谢沁霜</v>
          </cell>
        </row>
        <row r="668">
          <cell r="A668" t="str">
            <v>刘姚林</v>
          </cell>
          <cell r="B668" t="str">
            <v>00888</v>
          </cell>
          <cell r="C668" t="str">
            <v>山西时代蜂族房地产经纪有限公司</v>
          </cell>
          <cell r="D668">
            <v>45420</v>
          </cell>
          <cell r="E668" t="str">
            <v>山西</v>
          </cell>
          <cell r="F668" t="str">
            <v>山西营销中心</v>
          </cell>
          <cell r="G668" t="str">
            <v>山西销售部</v>
          </cell>
          <cell r="H668" t="str">
            <v>李权益</v>
          </cell>
          <cell r="I668" t="str">
            <v>三星销售顾问</v>
          </cell>
          <cell r="J668" t="str">
            <v>男</v>
          </cell>
          <cell r="K668" t="str">
            <v>正式</v>
          </cell>
          <cell r="L668" t="str">
            <v>内部员工</v>
          </cell>
          <cell r="M668" t="str">
            <v>李权益</v>
          </cell>
        </row>
        <row r="669">
          <cell r="A669" t="str">
            <v>李鑫2</v>
          </cell>
          <cell r="B669" t="str">
            <v>00886</v>
          </cell>
          <cell r="C669" t="str">
            <v>四川时代蜂族营销策划有限公司</v>
          </cell>
          <cell r="D669">
            <v>45414</v>
          </cell>
          <cell r="E669" t="str">
            <v>河南</v>
          </cell>
          <cell r="F669" t="str">
            <v>河南营销中心</v>
          </cell>
          <cell r="G669" t="str">
            <v>河南销售部</v>
          </cell>
          <cell r="H669" t="str">
            <v>周吉双河南</v>
          </cell>
          <cell r="I669" t="str">
            <v>三星销售顾问</v>
          </cell>
          <cell r="J669" t="str">
            <v>男</v>
          </cell>
          <cell r="K669" t="str">
            <v>正式</v>
          </cell>
          <cell r="L669" t="str">
            <v>内部员工</v>
          </cell>
          <cell r="M669" t="str">
            <v>周吉双</v>
          </cell>
        </row>
        <row r="670">
          <cell r="A670" t="str">
            <v>田银萍</v>
          </cell>
          <cell r="B670" t="str">
            <v>00875</v>
          </cell>
          <cell r="C670" t="str">
            <v>湖北蜜蜂族房地产经纪有限公司</v>
          </cell>
          <cell r="D670">
            <v>45408</v>
          </cell>
          <cell r="E670" t="str">
            <v>湖北</v>
          </cell>
          <cell r="F670" t="str">
            <v>湖北营销中心</v>
          </cell>
          <cell r="G670" t="str">
            <v>湖北2部</v>
          </cell>
        </row>
        <row r="670">
          <cell r="I670" t="str">
            <v>二星销售顾问</v>
          </cell>
          <cell r="J670" t="str">
            <v>女</v>
          </cell>
          <cell r="K670" t="str">
            <v>正式</v>
          </cell>
          <cell r="L670" t="str">
            <v>内部员工</v>
          </cell>
          <cell r="M670" t="str">
            <v>陈晓辉</v>
          </cell>
        </row>
        <row r="671">
          <cell r="A671" t="str">
            <v>陈帅</v>
          </cell>
          <cell r="B671" t="str">
            <v>00883</v>
          </cell>
          <cell r="C671" t="str">
            <v>四川时代蜂族营销策划有限公司</v>
          </cell>
          <cell r="D671">
            <v>45406</v>
          </cell>
          <cell r="E671" t="str">
            <v>西南总部</v>
          </cell>
          <cell r="F671" t="str">
            <v>西南营销中心</v>
          </cell>
          <cell r="G671" t="str">
            <v>营业四部</v>
          </cell>
        </row>
        <row r="671">
          <cell r="I671" t="str">
            <v>一星实习经理</v>
          </cell>
          <cell r="J671" t="str">
            <v>男</v>
          </cell>
          <cell r="K671" t="str">
            <v>正式</v>
          </cell>
          <cell r="L671" t="str">
            <v>内部员工</v>
          </cell>
          <cell r="M671" t="str">
            <v>刘亮</v>
          </cell>
        </row>
        <row r="672">
          <cell r="A672" t="str">
            <v>谭海芹</v>
          </cell>
          <cell r="B672" t="str">
            <v>00878</v>
          </cell>
          <cell r="C672" t="str">
            <v>湖南时代蜂族营销策划有限公司</v>
          </cell>
          <cell r="D672">
            <v>45404</v>
          </cell>
          <cell r="E672" t="str">
            <v>湖南</v>
          </cell>
          <cell r="F672" t="str">
            <v>湖南营销中心</v>
          </cell>
          <cell r="G672" t="str">
            <v>湖南销售部</v>
          </cell>
          <cell r="H672" t="str">
            <v>孙小龙湖南</v>
          </cell>
          <cell r="I672" t="str">
            <v>二星销售顾问</v>
          </cell>
          <cell r="J672" t="str">
            <v>女</v>
          </cell>
          <cell r="K672" t="str">
            <v>正式</v>
          </cell>
          <cell r="L672" t="str">
            <v>内部员工</v>
          </cell>
          <cell r="M672" t="str">
            <v>王超飞</v>
          </cell>
        </row>
        <row r="673">
          <cell r="A673" t="str">
            <v>罗瑞</v>
          </cell>
          <cell r="B673" t="str">
            <v>00873</v>
          </cell>
          <cell r="C673" t="str">
            <v>河南蜜蜂族营销策划有限公司</v>
          </cell>
          <cell r="D673">
            <v>45401</v>
          </cell>
          <cell r="E673" t="str">
            <v>河南</v>
          </cell>
          <cell r="F673" t="str">
            <v>河南营销中心</v>
          </cell>
        </row>
        <row r="673">
          <cell r="I673" t="str">
            <v>三星销售顾问</v>
          </cell>
          <cell r="J673" t="str">
            <v>女</v>
          </cell>
          <cell r="K673" t="str">
            <v>正式</v>
          </cell>
          <cell r="L673" t="str">
            <v>内部员工</v>
          </cell>
          <cell r="M673" t="str">
            <v>毛孝树</v>
          </cell>
        </row>
        <row r="674">
          <cell r="A674" t="str">
            <v>刘洋2</v>
          </cell>
          <cell r="B674" t="str">
            <v>00874</v>
          </cell>
          <cell r="C674" t="str">
            <v>河南蜜蜂族营销策划有限公司</v>
          </cell>
          <cell r="D674">
            <v>45401</v>
          </cell>
          <cell r="E674" t="str">
            <v>河南</v>
          </cell>
          <cell r="F674" t="str">
            <v>河南营销中心</v>
          </cell>
        </row>
        <row r="674">
          <cell r="I674" t="str">
            <v>三星销售顾问</v>
          </cell>
          <cell r="J674" t="str">
            <v>男</v>
          </cell>
          <cell r="K674" t="str">
            <v>正式</v>
          </cell>
          <cell r="L674" t="str">
            <v>内部员工</v>
          </cell>
          <cell r="M674" t="str">
            <v>毛孝树</v>
          </cell>
        </row>
        <row r="675">
          <cell r="A675" t="str">
            <v>周涛</v>
          </cell>
          <cell r="B675" t="str">
            <v>00869</v>
          </cell>
          <cell r="C675" t="str">
            <v>山东时代蜂族营销策划有限公司</v>
          </cell>
          <cell r="D675">
            <v>45400</v>
          </cell>
          <cell r="E675" t="str">
            <v>山东</v>
          </cell>
          <cell r="F675" t="str">
            <v>山东营销中心</v>
          </cell>
          <cell r="G675" t="str">
            <v>山东销售部</v>
          </cell>
          <cell r="H675" t="str">
            <v>李丹</v>
          </cell>
          <cell r="I675" t="str">
            <v>一星实习经理</v>
          </cell>
          <cell r="J675" t="str">
            <v>女</v>
          </cell>
          <cell r="K675" t="str">
            <v>正式</v>
          </cell>
          <cell r="L675" t="str">
            <v>内部员工</v>
          </cell>
          <cell r="M675" t="str">
            <v>李丹</v>
          </cell>
        </row>
        <row r="676">
          <cell r="A676" t="str">
            <v>吕瑞仙</v>
          </cell>
          <cell r="B676" t="str">
            <v>00864</v>
          </cell>
          <cell r="C676" t="str">
            <v>陕西蜂族科技有限公司</v>
          </cell>
          <cell r="D676">
            <v>45390</v>
          </cell>
          <cell r="E676" t="str">
            <v>陕西</v>
          </cell>
          <cell r="F676" t="str">
            <v>陕西营销中心</v>
          </cell>
          <cell r="G676" t="str">
            <v>陕西1部</v>
          </cell>
        </row>
        <row r="676">
          <cell r="I676" t="str">
            <v>一星实习经理</v>
          </cell>
          <cell r="J676" t="str">
            <v>女</v>
          </cell>
          <cell r="K676" t="str">
            <v>正式</v>
          </cell>
          <cell r="L676" t="str">
            <v>内部员工</v>
          </cell>
          <cell r="M676" t="str">
            <v>李丝丝</v>
          </cell>
        </row>
        <row r="677">
          <cell r="A677" t="str">
            <v>王涛涛</v>
          </cell>
          <cell r="B677" t="str">
            <v>00861</v>
          </cell>
          <cell r="C677" t="str">
            <v>陕西蜂族科技有限公司</v>
          </cell>
          <cell r="D677">
            <v>45384</v>
          </cell>
          <cell r="E677" t="str">
            <v>陕西</v>
          </cell>
          <cell r="F677" t="str">
            <v>陕西营销中心</v>
          </cell>
          <cell r="G677" t="str">
            <v>陕西2部</v>
          </cell>
          <cell r="H677" t="str">
            <v>王晓刚</v>
          </cell>
          <cell r="I677" t="str">
            <v>三星销售顾问</v>
          </cell>
          <cell r="J677" t="str">
            <v>男</v>
          </cell>
          <cell r="K677" t="str">
            <v>正式</v>
          </cell>
          <cell r="L677" t="str">
            <v>内部员工</v>
          </cell>
          <cell r="M677" t="str">
            <v>王晓刚</v>
          </cell>
        </row>
        <row r="678">
          <cell r="A678" t="str">
            <v>寇美玲</v>
          </cell>
          <cell r="B678" t="str">
            <v>00862</v>
          </cell>
          <cell r="C678" t="str">
            <v>四川时代蜂族营销策划有限公司</v>
          </cell>
          <cell r="D678">
            <v>45384</v>
          </cell>
          <cell r="E678" t="str">
            <v>西南总部</v>
          </cell>
          <cell r="F678" t="str">
            <v>西南营销中心</v>
          </cell>
          <cell r="G678" t="str">
            <v>营业一部</v>
          </cell>
          <cell r="H678" t="str">
            <v>胡雪梅</v>
          </cell>
          <cell r="I678" t="str">
            <v>三星销售顾问</v>
          </cell>
          <cell r="J678" t="str">
            <v>女</v>
          </cell>
          <cell r="K678" t="str">
            <v>正式</v>
          </cell>
          <cell r="L678" t="str">
            <v>内部员工</v>
          </cell>
          <cell r="M678" t="str">
            <v>胡雪梅</v>
          </cell>
        </row>
        <row r="679">
          <cell r="A679" t="str">
            <v>叶献颐</v>
          </cell>
          <cell r="B679" t="str">
            <v>00863</v>
          </cell>
          <cell r="C679" t="str">
            <v>山东时代蜂族营销策划有限公司</v>
          </cell>
          <cell r="D679">
            <v>45384</v>
          </cell>
          <cell r="E679" t="str">
            <v>山东</v>
          </cell>
          <cell r="F679" t="str">
            <v>山东拓展部</v>
          </cell>
          <cell r="G679" t="str">
            <v>山东战区2</v>
          </cell>
        </row>
        <row r="679">
          <cell r="I679" t="str">
            <v>一星拓展专员</v>
          </cell>
          <cell r="J679" t="str">
            <v>女</v>
          </cell>
          <cell r="K679" t="str">
            <v>正式</v>
          </cell>
          <cell r="L679" t="str">
            <v>内部员工</v>
          </cell>
          <cell r="M679" t="str">
            <v>向润</v>
          </cell>
        </row>
        <row r="680">
          <cell r="A680" t="str">
            <v>谢铭</v>
          </cell>
          <cell r="B680" t="str">
            <v>00860</v>
          </cell>
          <cell r="C680" t="str">
            <v>四川时代蜂族营销策划有限公司</v>
          </cell>
          <cell r="D680">
            <v>45383</v>
          </cell>
          <cell r="E680" t="str">
            <v>西南总部</v>
          </cell>
          <cell r="F680" t="str">
            <v>西南营销中心</v>
          </cell>
          <cell r="G680" t="str">
            <v>营业六部</v>
          </cell>
          <cell r="H680" t="str">
            <v>毛富林</v>
          </cell>
          <cell r="I680" t="str">
            <v>三星销售顾问</v>
          </cell>
          <cell r="J680" t="str">
            <v>男</v>
          </cell>
          <cell r="K680" t="str">
            <v>正式</v>
          </cell>
          <cell r="L680" t="str">
            <v>内部员工</v>
          </cell>
          <cell r="M680" t="str">
            <v>毛富林</v>
          </cell>
        </row>
        <row r="681">
          <cell r="A681" t="str">
            <v>刘军</v>
          </cell>
          <cell r="B681" t="str">
            <v>00856</v>
          </cell>
          <cell r="C681" t="str">
            <v>四川时代蜂族营销策划有限公司</v>
          </cell>
          <cell r="D681">
            <v>45377</v>
          </cell>
          <cell r="E681" t="str">
            <v>西南总部</v>
          </cell>
          <cell r="F681" t="str">
            <v>西南营销中心</v>
          </cell>
          <cell r="G681" t="str">
            <v>营业二部</v>
          </cell>
          <cell r="H681" t="str">
            <v>魏飞翔</v>
          </cell>
          <cell r="I681" t="str">
            <v>B岗经理</v>
          </cell>
          <cell r="J681" t="str">
            <v>男</v>
          </cell>
          <cell r="K681" t="str">
            <v>正式</v>
          </cell>
          <cell r="L681" t="str">
            <v>内部员工</v>
          </cell>
          <cell r="M681" t="str">
            <v>魏飞翔</v>
          </cell>
        </row>
        <row r="682">
          <cell r="A682" t="str">
            <v>陈其</v>
          </cell>
          <cell r="B682" t="str">
            <v>00857</v>
          </cell>
          <cell r="C682" t="str">
            <v>四川时代蜂族营销策划有限公司</v>
          </cell>
          <cell r="D682">
            <v>45377</v>
          </cell>
          <cell r="E682" t="str">
            <v>河北</v>
          </cell>
          <cell r="F682" t="str">
            <v>河北营销中心</v>
          </cell>
          <cell r="G682" t="str">
            <v>河北销售部</v>
          </cell>
          <cell r="H682" t="str">
            <v>韩旭河北</v>
          </cell>
          <cell r="I682" t="str">
            <v>三星销售顾问</v>
          </cell>
          <cell r="J682" t="str">
            <v>男</v>
          </cell>
          <cell r="K682" t="str">
            <v>正式</v>
          </cell>
          <cell r="L682" t="str">
            <v>内部员工</v>
          </cell>
          <cell r="M682" t="str">
            <v>韩旭</v>
          </cell>
        </row>
        <row r="683">
          <cell r="A683" t="str">
            <v>郑菊</v>
          </cell>
          <cell r="B683" t="str">
            <v>00855</v>
          </cell>
          <cell r="C683" t="str">
            <v>四川时代蜂族营销策划有限公司</v>
          </cell>
          <cell r="D683">
            <v>45371</v>
          </cell>
          <cell r="E683" t="str">
            <v>西南总部</v>
          </cell>
          <cell r="F683" t="str">
            <v>西南营销中心</v>
          </cell>
          <cell r="G683" t="str">
            <v>营业一部</v>
          </cell>
          <cell r="H683" t="str">
            <v>雷小金</v>
          </cell>
          <cell r="I683" t="str">
            <v>三星销售顾问</v>
          </cell>
          <cell r="J683" t="str">
            <v>女</v>
          </cell>
          <cell r="K683" t="str">
            <v>正式</v>
          </cell>
          <cell r="L683" t="str">
            <v>内部员工</v>
          </cell>
          <cell r="M683" t="str">
            <v>雷小金</v>
          </cell>
        </row>
        <row r="684">
          <cell r="A684" t="str">
            <v>邓岗</v>
          </cell>
          <cell r="B684" t="str">
            <v>00853</v>
          </cell>
          <cell r="C684" t="str">
            <v>河南蜜蜂族营销策划有限公司</v>
          </cell>
          <cell r="D684">
            <v>45371</v>
          </cell>
          <cell r="E684" t="str">
            <v>河南</v>
          </cell>
          <cell r="F684" t="str">
            <v>河南拓展部</v>
          </cell>
        </row>
        <row r="684">
          <cell r="I684" t="str">
            <v>一星拓展专员</v>
          </cell>
          <cell r="J684" t="str">
            <v>男</v>
          </cell>
          <cell r="K684" t="str">
            <v>正式</v>
          </cell>
          <cell r="L684" t="str">
            <v>内部员工</v>
          </cell>
          <cell r="M684" t="str">
            <v>廖静</v>
          </cell>
        </row>
        <row r="685">
          <cell r="A685" t="str">
            <v>邵亮</v>
          </cell>
          <cell r="B685" t="str">
            <v>00849</v>
          </cell>
          <cell r="C685" t="str">
            <v>陕西蜂族科技有限公司</v>
          </cell>
          <cell r="D685">
            <v>45364</v>
          </cell>
          <cell r="E685" t="str">
            <v>陕西</v>
          </cell>
          <cell r="F685" t="str">
            <v>陕西营销中心</v>
          </cell>
          <cell r="G685" t="str">
            <v>陕西1部</v>
          </cell>
        </row>
        <row r="685">
          <cell r="I685" t="str">
            <v>一星实习经理</v>
          </cell>
          <cell r="J685" t="str">
            <v>男</v>
          </cell>
          <cell r="K685" t="str">
            <v>正式</v>
          </cell>
          <cell r="L685" t="str">
            <v>内部员工</v>
          </cell>
          <cell r="M685" t="str">
            <v>李丝丝</v>
          </cell>
        </row>
        <row r="686">
          <cell r="A686" t="str">
            <v>王强2</v>
          </cell>
          <cell r="B686" t="str">
            <v>00847</v>
          </cell>
          <cell r="C686" t="str">
            <v>四川时代蜂族营销策划有限公司</v>
          </cell>
          <cell r="D686">
            <v>45363</v>
          </cell>
          <cell r="E686" t="str">
            <v>西南总部</v>
          </cell>
          <cell r="F686" t="str">
            <v>西南拓展中心</v>
          </cell>
          <cell r="G686" t="str">
            <v>川西</v>
          </cell>
        </row>
        <row r="686">
          <cell r="I686" t="str">
            <v>一星拓展专员</v>
          </cell>
          <cell r="J686" t="str">
            <v>男</v>
          </cell>
          <cell r="K686" t="str">
            <v>正式</v>
          </cell>
          <cell r="L686" t="str">
            <v>内部员工</v>
          </cell>
          <cell r="M686" t="str">
            <v>杨蓉</v>
          </cell>
        </row>
        <row r="687">
          <cell r="A687" t="str">
            <v>冯玺</v>
          </cell>
          <cell r="B687" t="str">
            <v>00848</v>
          </cell>
          <cell r="C687" t="str">
            <v>陕西蜂族科技有限公司</v>
          </cell>
          <cell r="D687">
            <v>45363</v>
          </cell>
          <cell r="E687" t="str">
            <v>陕西</v>
          </cell>
          <cell r="F687" t="str">
            <v>陕西办公室</v>
          </cell>
        </row>
        <row r="687">
          <cell r="I687" t="str">
            <v>一星销售政委</v>
          </cell>
          <cell r="J687" t="str">
            <v>女</v>
          </cell>
          <cell r="K687" t="str">
            <v>正式</v>
          </cell>
          <cell r="L687" t="str">
            <v>内部员工</v>
          </cell>
          <cell r="M687" t="str">
            <v>廖小朋</v>
          </cell>
        </row>
        <row r="688">
          <cell r="A688" t="str">
            <v>周榆力</v>
          </cell>
          <cell r="B688" t="str">
            <v>00846</v>
          </cell>
          <cell r="C688" t="str">
            <v>重庆市江北区蜂顺营销策划有限公司</v>
          </cell>
          <cell r="D688">
            <v>45361</v>
          </cell>
          <cell r="E688" t="str">
            <v>湖北</v>
          </cell>
          <cell r="F688" t="str">
            <v>湖北拓展部</v>
          </cell>
        </row>
        <row r="688">
          <cell r="I688" t="str">
            <v>一星拓展专员</v>
          </cell>
          <cell r="J688" t="str">
            <v>男</v>
          </cell>
          <cell r="K688" t="str">
            <v>正式</v>
          </cell>
          <cell r="L688" t="str">
            <v>内部员工</v>
          </cell>
          <cell r="M688" t="str">
            <v>范庚</v>
          </cell>
        </row>
        <row r="689">
          <cell r="A689" t="str">
            <v>王守瑶</v>
          </cell>
          <cell r="B689" t="str">
            <v>00844</v>
          </cell>
          <cell r="C689" t="str">
            <v>山东时代蜂族营销策划有限公司</v>
          </cell>
          <cell r="D689">
            <v>45358</v>
          </cell>
          <cell r="E689" t="str">
            <v>山东</v>
          </cell>
          <cell r="F689" t="str">
            <v>山东拓展部</v>
          </cell>
          <cell r="G689" t="str">
            <v>山东战区2</v>
          </cell>
        </row>
        <row r="689">
          <cell r="I689" t="str">
            <v>一星拓展专员</v>
          </cell>
          <cell r="J689" t="str">
            <v>女</v>
          </cell>
          <cell r="K689" t="str">
            <v>正式</v>
          </cell>
          <cell r="L689" t="str">
            <v>内部员工</v>
          </cell>
          <cell r="M689" t="str">
            <v>向润</v>
          </cell>
        </row>
        <row r="690">
          <cell r="A690" t="str">
            <v>吴建鑫</v>
          </cell>
          <cell r="B690" t="str">
            <v>00841</v>
          </cell>
          <cell r="C690" t="str">
            <v>四川时代蜂族营销策划有限公司</v>
          </cell>
          <cell r="D690">
            <v>45357</v>
          </cell>
          <cell r="E690" t="str">
            <v>西南总部</v>
          </cell>
          <cell r="F690" t="str">
            <v>西南营销中心</v>
          </cell>
          <cell r="G690" t="str">
            <v>营业三部</v>
          </cell>
        </row>
        <row r="690">
          <cell r="I690" t="str">
            <v>二星实习经理</v>
          </cell>
          <cell r="J690" t="str">
            <v>男</v>
          </cell>
          <cell r="K690" t="str">
            <v>正式</v>
          </cell>
          <cell r="L690" t="str">
            <v>内部员工</v>
          </cell>
          <cell r="M690" t="str">
            <v>周吉双</v>
          </cell>
        </row>
        <row r="691">
          <cell r="A691" t="str">
            <v>刘红梅</v>
          </cell>
          <cell r="B691" t="str">
            <v>00840</v>
          </cell>
          <cell r="C691" t="str">
            <v>湖南时代蜂族营销策划有限公司</v>
          </cell>
          <cell r="D691">
            <v>45353</v>
          </cell>
          <cell r="E691" t="str">
            <v>湖南</v>
          </cell>
          <cell r="F691" t="str">
            <v>湖南营销中心</v>
          </cell>
          <cell r="G691" t="str">
            <v>湖南销售部</v>
          </cell>
          <cell r="H691" t="str">
            <v>黄勇刚湖南</v>
          </cell>
          <cell r="I691" t="str">
            <v>B岗经理</v>
          </cell>
          <cell r="J691" t="str">
            <v>女</v>
          </cell>
          <cell r="K691" t="str">
            <v>正式</v>
          </cell>
          <cell r="L691" t="str">
            <v>内部员工</v>
          </cell>
          <cell r="M691" t="str">
            <v>黄勇刚</v>
          </cell>
        </row>
        <row r="692">
          <cell r="A692" t="str">
            <v>刘丹</v>
          </cell>
          <cell r="B692" t="str">
            <v>00835</v>
          </cell>
          <cell r="C692" t="str">
            <v>四川时代蜂族营销策划有限公司</v>
          </cell>
          <cell r="D692">
            <v>45352</v>
          </cell>
          <cell r="E692" t="str">
            <v>河北</v>
          </cell>
          <cell r="F692" t="str">
            <v>河北营销中心</v>
          </cell>
          <cell r="G692" t="str">
            <v>河北销售部</v>
          </cell>
          <cell r="H692" t="str">
            <v>韦霞河北</v>
          </cell>
          <cell r="I692" t="str">
            <v>三星销售顾问</v>
          </cell>
          <cell r="J692" t="str">
            <v>女</v>
          </cell>
          <cell r="K692" t="str">
            <v>正式</v>
          </cell>
          <cell r="L692" t="str">
            <v>内部员工</v>
          </cell>
          <cell r="M692" t="str">
            <v>韦霞</v>
          </cell>
        </row>
        <row r="693">
          <cell r="A693" t="str">
            <v>任凯</v>
          </cell>
          <cell r="B693" t="str">
            <v>00839</v>
          </cell>
          <cell r="C693" t="str">
            <v>重庆市渝北区蜂族时代营销策划有限公司</v>
          </cell>
          <cell r="D693">
            <v>45352</v>
          </cell>
          <cell r="E693" t="str">
            <v>西南总部</v>
          </cell>
          <cell r="F693" t="str">
            <v>西南营销中心</v>
          </cell>
          <cell r="G693" t="str">
            <v>营业四部</v>
          </cell>
          <cell r="H693" t="str">
            <v>陈帅</v>
          </cell>
          <cell r="I693" t="str">
            <v>三星销售顾问</v>
          </cell>
          <cell r="J693" t="str">
            <v>男</v>
          </cell>
          <cell r="K693" t="str">
            <v>正式</v>
          </cell>
          <cell r="L693" t="str">
            <v>内部员工</v>
          </cell>
          <cell r="M693" t="str">
            <v>陈帅</v>
          </cell>
        </row>
        <row r="694">
          <cell r="A694" t="str">
            <v>罗浩</v>
          </cell>
          <cell r="B694" t="str">
            <v>00829</v>
          </cell>
          <cell r="C694" t="str">
            <v>湖北蜜蜂族房地产经纪有限公司</v>
          </cell>
          <cell r="D694">
            <v>45347</v>
          </cell>
          <cell r="E694" t="str">
            <v>湖北</v>
          </cell>
          <cell r="F694" t="str">
            <v>湖北营销中心</v>
          </cell>
          <cell r="G694" t="str">
            <v>湖北1部</v>
          </cell>
          <cell r="H694" t="str">
            <v>李文</v>
          </cell>
          <cell r="I694" t="str">
            <v>二星销售顾问</v>
          </cell>
          <cell r="J694" t="str">
            <v>男</v>
          </cell>
          <cell r="K694" t="str">
            <v>正式</v>
          </cell>
          <cell r="L694" t="str">
            <v>内部员工</v>
          </cell>
          <cell r="M694" t="str">
            <v>李文</v>
          </cell>
        </row>
        <row r="695">
          <cell r="A695" t="str">
            <v>吴泽涵</v>
          </cell>
          <cell r="B695" t="str">
            <v>00825</v>
          </cell>
          <cell r="C695" t="str">
            <v>陕西蜂族科技有限公司</v>
          </cell>
          <cell r="D695">
            <v>45345</v>
          </cell>
          <cell r="E695" t="str">
            <v>陕西</v>
          </cell>
          <cell r="F695" t="str">
            <v>陕西营销中心</v>
          </cell>
          <cell r="G695" t="str">
            <v>陕西1部</v>
          </cell>
          <cell r="H695" t="str">
            <v>孙宇</v>
          </cell>
          <cell r="I695" t="str">
            <v>三星销售顾问</v>
          </cell>
          <cell r="J695" t="str">
            <v>男</v>
          </cell>
          <cell r="K695" t="str">
            <v>正式</v>
          </cell>
          <cell r="L695" t="str">
            <v>内部员工</v>
          </cell>
          <cell r="M695" t="str">
            <v>孙宇</v>
          </cell>
        </row>
        <row r="696">
          <cell r="A696" t="str">
            <v>黄洁</v>
          </cell>
          <cell r="B696" t="str">
            <v>00828</v>
          </cell>
          <cell r="C696" t="str">
            <v>四川大礼连连科技有限公司</v>
          </cell>
          <cell r="D696">
            <v>45345</v>
          </cell>
          <cell r="E696" t="str">
            <v>集团职能</v>
          </cell>
          <cell r="F696" t="str">
            <v>职能营销</v>
          </cell>
          <cell r="G696" t="str">
            <v>培训部</v>
          </cell>
        </row>
        <row r="696">
          <cell r="I696" t="str">
            <v>教培主管</v>
          </cell>
          <cell r="J696" t="str">
            <v>女</v>
          </cell>
          <cell r="K696" t="str">
            <v>正式</v>
          </cell>
          <cell r="L696" t="str">
            <v>内部员工</v>
          </cell>
          <cell r="M696" t="str">
            <v>欧松林</v>
          </cell>
        </row>
        <row r="697">
          <cell r="A697" t="str">
            <v>薛鹏</v>
          </cell>
          <cell r="B697" t="str">
            <v>00822</v>
          </cell>
          <cell r="C697" t="str">
            <v>兰州时代蜂族营销策划有限公司</v>
          </cell>
          <cell r="D697">
            <v>45343</v>
          </cell>
          <cell r="E697" t="str">
            <v>甘肃</v>
          </cell>
          <cell r="F697" t="str">
            <v>甘肃拓展部</v>
          </cell>
        </row>
        <row r="697">
          <cell r="I697" t="str">
            <v>一星拓展专员</v>
          </cell>
          <cell r="J697" t="str">
            <v>男</v>
          </cell>
          <cell r="K697" t="str">
            <v>正式</v>
          </cell>
          <cell r="L697" t="str">
            <v>内部员工</v>
          </cell>
          <cell r="M697" t="str">
            <v>雷鸣</v>
          </cell>
        </row>
        <row r="698">
          <cell r="A698" t="str">
            <v>曾小林</v>
          </cell>
          <cell r="B698" t="str">
            <v>00821</v>
          </cell>
          <cell r="C698" t="str">
            <v>河北时代蜂族营销策划有限公司</v>
          </cell>
          <cell r="D698">
            <v>45342</v>
          </cell>
          <cell r="E698" t="str">
            <v>河北</v>
          </cell>
          <cell r="F698" t="str">
            <v>河北拓展部</v>
          </cell>
        </row>
        <row r="698">
          <cell r="I698" t="str">
            <v>一星拓展专员</v>
          </cell>
          <cell r="J698" t="str">
            <v>男</v>
          </cell>
          <cell r="K698" t="str">
            <v>正式</v>
          </cell>
          <cell r="L698" t="str">
            <v>内部员工</v>
          </cell>
          <cell r="M698" t="str">
            <v>黄伟</v>
          </cell>
        </row>
        <row r="699">
          <cell r="A699" t="str">
            <v>童小林</v>
          </cell>
          <cell r="B699" t="str">
            <v>00808</v>
          </cell>
          <cell r="C699" t="str">
            <v>陕西蜂族科技有限公司</v>
          </cell>
          <cell r="D699">
            <v>45294</v>
          </cell>
          <cell r="E699" t="str">
            <v>陕西</v>
          </cell>
          <cell r="F699" t="str">
            <v>陕西营销中心</v>
          </cell>
          <cell r="G699" t="str">
            <v>陕西2部</v>
          </cell>
          <cell r="H699" t="str">
            <v>蒙建</v>
          </cell>
          <cell r="I699" t="str">
            <v>三星销售顾问</v>
          </cell>
          <cell r="J699" t="str">
            <v>女</v>
          </cell>
          <cell r="K699" t="str">
            <v>正式</v>
          </cell>
          <cell r="L699" t="str">
            <v>内部员工</v>
          </cell>
          <cell r="M699" t="str">
            <v>蒙建</v>
          </cell>
        </row>
        <row r="700">
          <cell r="A700" t="str">
            <v>刘洪</v>
          </cell>
          <cell r="B700" t="str">
            <v>01469</v>
          </cell>
          <cell r="C700" t="str">
            <v>四川时代蜂族营销策划有限公司</v>
          </cell>
          <cell r="D700">
            <v>45292</v>
          </cell>
          <cell r="E700" t="str">
            <v>集团职能</v>
          </cell>
          <cell r="F700" t="str">
            <v>职能总部</v>
          </cell>
          <cell r="G700" t="str">
            <v>残疾人</v>
          </cell>
        </row>
        <row r="700">
          <cell r="I700" t="str">
            <v>残疾人</v>
          </cell>
          <cell r="J700" t="str">
            <v>女</v>
          </cell>
          <cell r="K700" t="str">
            <v>正式</v>
          </cell>
          <cell r="L700" t="str">
            <v>内部员工</v>
          </cell>
        </row>
        <row r="701">
          <cell r="A701" t="str">
            <v>万静</v>
          </cell>
          <cell r="B701" t="str">
            <v>00801</v>
          </cell>
          <cell r="C701" t="str">
            <v>山东时代蜂族营销策划有限公司</v>
          </cell>
          <cell r="D701">
            <v>45272</v>
          </cell>
          <cell r="E701" t="str">
            <v>山东</v>
          </cell>
          <cell r="F701" t="str">
            <v>山东营销中心</v>
          </cell>
          <cell r="G701" t="str">
            <v>山东销售部</v>
          </cell>
          <cell r="H701" t="str">
            <v>赵文涛</v>
          </cell>
          <cell r="I701" t="str">
            <v>三星销售顾问</v>
          </cell>
          <cell r="J701" t="str">
            <v>女</v>
          </cell>
          <cell r="K701" t="str">
            <v>正式</v>
          </cell>
          <cell r="L701" t="str">
            <v>内部员工</v>
          </cell>
          <cell r="M701" t="str">
            <v>赵文涛</v>
          </cell>
        </row>
        <row r="702">
          <cell r="A702" t="str">
            <v>扈岭楠</v>
          </cell>
          <cell r="B702" t="str">
            <v>00798</v>
          </cell>
          <cell r="C702" t="str">
            <v>四川时代蜂族营销策划有限公司</v>
          </cell>
          <cell r="D702">
            <v>45269</v>
          </cell>
          <cell r="E702" t="str">
            <v>河北</v>
          </cell>
          <cell r="F702" t="str">
            <v>河北营销中心</v>
          </cell>
          <cell r="G702" t="str">
            <v>河北销售部</v>
          </cell>
        </row>
        <row r="702">
          <cell r="I702" t="str">
            <v>一星实习经理</v>
          </cell>
          <cell r="J702" t="str">
            <v>男</v>
          </cell>
          <cell r="K702" t="str">
            <v>正式</v>
          </cell>
          <cell r="L702" t="str">
            <v>内部员工</v>
          </cell>
          <cell r="M702" t="str">
            <v>柏刚</v>
          </cell>
        </row>
        <row r="703">
          <cell r="A703" t="str">
            <v>殷昌容</v>
          </cell>
          <cell r="B703" t="str">
            <v>00797</v>
          </cell>
          <cell r="C703" t="str">
            <v>辽宁时代蜂族营销策划有限公司</v>
          </cell>
          <cell r="D703">
            <v>45267</v>
          </cell>
          <cell r="E703" t="str">
            <v>辽宁</v>
          </cell>
          <cell r="F703" t="str">
            <v>辽宁营销中心</v>
          </cell>
          <cell r="G703" t="str">
            <v>辽宁销售部</v>
          </cell>
          <cell r="H703" t="str">
            <v>赖慧辽宁</v>
          </cell>
          <cell r="I703" t="str">
            <v>三星销售顾问</v>
          </cell>
          <cell r="J703" t="str">
            <v>女</v>
          </cell>
          <cell r="K703" t="str">
            <v>正式</v>
          </cell>
          <cell r="L703" t="str">
            <v>内部员工</v>
          </cell>
          <cell r="M703" t="str">
            <v>赖慧</v>
          </cell>
        </row>
        <row r="704">
          <cell r="A704" t="str">
            <v>彭停</v>
          </cell>
          <cell r="B704" t="str">
            <v>00796</v>
          </cell>
          <cell r="C704" t="str">
            <v>四川时代蜂族营销策划有限公司</v>
          </cell>
          <cell r="D704">
            <v>45265</v>
          </cell>
          <cell r="E704" t="str">
            <v>山西</v>
          </cell>
          <cell r="F704" t="str">
            <v>山西营销中心</v>
          </cell>
          <cell r="G704" t="str">
            <v>山西销售部</v>
          </cell>
          <cell r="H704" t="str">
            <v>彭停山西</v>
          </cell>
          <cell r="I704" t="str">
            <v>二星实习经理</v>
          </cell>
          <cell r="J704" t="str">
            <v>女</v>
          </cell>
          <cell r="K704" t="str">
            <v>正式</v>
          </cell>
          <cell r="L704" t="str">
            <v>内部员工</v>
          </cell>
          <cell r="M704" t="str">
            <v>刘辉</v>
          </cell>
        </row>
        <row r="705">
          <cell r="A705" t="str">
            <v>赵玉兰</v>
          </cell>
          <cell r="B705" t="str">
            <v>00793</v>
          </cell>
          <cell r="C705" t="str">
            <v>四川时代蜂族营销策划有限公司</v>
          </cell>
          <cell r="D705">
            <v>45261</v>
          </cell>
          <cell r="E705" t="str">
            <v>山西</v>
          </cell>
          <cell r="F705" t="str">
            <v>山西营销中心</v>
          </cell>
          <cell r="G705" t="str">
            <v>山西销售部</v>
          </cell>
          <cell r="H705" t="str">
            <v>吴志虎山西</v>
          </cell>
          <cell r="I705" t="str">
            <v>三星销售顾问</v>
          </cell>
          <cell r="J705" t="str">
            <v>女</v>
          </cell>
          <cell r="K705" t="str">
            <v>正式</v>
          </cell>
          <cell r="L705" t="str">
            <v>内部员工</v>
          </cell>
          <cell r="M705" t="str">
            <v>吴志虎</v>
          </cell>
        </row>
        <row r="706">
          <cell r="A706" t="str">
            <v>文鹏羽</v>
          </cell>
          <cell r="B706" t="str">
            <v>00792</v>
          </cell>
          <cell r="C706" t="str">
            <v>四川时代蜂族营销策划有限公司</v>
          </cell>
          <cell r="D706">
            <v>45260</v>
          </cell>
          <cell r="E706" t="str">
            <v>西南总部</v>
          </cell>
          <cell r="F706" t="str">
            <v>西南营销中心</v>
          </cell>
          <cell r="G706" t="str">
            <v>营业二部</v>
          </cell>
        </row>
        <row r="706">
          <cell r="I706" t="str">
            <v>一星实习经理</v>
          </cell>
          <cell r="J706" t="str">
            <v>男</v>
          </cell>
          <cell r="K706" t="str">
            <v>正式</v>
          </cell>
          <cell r="L706" t="str">
            <v>内部员工</v>
          </cell>
          <cell r="M706" t="str">
            <v>柏刚</v>
          </cell>
        </row>
        <row r="707">
          <cell r="A707" t="str">
            <v>曹朝霞</v>
          </cell>
          <cell r="B707" t="str">
            <v>00791</v>
          </cell>
          <cell r="C707" t="str">
            <v>四川蜂起营销策划有限公司</v>
          </cell>
          <cell r="D707">
            <v>45259</v>
          </cell>
          <cell r="E707" t="str">
            <v>集团职能</v>
          </cell>
          <cell r="F707" t="str">
            <v>职能总部</v>
          </cell>
          <cell r="G707" t="str">
            <v>业绩增长部</v>
          </cell>
        </row>
        <row r="707">
          <cell r="I707" t="str">
            <v>拓展BP</v>
          </cell>
          <cell r="J707" t="str">
            <v>女</v>
          </cell>
          <cell r="K707" t="str">
            <v>正式</v>
          </cell>
          <cell r="L707" t="str">
            <v>内部员工</v>
          </cell>
          <cell r="M707" t="str">
            <v>梁霞</v>
          </cell>
        </row>
        <row r="708">
          <cell r="A708" t="str">
            <v>刘元发</v>
          </cell>
          <cell r="B708" t="str">
            <v>00787</v>
          </cell>
          <cell r="C708" t="str">
            <v>湖南时代蜂族营销策划有限公司</v>
          </cell>
          <cell r="D708">
            <v>45255</v>
          </cell>
          <cell r="E708" t="str">
            <v>湖南</v>
          </cell>
          <cell r="F708" t="str">
            <v>湖南营销中心</v>
          </cell>
          <cell r="G708" t="str">
            <v>湖南销售部</v>
          </cell>
          <cell r="H708" t="str">
            <v>刘元发</v>
          </cell>
          <cell r="I708" t="str">
            <v>二星实习经理</v>
          </cell>
          <cell r="J708" t="str">
            <v>男</v>
          </cell>
          <cell r="K708" t="str">
            <v>正式</v>
          </cell>
          <cell r="L708" t="str">
            <v>内部员工</v>
          </cell>
          <cell r="M708" t="str">
            <v>刘进</v>
          </cell>
        </row>
        <row r="709">
          <cell r="A709" t="str">
            <v>乔磊</v>
          </cell>
          <cell r="B709" t="str">
            <v>00772</v>
          </cell>
          <cell r="C709" t="str">
            <v>陕西时代蜂族营销策划有限公司</v>
          </cell>
          <cell r="D709">
            <v>45245</v>
          </cell>
          <cell r="E709" t="str">
            <v>陕西</v>
          </cell>
          <cell r="F709" t="str">
            <v>陕西营销中心</v>
          </cell>
          <cell r="G709" t="str">
            <v>陕西2部</v>
          </cell>
        </row>
        <row r="709">
          <cell r="I709" t="str">
            <v>二星实习经理</v>
          </cell>
          <cell r="J709" t="str">
            <v>男</v>
          </cell>
          <cell r="K709" t="str">
            <v>正式</v>
          </cell>
          <cell r="L709" t="str">
            <v>内部员工</v>
          </cell>
          <cell r="M709" t="str">
            <v>李耀</v>
          </cell>
        </row>
        <row r="710">
          <cell r="A710" t="str">
            <v>杨蓉</v>
          </cell>
          <cell r="B710" t="str">
            <v>00770</v>
          </cell>
          <cell r="C710" t="str">
            <v>四川时代蜂族营销策划有限公司</v>
          </cell>
          <cell r="D710">
            <v>45244</v>
          </cell>
          <cell r="E710" t="str">
            <v>西南总部</v>
          </cell>
          <cell r="F710" t="str">
            <v>西南拓展中心</v>
          </cell>
          <cell r="G710" t="str">
            <v>川西</v>
          </cell>
        </row>
        <row r="710">
          <cell r="I710" t="str">
            <v>区域拓展总监</v>
          </cell>
          <cell r="J710" t="str">
            <v>女</v>
          </cell>
          <cell r="K710" t="str">
            <v>正式</v>
          </cell>
          <cell r="L710" t="str">
            <v>内部员工</v>
          </cell>
          <cell r="M710" t="str">
            <v>刘文宇</v>
          </cell>
        </row>
        <row r="711">
          <cell r="A711" t="str">
            <v>季俊先</v>
          </cell>
          <cell r="B711" t="str">
            <v>00769</v>
          </cell>
          <cell r="C711" t="str">
            <v>四川时代蜂族营销策划有限公司</v>
          </cell>
          <cell r="D711">
            <v>45241</v>
          </cell>
          <cell r="E711" t="str">
            <v>西南总部</v>
          </cell>
          <cell r="F711" t="str">
            <v>西南营销中心</v>
          </cell>
          <cell r="G711" t="str">
            <v>营业四部</v>
          </cell>
          <cell r="H711" t="str">
            <v>刘亮</v>
          </cell>
          <cell r="I711" t="str">
            <v>三星销售顾问</v>
          </cell>
          <cell r="J711" t="str">
            <v>男</v>
          </cell>
          <cell r="K711" t="str">
            <v>正式</v>
          </cell>
          <cell r="L711" t="str">
            <v>内部员工</v>
          </cell>
          <cell r="M711" t="str">
            <v>刘亮</v>
          </cell>
        </row>
        <row r="712">
          <cell r="A712" t="str">
            <v>范莉兰</v>
          </cell>
          <cell r="B712" t="str">
            <v>00764</v>
          </cell>
          <cell r="C712" t="str">
            <v>陕西蜂族科技有限公司</v>
          </cell>
          <cell r="D712">
            <v>45236</v>
          </cell>
          <cell r="E712" t="str">
            <v>陕西</v>
          </cell>
          <cell r="F712" t="str">
            <v>陕西营销中心</v>
          </cell>
          <cell r="G712" t="str">
            <v>陕西2部</v>
          </cell>
          <cell r="H712" t="str">
            <v>王超2</v>
          </cell>
          <cell r="I712" t="str">
            <v>三星销售顾问</v>
          </cell>
          <cell r="J712" t="str">
            <v>女</v>
          </cell>
          <cell r="K712" t="str">
            <v>正式</v>
          </cell>
          <cell r="L712" t="str">
            <v>内部员工</v>
          </cell>
          <cell r="M712" t="str">
            <v>王超2</v>
          </cell>
        </row>
        <row r="713">
          <cell r="A713" t="str">
            <v>贾萍</v>
          </cell>
          <cell r="B713" t="str">
            <v>00762</v>
          </cell>
          <cell r="C713" t="str">
            <v>重庆市沙坪坝区时代蜂族营销策划有限公司</v>
          </cell>
          <cell r="D713">
            <v>45233</v>
          </cell>
          <cell r="E713" t="str">
            <v>西南总部</v>
          </cell>
          <cell r="F713" t="str">
            <v>西南营销中心</v>
          </cell>
          <cell r="G713" t="str">
            <v>营业四部</v>
          </cell>
        </row>
        <row r="713">
          <cell r="I713" t="str">
            <v>二星实习经理</v>
          </cell>
          <cell r="J713" t="str">
            <v>女</v>
          </cell>
          <cell r="K713" t="str">
            <v>正式</v>
          </cell>
          <cell r="L713" t="str">
            <v>内部员工</v>
          </cell>
          <cell r="M713" t="str">
            <v>刘亮</v>
          </cell>
        </row>
        <row r="714">
          <cell r="A714" t="str">
            <v>姜舒怡</v>
          </cell>
          <cell r="B714" t="str">
            <v>00763</v>
          </cell>
          <cell r="C714" t="str">
            <v>陕西蜂族科技有限公司</v>
          </cell>
          <cell r="D714">
            <v>45233</v>
          </cell>
          <cell r="E714" t="str">
            <v>陕西</v>
          </cell>
          <cell r="F714" t="str">
            <v>陕西营销中心</v>
          </cell>
          <cell r="G714" t="str">
            <v>陕西2部</v>
          </cell>
          <cell r="H714" t="str">
            <v>罗小花</v>
          </cell>
          <cell r="I714" t="str">
            <v>三星销售顾问</v>
          </cell>
          <cell r="J714" t="str">
            <v>女</v>
          </cell>
          <cell r="K714" t="str">
            <v>正式</v>
          </cell>
          <cell r="L714" t="str">
            <v>内部员工</v>
          </cell>
          <cell r="M714" t="str">
            <v>罗小花</v>
          </cell>
        </row>
        <row r="715">
          <cell r="A715" t="str">
            <v>何亚琼</v>
          </cell>
          <cell r="B715" t="str">
            <v>00761</v>
          </cell>
          <cell r="C715" t="str">
            <v>四川时代蜂族营销策划有限公司</v>
          </cell>
          <cell r="D715">
            <v>45231</v>
          </cell>
          <cell r="E715" t="str">
            <v>西南总部</v>
          </cell>
          <cell r="F715" t="str">
            <v>西南营销中心</v>
          </cell>
          <cell r="G715" t="str">
            <v>营业二部</v>
          </cell>
          <cell r="H715" t="str">
            <v>柏刚</v>
          </cell>
          <cell r="I715" t="str">
            <v>三星销售顾问</v>
          </cell>
          <cell r="J715" t="str">
            <v>女</v>
          </cell>
          <cell r="K715" t="str">
            <v>正式</v>
          </cell>
          <cell r="L715" t="str">
            <v>内部员工</v>
          </cell>
          <cell r="M715" t="str">
            <v>柏刚</v>
          </cell>
        </row>
        <row r="716">
          <cell r="A716" t="str">
            <v>王付豪</v>
          </cell>
          <cell r="B716" t="str">
            <v>00760</v>
          </cell>
          <cell r="C716" t="str">
            <v>湖北蜜蜂族房地产经纪有限公司</v>
          </cell>
          <cell r="D716">
            <v>45230</v>
          </cell>
          <cell r="E716" t="str">
            <v>湖北</v>
          </cell>
          <cell r="F716" t="str">
            <v>湖北营销中心</v>
          </cell>
          <cell r="G716" t="str">
            <v>湖北1部</v>
          </cell>
          <cell r="H716" t="str">
            <v>蔺小燕湖北</v>
          </cell>
          <cell r="I716" t="str">
            <v>三星销售顾问</v>
          </cell>
          <cell r="J716" t="str">
            <v>男</v>
          </cell>
          <cell r="K716" t="str">
            <v>正式</v>
          </cell>
          <cell r="L716" t="str">
            <v>内部员工</v>
          </cell>
          <cell r="M716" t="str">
            <v>蔺小燕</v>
          </cell>
        </row>
        <row r="717">
          <cell r="A717" t="str">
            <v>朱家艳</v>
          </cell>
          <cell r="B717" t="str">
            <v>00755</v>
          </cell>
          <cell r="C717" t="str">
            <v>四川时代蜂族营销策划有限公司</v>
          </cell>
          <cell r="D717">
            <v>45213</v>
          </cell>
          <cell r="E717" t="str">
            <v>西南总部</v>
          </cell>
          <cell r="F717" t="str">
            <v>西南营销中心</v>
          </cell>
          <cell r="G717" t="str">
            <v>营业一部</v>
          </cell>
        </row>
        <row r="717">
          <cell r="I717" t="str">
            <v>一星正式经理</v>
          </cell>
          <cell r="J717" t="str">
            <v>女</v>
          </cell>
          <cell r="K717" t="str">
            <v>正式</v>
          </cell>
          <cell r="L717" t="str">
            <v>内部员工</v>
          </cell>
          <cell r="M717" t="str">
            <v>雷小金</v>
          </cell>
        </row>
        <row r="718">
          <cell r="A718" t="str">
            <v>杜鸿梅</v>
          </cell>
          <cell r="B718" t="str">
            <v>00753</v>
          </cell>
          <cell r="C718" t="str">
            <v>四川优诺通瑞商贸有限公司</v>
          </cell>
          <cell r="D718">
            <v>45204</v>
          </cell>
          <cell r="E718" t="str">
            <v>集团职能</v>
          </cell>
          <cell r="F718" t="str">
            <v>职能总部</v>
          </cell>
          <cell r="G718" t="str">
            <v>人资行政部</v>
          </cell>
        </row>
        <row r="718">
          <cell r="I718" t="str">
            <v>行政专员</v>
          </cell>
          <cell r="J718" t="str">
            <v>女</v>
          </cell>
          <cell r="K718" t="str">
            <v>正式</v>
          </cell>
          <cell r="L718" t="str">
            <v>内部员工</v>
          </cell>
          <cell r="M718" t="str">
            <v>孔群慧</v>
          </cell>
        </row>
        <row r="719">
          <cell r="A719" t="str">
            <v>许琪</v>
          </cell>
          <cell r="B719" t="str">
            <v>00752</v>
          </cell>
          <cell r="C719" t="str">
            <v>山东时代蜂族营销策划有限公司</v>
          </cell>
          <cell r="D719">
            <v>45203</v>
          </cell>
          <cell r="E719" t="str">
            <v>山东</v>
          </cell>
          <cell r="F719" t="str">
            <v>山东营销中心</v>
          </cell>
          <cell r="G719" t="str">
            <v>山东销售部</v>
          </cell>
          <cell r="H719" t="str">
            <v>吴江平山东</v>
          </cell>
          <cell r="I719" t="str">
            <v>三星销售顾问</v>
          </cell>
          <cell r="J719" t="str">
            <v>男</v>
          </cell>
          <cell r="K719" t="str">
            <v>正式</v>
          </cell>
          <cell r="L719" t="str">
            <v>内部员工</v>
          </cell>
          <cell r="M719" t="str">
            <v>吴江平</v>
          </cell>
        </row>
        <row r="720">
          <cell r="A720" t="str">
            <v>冀敏</v>
          </cell>
          <cell r="B720" t="str">
            <v>00751</v>
          </cell>
          <cell r="C720" t="str">
            <v>陕西蜂族科技有限公司</v>
          </cell>
          <cell r="D720">
            <v>45196</v>
          </cell>
          <cell r="E720" t="str">
            <v>陕西</v>
          </cell>
          <cell r="F720" t="str">
            <v>陕西营销中心</v>
          </cell>
          <cell r="G720" t="str">
            <v>陕西2部</v>
          </cell>
        </row>
        <row r="720">
          <cell r="I720" t="str">
            <v>二星实习经理</v>
          </cell>
          <cell r="J720" t="str">
            <v>女</v>
          </cell>
          <cell r="K720" t="str">
            <v>正式</v>
          </cell>
          <cell r="L720" t="str">
            <v>内部员工</v>
          </cell>
          <cell r="M720" t="str">
            <v>李耀</v>
          </cell>
        </row>
        <row r="721">
          <cell r="A721" t="str">
            <v>张宗铭</v>
          </cell>
          <cell r="B721" t="str">
            <v>00420</v>
          </cell>
          <cell r="C721" t="str">
            <v>湖北蜜蜂族房地产经纪有限公司</v>
          </cell>
          <cell r="D721">
            <v>45193</v>
          </cell>
          <cell r="E721" t="str">
            <v>湖北</v>
          </cell>
          <cell r="F721" t="str">
            <v>湖北营销中心</v>
          </cell>
          <cell r="G721" t="str">
            <v>湖北1部</v>
          </cell>
        </row>
        <row r="721">
          <cell r="I721" t="str">
            <v>一星实习经理</v>
          </cell>
          <cell r="J721" t="str">
            <v>男</v>
          </cell>
          <cell r="K721" t="str">
            <v>正式</v>
          </cell>
          <cell r="L721" t="str">
            <v>内部员工</v>
          </cell>
          <cell r="M721" t="str">
            <v>林浩</v>
          </cell>
        </row>
        <row r="722">
          <cell r="A722" t="str">
            <v>陈嘉文</v>
          </cell>
          <cell r="B722" t="str">
            <v>00750</v>
          </cell>
          <cell r="C722" t="str">
            <v>四川时代蜂族营销策划有限公司</v>
          </cell>
          <cell r="D722">
            <v>45192</v>
          </cell>
          <cell r="E722" t="str">
            <v>西南总部</v>
          </cell>
          <cell r="F722" t="str">
            <v>西南营销中心</v>
          </cell>
          <cell r="G722" t="str">
            <v>营业四部</v>
          </cell>
        </row>
        <row r="722">
          <cell r="I722" t="str">
            <v>二星实习经理</v>
          </cell>
          <cell r="J722" t="str">
            <v>男</v>
          </cell>
          <cell r="K722" t="str">
            <v>正式</v>
          </cell>
          <cell r="L722" t="str">
            <v>内部员工</v>
          </cell>
          <cell r="M722" t="str">
            <v>刘亮</v>
          </cell>
        </row>
        <row r="723">
          <cell r="A723" t="str">
            <v>王辉</v>
          </cell>
          <cell r="B723" t="str">
            <v>00743</v>
          </cell>
          <cell r="C723" t="str">
            <v>陕西蜂族科技有限公司</v>
          </cell>
          <cell r="D723">
            <v>45175</v>
          </cell>
          <cell r="E723" t="str">
            <v>陕西</v>
          </cell>
          <cell r="F723" t="str">
            <v>陕西营销中心</v>
          </cell>
          <cell r="G723" t="str">
            <v>陕西二部</v>
          </cell>
        </row>
        <row r="723">
          <cell r="I723" t="str">
            <v>一星实习经理</v>
          </cell>
          <cell r="J723" t="str">
            <v>男</v>
          </cell>
          <cell r="K723" t="str">
            <v>正式</v>
          </cell>
          <cell r="L723" t="str">
            <v>内部员工</v>
          </cell>
          <cell r="M723" t="str">
            <v>李耀</v>
          </cell>
        </row>
        <row r="724">
          <cell r="A724" t="str">
            <v>周磊</v>
          </cell>
          <cell r="B724" t="str">
            <v>00742</v>
          </cell>
          <cell r="C724" t="str">
            <v>湖北蜜蜂族房地产经纪有限公司</v>
          </cell>
          <cell r="D724">
            <v>45174</v>
          </cell>
          <cell r="E724" t="str">
            <v>湖北</v>
          </cell>
          <cell r="F724" t="str">
            <v>湖北拓展部</v>
          </cell>
        </row>
        <row r="724">
          <cell r="I724" t="str">
            <v>二星拓展专员</v>
          </cell>
          <cell r="J724" t="str">
            <v>男</v>
          </cell>
          <cell r="K724" t="str">
            <v>正式</v>
          </cell>
          <cell r="L724" t="str">
            <v>内部员工</v>
          </cell>
          <cell r="M724" t="str">
            <v>张冀</v>
          </cell>
        </row>
        <row r="725">
          <cell r="A725" t="str">
            <v>王孝勇</v>
          </cell>
          <cell r="B725" t="str">
            <v>00737</v>
          </cell>
          <cell r="C725" t="str">
            <v>四川时代蜂族营销策划有限公司</v>
          </cell>
          <cell r="D725">
            <v>45162</v>
          </cell>
          <cell r="E725" t="str">
            <v>西南总部</v>
          </cell>
          <cell r="F725" t="str">
            <v>西南营销中心</v>
          </cell>
          <cell r="G725" t="str">
            <v>营业三部</v>
          </cell>
          <cell r="H725" t="str">
            <v>吴建鑫</v>
          </cell>
          <cell r="I725" t="str">
            <v>三星销售顾问</v>
          </cell>
          <cell r="J725" t="str">
            <v>男</v>
          </cell>
          <cell r="K725" t="str">
            <v>正式</v>
          </cell>
          <cell r="L725" t="str">
            <v>内部员工</v>
          </cell>
          <cell r="M725" t="str">
            <v>吴建鑫</v>
          </cell>
        </row>
        <row r="726">
          <cell r="A726" t="str">
            <v>陶燕红</v>
          </cell>
          <cell r="B726" t="str">
            <v>00733</v>
          </cell>
          <cell r="C726" t="str">
            <v>四川优诺通瑞商贸有限公司</v>
          </cell>
          <cell r="D726">
            <v>45145</v>
          </cell>
          <cell r="E726" t="str">
            <v>集团职能</v>
          </cell>
          <cell r="F726" t="str">
            <v>职能营销</v>
          </cell>
          <cell r="G726" t="str">
            <v>督导部</v>
          </cell>
        </row>
        <row r="726">
          <cell r="I726" t="str">
            <v>权证专员</v>
          </cell>
          <cell r="J726" t="str">
            <v>女</v>
          </cell>
          <cell r="K726" t="str">
            <v>正式</v>
          </cell>
          <cell r="L726" t="str">
            <v>内部员工</v>
          </cell>
          <cell r="M726" t="str">
            <v>刘盼</v>
          </cell>
        </row>
        <row r="727">
          <cell r="A727" t="str">
            <v>卢鲜仝</v>
          </cell>
          <cell r="B727" t="str">
            <v>00730</v>
          </cell>
          <cell r="C727" t="str">
            <v>四川时代蜂族营销策划有限公司</v>
          </cell>
          <cell r="D727">
            <v>45132</v>
          </cell>
          <cell r="E727" t="str">
            <v>西南总部</v>
          </cell>
          <cell r="F727" t="str">
            <v>西南营销中心</v>
          </cell>
          <cell r="G727" t="str">
            <v>营业三部</v>
          </cell>
          <cell r="H727" t="str">
            <v>刘佳</v>
          </cell>
          <cell r="I727" t="str">
            <v>三星销售顾问</v>
          </cell>
          <cell r="J727" t="str">
            <v>男</v>
          </cell>
          <cell r="K727" t="str">
            <v>正式</v>
          </cell>
          <cell r="L727" t="str">
            <v>内部员工</v>
          </cell>
          <cell r="M727" t="str">
            <v>刘佳</v>
          </cell>
        </row>
        <row r="728">
          <cell r="A728" t="str">
            <v>赵文涛</v>
          </cell>
          <cell r="B728" t="str">
            <v>00728</v>
          </cell>
          <cell r="C728" t="str">
            <v>山东时代蜂族营销策划有限公司</v>
          </cell>
          <cell r="D728">
            <v>45131</v>
          </cell>
          <cell r="E728" t="str">
            <v>山东</v>
          </cell>
          <cell r="F728" t="str">
            <v>山东营销中心</v>
          </cell>
          <cell r="G728" t="str">
            <v>山东销售部</v>
          </cell>
          <cell r="H728" t="str">
            <v>赵文涛</v>
          </cell>
          <cell r="I728" t="str">
            <v>三星实习经理</v>
          </cell>
          <cell r="J728" t="str">
            <v>男</v>
          </cell>
          <cell r="K728" t="str">
            <v>正式</v>
          </cell>
          <cell r="L728" t="str">
            <v>内部员工</v>
          </cell>
          <cell r="M728" t="str">
            <v>李丹</v>
          </cell>
        </row>
        <row r="729">
          <cell r="A729" t="str">
            <v>黄瑞雪</v>
          </cell>
          <cell r="B729" t="str">
            <v>00722</v>
          </cell>
          <cell r="C729" t="str">
            <v>山东时代蜂族营销策划有限公司</v>
          </cell>
          <cell r="D729">
            <v>45126</v>
          </cell>
          <cell r="E729" t="str">
            <v>山东</v>
          </cell>
          <cell r="F729" t="str">
            <v>山东营销中心</v>
          </cell>
          <cell r="G729" t="str">
            <v>山东销售部</v>
          </cell>
          <cell r="H729" t="str">
            <v>杨唐山东</v>
          </cell>
          <cell r="I729" t="str">
            <v>三星销售顾问</v>
          </cell>
          <cell r="J729" t="str">
            <v>女</v>
          </cell>
          <cell r="K729" t="str">
            <v>正式</v>
          </cell>
          <cell r="L729" t="str">
            <v>内部员工</v>
          </cell>
          <cell r="M729" t="str">
            <v>杨唐</v>
          </cell>
        </row>
        <row r="730">
          <cell r="A730" t="str">
            <v>朱思刚</v>
          </cell>
          <cell r="B730" t="str">
            <v>00718</v>
          </cell>
          <cell r="C730" t="str">
            <v>河南蜜蜂族营销策划有限公司</v>
          </cell>
          <cell r="D730">
            <v>45122</v>
          </cell>
          <cell r="E730" t="str">
            <v>河南</v>
          </cell>
          <cell r="F730" t="str">
            <v>河南营销中心</v>
          </cell>
          <cell r="G730" t="str">
            <v>河南销售部</v>
          </cell>
          <cell r="H730" t="str">
            <v>任枭月</v>
          </cell>
          <cell r="I730" t="str">
            <v>二星销售顾问</v>
          </cell>
          <cell r="J730" t="str">
            <v>男</v>
          </cell>
          <cell r="K730" t="str">
            <v>正式</v>
          </cell>
          <cell r="L730" t="str">
            <v>内部员工</v>
          </cell>
          <cell r="M730" t="str">
            <v>任枭月</v>
          </cell>
        </row>
        <row r="731">
          <cell r="A731" t="str">
            <v>王晶晶</v>
          </cell>
          <cell r="B731" t="str">
            <v>00711</v>
          </cell>
          <cell r="C731" t="str">
            <v>湖南时代蜂族营销策划有限公司</v>
          </cell>
          <cell r="D731">
            <v>45119</v>
          </cell>
          <cell r="E731" t="str">
            <v>湖南</v>
          </cell>
          <cell r="F731" t="str">
            <v>湖南营销中心</v>
          </cell>
          <cell r="G731" t="str">
            <v>湖南销售部</v>
          </cell>
        </row>
        <row r="731">
          <cell r="I731" t="str">
            <v>二星实习经理</v>
          </cell>
          <cell r="J731" t="str">
            <v>男</v>
          </cell>
          <cell r="K731" t="str">
            <v>正式</v>
          </cell>
          <cell r="L731" t="str">
            <v>内部员工</v>
          </cell>
          <cell r="M731" t="str">
            <v>刘进</v>
          </cell>
        </row>
        <row r="732">
          <cell r="A732" t="str">
            <v>张佩瑶</v>
          </cell>
          <cell r="B732" t="str">
            <v>00707</v>
          </cell>
          <cell r="C732" t="str">
            <v>四川时代蜂族营销策划有限公司</v>
          </cell>
          <cell r="D732">
            <v>45114</v>
          </cell>
          <cell r="E732" t="str">
            <v>西南总部</v>
          </cell>
          <cell r="F732" t="str">
            <v>西南营销中心</v>
          </cell>
          <cell r="G732" t="str">
            <v>营业二部</v>
          </cell>
        </row>
        <row r="732">
          <cell r="I732" t="str">
            <v>二星实习经理</v>
          </cell>
          <cell r="J732" t="str">
            <v>女</v>
          </cell>
          <cell r="K732" t="str">
            <v>正式</v>
          </cell>
          <cell r="L732" t="str">
            <v>内部员工</v>
          </cell>
          <cell r="M732" t="str">
            <v>柏刚</v>
          </cell>
        </row>
        <row r="733">
          <cell r="A733" t="str">
            <v>吴金桦</v>
          </cell>
          <cell r="B733" t="str">
            <v>00706</v>
          </cell>
          <cell r="C733" t="str">
            <v>四川时代蜂族营销策划有限公司</v>
          </cell>
          <cell r="D733">
            <v>45113</v>
          </cell>
          <cell r="E733" t="str">
            <v>西南总部</v>
          </cell>
          <cell r="F733" t="str">
            <v>西南营销中心</v>
          </cell>
          <cell r="G733" t="str">
            <v>营业一部</v>
          </cell>
          <cell r="H733" t="str">
            <v>雷小金</v>
          </cell>
          <cell r="I733" t="str">
            <v>三星销售顾问</v>
          </cell>
          <cell r="J733" t="str">
            <v>男</v>
          </cell>
          <cell r="K733" t="str">
            <v>正式</v>
          </cell>
          <cell r="L733" t="str">
            <v>内部员工</v>
          </cell>
          <cell r="M733" t="str">
            <v>雷小金</v>
          </cell>
        </row>
        <row r="734">
          <cell r="A734" t="str">
            <v>张顺桂</v>
          </cell>
          <cell r="B734" t="str">
            <v>00701</v>
          </cell>
          <cell r="C734" t="str">
            <v>四川时代蜂族营销策划有限公司</v>
          </cell>
          <cell r="D734">
            <v>45104</v>
          </cell>
          <cell r="E734" t="str">
            <v>河南</v>
          </cell>
          <cell r="F734" t="str">
            <v>河南营销中心</v>
          </cell>
          <cell r="G734" t="str">
            <v>河南销售部</v>
          </cell>
          <cell r="H734" t="str">
            <v>周吉双河南</v>
          </cell>
          <cell r="I734" t="str">
            <v>三星销售顾问</v>
          </cell>
          <cell r="J734" t="str">
            <v>男</v>
          </cell>
          <cell r="K734" t="str">
            <v>正式</v>
          </cell>
          <cell r="L734" t="str">
            <v>内部员工</v>
          </cell>
          <cell r="M734" t="str">
            <v>周吉双</v>
          </cell>
        </row>
        <row r="735">
          <cell r="A735" t="str">
            <v>邱超</v>
          </cell>
          <cell r="B735" t="str">
            <v>00700</v>
          </cell>
          <cell r="C735" t="str">
            <v>四川时代蜂族营销策划有限公司</v>
          </cell>
          <cell r="D735">
            <v>45103</v>
          </cell>
          <cell r="E735" t="str">
            <v>西南总部</v>
          </cell>
          <cell r="F735" t="str">
            <v>西南营销中心</v>
          </cell>
          <cell r="G735" t="str">
            <v>营业三部</v>
          </cell>
          <cell r="H735" t="str">
            <v>张萍</v>
          </cell>
          <cell r="I735" t="str">
            <v>三星销售顾问</v>
          </cell>
          <cell r="J735" t="str">
            <v>男</v>
          </cell>
          <cell r="K735" t="str">
            <v>正式</v>
          </cell>
          <cell r="L735" t="str">
            <v>内部员工</v>
          </cell>
          <cell r="M735" t="str">
            <v>张萍</v>
          </cell>
        </row>
        <row r="736">
          <cell r="A736" t="str">
            <v>郑小强</v>
          </cell>
          <cell r="B736" t="str">
            <v>00699</v>
          </cell>
          <cell r="C736" t="str">
            <v>四川时代蜂族营销策划有限公司</v>
          </cell>
          <cell r="D736">
            <v>45099</v>
          </cell>
          <cell r="E736" t="str">
            <v>西南总部</v>
          </cell>
          <cell r="F736" t="str">
            <v>西南拓展中心</v>
          </cell>
          <cell r="G736" t="str">
            <v>川东</v>
          </cell>
        </row>
        <row r="736">
          <cell r="I736" t="str">
            <v>一星拓展专员</v>
          </cell>
          <cell r="J736" t="str">
            <v>男</v>
          </cell>
          <cell r="K736" t="str">
            <v>正式</v>
          </cell>
          <cell r="L736" t="str">
            <v>内部员工</v>
          </cell>
          <cell r="M736" t="str">
            <v>刘超</v>
          </cell>
        </row>
        <row r="737">
          <cell r="A737" t="str">
            <v>罗桂雪</v>
          </cell>
          <cell r="B737" t="str">
            <v>00693</v>
          </cell>
          <cell r="C737" t="str">
            <v>四川时代蜂族营销策划有限公司</v>
          </cell>
          <cell r="D737">
            <v>45097</v>
          </cell>
          <cell r="E737" t="str">
            <v>西南总部</v>
          </cell>
          <cell r="F737" t="str">
            <v>西南营销中心</v>
          </cell>
          <cell r="G737" t="str">
            <v>营业二部</v>
          </cell>
          <cell r="H737" t="str">
            <v>柏刚</v>
          </cell>
          <cell r="I737" t="str">
            <v>三星销售顾问</v>
          </cell>
          <cell r="J737" t="str">
            <v>女</v>
          </cell>
          <cell r="K737" t="str">
            <v>正式</v>
          </cell>
          <cell r="L737" t="str">
            <v>内部员工</v>
          </cell>
          <cell r="M737" t="str">
            <v>柏刚</v>
          </cell>
        </row>
        <row r="738">
          <cell r="A738" t="str">
            <v>黄苹</v>
          </cell>
          <cell r="B738" t="str">
            <v>00692</v>
          </cell>
          <cell r="C738" t="str">
            <v>山东时代蜂族营销策划有限公司</v>
          </cell>
          <cell r="D738">
            <v>45091</v>
          </cell>
          <cell r="E738" t="str">
            <v>山东</v>
          </cell>
          <cell r="F738" t="str">
            <v>山东营销中心</v>
          </cell>
          <cell r="G738" t="str">
            <v>山东销售部</v>
          </cell>
          <cell r="H738" t="str">
            <v>王杰</v>
          </cell>
          <cell r="I738" t="str">
            <v>三星销售顾问</v>
          </cell>
          <cell r="J738" t="str">
            <v>女</v>
          </cell>
          <cell r="K738" t="str">
            <v>正式</v>
          </cell>
          <cell r="L738" t="str">
            <v>内部员工</v>
          </cell>
          <cell r="M738" t="str">
            <v>王杰</v>
          </cell>
        </row>
        <row r="739">
          <cell r="A739" t="str">
            <v>朱露颖</v>
          </cell>
          <cell r="B739" t="str">
            <v>00690</v>
          </cell>
          <cell r="C739" t="str">
            <v>陕西蜂族科技有限公司</v>
          </cell>
          <cell r="D739">
            <v>45086</v>
          </cell>
          <cell r="E739" t="str">
            <v>陕西</v>
          </cell>
          <cell r="F739" t="str">
            <v>陕西营销中心</v>
          </cell>
          <cell r="G739" t="str">
            <v>陕西1部</v>
          </cell>
        </row>
        <row r="739">
          <cell r="I739" t="str">
            <v>二星实习经理</v>
          </cell>
          <cell r="J739" t="str">
            <v>女</v>
          </cell>
          <cell r="K739" t="str">
            <v>正式</v>
          </cell>
          <cell r="L739" t="str">
            <v>内部员工</v>
          </cell>
          <cell r="M739" t="str">
            <v>李丝丝</v>
          </cell>
        </row>
        <row r="740">
          <cell r="A740" t="str">
            <v>陈银</v>
          </cell>
          <cell r="B740" t="str">
            <v>00687</v>
          </cell>
          <cell r="C740" t="str">
            <v>河北时代蜂族营销策划有限公司</v>
          </cell>
          <cell r="D740">
            <v>45082</v>
          </cell>
          <cell r="E740" t="str">
            <v>河北</v>
          </cell>
          <cell r="F740" t="str">
            <v>河北营销中心</v>
          </cell>
          <cell r="G740" t="str">
            <v>河北销售部</v>
          </cell>
          <cell r="H740" t="str">
            <v>李港一</v>
          </cell>
          <cell r="I740" t="str">
            <v>三星销售顾问</v>
          </cell>
          <cell r="J740" t="str">
            <v>男</v>
          </cell>
          <cell r="K740" t="str">
            <v>正式</v>
          </cell>
          <cell r="L740" t="str">
            <v>内部员工</v>
          </cell>
          <cell r="M740" t="str">
            <v>李港一</v>
          </cell>
        </row>
        <row r="741">
          <cell r="A741" t="str">
            <v>蒋吉勇</v>
          </cell>
          <cell r="B741" t="str">
            <v>00682</v>
          </cell>
          <cell r="C741" t="str">
            <v>四川时代蜂族营销策划有限公司</v>
          </cell>
          <cell r="D741">
            <v>45068</v>
          </cell>
          <cell r="E741" t="str">
            <v>河南</v>
          </cell>
          <cell r="F741" t="str">
            <v>河南营销中心</v>
          </cell>
          <cell r="G741" t="str">
            <v>河南销售部</v>
          </cell>
        </row>
        <row r="741">
          <cell r="I741" t="str">
            <v>二星实习经理</v>
          </cell>
          <cell r="J741" t="str">
            <v>男</v>
          </cell>
          <cell r="K741" t="str">
            <v>正式</v>
          </cell>
          <cell r="L741" t="str">
            <v>内部员工</v>
          </cell>
          <cell r="M741" t="str">
            <v>毛孝树</v>
          </cell>
        </row>
        <row r="742">
          <cell r="A742" t="str">
            <v>王融成</v>
          </cell>
          <cell r="B742" t="str">
            <v>00679</v>
          </cell>
          <cell r="C742" t="str">
            <v>陕西蜂族科技有限公司</v>
          </cell>
          <cell r="D742">
            <v>45065</v>
          </cell>
          <cell r="E742" t="str">
            <v>陕西</v>
          </cell>
          <cell r="F742" t="str">
            <v>陕西拓展部</v>
          </cell>
          <cell r="G742" t="str">
            <v>陕西1区</v>
          </cell>
        </row>
        <row r="742">
          <cell r="I742" t="str">
            <v>一星拓展专员</v>
          </cell>
          <cell r="J742" t="str">
            <v>男</v>
          </cell>
          <cell r="K742" t="str">
            <v>正式</v>
          </cell>
          <cell r="L742" t="str">
            <v>内部员工</v>
          </cell>
          <cell r="M742" t="str">
            <v>覃波</v>
          </cell>
        </row>
        <row r="743">
          <cell r="A743" t="str">
            <v>汪俊</v>
          </cell>
          <cell r="B743" t="str">
            <v>00676</v>
          </cell>
          <cell r="C743" t="str">
            <v>湖北蜜蜂族房地产经纪有限公司</v>
          </cell>
          <cell r="D743">
            <v>45063</v>
          </cell>
          <cell r="E743" t="str">
            <v>湖北</v>
          </cell>
          <cell r="F743" t="str">
            <v>湖北营销中心</v>
          </cell>
          <cell r="G743" t="str">
            <v>湖北2部</v>
          </cell>
          <cell r="H743" t="str">
            <v>吴明银</v>
          </cell>
          <cell r="I743" t="str">
            <v>三星销售顾问</v>
          </cell>
          <cell r="J743" t="str">
            <v>男</v>
          </cell>
          <cell r="K743" t="str">
            <v>正式</v>
          </cell>
          <cell r="L743" t="str">
            <v>内部员工</v>
          </cell>
          <cell r="M743" t="str">
            <v>吴明银</v>
          </cell>
        </row>
        <row r="744">
          <cell r="A744" t="str">
            <v>戢小霞</v>
          </cell>
          <cell r="B744" t="str">
            <v>00674</v>
          </cell>
          <cell r="C744" t="str">
            <v>湖北蜜蜂族房地产经纪有限公司</v>
          </cell>
          <cell r="D744">
            <v>45062</v>
          </cell>
          <cell r="E744" t="str">
            <v>湖北</v>
          </cell>
          <cell r="F744" t="str">
            <v>湖北拓展部</v>
          </cell>
        </row>
        <row r="744">
          <cell r="I744" t="str">
            <v>一星拓展专员</v>
          </cell>
          <cell r="J744" t="str">
            <v>女</v>
          </cell>
          <cell r="K744" t="str">
            <v>正式</v>
          </cell>
          <cell r="L744" t="str">
            <v>内部员工</v>
          </cell>
          <cell r="M744" t="str">
            <v>张冀</v>
          </cell>
        </row>
        <row r="745">
          <cell r="A745" t="str">
            <v>孙宇</v>
          </cell>
          <cell r="B745" t="str">
            <v>00671</v>
          </cell>
          <cell r="C745" t="str">
            <v>陕西蜂族科技有限公司</v>
          </cell>
          <cell r="D745">
            <v>45059</v>
          </cell>
          <cell r="E745" t="str">
            <v>陕西</v>
          </cell>
          <cell r="F745" t="str">
            <v>陕西营销中心</v>
          </cell>
          <cell r="G745" t="str">
            <v>陕西1部</v>
          </cell>
        </row>
        <row r="745">
          <cell r="I745" t="str">
            <v>一星实习经理</v>
          </cell>
          <cell r="J745" t="str">
            <v>男</v>
          </cell>
          <cell r="K745" t="str">
            <v>正式</v>
          </cell>
          <cell r="L745" t="str">
            <v>内部员工</v>
          </cell>
          <cell r="M745" t="str">
            <v>李丝丝</v>
          </cell>
        </row>
        <row r="746">
          <cell r="A746" t="str">
            <v>杨永梅</v>
          </cell>
          <cell r="B746" t="str">
            <v>00666</v>
          </cell>
          <cell r="C746" t="str">
            <v>四川时代蜂族营销策划有限公司</v>
          </cell>
          <cell r="D746">
            <v>45056</v>
          </cell>
          <cell r="E746" t="str">
            <v>甘肃</v>
          </cell>
          <cell r="F746" t="str">
            <v>甘肃营销中心</v>
          </cell>
          <cell r="G746" t="str">
            <v>甘肃销售部</v>
          </cell>
        </row>
        <row r="746">
          <cell r="I746" t="str">
            <v>三星实习经理</v>
          </cell>
          <cell r="J746" t="str">
            <v>女</v>
          </cell>
          <cell r="K746" t="str">
            <v>正式</v>
          </cell>
          <cell r="L746" t="str">
            <v>内部员工</v>
          </cell>
          <cell r="M746" t="str">
            <v>廖小朋</v>
          </cell>
        </row>
        <row r="747">
          <cell r="A747" t="str">
            <v>张静</v>
          </cell>
          <cell r="B747" t="str">
            <v>00656</v>
          </cell>
          <cell r="C747" t="str">
            <v>四川金巴牛网络科技有限公司</v>
          </cell>
          <cell r="D747">
            <v>45049</v>
          </cell>
          <cell r="E747" t="str">
            <v>集团职能</v>
          </cell>
          <cell r="F747" t="str">
            <v>职能总部</v>
          </cell>
          <cell r="G747" t="str">
            <v>技术部</v>
          </cell>
        </row>
        <row r="747">
          <cell r="I747" t="str">
            <v>前端工程师</v>
          </cell>
          <cell r="J747" t="str">
            <v>女</v>
          </cell>
          <cell r="K747" t="str">
            <v>正式</v>
          </cell>
          <cell r="L747" t="str">
            <v>内部员工</v>
          </cell>
          <cell r="M747" t="str">
            <v>张亚东</v>
          </cell>
        </row>
        <row r="748">
          <cell r="A748" t="str">
            <v>倪艳萍</v>
          </cell>
          <cell r="B748" t="str">
            <v>00657</v>
          </cell>
          <cell r="C748" t="str">
            <v>四川蜂起营销策划有限公司</v>
          </cell>
          <cell r="D748">
            <v>45049</v>
          </cell>
          <cell r="E748" t="str">
            <v>集团职能</v>
          </cell>
          <cell r="F748" t="str">
            <v>职能营销</v>
          </cell>
          <cell r="G748" t="str">
            <v>设计部</v>
          </cell>
        </row>
        <row r="748">
          <cell r="I748" t="str">
            <v>设计专员</v>
          </cell>
          <cell r="J748" t="str">
            <v>女</v>
          </cell>
          <cell r="K748" t="str">
            <v>正式</v>
          </cell>
          <cell r="L748" t="str">
            <v>内部员工</v>
          </cell>
          <cell r="M748" t="str">
            <v>李旭</v>
          </cell>
        </row>
        <row r="749">
          <cell r="A749" t="str">
            <v>李先洪</v>
          </cell>
          <cell r="B749" t="str">
            <v>00654</v>
          </cell>
          <cell r="C749" t="str">
            <v>四川时代蜂族营销策划有限公司</v>
          </cell>
          <cell r="D749">
            <v>45046</v>
          </cell>
          <cell r="E749" t="str">
            <v>西南总部</v>
          </cell>
          <cell r="F749" t="str">
            <v>西南营销中心</v>
          </cell>
          <cell r="G749" t="str">
            <v>营业二部</v>
          </cell>
        </row>
        <row r="749">
          <cell r="I749" t="str">
            <v>一星实习经理</v>
          </cell>
          <cell r="J749" t="str">
            <v>男</v>
          </cell>
          <cell r="K749" t="str">
            <v>正式</v>
          </cell>
          <cell r="L749" t="str">
            <v>内部员工</v>
          </cell>
          <cell r="M749" t="str">
            <v>柏刚</v>
          </cell>
        </row>
        <row r="750">
          <cell r="A750" t="str">
            <v>刘鹏</v>
          </cell>
          <cell r="B750" t="str">
            <v>00653</v>
          </cell>
          <cell r="C750" t="str">
            <v>四川时代蜂族营销策划有限公司</v>
          </cell>
          <cell r="D750">
            <v>45045</v>
          </cell>
          <cell r="E750" t="str">
            <v>西南总部</v>
          </cell>
          <cell r="F750" t="str">
            <v>西南营销中心</v>
          </cell>
          <cell r="G750" t="str">
            <v>营业七部</v>
          </cell>
        </row>
        <row r="750">
          <cell r="I750" t="str">
            <v>二星实习经理</v>
          </cell>
          <cell r="J750" t="str">
            <v>男</v>
          </cell>
          <cell r="K750" t="str">
            <v>正式</v>
          </cell>
          <cell r="L750" t="str">
            <v>内部员工</v>
          </cell>
          <cell r="M750" t="str">
            <v>程新浩</v>
          </cell>
        </row>
        <row r="751">
          <cell r="A751" t="str">
            <v>张家涛</v>
          </cell>
          <cell r="B751" t="str">
            <v>00648</v>
          </cell>
          <cell r="C751" t="str">
            <v>成都蓉天城房地产营销策划有限公司</v>
          </cell>
          <cell r="D751">
            <v>45040</v>
          </cell>
          <cell r="E751" t="str">
            <v>西南总部</v>
          </cell>
          <cell r="F751" t="str">
            <v>西南营销中心</v>
          </cell>
          <cell r="G751" t="str">
            <v>营业七部</v>
          </cell>
          <cell r="H751" t="str">
            <v>程新浩</v>
          </cell>
          <cell r="I751" t="str">
            <v>二星实习经理</v>
          </cell>
          <cell r="J751" t="str">
            <v>男</v>
          </cell>
          <cell r="K751" t="str">
            <v>正式</v>
          </cell>
          <cell r="L751" t="str">
            <v>内部员工</v>
          </cell>
          <cell r="M751" t="str">
            <v>程新浩</v>
          </cell>
        </row>
        <row r="752">
          <cell r="A752" t="str">
            <v>吴成杨</v>
          </cell>
          <cell r="B752" t="str">
            <v>00647</v>
          </cell>
          <cell r="C752" t="str">
            <v>陕西蜂族科技有限公司</v>
          </cell>
          <cell r="D752">
            <v>45036</v>
          </cell>
          <cell r="E752" t="str">
            <v>陕西</v>
          </cell>
          <cell r="F752" t="str">
            <v>陕西营销中心</v>
          </cell>
          <cell r="G752" t="str">
            <v>陕西1部</v>
          </cell>
          <cell r="H752" t="str">
            <v>杨永梅</v>
          </cell>
          <cell r="I752" t="str">
            <v>三星销售顾问</v>
          </cell>
          <cell r="J752" t="str">
            <v>男</v>
          </cell>
          <cell r="K752" t="str">
            <v>正式</v>
          </cell>
          <cell r="L752" t="str">
            <v>内部员工</v>
          </cell>
          <cell r="M752" t="str">
            <v>杨永梅</v>
          </cell>
        </row>
        <row r="753">
          <cell r="A753" t="str">
            <v>陈彪</v>
          </cell>
          <cell r="B753" t="str">
            <v>00646</v>
          </cell>
          <cell r="C753" t="str">
            <v>四川时代蜂族营销策划有限公司</v>
          </cell>
          <cell r="D753">
            <v>45035</v>
          </cell>
          <cell r="E753" t="str">
            <v>西南总部</v>
          </cell>
          <cell r="F753" t="str">
            <v>西南营销中心</v>
          </cell>
          <cell r="G753" t="str">
            <v>营业七部</v>
          </cell>
        </row>
        <row r="753">
          <cell r="I753" t="str">
            <v>一星实习经理</v>
          </cell>
          <cell r="J753" t="str">
            <v>男</v>
          </cell>
          <cell r="K753" t="str">
            <v>正式</v>
          </cell>
          <cell r="L753" t="str">
            <v>内部员工</v>
          </cell>
          <cell r="M753" t="str">
            <v>程新浩</v>
          </cell>
        </row>
        <row r="754">
          <cell r="A754" t="str">
            <v>陈俊儒</v>
          </cell>
          <cell r="B754" t="str">
            <v>00645</v>
          </cell>
          <cell r="C754" t="str">
            <v>湖北蜜蜂族房地产经纪有限公司</v>
          </cell>
          <cell r="D754">
            <v>45031</v>
          </cell>
          <cell r="E754" t="str">
            <v>湖北</v>
          </cell>
          <cell r="F754" t="str">
            <v>湖北营销中心</v>
          </cell>
          <cell r="G754" t="str">
            <v>湖北2部</v>
          </cell>
        </row>
        <row r="754">
          <cell r="I754" t="str">
            <v>一星实习经理</v>
          </cell>
          <cell r="J754" t="str">
            <v>男</v>
          </cell>
          <cell r="K754" t="str">
            <v>正式</v>
          </cell>
          <cell r="L754" t="str">
            <v>内部员工</v>
          </cell>
          <cell r="M754" t="str">
            <v>陈晓辉</v>
          </cell>
        </row>
        <row r="755">
          <cell r="A755" t="str">
            <v>任枭月</v>
          </cell>
          <cell r="B755" t="str">
            <v>00641</v>
          </cell>
          <cell r="C755" t="str">
            <v>河南蜜蜂族营销策划有限公司</v>
          </cell>
          <cell r="D755">
            <v>45029</v>
          </cell>
          <cell r="E755" t="str">
            <v>河南</v>
          </cell>
          <cell r="F755" t="str">
            <v>河南营销中心</v>
          </cell>
          <cell r="G755" t="str">
            <v>河南销售部</v>
          </cell>
        </row>
        <row r="755">
          <cell r="I755" t="str">
            <v>一星实习经理</v>
          </cell>
          <cell r="J755" t="str">
            <v>男</v>
          </cell>
          <cell r="K755" t="str">
            <v>正式</v>
          </cell>
          <cell r="L755" t="str">
            <v>内部员工</v>
          </cell>
          <cell r="M755" t="str">
            <v>毛孝树</v>
          </cell>
        </row>
        <row r="756">
          <cell r="A756" t="str">
            <v>陶静</v>
          </cell>
          <cell r="B756" t="str">
            <v>00637</v>
          </cell>
          <cell r="C756" t="str">
            <v>四川时代蜂族营销策划有限公司</v>
          </cell>
          <cell r="D756">
            <v>45029</v>
          </cell>
          <cell r="E756" t="str">
            <v>西南总部</v>
          </cell>
          <cell r="F756" t="str">
            <v>西南营销中心</v>
          </cell>
          <cell r="G756" t="str">
            <v>营业四部</v>
          </cell>
          <cell r="H756" t="str">
            <v>刘亮</v>
          </cell>
          <cell r="I756" t="str">
            <v>三星销售顾问</v>
          </cell>
          <cell r="J756" t="str">
            <v>女</v>
          </cell>
          <cell r="K756" t="str">
            <v>正式</v>
          </cell>
          <cell r="L756" t="str">
            <v>内部员工</v>
          </cell>
          <cell r="M756" t="str">
            <v>刘亮</v>
          </cell>
        </row>
        <row r="757">
          <cell r="A757" t="str">
            <v>邓富</v>
          </cell>
          <cell r="B757" t="str">
            <v>00643</v>
          </cell>
          <cell r="C757" t="str">
            <v>山西时代蜂族房地产经纪有限公司</v>
          </cell>
          <cell r="D757">
            <v>45029</v>
          </cell>
          <cell r="E757" t="str">
            <v>山西</v>
          </cell>
          <cell r="F757" t="str">
            <v>山西营销中心</v>
          </cell>
          <cell r="G757" t="str">
            <v>山西销售部</v>
          </cell>
        </row>
        <row r="757">
          <cell r="I757" t="str">
            <v>二星实习经理</v>
          </cell>
          <cell r="J757" t="str">
            <v>男</v>
          </cell>
          <cell r="K757" t="str">
            <v>正式</v>
          </cell>
          <cell r="L757" t="str">
            <v>内部员工</v>
          </cell>
          <cell r="M757" t="str">
            <v>刘辉</v>
          </cell>
        </row>
        <row r="758">
          <cell r="A758" t="str">
            <v>王彬力</v>
          </cell>
          <cell r="B758" t="str">
            <v>00635</v>
          </cell>
          <cell r="C758" t="str">
            <v>成都蓉天城房地产营销策划有限公司</v>
          </cell>
          <cell r="D758">
            <v>45025</v>
          </cell>
          <cell r="E758" t="str">
            <v>西南总部</v>
          </cell>
          <cell r="F758" t="str">
            <v>西南营销中心</v>
          </cell>
          <cell r="G758" t="str">
            <v>营业二部</v>
          </cell>
        </row>
        <row r="758">
          <cell r="I758" t="str">
            <v>二星实习经理</v>
          </cell>
          <cell r="J758" t="str">
            <v>女</v>
          </cell>
          <cell r="K758" t="str">
            <v>正式</v>
          </cell>
          <cell r="L758" t="str">
            <v>内部员工</v>
          </cell>
          <cell r="M758" t="str">
            <v>柏刚</v>
          </cell>
        </row>
        <row r="759">
          <cell r="A759" t="str">
            <v>安芮</v>
          </cell>
          <cell r="B759" t="str">
            <v>00631</v>
          </cell>
          <cell r="C759" t="str">
            <v>四川时代蜂族营销策划有限公司</v>
          </cell>
          <cell r="D759">
            <v>45021</v>
          </cell>
          <cell r="E759" t="str">
            <v>内蒙古</v>
          </cell>
          <cell r="F759" t="str">
            <v>内蒙古营销中心</v>
          </cell>
          <cell r="G759" t="str">
            <v>内蒙古销售部</v>
          </cell>
        </row>
        <row r="759">
          <cell r="I759" t="str">
            <v>一星正式经理</v>
          </cell>
          <cell r="J759" t="str">
            <v>女</v>
          </cell>
          <cell r="K759" t="str">
            <v>正式</v>
          </cell>
          <cell r="L759" t="str">
            <v>内部员工</v>
          </cell>
          <cell r="M759" t="str">
            <v>刘宇</v>
          </cell>
        </row>
        <row r="760">
          <cell r="A760" t="str">
            <v>范琴</v>
          </cell>
          <cell r="B760" t="str">
            <v>00628</v>
          </cell>
          <cell r="C760" t="str">
            <v>四川时代蜂族营销策划有限公司</v>
          </cell>
          <cell r="D760">
            <v>45019</v>
          </cell>
          <cell r="E760" t="str">
            <v>西南总部</v>
          </cell>
          <cell r="F760" t="str">
            <v>西南营销中心</v>
          </cell>
          <cell r="G760" t="str">
            <v>营业二部</v>
          </cell>
          <cell r="H760" t="str">
            <v>柏刚</v>
          </cell>
          <cell r="I760" t="str">
            <v>三星销售顾问</v>
          </cell>
          <cell r="J760" t="str">
            <v>女</v>
          </cell>
          <cell r="K760" t="str">
            <v>正式</v>
          </cell>
          <cell r="L760" t="str">
            <v>内部员工</v>
          </cell>
          <cell r="M760" t="str">
            <v>柏刚</v>
          </cell>
        </row>
        <row r="761">
          <cell r="A761" t="str">
            <v>张俊</v>
          </cell>
          <cell r="B761" t="str">
            <v>00622</v>
          </cell>
          <cell r="C761" t="str">
            <v>陕西蜂族科技有限公司</v>
          </cell>
          <cell r="D761">
            <v>45015</v>
          </cell>
          <cell r="E761" t="str">
            <v>陕西</v>
          </cell>
          <cell r="F761" t="str">
            <v>陕西拓展部</v>
          </cell>
          <cell r="G761" t="str">
            <v>陕西2区</v>
          </cell>
        </row>
        <row r="761">
          <cell r="I761" t="str">
            <v>一星拓展专员</v>
          </cell>
          <cell r="J761" t="str">
            <v>男</v>
          </cell>
          <cell r="K761" t="str">
            <v>正式</v>
          </cell>
          <cell r="L761" t="str">
            <v>内部员工</v>
          </cell>
          <cell r="M761" t="str">
            <v>邹春梅</v>
          </cell>
        </row>
        <row r="762">
          <cell r="A762" t="str">
            <v>李开来</v>
          </cell>
          <cell r="B762" t="str">
            <v>00621</v>
          </cell>
          <cell r="C762" t="str">
            <v>四川时代蜂族营销策划有限公司</v>
          </cell>
          <cell r="D762">
            <v>45014</v>
          </cell>
          <cell r="E762" t="str">
            <v>山西</v>
          </cell>
          <cell r="F762" t="str">
            <v>山西营销中心</v>
          </cell>
          <cell r="G762" t="str">
            <v>山西销售部</v>
          </cell>
          <cell r="H762" t="str">
            <v>吴志虎山西</v>
          </cell>
          <cell r="I762" t="str">
            <v>三星销售顾问</v>
          </cell>
          <cell r="J762" t="str">
            <v>男</v>
          </cell>
          <cell r="K762" t="str">
            <v>正式</v>
          </cell>
          <cell r="L762" t="str">
            <v>内部员工</v>
          </cell>
          <cell r="M762" t="str">
            <v>吴志虎</v>
          </cell>
        </row>
        <row r="763">
          <cell r="A763" t="str">
            <v>唐浪波</v>
          </cell>
          <cell r="B763" t="str">
            <v>00620</v>
          </cell>
          <cell r="C763" t="str">
            <v>四川时代蜂族营销策划有限公司</v>
          </cell>
          <cell r="D763">
            <v>45014</v>
          </cell>
          <cell r="E763" t="str">
            <v>西南总部</v>
          </cell>
          <cell r="F763" t="str">
            <v>西南营销中心</v>
          </cell>
          <cell r="G763" t="str">
            <v>营业一部</v>
          </cell>
        </row>
        <row r="763">
          <cell r="I763" t="str">
            <v>一星实习经理</v>
          </cell>
          <cell r="J763" t="str">
            <v>男</v>
          </cell>
          <cell r="K763" t="str">
            <v>正式</v>
          </cell>
          <cell r="L763" t="str">
            <v>内部员工</v>
          </cell>
          <cell r="M763" t="str">
            <v>雷小金</v>
          </cell>
        </row>
        <row r="764">
          <cell r="A764" t="str">
            <v>韦霞</v>
          </cell>
          <cell r="B764" t="str">
            <v>00614</v>
          </cell>
          <cell r="C764" t="str">
            <v>成都蓉天城房地产营销策划有限公司</v>
          </cell>
          <cell r="D764">
            <v>45012</v>
          </cell>
          <cell r="E764" t="str">
            <v>河北</v>
          </cell>
          <cell r="F764" t="str">
            <v>河北营销中心</v>
          </cell>
          <cell r="G764" t="str">
            <v>河北销售部</v>
          </cell>
        </row>
        <row r="764">
          <cell r="I764" t="str">
            <v>二星实习经理</v>
          </cell>
          <cell r="J764" t="str">
            <v>女</v>
          </cell>
          <cell r="K764" t="str">
            <v>正式</v>
          </cell>
          <cell r="L764" t="str">
            <v>内部员工</v>
          </cell>
          <cell r="M764" t="str">
            <v>李港一</v>
          </cell>
        </row>
        <row r="765">
          <cell r="A765" t="str">
            <v>朱全兰</v>
          </cell>
          <cell r="B765" t="str">
            <v>00615</v>
          </cell>
          <cell r="C765" t="str">
            <v>陕西蜂族科技有限公司</v>
          </cell>
          <cell r="D765">
            <v>45011</v>
          </cell>
          <cell r="E765" t="str">
            <v>陕西</v>
          </cell>
          <cell r="F765" t="str">
            <v>陕西营销中心</v>
          </cell>
          <cell r="G765" t="str">
            <v>陕西2部</v>
          </cell>
        </row>
        <row r="765">
          <cell r="I765" t="str">
            <v>一星实习经理</v>
          </cell>
          <cell r="J765" t="str">
            <v>女</v>
          </cell>
          <cell r="K765" t="str">
            <v>正式</v>
          </cell>
          <cell r="L765" t="str">
            <v>内部员工</v>
          </cell>
          <cell r="M765" t="str">
            <v>李耀</v>
          </cell>
        </row>
        <row r="766">
          <cell r="A766" t="str">
            <v>李权益</v>
          </cell>
          <cell r="B766" t="str">
            <v>00612</v>
          </cell>
          <cell r="C766" t="str">
            <v>山西时代蜂族房地产经纪有限公司</v>
          </cell>
          <cell r="D766">
            <v>45009</v>
          </cell>
          <cell r="E766" t="str">
            <v>山西</v>
          </cell>
          <cell r="F766" t="str">
            <v>山西营销中心</v>
          </cell>
          <cell r="G766" t="str">
            <v>山西销售部</v>
          </cell>
        </row>
        <row r="766">
          <cell r="I766" t="str">
            <v>一星正式经理</v>
          </cell>
          <cell r="J766" t="str">
            <v>女</v>
          </cell>
          <cell r="K766" t="str">
            <v>正式</v>
          </cell>
          <cell r="L766" t="str">
            <v>内部员工</v>
          </cell>
          <cell r="M766" t="str">
            <v>刘辉</v>
          </cell>
        </row>
        <row r="767">
          <cell r="A767" t="str">
            <v>谭迪</v>
          </cell>
          <cell r="B767" t="str">
            <v>00611</v>
          </cell>
          <cell r="C767" t="str">
            <v>四川时代蜂族营销策划有限公司</v>
          </cell>
          <cell r="D767">
            <v>45009</v>
          </cell>
          <cell r="E767" t="str">
            <v>西南总部</v>
          </cell>
          <cell r="F767" t="str">
            <v>西南营销中心</v>
          </cell>
          <cell r="G767" t="str">
            <v>营业四部</v>
          </cell>
          <cell r="H767" t="str">
            <v>陈嘉文</v>
          </cell>
          <cell r="I767" t="str">
            <v>三星销售顾问</v>
          </cell>
          <cell r="J767" t="str">
            <v>男</v>
          </cell>
          <cell r="K767" t="str">
            <v>正式</v>
          </cell>
          <cell r="L767" t="str">
            <v>内部员工</v>
          </cell>
          <cell r="M767" t="str">
            <v>陈嘉文</v>
          </cell>
        </row>
        <row r="768">
          <cell r="A768" t="str">
            <v>赵国富</v>
          </cell>
          <cell r="B768" t="str">
            <v>00609</v>
          </cell>
          <cell r="C768" t="str">
            <v>湖北蜜蜂族房地产经纪有限公司</v>
          </cell>
          <cell r="D768">
            <v>45007</v>
          </cell>
          <cell r="E768" t="str">
            <v>湖北</v>
          </cell>
          <cell r="F768" t="str">
            <v>湖北营销中心</v>
          </cell>
          <cell r="G768" t="str">
            <v>湖北2部</v>
          </cell>
        </row>
        <row r="768">
          <cell r="I768" t="str">
            <v>二星实习经理</v>
          </cell>
          <cell r="J768" t="str">
            <v>男</v>
          </cell>
          <cell r="K768" t="str">
            <v>正式</v>
          </cell>
          <cell r="L768" t="str">
            <v>内部员工</v>
          </cell>
          <cell r="M768" t="str">
            <v>陈晓辉</v>
          </cell>
        </row>
        <row r="769">
          <cell r="A769" t="str">
            <v>陈滟</v>
          </cell>
          <cell r="B769" t="str">
            <v>00608</v>
          </cell>
          <cell r="C769" t="str">
            <v>四川时代蜂族营销策划有限公司</v>
          </cell>
          <cell r="D769">
            <v>45006</v>
          </cell>
          <cell r="E769" t="str">
            <v>西南总部</v>
          </cell>
          <cell r="F769" t="str">
            <v>西南营销中心</v>
          </cell>
          <cell r="G769" t="str">
            <v>营业三部</v>
          </cell>
          <cell r="H769" t="str">
            <v>肖秀丽</v>
          </cell>
          <cell r="I769" t="str">
            <v>三星销售顾问</v>
          </cell>
          <cell r="J769" t="str">
            <v>女</v>
          </cell>
          <cell r="K769" t="str">
            <v>正式</v>
          </cell>
          <cell r="L769" t="str">
            <v>内部员工</v>
          </cell>
          <cell r="M769" t="str">
            <v>肖秀丽</v>
          </cell>
        </row>
        <row r="770">
          <cell r="A770" t="str">
            <v>向高涵</v>
          </cell>
          <cell r="B770" t="str">
            <v>00590</v>
          </cell>
          <cell r="C770" t="str">
            <v>四川时代蜂族营销策划有限公司</v>
          </cell>
          <cell r="D770">
            <v>44982</v>
          </cell>
          <cell r="E770" t="str">
            <v>西南总部</v>
          </cell>
          <cell r="F770" t="str">
            <v>西南拓展中心</v>
          </cell>
          <cell r="G770" t="str">
            <v>川东</v>
          </cell>
        </row>
        <row r="770">
          <cell r="I770" t="str">
            <v>二星拓展专员</v>
          </cell>
          <cell r="J770" t="str">
            <v>男</v>
          </cell>
          <cell r="K770" t="str">
            <v>正式</v>
          </cell>
          <cell r="L770" t="str">
            <v>内部员工</v>
          </cell>
          <cell r="M770" t="str">
            <v>刘超</v>
          </cell>
        </row>
        <row r="771">
          <cell r="A771" t="str">
            <v>梁霞</v>
          </cell>
          <cell r="B771" t="str">
            <v>00585</v>
          </cell>
          <cell r="C771" t="str">
            <v>四川优诺通瑞商贸有限公司</v>
          </cell>
          <cell r="D771">
            <v>44978</v>
          </cell>
          <cell r="E771" t="str">
            <v>集团职能</v>
          </cell>
          <cell r="F771" t="str">
            <v>职能总部</v>
          </cell>
          <cell r="G771" t="str">
            <v>业绩增长部</v>
          </cell>
        </row>
        <row r="771">
          <cell r="I771" t="str">
            <v>业绩增长部经理</v>
          </cell>
          <cell r="J771" t="str">
            <v>女</v>
          </cell>
          <cell r="K771" t="str">
            <v>正式</v>
          </cell>
          <cell r="L771" t="str">
            <v>内部员工</v>
          </cell>
          <cell r="M771" t="str">
            <v>黄芳</v>
          </cell>
        </row>
        <row r="772">
          <cell r="A772" t="str">
            <v>辜兰杰</v>
          </cell>
          <cell r="B772" t="str">
            <v>00582</v>
          </cell>
          <cell r="C772" t="str">
            <v>四川时代蜂族营销策划有限公司</v>
          </cell>
          <cell r="D772">
            <v>44973</v>
          </cell>
          <cell r="E772" t="str">
            <v>西南总部</v>
          </cell>
          <cell r="F772" t="str">
            <v>西南营销中心</v>
          </cell>
          <cell r="G772" t="str">
            <v>营业一部</v>
          </cell>
          <cell r="H772" t="str">
            <v>雷小金</v>
          </cell>
          <cell r="I772" t="str">
            <v>三星销售顾问</v>
          </cell>
          <cell r="J772" t="str">
            <v>女</v>
          </cell>
          <cell r="K772" t="str">
            <v>正式</v>
          </cell>
          <cell r="L772" t="str">
            <v>内部员工</v>
          </cell>
          <cell r="M772" t="str">
            <v>雷小金</v>
          </cell>
        </row>
        <row r="773">
          <cell r="A773" t="str">
            <v>曾竞超</v>
          </cell>
          <cell r="B773" t="str">
            <v>00577</v>
          </cell>
          <cell r="C773" t="str">
            <v>四川时代蜂族营销策划有限公司</v>
          </cell>
          <cell r="D773">
            <v>44969</v>
          </cell>
          <cell r="E773" t="str">
            <v>西南总部</v>
          </cell>
          <cell r="F773" t="str">
            <v>西南营销中心</v>
          </cell>
          <cell r="G773" t="str">
            <v>营业三部</v>
          </cell>
        </row>
        <row r="773">
          <cell r="I773" t="str">
            <v>二星实习经理</v>
          </cell>
          <cell r="J773" t="str">
            <v>男</v>
          </cell>
          <cell r="K773" t="str">
            <v>正式</v>
          </cell>
          <cell r="L773" t="str">
            <v>内部员工</v>
          </cell>
          <cell r="M773" t="str">
            <v>周吉双</v>
          </cell>
        </row>
        <row r="774">
          <cell r="A774" t="str">
            <v>钟魁</v>
          </cell>
          <cell r="B774" t="str">
            <v>00574</v>
          </cell>
          <cell r="C774" t="str">
            <v>山东时代蜂族营销策划有限公司</v>
          </cell>
          <cell r="D774">
            <v>44968</v>
          </cell>
          <cell r="E774" t="str">
            <v>山东</v>
          </cell>
          <cell r="F774" t="str">
            <v>山东营销中心</v>
          </cell>
          <cell r="G774" t="str">
            <v>山东销售部</v>
          </cell>
          <cell r="H774" t="str">
            <v>李祥春</v>
          </cell>
          <cell r="I774" t="str">
            <v>三星销售顾问</v>
          </cell>
          <cell r="J774" t="str">
            <v>男</v>
          </cell>
          <cell r="K774" t="str">
            <v>正式</v>
          </cell>
          <cell r="L774" t="str">
            <v>内部员工</v>
          </cell>
          <cell r="M774" t="str">
            <v>李祥春</v>
          </cell>
        </row>
        <row r="775">
          <cell r="A775" t="str">
            <v>韩太</v>
          </cell>
          <cell r="B775" t="str">
            <v>00568</v>
          </cell>
          <cell r="C775" t="str">
            <v>湖北蜜蜂族房地产经纪有限公司</v>
          </cell>
          <cell r="D775">
            <v>44964</v>
          </cell>
          <cell r="E775" t="str">
            <v>湖北</v>
          </cell>
          <cell r="F775" t="str">
            <v>湖北拓展部</v>
          </cell>
        </row>
        <row r="775">
          <cell r="I775" t="str">
            <v>二星拓展专员</v>
          </cell>
          <cell r="J775" t="str">
            <v>男</v>
          </cell>
          <cell r="K775" t="str">
            <v>正式</v>
          </cell>
          <cell r="L775" t="str">
            <v>内部员工</v>
          </cell>
          <cell r="M775" t="str">
            <v>张冀</v>
          </cell>
        </row>
        <row r="776">
          <cell r="A776" t="str">
            <v>田静</v>
          </cell>
          <cell r="B776" t="str">
            <v>00567</v>
          </cell>
          <cell r="C776" t="str">
            <v>四川金巴牛网络科技有限公司</v>
          </cell>
          <cell r="D776">
            <v>44964</v>
          </cell>
          <cell r="E776" t="str">
            <v>集团职能</v>
          </cell>
          <cell r="F776" t="str">
            <v>职能总部</v>
          </cell>
          <cell r="G776" t="str">
            <v>技术部</v>
          </cell>
        </row>
        <row r="776">
          <cell r="I776" t="str">
            <v>产品经理</v>
          </cell>
          <cell r="J776" t="str">
            <v>女</v>
          </cell>
          <cell r="K776" t="str">
            <v>正式</v>
          </cell>
          <cell r="L776" t="str">
            <v>内部员工</v>
          </cell>
          <cell r="M776" t="str">
            <v>张亚东</v>
          </cell>
        </row>
        <row r="777">
          <cell r="A777" t="str">
            <v>叶湑</v>
          </cell>
          <cell r="B777" t="str">
            <v>00562</v>
          </cell>
          <cell r="C777" t="str">
            <v>陕西蜂族科技有限公司</v>
          </cell>
          <cell r="D777">
            <v>44962</v>
          </cell>
          <cell r="E777" t="str">
            <v>陕西</v>
          </cell>
          <cell r="F777" t="str">
            <v>陕西营销中心</v>
          </cell>
          <cell r="G777" t="str">
            <v>陕西1部</v>
          </cell>
        </row>
        <row r="777">
          <cell r="I777" t="str">
            <v>二星实习经理</v>
          </cell>
          <cell r="J777" t="str">
            <v>男</v>
          </cell>
          <cell r="K777" t="str">
            <v>正式</v>
          </cell>
          <cell r="L777" t="str">
            <v>内部员工</v>
          </cell>
          <cell r="M777" t="str">
            <v>李丝丝</v>
          </cell>
        </row>
        <row r="778">
          <cell r="A778" t="str">
            <v>邱凯</v>
          </cell>
          <cell r="B778" t="str">
            <v>00560</v>
          </cell>
          <cell r="C778" t="str">
            <v>山东时代蜂族营销策划有限公司</v>
          </cell>
          <cell r="D778">
            <v>44961</v>
          </cell>
          <cell r="E778" t="str">
            <v>山东</v>
          </cell>
          <cell r="F778" t="str">
            <v>山东营销中心</v>
          </cell>
          <cell r="G778" t="str">
            <v>山东销售部</v>
          </cell>
          <cell r="H778" t="str">
            <v>杨唐山东</v>
          </cell>
          <cell r="I778" t="str">
            <v>三星销售顾问</v>
          </cell>
          <cell r="J778" t="str">
            <v>男</v>
          </cell>
          <cell r="K778" t="str">
            <v>正式</v>
          </cell>
          <cell r="L778" t="str">
            <v>内部员工</v>
          </cell>
          <cell r="M778" t="str">
            <v>杨唐</v>
          </cell>
        </row>
        <row r="779">
          <cell r="A779" t="str">
            <v>聂闵</v>
          </cell>
          <cell r="B779" t="str">
            <v>00556</v>
          </cell>
          <cell r="C779" t="str">
            <v>陕西蜂族科技有限公司</v>
          </cell>
          <cell r="D779">
            <v>44960</v>
          </cell>
          <cell r="E779" t="str">
            <v>陕西</v>
          </cell>
          <cell r="F779" t="str">
            <v>陕西营销中心</v>
          </cell>
          <cell r="G779" t="str">
            <v>陕西1部</v>
          </cell>
          <cell r="H779" t="str">
            <v>孙宇</v>
          </cell>
          <cell r="I779" t="str">
            <v>三星销售顾问</v>
          </cell>
          <cell r="J779" t="str">
            <v>女</v>
          </cell>
          <cell r="K779" t="str">
            <v>正式</v>
          </cell>
          <cell r="L779" t="str">
            <v>内部员工</v>
          </cell>
          <cell r="M779" t="str">
            <v>孙宇</v>
          </cell>
        </row>
        <row r="780">
          <cell r="A780" t="str">
            <v>吴明银</v>
          </cell>
          <cell r="B780" t="str">
            <v>00554</v>
          </cell>
          <cell r="C780" t="str">
            <v>湖北蜜蜂族房地产经纪有限公司</v>
          </cell>
          <cell r="D780">
            <v>44959</v>
          </cell>
          <cell r="E780" t="str">
            <v>湖北</v>
          </cell>
          <cell r="F780" t="str">
            <v>湖北营销中心</v>
          </cell>
          <cell r="G780" t="str">
            <v>湖北2部</v>
          </cell>
        </row>
        <row r="780">
          <cell r="I780" t="str">
            <v>一星实习经理</v>
          </cell>
          <cell r="J780" t="str">
            <v>男</v>
          </cell>
          <cell r="K780" t="str">
            <v>正式</v>
          </cell>
          <cell r="L780" t="str">
            <v>内部员工</v>
          </cell>
          <cell r="M780" t="str">
            <v>陈晓辉</v>
          </cell>
        </row>
        <row r="781">
          <cell r="A781" t="str">
            <v>谢小东</v>
          </cell>
          <cell r="B781" t="str">
            <v>00551</v>
          </cell>
          <cell r="C781" t="str">
            <v>湖北蜜蜂族房地产经纪有限公司</v>
          </cell>
          <cell r="D781">
            <v>44937</v>
          </cell>
          <cell r="E781" t="str">
            <v>湖北</v>
          </cell>
          <cell r="F781" t="str">
            <v>湖北营销中心</v>
          </cell>
          <cell r="G781" t="str">
            <v>湖北1部</v>
          </cell>
          <cell r="H781" t="str">
            <v>林浩</v>
          </cell>
          <cell r="I781" t="str">
            <v>三星销售顾问</v>
          </cell>
          <cell r="J781" t="str">
            <v>男</v>
          </cell>
          <cell r="K781" t="str">
            <v>正式</v>
          </cell>
          <cell r="L781" t="str">
            <v>内部员工</v>
          </cell>
          <cell r="M781" t="str">
            <v>林浩</v>
          </cell>
        </row>
        <row r="782">
          <cell r="A782" t="str">
            <v>陈晓辉</v>
          </cell>
          <cell r="B782" t="str">
            <v>00549</v>
          </cell>
          <cell r="C782" t="str">
            <v>湖北蜜蜂族房地产经纪有限公司</v>
          </cell>
          <cell r="D782">
            <v>44933</v>
          </cell>
          <cell r="E782" t="str">
            <v>湖北</v>
          </cell>
          <cell r="F782" t="str">
            <v>湖北营销中心</v>
          </cell>
          <cell r="G782" t="str">
            <v>湖北2部</v>
          </cell>
          <cell r="H782" t="str">
            <v>陈晓辉</v>
          </cell>
          <cell r="I782" t="str">
            <v>部长</v>
          </cell>
          <cell r="J782" t="str">
            <v>男</v>
          </cell>
          <cell r="K782" t="str">
            <v>正式</v>
          </cell>
          <cell r="L782" t="str">
            <v>内部员工</v>
          </cell>
          <cell r="M782" t="str">
            <v>范庚</v>
          </cell>
        </row>
        <row r="783">
          <cell r="A783" t="str">
            <v>刘凯</v>
          </cell>
          <cell r="B783" t="str">
            <v>00545</v>
          </cell>
          <cell r="C783" t="str">
            <v>湖北蜜蜂族房地产经纪有限公司</v>
          </cell>
          <cell r="D783">
            <v>44931</v>
          </cell>
          <cell r="E783" t="str">
            <v>湖北</v>
          </cell>
          <cell r="F783" t="str">
            <v>湖北营销中心</v>
          </cell>
          <cell r="G783" t="str">
            <v>湖北1部</v>
          </cell>
          <cell r="H783" t="str">
            <v>林浩</v>
          </cell>
          <cell r="I783" t="str">
            <v>三星销售顾问</v>
          </cell>
          <cell r="J783" t="str">
            <v>男</v>
          </cell>
          <cell r="K783" t="str">
            <v>正式</v>
          </cell>
          <cell r="L783" t="str">
            <v>内部员工</v>
          </cell>
          <cell r="M783" t="str">
            <v>林浩</v>
          </cell>
        </row>
        <row r="784">
          <cell r="A784" t="str">
            <v>王艺燕</v>
          </cell>
          <cell r="B784" t="str">
            <v>00540</v>
          </cell>
          <cell r="C784" t="str">
            <v>四川时代蜂族营销策划有限公司</v>
          </cell>
          <cell r="D784">
            <v>44930</v>
          </cell>
          <cell r="E784" t="str">
            <v>山西</v>
          </cell>
          <cell r="F784" t="str">
            <v>山西营销中心</v>
          </cell>
          <cell r="G784" t="str">
            <v>山西销售部</v>
          </cell>
          <cell r="H784" t="str">
            <v>吴志虎山西</v>
          </cell>
          <cell r="I784" t="str">
            <v>三星销售顾问</v>
          </cell>
          <cell r="J784" t="str">
            <v>女</v>
          </cell>
          <cell r="K784" t="str">
            <v>正式</v>
          </cell>
          <cell r="L784" t="str">
            <v>内部员工</v>
          </cell>
          <cell r="M784" t="str">
            <v>吴志虎</v>
          </cell>
        </row>
        <row r="785">
          <cell r="A785" t="str">
            <v>陈炳佑</v>
          </cell>
          <cell r="B785" t="str">
            <v>00536</v>
          </cell>
          <cell r="C785" t="str">
            <v>湖南时代蜂族营销策划有限公司</v>
          </cell>
          <cell r="D785">
            <v>44926</v>
          </cell>
          <cell r="E785" t="str">
            <v>湖南</v>
          </cell>
          <cell r="F785" t="str">
            <v>湖南营销中心</v>
          </cell>
          <cell r="G785" t="str">
            <v>湖南销售部</v>
          </cell>
        </row>
        <row r="785">
          <cell r="I785" t="str">
            <v>二星实习经理</v>
          </cell>
          <cell r="J785" t="str">
            <v>男</v>
          </cell>
          <cell r="K785" t="str">
            <v>正式</v>
          </cell>
          <cell r="L785" t="str">
            <v>内部员工</v>
          </cell>
          <cell r="M785" t="str">
            <v>刘进</v>
          </cell>
        </row>
        <row r="786">
          <cell r="A786" t="str">
            <v>江豪</v>
          </cell>
          <cell r="B786" t="str">
            <v>00532</v>
          </cell>
          <cell r="C786" t="str">
            <v>湖北蜜蜂族房地产经纪有限公司</v>
          </cell>
          <cell r="D786">
            <v>44924</v>
          </cell>
          <cell r="E786" t="str">
            <v>湖北</v>
          </cell>
          <cell r="F786" t="str">
            <v>湖北营销中心</v>
          </cell>
          <cell r="G786" t="str">
            <v>湖北1部</v>
          </cell>
          <cell r="H786" t="str">
            <v>秦娅玲</v>
          </cell>
          <cell r="I786" t="str">
            <v>三星销售顾问</v>
          </cell>
          <cell r="J786" t="str">
            <v>男</v>
          </cell>
          <cell r="K786" t="str">
            <v>正式</v>
          </cell>
          <cell r="L786" t="str">
            <v>内部员工</v>
          </cell>
          <cell r="M786" t="str">
            <v>秦娅玲</v>
          </cell>
        </row>
        <row r="787">
          <cell r="A787" t="str">
            <v>余金梅</v>
          </cell>
          <cell r="B787" t="str">
            <v>00527</v>
          </cell>
          <cell r="C787" t="str">
            <v>河南蜜蜂族营销策划有限公司</v>
          </cell>
          <cell r="D787">
            <v>44922</v>
          </cell>
          <cell r="E787" t="str">
            <v>河南</v>
          </cell>
          <cell r="F787" t="str">
            <v>河南营销中心</v>
          </cell>
          <cell r="G787" t="str">
            <v>河南销售部</v>
          </cell>
        </row>
        <row r="787">
          <cell r="I787" t="str">
            <v>一星正式经理</v>
          </cell>
          <cell r="J787" t="str">
            <v>女</v>
          </cell>
          <cell r="K787" t="str">
            <v>正式</v>
          </cell>
          <cell r="L787" t="str">
            <v>内部员工</v>
          </cell>
          <cell r="M787" t="str">
            <v>毛孝树</v>
          </cell>
        </row>
        <row r="788">
          <cell r="A788" t="str">
            <v>蒙建</v>
          </cell>
          <cell r="B788" t="str">
            <v>00528</v>
          </cell>
          <cell r="C788" t="str">
            <v>陕西蜂族科技有限公司</v>
          </cell>
          <cell r="D788">
            <v>44922</v>
          </cell>
          <cell r="E788" t="str">
            <v>陕西</v>
          </cell>
          <cell r="F788" t="str">
            <v>陕西营销中心</v>
          </cell>
          <cell r="G788" t="str">
            <v>陕西2部</v>
          </cell>
        </row>
        <row r="788">
          <cell r="I788" t="str">
            <v>二星实习经理</v>
          </cell>
          <cell r="J788" t="str">
            <v>男</v>
          </cell>
          <cell r="K788" t="str">
            <v>正式</v>
          </cell>
          <cell r="L788" t="str">
            <v>内部员工</v>
          </cell>
          <cell r="M788" t="str">
            <v>李耀</v>
          </cell>
        </row>
        <row r="789">
          <cell r="A789" t="str">
            <v>魏飞翔</v>
          </cell>
          <cell r="B789" t="str">
            <v>00522</v>
          </cell>
          <cell r="C789" t="str">
            <v>四川时代蜂族营销策划有限公司</v>
          </cell>
          <cell r="D789">
            <v>44919</v>
          </cell>
          <cell r="E789" t="str">
            <v>西南总部</v>
          </cell>
          <cell r="F789" t="str">
            <v>西南营销中心</v>
          </cell>
          <cell r="G789" t="str">
            <v>营业二部</v>
          </cell>
        </row>
        <row r="789">
          <cell r="I789" t="str">
            <v>一星正式经理</v>
          </cell>
          <cell r="J789" t="str">
            <v>男</v>
          </cell>
          <cell r="K789" t="str">
            <v>正式</v>
          </cell>
          <cell r="L789" t="str">
            <v>内部员工</v>
          </cell>
          <cell r="M789" t="str">
            <v>柏刚</v>
          </cell>
        </row>
        <row r="790">
          <cell r="A790" t="str">
            <v>肖佳</v>
          </cell>
          <cell r="B790" t="str">
            <v>00521</v>
          </cell>
          <cell r="C790" t="str">
            <v>山东时代蜂族营销策划有限公司</v>
          </cell>
          <cell r="D790">
            <v>44919</v>
          </cell>
          <cell r="E790" t="str">
            <v>山东</v>
          </cell>
          <cell r="F790" t="str">
            <v>山东营销中心</v>
          </cell>
          <cell r="G790" t="str">
            <v>山东销售部</v>
          </cell>
          <cell r="H790" t="str">
            <v>肖佳</v>
          </cell>
          <cell r="I790" t="str">
            <v>一星正式经理</v>
          </cell>
          <cell r="J790" t="str">
            <v>男</v>
          </cell>
          <cell r="K790" t="str">
            <v>正式</v>
          </cell>
          <cell r="L790" t="str">
            <v>内部员工</v>
          </cell>
          <cell r="M790" t="str">
            <v>李丹</v>
          </cell>
        </row>
        <row r="791">
          <cell r="A791" t="str">
            <v>杨勇</v>
          </cell>
          <cell r="B791" t="str">
            <v>00520</v>
          </cell>
          <cell r="C791" t="str">
            <v>山西时代蜂族房地产经纪有限公司</v>
          </cell>
          <cell r="D791">
            <v>44918</v>
          </cell>
          <cell r="E791" t="str">
            <v>山西</v>
          </cell>
          <cell r="F791" t="str">
            <v>山西拓展部</v>
          </cell>
        </row>
        <row r="791">
          <cell r="I791" t="str">
            <v>二星拓展专员</v>
          </cell>
          <cell r="J791" t="str">
            <v>男</v>
          </cell>
          <cell r="K791" t="str">
            <v>正式</v>
          </cell>
          <cell r="L791" t="str">
            <v>内部员工</v>
          </cell>
          <cell r="M791" t="str">
            <v>吴川江</v>
          </cell>
        </row>
        <row r="792">
          <cell r="A792" t="str">
            <v>杨航</v>
          </cell>
          <cell r="B792" t="str">
            <v>00518</v>
          </cell>
          <cell r="C792" t="str">
            <v>四川时代蜂族营销策划有限公司</v>
          </cell>
          <cell r="D792">
            <v>44917</v>
          </cell>
          <cell r="E792" t="str">
            <v>河南</v>
          </cell>
          <cell r="F792" t="str">
            <v>河南营销中心</v>
          </cell>
          <cell r="G792" t="str">
            <v>河南销售部</v>
          </cell>
          <cell r="H792" t="str">
            <v>周吉双河南</v>
          </cell>
          <cell r="I792" t="str">
            <v>三星销售顾问</v>
          </cell>
          <cell r="J792" t="str">
            <v>女</v>
          </cell>
          <cell r="K792" t="str">
            <v>正式</v>
          </cell>
          <cell r="L792" t="str">
            <v>内部员工</v>
          </cell>
          <cell r="M792" t="str">
            <v>周吉双</v>
          </cell>
        </row>
        <row r="793">
          <cell r="A793" t="str">
            <v>魏浪</v>
          </cell>
          <cell r="B793" t="str">
            <v>00516</v>
          </cell>
          <cell r="C793" t="str">
            <v>四川时代蜂族营销策划有限公司</v>
          </cell>
          <cell r="D793">
            <v>44916</v>
          </cell>
          <cell r="E793" t="str">
            <v>辽宁</v>
          </cell>
          <cell r="F793" t="str">
            <v>辽宁拓展部</v>
          </cell>
        </row>
        <row r="793">
          <cell r="I793" t="str">
            <v>一星拓展专员</v>
          </cell>
          <cell r="J793" t="str">
            <v>男</v>
          </cell>
          <cell r="K793" t="str">
            <v>正式</v>
          </cell>
          <cell r="L793" t="str">
            <v>内部员工</v>
          </cell>
          <cell r="M793" t="str">
            <v>聂仕平</v>
          </cell>
        </row>
        <row r="794">
          <cell r="A794" t="str">
            <v>吴大海</v>
          </cell>
          <cell r="B794" t="str">
            <v>00514</v>
          </cell>
          <cell r="C794" t="str">
            <v>四川时代蜂族营销策划有限公司</v>
          </cell>
          <cell r="D794">
            <v>44912</v>
          </cell>
          <cell r="E794" t="str">
            <v>西南总部</v>
          </cell>
          <cell r="F794" t="str">
            <v>西南营销中心</v>
          </cell>
          <cell r="G794" t="str">
            <v>营业七部</v>
          </cell>
          <cell r="H794" t="str">
            <v>蒋杨</v>
          </cell>
          <cell r="I794" t="str">
            <v>三星销售顾问</v>
          </cell>
          <cell r="J794" t="str">
            <v>男</v>
          </cell>
          <cell r="K794" t="str">
            <v>正式</v>
          </cell>
          <cell r="L794" t="str">
            <v>内部员工</v>
          </cell>
          <cell r="M794" t="str">
            <v>蒋杨</v>
          </cell>
        </row>
        <row r="795">
          <cell r="A795" t="str">
            <v>袁小龙</v>
          </cell>
          <cell r="B795" t="str">
            <v>00510</v>
          </cell>
          <cell r="C795" t="str">
            <v>四川时代蜂族营销策划有限公司</v>
          </cell>
          <cell r="D795">
            <v>44908</v>
          </cell>
          <cell r="E795" t="str">
            <v>西南总部</v>
          </cell>
          <cell r="F795" t="str">
            <v>西南营销中心</v>
          </cell>
          <cell r="G795" t="str">
            <v>营业六部</v>
          </cell>
        </row>
        <row r="795">
          <cell r="I795" t="str">
            <v>三星销售顾问</v>
          </cell>
          <cell r="J795" t="str">
            <v>男</v>
          </cell>
          <cell r="K795" t="str">
            <v>正式</v>
          </cell>
          <cell r="L795" t="str">
            <v>内部员工</v>
          </cell>
          <cell r="M795" t="str">
            <v>税锐</v>
          </cell>
        </row>
        <row r="796">
          <cell r="A796" t="str">
            <v>贾雪英</v>
          </cell>
          <cell r="B796" t="str">
            <v>00500</v>
          </cell>
          <cell r="C796" t="str">
            <v>四川金巴牛网络科技有限公司</v>
          </cell>
          <cell r="D796">
            <v>44900</v>
          </cell>
          <cell r="E796" t="str">
            <v>西南总部</v>
          </cell>
          <cell r="F796" t="str">
            <v>西南营销中心</v>
          </cell>
          <cell r="G796" t="str">
            <v>营业六部</v>
          </cell>
        </row>
        <row r="796">
          <cell r="I796" t="str">
            <v>二星实习经理</v>
          </cell>
          <cell r="J796" t="str">
            <v>女</v>
          </cell>
          <cell r="K796" t="str">
            <v>正式</v>
          </cell>
          <cell r="L796" t="str">
            <v>内部员工</v>
          </cell>
          <cell r="M796" t="str">
            <v>毛富林</v>
          </cell>
        </row>
        <row r="797">
          <cell r="A797" t="str">
            <v>刘大千</v>
          </cell>
          <cell r="B797" t="str">
            <v>00485</v>
          </cell>
          <cell r="C797" t="str">
            <v>四川时代蜂族营销策划有限公司</v>
          </cell>
          <cell r="D797">
            <v>44889</v>
          </cell>
          <cell r="E797" t="str">
            <v>西南总部</v>
          </cell>
          <cell r="F797" t="str">
            <v>西南营销中心</v>
          </cell>
          <cell r="G797" t="str">
            <v>营业五部</v>
          </cell>
          <cell r="H797" t="str">
            <v>李敏</v>
          </cell>
          <cell r="I797" t="str">
            <v>三星销售顾问</v>
          </cell>
          <cell r="J797" t="str">
            <v>男</v>
          </cell>
          <cell r="K797" t="str">
            <v>正式</v>
          </cell>
          <cell r="L797" t="str">
            <v>内部员工</v>
          </cell>
          <cell r="M797" t="str">
            <v>李敏</v>
          </cell>
        </row>
        <row r="798">
          <cell r="A798" t="str">
            <v>韩博雷</v>
          </cell>
          <cell r="B798" t="str">
            <v>00484</v>
          </cell>
          <cell r="C798" t="str">
            <v>四川时代蜂族营销策划有限公司</v>
          </cell>
          <cell r="D798">
            <v>44886</v>
          </cell>
          <cell r="E798" t="str">
            <v>湖南</v>
          </cell>
          <cell r="F798" t="str">
            <v>湖南营销中心</v>
          </cell>
          <cell r="G798" t="str">
            <v>湖南销售部</v>
          </cell>
          <cell r="H798" t="str">
            <v>孙小龙湖南</v>
          </cell>
          <cell r="I798" t="str">
            <v>三星销售顾问</v>
          </cell>
          <cell r="J798" t="str">
            <v>男</v>
          </cell>
          <cell r="K798" t="str">
            <v>正式</v>
          </cell>
          <cell r="L798" t="str">
            <v>内部员工</v>
          </cell>
          <cell r="M798" t="str">
            <v>孙小龙</v>
          </cell>
        </row>
        <row r="799">
          <cell r="A799" t="str">
            <v>叶鑫</v>
          </cell>
          <cell r="B799" t="str">
            <v>00472</v>
          </cell>
          <cell r="C799" t="str">
            <v>四川时代蜂族营销策划有限公司</v>
          </cell>
          <cell r="D799">
            <v>44878</v>
          </cell>
          <cell r="E799" t="str">
            <v>西南总部</v>
          </cell>
          <cell r="F799" t="str">
            <v>西南营销中心</v>
          </cell>
          <cell r="G799" t="str">
            <v>营业五部</v>
          </cell>
        </row>
        <row r="799">
          <cell r="I799" t="str">
            <v>部长</v>
          </cell>
          <cell r="J799" t="str">
            <v>男</v>
          </cell>
          <cell r="K799" t="str">
            <v>正式</v>
          </cell>
          <cell r="L799" t="str">
            <v>内部员工</v>
          </cell>
          <cell r="M799" t="str">
            <v>欧松林</v>
          </cell>
        </row>
        <row r="800">
          <cell r="A800" t="str">
            <v>贺正杨</v>
          </cell>
          <cell r="B800" t="str">
            <v>00467</v>
          </cell>
          <cell r="C800" t="str">
            <v>四川时代蜂族营销策划有限公司</v>
          </cell>
          <cell r="D800">
            <v>44873</v>
          </cell>
          <cell r="E800" t="str">
            <v>西南总部</v>
          </cell>
          <cell r="F800" t="str">
            <v>西南营销中心</v>
          </cell>
          <cell r="G800" t="str">
            <v>营业一部</v>
          </cell>
          <cell r="H800" t="str">
            <v>雷小金</v>
          </cell>
          <cell r="I800" t="str">
            <v>三星销售顾问</v>
          </cell>
          <cell r="J800" t="str">
            <v>男</v>
          </cell>
          <cell r="K800" t="str">
            <v>正式</v>
          </cell>
          <cell r="L800" t="str">
            <v>内部员工</v>
          </cell>
          <cell r="M800" t="str">
            <v>雷小金</v>
          </cell>
        </row>
        <row r="801">
          <cell r="A801" t="str">
            <v>杨薇</v>
          </cell>
          <cell r="B801" t="str">
            <v>00456</v>
          </cell>
          <cell r="C801" t="str">
            <v>四川时代蜂族营销策划有限公司</v>
          </cell>
          <cell r="D801">
            <v>44865</v>
          </cell>
          <cell r="E801" t="str">
            <v>集团职能</v>
          </cell>
          <cell r="F801" t="str">
            <v>职能营销</v>
          </cell>
          <cell r="G801" t="str">
            <v>督导部</v>
          </cell>
        </row>
        <row r="801">
          <cell r="I801" t="str">
            <v>运营经理</v>
          </cell>
          <cell r="J801" t="str">
            <v>女</v>
          </cell>
          <cell r="K801" t="str">
            <v>正式</v>
          </cell>
          <cell r="L801" t="str">
            <v>内部员工</v>
          </cell>
          <cell r="M801" t="str">
            <v>刘盼</v>
          </cell>
        </row>
        <row r="802">
          <cell r="A802" t="str">
            <v>骆志红</v>
          </cell>
          <cell r="B802" t="str">
            <v>00450</v>
          </cell>
          <cell r="C802" t="str">
            <v>四川时代蜂族营销策划有限公司</v>
          </cell>
          <cell r="D802">
            <v>44861</v>
          </cell>
          <cell r="E802" t="str">
            <v>湖北</v>
          </cell>
          <cell r="F802" t="str">
            <v>湖北营销中心</v>
          </cell>
          <cell r="G802" t="str">
            <v>湖北1部</v>
          </cell>
        </row>
        <row r="802">
          <cell r="I802" t="str">
            <v>二星实习经理</v>
          </cell>
          <cell r="J802" t="str">
            <v>男</v>
          </cell>
          <cell r="K802" t="str">
            <v>正式</v>
          </cell>
          <cell r="L802" t="str">
            <v>内部员工</v>
          </cell>
          <cell r="M802" t="str">
            <v>林浩</v>
          </cell>
        </row>
        <row r="803">
          <cell r="A803" t="str">
            <v>李瑞文</v>
          </cell>
          <cell r="B803" t="str">
            <v>00452</v>
          </cell>
          <cell r="C803" t="str">
            <v>湖南时代蜂族营销策划有限公司</v>
          </cell>
          <cell r="D803">
            <v>44861</v>
          </cell>
          <cell r="E803" t="str">
            <v>湖南</v>
          </cell>
          <cell r="F803" t="str">
            <v>湖南营销中心</v>
          </cell>
          <cell r="G803" t="str">
            <v>湖南销售部</v>
          </cell>
          <cell r="H803" t="str">
            <v>刘俊海</v>
          </cell>
          <cell r="I803" t="str">
            <v>三星销售顾问</v>
          </cell>
          <cell r="J803" t="str">
            <v>男</v>
          </cell>
          <cell r="K803" t="str">
            <v>正式</v>
          </cell>
          <cell r="L803" t="str">
            <v>内部员工</v>
          </cell>
          <cell r="M803" t="str">
            <v>刘俊海</v>
          </cell>
        </row>
        <row r="804">
          <cell r="A804" t="str">
            <v>陈国林</v>
          </cell>
          <cell r="B804" t="str">
            <v>00442</v>
          </cell>
          <cell r="C804" t="str">
            <v>四川时代蜂族营销策划有限公司</v>
          </cell>
          <cell r="D804">
            <v>44855</v>
          </cell>
          <cell r="E804" t="str">
            <v>西南总部</v>
          </cell>
          <cell r="F804" t="str">
            <v>西南营销中心</v>
          </cell>
          <cell r="G804" t="str">
            <v>营业三部</v>
          </cell>
          <cell r="H804" t="str">
            <v>姚瑶</v>
          </cell>
          <cell r="I804" t="str">
            <v>三星销售顾问</v>
          </cell>
          <cell r="J804" t="str">
            <v>男</v>
          </cell>
          <cell r="K804" t="str">
            <v>正式</v>
          </cell>
          <cell r="L804" t="str">
            <v>内部员工</v>
          </cell>
          <cell r="M804" t="str">
            <v>姚瑶</v>
          </cell>
        </row>
        <row r="805">
          <cell r="A805" t="str">
            <v>吴川江</v>
          </cell>
          <cell r="B805" t="str">
            <v>00695</v>
          </cell>
          <cell r="C805" t="str">
            <v>山西时代蜂族房地产经纪有限公司</v>
          </cell>
          <cell r="D805">
            <v>44849</v>
          </cell>
          <cell r="E805" t="str">
            <v>山西</v>
          </cell>
          <cell r="F805" t="str">
            <v>山西办公室</v>
          </cell>
        </row>
        <row r="805">
          <cell r="I805" t="str">
            <v>分公司总经理</v>
          </cell>
          <cell r="J805" t="str">
            <v>男</v>
          </cell>
          <cell r="K805" t="str">
            <v>正式</v>
          </cell>
          <cell r="L805" t="str">
            <v>内部员工</v>
          </cell>
          <cell r="M805" t="str">
            <v>黄芳</v>
          </cell>
        </row>
        <row r="806">
          <cell r="A806" t="str">
            <v>王道彬</v>
          </cell>
          <cell r="B806" t="str">
            <v>01430</v>
          </cell>
          <cell r="C806" t="str">
            <v>四川时代蜂族营销策划有限公司</v>
          </cell>
          <cell r="D806">
            <v>44848</v>
          </cell>
          <cell r="E806" t="str">
            <v>西南总部</v>
          </cell>
          <cell r="F806" t="str">
            <v>西南拓展中心</v>
          </cell>
          <cell r="G806" t="str">
            <v>存量</v>
          </cell>
        </row>
        <row r="806">
          <cell r="I806" t="str">
            <v>存量拓展</v>
          </cell>
          <cell r="J806" t="str">
            <v>男</v>
          </cell>
          <cell r="K806" t="str">
            <v>正式</v>
          </cell>
          <cell r="L806" t="str">
            <v>内部员工</v>
          </cell>
          <cell r="M806" t="str">
            <v>刘文宇</v>
          </cell>
        </row>
        <row r="807">
          <cell r="A807" t="str">
            <v>袁伟川</v>
          </cell>
          <cell r="B807" t="str">
            <v>00429</v>
          </cell>
          <cell r="C807" t="str">
            <v>湖北蜜蜂族房地产经纪有限公司</v>
          </cell>
          <cell r="D807">
            <v>44840</v>
          </cell>
          <cell r="E807" t="str">
            <v>湖北</v>
          </cell>
          <cell r="F807" t="str">
            <v>湖北营销中心</v>
          </cell>
          <cell r="G807" t="str">
            <v>湖北1部</v>
          </cell>
          <cell r="H807" t="str">
            <v>秦娅玲</v>
          </cell>
          <cell r="I807" t="str">
            <v>三星销售顾问</v>
          </cell>
          <cell r="J807" t="str">
            <v>男</v>
          </cell>
          <cell r="K807" t="str">
            <v>正式</v>
          </cell>
          <cell r="L807" t="str">
            <v>内部员工</v>
          </cell>
          <cell r="M807" t="str">
            <v>秦娅玲</v>
          </cell>
        </row>
        <row r="808">
          <cell r="A808" t="str">
            <v>赵鹏</v>
          </cell>
          <cell r="B808" t="str">
            <v>00428</v>
          </cell>
          <cell r="C808" t="str">
            <v>陕西蜂族科技有限公司</v>
          </cell>
          <cell r="D808">
            <v>44840</v>
          </cell>
          <cell r="E808" t="str">
            <v>陕西</v>
          </cell>
          <cell r="F808" t="str">
            <v>陕西拓展部</v>
          </cell>
          <cell r="G808" t="str">
            <v>陕西2区</v>
          </cell>
        </row>
        <row r="808">
          <cell r="I808" t="str">
            <v>一星拓展专员</v>
          </cell>
          <cell r="J808" t="str">
            <v>男</v>
          </cell>
          <cell r="K808" t="str">
            <v>正式</v>
          </cell>
          <cell r="L808" t="str">
            <v>内部员工</v>
          </cell>
          <cell r="M808" t="str">
            <v>邹春梅</v>
          </cell>
        </row>
        <row r="809">
          <cell r="A809" t="str">
            <v>隆陈亚</v>
          </cell>
          <cell r="B809" t="str">
            <v>00421</v>
          </cell>
          <cell r="C809" t="str">
            <v>四川时代蜂族营销策划有限公司</v>
          </cell>
          <cell r="D809">
            <v>44828</v>
          </cell>
          <cell r="E809" t="str">
            <v>西南总部</v>
          </cell>
          <cell r="F809" t="str">
            <v>西南拓展中心</v>
          </cell>
          <cell r="G809" t="str">
            <v>川南</v>
          </cell>
        </row>
        <row r="809">
          <cell r="I809" t="str">
            <v>一星拓展专员</v>
          </cell>
          <cell r="J809" t="str">
            <v>女</v>
          </cell>
          <cell r="K809" t="str">
            <v>正式</v>
          </cell>
          <cell r="L809" t="str">
            <v>内部员工</v>
          </cell>
          <cell r="M809" t="str">
            <v>于强</v>
          </cell>
        </row>
        <row r="810">
          <cell r="A810" t="str">
            <v>于强</v>
          </cell>
          <cell r="B810" t="str">
            <v>00416</v>
          </cell>
          <cell r="C810" t="str">
            <v>四川时代蜂族营销策划有限公司</v>
          </cell>
          <cell r="D810">
            <v>44805</v>
          </cell>
          <cell r="E810" t="str">
            <v>西南总部</v>
          </cell>
          <cell r="F810" t="str">
            <v>西南拓展中心</v>
          </cell>
          <cell r="G810" t="str">
            <v>川南</v>
          </cell>
        </row>
        <row r="810">
          <cell r="I810" t="str">
            <v>区域拓展总监</v>
          </cell>
          <cell r="J810" t="str">
            <v>男</v>
          </cell>
          <cell r="K810" t="str">
            <v>正式</v>
          </cell>
          <cell r="L810" t="str">
            <v>内部员工</v>
          </cell>
          <cell r="M810" t="str">
            <v>刘文宇</v>
          </cell>
        </row>
        <row r="811">
          <cell r="A811" t="str">
            <v>李培金</v>
          </cell>
          <cell r="B811" t="str">
            <v>00411</v>
          </cell>
          <cell r="C811" t="str">
            <v>四川时代蜂族营销策划有限公司</v>
          </cell>
          <cell r="D811">
            <v>44802</v>
          </cell>
          <cell r="E811" t="str">
            <v>西南总部</v>
          </cell>
          <cell r="F811" t="str">
            <v>西南营销中心</v>
          </cell>
          <cell r="G811" t="str">
            <v>营业四部</v>
          </cell>
        </row>
        <row r="811">
          <cell r="I811" t="str">
            <v>二星实习经理</v>
          </cell>
          <cell r="J811" t="str">
            <v>男</v>
          </cell>
          <cell r="K811" t="str">
            <v>正式</v>
          </cell>
          <cell r="L811" t="str">
            <v>内部员工</v>
          </cell>
          <cell r="M811" t="str">
            <v>刘亮</v>
          </cell>
        </row>
        <row r="812">
          <cell r="A812" t="str">
            <v>张英</v>
          </cell>
          <cell r="B812" t="str">
            <v>00402</v>
          </cell>
          <cell r="C812" t="str">
            <v>陕西蜂族科技有限公司</v>
          </cell>
          <cell r="D812">
            <v>44790</v>
          </cell>
          <cell r="E812" t="str">
            <v>陕西</v>
          </cell>
          <cell r="F812" t="str">
            <v>陕西营销中心</v>
          </cell>
          <cell r="G812" t="str">
            <v>陕西1部</v>
          </cell>
        </row>
        <row r="812">
          <cell r="I812" t="str">
            <v>二星实习经理</v>
          </cell>
          <cell r="J812" t="str">
            <v>女</v>
          </cell>
          <cell r="K812" t="str">
            <v>正式</v>
          </cell>
          <cell r="L812" t="str">
            <v>内部员工</v>
          </cell>
          <cell r="M812" t="str">
            <v>李丝丝</v>
          </cell>
        </row>
        <row r="813">
          <cell r="A813" t="str">
            <v>马超</v>
          </cell>
          <cell r="B813" t="str">
            <v>00384</v>
          </cell>
          <cell r="C813" t="str">
            <v>湖北蜜蜂族房地产经纪有限公司</v>
          </cell>
          <cell r="D813">
            <v>44760</v>
          </cell>
          <cell r="E813" t="str">
            <v>湖北</v>
          </cell>
          <cell r="F813" t="str">
            <v>湖北营销中心</v>
          </cell>
          <cell r="G813" t="str">
            <v>湖北2部</v>
          </cell>
        </row>
        <row r="813">
          <cell r="I813" t="str">
            <v>三星实习经理</v>
          </cell>
          <cell r="J813" t="str">
            <v>男</v>
          </cell>
          <cell r="K813" t="str">
            <v>正式</v>
          </cell>
          <cell r="L813" t="str">
            <v>内部员工</v>
          </cell>
          <cell r="M813" t="str">
            <v>陈晓辉</v>
          </cell>
        </row>
        <row r="814">
          <cell r="A814" t="str">
            <v>郭秉娜</v>
          </cell>
          <cell r="B814" t="str">
            <v>00380</v>
          </cell>
          <cell r="C814" t="str">
            <v>四川时代蜂族营销策划有限公司</v>
          </cell>
          <cell r="D814">
            <v>44753</v>
          </cell>
          <cell r="E814" t="str">
            <v>集团职能</v>
          </cell>
          <cell r="F814" t="str">
            <v>职能总部</v>
          </cell>
          <cell r="G814" t="str">
            <v>业绩增长部</v>
          </cell>
        </row>
        <row r="814">
          <cell r="I814" t="str">
            <v>拓展BP组长</v>
          </cell>
          <cell r="J814" t="str">
            <v>女</v>
          </cell>
          <cell r="K814" t="str">
            <v>正式</v>
          </cell>
          <cell r="L814" t="str">
            <v>内部员工</v>
          </cell>
          <cell r="M814" t="str">
            <v>梁霞</v>
          </cell>
        </row>
        <row r="815">
          <cell r="A815" t="str">
            <v>冯菊蓉</v>
          </cell>
          <cell r="B815" t="str">
            <v>00378</v>
          </cell>
          <cell r="C815" t="str">
            <v>陕西蜂族科技有限公司</v>
          </cell>
          <cell r="D815">
            <v>44749</v>
          </cell>
          <cell r="E815" t="str">
            <v>陕西</v>
          </cell>
          <cell r="F815" t="str">
            <v>陕西拓展部</v>
          </cell>
          <cell r="G815" t="str">
            <v>陕西1区</v>
          </cell>
        </row>
        <row r="815">
          <cell r="I815" t="str">
            <v>一星拓展专员</v>
          </cell>
          <cell r="J815" t="str">
            <v>女</v>
          </cell>
          <cell r="K815" t="str">
            <v>正式</v>
          </cell>
          <cell r="L815" t="str">
            <v>内部员工</v>
          </cell>
          <cell r="M815" t="str">
            <v>覃波</v>
          </cell>
        </row>
        <row r="816">
          <cell r="A816" t="str">
            <v>徐莲</v>
          </cell>
          <cell r="B816" t="str">
            <v>00374</v>
          </cell>
          <cell r="C816" t="str">
            <v>四川时代蜂族营销策划有限公司</v>
          </cell>
          <cell r="D816">
            <v>44742</v>
          </cell>
          <cell r="E816" t="str">
            <v>集团职能</v>
          </cell>
          <cell r="F816" t="str">
            <v>职能营销</v>
          </cell>
          <cell r="G816" t="str">
            <v>督导部</v>
          </cell>
        </row>
        <row r="816">
          <cell r="I816" t="str">
            <v>售后</v>
          </cell>
          <cell r="J816" t="str">
            <v>女</v>
          </cell>
          <cell r="K816" t="str">
            <v>正式</v>
          </cell>
          <cell r="L816" t="str">
            <v>内部员工</v>
          </cell>
          <cell r="M816" t="str">
            <v>刘盼</v>
          </cell>
        </row>
        <row r="817">
          <cell r="A817" t="str">
            <v>杨威</v>
          </cell>
          <cell r="B817" t="str">
            <v>00360</v>
          </cell>
          <cell r="C817" t="str">
            <v>四川时代蜂族营销策划有限公司</v>
          </cell>
          <cell r="D817">
            <v>44732</v>
          </cell>
          <cell r="E817" t="str">
            <v>西南总部</v>
          </cell>
          <cell r="F817" t="str">
            <v>西南营销中心</v>
          </cell>
          <cell r="G817" t="str">
            <v>营业五部</v>
          </cell>
        </row>
        <row r="817">
          <cell r="I817" t="str">
            <v>二星实习经理</v>
          </cell>
          <cell r="J817" t="str">
            <v>男</v>
          </cell>
          <cell r="K817" t="str">
            <v>正式</v>
          </cell>
          <cell r="L817" t="str">
            <v>内部员工</v>
          </cell>
          <cell r="M817" t="str">
            <v>叶鑫</v>
          </cell>
        </row>
        <row r="818">
          <cell r="A818" t="str">
            <v>孙科</v>
          </cell>
          <cell r="B818" t="str">
            <v>00354</v>
          </cell>
          <cell r="C818" t="str">
            <v>辽宁时代蜂族营销策划有限公司</v>
          </cell>
          <cell r="D818">
            <v>44729</v>
          </cell>
          <cell r="E818" t="str">
            <v>辽宁</v>
          </cell>
          <cell r="F818" t="str">
            <v>辽宁营销中心</v>
          </cell>
          <cell r="G818" t="str">
            <v>辽宁销售部</v>
          </cell>
        </row>
        <row r="818">
          <cell r="I818" t="str">
            <v>一星正式经理</v>
          </cell>
          <cell r="J818" t="str">
            <v>男</v>
          </cell>
          <cell r="K818" t="str">
            <v>正式</v>
          </cell>
          <cell r="L818" t="str">
            <v>内部员工</v>
          </cell>
          <cell r="M818" t="str">
            <v>赖慧</v>
          </cell>
        </row>
        <row r="819">
          <cell r="A819" t="str">
            <v>谢敏</v>
          </cell>
          <cell r="B819" t="str">
            <v>00349</v>
          </cell>
          <cell r="C819" t="str">
            <v>四川时代蜂族营销策划有限公司</v>
          </cell>
          <cell r="D819">
            <v>44725</v>
          </cell>
          <cell r="E819" t="str">
            <v>西南总部</v>
          </cell>
          <cell r="F819" t="str">
            <v>西南营销中心</v>
          </cell>
          <cell r="G819" t="str">
            <v>营业五部</v>
          </cell>
        </row>
        <row r="819">
          <cell r="I819" t="str">
            <v>一星正式经理</v>
          </cell>
          <cell r="J819" t="str">
            <v>男</v>
          </cell>
          <cell r="K819" t="str">
            <v>正式</v>
          </cell>
          <cell r="L819" t="str">
            <v>内部员工</v>
          </cell>
          <cell r="M819" t="str">
            <v>叶鑫</v>
          </cell>
        </row>
        <row r="820">
          <cell r="A820" t="str">
            <v>蔺小燕</v>
          </cell>
          <cell r="B820" t="str">
            <v>00346</v>
          </cell>
          <cell r="C820" t="str">
            <v>湖北蜜蜂族房地产经纪有限公司</v>
          </cell>
          <cell r="D820">
            <v>44723</v>
          </cell>
          <cell r="E820" t="str">
            <v>湖北</v>
          </cell>
          <cell r="F820" t="str">
            <v>湖北营销中心</v>
          </cell>
          <cell r="G820" t="str">
            <v>湖北1部</v>
          </cell>
        </row>
        <row r="820">
          <cell r="I820" t="str">
            <v>三星实习经理</v>
          </cell>
          <cell r="J820" t="str">
            <v>女</v>
          </cell>
          <cell r="K820" t="str">
            <v>正式</v>
          </cell>
          <cell r="L820" t="str">
            <v>内部员工</v>
          </cell>
          <cell r="M820" t="str">
            <v>林浩</v>
          </cell>
        </row>
        <row r="821">
          <cell r="A821" t="str">
            <v>刘佳</v>
          </cell>
          <cell r="B821" t="str">
            <v>00347</v>
          </cell>
          <cell r="C821" t="str">
            <v>四川时代蜂族营销策划有限公司</v>
          </cell>
          <cell r="D821">
            <v>44723</v>
          </cell>
          <cell r="E821" t="str">
            <v>西南总部</v>
          </cell>
          <cell r="F821" t="str">
            <v>西南营销中心</v>
          </cell>
          <cell r="G821" t="str">
            <v>营业三部</v>
          </cell>
        </row>
        <row r="821">
          <cell r="I821" t="str">
            <v>一星实习经理</v>
          </cell>
          <cell r="J821" t="str">
            <v>男</v>
          </cell>
          <cell r="K821" t="str">
            <v>正式</v>
          </cell>
          <cell r="L821" t="str">
            <v>内部员工</v>
          </cell>
          <cell r="M821" t="str">
            <v>周吉双</v>
          </cell>
        </row>
        <row r="822">
          <cell r="A822" t="str">
            <v>程新浩</v>
          </cell>
          <cell r="B822" t="str">
            <v>00345</v>
          </cell>
          <cell r="C822" t="str">
            <v>四川时代蜂族营销策划有限公司</v>
          </cell>
          <cell r="D822">
            <v>44721</v>
          </cell>
          <cell r="E822" t="str">
            <v>西南总部</v>
          </cell>
          <cell r="F822" t="str">
            <v>西南营销中心</v>
          </cell>
          <cell r="G822" t="str">
            <v>营业七部</v>
          </cell>
        </row>
        <row r="822">
          <cell r="I822" t="str">
            <v>部长</v>
          </cell>
          <cell r="J822" t="str">
            <v>男</v>
          </cell>
          <cell r="K822" t="str">
            <v>正式</v>
          </cell>
          <cell r="L822" t="str">
            <v>内部员工</v>
          </cell>
          <cell r="M822" t="str">
            <v>欧松林</v>
          </cell>
        </row>
        <row r="823">
          <cell r="A823" t="str">
            <v>李敏</v>
          </cell>
          <cell r="B823" t="str">
            <v>00336</v>
          </cell>
          <cell r="C823" t="str">
            <v>四川时代蜂族营销策划有限公司</v>
          </cell>
          <cell r="D823">
            <v>44703</v>
          </cell>
          <cell r="E823" t="str">
            <v>西南总部</v>
          </cell>
          <cell r="F823" t="str">
            <v>西南营销中心</v>
          </cell>
          <cell r="G823" t="str">
            <v>营业五部</v>
          </cell>
        </row>
        <row r="823">
          <cell r="I823" t="str">
            <v>三星实习经理</v>
          </cell>
          <cell r="J823" t="str">
            <v>女</v>
          </cell>
          <cell r="K823" t="str">
            <v>正式</v>
          </cell>
          <cell r="L823" t="str">
            <v>内部员工</v>
          </cell>
          <cell r="M823" t="str">
            <v>叶鑫</v>
          </cell>
        </row>
        <row r="824">
          <cell r="A824" t="str">
            <v>霍艳</v>
          </cell>
          <cell r="B824" t="str">
            <v>00335</v>
          </cell>
          <cell r="C824" t="str">
            <v>陕西蜂族科技有限公司</v>
          </cell>
          <cell r="D824">
            <v>44703</v>
          </cell>
          <cell r="E824" t="str">
            <v>陕西</v>
          </cell>
          <cell r="F824" t="str">
            <v>陕西营销中心</v>
          </cell>
          <cell r="G824" t="str">
            <v>陕西2部</v>
          </cell>
          <cell r="H824" t="str">
            <v>王天成</v>
          </cell>
          <cell r="I824" t="str">
            <v>一星销售顾问</v>
          </cell>
          <cell r="J824" t="str">
            <v>女</v>
          </cell>
          <cell r="K824" t="str">
            <v>正式</v>
          </cell>
          <cell r="L824" t="str">
            <v>内部员工</v>
          </cell>
          <cell r="M824" t="str">
            <v>王天成</v>
          </cell>
        </row>
        <row r="825">
          <cell r="A825" t="str">
            <v>林浩</v>
          </cell>
          <cell r="B825" t="str">
            <v>00333</v>
          </cell>
          <cell r="C825" t="str">
            <v>湖北蜜蜂族房地产经纪有限公司</v>
          </cell>
          <cell r="D825">
            <v>44698</v>
          </cell>
          <cell r="E825" t="str">
            <v>湖北</v>
          </cell>
          <cell r="F825" t="str">
            <v>湖北营销中心</v>
          </cell>
          <cell r="G825" t="str">
            <v>湖北1部</v>
          </cell>
        </row>
        <row r="825">
          <cell r="I825" t="str">
            <v>部长</v>
          </cell>
          <cell r="J825" t="str">
            <v>男</v>
          </cell>
          <cell r="K825" t="str">
            <v>正式</v>
          </cell>
          <cell r="L825" t="str">
            <v>内部员工</v>
          </cell>
          <cell r="M825" t="str">
            <v>范庚</v>
          </cell>
        </row>
        <row r="826">
          <cell r="A826" t="str">
            <v>段燕</v>
          </cell>
          <cell r="B826" t="str">
            <v>00320</v>
          </cell>
          <cell r="C826" t="str">
            <v>四川时代蜂族营销策划有限公司</v>
          </cell>
          <cell r="D826">
            <v>44663</v>
          </cell>
          <cell r="E826" t="str">
            <v>河北</v>
          </cell>
          <cell r="F826" t="str">
            <v>河北拓展部</v>
          </cell>
        </row>
        <row r="826">
          <cell r="I826" t="str">
            <v>一星拓展专员</v>
          </cell>
          <cell r="J826" t="str">
            <v>女</v>
          </cell>
          <cell r="K826" t="str">
            <v>正式</v>
          </cell>
          <cell r="L826" t="str">
            <v>内部员工</v>
          </cell>
          <cell r="M826" t="str">
            <v>黄伟</v>
          </cell>
        </row>
        <row r="827">
          <cell r="A827" t="str">
            <v>杨永丽</v>
          </cell>
          <cell r="B827" t="str">
            <v>00312</v>
          </cell>
          <cell r="C827" t="str">
            <v>四川时代蜂族营销策划有限公司</v>
          </cell>
          <cell r="D827">
            <v>44652</v>
          </cell>
          <cell r="E827" t="str">
            <v>西南总部</v>
          </cell>
          <cell r="F827" t="str">
            <v>西南拓展中心</v>
          </cell>
          <cell r="G827" t="str">
            <v>川西</v>
          </cell>
        </row>
        <row r="827">
          <cell r="I827" t="str">
            <v>二星拓展专员</v>
          </cell>
          <cell r="J827" t="str">
            <v>女</v>
          </cell>
          <cell r="K827" t="str">
            <v>正式</v>
          </cell>
          <cell r="L827" t="str">
            <v>内部员工</v>
          </cell>
          <cell r="M827" t="str">
            <v>杨蓉</v>
          </cell>
        </row>
        <row r="828">
          <cell r="A828" t="str">
            <v>秦娅玲</v>
          </cell>
          <cell r="B828" t="str">
            <v>00308</v>
          </cell>
          <cell r="C828" t="str">
            <v>四川时代蜂族营销策划有限公司</v>
          </cell>
          <cell r="D828">
            <v>44643</v>
          </cell>
          <cell r="E828" t="str">
            <v>湖北</v>
          </cell>
          <cell r="F828" t="str">
            <v>湖北营销中心</v>
          </cell>
          <cell r="G828" t="str">
            <v>湖北1部</v>
          </cell>
        </row>
        <row r="828">
          <cell r="I828" t="str">
            <v>三星实习经理</v>
          </cell>
          <cell r="J828" t="str">
            <v>女</v>
          </cell>
          <cell r="K828" t="str">
            <v>正式</v>
          </cell>
          <cell r="L828" t="str">
            <v>内部员工</v>
          </cell>
          <cell r="M828" t="str">
            <v>林浩</v>
          </cell>
        </row>
        <row r="829">
          <cell r="A829" t="str">
            <v>孙丽琼</v>
          </cell>
          <cell r="B829" t="str">
            <v>00301</v>
          </cell>
          <cell r="C829" t="str">
            <v>四川时代蜂族营销策划有限公司</v>
          </cell>
          <cell r="D829">
            <v>44629</v>
          </cell>
          <cell r="E829" t="str">
            <v>集团职能</v>
          </cell>
          <cell r="F829" t="str">
            <v>职能总部</v>
          </cell>
          <cell r="G829" t="str">
            <v>人资行政部</v>
          </cell>
        </row>
        <row r="829">
          <cell r="I829" t="str">
            <v>行政专员</v>
          </cell>
          <cell r="J829" t="str">
            <v>女</v>
          </cell>
          <cell r="K829" t="str">
            <v>正式</v>
          </cell>
          <cell r="L829" t="str">
            <v>内部员工</v>
          </cell>
          <cell r="M829" t="str">
            <v>孔群慧</v>
          </cell>
        </row>
        <row r="830">
          <cell r="A830" t="str">
            <v>张鑫宇</v>
          </cell>
          <cell r="B830" t="str">
            <v>00300</v>
          </cell>
          <cell r="C830" t="str">
            <v>四川时代蜂族营销策划有限公司</v>
          </cell>
          <cell r="D830">
            <v>44628</v>
          </cell>
          <cell r="E830" t="str">
            <v>集团职能</v>
          </cell>
          <cell r="F830" t="str">
            <v>职能总部</v>
          </cell>
          <cell r="G830" t="str">
            <v>财务部</v>
          </cell>
        </row>
        <row r="830">
          <cell r="I830" t="str">
            <v>财务bp</v>
          </cell>
          <cell r="J830" t="str">
            <v>女</v>
          </cell>
          <cell r="K830" t="str">
            <v>正式</v>
          </cell>
          <cell r="L830" t="str">
            <v>内部员工</v>
          </cell>
          <cell r="M830" t="str">
            <v>陈萍</v>
          </cell>
        </row>
        <row r="831">
          <cell r="A831" t="str">
            <v>杜雄</v>
          </cell>
          <cell r="B831" t="str">
            <v>00297</v>
          </cell>
          <cell r="C831" t="str">
            <v>河南蜜蜂族营销策划有限公司</v>
          </cell>
          <cell r="D831">
            <v>44626</v>
          </cell>
          <cell r="E831" t="str">
            <v>河南</v>
          </cell>
          <cell r="F831" t="str">
            <v>河南营销中心</v>
          </cell>
          <cell r="G831" t="str">
            <v>河南销售部</v>
          </cell>
        </row>
        <row r="831">
          <cell r="I831" t="str">
            <v>一星实习经理</v>
          </cell>
          <cell r="J831" t="str">
            <v>男</v>
          </cell>
          <cell r="K831" t="str">
            <v>正式</v>
          </cell>
          <cell r="L831" t="str">
            <v>内部员工</v>
          </cell>
          <cell r="M831" t="str">
            <v>毛孝树</v>
          </cell>
        </row>
        <row r="832">
          <cell r="A832" t="str">
            <v>蒋杨</v>
          </cell>
          <cell r="B832" t="str">
            <v>00294</v>
          </cell>
          <cell r="C832" t="str">
            <v>四川时代蜂族营销策划有限公司</v>
          </cell>
          <cell r="D832">
            <v>44623</v>
          </cell>
          <cell r="E832" t="str">
            <v>西南总部</v>
          </cell>
          <cell r="F832" t="str">
            <v>西南营销中心</v>
          </cell>
          <cell r="G832" t="str">
            <v>营业七部</v>
          </cell>
        </row>
        <row r="832">
          <cell r="I832" t="str">
            <v>一星正式经理</v>
          </cell>
          <cell r="J832" t="str">
            <v>男</v>
          </cell>
          <cell r="K832" t="str">
            <v>正式</v>
          </cell>
          <cell r="L832" t="str">
            <v>内部员工</v>
          </cell>
          <cell r="M832" t="str">
            <v>程新浩</v>
          </cell>
        </row>
        <row r="833">
          <cell r="A833" t="str">
            <v>李晓虹</v>
          </cell>
          <cell r="B833" t="str">
            <v>00291</v>
          </cell>
          <cell r="C833" t="str">
            <v>四川时代蜂族营销策划有限公司</v>
          </cell>
          <cell r="D833">
            <v>44615</v>
          </cell>
          <cell r="E833" t="str">
            <v>湖南</v>
          </cell>
          <cell r="F833" t="str">
            <v>湖南营销中心</v>
          </cell>
          <cell r="G833" t="str">
            <v>湖南销售部</v>
          </cell>
        </row>
        <row r="833">
          <cell r="I833" t="str">
            <v>三星销售顾问</v>
          </cell>
          <cell r="J833" t="str">
            <v>女</v>
          </cell>
          <cell r="K833" t="str">
            <v>正式</v>
          </cell>
          <cell r="L833" t="str">
            <v>内部员工</v>
          </cell>
          <cell r="M833" t="str">
            <v>刘进</v>
          </cell>
        </row>
        <row r="834">
          <cell r="A834" t="str">
            <v>孙小龙</v>
          </cell>
          <cell r="B834" t="str">
            <v>00288</v>
          </cell>
          <cell r="C834" t="str">
            <v>四川时代蜂族营销策划有限公司</v>
          </cell>
          <cell r="D834">
            <v>44578</v>
          </cell>
          <cell r="E834" t="str">
            <v>湖南</v>
          </cell>
          <cell r="F834" t="str">
            <v>湖南营销中心</v>
          </cell>
          <cell r="G834" t="str">
            <v>湖南销售部</v>
          </cell>
        </row>
        <row r="834">
          <cell r="I834" t="str">
            <v>二星正式经理</v>
          </cell>
          <cell r="J834" t="str">
            <v>男</v>
          </cell>
          <cell r="K834" t="str">
            <v>正式</v>
          </cell>
          <cell r="L834" t="str">
            <v>内部员工</v>
          </cell>
          <cell r="M834" t="str">
            <v>刘进</v>
          </cell>
        </row>
        <row r="835">
          <cell r="A835" t="str">
            <v>冯洁</v>
          </cell>
          <cell r="B835" t="str">
            <v>00285</v>
          </cell>
          <cell r="C835" t="str">
            <v>山东时代蜂族营销策划有限公司</v>
          </cell>
          <cell r="D835">
            <v>44571</v>
          </cell>
          <cell r="E835" t="str">
            <v>山东</v>
          </cell>
          <cell r="F835" t="str">
            <v>山东营销中心</v>
          </cell>
          <cell r="G835" t="str">
            <v>山东销售部</v>
          </cell>
          <cell r="H835" t="str">
            <v>冯洁</v>
          </cell>
          <cell r="I835" t="str">
            <v>二星实习经理</v>
          </cell>
          <cell r="J835" t="str">
            <v>女</v>
          </cell>
          <cell r="K835" t="str">
            <v>正式</v>
          </cell>
          <cell r="L835" t="str">
            <v>内部员工</v>
          </cell>
          <cell r="M835" t="str">
            <v>李丹</v>
          </cell>
        </row>
        <row r="836">
          <cell r="A836" t="str">
            <v>罗小花</v>
          </cell>
          <cell r="B836" t="str">
            <v>00283</v>
          </cell>
          <cell r="C836" t="str">
            <v>陕西蜂族科技有限公司</v>
          </cell>
          <cell r="D836">
            <v>44565</v>
          </cell>
          <cell r="E836" t="str">
            <v>陕西</v>
          </cell>
          <cell r="F836" t="str">
            <v>陕西营销中心</v>
          </cell>
          <cell r="G836" t="str">
            <v>陕西2部</v>
          </cell>
        </row>
        <row r="836">
          <cell r="I836" t="str">
            <v>二星正式经理</v>
          </cell>
          <cell r="J836" t="str">
            <v>女</v>
          </cell>
          <cell r="K836" t="str">
            <v>正式</v>
          </cell>
          <cell r="L836" t="str">
            <v>内部员工</v>
          </cell>
          <cell r="M836" t="str">
            <v>李耀</v>
          </cell>
        </row>
        <row r="837">
          <cell r="A837" t="str">
            <v>伍浩东</v>
          </cell>
          <cell r="B837" t="str">
            <v>00275</v>
          </cell>
          <cell r="C837" t="str">
            <v>四川时代蜂族营销策划有限公司</v>
          </cell>
          <cell r="D837">
            <v>44558</v>
          </cell>
          <cell r="E837" t="str">
            <v>西南总部</v>
          </cell>
          <cell r="F837" t="str">
            <v>西南营销中心</v>
          </cell>
          <cell r="G837" t="str">
            <v>营业五部</v>
          </cell>
          <cell r="H837" t="str">
            <v>谢敏</v>
          </cell>
          <cell r="I837" t="str">
            <v>三星销售顾问</v>
          </cell>
          <cell r="J837" t="str">
            <v>男</v>
          </cell>
          <cell r="K837" t="str">
            <v>正式</v>
          </cell>
          <cell r="L837" t="str">
            <v>内部员工</v>
          </cell>
          <cell r="M837" t="str">
            <v>谢敏</v>
          </cell>
        </row>
        <row r="838">
          <cell r="A838" t="str">
            <v>蒋明霞</v>
          </cell>
          <cell r="B838" t="str">
            <v>00273</v>
          </cell>
          <cell r="C838" t="str">
            <v>四川优诺通瑞商贸有限公司</v>
          </cell>
          <cell r="D838">
            <v>44557</v>
          </cell>
          <cell r="E838" t="str">
            <v>集团职能</v>
          </cell>
          <cell r="F838" t="str">
            <v>职能总部</v>
          </cell>
          <cell r="G838" t="str">
            <v>财务部</v>
          </cell>
        </row>
        <row r="838">
          <cell r="I838" t="str">
            <v>财务主管</v>
          </cell>
          <cell r="J838" t="str">
            <v>女</v>
          </cell>
          <cell r="K838" t="str">
            <v>正式</v>
          </cell>
          <cell r="L838" t="str">
            <v>内部员工</v>
          </cell>
          <cell r="M838" t="str">
            <v>陈萍</v>
          </cell>
        </row>
        <row r="839">
          <cell r="A839" t="str">
            <v>周吉双</v>
          </cell>
          <cell r="B839" t="str">
            <v>00270</v>
          </cell>
          <cell r="C839" t="str">
            <v>四川时代蜂族营销策划有限公司</v>
          </cell>
          <cell r="D839">
            <v>44555</v>
          </cell>
          <cell r="E839" t="str">
            <v>河南</v>
          </cell>
          <cell r="F839" t="str">
            <v>河南营销中心</v>
          </cell>
          <cell r="G839" t="str">
            <v>河南销售部</v>
          </cell>
        </row>
        <row r="839">
          <cell r="I839" t="str">
            <v>部长</v>
          </cell>
          <cell r="J839" t="str">
            <v>男</v>
          </cell>
          <cell r="K839" t="str">
            <v>正式</v>
          </cell>
          <cell r="L839" t="str">
            <v>内部员工</v>
          </cell>
          <cell r="M839" t="str">
            <v>毛孝树</v>
          </cell>
        </row>
        <row r="840">
          <cell r="A840" t="str">
            <v>韩旭</v>
          </cell>
          <cell r="B840" t="str">
            <v>00263</v>
          </cell>
          <cell r="C840" t="str">
            <v>四川时代蜂族营销策划有限公司</v>
          </cell>
          <cell r="D840">
            <v>44552</v>
          </cell>
          <cell r="E840" t="str">
            <v>河北</v>
          </cell>
          <cell r="F840" t="str">
            <v>河北营销中心</v>
          </cell>
          <cell r="G840" t="str">
            <v>河北销售部</v>
          </cell>
          <cell r="H840" t="str">
            <v>韩旭河北</v>
          </cell>
          <cell r="I840" t="str">
            <v>一星正式经理</v>
          </cell>
          <cell r="J840" t="str">
            <v>女</v>
          </cell>
          <cell r="K840" t="str">
            <v>正式</v>
          </cell>
          <cell r="L840" t="str">
            <v>内部员工</v>
          </cell>
          <cell r="M840" t="str">
            <v>李港一</v>
          </cell>
        </row>
        <row r="841">
          <cell r="A841" t="str">
            <v>朱林</v>
          </cell>
          <cell r="B841" t="str">
            <v>00266</v>
          </cell>
          <cell r="C841" t="str">
            <v>河南蜜蜂族营销策划有限公司</v>
          </cell>
          <cell r="D841">
            <v>44552</v>
          </cell>
          <cell r="E841" t="str">
            <v>河南</v>
          </cell>
          <cell r="F841" t="str">
            <v>河南营销中心</v>
          </cell>
          <cell r="G841" t="str">
            <v>河南销售部</v>
          </cell>
          <cell r="H841" t="str">
            <v>杜雄</v>
          </cell>
          <cell r="I841" t="str">
            <v>三星销售顾问</v>
          </cell>
          <cell r="J841" t="str">
            <v>男</v>
          </cell>
          <cell r="K841" t="str">
            <v>正式</v>
          </cell>
          <cell r="L841" t="str">
            <v>内部员工</v>
          </cell>
          <cell r="M841" t="str">
            <v>杜雄</v>
          </cell>
        </row>
        <row r="842">
          <cell r="A842" t="str">
            <v>袁华</v>
          </cell>
          <cell r="B842" t="str">
            <v>00255</v>
          </cell>
          <cell r="C842" t="str">
            <v>四川时代蜂族营销策划有限公司</v>
          </cell>
          <cell r="D842">
            <v>44548</v>
          </cell>
          <cell r="E842" t="str">
            <v>西南总部</v>
          </cell>
          <cell r="F842" t="str">
            <v>西南营销中心</v>
          </cell>
          <cell r="G842" t="str">
            <v>营业六部</v>
          </cell>
        </row>
        <row r="842">
          <cell r="I842" t="str">
            <v>二星实习经理</v>
          </cell>
          <cell r="J842" t="str">
            <v>男</v>
          </cell>
          <cell r="K842" t="str">
            <v>正式</v>
          </cell>
          <cell r="L842" t="str">
            <v>内部员工</v>
          </cell>
          <cell r="M842" t="str">
            <v>毛富林</v>
          </cell>
        </row>
        <row r="843">
          <cell r="A843" t="str">
            <v>雷鸣</v>
          </cell>
          <cell r="B843" t="str">
            <v>00248</v>
          </cell>
          <cell r="C843" t="str">
            <v>兰州时代蜂族营销策划有限公司</v>
          </cell>
          <cell r="D843">
            <v>44546</v>
          </cell>
          <cell r="E843" t="str">
            <v>甘肃</v>
          </cell>
          <cell r="F843" t="str">
            <v>甘肃拓展部</v>
          </cell>
        </row>
        <row r="843">
          <cell r="I843" t="str">
            <v>区域拓展总监</v>
          </cell>
          <cell r="J843" t="str">
            <v>男</v>
          </cell>
          <cell r="K843" t="str">
            <v>正式</v>
          </cell>
          <cell r="L843" t="str">
            <v>内部员工</v>
          </cell>
          <cell r="M843" t="str">
            <v>黄芳</v>
          </cell>
        </row>
        <row r="844">
          <cell r="A844" t="str">
            <v>杨应</v>
          </cell>
          <cell r="B844" t="str">
            <v>00232</v>
          </cell>
          <cell r="C844" t="str">
            <v>陕西蜂族科技有限公司</v>
          </cell>
          <cell r="D844">
            <v>44543</v>
          </cell>
          <cell r="E844" t="str">
            <v>陕西</v>
          </cell>
          <cell r="F844" t="str">
            <v>陕西营销中心</v>
          </cell>
          <cell r="G844" t="str">
            <v>陕西1部</v>
          </cell>
        </row>
        <row r="844">
          <cell r="I844" t="str">
            <v>二星实习经理</v>
          </cell>
          <cell r="J844" t="str">
            <v>男</v>
          </cell>
          <cell r="K844" t="str">
            <v>正式</v>
          </cell>
          <cell r="L844" t="str">
            <v>内部员工</v>
          </cell>
          <cell r="M844" t="str">
            <v>李丝丝</v>
          </cell>
        </row>
        <row r="845">
          <cell r="A845" t="str">
            <v>覃波</v>
          </cell>
          <cell r="B845" t="str">
            <v>00747</v>
          </cell>
          <cell r="C845" t="str">
            <v>陕西蜂族科技有限公司</v>
          </cell>
          <cell r="D845">
            <v>44543</v>
          </cell>
          <cell r="E845" t="str">
            <v>陕西</v>
          </cell>
          <cell r="F845" t="str">
            <v>陕西拓展部</v>
          </cell>
          <cell r="G845" t="str">
            <v>陕西1区</v>
          </cell>
        </row>
        <row r="845">
          <cell r="I845" t="str">
            <v>拓展组长</v>
          </cell>
          <cell r="J845" t="str">
            <v>男</v>
          </cell>
          <cell r="K845" t="str">
            <v>正式</v>
          </cell>
          <cell r="L845" t="str">
            <v>内部员工</v>
          </cell>
          <cell r="M845" t="str">
            <v>廖小朋</v>
          </cell>
        </row>
        <row r="846">
          <cell r="A846" t="str">
            <v>刘岷</v>
          </cell>
          <cell r="B846" t="str">
            <v>00235</v>
          </cell>
          <cell r="C846" t="str">
            <v>四川时代蜂族营销策划有限公司</v>
          </cell>
          <cell r="D846">
            <v>44543</v>
          </cell>
          <cell r="E846" t="str">
            <v>湖南</v>
          </cell>
          <cell r="F846" t="str">
            <v>湖南拓展部</v>
          </cell>
        </row>
        <row r="846">
          <cell r="I846" t="str">
            <v>二星拓展专员</v>
          </cell>
          <cell r="J846" t="str">
            <v>男</v>
          </cell>
          <cell r="K846" t="str">
            <v>正式</v>
          </cell>
          <cell r="L846" t="str">
            <v>内部员工</v>
          </cell>
          <cell r="M846" t="str">
            <v>王超飞</v>
          </cell>
        </row>
        <row r="847">
          <cell r="A847" t="str">
            <v>杨唐</v>
          </cell>
          <cell r="B847" t="str">
            <v>00237</v>
          </cell>
          <cell r="C847" t="str">
            <v>山东时代蜂族营销策划有限公司</v>
          </cell>
          <cell r="D847">
            <v>44543</v>
          </cell>
          <cell r="E847" t="str">
            <v>山东</v>
          </cell>
          <cell r="F847" t="str">
            <v>山东营销中心</v>
          </cell>
          <cell r="G847" t="str">
            <v>山东销售部</v>
          </cell>
          <cell r="H847" t="str">
            <v>杨唐山东</v>
          </cell>
          <cell r="I847" t="str">
            <v>一星实习经理</v>
          </cell>
          <cell r="J847" t="str">
            <v>男</v>
          </cell>
          <cell r="K847" t="str">
            <v>正式</v>
          </cell>
          <cell r="L847" t="str">
            <v>内部员工</v>
          </cell>
          <cell r="M847" t="str">
            <v>李丹</v>
          </cell>
        </row>
        <row r="848">
          <cell r="A848" t="str">
            <v>王兴云</v>
          </cell>
          <cell r="B848" t="str">
            <v>00224</v>
          </cell>
          <cell r="C848" t="str">
            <v>四川时代蜂族营销策划有限公司</v>
          </cell>
          <cell r="D848">
            <v>44538</v>
          </cell>
          <cell r="E848" t="str">
            <v>河南</v>
          </cell>
          <cell r="F848" t="str">
            <v>河南拓展部</v>
          </cell>
        </row>
        <row r="848">
          <cell r="I848" t="str">
            <v>一星拓展专员</v>
          </cell>
          <cell r="J848" t="str">
            <v>男</v>
          </cell>
          <cell r="K848" t="str">
            <v>正式</v>
          </cell>
          <cell r="L848" t="str">
            <v>内部员工</v>
          </cell>
          <cell r="M848" t="str">
            <v>廖静</v>
          </cell>
        </row>
        <row r="849">
          <cell r="A849" t="str">
            <v>姚瑶</v>
          </cell>
          <cell r="B849" t="str">
            <v>00217</v>
          </cell>
          <cell r="C849" t="str">
            <v>四川时代蜂族营销策划有限公司</v>
          </cell>
          <cell r="D849">
            <v>44530</v>
          </cell>
          <cell r="E849" t="str">
            <v>西南总部</v>
          </cell>
          <cell r="F849" t="str">
            <v>西南营销中心</v>
          </cell>
          <cell r="G849" t="str">
            <v>营业三部</v>
          </cell>
          <cell r="H849" t="str">
            <v>姚瑶</v>
          </cell>
          <cell r="I849" t="str">
            <v>二星实习经理</v>
          </cell>
          <cell r="J849" t="str">
            <v>女</v>
          </cell>
          <cell r="K849" t="str">
            <v>正式</v>
          </cell>
          <cell r="L849" t="str">
            <v>内部员工</v>
          </cell>
          <cell r="M849" t="str">
            <v>周吉双</v>
          </cell>
        </row>
        <row r="850">
          <cell r="A850" t="str">
            <v>黄小东</v>
          </cell>
          <cell r="B850" t="str">
            <v>00215</v>
          </cell>
          <cell r="C850" t="str">
            <v>四川时代蜂族营销策划有限公司</v>
          </cell>
          <cell r="D850">
            <v>44525</v>
          </cell>
          <cell r="E850" t="str">
            <v>山东</v>
          </cell>
          <cell r="F850" t="str">
            <v>山东拓展部</v>
          </cell>
          <cell r="G850" t="str">
            <v>山东战区2</v>
          </cell>
        </row>
        <row r="850">
          <cell r="I850" t="str">
            <v>区域拓展总监</v>
          </cell>
          <cell r="J850" t="str">
            <v>男</v>
          </cell>
          <cell r="K850" t="str">
            <v>正式</v>
          </cell>
          <cell r="L850" t="str">
            <v>内部员工</v>
          </cell>
          <cell r="M850" t="str">
            <v>刘文宇</v>
          </cell>
        </row>
        <row r="851">
          <cell r="A851" t="str">
            <v>蒋婉萍</v>
          </cell>
          <cell r="B851" t="str">
            <v>00745</v>
          </cell>
          <cell r="C851" t="str">
            <v>四川时代蜂族营销策划有限公司</v>
          </cell>
          <cell r="D851">
            <v>44522</v>
          </cell>
          <cell r="E851" t="str">
            <v>西南总部</v>
          </cell>
          <cell r="F851" t="str">
            <v>西南拓展中心</v>
          </cell>
          <cell r="G851" t="str">
            <v>川北</v>
          </cell>
        </row>
        <row r="851">
          <cell r="I851" t="str">
            <v>区域拓展总监</v>
          </cell>
          <cell r="J851" t="str">
            <v>女</v>
          </cell>
          <cell r="K851" t="str">
            <v>正式</v>
          </cell>
          <cell r="L851" t="str">
            <v>内部员工</v>
          </cell>
          <cell r="M851" t="str">
            <v>刘文宇</v>
          </cell>
        </row>
        <row r="852">
          <cell r="A852" t="str">
            <v>谢淅安</v>
          </cell>
          <cell r="B852" t="str">
            <v>00206</v>
          </cell>
          <cell r="C852" t="str">
            <v>四川时代蜂族营销策划有限公司</v>
          </cell>
          <cell r="D852">
            <v>44511</v>
          </cell>
          <cell r="E852" t="str">
            <v>山西</v>
          </cell>
          <cell r="F852" t="str">
            <v>山西营销中心</v>
          </cell>
          <cell r="G852" t="str">
            <v>山西销售部</v>
          </cell>
          <cell r="H852" t="str">
            <v>吴志虎山西</v>
          </cell>
          <cell r="I852" t="str">
            <v>三星销售顾问</v>
          </cell>
          <cell r="J852" t="str">
            <v>男</v>
          </cell>
          <cell r="K852" t="str">
            <v>正式</v>
          </cell>
          <cell r="L852" t="str">
            <v>内部员工</v>
          </cell>
          <cell r="M852" t="str">
            <v>吴志虎</v>
          </cell>
        </row>
        <row r="853">
          <cell r="A853" t="str">
            <v>杨英</v>
          </cell>
          <cell r="B853" t="str">
            <v>00205</v>
          </cell>
          <cell r="C853" t="str">
            <v>四川时代蜂族营销策划有限公司</v>
          </cell>
          <cell r="D853">
            <v>44505</v>
          </cell>
          <cell r="E853" t="str">
            <v>山西</v>
          </cell>
          <cell r="F853" t="str">
            <v>山西营销中心</v>
          </cell>
          <cell r="G853" t="str">
            <v>山西销售部</v>
          </cell>
          <cell r="H853" t="str">
            <v>刘辉</v>
          </cell>
          <cell r="I853" t="str">
            <v>三星销售顾问</v>
          </cell>
          <cell r="J853" t="str">
            <v>女</v>
          </cell>
          <cell r="K853" t="str">
            <v>正式</v>
          </cell>
          <cell r="L853" t="str">
            <v>内部员工</v>
          </cell>
          <cell r="M853" t="str">
            <v>刘辉</v>
          </cell>
        </row>
        <row r="854">
          <cell r="A854" t="str">
            <v>肖秀丽</v>
          </cell>
          <cell r="B854" t="str">
            <v>00204</v>
          </cell>
          <cell r="C854" t="str">
            <v>四川时代蜂族营销策划有限公司</v>
          </cell>
          <cell r="D854">
            <v>44504</v>
          </cell>
          <cell r="E854" t="str">
            <v>西南总部</v>
          </cell>
          <cell r="F854" t="str">
            <v>西南营销中心</v>
          </cell>
          <cell r="G854" t="str">
            <v>营业三部</v>
          </cell>
        </row>
        <row r="854">
          <cell r="I854" t="str">
            <v>二星正式经理</v>
          </cell>
          <cell r="J854" t="str">
            <v>女</v>
          </cell>
          <cell r="K854" t="str">
            <v>正式</v>
          </cell>
          <cell r="L854" t="str">
            <v>内部员工</v>
          </cell>
          <cell r="M854" t="str">
            <v>周吉双</v>
          </cell>
        </row>
        <row r="855">
          <cell r="A855" t="str">
            <v>李文</v>
          </cell>
          <cell r="B855" t="str">
            <v>00195</v>
          </cell>
          <cell r="C855" t="str">
            <v>湖北蜜蜂族房地产经纪有限公司</v>
          </cell>
          <cell r="D855">
            <v>44489</v>
          </cell>
          <cell r="E855" t="str">
            <v>湖北</v>
          </cell>
          <cell r="F855" t="str">
            <v>湖北营销中心</v>
          </cell>
          <cell r="G855" t="str">
            <v>湖北1部</v>
          </cell>
        </row>
        <row r="855">
          <cell r="I855" t="str">
            <v>一星实习经理</v>
          </cell>
          <cell r="J855" t="str">
            <v>女</v>
          </cell>
          <cell r="K855" t="str">
            <v>正式</v>
          </cell>
          <cell r="L855" t="str">
            <v>内部员工</v>
          </cell>
          <cell r="M855" t="str">
            <v>林浩</v>
          </cell>
        </row>
        <row r="856">
          <cell r="A856" t="str">
            <v>胡雪梅</v>
          </cell>
          <cell r="B856" t="str">
            <v>00178</v>
          </cell>
          <cell r="C856" t="str">
            <v>四川时代蜂族营销策划有限公司</v>
          </cell>
          <cell r="D856">
            <v>44464</v>
          </cell>
          <cell r="E856" t="str">
            <v>西南总部</v>
          </cell>
          <cell r="F856" t="str">
            <v>西南营销中心</v>
          </cell>
          <cell r="G856" t="str">
            <v>营业一部</v>
          </cell>
        </row>
        <row r="856">
          <cell r="I856" t="str">
            <v>二星正式经理</v>
          </cell>
          <cell r="J856" t="str">
            <v>女</v>
          </cell>
          <cell r="K856" t="str">
            <v>正式</v>
          </cell>
          <cell r="L856" t="str">
            <v>内部员工</v>
          </cell>
          <cell r="M856" t="str">
            <v>雷小金</v>
          </cell>
        </row>
        <row r="857">
          <cell r="A857" t="str">
            <v>苏晓青</v>
          </cell>
          <cell r="B857" t="str">
            <v>00166</v>
          </cell>
          <cell r="C857" t="str">
            <v>山东时代蜂族营销策划有限公司</v>
          </cell>
          <cell r="D857">
            <v>44426</v>
          </cell>
          <cell r="E857" t="str">
            <v>山东</v>
          </cell>
          <cell r="F857" t="str">
            <v>山东营销中心</v>
          </cell>
          <cell r="G857" t="str">
            <v>山东销售部</v>
          </cell>
        </row>
        <row r="857">
          <cell r="I857" t="str">
            <v>二星正式经理</v>
          </cell>
          <cell r="J857" t="str">
            <v>女</v>
          </cell>
          <cell r="K857" t="str">
            <v>正式</v>
          </cell>
          <cell r="L857" t="str">
            <v>内部员工</v>
          </cell>
          <cell r="M857" t="str">
            <v>李丹</v>
          </cell>
        </row>
        <row r="858">
          <cell r="A858" t="str">
            <v>杨兰</v>
          </cell>
          <cell r="B858" t="str">
            <v>00165</v>
          </cell>
          <cell r="C858" t="str">
            <v>山东时代蜂族营销策划有限公司</v>
          </cell>
          <cell r="D858">
            <v>44426</v>
          </cell>
          <cell r="E858" t="str">
            <v>山东</v>
          </cell>
          <cell r="F858" t="str">
            <v>山东营销中心</v>
          </cell>
          <cell r="G858" t="str">
            <v>山东销售部</v>
          </cell>
          <cell r="H858" t="str">
            <v>苏晓青</v>
          </cell>
          <cell r="I858" t="str">
            <v>三星销售顾问</v>
          </cell>
          <cell r="J858" t="str">
            <v>女</v>
          </cell>
          <cell r="K858" t="str">
            <v>正式</v>
          </cell>
          <cell r="L858" t="str">
            <v>内部员工</v>
          </cell>
          <cell r="M858" t="str">
            <v>苏晓青</v>
          </cell>
        </row>
        <row r="859">
          <cell r="A859" t="str">
            <v>汤伟</v>
          </cell>
          <cell r="B859" t="str">
            <v>00161</v>
          </cell>
          <cell r="C859" t="str">
            <v>四川金巴牛网络科技有限公司</v>
          </cell>
          <cell r="D859">
            <v>44424</v>
          </cell>
          <cell r="E859" t="str">
            <v>集团职能</v>
          </cell>
          <cell r="F859" t="str">
            <v>职能总部</v>
          </cell>
          <cell r="G859" t="str">
            <v>技术部</v>
          </cell>
        </row>
        <row r="859">
          <cell r="I859" t="str">
            <v>JAVA工程师</v>
          </cell>
          <cell r="J859" t="str">
            <v>男</v>
          </cell>
          <cell r="K859" t="str">
            <v>正式</v>
          </cell>
          <cell r="L859" t="str">
            <v>内部员工</v>
          </cell>
          <cell r="M859" t="str">
            <v>张亚东</v>
          </cell>
        </row>
        <row r="860">
          <cell r="A860" t="str">
            <v>吴志虎</v>
          </cell>
          <cell r="B860" t="str">
            <v>00160</v>
          </cell>
          <cell r="C860" t="str">
            <v>山西时代蜂族房地产经纪有限公司</v>
          </cell>
          <cell r="D860">
            <v>44420</v>
          </cell>
          <cell r="E860" t="str">
            <v>山西</v>
          </cell>
          <cell r="F860" t="str">
            <v>山西营销中心</v>
          </cell>
          <cell r="G860" t="str">
            <v>山西销售部</v>
          </cell>
        </row>
        <row r="860">
          <cell r="I860" t="str">
            <v>部长</v>
          </cell>
          <cell r="J860" t="str">
            <v>男</v>
          </cell>
          <cell r="K860" t="str">
            <v>正式</v>
          </cell>
          <cell r="L860" t="str">
            <v>内部员工</v>
          </cell>
          <cell r="M860" t="str">
            <v>吴川江</v>
          </cell>
        </row>
        <row r="861">
          <cell r="A861" t="str">
            <v>刘宇</v>
          </cell>
          <cell r="B861" t="str">
            <v>00154</v>
          </cell>
          <cell r="C861" t="str">
            <v>四川时代蜂族营销策划有限公司</v>
          </cell>
          <cell r="D861">
            <v>44415</v>
          </cell>
          <cell r="E861" t="str">
            <v>内蒙古</v>
          </cell>
          <cell r="F861" t="str">
            <v>内蒙古拓展部</v>
          </cell>
        </row>
        <row r="861">
          <cell r="I861" t="str">
            <v>分公司总经理</v>
          </cell>
          <cell r="J861" t="str">
            <v>男</v>
          </cell>
          <cell r="K861" t="str">
            <v>正式</v>
          </cell>
          <cell r="L861" t="str">
            <v>内部员工</v>
          </cell>
          <cell r="M861" t="str">
            <v>刘文宇</v>
          </cell>
        </row>
        <row r="862">
          <cell r="A862" t="str">
            <v>罗诗雨</v>
          </cell>
          <cell r="B862" t="str">
            <v>00146</v>
          </cell>
          <cell r="C862" t="str">
            <v>四川大礼连连科技有限公司</v>
          </cell>
          <cell r="D862">
            <v>44396</v>
          </cell>
          <cell r="E862" t="str">
            <v>集团职能</v>
          </cell>
          <cell r="F862" t="str">
            <v>职能总部</v>
          </cell>
          <cell r="G862" t="str">
            <v>人资行政部</v>
          </cell>
        </row>
        <row r="862">
          <cell r="I862" t="str">
            <v>人事行政主管</v>
          </cell>
          <cell r="J862" t="str">
            <v>女</v>
          </cell>
          <cell r="K862" t="str">
            <v>正式</v>
          </cell>
          <cell r="L862" t="str">
            <v>内部员工</v>
          </cell>
          <cell r="M862" t="str">
            <v>孔群慧</v>
          </cell>
        </row>
        <row r="863">
          <cell r="A863" t="str">
            <v>王小春</v>
          </cell>
          <cell r="B863" t="str">
            <v>00143</v>
          </cell>
          <cell r="C863" t="str">
            <v>四川时代蜂族营销策划有限公司</v>
          </cell>
          <cell r="D863">
            <v>44376</v>
          </cell>
          <cell r="E863" t="str">
            <v>集团职能</v>
          </cell>
          <cell r="F863" t="str">
            <v>职能营销</v>
          </cell>
          <cell r="G863" t="str">
            <v>督导部</v>
          </cell>
        </row>
        <row r="863">
          <cell r="I863" t="str">
            <v>督导主管</v>
          </cell>
          <cell r="J863" t="str">
            <v>女</v>
          </cell>
          <cell r="K863" t="str">
            <v>正式</v>
          </cell>
          <cell r="L863" t="str">
            <v>内部员工</v>
          </cell>
          <cell r="M863" t="str">
            <v>刘盼</v>
          </cell>
        </row>
        <row r="864">
          <cell r="A864" t="str">
            <v>罗小清</v>
          </cell>
          <cell r="B864" t="str">
            <v>00135</v>
          </cell>
          <cell r="C864" t="str">
            <v>四川蜂起营销策划有限公司</v>
          </cell>
          <cell r="D864">
            <v>44354</v>
          </cell>
          <cell r="E864" t="str">
            <v>集团职能</v>
          </cell>
          <cell r="F864" t="str">
            <v>职能总部</v>
          </cell>
          <cell r="G864" t="str">
            <v>总经办</v>
          </cell>
        </row>
        <row r="864">
          <cell r="I864" t="str">
            <v>总经办秘书</v>
          </cell>
          <cell r="J864" t="str">
            <v>女</v>
          </cell>
          <cell r="K864" t="str">
            <v>正式</v>
          </cell>
          <cell r="L864" t="str">
            <v>内部员工</v>
          </cell>
          <cell r="M864" t="str">
            <v>黄芳</v>
          </cell>
        </row>
        <row r="865">
          <cell r="A865" t="str">
            <v>罗敏</v>
          </cell>
          <cell r="B865" t="str">
            <v>00134</v>
          </cell>
          <cell r="C865" t="str">
            <v>湖南时代蜂族营销策划有限公司</v>
          </cell>
          <cell r="D865">
            <v>44351</v>
          </cell>
          <cell r="E865" t="str">
            <v>湖南</v>
          </cell>
          <cell r="F865" t="str">
            <v>湖南营销中心</v>
          </cell>
          <cell r="G865" t="str">
            <v>湖南销售部</v>
          </cell>
        </row>
        <row r="865">
          <cell r="I865" t="str">
            <v>一星实习经理</v>
          </cell>
          <cell r="J865" t="str">
            <v>女</v>
          </cell>
          <cell r="K865" t="str">
            <v>正式</v>
          </cell>
          <cell r="L865" t="str">
            <v>内部员工</v>
          </cell>
          <cell r="M865" t="str">
            <v>刘进</v>
          </cell>
        </row>
        <row r="866">
          <cell r="A866" t="str">
            <v>杨超群</v>
          </cell>
          <cell r="B866" t="str">
            <v>00128</v>
          </cell>
          <cell r="C866" t="str">
            <v>四川时代蜂族营销策划有限公司</v>
          </cell>
          <cell r="D866">
            <v>44333</v>
          </cell>
          <cell r="E866" t="str">
            <v>湖南</v>
          </cell>
          <cell r="F866" t="str">
            <v>湖南营销中心</v>
          </cell>
          <cell r="G866" t="str">
            <v>湖南销售部</v>
          </cell>
          <cell r="H866" t="str">
            <v>杨超群</v>
          </cell>
          <cell r="I866" t="str">
            <v>三星实习经理</v>
          </cell>
          <cell r="J866" t="str">
            <v>女</v>
          </cell>
          <cell r="K866" t="str">
            <v>正式</v>
          </cell>
          <cell r="L866" t="str">
            <v>内部员工</v>
          </cell>
          <cell r="M866" t="str">
            <v>刘进</v>
          </cell>
        </row>
        <row r="867">
          <cell r="A867" t="str">
            <v>张仁久</v>
          </cell>
          <cell r="B867" t="str">
            <v>00122</v>
          </cell>
          <cell r="C867" t="str">
            <v>四川金巴牛网络科技有限公司</v>
          </cell>
          <cell r="D867">
            <v>44309</v>
          </cell>
          <cell r="E867" t="str">
            <v>集团职能</v>
          </cell>
          <cell r="F867" t="str">
            <v>职能总部</v>
          </cell>
          <cell r="G867" t="str">
            <v>技术部</v>
          </cell>
        </row>
        <row r="867">
          <cell r="I867" t="str">
            <v>前端工程师</v>
          </cell>
          <cell r="J867" t="str">
            <v>男</v>
          </cell>
          <cell r="K867" t="str">
            <v>正式</v>
          </cell>
          <cell r="L867" t="str">
            <v>内部员工</v>
          </cell>
          <cell r="M867" t="str">
            <v>张亚东</v>
          </cell>
        </row>
        <row r="868">
          <cell r="A868" t="str">
            <v>干银</v>
          </cell>
          <cell r="B868" t="str">
            <v>00121</v>
          </cell>
          <cell r="C868" t="str">
            <v>四川金巴牛网络科技有限公司</v>
          </cell>
          <cell r="D868">
            <v>44301</v>
          </cell>
          <cell r="E868" t="str">
            <v>集团职能</v>
          </cell>
          <cell r="F868" t="str">
            <v>职能总部</v>
          </cell>
          <cell r="G868" t="str">
            <v>技术部</v>
          </cell>
        </row>
        <row r="868">
          <cell r="I868" t="str">
            <v>架构师</v>
          </cell>
          <cell r="J868" t="str">
            <v>男</v>
          </cell>
          <cell r="K868" t="str">
            <v>正式</v>
          </cell>
          <cell r="L868" t="str">
            <v>内部员工</v>
          </cell>
          <cell r="M868" t="str">
            <v>张亚东</v>
          </cell>
        </row>
        <row r="869">
          <cell r="A869" t="str">
            <v>张亚东</v>
          </cell>
          <cell r="B869" t="str">
            <v>00120</v>
          </cell>
          <cell r="C869" t="str">
            <v>四川金巴牛网络科技有限公司</v>
          </cell>
          <cell r="D869">
            <v>44298</v>
          </cell>
          <cell r="E869" t="str">
            <v>集团职能</v>
          </cell>
          <cell r="F869" t="str">
            <v>职能总部</v>
          </cell>
          <cell r="G869" t="str">
            <v>技术部</v>
          </cell>
        </row>
        <row r="869">
          <cell r="I869" t="str">
            <v>技术总监</v>
          </cell>
          <cell r="J869" t="str">
            <v>男</v>
          </cell>
          <cell r="K869" t="str">
            <v>正式</v>
          </cell>
          <cell r="L869" t="str">
            <v>内部员工</v>
          </cell>
          <cell r="M869" t="str">
            <v>黄芳</v>
          </cell>
        </row>
        <row r="870">
          <cell r="A870" t="str">
            <v>颜超</v>
          </cell>
          <cell r="B870" t="str">
            <v>00118</v>
          </cell>
          <cell r="C870" t="str">
            <v>四川时代蜂族营销策划有限公司</v>
          </cell>
          <cell r="D870">
            <v>44279</v>
          </cell>
          <cell r="E870" t="str">
            <v>西南总部</v>
          </cell>
          <cell r="F870" t="str">
            <v>西南拓展中心</v>
          </cell>
          <cell r="G870" t="str">
            <v>川北</v>
          </cell>
        </row>
        <row r="870">
          <cell r="I870" t="str">
            <v>三星拓展专员</v>
          </cell>
          <cell r="J870" t="str">
            <v>男</v>
          </cell>
          <cell r="K870" t="str">
            <v>正式</v>
          </cell>
          <cell r="L870" t="str">
            <v>内部员工</v>
          </cell>
          <cell r="M870" t="str">
            <v>蒋婉萍</v>
          </cell>
        </row>
        <row r="871">
          <cell r="A871" t="str">
            <v>刘亮</v>
          </cell>
          <cell r="B871" t="str">
            <v>00117</v>
          </cell>
          <cell r="C871" t="str">
            <v>四川时代蜂族营销策划有限公司</v>
          </cell>
          <cell r="D871">
            <v>44272</v>
          </cell>
          <cell r="E871" t="str">
            <v>西南总部</v>
          </cell>
          <cell r="F871" t="str">
            <v>西南营销中心</v>
          </cell>
          <cell r="G871" t="str">
            <v>营业四部</v>
          </cell>
        </row>
        <row r="871">
          <cell r="I871" t="str">
            <v>部长</v>
          </cell>
          <cell r="J871" t="str">
            <v>男</v>
          </cell>
          <cell r="K871" t="str">
            <v>正式</v>
          </cell>
          <cell r="L871" t="str">
            <v>内部员工</v>
          </cell>
          <cell r="M871" t="str">
            <v>欧松林</v>
          </cell>
        </row>
        <row r="872">
          <cell r="A872" t="str">
            <v>党虹</v>
          </cell>
          <cell r="B872" t="str">
            <v>00113</v>
          </cell>
          <cell r="C872" t="str">
            <v>四川时代蜂族营销策划有限公司</v>
          </cell>
          <cell r="D872">
            <v>44264</v>
          </cell>
          <cell r="E872" t="str">
            <v>西南总部</v>
          </cell>
          <cell r="F872" t="str">
            <v>西南营销中心</v>
          </cell>
          <cell r="G872" t="str">
            <v>营业六部</v>
          </cell>
        </row>
        <row r="872">
          <cell r="I872" t="str">
            <v>一星正式经理</v>
          </cell>
          <cell r="J872" t="str">
            <v>女</v>
          </cell>
          <cell r="K872" t="str">
            <v>正式</v>
          </cell>
          <cell r="L872" t="str">
            <v>内部员工</v>
          </cell>
          <cell r="M872" t="str">
            <v>毛富林</v>
          </cell>
        </row>
        <row r="873">
          <cell r="A873" t="str">
            <v>李娜</v>
          </cell>
          <cell r="B873" t="str">
            <v>00111</v>
          </cell>
          <cell r="C873" t="str">
            <v>四川金巴牛网络科技有限公司</v>
          </cell>
          <cell r="D873">
            <v>44254</v>
          </cell>
          <cell r="E873" t="str">
            <v>西南总部</v>
          </cell>
          <cell r="F873" t="str">
            <v>西南营销中心</v>
          </cell>
          <cell r="G873" t="str">
            <v>营业六部</v>
          </cell>
          <cell r="H873" t="str">
            <v>袁华</v>
          </cell>
          <cell r="I873" t="str">
            <v>三星销售顾问</v>
          </cell>
          <cell r="J873" t="str">
            <v>女</v>
          </cell>
          <cell r="K873" t="str">
            <v>正式</v>
          </cell>
          <cell r="L873" t="str">
            <v>内部员工</v>
          </cell>
          <cell r="M873" t="str">
            <v>袁华</v>
          </cell>
        </row>
        <row r="874">
          <cell r="A874" t="str">
            <v>丁伟</v>
          </cell>
          <cell r="B874" t="str">
            <v>00106</v>
          </cell>
          <cell r="C874" t="str">
            <v>湖北蜜蜂族房地产经纪有限公司</v>
          </cell>
          <cell r="D874">
            <v>44250</v>
          </cell>
          <cell r="E874" t="str">
            <v>湖北</v>
          </cell>
          <cell r="F874" t="str">
            <v>湖北营销中心</v>
          </cell>
          <cell r="G874" t="str">
            <v>湖北1部</v>
          </cell>
          <cell r="H874" t="str">
            <v>秦娅玲</v>
          </cell>
          <cell r="I874" t="str">
            <v>三星销售顾问</v>
          </cell>
          <cell r="J874" t="str">
            <v>男</v>
          </cell>
          <cell r="K874" t="str">
            <v>正式</v>
          </cell>
          <cell r="L874" t="str">
            <v>内部员工</v>
          </cell>
          <cell r="M874" t="str">
            <v>秦娅玲</v>
          </cell>
        </row>
        <row r="875">
          <cell r="A875" t="str">
            <v>雷金梅</v>
          </cell>
          <cell r="B875" t="str">
            <v>00101</v>
          </cell>
          <cell r="C875" t="str">
            <v>四川时代蜂族营销策划有限公司</v>
          </cell>
          <cell r="D875">
            <v>44218</v>
          </cell>
          <cell r="E875" t="str">
            <v>集团职能</v>
          </cell>
          <cell r="F875" t="str">
            <v>职能营销</v>
          </cell>
          <cell r="G875" t="str">
            <v>督导部</v>
          </cell>
        </row>
        <row r="875">
          <cell r="I875" t="str">
            <v>二星销售政委</v>
          </cell>
          <cell r="J875" t="str">
            <v>女</v>
          </cell>
          <cell r="K875" t="str">
            <v>正式</v>
          </cell>
          <cell r="L875" t="str">
            <v>内部员工</v>
          </cell>
          <cell r="M875" t="str">
            <v>刘盼</v>
          </cell>
        </row>
        <row r="876">
          <cell r="A876" t="str">
            <v>王超飞</v>
          </cell>
          <cell r="B876" t="str">
            <v>00094</v>
          </cell>
          <cell r="C876" t="str">
            <v>杭州蜂族时代网络科技有限公司</v>
          </cell>
          <cell r="D876">
            <v>44175</v>
          </cell>
          <cell r="E876" t="str">
            <v>湖南</v>
          </cell>
          <cell r="F876" t="str">
            <v>湖南办公室</v>
          </cell>
        </row>
        <row r="876">
          <cell r="I876" t="str">
            <v>分公司总经理</v>
          </cell>
          <cell r="J876" t="str">
            <v>男</v>
          </cell>
          <cell r="K876" t="str">
            <v>正式</v>
          </cell>
          <cell r="L876" t="str">
            <v>内部员工</v>
          </cell>
          <cell r="M876" t="str">
            <v>黄芳</v>
          </cell>
        </row>
        <row r="877">
          <cell r="A877" t="str">
            <v>税锐</v>
          </cell>
          <cell r="B877" t="str">
            <v>00092</v>
          </cell>
          <cell r="C877" t="str">
            <v>四川时代蜂族营销策划有限公司</v>
          </cell>
          <cell r="D877">
            <v>44158</v>
          </cell>
          <cell r="E877" t="str">
            <v>西南总部</v>
          </cell>
          <cell r="F877" t="str">
            <v>西南营销中心</v>
          </cell>
          <cell r="G877" t="str">
            <v>营业六部</v>
          </cell>
        </row>
        <row r="877">
          <cell r="I877" t="str">
            <v>二星实习经理</v>
          </cell>
          <cell r="J877" t="str">
            <v>男</v>
          </cell>
          <cell r="K877" t="str">
            <v>正式</v>
          </cell>
          <cell r="L877" t="str">
            <v>内部员工</v>
          </cell>
          <cell r="M877" t="str">
            <v>毛富林</v>
          </cell>
        </row>
        <row r="878">
          <cell r="A878" t="str">
            <v>李丝丝</v>
          </cell>
          <cell r="B878" t="str">
            <v>00090</v>
          </cell>
          <cell r="C878" t="str">
            <v>陕西蜂族科技有限公司</v>
          </cell>
          <cell r="D878">
            <v>44153</v>
          </cell>
          <cell r="E878" t="str">
            <v>陕西</v>
          </cell>
          <cell r="F878" t="str">
            <v>陕西营销中心</v>
          </cell>
          <cell r="G878" t="str">
            <v>陕西1部</v>
          </cell>
        </row>
        <row r="878">
          <cell r="I878" t="str">
            <v>部长</v>
          </cell>
          <cell r="J878" t="str">
            <v>女</v>
          </cell>
          <cell r="K878" t="str">
            <v>正式</v>
          </cell>
          <cell r="L878" t="str">
            <v>内部员工</v>
          </cell>
          <cell r="M878" t="str">
            <v>廖小朋</v>
          </cell>
        </row>
        <row r="879">
          <cell r="A879" t="str">
            <v>毛富林</v>
          </cell>
          <cell r="B879" t="str">
            <v>00087</v>
          </cell>
          <cell r="C879" t="str">
            <v>四川时代蜂族营销策划有限公司</v>
          </cell>
          <cell r="D879">
            <v>44139</v>
          </cell>
          <cell r="E879" t="str">
            <v>西南总部</v>
          </cell>
          <cell r="F879" t="str">
            <v>西南营销中心</v>
          </cell>
          <cell r="G879" t="str">
            <v>营业六部</v>
          </cell>
        </row>
        <row r="879">
          <cell r="I879" t="str">
            <v>部长</v>
          </cell>
          <cell r="J879" t="str">
            <v>男</v>
          </cell>
          <cell r="K879" t="str">
            <v>正式</v>
          </cell>
          <cell r="L879" t="str">
            <v>内部员工</v>
          </cell>
          <cell r="M879" t="str">
            <v>欧松林</v>
          </cell>
        </row>
        <row r="880">
          <cell r="A880" t="str">
            <v>蒋建秋</v>
          </cell>
          <cell r="B880" t="str">
            <v>00080</v>
          </cell>
          <cell r="C880" t="str">
            <v>四川时代蜂族营销策划有限公司</v>
          </cell>
          <cell r="D880">
            <v>44092</v>
          </cell>
          <cell r="E880" t="str">
            <v>集团职能</v>
          </cell>
          <cell r="F880" t="str">
            <v>职能营销</v>
          </cell>
          <cell r="G880" t="str">
            <v>督导部</v>
          </cell>
        </row>
        <row r="880">
          <cell r="I880" t="str">
            <v>二星销售政委</v>
          </cell>
          <cell r="J880" t="str">
            <v>女</v>
          </cell>
          <cell r="K880" t="str">
            <v>正式</v>
          </cell>
          <cell r="L880" t="str">
            <v>内部员工</v>
          </cell>
          <cell r="M880" t="str">
            <v>刘盼</v>
          </cell>
        </row>
        <row r="881">
          <cell r="A881" t="str">
            <v>李耀</v>
          </cell>
          <cell r="B881" t="str">
            <v>00077</v>
          </cell>
          <cell r="C881" t="str">
            <v>陕西蜂族科技有限公司</v>
          </cell>
          <cell r="D881">
            <v>44088</v>
          </cell>
          <cell r="E881" t="str">
            <v>陕西</v>
          </cell>
          <cell r="F881" t="str">
            <v>陕西营销中心</v>
          </cell>
          <cell r="G881" t="str">
            <v>陕西2部</v>
          </cell>
        </row>
        <row r="881">
          <cell r="I881" t="str">
            <v>部长</v>
          </cell>
          <cell r="J881" t="str">
            <v>男</v>
          </cell>
          <cell r="K881" t="str">
            <v>正式</v>
          </cell>
          <cell r="L881" t="str">
            <v>内部员工</v>
          </cell>
          <cell r="M881" t="str">
            <v>廖小朋</v>
          </cell>
        </row>
        <row r="882">
          <cell r="A882" t="str">
            <v>熊桃桃</v>
          </cell>
          <cell r="B882" t="str">
            <v>00075</v>
          </cell>
          <cell r="C882" t="str">
            <v>湖北蜜蜂族房地产经纪有限公司</v>
          </cell>
          <cell r="D882">
            <v>44079</v>
          </cell>
          <cell r="E882" t="str">
            <v>湖北</v>
          </cell>
          <cell r="F882" t="str">
            <v>湖北营销中心</v>
          </cell>
          <cell r="G882" t="str">
            <v>湖北2部</v>
          </cell>
          <cell r="H882" t="str">
            <v>陈晓辉</v>
          </cell>
          <cell r="I882" t="str">
            <v>三星销售顾问</v>
          </cell>
          <cell r="J882" t="str">
            <v>女</v>
          </cell>
          <cell r="K882" t="str">
            <v>正式</v>
          </cell>
          <cell r="L882" t="str">
            <v>内部员工</v>
          </cell>
          <cell r="M882" t="str">
            <v>陈晓辉</v>
          </cell>
        </row>
        <row r="883">
          <cell r="A883" t="str">
            <v>谢文明</v>
          </cell>
          <cell r="B883" t="str">
            <v>00069</v>
          </cell>
          <cell r="C883" t="str">
            <v>辽宁时代蜂族营销策划有限公司</v>
          </cell>
          <cell r="D883">
            <v>44068</v>
          </cell>
          <cell r="E883" t="str">
            <v>辽宁</v>
          </cell>
          <cell r="F883" t="str">
            <v>辽宁营销中心</v>
          </cell>
          <cell r="G883" t="str">
            <v>辽宁销售部</v>
          </cell>
          <cell r="H883" t="str">
            <v>赖慧辽宁</v>
          </cell>
          <cell r="I883" t="str">
            <v>三星销售顾问</v>
          </cell>
          <cell r="J883" t="str">
            <v>男</v>
          </cell>
          <cell r="K883" t="str">
            <v>正式</v>
          </cell>
          <cell r="L883" t="str">
            <v>内部员工</v>
          </cell>
          <cell r="M883" t="str">
            <v>赖慧</v>
          </cell>
        </row>
        <row r="884">
          <cell r="A884" t="str">
            <v>查丹</v>
          </cell>
          <cell r="B884" t="str">
            <v>00068</v>
          </cell>
          <cell r="C884" t="str">
            <v>四川优诺通瑞商贸有限公司</v>
          </cell>
          <cell r="D884">
            <v>44062</v>
          </cell>
          <cell r="E884" t="str">
            <v>集团职能</v>
          </cell>
          <cell r="F884" t="str">
            <v>职能总部</v>
          </cell>
          <cell r="G884" t="str">
            <v>业绩增长部</v>
          </cell>
        </row>
        <row r="884">
          <cell r="I884" t="str">
            <v>拓展BP</v>
          </cell>
          <cell r="J884" t="str">
            <v>女</v>
          </cell>
          <cell r="K884" t="str">
            <v>正式</v>
          </cell>
          <cell r="L884" t="str">
            <v>内部员工</v>
          </cell>
          <cell r="M884" t="str">
            <v>梁霞</v>
          </cell>
        </row>
        <row r="885">
          <cell r="A885" t="str">
            <v>李丹</v>
          </cell>
          <cell r="B885" t="str">
            <v>00067</v>
          </cell>
          <cell r="C885" t="str">
            <v>山东时代蜂族营销策划有限公司</v>
          </cell>
          <cell r="D885">
            <v>44054</v>
          </cell>
          <cell r="E885" t="str">
            <v>山东</v>
          </cell>
          <cell r="F885" t="str">
            <v>山东办公室</v>
          </cell>
        </row>
        <row r="885">
          <cell r="I885" t="str">
            <v>分公司总经理</v>
          </cell>
          <cell r="J885" t="str">
            <v>女</v>
          </cell>
          <cell r="K885" t="str">
            <v>正式</v>
          </cell>
          <cell r="L885" t="str">
            <v>内部员工</v>
          </cell>
          <cell r="M885" t="str">
            <v>黄芳</v>
          </cell>
        </row>
        <row r="886">
          <cell r="A886" t="str">
            <v>刘科</v>
          </cell>
          <cell r="B886" t="str">
            <v>00065</v>
          </cell>
          <cell r="C886" t="str">
            <v>山西时代蜂族房地产经纪有限公司</v>
          </cell>
          <cell r="D886">
            <v>44048</v>
          </cell>
          <cell r="E886" t="str">
            <v>山西</v>
          </cell>
          <cell r="F886" t="str">
            <v>山西拓展部</v>
          </cell>
        </row>
        <row r="886">
          <cell r="I886" t="str">
            <v>一星拓展专员</v>
          </cell>
          <cell r="J886" t="str">
            <v>男</v>
          </cell>
          <cell r="K886" t="str">
            <v>正式</v>
          </cell>
          <cell r="L886" t="str">
            <v>内部员工</v>
          </cell>
          <cell r="M886" t="str">
            <v>吴川江</v>
          </cell>
        </row>
        <row r="887">
          <cell r="A887" t="str">
            <v>柏刚</v>
          </cell>
          <cell r="B887" t="str">
            <v>00060</v>
          </cell>
          <cell r="C887" t="str">
            <v>四川时代蜂族营销策划有限公司</v>
          </cell>
          <cell r="D887">
            <v>44033</v>
          </cell>
          <cell r="E887" t="str">
            <v>西南总部</v>
          </cell>
          <cell r="F887" t="str">
            <v>西南营销中心</v>
          </cell>
          <cell r="G887" t="str">
            <v>营业二部</v>
          </cell>
        </row>
        <row r="887">
          <cell r="I887" t="str">
            <v>部长</v>
          </cell>
          <cell r="J887" t="str">
            <v>男</v>
          </cell>
          <cell r="K887" t="str">
            <v>正式</v>
          </cell>
          <cell r="L887" t="str">
            <v>内部员工</v>
          </cell>
          <cell r="M887" t="str">
            <v>欧松林</v>
          </cell>
        </row>
        <row r="888">
          <cell r="A888" t="str">
            <v>黄勇刚</v>
          </cell>
          <cell r="B888" t="str">
            <v>00058</v>
          </cell>
          <cell r="C888" t="str">
            <v>湖南时代蜂族营销策划有限公司</v>
          </cell>
          <cell r="D888">
            <v>44023</v>
          </cell>
          <cell r="E888" t="str">
            <v>湖南</v>
          </cell>
          <cell r="F888" t="str">
            <v>湖南营销中心</v>
          </cell>
          <cell r="G888" t="str">
            <v>湖南销售部</v>
          </cell>
        </row>
        <row r="888">
          <cell r="I888" t="str">
            <v>一星正式经理</v>
          </cell>
          <cell r="J888" t="str">
            <v>男</v>
          </cell>
          <cell r="K888" t="str">
            <v>正式</v>
          </cell>
          <cell r="L888" t="str">
            <v>内部员工</v>
          </cell>
          <cell r="M888" t="str">
            <v>刘进</v>
          </cell>
        </row>
        <row r="889">
          <cell r="A889" t="str">
            <v>聂仕平</v>
          </cell>
          <cell r="B889" t="str">
            <v>00057</v>
          </cell>
          <cell r="C889" t="str">
            <v>辽宁时代蜂族营销策划有限公司</v>
          </cell>
          <cell r="D889">
            <v>44019</v>
          </cell>
          <cell r="E889" t="str">
            <v>辽宁</v>
          </cell>
          <cell r="F889" t="str">
            <v>辽宁办公室</v>
          </cell>
        </row>
        <row r="889">
          <cell r="I889" t="str">
            <v>分公司总经理</v>
          </cell>
          <cell r="J889" t="str">
            <v>男</v>
          </cell>
          <cell r="K889" t="str">
            <v>正式</v>
          </cell>
          <cell r="L889" t="str">
            <v>内部员工</v>
          </cell>
          <cell r="M889" t="str">
            <v>黄芳</v>
          </cell>
        </row>
        <row r="890">
          <cell r="A890" t="str">
            <v>王天成</v>
          </cell>
          <cell r="B890" t="str">
            <v>00052</v>
          </cell>
          <cell r="C890" t="str">
            <v>陕西蜂族科技有限公司</v>
          </cell>
          <cell r="D890">
            <v>44012</v>
          </cell>
          <cell r="E890" t="str">
            <v>陕西</v>
          </cell>
          <cell r="F890" t="str">
            <v>陕西营销中心</v>
          </cell>
          <cell r="G890" t="str">
            <v>陕西2部</v>
          </cell>
        </row>
        <row r="890">
          <cell r="I890" t="str">
            <v>二星实习经理</v>
          </cell>
          <cell r="J890" t="str">
            <v>男</v>
          </cell>
          <cell r="K890" t="str">
            <v>正式</v>
          </cell>
          <cell r="L890" t="str">
            <v>内部员工</v>
          </cell>
          <cell r="M890" t="str">
            <v>李耀</v>
          </cell>
        </row>
        <row r="891">
          <cell r="A891" t="str">
            <v>刘进</v>
          </cell>
          <cell r="B891" t="str">
            <v>00050</v>
          </cell>
          <cell r="C891" t="str">
            <v>湖南时代蜂族营销策划有限公司</v>
          </cell>
          <cell r="D891">
            <v>43997</v>
          </cell>
          <cell r="E891" t="str">
            <v>湖南</v>
          </cell>
          <cell r="F891" t="str">
            <v>湖南营销中心</v>
          </cell>
          <cell r="G891" t="str">
            <v>湖南销售部</v>
          </cell>
        </row>
        <row r="891">
          <cell r="I891" t="str">
            <v>分公司副总经理</v>
          </cell>
          <cell r="J891" t="str">
            <v>男</v>
          </cell>
          <cell r="K891" t="str">
            <v>正式</v>
          </cell>
          <cell r="L891" t="str">
            <v>内部员工</v>
          </cell>
          <cell r="M891" t="str">
            <v>王超飞</v>
          </cell>
        </row>
        <row r="892">
          <cell r="A892" t="str">
            <v>向润</v>
          </cell>
          <cell r="B892" t="str">
            <v>00315</v>
          </cell>
          <cell r="C892" t="str">
            <v>山东时代蜂族营销策划有限公司</v>
          </cell>
          <cell r="D892">
            <v>43974</v>
          </cell>
          <cell r="E892" t="str">
            <v>山东</v>
          </cell>
          <cell r="F892" t="str">
            <v>山东办公室</v>
          </cell>
        </row>
        <row r="892">
          <cell r="I892" t="str">
            <v>区域拓展总监</v>
          </cell>
          <cell r="J892" t="str">
            <v>男</v>
          </cell>
          <cell r="K892" t="str">
            <v>正式</v>
          </cell>
          <cell r="L892" t="str">
            <v>内部员工</v>
          </cell>
          <cell r="M892" t="str">
            <v>李丹</v>
          </cell>
        </row>
        <row r="893">
          <cell r="A893" t="str">
            <v>杨滔</v>
          </cell>
          <cell r="B893" t="str">
            <v>00034</v>
          </cell>
          <cell r="C893" t="str">
            <v>四川金巴牛网络科技有限公司</v>
          </cell>
          <cell r="D893">
            <v>43948</v>
          </cell>
          <cell r="E893" t="str">
            <v>集团职能</v>
          </cell>
          <cell r="F893" t="str">
            <v>职能总部</v>
          </cell>
          <cell r="G893" t="str">
            <v>技术部</v>
          </cell>
        </row>
        <row r="893">
          <cell r="I893" t="str">
            <v>JAVA工程师</v>
          </cell>
          <cell r="J893" t="str">
            <v>男</v>
          </cell>
          <cell r="K893" t="str">
            <v>正式</v>
          </cell>
          <cell r="L893" t="str">
            <v>内部员工</v>
          </cell>
          <cell r="M893" t="str">
            <v>张亚东</v>
          </cell>
        </row>
        <row r="894">
          <cell r="A894" t="str">
            <v>许钊</v>
          </cell>
          <cell r="B894" t="str">
            <v>00032</v>
          </cell>
          <cell r="C894" t="str">
            <v>四川蜂起营销策划有限公司</v>
          </cell>
          <cell r="D894">
            <v>43910</v>
          </cell>
          <cell r="E894" t="str">
            <v>安徽</v>
          </cell>
          <cell r="F894" t="str">
            <v>安徽办公室</v>
          </cell>
        </row>
        <row r="894">
          <cell r="I894" t="str">
            <v>分公司总经理</v>
          </cell>
          <cell r="J894" t="str">
            <v>男</v>
          </cell>
          <cell r="K894" t="str">
            <v>正式</v>
          </cell>
          <cell r="L894" t="str">
            <v>内部员工</v>
          </cell>
          <cell r="M894" t="str">
            <v>黄芳</v>
          </cell>
        </row>
        <row r="895">
          <cell r="A895" t="str">
            <v>赖慧</v>
          </cell>
          <cell r="B895" t="str">
            <v>00016</v>
          </cell>
          <cell r="C895" t="str">
            <v>四川时代蜂族营销策划有限公司</v>
          </cell>
          <cell r="D895">
            <v>43904</v>
          </cell>
          <cell r="E895" t="str">
            <v>辽宁</v>
          </cell>
          <cell r="F895" t="str">
            <v>辽宁办公室</v>
          </cell>
        </row>
        <row r="895">
          <cell r="I895" t="str">
            <v>分公司副总经理</v>
          </cell>
          <cell r="J895" t="str">
            <v>女</v>
          </cell>
          <cell r="K895" t="str">
            <v>正式</v>
          </cell>
          <cell r="L895" t="str">
            <v>内部员工</v>
          </cell>
          <cell r="M895" t="str">
            <v>聂仕平</v>
          </cell>
        </row>
        <row r="896">
          <cell r="A896" t="str">
            <v>刘辉</v>
          </cell>
          <cell r="B896" t="str">
            <v>00015</v>
          </cell>
          <cell r="C896" t="str">
            <v>山西时代蜂族房地产经纪有限公司</v>
          </cell>
          <cell r="D896">
            <v>43904</v>
          </cell>
          <cell r="E896" t="str">
            <v>山西</v>
          </cell>
          <cell r="F896" t="str">
            <v>山西办公室</v>
          </cell>
        </row>
        <row r="896">
          <cell r="I896" t="str">
            <v>分公司副总经理</v>
          </cell>
          <cell r="J896" t="str">
            <v>男</v>
          </cell>
          <cell r="K896" t="str">
            <v>正式</v>
          </cell>
          <cell r="L896" t="str">
            <v>内部员工</v>
          </cell>
          <cell r="M896" t="str">
            <v>吴川江</v>
          </cell>
        </row>
        <row r="897">
          <cell r="A897" t="str">
            <v>刘超</v>
          </cell>
          <cell r="B897" t="str">
            <v>00029</v>
          </cell>
          <cell r="C897" t="str">
            <v>四川时代蜂族营销策划有限公司</v>
          </cell>
          <cell r="D897">
            <v>43833</v>
          </cell>
          <cell r="E897" t="str">
            <v>西南总部</v>
          </cell>
          <cell r="F897" t="str">
            <v>西南拓展中心</v>
          </cell>
          <cell r="G897" t="str">
            <v>川东</v>
          </cell>
        </row>
        <row r="897">
          <cell r="I897" t="str">
            <v>区域拓展总监</v>
          </cell>
          <cell r="J897" t="str">
            <v>男</v>
          </cell>
          <cell r="K897" t="str">
            <v>正式</v>
          </cell>
          <cell r="L897" t="str">
            <v>内部员工</v>
          </cell>
          <cell r="M897" t="str">
            <v>刘文宇</v>
          </cell>
        </row>
        <row r="898">
          <cell r="A898" t="str">
            <v>黄磊</v>
          </cell>
          <cell r="B898" t="str">
            <v>00014</v>
          </cell>
          <cell r="C898" t="str">
            <v>四川时代蜂族营销策划有限公司</v>
          </cell>
          <cell r="D898">
            <v>43831</v>
          </cell>
          <cell r="E898" t="str">
            <v>西南总部</v>
          </cell>
          <cell r="F898" t="str">
            <v>西南营销中心</v>
          </cell>
          <cell r="G898" t="str">
            <v>营业二部</v>
          </cell>
        </row>
        <row r="898">
          <cell r="I898" t="str">
            <v>三星正式经理</v>
          </cell>
          <cell r="J898" t="str">
            <v>男</v>
          </cell>
          <cell r="K898" t="str">
            <v>正式</v>
          </cell>
          <cell r="L898" t="str">
            <v>内部员工</v>
          </cell>
          <cell r="M898" t="str">
            <v>柏刚</v>
          </cell>
        </row>
        <row r="899">
          <cell r="A899" t="str">
            <v>刘盼</v>
          </cell>
          <cell r="B899" t="str">
            <v>00036</v>
          </cell>
          <cell r="C899" t="str">
            <v>四川优诺通瑞商贸有限公司</v>
          </cell>
          <cell r="D899">
            <v>43800</v>
          </cell>
          <cell r="E899" t="str">
            <v>西南总部</v>
          </cell>
          <cell r="F899" t="str">
            <v>西南营销中心</v>
          </cell>
          <cell r="G899" t="str">
            <v>营业三部</v>
          </cell>
          <cell r="H899" t="str">
            <v>姚瑶</v>
          </cell>
          <cell r="I899" t="str">
            <v>督导</v>
          </cell>
          <cell r="J899" t="str">
            <v>女</v>
          </cell>
          <cell r="K899" t="str">
            <v>正式</v>
          </cell>
          <cell r="L899" t="str">
            <v>内部员工</v>
          </cell>
          <cell r="M899" t="str">
            <v>姚瑶</v>
          </cell>
        </row>
        <row r="900">
          <cell r="A900" t="str">
            <v>杨科</v>
          </cell>
          <cell r="B900" t="str">
            <v>00012</v>
          </cell>
          <cell r="C900" t="str">
            <v>四川时代蜂族营销策划有限公司</v>
          </cell>
          <cell r="D900">
            <v>43757</v>
          </cell>
          <cell r="E900" t="str">
            <v>西南总部</v>
          </cell>
          <cell r="F900" t="str">
            <v>西南营销中心</v>
          </cell>
          <cell r="G900" t="str">
            <v>营业五部</v>
          </cell>
        </row>
        <row r="900">
          <cell r="I900" t="str">
            <v>二星正式经理</v>
          </cell>
          <cell r="J900" t="str">
            <v>男</v>
          </cell>
          <cell r="K900" t="str">
            <v>正式</v>
          </cell>
          <cell r="L900" t="str">
            <v>内部员工</v>
          </cell>
          <cell r="M900" t="str">
            <v>叶鑫</v>
          </cell>
        </row>
        <row r="901">
          <cell r="A901" t="str">
            <v>毛孝树</v>
          </cell>
          <cell r="B901" t="str">
            <v>00010</v>
          </cell>
          <cell r="C901" t="str">
            <v>河南蜜蜂族营销策划有限公司</v>
          </cell>
          <cell r="D901">
            <v>43743</v>
          </cell>
          <cell r="E901" t="str">
            <v>河南</v>
          </cell>
          <cell r="F901" t="str">
            <v>河南办公室</v>
          </cell>
        </row>
        <row r="901">
          <cell r="I901" t="str">
            <v>分公司副总经理</v>
          </cell>
          <cell r="J901" t="str">
            <v>男</v>
          </cell>
          <cell r="K901" t="str">
            <v>正式</v>
          </cell>
          <cell r="L901" t="str">
            <v>内部员工</v>
          </cell>
          <cell r="M901" t="str">
            <v>廖静</v>
          </cell>
        </row>
        <row r="902">
          <cell r="A902" t="str">
            <v>雷小金</v>
          </cell>
          <cell r="B902" t="str">
            <v>00011</v>
          </cell>
          <cell r="C902" t="str">
            <v>四川时代蜂族营销策划有限公司</v>
          </cell>
          <cell r="D902">
            <v>43743</v>
          </cell>
          <cell r="E902" t="str">
            <v>西南总部</v>
          </cell>
          <cell r="F902" t="str">
            <v>西南营销中心</v>
          </cell>
          <cell r="G902" t="str">
            <v>营业一部</v>
          </cell>
        </row>
        <row r="902">
          <cell r="I902" t="str">
            <v>部长</v>
          </cell>
          <cell r="J902" t="str">
            <v>男</v>
          </cell>
          <cell r="K902" t="str">
            <v>正式</v>
          </cell>
          <cell r="L902" t="str">
            <v>内部员工</v>
          </cell>
          <cell r="M902" t="str">
            <v>欧松林</v>
          </cell>
        </row>
        <row r="903">
          <cell r="A903" t="str">
            <v>张冀</v>
          </cell>
          <cell r="B903" t="str">
            <v>00039</v>
          </cell>
          <cell r="C903" t="str">
            <v>河北时代蜂族营销策划有限公司</v>
          </cell>
          <cell r="D903">
            <v>43721</v>
          </cell>
          <cell r="E903" t="str">
            <v>河北</v>
          </cell>
          <cell r="F903" t="str">
            <v>河北办公室</v>
          </cell>
        </row>
        <row r="903">
          <cell r="I903" t="str">
            <v>分公司总经理</v>
          </cell>
          <cell r="J903" t="str">
            <v>男</v>
          </cell>
          <cell r="K903" t="str">
            <v>正式</v>
          </cell>
          <cell r="L903" t="str">
            <v>内部员工</v>
          </cell>
          <cell r="M903" t="str">
            <v>黄芳</v>
          </cell>
        </row>
        <row r="904">
          <cell r="A904" t="str">
            <v>廖静</v>
          </cell>
          <cell r="B904" t="str">
            <v>00040</v>
          </cell>
          <cell r="C904" t="str">
            <v>四川时代蜂族营销策划有限公司</v>
          </cell>
          <cell r="D904">
            <v>43692</v>
          </cell>
          <cell r="E904" t="str">
            <v>河南</v>
          </cell>
          <cell r="F904" t="str">
            <v>河南办公室</v>
          </cell>
        </row>
        <row r="904">
          <cell r="I904" t="str">
            <v>分公司总经理</v>
          </cell>
          <cell r="J904" t="str">
            <v>男</v>
          </cell>
          <cell r="K904" t="str">
            <v>正式</v>
          </cell>
          <cell r="L904" t="str">
            <v>内部员工</v>
          </cell>
          <cell r="M904" t="str">
            <v>黄芳</v>
          </cell>
        </row>
        <row r="905">
          <cell r="A905" t="str">
            <v>廖小朋</v>
          </cell>
          <cell r="B905" t="str">
            <v>00009</v>
          </cell>
          <cell r="C905" t="str">
            <v>陕西蜂族科技有限公司</v>
          </cell>
          <cell r="D905">
            <v>43602</v>
          </cell>
          <cell r="E905" t="str">
            <v>陕西</v>
          </cell>
          <cell r="F905" t="str">
            <v>陕西办公室</v>
          </cell>
        </row>
        <row r="905">
          <cell r="I905" t="str">
            <v>分公司总经理</v>
          </cell>
          <cell r="J905" t="str">
            <v>男</v>
          </cell>
          <cell r="K905" t="str">
            <v>正式</v>
          </cell>
          <cell r="L905" t="str">
            <v>内部员工</v>
          </cell>
          <cell r="M905" t="str">
            <v>黄芳</v>
          </cell>
        </row>
        <row r="906">
          <cell r="A906" t="str">
            <v>李港一</v>
          </cell>
          <cell r="B906" t="str">
            <v>00008</v>
          </cell>
          <cell r="C906" t="str">
            <v>河北时代蜂族营销策划有限公司</v>
          </cell>
          <cell r="D906">
            <v>43598</v>
          </cell>
          <cell r="E906" t="str">
            <v>河北</v>
          </cell>
          <cell r="F906" t="str">
            <v>河北办公室</v>
          </cell>
        </row>
        <row r="906">
          <cell r="I906" t="str">
            <v>分公司副总经理</v>
          </cell>
          <cell r="J906" t="str">
            <v>男</v>
          </cell>
          <cell r="K906" t="str">
            <v>正式</v>
          </cell>
          <cell r="L906" t="str">
            <v>内部员工</v>
          </cell>
          <cell r="M906" t="str">
            <v>张冀</v>
          </cell>
        </row>
        <row r="907">
          <cell r="A907" t="str">
            <v>庄素芳</v>
          </cell>
          <cell r="B907" t="str">
            <v>00006</v>
          </cell>
          <cell r="C907" t="str">
            <v>四川时代蜂族营销策划有限公司</v>
          </cell>
          <cell r="D907">
            <v>43572</v>
          </cell>
          <cell r="E907" t="str">
            <v>湖南</v>
          </cell>
          <cell r="F907" t="str">
            <v>湖南营销中心</v>
          </cell>
          <cell r="G907" t="str">
            <v>湖南销售部</v>
          </cell>
        </row>
        <row r="907">
          <cell r="I907" t="str">
            <v>一星正式经理</v>
          </cell>
          <cell r="J907" t="str">
            <v>女</v>
          </cell>
          <cell r="K907" t="str">
            <v>正式</v>
          </cell>
          <cell r="L907" t="str">
            <v>内部员工</v>
          </cell>
          <cell r="M907" t="str">
            <v>刘进</v>
          </cell>
        </row>
        <row r="908">
          <cell r="A908" t="str">
            <v>李旭</v>
          </cell>
          <cell r="B908" t="str">
            <v>00035</v>
          </cell>
          <cell r="C908" t="str">
            <v>四川蜂起营销策划有限公司</v>
          </cell>
          <cell r="D908">
            <v>43570</v>
          </cell>
          <cell r="E908" t="str">
            <v>集团职能</v>
          </cell>
          <cell r="F908" t="str">
            <v>职能营销</v>
          </cell>
          <cell r="G908" t="str">
            <v>设计部</v>
          </cell>
        </row>
        <row r="908">
          <cell r="I908" t="str">
            <v>设计主管</v>
          </cell>
          <cell r="J908" t="str">
            <v>男</v>
          </cell>
          <cell r="K908" t="str">
            <v>正式</v>
          </cell>
          <cell r="L908" t="str">
            <v>内部员工</v>
          </cell>
          <cell r="M908" t="str">
            <v>欧松林</v>
          </cell>
        </row>
        <row r="909">
          <cell r="A909" t="str">
            <v>陈萍</v>
          </cell>
          <cell r="B909" t="str">
            <v>00037</v>
          </cell>
          <cell r="C909" t="str">
            <v>四川时代蜂族营销策划有限公司</v>
          </cell>
          <cell r="D909">
            <v>43525</v>
          </cell>
          <cell r="E909" t="str">
            <v>集团职能</v>
          </cell>
          <cell r="F909" t="str">
            <v>职能总部</v>
          </cell>
          <cell r="G909" t="str">
            <v>财务部</v>
          </cell>
        </row>
        <row r="909">
          <cell r="I909" t="str">
            <v>财务经理</v>
          </cell>
          <cell r="J909" t="str">
            <v>女</v>
          </cell>
          <cell r="K909" t="str">
            <v>正式</v>
          </cell>
          <cell r="L909" t="str">
            <v>内部员工</v>
          </cell>
          <cell r="M909" t="str">
            <v>黄芳</v>
          </cell>
        </row>
        <row r="910">
          <cell r="A910" t="str">
            <v>何文斌</v>
          </cell>
          <cell r="B910" t="str">
            <v>00033</v>
          </cell>
          <cell r="C910" t="str">
            <v>四川金巴牛网络科技有限公司</v>
          </cell>
          <cell r="D910">
            <v>43525</v>
          </cell>
          <cell r="E910" t="str">
            <v>集团职能</v>
          </cell>
          <cell r="F910" t="str">
            <v>职能总部</v>
          </cell>
          <cell r="G910" t="str">
            <v>财务部</v>
          </cell>
        </row>
        <row r="910">
          <cell r="I910" t="str">
            <v>出纳</v>
          </cell>
          <cell r="J910" t="str">
            <v>男</v>
          </cell>
          <cell r="K910" t="str">
            <v>正式</v>
          </cell>
          <cell r="L910" t="str">
            <v>内部员工</v>
          </cell>
          <cell r="M910" t="str">
            <v>陈萍</v>
          </cell>
        </row>
        <row r="911">
          <cell r="A911" t="str">
            <v>范庚</v>
          </cell>
          <cell r="B911" t="str">
            <v>00004</v>
          </cell>
          <cell r="C911" t="str">
            <v>湖北蜜蜂族房地产经纪有限公司</v>
          </cell>
          <cell r="D911">
            <v>43519</v>
          </cell>
          <cell r="E911" t="str">
            <v>湖北</v>
          </cell>
          <cell r="F911" t="str">
            <v>湖北办公室</v>
          </cell>
        </row>
        <row r="911">
          <cell r="I911" t="str">
            <v>分公司总经理</v>
          </cell>
          <cell r="J911" t="str">
            <v>男</v>
          </cell>
          <cell r="K911" t="str">
            <v>正式</v>
          </cell>
          <cell r="L911" t="str">
            <v>内部员工</v>
          </cell>
          <cell r="M911" t="str">
            <v>黄芳</v>
          </cell>
        </row>
        <row r="912">
          <cell r="A912" t="str">
            <v>黄伟</v>
          </cell>
          <cell r="B912" t="str">
            <v>00043</v>
          </cell>
          <cell r="C912" t="str">
            <v>四川时代蜂族营销策划有限公司</v>
          </cell>
          <cell r="D912">
            <v>43516</v>
          </cell>
          <cell r="E912" t="str">
            <v>西南总部</v>
          </cell>
          <cell r="F912" t="str">
            <v>西南拓展中心</v>
          </cell>
        </row>
        <row r="912">
          <cell r="I912" t="str">
            <v>分公司总经理</v>
          </cell>
          <cell r="J912" t="str">
            <v>男</v>
          </cell>
          <cell r="K912" t="str">
            <v>正式</v>
          </cell>
          <cell r="L912" t="str">
            <v>内部员工</v>
          </cell>
          <cell r="M912" t="str">
            <v>刘文宇</v>
          </cell>
        </row>
        <row r="913">
          <cell r="A913" t="str">
            <v>黄芳</v>
          </cell>
          <cell r="B913" t="str">
            <v>00001</v>
          </cell>
          <cell r="C913" t="str">
            <v>四川蜜蜂族网络科技有限公司</v>
          </cell>
          <cell r="D913">
            <v>43466</v>
          </cell>
          <cell r="E913" t="str">
            <v>集团职能</v>
          </cell>
          <cell r="F913" t="str">
            <v>职能总部</v>
          </cell>
          <cell r="G913" t="str">
            <v>总经办</v>
          </cell>
        </row>
        <row r="913">
          <cell r="I913" t="str">
            <v>总经理</v>
          </cell>
          <cell r="J913" t="str">
            <v>女</v>
          </cell>
          <cell r="K913" t="str">
            <v>正式</v>
          </cell>
          <cell r="L913" t="str">
            <v>内部员工</v>
          </cell>
        </row>
        <row r="914">
          <cell r="A914" t="str">
            <v>欧松林</v>
          </cell>
          <cell r="B914" t="str">
            <v>00002</v>
          </cell>
          <cell r="C914" t="str">
            <v>四川时代蜂族营销策划有限公司</v>
          </cell>
          <cell r="D914">
            <v>43466</v>
          </cell>
          <cell r="E914" t="str">
            <v>集团职能</v>
          </cell>
          <cell r="F914" t="str">
            <v>职能总部</v>
          </cell>
          <cell r="G914" t="str">
            <v>总经办</v>
          </cell>
        </row>
        <row r="914">
          <cell r="I914" t="str">
            <v>营销总监</v>
          </cell>
          <cell r="J914" t="str">
            <v>男</v>
          </cell>
          <cell r="K914" t="str">
            <v>正式</v>
          </cell>
          <cell r="L914" t="str">
            <v>内部员工</v>
          </cell>
          <cell r="M914" t="str">
            <v>黄芳</v>
          </cell>
        </row>
        <row r="915">
          <cell r="A915" t="str">
            <v>刘文宇</v>
          </cell>
          <cell r="B915" t="str">
            <v>00003</v>
          </cell>
          <cell r="C915" t="str">
            <v>四川时代蜂族营销策划有限公司</v>
          </cell>
          <cell r="D915">
            <v>43466</v>
          </cell>
          <cell r="E915" t="str">
            <v>集团职能</v>
          </cell>
          <cell r="F915" t="str">
            <v>职能总部</v>
          </cell>
          <cell r="G915" t="str">
            <v>总经办</v>
          </cell>
        </row>
        <row r="915">
          <cell r="I915" t="str">
            <v>风控总监</v>
          </cell>
          <cell r="J915" t="str">
            <v>男</v>
          </cell>
          <cell r="K915" t="str">
            <v>正式</v>
          </cell>
          <cell r="L915" t="str">
            <v>内部员工</v>
          </cell>
          <cell r="M915" t="str">
            <v>黄芳</v>
          </cell>
        </row>
      </sheetData>
      <sheetData sheetId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在职"/>
      <sheetName val="离职"/>
      <sheetName val="Sheet1"/>
    </sheetNames>
    <sheetDataSet>
      <sheetData sheetId="0">
        <row r="1">
          <cell r="A1" t="str">
            <v>姓名</v>
          </cell>
          <cell r="B1" t="str">
            <v>工号</v>
          </cell>
          <cell r="C1" t="str">
            <v>公司</v>
          </cell>
          <cell r="D1" t="str">
            <v>任职入职日期</v>
          </cell>
          <cell r="E1" t="str">
            <v>一级组织</v>
          </cell>
          <cell r="F1" t="str">
            <v>二级组织</v>
          </cell>
          <cell r="G1" t="str">
            <v>三级组织</v>
          </cell>
          <cell r="H1" t="str">
            <v>四级组织</v>
          </cell>
          <cell r="I1" t="str">
            <v>职务</v>
          </cell>
        </row>
        <row r="2">
          <cell r="A2" t="str">
            <v>葛川川</v>
          </cell>
          <cell r="B2" t="str">
            <v>00041</v>
          </cell>
          <cell r="C2" t="str">
            <v>四川时代蜂族营销策划有限公司</v>
          </cell>
          <cell r="D2">
            <v>46094</v>
          </cell>
          <cell r="E2" t="str">
            <v>吉林</v>
          </cell>
          <cell r="F2" t="str">
            <v>吉林拓展部</v>
          </cell>
        </row>
        <row r="2">
          <cell r="I2" t="str">
            <v>区域拓展总监</v>
          </cell>
        </row>
        <row r="3">
          <cell r="A3" t="str">
            <v>孙凯</v>
          </cell>
          <cell r="B3" t="str">
            <v>01977</v>
          </cell>
          <cell r="C3" t="str">
            <v>湖北蜜蜂族房地产经纪有限公司</v>
          </cell>
          <cell r="D3">
            <v>46090</v>
          </cell>
          <cell r="E3" t="str">
            <v>湖北</v>
          </cell>
          <cell r="F3" t="str">
            <v>湖北营销中心</v>
          </cell>
        </row>
        <row r="3">
          <cell r="I3" t="str">
            <v>实习销售</v>
          </cell>
        </row>
        <row r="4">
          <cell r="A4" t="str">
            <v>易成</v>
          </cell>
          <cell r="B4" t="str">
            <v>01976</v>
          </cell>
          <cell r="C4" t="str">
            <v>四川时代蜂族营销策划有限公司</v>
          </cell>
          <cell r="D4">
            <v>46090</v>
          </cell>
          <cell r="E4" t="str">
            <v>西南总部</v>
          </cell>
          <cell r="F4" t="str">
            <v>西南营销中心</v>
          </cell>
          <cell r="G4" t="str">
            <v>营业二部</v>
          </cell>
          <cell r="H4" t="str">
            <v>王彬力</v>
          </cell>
          <cell r="I4" t="str">
            <v>实习销售</v>
          </cell>
        </row>
        <row r="5">
          <cell r="A5" t="str">
            <v>杨彭艺</v>
          </cell>
          <cell r="B5" t="str">
            <v>01973</v>
          </cell>
          <cell r="C5" t="str">
            <v>陕西时代蜂族营销策划有限公司</v>
          </cell>
          <cell r="D5">
            <v>46089</v>
          </cell>
          <cell r="E5" t="str">
            <v>陕西</v>
          </cell>
          <cell r="F5" t="str">
            <v>陕西营销中心</v>
          </cell>
          <cell r="G5" t="str">
            <v>陕西1部</v>
          </cell>
          <cell r="H5" t="str">
            <v>吕瑞仙</v>
          </cell>
          <cell r="I5" t="str">
            <v>实习销售</v>
          </cell>
        </row>
        <row r="6">
          <cell r="A6" t="str">
            <v>赵旭升</v>
          </cell>
          <cell r="B6" t="str">
            <v>01962</v>
          </cell>
          <cell r="C6" t="str">
            <v>河北时代蜂族营销策划有限公司</v>
          </cell>
          <cell r="D6">
            <v>46088</v>
          </cell>
          <cell r="E6" t="str">
            <v>河北</v>
          </cell>
          <cell r="F6" t="str">
            <v>河北营销中心</v>
          </cell>
          <cell r="G6" t="str">
            <v>河北销售部</v>
          </cell>
          <cell r="H6" t="str">
            <v>陈东2河北</v>
          </cell>
          <cell r="I6" t="str">
            <v>实习销售</v>
          </cell>
        </row>
        <row r="7">
          <cell r="A7" t="str">
            <v>贾小杨</v>
          </cell>
          <cell r="B7" t="str">
            <v>01970</v>
          </cell>
          <cell r="C7" t="str">
            <v>四川时代蜂族营销策划有限公司</v>
          </cell>
          <cell r="D7">
            <v>46088</v>
          </cell>
          <cell r="E7" t="str">
            <v>西南总部</v>
          </cell>
          <cell r="F7" t="str">
            <v>西南营销中心</v>
          </cell>
          <cell r="G7" t="str">
            <v>营业三部</v>
          </cell>
          <cell r="H7" t="str">
            <v>吴建鑫</v>
          </cell>
          <cell r="I7" t="str">
            <v>实习销售</v>
          </cell>
        </row>
        <row r="8">
          <cell r="A8" t="str">
            <v>刘从伟</v>
          </cell>
          <cell r="B8" t="str">
            <v>01975</v>
          </cell>
          <cell r="C8" t="str">
            <v>四川时代蜂族营销策划有限公司</v>
          </cell>
          <cell r="D8">
            <v>46087</v>
          </cell>
          <cell r="E8" t="str">
            <v>西南总部</v>
          </cell>
          <cell r="F8" t="str">
            <v>西南营销中心</v>
          </cell>
        </row>
        <row r="8">
          <cell r="I8" t="str">
            <v>实习销售</v>
          </cell>
        </row>
        <row r="9">
          <cell r="A9" t="str">
            <v>张宁</v>
          </cell>
          <cell r="B9" t="str">
            <v>01972</v>
          </cell>
          <cell r="C9" t="str">
            <v>四川时代蜂族营销策划有限公司</v>
          </cell>
          <cell r="D9">
            <v>46087</v>
          </cell>
          <cell r="E9" t="str">
            <v>西南总部</v>
          </cell>
          <cell r="F9" t="str">
            <v>西南营销中心</v>
          </cell>
        </row>
        <row r="9">
          <cell r="I9" t="str">
            <v>实习销售</v>
          </cell>
        </row>
        <row r="10">
          <cell r="A10" t="str">
            <v>林超兰</v>
          </cell>
          <cell r="B10" t="str">
            <v>01974</v>
          </cell>
          <cell r="C10" t="str">
            <v>四川时代蜂族营销策划有限公司</v>
          </cell>
          <cell r="D10">
            <v>46087</v>
          </cell>
          <cell r="E10" t="str">
            <v>西南总部</v>
          </cell>
          <cell r="F10" t="str">
            <v>西南营销中心</v>
          </cell>
        </row>
        <row r="10">
          <cell r="I10" t="str">
            <v>实习销售</v>
          </cell>
        </row>
        <row r="11">
          <cell r="A11" t="str">
            <v>谢明森</v>
          </cell>
          <cell r="B11" t="str">
            <v>01967</v>
          </cell>
          <cell r="C11" t="str">
            <v>四川时代蜂族营销策划有限公司</v>
          </cell>
          <cell r="D11">
            <v>46087</v>
          </cell>
          <cell r="E11" t="str">
            <v>西南总部</v>
          </cell>
          <cell r="F11" t="str">
            <v>西南营销中心</v>
          </cell>
        </row>
        <row r="11">
          <cell r="I11" t="str">
            <v>实习销售</v>
          </cell>
        </row>
        <row r="12">
          <cell r="A12" t="str">
            <v>谢立新</v>
          </cell>
          <cell r="B12" t="str">
            <v>01969</v>
          </cell>
          <cell r="C12" t="str">
            <v>四川时代蜂族营销策划有限公司</v>
          </cell>
          <cell r="D12">
            <v>46087</v>
          </cell>
          <cell r="E12" t="str">
            <v>西南总部</v>
          </cell>
          <cell r="F12" t="str">
            <v>西南营销中心</v>
          </cell>
        </row>
        <row r="12">
          <cell r="I12" t="str">
            <v>实习销售</v>
          </cell>
        </row>
        <row r="13">
          <cell r="A13" t="str">
            <v>李熙</v>
          </cell>
          <cell r="B13" t="str">
            <v>01948</v>
          </cell>
          <cell r="C13" t="str">
            <v>四川大礼连连科技有限公司</v>
          </cell>
          <cell r="D13">
            <v>46087</v>
          </cell>
          <cell r="E13" t="str">
            <v>集团职能</v>
          </cell>
          <cell r="F13" t="str">
            <v>职能总部</v>
          </cell>
          <cell r="G13" t="str">
            <v>人资行政部</v>
          </cell>
        </row>
        <row r="13">
          <cell r="I13" t="str">
            <v>行政专员</v>
          </cell>
        </row>
        <row r="14">
          <cell r="A14" t="str">
            <v>杨敏</v>
          </cell>
          <cell r="B14" t="str">
            <v>01968</v>
          </cell>
          <cell r="C14" t="str">
            <v>四川时代蜂族营销策划有限公司</v>
          </cell>
          <cell r="D14">
            <v>46087</v>
          </cell>
          <cell r="E14" t="str">
            <v>西南总部</v>
          </cell>
          <cell r="F14" t="str">
            <v>西南营销中心</v>
          </cell>
        </row>
        <row r="14">
          <cell r="I14" t="str">
            <v>实习销售</v>
          </cell>
        </row>
        <row r="15">
          <cell r="A15" t="str">
            <v>邓发</v>
          </cell>
          <cell r="B15" t="str">
            <v>01966</v>
          </cell>
          <cell r="C15" t="str">
            <v>四川时代蜂族营销策划有限公司</v>
          </cell>
          <cell r="D15">
            <v>46086</v>
          </cell>
          <cell r="E15" t="str">
            <v>西南总部</v>
          </cell>
          <cell r="F15" t="str">
            <v>西南营销中心</v>
          </cell>
          <cell r="G15" t="str">
            <v>营业一部</v>
          </cell>
          <cell r="H15" t="str">
            <v>胡雪梅</v>
          </cell>
          <cell r="I15" t="str">
            <v>实习销售</v>
          </cell>
        </row>
        <row r="16">
          <cell r="A16" t="str">
            <v>苏波</v>
          </cell>
          <cell r="B16" t="str">
            <v>01978</v>
          </cell>
          <cell r="C16" t="str">
            <v>四川时代蜂族营销策划有限公司</v>
          </cell>
          <cell r="D16">
            <v>46086</v>
          </cell>
          <cell r="E16" t="str">
            <v>西南总部</v>
          </cell>
          <cell r="F16" t="str">
            <v>西南营销中心</v>
          </cell>
        </row>
        <row r="16">
          <cell r="I16" t="str">
            <v>实习销售</v>
          </cell>
        </row>
        <row r="17">
          <cell r="A17" t="str">
            <v>陈申茂</v>
          </cell>
          <cell r="B17" t="str">
            <v>00866</v>
          </cell>
          <cell r="C17" t="str">
            <v>河南蜜蜂族营销策划有限公司</v>
          </cell>
          <cell r="D17">
            <v>46086</v>
          </cell>
          <cell r="E17" t="str">
            <v>河南</v>
          </cell>
          <cell r="F17" t="str">
            <v>河南营销中心</v>
          </cell>
          <cell r="G17" t="str">
            <v>河南销售部</v>
          </cell>
          <cell r="H17" t="str">
            <v>杜雄</v>
          </cell>
          <cell r="I17" t="str">
            <v>实习销售</v>
          </cell>
        </row>
        <row r="18">
          <cell r="A18" t="str">
            <v>张洪佳</v>
          </cell>
          <cell r="B18" t="str">
            <v>01961</v>
          </cell>
          <cell r="C18" t="str">
            <v>辽宁时代蜂族营销策划有限公司</v>
          </cell>
          <cell r="D18">
            <v>46086</v>
          </cell>
          <cell r="E18" t="str">
            <v>辽宁</v>
          </cell>
          <cell r="F18" t="str">
            <v>辽宁营销中心</v>
          </cell>
          <cell r="G18" t="str">
            <v>辽宁销售部</v>
          </cell>
          <cell r="H18" t="str">
            <v>孙科辽宁</v>
          </cell>
          <cell r="I18" t="str">
            <v>实习销售</v>
          </cell>
        </row>
        <row r="19">
          <cell r="A19" t="str">
            <v>邱洋</v>
          </cell>
          <cell r="B19" t="str">
            <v>01965</v>
          </cell>
          <cell r="C19" t="str">
            <v>四川时代蜂族营销策划有限公司</v>
          </cell>
          <cell r="D19">
            <v>46085</v>
          </cell>
          <cell r="E19" t="str">
            <v>西南总部</v>
          </cell>
          <cell r="F19" t="str">
            <v>西南营销中心</v>
          </cell>
          <cell r="G19" t="str">
            <v>营业二部</v>
          </cell>
          <cell r="H19" t="str">
            <v>王彬力</v>
          </cell>
          <cell r="I19" t="str">
            <v>实习销售</v>
          </cell>
        </row>
        <row r="20">
          <cell r="A20" t="str">
            <v>郑肖巧</v>
          </cell>
          <cell r="B20" t="str">
            <v>01960</v>
          </cell>
          <cell r="C20" t="str">
            <v>四川时代蜂族营销策划有限公司</v>
          </cell>
          <cell r="D20">
            <v>46085</v>
          </cell>
          <cell r="E20" t="str">
            <v>西南总部</v>
          </cell>
          <cell r="F20" t="str">
            <v>西南营销中心</v>
          </cell>
          <cell r="G20" t="str">
            <v>营业五部</v>
          </cell>
          <cell r="H20" t="str">
            <v>尹稳</v>
          </cell>
          <cell r="I20" t="str">
            <v>实习销售</v>
          </cell>
        </row>
        <row r="21">
          <cell r="A21" t="str">
            <v>周越</v>
          </cell>
          <cell r="B21" t="str">
            <v>01955</v>
          </cell>
          <cell r="C21" t="str">
            <v>陕西时代蜂族营销策划有限公司</v>
          </cell>
          <cell r="D21">
            <v>46085</v>
          </cell>
          <cell r="E21" t="str">
            <v>陕西</v>
          </cell>
          <cell r="F21" t="str">
            <v>陕西营销中心</v>
          </cell>
          <cell r="G21" t="str">
            <v>陕西1部</v>
          </cell>
          <cell r="H21" t="str">
            <v>叶湑</v>
          </cell>
          <cell r="I21" t="str">
            <v>实习销售</v>
          </cell>
        </row>
        <row r="22">
          <cell r="A22" t="str">
            <v>张海平</v>
          </cell>
          <cell r="B22" t="str">
            <v>01959</v>
          </cell>
          <cell r="C22" t="str">
            <v>四川时代蜂族营销策划有限公司</v>
          </cell>
          <cell r="D22">
            <v>46085</v>
          </cell>
          <cell r="E22" t="str">
            <v>西南总部</v>
          </cell>
          <cell r="F22" t="str">
            <v>西南营销中心</v>
          </cell>
          <cell r="G22" t="str">
            <v>营业七部</v>
          </cell>
          <cell r="H22" t="str">
            <v>彭小琴</v>
          </cell>
          <cell r="I22" t="str">
            <v>实习销售</v>
          </cell>
        </row>
        <row r="23">
          <cell r="A23" t="str">
            <v>蒲佳燕</v>
          </cell>
          <cell r="B23" t="str">
            <v>01963</v>
          </cell>
          <cell r="C23" t="str">
            <v>四川时代蜂族营销策划有限公司</v>
          </cell>
          <cell r="D23">
            <v>46085</v>
          </cell>
          <cell r="E23" t="str">
            <v>西南总部</v>
          </cell>
          <cell r="F23" t="str">
            <v>西南营销中心</v>
          </cell>
        </row>
        <row r="23">
          <cell r="I23" t="str">
            <v>实习销售</v>
          </cell>
        </row>
        <row r="24">
          <cell r="A24" t="str">
            <v>李佳2</v>
          </cell>
          <cell r="B24" t="str">
            <v>01958</v>
          </cell>
          <cell r="C24" t="str">
            <v>四川时代蜂族营销策划有限公司</v>
          </cell>
          <cell r="D24">
            <v>46084</v>
          </cell>
          <cell r="E24" t="str">
            <v>西南总部</v>
          </cell>
          <cell r="F24" t="str">
            <v>西南营销中心</v>
          </cell>
          <cell r="G24" t="str">
            <v>营业七部</v>
          </cell>
          <cell r="H24" t="str">
            <v>彭小琴</v>
          </cell>
          <cell r="I24" t="str">
            <v>实习销售</v>
          </cell>
        </row>
        <row r="25">
          <cell r="A25" t="str">
            <v>张杰</v>
          </cell>
          <cell r="B25" t="str">
            <v>01956</v>
          </cell>
          <cell r="C25" t="str">
            <v>山东时代蜂族营销策划有限公司</v>
          </cell>
          <cell r="D25">
            <v>46084</v>
          </cell>
          <cell r="E25" t="str">
            <v>山东</v>
          </cell>
          <cell r="F25" t="str">
            <v>山东营销中心</v>
          </cell>
          <cell r="G25" t="str">
            <v>山东销售部</v>
          </cell>
          <cell r="H25" t="str">
            <v>肖佳</v>
          </cell>
          <cell r="I25" t="str">
            <v>实习销售</v>
          </cell>
        </row>
        <row r="26">
          <cell r="A26" t="str">
            <v>王奇</v>
          </cell>
          <cell r="B26" t="str">
            <v>01943</v>
          </cell>
          <cell r="C26" t="str">
            <v>陕西时代蜂族营销策划有限公司</v>
          </cell>
          <cell r="D26">
            <v>46084</v>
          </cell>
          <cell r="E26" t="str">
            <v>陕西</v>
          </cell>
          <cell r="F26" t="str">
            <v>陕西营销中心</v>
          </cell>
          <cell r="G26" t="str">
            <v>陕西1部</v>
          </cell>
          <cell r="H26" t="str">
            <v>王超2</v>
          </cell>
          <cell r="I26" t="str">
            <v>实习销售</v>
          </cell>
        </row>
        <row r="27">
          <cell r="A27" t="str">
            <v>李帅2</v>
          </cell>
          <cell r="B27" t="str">
            <v>01953</v>
          </cell>
          <cell r="C27" t="str">
            <v>四川时代蜂族营销策划有限公司</v>
          </cell>
          <cell r="D27">
            <v>46083</v>
          </cell>
          <cell r="E27" t="str">
            <v>西南总部</v>
          </cell>
          <cell r="F27" t="str">
            <v>西南营销中心</v>
          </cell>
          <cell r="G27" t="str">
            <v>营业六部</v>
          </cell>
          <cell r="H27" t="str">
            <v>郑雄</v>
          </cell>
          <cell r="I27" t="str">
            <v>实习销售</v>
          </cell>
        </row>
        <row r="28">
          <cell r="A28" t="str">
            <v>邱卿</v>
          </cell>
          <cell r="B28" t="str">
            <v>01937</v>
          </cell>
          <cell r="C28" t="str">
            <v>四川蜂起营销策划有限公司</v>
          </cell>
          <cell r="D28">
            <v>46083</v>
          </cell>
          <cell r="E28" t="str">
            <v>集团职能</v>
          </cell>
          <cell r="F28" t="str">
            <v>职能总部</v>
          </cell>
          <cell r="G28" t="str">
            <v>人资行政部</v>
          </cell>
        </row>
        <row r="28">
          <cell r="I28" t="str">
            <v>采购专员</v>
          </cell>
        </row>
        <row r="29">
          <cell r="A29" t="str">
            <v>杨婷婷</v>
          </cell>
          <cell r="B29" t="str">
            <v>01945</v>
          </cell>
          <cell r="C29" t="str">
            <v>四川时代蜂族营销策划有限公司</v>
          </cell>
          <cell r="D29">
            <v>46083</v>
          </cell>
          <cell r="E29" t="str">
            <v>西南总部</v>
          </cell>
          <cell r="F29" t="str">
            <v>西南营销中心</v>
          </cell>
          <cell r="G29" t="str">
            <v>营业七部</v>
          </cell>
          <cell r="H29" t="str">
            <v>程新浩</v>
          </cell>
          <cell r="I29" t="str">
            <v>实习销售</v>
          </cell>
        </row>
        <row r="30">
          <cell r="A30" t="str">
            <v>吴海龙</v>
          </cell>
          <cell r="B30" t="str">
            <v>01952</v>
          </cell>
          <cell r="C30" t="str">
            <v>四川时代蜂族营销策划有限公司</v>
          </cell>
          <cell r="D30">
            <v>46083</v>
          </cell>
          <cell r="E30" t="str">
            <v>西南总部</v>
          </cell>
          <cell r="F30" t="str">
            <v>西南营销中心</v>
          </cell>
          <cell r="G30" t="str">
            <v>营业三部</v>
          </cell>
          <cell r="H30" t="str">
            <v>陶再阳</v>
          </cell>
          <cell r="I30" t="str">
            <v>实习销售</v>
          </cell>
        </row>
        <row r="31">
          <cell r="A31" t="str">
            <v>罗成</v>
          </cell>
          <cell r="B31" t="str">
            <v>01971</v>
          </cell>
          <cell r="C31" t="str">
            <v>四川时代蜂族营销策划有限公司</v>
          </cell>
          <cell r="D31">
            <v>46083</v>
          </cell>
          <cell r="E31" t="str">
            <v>西南总部</v>
          </cell>
          <cell r="F31" t="str">
            <v>西南营销中心</v>
          </cell>
        </row>
        <row r="31">
          <cell r="I31" t="str">
            <v>实习销售</v>
          </cell>
        </row>
        <row r="32">
          <cell r="A32" t="str">
            <v>吴玉龙</v>
          </cell>
          <cell r="B32" t="str">
            <v>01964</v>
          </cell>
          <cell r="C32" t="str">
            <v>四川时代蜂族营销策划有限公司</v>
          </cell>
          <cell r="D32">
            <v>46083</v>
          </cell>
          <cell r="E32" t="str">
            <v>西南总部</v>
          </cell>
          <cell r="F32" t="str">
            <v>西南营销中心</v>
          </cell>
          <cell r="G32" t="str">
            <v>营业一部</v>
          </cell>
          <cell r="H32" t="str">
            <v>白世根</v>
          </cell>
          <cell r="I32" t="str">
            <v>实习销售</v>
          </cell>
        </row>
        <row r="33">
          <cell r="A33" t="str">
            <v>刘识慧</v>
          </cell>
          <cell r="B33" t="str">
            <v>01947</v>
          </cell>
          <cell r="C33" t="str">
            <v>山东时代蜂族营销策划有限公司</v>
          </cell>
          <cell r="D33">
            <v>46083</v>
          </cell>
          <cell r="E33" t="str">
            <v>山东</v>
          </cell>
          <cell r="F33" t="str">
            <v>山东营销中心</v>
          </cell>
          <cell r="G33" t="str">
            <v>山东销售部</v>
          </cell>
          <cell r="H33" t="str">
            <v>周涛</v>
          </cell>
          <cell r="I33" t="str">
            <v>实习销售</v>
          </cell>
        </row>
        <row r="34">
          <cell r="A34" t="str">
            <v>刘凯</v>
          </cell>
          <cell r="B34" t="str">
            <v>01946</v>
          </cell>
          <cell r="C34" t="str">
            <v>湖北蜜蜂族房地产经纪有限公司</v>
          </cell>
          <cell r="D34">
            <v>46082</v>
          </cell>
          <cell r="E34" t="str">
            <v>湖北</v>
          </cell>
          <cell r="F34" t="str">
            <v>湖北营销中心</v>
          </cell>
          <cell r="G34" t="str">
            <v>湖北1部</v>
          </cell>
          <cell r="H34" t="str">
            <v>秦娅玲</v>
          </cell>
          <cell r="I34" t="str">
            <v>实习销售</v>
          </cell>
        </row>
        <row r="35">
          <cell r="A35" t="str">
            <v>王强3</v>
          </cell>
          <cell r="B35" t="str">
            <v>01951</v>
          </cell>
          <cell r="C35" t="str">
            <v>四川时代蜂族营销策划有限公司</v>
          </cell>
          <cell r="D35">
            <v>46082</v>
          </cell>
          <cell r="E35" t="str">
            <v>西南总部</v>
          </cell>
          <cell r="F35" t="str">
            <v>西南营销中心</v>
          </cell>
          <cell r="G35" t="str">
            <v>营业七部</v>
          </cell>
          <cell r="H35" t="str">
            <v>申慧</v>
          </cell>
          <cell r="I35" t="str">
            <v>实习销售</v>
          </cell>
        </row>
        <row r="36">
          <cell r="A36" t="str">
            <v>华宇霜</v>
          </cell>
          <cell r="B36" t="str">
            <v>00136</v>
          </cell>
          <cell r="C36" t="str">
            <v>山东时代蜂族营销策划有限公司</v>
          </cell>
          <cell r="D36">
            <v>46081</v>
          </cell>
          <cell r="E36" t="str">
            <v>山东</v>
          </cell>
          <cell r="F36" t="str">
            <v>山东营销中心</v>
          </cell>
          <cell r="G36" t="str">
            <v>山东销售部</v>
          </cell>
          <cell r="H36" t="str">
            <v>苏晓青</v>
          </cell>
          <cell r="I36" t="str">
            <v>实习销售</v>
          </cell>
        </row>
        <row r="37">
          <cell r="A37" t="str">
            <v>王秋蕾</v>
          </cell>
          <cell r="B37" t="str">
            <v>01944</v>
          </cell>
          <cell r="C37" t="str">
            <v>湖北蜜蜂族房地产经纪有限公司</v>
          </cell>
          <cell r="D37">
            <v>46081</v>
          </cell>
          <cell r="E37" t="str">
            <v>湖北</v>
          </cell>
          <cell r="F37" t="str">
            <v>湖北营销中心</v>
          </cell>
          <cell r="G37" t="str">
            <v>湖北1部</v>
          </cell>
          <cell r="H37" t="str">
            <v>黄俊</v>
          </cell>
          <cell r="I37" t="str">
            <v>实习销售</v>
          </cell>
        </row>
        <row r="38">
          <cell r="A38" t="str">
            <v>黄怡建</v>
          </cell>
          <cell r="B38" t="str">
            <v>01942</v>
          </cell>
          <cell r="C38" t="str">
            <v>湖北蜜蜂族房地产经纪有限公司</v>
          </cell>
          <cell r="D38">
            <v>46081</v>
          </cell>
          <cell r="E38" t="str">
            <v>湖北</v>
          </cell>
          <cell r="F38" t="str">
            <v>湖北营销中心</v>
          </cell>
          <cell r="G38" t="str">
            <v>湖北2部</v>
          </cell>
          <cell r="H38" t="str">
            <v>马超</v>
          </cell>
          <cell r="I38" t="str">
            <v>实习销售</v>
          </cell>
        </row>
        <row r="39">
          <cell r="A39" t="str">
            <v>田荣</v>
          </cell>
          <cell r="B39" t="str">
            <v>01939</v>
          </cell>
          <cell r="C39" t="str">
            <v>四川时代蜂族营销策划有限公司</v>
          </cell>
          <cell r="D39">
            <v>46081</v>
          </cell>
          <cell r="E39" t="str">
            <v>西南总部</v>
          </cell>
          <cell r="F39" t="str">
            <v>西南营销中心</v>
          </cell>
          <cell r="G39" t="str">
            <v>营业一部</v>
          </cell>
          <cell r="H39" t="str">
            <v>朱家艳</v>
          </cell>
          <cell r="I39" t="str">
            <v>实习销售</v>
          </cell>
        </row>
        <row r="40">
          <cell r="A40" t="str">
            <v>贾润</v>
          </cell>
          <cell r="B40" t="str">
            <v>01938</v>
          </cell>
          <cell r="C40" t="str">
            <v>四川时代蜂族营销策划有限公司</v>
          </cell>
          <cell r="D40">
            <v>46080</v>
          </cell>
          <cell r="E40" t="str">
            <v>西南总部</v>
          </cell>
          <cell r="F40" t="str">
            <v>西南营销中心</v>
          </cell>
          <cell r="G40" t="str">
            <v>杨薇</v>
          </cell>
        </row>
        <row r="40">
          <cell r="I40" t="str">
            <v>实习销售</v>
          </cell>
        </row>
        <row r="41">
          <cell r="A41" t="str">
            <v>王会会</v>
          </cell>
          <cell r="B41" t="str">
            <v>01941</v>
          </cell>
          <cell r="C41" t="str">
            <v>河南蜜蜂族营销策划有限公司</v>
          </cell>
          <cell r="D41">
            <v>46080</v>
          </cell>
          <cell r="E41" t="str">
            <v>河南</v>
          </cell>
          <cell r="F41" t="str">
            <v>河南营销中心</v>
          </cell>
          <cell r="G41" t="str">
            <v>河南销售部</v>
          </cell>
          <cell r="H41" t="str">
            <v>吕涛河南</v>
          </cell>
          <cell r="I41" t="str">
            <v>实习销售</v>
          </cell>
        </row>
        <row r="42">
          <cell r="A42" t="str">
            <v>张新月</v>
          </cell>
          <cell r="B42" t="str">
            <v>01936</v>
          </cell>
          <cell r="C42" t="str">
            <v>山东时代蜂族营销策划有限公司</v>
          </cell>
          <cell r="D42">
            <v>46079</v>
          </cell>
          <cell r="E42" t="str">
            <v>山东</v>
          </cell>
          <cell r="F42" t="str">
            <v>山东营销中心</v>
          </cell>
          <cell r="G42" t="str">
            <v>山东销售部</v>
          </cell>
          <cell r="H42" t="str">
            <v>赵文涛</v>
          </cell>
          <cell r="I42" t="str">
            <v>实习销售</v>
          </cell>
        </row>
        <row r="43">
          <cell r="A43" t="str">
            <v>何娜</v>
          </cell>
          <cell r="B43" t="str">
            <v>01935</v>
          </cell>
          <cell r="C43" t="str">
            <v>四川时代蜂族营销策划有限公司</v>
          </cell>
          <cell r="D43">
            <v>46062</v>
          </cell>
          <cell r="E43" t="str">
            <v>西南总部</v>
          </cell>
          <cell r="F43" t="str">
            <v>西南营销中心</v>
          </cell>
          <cell r="G43" t="str">
            <v>营业二部</v>
          </cell>
          <cell r="H43" t="str">
            <v>魏飞翔</v>
          </cell>
          <cell r="I43" t="str">
            <v>实习销售</v>
          </cell>
        </row>
        <row r="44">
          <cell r="A44" t="str">
            <v>傅成艳</v>
          </cell>
          <cell r="B44" t="str">
            <v>01934</v>
          </cell>
          <cell r="C44" t="str">
            <v>四川时代蜂族营销策划有限公司</v>
          </cell>
          <cell r="D44">
            <v>46061</v>
          </cell>
          <cell r="E44" t="str">
            <v>西南总部</v>
          </cell>
          <cell r="F44" t="str">
            <v>西南营销中心</v>
          </cell>
          <cell r="G44" t="str">
            <v>营业五部</v>
          </cell>
          <cell r="H44" t="str">
            <v>杨科</v>
          </cell>
          <cell r="I44" t="str">
            <v>实习销售</v>
          </cell>
        </row>
        <row r="45">
          <cell r="A45" t="str">
            <v>强芮</v>
          </cell>
          <cell r="B45" t="str">
            <v>01932</v>
          </cell>
          <cell r="C45" t="str">
            <v>陕西时代蜂族营销策划有限公司</v>
          </cell>
          <cell r="D45">
            <v>46058</v>
          </cell>
          <cell r="E45" t="str">
            <v>陕西</v>
          </cell>
          <cell r="F45" t="str">
            <v>陕西营销中心</v>
          </cell>
          <cell r="G45" t="str">
            <v>陕西2部</v>
          </cell>
          <cell r="H45" t="str">
            <v>朱全兰</v>
          </cell>
          <cell r="I45" t="str">
            <v>实习销售</v>
          </cell>
        </row>
        <row r="46">
          <cell r="A46" t="str">
            <v>唐伟</v>
          </cell>
          <cell r="B46" t="str">
            <v>01933</v>
          </cell>
          <cell r="C46" t="str">
            <v>四川时代蜂族营销策划有限公司</v>
          </cell>
          <cell r="D46">
            <v>46057</v>
          </cell>
          <cell r="E46" t="str">
            <v>西南总部</v>
          </cell>
          <cell r="F46" t="str">
            <v>西南营销中心</v>
          </cell>
          <cell r="G46" t="str">
            <v>营业七部</v>
          </cell>
          <cell r="H46" t="str">
            <v>蒋杨</v>
          </cell>
          <cell r="I46" t="str">
            <v>实习销售</v>
          </cell>
        </row>
        <row r="47">
          <cell r="A47" t="str">
            <v>黄雪茹</v>
          </cell>
          <cell r="B47" t="str">
            <v>01931</v>
          </cell>
          <cell r="C47" t="str">
            <v>四川大礼连连科技有限公司</v>
          </cell>
          <cell r="D47">
            <v>46056</v>
          </cell>
          <cell r="E47" t="str">
            <v>集团职能</v>
          </cell>
          <cell r="F47" t="str">
            <v>职能营销</v>
          </cell>
          <cell r="G47" t="str">
            <v>培训部</v>
          </cell>
        </row>
        <row r="47">
          <cell r="I47" t="str">
            <v>培训专员</v>
          </cell>
        </row>
        <row r="48">
          <cell r="A48" t="str">
            <v>陈敏</v>
          </cell>
          <cell r="B48" t="str">
            <v>01928</v>
          </cell>
          <cell r="C48" t="str">
            <v>四川时代蜂族营销策划有限公司</v>
          </cell>
          <cell r="D48">
            <v>46056</v>
          </cell>
          <cell r="E48" t="str">
            <v>集团职能</v>
          </cell>
          <cell r="F48" t="str">
            <v>职能总部</v>
          </cell>
          <cell r="G48" t="str">
            <v>停车场运营部</v>
          </cell>
        </row>
        <row r="48">
          <cell r="I48" t="str">
            <v>停车场运营经理</v>
          </cell>
        </row>
        <row r="49">
          <cell r="A49" t="str">
            <v>田静2</v>
          </cell>
          <cell r="B49" t="str">
            <v>01930</v>
          </cell>
          <cell r="C49" t="str">
            <v>陕西时代蜂族营销策划有限公司</v>
          </cell>
          <cell r="D49">
            <v>46054</v>
          </cell>
          <cell r="E49" t="str">
            <v>陕西</v>
          </cell>
          <cell r="F49" t="str">
            <v>陕西营销中心</v>
          </cell>
          <cell r="G49" t="str">
            <v>陕西2部</v>
          </cell>
          <cell r="H49" t="str">
            <v>乔磊</v>
          </cell>
          <cell r="I49" t="str">
            <v>实习销售</v>
          </cell>
        </row>
        <row r="50">
          <cell r="A50" t="str">
            <v>吴三国</v>
          </cell>
          <cell r="B50" t="str">
            <v>01926</v>
          </cell>
          <cell r="C50" t="str">
            <v>四川时代蜂族营销策划有限公司</v>
          </cell>
          <cell r="D50">
            <v>46050</v>
          </cell>
          <cell r="E50" t="str">
            <v>湖南</v>
          </cell>
          <cell r="F50" t="str">
            <v>湖南营销中心</v>
          </cell>
          <cell r="G50" t="str">
            <v>湖南销售部</v>
          </cell>
          <cell r="H50" t="str">
            <v>刘进</v>
          </cell>
          <cell r="I50" t="str">
            <v>实习销售</v>
          </cell>
        </row>
        <row r="51">
          <cell r="A51" t="str">
            <v>梁一丹</v>
          </cell>
          <cell r="B51" t="str">
            <v>01917</v>
          </cell>
          <cell r="C51" t="str">
            <v>河南蜜蜂族营销策划有限公司</v>
          </cell>
          <cell r="D51">
            <v>46049</v>
          </cell>
          <cell r="E51" t="str">
            <v>河南</v>
          </cell>
          <cell r="F51" t="str">
            <v>河南办公室</v>
          </cell>
        </row>
        <row r="51">
          <cell r="I51" t="str">
            <v>办公室主任</v>
          </cell>
        </row>
        <row r="52">
          <cell r="A52" t="str">
            <v>米东</v>
          </cell>
          <cell r="B52" t="str">
            <v>01927</v>
          </cell>
          <cell r="C52" t="str">
            <v>四川时代蜂族营销策划有限公司</v>
          </cell>
          <cell r="D52">
            <v>46049</v>
          </cell>
          <cell r="E52" t="str">
            <v>西南总部</v>
          </cell>
          <cell r="F52" t="str">
            <v>西南营销中心</v>
          </cell>
          <cell r="G52" t="str">
            <v>营业三部</v>
          </cell>
          <cell r="H52" t="str">
            <v>李海艳</v>
          </cell>
          <cell r="I52" t="str">
            <v>实习销售</v>
          </cell>
        </row>
        <row r="53">
          <cell r="A53" t="str">
            <v>邓松元</v>
          </cell>
          <cell r="B53" t="str">
            <v>01920</v>
          </cell>
          <cell r="C53" t="str">
            <v>湖南时代蜂族营销策划有限公司</v>
          </cell>
          <cell r="D53">
            <v>46048</v>
          </cell>
          <cell r="E53" t="str">
            <v>湖南</v>
          </cell>
          <cell r="F53" t="str">
            <v>湖南营销中心</v>
          </cell>
          <cell r="G53" t="str">
            <v>湖南销售部</v>
          </cell>
          <cell r="H53" t="str">
            <v>庄素芳</v>
          </cell>
          <cell r="I53" t="str">
            <v>实习销售</v>
          </cell>
        </row>
        <row r="54">
          <cell r="A54" t="str">
            <v>肖文君</v>
          </cell>
          <cell r="B54" t="str">
            <v>01929</v>
          </cell>
          <cell r="C54" t="str">
            <v>四川时代蜂族营销策划有限公司</v>
          </cell>
          <cell r="D54">
            <v>46048</v>
          </cell>
          <cell r="E54" t="str">
            <v>西南总部</v>
          </cell>
          <cell r="F54" t="str">
            <v>西南营销中心</v>
          </cell>
          <cell r="G54" t="str">
            <v>营业一部</v>
          </cell>
          <cell r="H54" t="str">
            <v>白世根</v>
          </cell>
          <cell r="I54" t="str">
            <v>实习销售</v>
          </cell>
        </row>
        <row r="55">
          <cell r="A55" t="str">
            <v>敖之美</v>
          </cell>
          <cell r="B55" t="str">
            <v>01924</v>
          </cell>
          <cell r="C55" t="str">
            <v>四川时代蜂族营销策划有限公司</v>
          </cell>
          <cell r="D55">
            <v>46048</v>
          </cell>
          <cell r="E55" t="str">
            <v>西南总部</v>
          </cell>
          <cell r="F55" t="str">
            <v>西南营销中心</v>
          </cell>
          <cell r="G55" t="str">
            <v>营业一部</v>
          </cell>
          <cell r="H55" t="str">
            <v>张圣梁</v>
          </cell>
          <cell r="I55" t="str">
            <v>实习销售</v>
          </cell>
        </row>
        <row r="56">
          <cell r="A56" t="str">
            <v>徐潇洋</v>
          </cell>
          <cell r="B56" t="str">
            <v>01925</v>
          </cell>
          <cell r="C56" t="str">
            <v>辽宁时代蜂族营销策划有限公司</v>
          </cell>
          <cell r="D56">
            <v>46048</v>
          </cell>
          <cell r="E56" t="str">
            <v>辽宁</v>
          </cell>
          <cell r="F56" t="str">
            <v>辽宁营销中心</v>
          </cell>
          <cell r="G56" t="str">
            <v>辽宁销售部</v>
          </cell>
          <cell r="H56" t="str">
            <v>孙科辽宁</v>
          </cell>
          <cell r="I56" t="str">
            <v>实习销售</v>
          </cell>
        </row>
        <row r="57">
          <cell r="A57" t="str">
            <v>李恒2</v>
          </cell>
          <cell r="B57" t="str">
            <v>01921</v>
          </cell>
          <cell r="C57" t="str">
            <v>四川时代蜂族营销策划有限公司</v>
          </cell>
          <cell r="D57">
            <v>46048</v>
          </cell>
          <cell r="E57" t="str">
            <v>西南总部</v>
          </cell>
          <cell r="F57" t="str">
            <v>西南营销中心</v>
          </cell>
          <cell r="G57" t="str">
            <v>营业一部</v>
          </cell>
          <cell r="H57" t="str">
            <v>朱家艳</v>
          </cell>
          <cell r="I57" t="str">
            <v>实习销售</v>
          </cell>
        </row>
        <row r="58">
          <cell r="A58" t="str">
            <v>孔群慧</v>
          </cell>
          <cell r="B58" t="str">
            <v>01918</v>
          </cell>
          <cell r="C58" t="str">
            <v>四川优诺通瑞商贸有限公司</v>
          </cell>
          <cell r="D58">
            <v>46048</v>
          </cell>
          <cell r="E58" t="str">
            <v>集团职能</v>
          </cell>
          <cell r="F58" t="str">
            <v>职能总部</v>
          </cell>
          <cell r="G58" t="str">
            <v>人资行政部</v>
          </cell>
        </row>
        <row r="58">
          <cell r="I58" t="str">
            <v>人资行政经理</v>
          </cell>
        </row>
        <row r="59">
          <cell r="A59" t="str">
            <v>石丹</v>
          </cell>
          <cell r="B59" t="str">
            <v>01922</v>
          </cell>
          <cell r="C59" t="str">
            <v>四川时代蜂族营销策划有限公司</v>
          </cell>
          <cell r="D59">
            <v>46048</v>
          </cell>
          <cell r="E59" t="str">
            <v>西南总部</v>
          </cell>
          <cell r="F59" t="str">
            <v>西南营销中心</v>
          </cell>
          <cell r="G59" t="str">
            <v>营业四部</v>
          </cell>
          <cell r="H59" t="str">
            <v>贾萍</v>
          </cell>
          <cell r="I59" t="str">
            <v>实习销售</v>
          </cell>
        </row>
        <row r="60">
          <cell r="A60" t="str">
            <v>杨星</v>
          </cell>
          <cell r="B60" t="str">
            <v>01915</v>
          </cell>
          <cell r="C60" t="str">
            <v>河北时代蜂族营销策划有限公司</v>
          </cell>
          <cell r="D60">
            <v>46045</v>
          </cell>
          <cell r="E60" t="str">
            <v>河北</v>
          </cell>
          <cell r="F60" t="str">
            <v>河北办公室</v>
          </cell>
        </row>
        <row r="60">
          <cell r="I60" t="str">
            <v>办公室主任</v>
          </cell>
        </row>
        <row r="61">
          <cell r="A61" t="str">
            <v>陈国钊</v>
          </cell>
          <cell r="B61" t="str">
            <v>01919</v>
          </cell>
          <cell r="C61" t="str">
            <v>四川时代蜂族营销策划有限公司</v>
          </cell>
          <cell r="D61">
            <v>46045</v>
          </cell>
          <cell r="E61" t="str">
            <v>西南总部</v>
          </cell>
          <cell r="F61" t="str">
            <v>西南营销中心</v>
          </cell>
          <cell r="G61" t="str">
            <v>营业二部</v>
          </cell>
          <cell r="H61" t="str">
            <v>文鹏羽</v>
          </cell>
          <cell r="I61" t="str">
            <v>实习销售</v>
          </cell>
        </row>
        <row r="62">
          <cell r="A62" t="str">
            <v>何松键</v>
          </cell>
          <cell r="B62" t="str">
            <v>01916</v>
          </cell>
          <cell r="C62" t="str">
            <v>四川时代蜂族营销策划有限公司</v>
          </cell>
          <cell r="D62">
            <v>46042</v>
          </cell>
          <cell r="E62" t="str">
            <v>西南总部</v>
          </cell>
          <cell r="F62" t="str">
            <v>西南营销中心</v>
          </cell>
          <cell r="G62" t="str">
            <v>营业七部</v>
          </cell>
          <cell r="H62" t="str">
            <v>程新浩</v>
          </cell>
          <cell r="I62" t="str">
            <v>实习销售</v>
          </cell>
        </row>
        <row r="63">
          <cell r="A63" t="str">
            <v>李根</v>
          </cell>
          <cell r="B63" t="str">
            <v>01914</v>
          </cell>
          <cell r="C63" t="str">
            <v>湖南时代蜂族营销策划有限公司</v>
          </cell>
          <cell r="D63">
            <v>46039</v>
          </cell>
          <cell r="E63" t="str">
            <v>湖南</v>
          </cell>
          <cell r="F63" t="str">
            <v>湖南营销中心</v>
          </cell>
          <cell r="G63" t="str">
            <v>湖南销售部</v>
          </cell>
          <cell r="H63" t="str">
            <v>杨超群</v>
          </cell>
          <cell r="I63" t="str">
            <v>实习销售</v>
          </cell>
        </row>
        <row r="64">
          <cell r="A64" t="str">
            <v>李嘉</v>
          </cell>
          <cell r="B64" t="str">
            <v>01911</v>
          </cell>
          <cell r="C64" t="str">
            <v>四川时代蜂族营销策划有限公司</v>
          </cell>
          <cell r="D64">
            <v>46038</v>
          </cell>
          <cell r="E64" t="str">
            <v>集团职能</v>
          </cell>
          <cell r="F64" t="str">
            <v>职能总部</v>
          </cell>
          <cell r="G64" t="str">
            <v>策划部</v>
          </cell>
        </row>
        <row r="64">
          <cell r="I64" t="str">
            <v>法务专员</v>
          </cell>
        </row>
        <row r="65">
          <cell r="A65" t="str">
            <v>徐琮翔</v>
          </cell>
          <cell r="B65" t="str">
            <v>01913</v>
          </cell>
          <cell r="C65" t="str">
            <v>四川大礼连连科技有限公司</v>
          </cell>
          <cell r="D65">
            <v>46036</v>
          </cell>
          <cell r="E65" t="str">
            <v>集团职能</v>
          </cell>
          <cell r="F65" t="str">
            <v>职能营销</v>
          </cell>
          <cell r="G65" t="str">
            <v>培训部</v>
          </cell>
        </row>
        <row r="65">
          <cell r="I65" t="str">
            <v>培训专员</v>
          </cell>
        </row>
        <row r="66">
          <cell r="A66" t="str">
            <v>王应刚</v>
          </cell>
          <cell r="B66" t="str">
            <v>01912</v>
          </cell>
          <cell r="C66" t="str">
            <v>河北时代蜂族营销策划有限公司</v>
          </cell>
          <cell r="D66">
            <v>46035</v>
          </cell>
          <cell r="E66" t="str">
            <v>河北</v>
          </cell>
          <cell r="F66" t="str">
            <v>河北营销中心</v>
          </cell>
          <cell r="G66" t="str">
            <v>河北销售部</v>
          </cell>
          <cell r="H66" t="str">
            <v>韩旭河北</v>
          </cell>
          <cell r="I66" t="str">
            <v>实习销售</v>
          </cell>
        </row>
        <row r="67">
          <cell r="A67" t="str">
            <v>张玲霞</v>
          </cell>
          <cell r="B67" t="str">
            <v>01906</v>
          </cell>
          <cell r="C67" t="str">
            <v>陕西蜂族科技有限公司</v>
          </cell>
          <cell r="D67">
            <v>46031</v>
          </cell>
          <cell r="E67" t="str">
            <v>陕西</v>
          </cell>
          <cell r="F67" t="str">
            <v>陕西营销中心</v>
          </cell>
          <cell r="G67" t="str">
            <v>陕西2部</v>
          </cell>
          <cell r="H67" t="str">
            <v>王天成</v>
          </cell>
          <cell r="I67" t="str">
            <v>实习销售</v>
          </cell>
        </row>
        <row r="68">
          <cell r="A68" t="str">
            <v>赵成</v>
          </cell>
          <cell r="B68" t="str">
            <v>01909</v>
          </cell>
          <cell r="C68" t="str">
            <v>四川时代蜂族营销策划有限公司</v>
          </cell>
          <cell r="D68">
            <v>46031</v>
          </cell>
          <cell r="E68" t="str">
            <v>西南总部</v>
          </cell>
          <cell r="F68" t="str">
            <v>西南营销中心</v>
          </cell>
          <cell r="G68" t="str">
            <v>营业一部</v>
          </cell>
          <cell r="H68" t="str">
            <v>唐浪波</v>
          </cell>
          <cell r="I68" t="str">
            <v>实习销售</v>
          </cell>
        </row>
        <row r="69">
          <cell r="A69" t="str">
            <v>郑昌豪</v>
          </cell>
          <cell r="B69" t="str">
            <v>01910</v>
          </cell>
          <cell r="C69" t="str">
            <v>四川时代蜂族营销策划有限公司</v>
          </cell>
          <cell r="D69">
            <v>46031</v>
          </cell>
          <cell r="E69" t="str">
            <v>西南总部</v>
          </cell>
          <cell r="F69" t="str">
            <v>西南营销中心</v>
          </cell>
          <cell r="G69" t="str">
            <v>营业一部</v>
          </cell>
          <cell r="H69" t="str">
            <v>胡雪梅</v>
          </cell>
          <cell r="I69" t="str">
            <v>实习销售</v>
          </cell>
        </row>
        <row r="70">
          <cell r="A70" t="str">
            <v>敖玉</v>
          </cell>
          <cell r="B70" t="str">
            <v>01907</v>
          </cell>
          <cell r="C70" t="str">
            <v>湖南时代蜂族营销策划有限公司</v>
          </cell>
          <cell r="D70">
            <v>46030</v>
          </cell>
          <cell r="E70" t="str">
            <v>湖南</v>
          </cell>
          <cell r="F70" t="str">
            <v>湖南营销中心</v>
          </cell>
          <cell r="G70" t="str">
            <v>湖南销售部</v>
          </cell>
          <cell r="H70" t="str">
            <v>刘元发</v>
          </cell>
          <cell r="I70" t="str">
            <v>实习销售</v>
          </cell>
        </row>
        <row r="71">
          <cell r="A71" t="str">
            <v>唐筠</v>
          </cell>
          <cell r="B71" t="str">
            <v>01905</v>
          </cell>
          <cell r="C71" t="str">
            <v>四川时代蜂族营销策划有限公司</v>
          </cell>
          <cell r="D71">
            <v>46027</v>
          </cell>
          <cell r="E71" t="str">
            <v>西南总部</v>
          </cell>
          <cell r="F71" t="str">
            <v>西南营销中心</v>
          </cell>
          <cell r="G71" t="str">
            <v>营业七部</v>
          </cell>
          <cell r="H71" t="str">
            <v>张家涛</v>
          </cell>
          <cell r="I71" t="str">
            <v>实习销售</v>
          </cell>
        </row>
        <row r="72">
          <cell r="A72" t="str">
            <v>王振东</v>
          </cell>
          <cell r="B72" t="str">
            <v>01903</v>
          </cell>
          <cell r="C72" t="str">
            <v>河南蜜蜂族营销策划有限公司</v>
          </cell>
          <cell r="D72">
            <v>46026</v>
          </cell>
          <cell r="E72" t="str">
            <v>河南</v>
          </cell>
          <cell r="F72" t="str">
            <v>河南营销中心</v>
          </cell>
          <cell r="G72" t="str">
            <v>河南销售部</v>
          </cell>
          <cell r="H72" t="str">
            <v>杜雄</v>
          </cell>
          <cell r="I72" t="str">
            <v>实习销售</v>
          </cell>
        </row>
        <row r="73">
          <cell r="A73" t="str">
            <v>王晓潮</v>
          </cell>
          <cell r="B73" t="str">
            <v>01902</v>
          </cell>
          <cell r="C73" t="str">
            <v>河北时代蜂族营销策划有限公司</v>
          </cell>
          <cell r="D73">
            <v>46026</v>
          </cell>
          <cell r="E73" t="str">
            <v>河北</v>
          </cell>
          <cell r="F73" t="str">
            <v>河北营销中心</v>
          </cell>
          <cell r="G73" t="str">
            <v>河北销售部</v>
          </cell>
          <cell r="H73" t="str">
            <v>陈东2河北</v>
          </cell>
          <cell r="I73" t="str">
            <v>实习销售</v>
          </cell>
        </row>
        <row r="74">
          <cell r="A74" t="str">
            <v>王小蓬</v>
          </cell>
          <cell r="B74" t="str">
            <v>01898</v>
          </cell>
          <cell r="C74" t="str">
            <v>四川时代蜂族营销策划有限公司</v>
          </cell>
          <cell r="D74">
            <v>46025</v>
          </cell>
          <cell r="E74" t="str">
            <v>西南总部</v>
          </cell>
          <cell r="F74" t="str">
            <v>西南营销中心</v>
          </cell>
          <cell r="G74" t="str">
            <v>营业五部</v>
          </cell>
          <cell r="H74" t="str">
            <v>张萍2</v>
          </cell>
          <cell r="I74" t="str">
            <v>实习销售</v>
          </cell>
        </row>
        <row r="75">
          <cell r="A75" t="str">
            <v>赵雪勤</v>
          </cell>
          <cell r="B75" t="str">
            <v>01904</v>
          </cell>
          <cell r="C75" t="str">
            <v>河南蜜蜂族营销策划有限公司</v>
          </cell>
          <cell r="D75">
            <v>46024</v>
          </cell>
          <cell r="E75" t="str">
            <v>河南</v>
          </cell>
          <cell r="F75" t="str">
            <v>河南营销中心</v>
          </cell>
          <cell r="G75" t="str">
            <v>河南销售部</v>
          </cell>
          <cell r="H75" t="str">
            <v>任枭月</v>
          </cell>
          <cell r="I75" t="str">
            <v>实习销售</v>
          </cell>
        </row>
        <row r="76">
          <cell r="A76" t="str">
            <v>杜俊杰</v>
          </cell>
          <cell r="B76" t="str">
            <v>01901</v>
          </cell>
          <cell r="C76" t="str">
            <v>四川时代蜂族营销策划有限公司</v>
          </cell>
          <cell r="D76">
            <v>46022</v>
          </cell>
          <cell r="E76" t="str">
            <v>西南总部</v>
          </cell>
          <cell r="F76" t="str">
            <v>西南营销中心</v>
          </cell>
          <cell r="G76" t="str">
            <v>营业六部</v>
          </cell>
          <cell r="H76" t="str">
            <v>韩颖</v>
          </cell>
          <cell r="I76" t="str">
            <v>实习销售</v>
          </cell>
        </row>
        <row r="77">
          <cell r="A77" t="str">
            <v>徐超2</v>
          </cell>
          <cell r="B77" t="str">
            <v>01892</v>
          </cell>
          <cell r="C77" t="str">
            <v>四川时代蜂族营销策划有限公司</v>
          </cell>
          <cell r="D77">
            <v>46022</v>
          </cell>
          <cell r="E77" t="str">
            <v>西南总部</v>
          </cell>
          <cell r="F77" t="str">
            <v>西南营销中心</v>
          </cell>
          <cell r="G77" t="str">
            <v>营业五部</v>
          </cell>
          <cell r="H77" t="str">
            <v>杨科</v>
          </cell>
          <cell r="I77" t="str">
            <v>实习销售</v>
          </cell>
        </row>
        <row r="78">
          <cell r="A78" t="str">
            <v>红英</v>
          </cell>
          <cell r="B78" t="str">
            <v>01889</v>
          </cell>
          <cell r="C78" t="str">
            <v>四川时代蜂族营销策划有限公司</v>
          </cell>
          <cell r="D78">
            <v>46022</v>
          </cell>
          <cell r="E78" t="str">
            <v>西南总部</v>
          </cell>
          <cell r="F78" t="str">
            <v>西南营销中心</v>
          </cell>
          <cell r="G78" t="str">
            <v>营业二部</v>
          </cell>
          <cell r="H78" t="str">
            <v>魏飞翔</v>
          </cell>
          <cell r="I78" t="str">
            <v>实习销售</v>
          </cell>
        </row>
        <row r="79">
          <cell r="A79" t="str">
            <v>刘兴东</v>
          </cell>
          <cell r="B79" t="str">
            <v>01884</v>
          </cell>
          <cell r="C79" t="str">
            <v>四川时代蜂族营销策划有限公司</v>
          </cell>
          <cell r="D79">
            <v>46022</v>
          </cell>
          <cell r="E79" t="str">
            <v>西南总部</v>
          </cell>
          <cell r="F79" t="str">
            <v>西南营销中心</v>
          </cell>
          <cell r="G79" t="str">
            <v>营业一部</v>
          </cell>
          <cell r="H79" t="str">
            <v>胡雪梅</v>
          </cell>
          <cell r="I79" t="str">
            <v>实习销售</v>
          </cell>
        </row>
        <row r="80">
          <cell r="A80" t="str">
            <v>曹雪浩</v>
          </cell>
          <cell r="B80" t="str">
            <v>01886</v>
          </cell>
          <cell r="C80" t="str">
            <v>四川时代蜂族营销策划有限公司</v>
          </cell>
          <cell r="D80">
            <v>46022</v>
          </cell>
          <cell r="E80" t="str">
            <v>西南总部</v>
          </cell>
          <cell r="F80" t="str">
            <v>西南营销中心</v>
          </cell>
          <cell r="G80" t="str">
            <v>营业五部</v>
          </cell>
          <cell r="H80" t="str">
            <v>杨科</v>
          </cell>
          <cell r="I80" t="str">
            <v>实习销售</v>
          </cell>
        </row>
        <row r="81">
          <cell r="A81" t="str">
            <v>吴海蛟</v>
          </cell>
          <cell r="B81" t="str">
            <v>01881</v>
          </cell>
          <cell r="C81" t="str">
            <v>四川时代蜂族营销策划有限公司</v>
          </cell>
          <cell r="D81">
            <v>46022</v>
          </cell>
          <cell r="E81" t="str">
            <v>西南总部</v>
          </cell>
          <cell r="F81" t="str">
            <v>西南营销中心</v>
          </cell>
          <cell r="G81" t="str">
            <v>营业五部</v>
          </cell>
          <cell r="H81" t="str">
            <v>张萍2</v>
          </cell>
          <cell r="I81" t="str">
            <v>实习销售</v>
          </cell>
        </row>
        <row r="82">
          <cell r="A82" t="str">
            <v>王成鑫</v>
          </cell>
          <cell r="B82" t="str">
            <v>01882</v>
          </cell>
          <cell r="C82" t="str">
            <v>四川时代蜂族营销策划有限公司</v>
          </cell>
          <cell r="D82">
            <v>46022</v>
          </cell>
          <cell r="E82" t="str">
            <v>西南总部</v>
          </cell>
          <cell r="F82" t="str">
            <v>西南营销中心</v>
          </cell>
          <cell r="G82" t="str">
            <v>营业四部</v>
          </cell>
          <cell r="H82" t="str">
            <v>陈帅</v>
          </cell>
          <cell r="I82" t="str">
            <v>实习销售</v>
          </cell>
        </row>
        <row r="83">
          <cell r="A83" t="str">
            <v>田浩</v>
          </cell>
          <cell r="B83" t="str">
            <v>01900</v>
          </cell>
          <cell r="C83" t="str">
            <v>四川时代蜂族营销策划有限公司</v>
          </cell>
          <cell r="D83">
            <v>46021</v>
          </cell>
          <cell r="E83" t="str">
            <v>西南总部</v>
          </cell>
          <cell r="F83" t="str">
            <v>西南营销中心</v>
          </cell>
          <cell r="G83" t="str">
            <v>营业七部</v>
          </cell>
          <cell r="H83" t="str">
            <v>刘鹏</v>
          </cell>
          <cell r="I83" t="str">
            <v>实习销售</v>
          </cell>
        </row>
        <row r="84">
          <cell r="A84" t="str">
            <v>谭霜鹰</v>
          </cell>
          <cell r="B84" t="str">
            <v>01897</v>
          </cell>
          <cell r="C84" t="str">
            <v>四川时代蜂族营销策划有限公司</v>
          </cell>
          <cell r="D84">
            <v>46020</v>
          </cell>
          <cell r="E84" t="str">
            <v>西南总部</v>
          </cell>
          <cell r="F84" t="str">
            <v>西南营销中心</v>
          </cell>
          <cell r="G84" t="str">
            <v>营业七部</v>
          </cell>
          <cell r="H84" t="str">
            <v>谢沁霜</v>
          </cell>
          <cell r="I84" t="str">
            <v>实习销售</v>
          </cell>
        </row>
        <row r="85">
          <cell r="A85" t="str">
            <v>杨皖佳</v>
          </cell>
          <cell r="B85" t="str">
            <v>01896</v>
          </cell>
          <cell r="C85" t="str">
            <v>四川优诺通瑞商贸有限公司</v>
          </cell>
          <cell r="D85">
            <v>46020</v>
          </cell>
          <cell r="E85" t="str">
            <v>集团职能</v>
          </cell>
          <cell r="F85" t="str">
            <v>职能总部</v>
          </cell>
          <cell r="G85" t="str">
            <v>业绩增长部</v>
          </cell>
        </row>
        <row r="85">
          <cell r="I85" t="str">
            <v>拓展BP</v>
          </cell>
        </row>
        <row r="86">
          <cell r="A86" t="str">
            <v>杨孟</v>
          </cell>
          <cell r="B86" t="str">
            <v>01891</v>
          </cell>
          <cell r="C86" t="str">
            <v>山东时代蜂族营销策划有限公司</v>
          </cell>
          <cell r="D86">
            <v>46020</v>
          </cell>
          <cell r="E86" t="str">
            <v>山东</v>
          </cell>
          <cell r="F86" t="str">
            <v>山东营销中心</v>
          </cell>
          <cell r="G86" t="str">
            <v>山东销售部</v>
          </cell>
          <cell r="H86" t="str">
            <v>蒲建宇山东</v>
          </cell>
          <cell r="I86" t="str">
            <v>实习销售</v>
          </cell>
        </row>
        <row r="87">
          <cell r="A87" t="str">
            <v>侯春红</v>
          </cell>
          <cell r="B87" t="str">
            <v>01893</v>
          </cell>
          <cell r="C87" t="str">
            <v>四川时代蜂族营销策划有限公司</v>
          </cell>
          <cell r="D87">
            <v>46019</v>
          </cell>
          <cell r="E87" t="str">
            <v>西南总部</v>
          </cell>
          <cell r="F87" t="str">
            <v>西南营销中心</v>
          </cell>
          <cell r="G87" t="str">
            <v>营业三部</v>
          </cell>
          <cell r="H87" t="str">
            <v>郑景慕</v>
          </cell>
          <cell r="I87" t="str">
            <v>实习销售</v>
          </cell>
        </row>
        <row r="88">
          <cell r="A88" t="str">
            <v>杨康</v>
          </cell>
          <cell r="B88" t="str">
            <v>01610</v>
          </cell>
          <cell r="C88" t="str">
            <v>四川时代蜂族营销策划有限公司</v>
          </cell>
          <cell r="D88">
            <v>46018</v>
          </cell>
          <cell r="E88" t="str">
            <v>河南</v>
          </cell>
          <cell r="F88" t="str">
            <v>河南营销中心</v>
          </cell>
          <cell r="G88" t="str">
            <v>河南销售部</v>
          </cell>
          <cell r="H88" t="str">
            <v>蒋吉勇河南</v>
          </cell>
          <cell r="I88" t="str">
            <v>实习销售</v>
          </cell>
        </row>
        <row r="89">
          <cell r="A89" t="str">
            <v>董衡</v>
          </cell>
          <cell r="B89" t="str">
            <v>01876</v>
          </cell>
          <cell r="C89" t="str">
            <v>四川时代蜂族营销策划有限公司</v>
          </cell>
          <cell r="D89">
            <v>46017</v>
          </cell>
          <cell r="E89" t="str">
            <v>西南总部</v>
          </cell>
          <cell r="F89" t="str">
            <v>西南营销中心</v>
          </cell>
          <cell r="G89" t="str">
            <v>营业五部</v>
          </cell>
          <cell r="H89" t="str">
            <v>张萍2</v>
          </cell>
          <cell r="I89" t="str">
            <v>实习销售</v>
          </cell>
        </row>
        <row r="90">
          <cell r="A90" t="str">
            <v>黄畅</v>
          </cell>
          <cell r="B90" t="str">
            <v>01874</v>
          </cell>
          <cell r="C90" t="str">
            <v>湖南时代蜂族营销策划有限公司</v>
          </cell>
          <cell r="D90">
            <v>46015</v>
          </cell>
          <cell r="E90" t="str">
            <v>湖南</v>
          </cell>
          <cell r="F90" t="str">
            <v>湖南营销中心</v>
          </cell>
          <cell r="G90" t="str">
            <v>湖南销售部</v>
          </cell>
          <cell r="H90" t="str">
            <v>杨超群</v>
          </cell>
          <cell r="I90" t="str">
            <v>实习销售</v>
          </cell>
        </row>
        <row r="91">
          <cell r="A91" t="str">
            <v>沈锐</v>
          </cell>
          <cell r="B91" t="str">
            <v>01880</v>
          </cell>
          <cell r="C91" t="str">
            <v>四川时代蜂族营销策划有限公司</v>
          </cell>
          <cell r="D91">
            <v>46015</v>
          </cell>
          <cell r="E91" t="str">
            <v>西南总部</v>
          </cell>
          <cell r="F91" t="str">
            <v>西南营销中心</v>
          </cell>
          <cell r="G91" t="str">
            <v>营业三部</v>
          </cell>
          <cell r="H91" t="str">
            <v>扈岭楠</v>
          </cell>
          <cell r="I91" t="str">
            <v>实习销售</v>
          </cell>
        </row>
        <row r="92">
          <cell r="A92" t="str">
            <v>杨鹏鹏</v>
          </cell>
          <cell r="B92" t="str">
            <v>01894</v>
          </cell>
          <cell r="C92" t="str">
            <v>湖南时代蜂族营销策划有限公司</v>
          </cell>
          <cell r="D92">
            <v>46014</v>
          </cell>
          <cell r="E92" t="str">
            <v>湖南</v>
          </cell>
          <cell r="F92" t="str">
            <v>湖南营销中心</v>
          </cell>
          <cell r="G92" t="str">
            <v>湖南销售部</v>
          </cell>
          <cell r="H92" t="str">
            <v>王晶晶</v>
          </cell>
          <cell r="I92" t="str">
            <v>实习销售</v>
          </cell>
        </row>
        <row r="93">
          <cell r="A93" t="str">
            <v>易束梅</v>
          </cell>
          <cell r="B93" t="str">
            <v>01872</v>
          </cell>
          <cell r="C93" t="str">
            <v>四川时代蜂族营销策划有限公司</v>
          </cell>
          <cell r="D93">
            <v>46013</v>
          </cell>
          <cell r="E93" t="str">
            <v>集团职能</v>
          </cell>
          <cell r="F93" t="str">
            <v>职能营销</v>
          </cell>
          <cell r="G93" t="str">
            <v>督导部</v>
          </cell>
        </row>
        <row r="93">
          <cell r="I93" t="str">
            <v>售后</v>
          </cell>
        </row>
        <row r="94">
          <cell r="A94" t="str">
            <v>邓联红</v>
          </cell>
          <cell r="B94" t="str">
            <v>01873</v>
          </cell>
          <cell r="C94" t="str">
            <v>湖南时代蜂族营销策划有限公司</v>
          </cell>
          <cell r="D94">
            <v>46013</v>
          </cell>
          <cell r="E94" t="str">
            <v>湖南</v>
          </cell>
          <cell r="F94" t="str">
            <v>湖南营销中心</v>
          </cell>
          <cell r="G94" t="str">
            <v>湖南销售部</v>
          </cell>
          <cell r="H94" t="str">
            <v>罗敏</v>
          </cell>
          <cell r="I94" t="str">
            <v>实习销售</v>
          </cell>
        </row>
        <row r="95">
          <cell r="A95" t="str">
            <v>莫嘉鑫</v>
          </cell>
          <cell r="B95" t="str">
            <v>01871</v>
          </cell>
          <cell r="C95" t="str">
            <v>四川时代蜂族营销策划有限公司</v>
          </cell>
          <cell r="D95">
            <v>46013</v>
          </cell>
          <cell r="E95" t="str">
            <v>西南总部</v>
          </cell>
          <cell r="F95" t="str">
            <v>西南营销中心</v>
          </cell>
          <cell r="G95" t="str">
            <v>营业六部</v>
          </cell>
          <cell r="H95" t="str">
            <v>毛富林</v>
          </cell>
          <cell r="I95" t="str">
            <v>实习销售</v>
          </cell>
        </row>
        <row r="96">
          <cell r="A96" t="str">
            <v>杨璐通</v>
          </cell>
          <cell r="B96" t="str">
            <v>01870</v>
          </cell>
          <cell r="C96" t="str">
            <v>河南蜜蜂族营销策划有限公司</v>
          </cell>
          <cell r="D96">
            <v>46011</v>
          </cell>
          <cell r="E96" t="str">
            <v>河南</v>
          </cell>
          <cell r="F96" t="str">
            <v>河南营销中心</v>
          </cell>
          <cell r="G96" t="str">
            <v>河南销售部</v>
          </cell>
          <cell r="H96" t="str">
            <v>余金梅</v>
          </cell>
          <cell r="I96" t="str">
            <v>实习销售</v>
          </cell>
        </row>
        <row r="97">
          <cell r="A97" t="str">
            <v>刘超2</v>
          </cell>
          <cell r="B97" t="str">
            <v>01869</v>
          </cell>
          <cell r="C97" t="str">
            <v>湖北蜜蜂族房地产经纪有限公司</v>
          </cell>
          <cell r="D97">
            <v>46011</v>
          </cell>
          <cell r="E97" t="str">
            <v>湖北</v>
          </cell>
          <cell r="F97" t="str">
            <v>湖北营销中心</v>
          </cell>
          <cell r="G97" t="str">
            <v>湖北1部</v>
          </cell>
          <cell r="H97" t="str">
            <v>林浩</v>
          </cell>
          <cell r="I97" t="str">
            <v>实习销售</v>
          </cell>
        </row>
        <row r="98">
          <cell r="A98" t="str">
            <v>何娟</v>
          </cell>
          <cell r="B98" t="str">
            <v>01051</v>
          </cell>
          <cell r="C98" t="str">
            <v>河南蜜蜂族营销策划有限公司</v>
          </cell>
          <cell r="D98">
            <v>46010</v>
          </cell>
          <cell r="E98" t="str">
            <v>河南</v>
          </cell>
          <cell r="F98" t="str">
            <v>河南营销中心</v>
          </cell>
        </row>
        <row r="98">
          <cell r="I98" t="str">
            <v>实习销售</v>
          </cell>
        </row>
        <row r="99">
          <cell r="A99" t="str">
            <v>米雪琴</v>
          </cell>
          <cell r="B99" t="str">
            <v>01866</v>
          </cell>
          <cell r="C99" t="str">
            <v>四川时代蜂族营销策划有限公司</v>
          </cell>
          <cell r="D99">
            <v>46010</v>
          </cell>
          <cell r="E99" t="str">
            <v>西南总部</v>
          </cell>
          <cell r="F99" t="str">
            <v>西南营销中心</v>
          </cell>
          <cell r="G99" t="str">
            <v>营业五部</v>
          </cell>
          <cell r="H99" t="str">
            <v>杨科</v>
          </cell>
          <cell r="I99" t="str">
            <v>实习销售</v>
          </cell>
        </row>
        <row r="100">
          <cell r="A100" t="str">
            <v>孙莺之</v>
          </cell>
          <cell r="B100" t="str">
            <v>01860</v>
          </cell>
          <cell r="C100" t="str">
            <v>四川优诺通瑞商贸有限公司</v>
          </cell>
          <cell r="D100">
            <v>46010</v>
          </cell>
          <cell r="E100" t="str">
            <v>集团职能</v>
          </cell>
          <cell r="F100" t="str">
            <v>职能总部</v>
          </cell>
          <cell r="G100" t="str">
            <v>财务部</v>
          </cell>
        </row>
        <row r="100">
          <cell r="I100" t="str">
            <v>会计</v>
          </cell>
        </row>
        <row r="101">
          <cell r="A101" t="str">
            <v>李宇洁</v>
          </cell>
          <cell r="B101" t="str">
            <v>01856</v>
          </cell>
          <cell r="C101" t="str">
            <v>山西时代蜂族房地产经纪有限公司</v>
          </cell>
          <cell r="D101">
            <v>46009</v>
          </cell>
          <cell r="E101" t="str">
            <v>山西</v>
          </cell>
          <cell r="F101" t="str">
            <v>山西办公室</v>
          </cell>
        </row>
        <row r="101">
          <cell r="I101" t="str">
            <v>办公室主任</v>
          </cell>
        </row>
        <row r="102">
          <cell r="A102" t="str">
            <v>杨茜影</v>
          </cell>
          <cell r="B102" t="str">
            <v>01867</v>
          </cell>
          <cell r="C102" t="str">
            <v>四川优诺通瑞商贸有限公司</v>
          </cell>
          <cell r="D102">
            <v>46009</v>
          </cell>
          <cell r="E102" t="str">
            <v>集团职能</v>
          </cell>
          <cell r="F102" t="str">
            <v>职能总部</v>
          </cell>
          <cell r="G102" t="str">
            <v>人资行政部</v>
          </cell>
          <cell r="H102" t="str">
            <v>招聘部</v>
          </cell>
          <cell r="I102" t="str">
            <v>招聘专员</v>
          </cell>
        </row>
        <row r="103">
          <cell r="A103" t="str">
            <v>沙元晗</v>
          </cell>
          <cell r="B103" t="str">
            <v>01855</v>
          </cell>
          <cell r="C103" t="str">
            <v>山东时代蜂族营销策划有限公司</v>
          </cell>
          <cell r="D103">
            <v>46009</v>
          </cell>
          <cell r="E103" t="str">
            <v>山东</v>
          </cell>
          <cell r="F103" t="str">
            <v>山东办公室</v>
          </cell>
        </row>
        <row r="103">
          <cell r="I103" t="str">
            <v>办公室主任</v>
          </cell>
        </row>
        <row r="104">
          <cell r="A104" t="str">
            <v>屈文涛</v>
          </cell>
          <cell r="B104" t="str">
            <v>01864</v>
          </cell>
          <cell r="C104" t="str">
            <v>四川时代蜂族营销策划有限公司</v>
          </cell>
          <cell r="D104">
            <v>46008</v>
          </cell>
          <cell r="E104" t="str">
            <v>西南总部</v>
          </cell>
          <cell r="F104" t="str">
            <v>西南营销中心</v>
          </cell>
          <cell r="G104" t="str">
            <v>营业六部</v>
          </cell>
          <cell r="H104" t="str">
            <v>郑雄</v>
          </cell>
          <cell r="I104" t="str">
            <v>实习销售</v>
          </cell>
        </row>
        <row r="105">
          <cell r="A105" t="str">
            <v>李杰4</v>
          </cell>
          <cell r="B105" t="str">
            <v>01863</v>
          </cell>
          <cell r="C105" t="str">
            <v>四川时代蜂族营销策划有限公司</v>
          </cell>
          <cell r="D105">
            <v>46008</v>
          </cell>
          <cell r="E105" t="str">
            <v>西南总部</v>
          </cell>
          <cell r="F105" t="str">
            <v>西南营销中心</v>
          </cell>
          <cell r="G105" t="str">
            <v>营业一部</v>
          </cell>
          <cell r="H105" t="str">
            <v>张圣梁</v>
          </cell>
          <cell r="I105" t="str">
            <v>实习销售</v>
          </cell>
        </row>
        <row r="106">
          <cell r="A106" t="str">
            <v>蒋亚丽</v>
          </cell>
          <cell r="B106" t="str">
            <v>01862</v>
          </cell>
          <cell r="C106" t="str">
            <v>陕西时代蜂族营销策划有限公司</v>
          </cell>
          <cell r="D106">
            <v>46006</v>
          </cell>
          <cell r="E106" t="str">
            <v>陕西</v>
          </cell>
          <cell r="F106" t="str">
            <v>陕西营销中心</v>
          </cell>
          <cell r="G106" t="str">
            <v>陕西2部</v>
          </cell>
          <cell r="H106" t="str">
            <v>李耀</v>
          </cell>
          <cell r="I106" t="str">
            <v>实习销售</v>
          </cell>
        </row>
        <row r="107">
          <cell r="A107" t="str">
            <v>龚梦勤</v>
          </cell>
          <cell r="B107" t="str">
            <v>01858</v>
          </cell>
          <cell r="C107" t="str">
            <v>四川时代蜂族营销策划有限公司</v>
          </cell>
          <cell r="D107">
            <v>46006</v>
          </cell>
          <cell r="E107" t="str">
            <v>西南总部</v>
          </cell>
          <cell r="F107" t="str">
            <v>西南营销中心</v>
          </cell>
          <cell r="G107" t="str">
            <v>营业五部</v>
          </cell>
          <cell r="H107" t="str">
            <v>周远芮</v>
          </cell>
          <cell r="I107" t="str">
            <v>实习销售</v>
          </cell>
        </row>
        <row r="108">
          <cell r="A108" t="str">
            <v>但佳佳</v>
          </cell>
          <cell r="B108" t="str">
            <v>01859</v>
          </cell>
          <cell r="C108" t="str">
            <v>四川时代蜂族营销策划有限公司</v>
          </cell>
          <cell r="D108">
            <v>46006</v>
          </cell>
          <cell r="E108" t="str">
            <v>西南总部</v>
          </cell>
          <cell r="F108" t="str">
            <v>西南营销中心</v>
          </cell>
          <cell r="G108" t="str">
            <v>营业三部</v>
          </cell>
          <cell r="H108" t="str">
            <v>李海艳</v>
          </cell>
          <cell r="I108" t="str">
            <v>实习销售</v>
          </cell>
        </row>
        <row r="109">
          <cell r="A109" t="str">
            <v>潘柯</v>
          </cell>
          <cell r="B109" t="str">
            <v>01854</v>
          </cell>
          <cell r="C109" t="str">
            <v>四川时代蜂族营销策划有限公司</v>
          </cell>
          <cell r="D109">
            <v>46005</v>
          </cell>
          <cell r="E109" t="str">
            <v>西南总部</v>
          </cell>
          <cell r="F109" t="str">
            <v>西南营销中心</v>
          </cell>
          <cell r="G109" t="str">
            <v>营业六部</v>
          </cell>
          <cell r="H109" t="str">
            <v>杨翠茹</v>
          </cell>
          <cell r="I109" t="str">
            <v>实习销售</v>
          </cell>
        </row>
        <row r="110">
          <cell r="A110" t="str">
            <v>吕亚美</v>
          </cell>
          <cell r="B110" t="str">
            <v>01861</v>
          </cell>
          <cell r="C110" t="str">
            <v>河南蜜蜂族营销策划有限公司</v>
          </cell>
          <cell r="D110">
            <v>46004</v>
          </cell>
          <cell r="E110" t="str">
            <v>河南</v>
          </cell>
          <cell r="F110" t="str">
            <v>河南营销中心</v>
          </cell>
          <cell r="G110" t="str">
            <v>河南销售部</v>
          </cell>
          <cell r="H110" t="str">
            <v>余金梅</v>
          </cell>
          <cell r="I110" t="str">
            <v>实习销售</v>
          </cell>
        </row>
        <row r="111">
          <cell r="A111" t="str">
            <v>曹誉磊</v>
          </cell>
          <cell r="B111" t="str">
            <v>01852</v>
          </cell>
          <cell r="C111" t="str">
            <v>四川时代蜂族营销策划有限公司</v>
          </cell>
          <cell r="D111">
            <v>46003</v>
          </cell>
          <cell r="E111" t="str">
            <v>西南总部</v>
          </cell>
          <cell r="F111" t="str">
            <v>西南营销中心</v>
          </cell>
          <cell r="G111" t="str">
            <v>营业七部</v>
          </cell>
          <cell r="H111" t="str">
            <v>申慧</v>
          </cell>
          <cell r="I111" t="str">
            <v>实习销售</v>
          </cell>
        </row>
        <row r="112">
          <cell r="A112" t="str">
            <v>王琪</v>
          </cell>
          <cell r="B112" t="str">
            <v>01850</v>
          </cell>
          <cell r="C112" t="str">
            <v>河北时代蜂族营销策划有限公司</v>
          </cell>
          <cell r="D112">
            <v>46003</v>
          </cell>
          <cell r="E112" t="str">
            <v>河北</v>
          </cell>
          <cell r="F112" t="str">
            <v>河北营销中心</v>
          </cell>
          <cell r="G112" t="str">
            <v>河北销售部</v>
          </cell>
          <cell r="H112" t="str">
            <v>李港一</v>
          </cell>
          <cell r="I112" t="str">
            <v>一星销售顾问</v>
          </cell>
        </row>
        <row r="113">
          <cell r="A113" t="str">
            <v>耿腾飞</v>
          </cell>
          <cell r="B113" t="str">
            <v>01849</v>
          </cell>
          <cell r="C113" t="str">
            <v>山东时代蜂族营销策划有限公司</v>
          </cell>
          <cell r="D113">
            <v>46003</v>
          </cell>
          <cell r="E113" t="str">
            <v>山东</v>
          </cell>
          <cell r="F113" t="str">
            <v>山东营销中心</v>
          </cell>
          <cell r="G113" t="str">
            <v>山东销售部</v>
          </cell>
          <cell r="H113" t="str">
            <v>肖佳</v>
          </cell>
          <cell r="I113" t="str">
            <v>一星销售顾问</v>
          </cell>
        </row>
        <row r="114">
          <cell r="A114" t="str">
            <v>杨晓</v>
          </cell>
          <cell r="B114" t="str">
            <v>01846</v>
          </cell>
          <cell r="C114" t="str">
            <v>陕西时代蜂族营销策划有限公司</v>
          </cell>
          <cell r="D114">
            <v>46002</v>
          </cell>
          <cell r="E114" t="str">
            <v>陕西</v>
          </cell>
          <cell r="F114" t="str">
            <v>陕西营销中心</v>
          </cell>
          <cell r="G114" t="str">
            <v>陕西2部</v>
          </cell>
          <cell r="H114" t="str">
            <v>蒙建</v>
          </cell>
          <cell r="I114" t="str">
            <v>实习销售</v>
          </cell>
        </row>
        <row r="115">
          <cell r="A115" t="str">
            <v>吴俊芳</v>
          </cell>
          <cell r="B115" t="str">
            <v>01851</v>
          </cell>
          <cell r="C115" t="str">
            <v>湖北蜜蜂族房地产经纪有限公司</v>
          </cell>
          <cell r="D115">
            <v>46002</v>
          </cell>
          <cell r="E115" t="str">
            <v>湖北</v>
          </cell>
          <cell r="F115" t="str">
            <v>湖北营销中心</v>
          </cell>
          <cell r="G115" t="str">
            <v>湖北2部</v>
          </cell>
          <cell r="H115" t="str">
            <v>陈俊儒</v>
          </cell>
          <cell r="I115" t="str">
            <v>实习销售</v>
          </cell>
        </row>
        <row r="116">
          <cell r="A116" t="str">
            <v>陈思竹</v>
          </cell>
          <cell r="B116" t="str">
            <v>01848</v>
          </cell>
          <cell r="C116" t="str">
            <v>四川时代蜂族营销策划有限公司</v>
          </cell>
          <cell r="D116">
            <v>46002</v>
          </cell>
          <cell r="E116" t="str">
            <v>河南</v>
          </cell>
          <cell r="F116" t="str">
            <v>河南营销中心</v>
          </cell>
          <cell r="G116" t="str">
            <v>河南销售部</v>
          </cell>
          <cell r="H116" t="str">
            <v>张萍河南</v>
          </cell>
          <cell r="I116" t="str">
            <v>实习销售</v>
          </cell>
        </row>
        <row r="117">
          <cell r="A117" t="str">
            <v>范仕宽</v>
          </cell>
          <cell r="B117" t="str">
            <v>01853</v>
          </cell>
          <cell r="C117" t="str">
            <v>四川时代蜂族营销策划有限公司</v>
          </cell>
          <cell r="D117">
            <v>46001</v>
          </cell>
          <cell r="E117" t="str">
            <v>西南总部</v>
          </cell>
          <cell r="F117" t="str">
            <v>西南营销中心</v>
          </cell>
          <cell r="G117" t="str">
            <v>营业二部</v>
          </cell>
          <cell r="H117" t="str">
            <v>李先洪</v>
          </cell>
          <cell r="I117" t="str">
            <v>实习销售</v>
          </cell>
        </row>
        <row r="118">
          <cell r="A118" t="str">
            <v>杨诗语</v>
          </cell>
          <cell r="B118" t="str">
            <v>01844</v>
          </cell>
          <cell r="C118" t="str">
            <v>陕西蜂族科技有限公司</v>
          </cell>
          <cell r="D118">
            <v>45999</v>
          </cell>
          <cell r="E118" t="str">
            <v>陕西</v>
          </cell>
          <cell r="F118" t="str">
            <v>陕西营销中心</v>
          </cell>
          <cell r="G118" t="str">
            <v>陕西1部</v>
          </cell>
          <cell r="H118" t="str">
            <v>张英</v>
          </cell>
          <cell r="I118" t="str">
            <v>实习销售</v>
          </cell>
        </row>
        <row r="119">
          <cell r="A119" t="str">
            <v>张钰忠</v>
          </cell>
          <cell r="B119" t="str">
            <v>01832</v>
          </cell>
          <cell r="C119" t="str">
            <v>四川时代蜂族营销策划有限公司</v>
          </cell>
          <cell r="D119">
            <v>45998</v>
          </cell>
          <cell r="E119" t="str">
            <v>西南总部</v>
          </cell>
          <cell r="F119" t="str">
            <v>西南营销中心</v>
          </cell>
          <cell r="G119" t="str">
            <v>营业三部</v>
          </cell>
          <cell r="H119" t="str">
            <v>陶再阳</v>
          </cell>
          <cell r="I119" t="str">
            <v>实习销售</v>
          </cell>
        </row>
        <row r="120">
          <cell r="A120" t="str">
            <v>钟亚坤</v>
          </cell>
          <cell r="B120" t="str">
            <v>01843</v>
          </cell>
          <cell r="C120" t="str">
            <v>陕西时代蜂族营销策划有限公司</v>
          </cell>
          <cell r="D120">
            <v>45998</v>
          </cell>
          <cell r="E120" t="str">
            <v>陕西</v>
          </cell>
          <cell r="F120" t="str">
            <v>陕西营销中心</v>
          </cell>
          <cell r="G120" t="str">
            <v>陕西2部</v>
          </cell>
          <cell r="H120" t="str">
            <v>朱全兰</v>
          </cell>
          <cell r="I120" t="str">
            <v>实习销售</v>
          </cell>
        </row>
        <row r="121">
          <cell r="A121" t="str">
            <v>白彬</v>
          </cell>
          <cell r="B121" t="str">
            <v>01828</v>
          </cell>
          <cell r="C121" t="str">
            <v>四川时代蜂族营销策划有限公司</v>
          </cell>
          <cell r="D121">
            <v>45998</v>
          </cell>
          <cell r="E121" t="str">
            <v>西南总部</v>
          </cell>
          <cell r="F121" t="str">
            <v>西南营销中心</v>
          </cell>
          <cell r="G121" t="str">
            <v>营业三部</v>
          </cell>
          <cell r="H121" t="str">
            <v>姚瑶</v>
          </cell>
          <cell r="I121" t="str">
            <v>实习销售</v>
          </cell>
        </row>
        <row r="122">
          <cell r="A122" t="str">
            <v>牟鸿立</v>
          </cell>
          <cell r="B122" t="str">
            <v>01830</v>
          </cell>
          <cell r="C122" t="str">
            <v>四川时代蜂族营销策划有限公司</v>
          </cell>
          <cell r="D122">
            <v>45998</v>
          </cell>
          <cell r="E122" t="str">
            <v>西南总部</v>
          </cell>
          <cell r="F122" t="str">
            <v>西南营销中心</v>
          </cell>
          <cell r="G122" t="str">
            <v>营业七部</v>
          </cell>
          <cell r="H122" t="str">
            <v>刘鹏</v>
          </cell>
          <cell r="I122" t="str">
            <v>实习销售</v>
          </cell>
        </row>
        <row r="123">
          <cell r="A123" t="str">
            <v>林乔乔</v>
          </cell>
          <cell r="B123" t="str">
            <v>01841</v>
          </cell>
          <cell r="C123" t="str">
            <v>四川时代蜂族营销策划有限公司</v>
          </cell>
          <cell r="D123">
            <v>45998</v>
          </cell>
          <cell r="E123" t="str">
            <v>西南总部</v>
          </cell>
          <cell r="F123" t="str">
            <v>西南营销中心</v>
          </cell>
          <cell r="G123" t="str">
            <v>营业一部</v>
          </cell>
          <cell r="H123" t="str">
            <v>雷小金</v>
          </cell>
          <cell r="I123" t="str">
            <v>实习销售</v>
          </cell>
        </row>
        <row r="124">
          <cell r="A124" t="str">
            <v>向旭</v>
          </cell>
          <cell r="B124" t="str">
            <v>01825</v>
          </cell>
          <cell r="C124" t="str">
            <v>四川时代蜂族营销策划有限公司</v>
          </cell>
          <cell r="D124">
            <v>45998</v>
          </cell>
          <cell r="E124" t="str">
            <v>河南</v>
          </cell>
          <cell r="F124" t="str">
            <v>河南营销中心</v>
          </cell>
          <cell r="G124" t="str">
            <v>河南销售部</v>
          </cell>
          <cell r="H124" t="str">
            <v>张萍河南</v>
          </cell>
          <cell r="I124" t="str">
            <v>实习销售</v>
          </cell>
        </row>
        <row r="125">
          <cell r="A125" t="str">
            <v>叶秀慧</v>
          </cell>
          <cell r="B125" t="str">
            <v>01837</v>
          </cell>
          <cell r="C125" t="str">
            <v>四川时代蜂族营销策划有限公司</v>
          </cell>
          <cell r="D125">
            <v>45998</v>
          </cell>
          <cell r="E125" t="str">
            <v>西南总部</v>
          </cell>
          <cell r="F125" t="str">
            <v>西南营销中心</v>
          </cell>
          <cell r="G125" t="str">
            <v>营业六部</v>
          </cell>
          <cell r="H125" t="str">
            <v>税锐</v>
          </cell>
          <cell r="I125" t="str">
            <v>实习销售</v>
          </cell>
        </row>
        <row r="126">
          <cell r="A126" t="str">
            <v>陈俊文</v>
          </cell>
          <cell r="B126" t="str">
            <v>01836</v>
          </cell>
          <cell r="C126" t="str">
            <v>四川时代蜂族营销策划有限公司</v>
          </cell>
          <cell r="D126">
            <v>45998</v>
          </cell>
          <cell r="E126" t="str">
            <v>西南总部</v>
          </cell>
          <cell r="F126" t="str">
            <v>西南营销中心</v>
          </cell>
          <cell r="G126" t="str">
            <v>营业二部</v>
          </cell>
          <cell r="H126" t="str">
            <v>王彬力</v>
          </cell>
          <cell r="I126" t="str">
            <v>实习销售</v>
          </cell>
        </row>
        <row r="127">
          <cell r="A127" t="str">
            <v>胡月2</v>
          </cell>
          <cell r="B127" t="str">
            <v>01840</v>
          </cell>
          <cell r="C127" t="str">
            <v>山西时代蜂族房地产经纪有限公司</v>
          </cell>
          <cell r="D127">
            <v>45995</v>
          </cell>
          <cell r="E127" t="str">
            <v>山西</v>
          </cell>
          <cell r="F127" t="str">
            <v>山西营销中心</v>
          </cell>
          <cell r="G127" t="str">
            <v>山西销售部</v>
          </cell>
          <cell r="H127" t="str">
            <v>郭永曼</v>
          </cell>
          <cell r="I127" t="str">
            <v>实习销售</v>
          </cell>
        </row>
        <row r="128">
          <cell r="A128" t="str">
            <v>章小康</v>
          </cell>
          <cell r="B128" t="str">
            <v>01838</v>
          </cell>
          <cell r="C128" t="str">
            <v>湖北蜜蜂族房地产经纪有限公司</v>
          </cell>
          <cell r="D128">
            <v>45994</v>
          </cell>
          <cell r="E128" t="str">
            <v>湖北</v>
          </cell>
          <cell r="F128" t="str">
            <v>湖北营销中心</v>
          </cell>
          <cell r="G128" t="str">
            <v>湖北2部</v>
          </cell>
          <cell r="H128" t="str">
            <v>马超</v>
          </cell>
          <cell r="I128" t="str">
            <v>实习销售</v>
          </cell>
        </row>
        <row r="129">
          <cell r="A129" t="str">
            <v>林兴江</v>
          </cell>
          <cell r="B129" t="str">
            <v>01835</v>
          </cell>
          <cell r="C129" t="str">
            <v>四川时代蜂族营销策划有限公司</v>
          </cell>
          <cell r="D129">
            <v>45994</v>
          </cell>
          <cell r="E129" t="str">
            <v>西南总部</v>
          </cell>
          <cell r="F129" t="str">
            <v>西南营销中心</v>
          </cell>
          <cell r="G129" t="str">
            <v>营业六部</v>
          </cell>
          <cell r="H129" t="str">
            <v>袁华</v>
          </cell>
          <cell r="I129" t="str">
            <v>实习销售</v>
          </cell>
        </row>
        <row r="130">
          <cell r="A130" t="str">
            <v>李强3</v>
          </cell>
          <cell r="B130" t="str">
            <v>01833</v>
          </cell>
          <cell r="C130" t="str">
            <v>湖南时代蜂族营销策划有限公司</v>
          </cell>
          <cell r="D130">
            <v>45993</v>
          </cell>
          <cell r="E130" t="str">
            <v>湖南</v>
          </cell>
          <cell r="F130" t="str">
            <v>湖南营销中心</v>
          </cell>
          <cell r="G130" t="str">
            <v>湖南销售部</v>
          </cell>
          <cell r="H130" t="str">
            <v>刘元发</v>
          </cell>
          <cell r="I130" t="str">
            <v>实习销售</v>
          </cell>
        </row>
        <row r="131">
          <cell r="A131" t="str">
            <v>郭希鹏</v>
          </cell>
          <cell r="B131" t="str">
            <v>01819</v>
          </cell>
          <cell r="C131" t="str">
            <v>陕西蜂族科技有限公司</v>
          </cell>
          <cell r="D131">
            <v>45992</v>
          </cell>
          <cell r="E131" t="str">
            <v>陕西</v>
          </cell>
          <cell r="F131" t="str">
            <v>陕西营销中心</v>
          </cell>
          <cell r="G131" t="str">
            <v>陕西1部</v>
          </cell>
          <cell r="H131" t="str">
            <v>马少波</v>
          </cell>
          <cell r="I131" t="str">
            <v>实习销售</v>
          </cell>
        </row>
        <row r="132">
          <cell r="A132" t="str">
            <v>李青松</v>
          </cell>
          <cell r="B132" t="str">
            <v>01821</v>
          </cell>
          <cell r="C132" t="str">
            <v>四川时代蜂族营销策划有限公司</v>
          </cell>
          <cell r="D132">
            <v>45992</v>
          </cell>
          <cell r="E132" t="str">
            <v>西南总部</v>
          </cell>
          <cell r="F132" t="str">
            <v>西南营销中心</v>
          </cell>
          <cell r="G132" t="str">
            <v>营业一部</v>
          </cell>
          <cell r="H132" t="str">
            <v>白世根</v>
          </cell>
          <cell r="I132" t="str">
            <v>一星销售顾问</v>
          </cell>
        </row>
        <row r="133">
          <cell r="A133" t="str">
            <v>费玲玲</v>
          </cell>
          <cell r="B133" t="str">
            <v>01820</v>
          </cell>
          <cell r="C133" t="str">
            <v>湖南时代蜂族营销策划有限公司</v>
          </cell>
          <cell r="D133">
            <v>45992</v>
          </cell>
          <cell r="E133" t="str">
            <v>湖南</v>
          </cell>
          <cell r="F133" t="str">
            <v>湖南营销中心</v>
          </cell>
          <cell r="G133" t="str">
            <v>湖南销售部</v>
          </cell>
          <cell r="H133" t="str">
            <v>黄勇刚湖南</v>
          </cell>
          <cell r="I133" t="str">
            <v>实习销售</v>
          </cell>
        </row>
        <row r="134">
          <cell r="A134" t="str">
            <v>杜文博</v>
          </cell>
          <cell r="B134" t="str">
            <v>01823</v>
          </cell>
          <cell r="C134" t="str">
            <v>陕西时代蜂族营销策划有限公司</v>
          </cell>
          <cell r="D134">
            <v>45992</v>
          </cell>
          <cell r="E134" t="str">
            <v>陕西</v>
          </cell>
          <cell r="F134" t="str">
            <v>陕西营销中心</v>
          </cell>
          <cell r="G134" t="str">
            <v>陕西2部</v>
          </cell>
          <cell r="H134" t="str">
            <v>王晓刚</v>
          </cell>
          <cell r="I134" t="str">
            <v>实习销售</v>
          </cell>
        </row>
        <row r="135">
          <cell r="A135" t="str">
            <v>关志亮</v>
          </cell>
          <cell r="B135" t="str">
            <v>01824</v>
          </cell>
          <cell r="C135" t="str">
            <v>山西时代蜂族房地产经纪有限公司</v>
          </cell>
          <cell r="D135">
            <v>45992</v>
          </cell>
          <cell r="E135" t="str">
            <v>山西</v>
          </cell>
          <cell r="F135" t="str">
            <v>山西营销中心</v>
          </cell>
          <cell r="G135" t="str">
            <v>山西销售部</v>
          </cell>
          <cell r="H135" t="str">
            <v>邓富</v>
          </cell>
          <cell r="I135" t="str">
            <v>一星销售顾问</v>
          </cell>
        </row>
        <row r="136">
          <cell r="A136" t="str">
            <v>陈超3</v>
          </cell>
          <cell r="B136" t="str">
            <v>01822</v>
          </cell>
          <cell r="C136" t="str">
            <v>四川时代蜂族营销策划有限公司</v>
          </cell>
          <cell r="D136">
            <v>45990</v>
          </cell>
          <cell r="E136" t="str">
            <v>西南总部</v>
          </cell>
          <cell r="F136" t="str">
            <v>西南营销中心</v>
          </cell>
          <cell r="G136" t="str">
            <v>营业七部</v>
          </cell>
          <cell r="H136" t="str">
            <v>程新浩</v>
          </cell>
          <cell r="I136" t="str">
            <v>实习销售</v>
          </cell>
        </row>
        <row r="137">
          <cell r="A137" t="str">
            <v>王胜波</v>
          </cell>
          <cell r="B137" t="str">
            <v>01817</v>
          </cell>
          <cell r="C137" t="str">
            <v>四川时代蜂族营销策划有限公司</v>
          </cell>
          <cell r="D137">
            <v>45989</v>
          </cell>
          <cell r="E137" t="str">
            <v>西南总部</v>
          </cell>
          <cell r="F137" t="str">
            <v>西南营销中心</v>
          </cell>
          <cell r="G137" t="str">
            <v>营业三部</v>
          </cell>
          <cell r="H137" t="str">
            <v>扈岭楠</v>
          </cell>
          <cell r="I137" t="str">
            <v>实习销售</v>
          </cell>
        </row>
        <row r="138">
          <cell r="A138" t="str">
            <v>王建根</v>
          </cell>
          <cell r="B138" t="str">
            <v>01274</v>
          </cell>
          <cell r="C138" t="str">
            <v>四川时代蜂族营销策划有限公司</v>
          </cell>
          <cell r="D138">
            <v>45989</v>
          </cell>
          <cell r="E138" t="str">
            <v>西南总部</v>
          </cell>
          <cell r="F138" t="str">
            <v>西南营销中心</v>
          </cell>
          <cell r="G138" t="str">
            <v>营业六部</v>
          </cell>
          <cell r="H138" t="str">
            <v>杨威</v>
          </cell>
          <cell r="I138" t="str">
            <v>一星销售顾问</v>
          </cell>
        </row>
        <row r="139">
          <cell r="A139" t="str">
            <v>李帅</v>
          </cell>
          <cell r="B139" t="str">
            <v>01842</v>
          </cell>
          <cell r="C139" t="str">
            <v>四川时代蜂族营销策划有限公司</v>
          </cell>
          <cell r="D139">
            <v>45989</v>
          </cell>
          <cell r="E139" t="str">
            <v>西南总部</v>
          </cell>
          <cell r="F139" t="str">
            <v>西南营销中心</v>
          </cell>
          <cell r="G139" t="str">
            <v>营业七部</v>
          </cell>
          <cell r="H139" t="str">
            <v>蒋杨</v>
          </cell>
          <cell r="I139" t="str">
            <v>实习销售</v>
          </cell>
        </row>
        <row r="140">
          <cell r="A140" t="str">
            <v>王涛2</v>
          </cell>
          <cell r="B140" t="str">
            <v>01814</v>
          </cell>
          <cell r="C140" t="str">
            <v>山西时代蜂族房地产经纪有限公司</v>
          </cell>
          <cell r="D140">
            <v>45986</v>
          </cell>
          <cell r="E140" t="str">
            <v>山西</v>
          </cell>
          <cell r="F140" t="str">
            <v>山西营销中心</v>
          </cell>
          <cell r="G140" t="str">
            <v>山西销售部</v>
          </cell>
          <cell r="H140" t="str">
            <v>邓富</v>
          </cell>
          <cell r="I140" t="str">
            <v>一星销售顾问</v>
          </cell>
        </row>
        <row r="141">
          <cell r="A141" t="str">
            <v>刘涛</v>
          </cell>
          <cell r="B141" t="str">
            <v>01810</v>
          </cell>
          <cell r="C141" t="str">
            <v>山西时代蜂族房地产经纪有限公司</v>
          </cell>
          <cell r="D141">
            <v>45986</v>
          </cell>
          <cell r="E141" t="str">
            <v>山西</v>
          </cell>
          <cell r="F141" t="str">
            <v>山西营销中心</v>
          </cell>
          <cell r="G141" t="str">
            <v>山西销售部</v>
          </cell>
          <cell r="H141" t="str">
            <v>李权益</v>
          </cell>
          <cell r="I141" t="str">
            <v>实习销售</v>
          </cell>
        </row>
        <row r="142">
          <cell r="A142" t="str">
            <v>杜丽娜</v>
          </cell>
          <cell r="B142" t="str">
            <v>01813</v>
          </cell>
          <cell r="C142" t="str">
            <v>山西时代蜂族房地产经纪有限公司</v>
          </cell>
          <cell r="D142">
            <v>45986</v>
          </cell>
          <cell r="E142" t="str">
            <v>山西</v>
          </cell>
          <cell r="F142" t="str">
            <v>山西营销中心</v>
          </cell>
          <cell r="G142" t="str">
            <v>山西销售部</v>
          </cell>
          <cell r="H142" t="str">
            <v>赵龙</v>
          </cell>
          <cell r="I142" t="str">
            <v>实习销售</v>
          </cell>
        </row>
        <row r="143">
          <cell r="A143" t="str">
            <v>李思雨</v>
          </cell>
          <cell r="B143" t="str">
            <v>01806</v>
          </cell>
          <cell r="C143" t="str">
            <v>湖南时代蜂族营销策划有限公司</v>
          </cell>
          <cell r="D143">
            <v>45985</v>
          </cell>
          <cell r="E143" t="str">
            <v>湖南</v>
          </cell>
          <cell r="F143" t="str">
            <v>湖南营销中心</v>
          </cell>
          <cell r="G143" t="str">
            <v>湖南销售部</v>
          </cell>
          <cell r="H143" t="str">
            <v>黄勇刚湖南</v>
          </cell>
          <cell r="I143" t="str">
            <v>实习销售</v>
          </cell>
        </row>
        <row r="144">
          <cell r="A144" t="str">
            <v>黄佳宇</v>
          </cell>
          <cell r="B144" t="str">
            <v>01812</v>
          </cell>
          <cell r="C144" t="str">
            <v>湖南时代蜂族营销策划有限公司</v>
          </cell>
          <cell r="D144">
            <v>45985</v>
          </cell>
          <cell r="E144" t="str">
            <v>湖南</v>
          </cell>
          <cell r="F144" t="str">
            <v>湖南营销中心</v>
          </cell>
          <cell r="G144" t="str">
            <v>湖南销售部</v>
          </cell>
          <cell r="H144" t="str">
            <v>刘元发</v>
          </cell>
          <cell r="I144" t="str">
            <v>实习销售</v>
          </cell>
        </row>
        <row r="145">
          <cell r="A145" t="str">
            <v>李钰倩</v>
          </cell>
          <cell r="B145" t="str">
            <v>01795</v>
          </cell>
          <cell r="C145" t="str">
            <v>四川优诺通瑞商贸有限公司</v>
          </cell>
          <cell r="D145">
            <v>45985</v>
          </cell>
          <cell r="E145" t="str">
            <v>集团职能</v>
          </cell>
          <cell r="F145" t="str">
            <v>职能总部</v>
          </cell>
          <cell r="G145" t="str">
            <v>人资行政部</v>
          </cell>
        </row>
        <row r="145">
          <cell r="I145" t="str">
            <v>行政专员</v>
          </cell>
        </row>
        <row r="146">
          <cell r="A146" t="str">
            <v>雷单</v>
          </cell>
          <cell r="B146" t="str">
            <v>01805</v>
          </cell>
          <cell r="C146" t="str">
            <v>湖南时代蜂族营销策划有限公司</v>
          </cell>
          <cell r="D146">
            <v>45984</v>
          </cell>
          <cell r="E146" t="str">
            <v>湖南</v>
          </cell>
          <cell r="F146" t="str">
            <v>湖南营销中心</v>
          </cell>
          <cell r="G146" t="str">
            <v>湖南销售部</v>
          </cell>
          <cell r="H146" t="str">
            <v>徐子康湖南</v>
          </cell>
          <cell r="I146" t="str">
            <v>实习销售</v>
          </cell>
        </row>
        <row r="147">
          <cell r="A147" t="str">
            <v>武玄耀</v>
          </cell>
          <cell r="B147" t="str">
            <v>01800</v>
          </cell>
          <cell r="C147" t="str">
            <v>陕西时代蜂族营销策划有限公司</v>
          </cell>
          <cell r="D147">
            <v>45983</v>
          </cell>
          <cell r="E147" t="str">
            <v>陕西</v>
          </cell>
          <cell r="F147" t="str">
            <v>陕西营销中心</v>
          </cell>
          <cell r="G147" t="str">
            <v>陕西2部</v>
          </cell>
          <cell r="H147" t="str">
            <v>朱全兰</v>
          </cell>
          <cell r="I147" t="str">
            <v>实习销售</v>
          </cell>
        </row>
        <row r="148">
          <cell r="A148" t="str">
            <v>侯萌萌</v>
          </cell>
          <cell r="B148" t="str">
            <v>01802</v>
          </cell>
          <cell r="C148" t="str">
            <v>陕西蜂族科技有限公司</v>
          </cell>
          <cell r="D148">
            <v>45982</v>
          </cell>
          <cell r="E148" t="str">
            <v>陕西</v>
          </cell>
          <cell r="F148" t="str">
            <v>陕西营销中心</v>
          </cell>
          <cell r="G148" t="str">
            <v>陕西1部</v>
          </cell>
          <cell r="H148" t="str">
            <v>朱露颖</v>
          </cell>
          <cell r="I148" t="str">
            <v>实习销售</v>
          </cell>
        </row>
        <row r="149">
          <cell r="A149" t="str">
            <v>王建平</v>
          </cell>
          <cell r="B149" t="str">
            <v>01803</v>
          </cell>
          <cell r="C149" t="str">
            <v>陕西时代蜂族营销策划有限公司</v>
          </cell>
          <cell r="D149">
            <v>45980</v>
          </cell>
          <cell r="E149" t="str">
            <v>陕西</v>
          </cell>
          <cell r="F149" t="str">
            <v>陕西营销中心</v>
          </cell>
          <cell r="G149" t="str">
            <v>陕西1部</v>
          </cell>
          <cell r="H149" t="str">
            <v>马少波</v>
          </cell>
          <cell r="I149" t="str">
            <v>实习销售</v>
          </cell>
        </row>
        <row r="150">
          <cell r="A150" t="str">
            <v>蒲家智</v>
          </cell>
          <cell r="B150" t="str">
            <v>01798</v>
          </cell>
          <cell r="C150" t="str">
            <v>四川时代蜂族营销策划有限公司</v>
          </cell>
          <cell r="D150">
            <v>45980</v>
          </cell>
          <cell r="E150" t="str">
            <v>西南总部</v>
          </cell>
          <cell r="F150" t="str">
            <v>西南营销中心</v>
          </cell>
          <cell r="G150" t="str">
            <v>营业二部</v>
          </cell>
          <cell r="H150" t="str">
            <v>王彬力</v>
          </cell>
          <cell r="I150" t="str">
            <v>实习销售</v>
          </cell>
        </row>
        <row r="151">
          <cell r="A151" t="str">
            <v>翟亚飞</v>
          </cell>
          <cell r="B151" t="str">
            <v>01807</v>
          </cell>
          <cell r="C151" t="str">
            <v>河南蜜蜂族营销策划有限公司</v>
          </cell>
          <cell r="D151">
            <v>45979</v>
          </cell>
          <cell r="E151" t="str">
            <v>河南</v>
          </cell>
          <cell r="F151" t="str">
            <v>河南营销中心</v>
          </cell>
          <cell r="G151" t="str">
            <v>河南销售部</v>
          </cell>
          <cell r="H151" t="str">
            <v>吕涛河南</v>
          </cell>
          <cell r="I151" t="str">
            <v>实习销售</v>
          </cell>
        </row>
        <row r="152">
          <cell r="A152" t="str">
            <v>崔建伟</v>
          </cell>
          <cell r="B152" t="str">
            <v>01797</v>
          </cell>
          <cell r="C152" t="str">
            <v>四川时代蜂族营销策划有限公司</v>
          </cell>
          <cell r="D152">
            <v>45979</v>
          </cell>
          <cell r="E152" t="str">
            <v>西南总部</v>
          </cell>
          <cell r="F152" t="str">
            <v>西南营销中心</v>
          </cell>
          <cell r="G152" t="str">
            <v>营业二部</v>
          </cell>
          <cell r="H152" t="str">
            <v>魏飞翔</v>
          </cell>
          <cell r="I152" t="str">
            <v>实习销售</v>
          </cell>
        </row>
        <row r="153">
          <cell r="A153" t="str">
            <v>张剑虹</v>
          </cell>
          <cell r="B153" t="str">
            <v>01792</v>
          </cell>
          <cell r="C153" t="str">
            <v>四川时代蜂族营销策划有限公司</v>
          </cell>
          <cell r="D153">
            <v>45978</v>
          </cell>
          <cell r="E153" t="str">
            <v>西南总部</v>
          </cell>
          <cell r="F153" t="str">
            <v>西南营销中心</v>
          </cell>
          <cell r="G153" t="str">
            <v>营业六部</v>
          </cell>
          <cell r="H153" t="str">
            <v>韩颖</v>
          </cell>
          <cell r="I153" t="str">
            <v>实习销售</v>
          </cell>
        </row>
        <row r="154">
          <cell r="A154" t="str">
            <v>钟雪娇</v>
          </cell>
          <cell r="B154" t="str">
            <v>01781</v>
          </cell>
          <cell r="C154" t="str">
            <v>四川时代蜂族营销策划有限公司</v>
          </cell>
          <cell r="D154">
            <v>45978</v>
          </cell>
          <cell r="E154" t="str">
            <v>集团职能</v>
          </cell>
          <cell r="F154" t="str">
            <v>职能总部</v>
          </cell>
          <cell r="G154" t="str">
            <v>外呼中心</v>
          </cell>
        </row>
        <row r="154">
          <cell r="I154" t="str">
            <v>调研专员</v>
          </cell>
        </row>
        <row r="155">
          <cell r="A155" t="str">
            <v>王勇</v>
          </cell>
          <cell r="B155" t="str">
            <v>01227</v>
          </cell>
          <cell r="C155" t="str">
            <v>陕西时代蜂族营销策划有限公司</v>
          </cell>
          <cell r="D155">
            <v>45976</v>
          </cell>
          <cell r="E155" t="str">
            <v>陕西</v>
          </cell>
          <cell r="F155" t="str">
            <v>陕西营销中心</v>
          </cell>
          <cell r="G155" t="str">
            <v>陕西1部</v>
          </cell>
          <cell r="H155" t="str">
            <v>张英</v>
          </cell>
          <cell r="I155" t="str">
            <v>实习销售</v>
          </cell>
        </row>
        <row r="156">
          <cell r="A156" t="str">
            <v>陈家丽</v>
          </cell>
          <cell r="B156" t="str">
            <v>00685</v>
          </cell>
          <cell r="C156" t="str">
            <v>四川时代蜂族营销策划有限公司</v>
          </cell>
          <cell r="D156">
            <v>45976</v>
          </cell>
          <cell r="E156" t="str">
            <v>西南总部</v>
          </cell>
          <cell r="F156" t="str">
            <v>西南营销中心</v>
          </cell>
          <cell r="G156" t="str">
            <v>营业七部</v>
          </cell>
          <cell r="H156" t="str">
            <v>程新浩</v>
          </cell>
          <cell r="I156" t="str">
            <v>一星销售顾问</v>
          </cell>
        </row>
        <row r="157">
          <cell r="A157" t="str">
            <v>陶克英</v>
          </cell>
          <cell r="B157" t="str">
            <v>01789</v>
          </cell>
          <cell r="C157" t="str">
            <v>陕西蜂族科技有限公司</v>
          </cell>
          <cell r="D157">
            <v>45976</v>
          </cell>
          <cell r="E157" t="str">
            <v>陕西</v>
          </cell>
          <cell r="F157" t="str">
            <v>陕西营销中心</v>
          </cell>
          <cell r="G157" t="str">
            <v>陕西1部</v>
          </cell>
          <cell r="H157" t="str">
            <v>刘聪</v>
          </cell>
          <cell r="I157" t="str">
            <v>实习销售</v>
          </cell>
        </row>
        <row r="158">
          <cell r="A158" t="str">
            <v>刘宗贵</v>
          </cell>
          <cell r="B158" t="str">
            <v>01787</v>
          </cell>
          <cell r="C158" t="str">
            <v>湖北蜜蜂族房地产经纪有限公司</v>
          </cell>
          <cell r="D158">
            <v>45976</v>
          </cell>
          <cell r="E158" t="str">
            <v>湖北</v>
          </cell>
          <cell r="F158" t="str">
            <v>湖北营销中心</v>
          </cell>
          <cell r="G158" t="str">
            <v>湖北1部</v>
          </cell>
          <cell r="H158" t="str">
            <v>李文</v>
          </cell>
          <cell r="I158" t="str">
            <v>实习销售</v>
          </cell>
        </row>
        <row r="159">
          <cell r="A159" t="str">
            <v>丁聪</v>
          </cell>
          <cell r="B159" t="str">
            <v>01786</v>
          </cell>
          <cell r="C159" t="str">
            <v>湖北蜜蜂族房地产经纪有限公司</v>
          </cell>
          <cell r="D159">
            <v>45975</v>
          </cell>
          <cell r="E159" t="str">
            <v>湖北</v>
          </cell>
          <cell r="F159" t="str">
            <v>湖北营销中心</v>
          </cell>
          <cell r="G159" t="str">
            <v>湖北1部</v>
          </cell>
          <cell r="H159" t="str">
            <v>张宗铭湖北</v>
          </cell>
          <cell r="I159" t="str">
            <v>实习销售</v>
          </cell>
        </row>
        <row r="160">
          <cell r="A160" t="str">
            <v>何仔馨</v>
          </cell>
          <cell r="B160" t="str">
            <v>01790</v>
          </cell>
          <cell r="C160" t="str">
            <v>四川时代蜂族营销策划有限公司</v>
          </cell>
          <cell r="D160">
            <v>45974</v>
          </cell>
          <cell r="E160" t="str">
            <v>西南总部</v>
          </cell>
          <cell r="F160" t="str">
            <v>西南营销中心</v>
          </cell>
          <cell r="G160" t="str">
            <v>营业四部</v>
          </cell>
          <cell r="H160" t="str">
            <v>李培金</v>
          </cell>
          <cell r="I160" t="str">
            <v>一星销售顾问</v>
          </cell>
        </row>
        <row r="161">
          <cell r="A161" t="str">
            <v>廖东</v>
          </cell>
          <cell r="B161" t="str">
            <v>01784</v>
          </cell>
          <cell r="C161" t="str">
            <v>湖南时代蜂族营销策划有限公司</v>
          </cell>
          <cell r="D161">
            <v>45974</v>
          </cell>
          <cell r="E161" t="str">
            <v>湖南</v>
          </cell>
          <cell r="F161" t="str">
            <v>湖南营销中心</v>
          </cell>
          <cell r="G161" t="str">
            <v>湖南销售部</v>
          </cell>
          <cell r="H161" t="str">
            <v>王晶晶</v>
          </cell>
          <cell r="I161" t="str">
            <v>实习销售</v>
          </cell>
        </row>
        <row r="162">
          <cell r="A162" t="str">
            <v>段帆</v>
          </cell>
          <cell r="B162" t="str">
            <v>01783</v>
          </cell>
          <cell r="C162" t="str">
            <v>湖南时代蜂族营销策划有限公司</v>
          </cell>
          <cell r="D162">
            <v>45974</v>
          </cell>
          <cell r="E162" t="str">
            <v>湖南</v>
          </cell>
          <cell r="F162" t="str">
            <v>湖南营销中心</v>
          </cell>
          <cell r="G162" t="str">
            <v>湖南销售部</v>
          </cell>
          <cell r="H162" t="str">
            <v>罗敏</v>
          </cell>
          <cell r="I162" t="str">
            <v>实习销售</v>
          </cell>
        </row>
        <row r="163">
          <cell r="A163" t="str">
            <v>杨富浩</v>
          </cell>
          <cell r="B163" t="str">
            <v>01779</v>
          </cell>
          <cell r="C163" t="str">
            <v>四川时代蜂族营销策划有限公司</v>
          </cell>
          <cell r="D163">
            <v>45972</v>
          </cell>
          <cell r="E163" t="str">
            <v>西南总部</v>
          </cell>
          <cell r="F163" t="str">
            <v>西南营销中心</v>
          </cell>
          <cell r="G163" t="str">
            <v>营业五部</v>
          </cell>
          <cell r="H163" t="str">
            <v>谢敏</v>
          </cell>
          <cell r="I163" t="str">
            <v>实习销售</v>
          </cell>
        </row>
        <row r="164">
          <cell r="A164" t="str">
            <v>张合元</v>
          </cell>
          <cell r="B164" t="str">
            <v>01780</v>
          </cell>
          <cell r="C164" t="str">
            <v>四川时代蜂族营销策划有限公司</v>
          </cell>
          <cell r="D164">
            <v>45971</v>
          </cell>
          <cell r="E164" t="str">
            <v>西南总部</v>
          </cell>
          <cell r="F164" t="str">
            <v>西南营销中心</v>
          </cell>
          <cell r="G164" t="str">
            <v>营业二部</v>
          </cell>
          <cell r="H164" t="str">
            <v>李先洪</v>
          </cell>
          <cell r="I164" t="str">
            <v>实习销售</v>
          </cell>
        </row>
        <row r="165">
          <cell r="A165" t="str">
            <v>苏聪</v>
          </cell>
          <cell r="B165" t="str">
            <v>01785</v>
          </cell>
          <cell r="C165" t="str">
            <v>四川时代蜂族营销策划有限公司</v>
          </cell>
          <cell r="D165">
            <v>45971</v>
          </cell>
          <cell r="E165" t="str">
            <v>西南总部</v>
          </cell>
          <cell r="F165" t="str">
            <v>西南营销中心</v>
          </cell>
          <cell r="G165" t="str">
            <v>营业二部</v>
          </cell>
          <cell r="H165" t="str">
            <v>张佩瑶</v>
          </cell>
          <cell r="I165" t="str">
            <v>一星销售顾问</v>
          </cell>
        </row>
        <row r="166">
          <cell r="A166" t="str">
            <v>王波</v>
          </cell>
          <cell r="B166" t="str">
            <v>01774</v>
          </cell>
          <cell r="C166" t="str">
            <v>陕西时代蜂族营销策划有限公司</v>
          </cell>
          <cell r="D166">
            <v>45971</v>
          </cell>
          <cell r="E166" t="str">
            <v>甘肃</v>
          </cell>
          <cell r="F166" t="str">
            <v>甘肃营销中心</v>
          </cell>
          <cell r="G166" t="str">
            <v>甘肃销售部</v>
          </cell>
          <cell r="H166" t="str">
            <v>王辉甘肃</v>
          </cell>
          <cell r="I166" t="str">
            <v>实习销售</v>
          </cell>
        </row>
        <row r="167">
          <cell r="A167" t="str">
            <v>蒋婷</v>
          </cell>
          <cell r="B167" t="str">
            <v>01011</v>
          </cell>
          <cell r="C167" t="str">
            <v>四川时代蜂族营销策划有限公司</v>
          </cell>
          <cell r="D167">
            <v>45970</v>
          </cell>
          <cell r="E167" t="str">
            <v>内蒙古</v>
          </cell>
          <cell r="F167" t="str">
            <v>内蒙古营销中心</v>
          </cell>
          <cell r="G167" t="str">
            <v>内蒙古销售部</v>
          </cell>
          <cell r="H167" t="str">
            <v>安芮内蒙古</v>
          </cell>
          <cell r="I167" t="str">
            <v>一星销售顾问</v>
          </cell>
        </row>
        <row r="168">
          <cell r="A168" t="str">
            <v>李艺芳</v>
          </cell>
          <cell r="B168" t="str">
            <v>01777</v>
          </cell>
          <cell r="C168" t="str">
            <v>湖南时代蜂族营销策划有限公司</v>
          </cell>
          <cell r="D168">
            <v>45970</v>
          </cell>
          <cell r="E168" t="str">
            <v>湖南</v>
          </cell>
          <cell r="F168" t="str">
            <v>湖南营销中心</v>
          </cell>
          <cell r="G168" t="str">
            <v>湖南销售部</v>
          </cell>
          <cell r="H168" t="str">
            <v>杨超群</v>
          </cell>
          <cell r="I168" t="str">
            <v>实习销售</v>
          </cell>
        </row>
        <row r="169">
          <cell r="A169" t="str">
            <v>卢泽平</v>
          </cell>
          <cell r="B169" t="str">
            <v>01775</v>
          </cell>
          <cell r="C169" t="str">
            <v>陕西时代蜂族营销策划有限公司</v>
          </cell>
          <cell r="D169">
            <v>45970</v>
          </cell>
          <cell r="E169" t="str">
            <v>陕西</v>
          </cell>
          <cell r="F169" t="str">
            <v>陕西营销中心</v>
          </cell>
          <cell r="G169" t="str">
            <v>陕西1部</v>
          </cell>
          <cell r="H169" t="str">
            <v>朱露颖</v>
          </cell>
          <cell r="I169" t="str">
            <v>实习销售</v>
          </cell>
        </row>
        <row r="170">
          <cell r="A170" t="str">
            <v>高敏玲</v>
          </cell>
          <cell r="B170" t="str">
            <v>01776</v>
          </cell>
          <cell r="C170" t="str">
            <v>陕西时代蜂族营销策划有限公司</v>
          </cell>
          <cell r="D170">
            <v>45969</v>
          </cell>
          <cell r="E170" t="str">
            <v>甘肃</v>
          </cell>
          <cell r="F170" t="str">
            <v>甘肃营销中心</v>
          </cell>
          <cell r="G170" t="str">
            <v>甘肃销售部</v>
          </cell>
          <cell r="H170" t="str">
            <v>王辉甘肃</v>
          </cell>
          <cell r="I170" t="str">
            <v>实习销售</v>
          </cell>
        </row>
        <row r="171">
          <cell r="A171" t="str">
            <v>刘杰</v>
          </cell>
          <cell r="B171" t="str">
            <v>01770</v>
          </cell>
          <cell r="C171" t="str">
            <v>陕西蜂族科技有限公司</v>
          </cell>
          <cell r="D171">
            <v>45967</v>
          </cell>
          <cell r="E171" t="str">
            <v>陕西</v>
          </cell>
          <cell r="F171" t="str">
            <v>陕西营销中心</v>
          </cell>
          <cell r="G171" t="str">
            <v>陕西2部</v>
          </cell>
          <cell r="H171" t="str">
            <v>乔磊</v>
          </cell>
          <cell r="I171" t="str">
            <v>一星销售顾问</v>
          </cell>
        </row>
        <row r="172">
          <cell r="A172" t="str">
            <v>陈妍君</v>
          </cell>
          <cell r="B172" t="str">
            <v>01768</v>
          </cell>
          <cell r="C172" t="str">
            <v>四川时代蜂族营销策划有限公司</v>
          </cell>
          <cell r="D172">
            <v>45966</v>
          </cell>
          <cell r="E172" t="str">
            <v>西南总部</v>
          </cell>
          <cell r="F172" t="str">
            <v>西南营销中心</v>
          </cell>
          <cell r="G172" t="str">
            <v>营业三部</v>
          </cell>
          <cell r="H172" t="str">
            <v>吴建鑫</v>
          </cell>
          <cell r="I172" t="str">
            <v>实习销售</v>
          </cell>
        </row>
        <row r="173">
          <cell r="A173" t="str">
            <v>郭强4</v>
          </cell>
          <cell r="B173" t="str">
            <v>01771</v>
          </cell>
          <cell r="C173" t="str">
            <v>山西时代蜂族房地产经纪有限公司</v>
          </cell>
          <cell r="D173">
            <v>45965</v>
          </cell>
          <cell r="E173" t="str">
            <v>山西</v>
          </cell>
          <cell r="F173" t="str">
            <v>山西营销中心</v>
          </cell>
          <cell r="G173" t="str">
            <v>山西销售部</v>
          </cell>
          <cell r="H173" t="str">
            <v>赵龙</v>
          </cell>
          <cell r="I173" t="str">
            <v>实习销售</v>
          </cell>
        </row>
        <row r="174">
          <cell r="A174" t="str">
            <v>许建</v>
          </cell>
          <cell r="B174" t="str">
            <v>01772</v>
          </cell>
          <cell r="C174" t="str">
            <v>湖南时代蜂族营销策划有限公司</v>
          </cell>
          <cell r="D174">
            <v>45962</v>
          </cell>
          <cell r="E174" t="str">
            <v>湖南</v>
          </cell>
          <cell r="F174" t="str">
            <v>湖南办公室</v>
          </cell>
        </row>
        <row r="174">
          <cell r="I174" t="str">
            <v>残疾人</v>
          </cell>
        </row>
        <row r="175">
          <cell r="A175" t="str">
            <v>孙维</v>
          </cell>
          <cell r="B175" t="str">
            <v>01764</v>
          </cell>
          <cell r="C175" t="str">
            <v>四川时代蜂族营销策划有限公司</v>
          </cell>
          <cell r="D175">
            <v>45962</v>
          </cell>
          <cell r="E175" t="str">
            <v>西南总部</v>
          </cell>
          <cell r="F175" t="str">
            <v>西南营销中心</v>
          </cell>
          <cell r="G175" t="str">
            <v>营业二部</v>
          </cell>
          <cell r="H175" t="str">
            <v>文鹏羽</v>
          </cell>
          <cell r="I175" t="str">
            <v>一星销售顾问</v>
          </cell>
        </row>
        <row r="176">
          <cell r="A176" t="str">
            <v>罗嶺</v>
          </cell>
          <cell r="B176" t="str">
            <v>01765</v>
          </cell>
          <cell r="C176" t="str">
            <v>四川时代蜂族营销策划有限公司</v>
          </cell>
          <cell r="D176">
            <v>45962</v>
          </cell>
          <cell r="E176" t="str">
            <v>西南总部</v>
          </cell>
          <cell r="F176" t="str">
            <v>西南营销中心</v>
          </cell>
          <cell r="G176" t="str">
            <v>营业五部</v>
          </cell>
          <cell r="H176" t="str">
            <v>张萍2</v>
          </cell>
          <cell r="I176" t="str">
            <v>实习销售</v>
          </cell>
        </row>
        <row r="177">
          <cell r="A177" t="str">
            <v>雷有财</v>
          </cell>
          <cell r="B177" t="str">
            <v>01767</v>
          </cell>
          <cell r="C177" t="str">
            <v>四川时代蜂族营销策划有限公司</v>
          </cell>
          <cell r="D177">
            <v>45959</v>
          </cell>
          <cell r="E177" t="str">
            <v>西南总部</v>
          </cell>
          <cell r="F177" t="str">
            <v>西南营销中心</v>
          </cell>
          <cell r="G177" t="str">
            <v>营业四部</v>
          </cell>
          <cell r="H177" t="str">
            <v>李培金</v>
          </cell>
          <cell r="I177" t="str">
            <v>一星销售顾问</v>
          </cell>
        </row>
        <row r="178">
          <cell r="A178" t="str">
            <v>杨华明</v>
          </cell>
          <cell r="B178" t="str">
            <v>01766</v>
          </cell>
          <cell r="C178" t="str">
            <v>河南蜜蜂族营销策划有限公司</v>
          </cell>
          <cell r="D178">
            <v>45958</v>
          </cell>
          <cell r="E178" t="str">
            <v>河南</v>
          </cell>
          <cell r="F178" t="str">
            <v>河南营销中心</v>
          </cell>
          <cell r="G178" t="str">
            <v>河南销售部</v>
          </cell>
          <cell r="H178" t="str">
            <v>吕涛河南</v>
          </cell>
          <cell r="I178" t="str">
            <v>一星销售顾问</v>
          </cell>
        </row>
        <row r="179">
          <cell r="A179" t="str">
            <v>巴甜甜</v>
          </cell>
          <cell r="B179" t="str">
            <v>01760</v>
          </cell>
          <cell r="C179" t="str">
            <v>陕西时代蜂族营销策划有限公司</v>
          </cell>
          <cell r="D179">
            <v>45958</v>
          </cell>
          <cell r="E179" t="str">
            <v>陕西</v>
          </cell>
          <cell r="F179" t="str">
            <v>陕西营销中心</v>
          </cell>
          <cell r="G179" t="str">
            <v>陕西2部</v>
          </cell>
          <cell r="H179" t="str">
            <v>王天成</v>
          </cell>
          <cell r="I179" t="str">
            <v>实习销售</v>
          </cell>
        </row>
        <row r="180">
          <cell r="A180" t="str">
            <v>陈绪</v>
          </cell>
          <cell r="B180" t="str">
            <v>01762</v>
          </cell>
          <cell r="C180" t="str">
            <v>河南蜜蜂族营销策划有限公司</v>
          </cell>
          <cell r="D180">
            <v>45958</v>
          </cell>
          <cell r="E180" t="str">
            <v>河南</v>
          </cell>
          <cell r="F180" t="str">
            <v>河南营销中心</v>
          </cell>
          <cell r="G180" t="str">
            <v>河南销售部</v>
          </cell>
          <cell r="H180" t="str">
            <v>吕涛河南</v>
          </cell>
          <cell r="I180" t="str">
            <v>一星销售顾问</v>
          </cell>
        </row>
        <row r="181">
          <cell r="A181" t="str">
            <v>杨博文</v>
          </cell>
          <cell r="B181" t="str">
            <v>01761</v>
          </cell>
          <cell r="C181" t="str">
            <v>四川时代蜂族营销策划有限公司</v>
          </cell>
          <cell r="D181">
            <v>45957</v>
          </cell>
          <cell r="E181" t="str">
            <v>西南总部</v>
          </cell>
          <cell r="F181" t="str">
            <v>西南营销中心</v>
          </cell>
          <cell r="G181" t="str">
            <v>营业二部</v>
          </cell>
          <cell r="H181" t="str">
            <v>王彬力</v>
          </cell>
          <cell r="I181" t="str">
            <v>实习销售</v>
          </cell>
        </row>
        <row r="182">
          <cell r="A182" t="str">
            <v>杨朝闻</v>
          </cell>
          <cell r="B182" t="str">
            <v>01759</v>
          </cell>
          <cell r="C182" t="str">
            <v>四川时代蜂族营销策划有限公司</v>
          </cell>
          <cell r="D182">
            <v>45955</v>
          </cell>
          <cell r="E182" t="str">
            <v>西南总部</v>
          </cell>
          <cell r="F182" t="str">
            <v>西南营销中心</v>
          </cell>
          <cell r="G182" t="str">
            <v>营业五部</v>
          </cell>
          <cell r="H182" t="str">
            <v>周远芮</v>
          </cell>
          <cell r="I182" t="str">
            <v>实习销售</v>
          </cell>
        </row>
        <row r="183">
          <cell r="A183" t="str">
            <v>徐泰</v>
          </cell>
          <cell r="B183" t="str">
            <v>01758</v>
          </cell>
          <cell r="C183" t="str">
            <v>四川时代蜂族营销策划有限公司</v>
          </cell>
          <cell r="D183">
            <v>45955</v>
          </cell>
          <cell r="E183" t="str">
            <v>西南总部</v>
          </cell>
          <cell r="F183" t="str">
            <v>西南营销中心</v>
          </cell>
          <cell r="G183" t="str">
            <v>营业四部</v>
          </cell>
          <cell r="H183" t="str">
            <v>陈帅</v>
          </cell>
          <cell r="I183" t="str">
            <v>实习销售</v>
          </cell>
        </row>
        <row r="184">
          <cell r="A184" t="str">
            <v>周悦昭</v>
          </cell>
          <cell r="B184" t="str">
            <v>01755</v>
          </cell>
          <cell r="C184" t="str">
            <v>山东时代蜂族营销策划有限公司</v>
          </cell>
          <cell r="D184">
            <v>45954</v>
          </cell>
          <cell r="E184" t="str">
            <v>山东</v>
          </cell>
          <cell r="F184" t="str">
            <v>山东营销中心</v>
          </cell>
          <cell r="G184" t="str">
            <v>山东销售部</v>
          </cell>
          <cell r="H184" t="str">
            <v>李祥春</v>
          </cell>
          <cell r="I184" t="str">
            <v>实习销售</v>
          </cell>
        </row>
        <row r="185">
          <cell r="A185" t="str">
            <v>吕梦月</v>
          </cell>
          <cell r="B185" t="str">
            <v>01752</v>
          </cell>
          <cell r="C185" t="str">
            <v>湖北蜜蜂族房地产经纪有限公司</v>
          </cell>
          <cell r="D185">
            <v>45953</v>
          </cell>
          <cell r="E185" t="str">
            <v>湖北</v>
          </cell>
          <cell r="F185" t="str">
            <v>湖北营销中心</v>
          </cell>
          <cell r="G185" t="str">
            <v>湖北2部</v>
          </cell>
          <cell r="H185" t="str">
            <v>陈竺</v>
          </cell>
          <cell r="I185" t="str">
            <v>实习销售</v>
          </cell>
        </row>
        <row r="186">
          <cell r="A186" t="str">
            <v>何庆</v>
          </cell>
          <cell r="B186" t="str">
            <v>01750</v>
          </cell>
          <cell r="C186" t="str">
            <v>陕西时代蜂族营销策划有限公司</v>
          </cell>
          <cell r="D186">
            <v>45953</v>
          </cell>
          <cell r="E186" t="str">
            <v>陕西</v>
          </cell>
          <cell r="F186" t="str">
            <v>陕西营销中心</v>
          </cell>
          <cell r="G186" t="str">
            <v>陕西2部</v>
          </cell>
          <cell r="H186" t="str">
            <v>李耀</v>
          </cell>
          <cell r="I186" t="str">
            <v>实习销售</v>
          </cell>
        </row>
        <row r="187">
          <cell r="A187" t="str">
            <v>游钰姣</v>
          </cell>
          <cell r="B187" t="str">
            <v>01763</v>
          </cell>
          <cell r="C187" t="str">
            <v>四川时代蜂族营销策划有限公司</v>
          </cell>
          <cell r="D187">
            <v>45952</v>
          </cell>
          <cell r="E187" t="str">
            <v>西南总部</v>
          </cell>
          <cell r="F187" t="str">
            <v>西南营销中心</v>
          </cell>
          <cell r="G187" t="str">
            <v>营业一部</v>
          </cell>
          <cell r="H187" t="str">
            <v>白世根</v>
          </cell>
          <cell r="I187" t="str">
            <v>一星销售顾问</v>
          </cell>
        </row>
        <row r="188">
          <cell r="A188" t="str">
            <v>邱炬淞</v>
          </cell>
          <cell r="B188" t="str">
            <v>01757</v>
          </cell>
          <cell r="C188" t="str">
            <v>四川时代蜂族营销策划有限公司</v>
          </cell>
          <cell r="D188">
            <v>45951</v>
          </cell>
          <cell r="E188" t="str">
            <v>西南总部</v>
          </cell>
          <cell r="F188" t="str">
            <v>西南营销中心</v>
          </cell>
          <cell r="G188" t="str">
            <v>杨薇</v>
          </cell>
        </row>
        <row r="188">
          <cell r="I188" t="str">
            <v>实习销售</v>
          </cell>
        </row>
        <row r="189">
          <cell r="A189" t="str">
            <v>邓湘</v>
          </cell>
          <cell r="B189" t="str">
            <v>01753</v>
          </cell>
          <cell r="C189" t="str">
            <v>四川时代蜂族营销策划有限公司</v>
          </cell>
          <cell r="D189">
            <v>45951</v>
          </cell>
          <cell r="E189" t="str">
            <v>西南总部</v>
          </cell>
          <cell r="F189" t="str">
            <v>西南营销中心</v>
          </cell>
          <cell r="G189" t="str">
            <v>营业一部</v>
          </cell>
          <cell r="H189" t="str">
            <v>白世根</v>
          </cell>
          <cell r="I189" t="str">
            <v>一星销售顾问</v>
          </cell>
        </row>
        <row r="190">
          <cell r="A190" t="str">
            <v>刘佳秋</v>
          </cell>
          <cell r="B190" t="str">
            <v>01743</v>
          </cell>
          <cell r="C190" t="str">
            <v>湖北蜜蜂族房地产经纪有限公司</v>
          </cell>
          <cell r="D190">
            <v>45950</v>
          </cell>
          <cell r="E190" t="str">
            <v>湖北</v>
          </cell>
          <cell r="F190" t="str">
            <v>湖北营销中心</v>
          </cell>
          <cell r="G190" t="str">
            <v>湖北2部</v>
          </cell>
          <cell r="H190" t="str">
            <v>赵国富</v>
          </cell>
          <cell r="I190" t="str">
            <v>实习销售</v>
          </cell>
        </row>
        <row r="191">
          <cell r="A191" t="str">
            <v>周宗娥</v>
          </cell>
          <cell r="B191" t="str">
            <v>01749</v>
          </cell>
          <cell r="C191" t="str">
            <v>四川时代蜂族营销策划有限公司</v>
          </cell>
          <cell r="D191">
            <v>45950</v>
          </cell>
          <cell r="E191" t="str">
            <v>西南总部</v>
          </cell>
          <cell r="F191" t="str">
            <v>西南营销中心</v>
          </cell>
          <cell r="G191" t="str">
            <v>营业二部</v>
          </cell>
          <cell r="H191" t="str">
            <v>李先洪</v>
          </cell>
          <cell r="I191" t="str">
            <v>实习销售</v>
          </cell>
        </row>
        <row r="192">
          <cell r="A192" t="str">
            <v>王莹</v>
          </cell>
          <cell r="B192" t="str">
            <v>01748</v>
          </cell>
          <cell r="C192" t="str">
            <v>山西时代蜂族房地产经纪有限公司</v>
          </cell>
          <cell r="D192">
            <v>45950</v>
          </cell>
          <cell r="E192" t="str">
            <v>山西</v>
          </cell>
          <cell r="F192" t="str">
            <v>山西营销中心</v>
          </cell>
          <cell r="G192" t="str">
            <v>山西销售部</v>
          </cell>
          <cell r="H192" t="str">
            <v>刘辉</v>
          </cell>
          <cell r="I192" t="str">
            <v>实习销售</v>
          </cell>
        </row>
        <row r="193">
          <cell r="A193" t="str">
            <v>王博凯</v>
          </cell>
          <cell r="B193" t="str">
            <v>01747</v>
          </cell>
          <cell r="C193" t="str">
            <v>陕西时代蜂族营销策划有限公司</v>
          </cell>
          <cell r="D193">
            <v>45950</v>
          </cell>
          <cell r="E193" t="str">
            <v>陕西</v>
          </cell>
          <cell r="F193" t="str">
            <v>陕西营销中心</v>
          </cell>
          <cell r="G193" t="str">
            <v>陕西2部</v>
          </cell>
          <cell r="H193" t="str">
            <v>李耀</v>
          </cell>
          <cell r="I193" t="str">
            <v>实习销售</v>
          </cell>
        </row>
        <row r="194">
          <cell r="A194" t="str">
            <v>代宇龙</v>
          </cell>
          <cell r="B194" t="str">
            <v>01744</v>
          </cell>
          <cell r="C194" t="str">
            <v>陕西时代蜂族营销策划有限公司</v>
          </cell>
          <cell r="D194">
            <v>45949</v>
          </cell>
          <cell r="E194" t="str">
            <v>陕西</v>
          </cell>
          <cell r="F194" t="str">
            <v>陕西营销中心</v>
          </cell>
          <cell r="G194" t="str">
            <v>陕西1部</v>
          </cell>
          <cell r="H194" t="str">
            <v>孙宇</v>
          </cell>
          <cell r="I194" t="str">
            <v>实习销售</v>
          </cell>
        </row>
        <row r="195">
          <cell r="A195" t="str">
            <v>周加银</v>
          </cell>
          <cell r="B195" t="str">
            <v>01740</v>
          </cell>
          <cell r="C195" t="str">
            <v>四川时代蜂族营销策划有限公司</v>
          </cell>
          <cell r="D195">
            <v>45947</v>
          </cell>
          <cell r="E195" t="str">
            <v>西南总部</v>
          </cell>
          <cell r="F195" t="str">
            <v>西南营销中心</v>
          </cell>
          <cell r="G195" t="str">
            <v>营业三部</v>
          </cell>
          <cell r="H195" t="str">
            <v>刘佳</v>
          </cell>
          <cell r="I195" t="str">
            <v>一星销售顾问</v>
          </cell>
        </row>
        <row r="196">
          <cell r="A196" t="str">
            <v>夏亮亮</v>
          </cell>
          <cell r="B196" t="str">
            <v>01738</v>
          </cell>
          <cell r="C196" t="str">
            <v>湖北蜜蜂族房地产经纪有限公司</v>
          </cell>
          <cell r="D196">
            <v>45946</v>
          </cell>
          <cell r="E196" t="str">
            <v>湖北</v>
          </cell>
          <cell r="F196" t="str">
            <v>湖北营销中心</v>
          </cell>
          <cell r="G196" t="str">
            <v>湖北2部</v>
          </cell>
          <cell r="H196" t="str">
            <v>吴明银</v>
          </cell>
          <cell r="I196" t="str">
            <v>实习销售</v>
          </cell>
        </row>
        <row r="197">
          <cell r="A197" t="str">
            <v>马丹丹</v>
          </cell>
          <cell r="B197" t="str">
            <v>01741</v>
          </cell>
          <cell r="C197" t="str">
            <v>成都蓉天城房地产营销策划有限公司</v>
          </cell>
          <cell r="D197">
            <v>45946</v>
          </cell>
          <cell r="E197" t="str">
            <v>集团职能</v>
          </cell>
          <cell r="F197" t="str">
            <v>职能总部</v>
          </cell>
          <cell r="G197" t="str">
            <v>外呼中心</v>
          </cell>
        </row>
        <row r="197">
          <cell r="I197" t="str">
            <v>调研专员</v>
          </cell>
        </row>
        <row r="198">
          <cell r="A198" t="str">
            <v>王思颖</v>
          </cell>
          <cell r="B198" t="str">
            <v>01729</v>
          </cell>
          <cell r="C198" t="str">
            <v>四川时代蜂族营销策划有限公司</v>
          </cell>
          <cell r="D198">
            <v>45945</v>
          </cell>
          <cell r="E198" t="str">
            <v>西南总部</v>
          </cell>
          <cell r="F198" t="str">
            <v>西南营销中心</v>
          </cell>
          <cell r="G198" t="str">
            <v>营业三部</v>
          </cell>
          <cell r="H198" t="str">
            <v>刘佳</v>
          </cell>
          <cell r="I198" t="str">
            <v>一星销售顾问</v>
          </cell>
        </row>
        <row r="199">
          <cell r="A199" t="str">
            <v>王紫瑞</v>
          </cell>
          <cell r="B199" t="str">
            <v>01732</v>
          </cell>
          <cell r="C199" t="str">
            <v>四川时代蜂族营销策划有限公司</v>
          </cell>
          <cell r="D199">
            <v>45944</v>
          </cell>
          <cell r="E199" t="str">
            <v>西南总部</v>
          </cell>
          <cell r="F199" t="str">
            <v>西南营销中心</v>
          </cell>
          <cell r="G199" t="str">
            <v>营业七部</v>
          </cell>
          <cell r="H199" t="str">
            <v>陈彪</v>
          </cell>
          <cell r="I199" t="str">
            <v>一星销售顾问</v>
          </cell>
        </row>
        <row r="200">
          <cell r="A200" t="str">
            <v>李立</v>
          </cell>
          <cell r="B200" t="str">
            <v>01739</v>
          </cell>
          <cell r="C200" t="str">
            <v>四川时代蜂族营销策划有限公司</v>
          </cell>
          <cell r="D200">
            <v>45944</v>
          </cell>
          <cell r="E200" t="str">
            <v>西南总部</v>
          </cell>
          <cell r="F200" t="str">
            <v>西南营销中心</v>
          </cell>
          <cell r="G200" t="str">
            <v>营业六部</v>
          </cell>
          <cell r="H200" t="str">
            <v>杨翠茹</v>
          </cell>
          <cell r="I200" t="str">
            <v>一星销售顾问</v>
          </cell>
        </row>
        <row r="201">
          <cell r="A201" t="str">
            <v>马文茂</v>
          </cell>
          <cell r="B201" t="str">
            <v>01736</v>
          </cell>
          <cell r="C201" t="str">
            <v>四川时代蜂族营销策划有限公司</v>
          </cell>
          <cell r="D201">
            <v>45943</v>
          </cell>
          <cell r="E201" t="str">
            <v>河南</v>
          </cell>
          <cell r="F201" t="str">
            <v>河南营销中心</v>
          </cell>
          <cell r="G201" t="str">
            <v>河南销售部</v>
          </cell>
          <cell r="H201" t="str">
            <v>张萍河南</v>
          </cell>
          <cell r="I201" t="str">
            <v>一星销售顾问</v>
          </cell>
        </row>
        <row r="202">
          <cell r="A202" t="str">
            <v>曾渝轩</v>
          </cell>
          <cell r="B202" t="str">
            <v>00462</v>
          </cell>
          <cell r="C202" t="str">
            <v>山东时代蜂族营销策划有限公司</v>
          </cell>
          <cell r="D202">
            <v>45943</v>
          </cell>
          <cell r="E202" t="str">
            <v>山东</v>
          </cell>
          <cell r="F202" t="str">
            <v>山东营销中心</v>
          </cell>
          <cell r="G202" t="str">
            <v>山东销售部</v>
          </cell>
          <cell r="H202" t="str">
            <v>杨唐山东</v>
          </cell>
          <cell r="I202" t="str">
            <v>实习销售</v>
          </cell>
        </row>
        <row r="203">
          <cell r="A203" t="str">
            <v>王杰2</v>
          </cell>
          <cell r="B203" t="str">
            <v>01731</v>
          </cell>
          <cell r="C203" t="str">
            <v>四川时代蜂族营销策划有限公司</v>
          </cell>
          <cell r="D203">
            <v>45943</v>
          </cell>
          <cell r="E203" t="str">
            <v>西南总部</v>
          </cell>
          <cell r="F203" t="str">
            <v>西南营销中心</v>
          </cell>
          <cell r="G203" t="str">
            <v>营业二部</v>
          </cell>
          <cell r="H203" t="str">
            <v>文鹏羽</v>
          </cell>
          <cell r="I203" t="str">
            <v>一星销售顾问</v>
          </cell>
        </row>
        <row r="204">
          <cell r="A204" t="str">
            <v>赵红宇</v>
          </cell>
          <cell r="B204" t="str">
            <v>01728</v>
          </cell>
          <cell r="C204" t="str">
            <v>陕西时代蜂族营销策划有限公司</v>
          </cell>
          <cell r="D204">
            <v>45943</v>
          </cell>
          <cell r="E204" t="str">
            <v>陕西</v>
          </cell>
          <cell r="F204" t="str">
            <v>陕西营销中心</v>
          </cell>
          <cell r="G204" t="str">
            <v>陕西2部</v>
          </cell>
          <cell r="H204" t="str">
            <v>王晓刚</v>
          </cell>
          <cell r="I204" t="str">
            <v>实习销售</v>
          </cell>
        </row>
        <row r="205">
          <cell r="A205" t="str">
            <v>黄浩</v>
          </cell>
          <cell r="B205" t="str">
            <v>01735</v>
          </cell>
          <cell r="C205" t="str">
            <v>四川时代蜂族营销策划有限公司</v>
          </cell>
          <cell r="D205">
            <v>45943</v>
          </cell>
          <cell r="E205" t="str">
            <v>西南总部</v>
          </cell>
          <cell r="F205" t="str">
            <v>西南营销中心</v>
          </cell>
          <cell r="G205" t="str">
            <v>营业四部</v>
          </cell>
          <cell r="H205" t="str">
            <v>李培金</v>
          </cell>
          <cell r="I205" t="str">
            <v>一星销售顾问</v>
          </cell>
        </row>
        <row r="206">
          <cell r="A206" t="str">
            <v>孙江林</v>
          </cell>
          <cell r="B206" t="str">
            <v>01723</v>
          </cell>
          <cell r="C206" t="str">
            <v>四川时代蜂族营销策划有限公司</v>
          </cell>
          <cell r="D206">
            <v>45941</v>
          </cell>
          <cell r="E206" t="str">
            <v>西南总部</v>
          </cell>
          <cell r="F206" t="str">
            <v>西南营销中心</v>
          </cell>
          <cell r="G206" t="str">
            <v>营业七部</v>
          </cell>
          <cell r="H206" t="str">
            <v>刘鹏</v>
          </cell>
          <cell r="I206" t="str">
            <v>一星销售顾问</v>
          </cell>
        </row>
        <row r="207">
          <cell r="A207" t="str">
            <v>张拓</v>
          </cell>
          <cell r="B207" t="str">
            <v>01725</v>
          </cell>
          <cell r="C207" t="str">
            <v>陕西蜂族科技有限公司</v>
          </cell>
          <cell r="D207">
            <v>45941</v>
          </cell>
          <cell r="E207" t="str">
            <v>陕西</v>
          </cell>
          <cell r="F207" t="str">
            <v>陕西营销中心</v>
          </cell>
          <cell r="G207" t="str">
            <v>陕西1部</v>
          </cell>
          <cell r="H207" t="str">
            <v>马少波</v>
          </cell>
          <cell r="I207" t="str">
            <v>实习销售</v>
          </cell>
        </row>
        <row r="208">
          <cell r="A208" t="str">
            <v>刘嘉馨</v>
          </cell>
          <cell r="B208" t="str">
            <v>01726</v>
          </cell>
          <cell r="C208" t="str">
            <v>山西时代蜂族房地产经纪有限公司</v>
          </cell>
          <cell r="D208">
            <v>45940</v>
          </cell>
          <cell r="E208" t="str">
            <v>山西</v>
          </cell>
          <cell r="F208" t="str">
            <v>山西营销中心</v>
          </cell>
          <cell r="G208" t="str">
            <v>山西销售部</v>
          </cell>
          <cell r="H208" t="str">
            <v>刘辉</v>
          </cell>
          <cell r="I208" t="str">
            <v>一星销售顾问</v>
          </cell>
        </row>
        <row r="209">
          <cell r="A209" t="str">
            <v>张琴霞</v>
          </cell>
          <cell r="B209" t="str">
            <v>01724</v>
          </cell>
          <cell r="C209" t="str">
            <v>四川时代蜂族营销策划有限公司</v>
          </cell>
          <cell r="D209">
            <v>45939</v>
          </cell>
          <cell r="E209" t="str">
            <v>西南总部</v>
          </cell>
          <cell r="F209" t="str">
            <v>西南营销中心</v>
          </cell>
          <cell r="G209" t="str">
            <v>营业五部</v>
          </cell>
          <cell r="H209" t="str">
            <v>李敏</v>
          </cell>
          <cell r="I209" t="str">
            <v>一星销售顾问</v>
          </cell>
        </row>
        <row r="210">
          <cell r="A210" t="str">
            <v>胡彬</v>
          </cell>
          <cell r="B210" t="str">
            <v>01716</v>
          </cell>
          <cell r="C210" t="str">
            <v>四川蜂起营销策划有限公司</v>
          </cell>
          <cell r="D210">
            <v>45939</v>
          </cell>
          <cell r="E210" t="str">
            <v>集团职能</v>
          </cell>
          <cell r="F210" t="str">
            <v>职能营销</v>
          </cell>
          <cell r="G210" t="str">
            <v>设计部</v>
          </cell>
        </row>
        <row r="210">
          <cell r="I210" t="str">
            <v>设计专员</v>
          </cell>
        </row>
        <row r="211">
          <cell r="A211" t="str">
            <v>曾树兰</v>
          </cell>
          <cell r="B211" t="str">
            <v>01719</v>
          </cell>
          <cell r="C211" t="str">
            <v>四川时代蜂族营销策划有限公司</v>
          </cell>
          <cell r="D211">
            <v>45938</v>
          </cell>
          <cell r="E211" t="str">
            <v>西南总部</v>
          </cell>
          <cell r="F211" t="str">
            <v>西南营销中心</v>
          </cell>
          <cell r="G211" t="str">
            <v>营业三部</v>
          </cell>
          <cell r="H211" t="str">
            <v>陶再阳</v>
          </cell>
          <cell r="I211" t="str">
            <v>一星销售顾问</v>
          </cell>
        </row>
        <row r="212">
          <cell r="A212" t="str">
            <v>席楠</v>
          </cell>
          <cell r="B212" t="str">
            <v>01720</v>
          </cell>
          <cell r="C212" t="str">
            <v>陕西蜂族科技有限公司</v>
          </cell>
          <cell r="D212">
            <v>45938</v>
          </cell>
          <cell r="E212" t="str">
            <v>陕西</v>
          </cell>
          <cell r="F212" t="str">
            <v>陕西营销中心</v>
          </cell>
          <cell r="G212" t="str">
            <v>陕西2部</v>
          </cell>
          <cell r="H212" t="str">
            <v>罗小花</v>
          </cell>
          <cell r="I212" t="str">
            <v>一星销售顾问</v>
          </cell>
        </row>
        <row r="213">
          <cell r="A213" t="str">
            <v>李可馨</v>
          </cell>
          <cell r="B213" t="str">
            <v>01722</v>
          </cell>
          <cell r="C213" t="str">
            <v>陕西时代蜂族营销策划有限公司</v>
          </cell>
          <cell r="D213">
            <v>45938</v>
          </cell>
          <cell r="E213" t="str">
            <v>陕西</v>
          </cell>
          <cell r="F213" t="str">
            <v>陕西办公室</v>
          </cell>
        </row>
        <row r="213">
          <cell r="I213" t="str">
            <v>实习销售政委</v>
          </cell>
        </row>
        <row r="214">
          <cell r="A214" t="str">
            <v>路俊亮</v>
          </cell>
          <cell r="B214" t="str">
            <v>01718</v>
          </cell>
          <cell r="C214" t="str">
            <v>河南蜜蜂族营销策划有限公司</v>
          </cell>
          <cell r="D214">
            <v>45935</v>
          </cell>
          <cell r="E214" t="str">
            <v>河南</v>
          </cell>
          <cell r="F214" t="str">
            <v>河南营销中心</v>
          </cell>
          <cell r="G214" t="str">
            <v>河南销售部</v>
          </cell>
          <cell r="H214" t="str">
            <v>周吉双河南</v>
          </cell>
          <cell r="I214" t="str">
            <v>实习销售</v>
          </cell>
        </row>
        <row r="215">
          <cell r="A215" t="str">
            <v>徐林</v>
          </cell>
          <cell r="B215" t="str">
            <v>01714</v>
          </cell>
          <cell r="C215" t="str">
            <v>陕西蜂族科技有限公司</v>
          </cell>
          <cell r="D215">
            <v>45932</v>
          </cell>
          <cell r="E215" t="str">
            <v>陕西</v>
          </cell>
          <cell r="F215" t="str">
            <v>陕西营销中心</v>
          </cell>
          <cell r="G215" t="str">
            <v>陕西2部</v>
          </cell>
          <cell r="H215" t="str">
            <v>王晓刚</v>
          </cell>
          <cell r="I215" t="str">
            <v>实习销售</v>
          </cell>
        </row>
        <row r="216">
          <cell r="A216" t="str">
            <v>赵玲</v>
          </cell>
          <cell r="B216" t="str">
            <v>01049</v>
          </cell>
          <cell r="C216" t="str">
            <v>四川时代蜂族营销策划有限公司</v>
          </cell>
          <cell r="D216">
            <v>45929</v>
          </cell>
          <cell r="E216" t="str">
            <v>辽宁</v>
          </cell>
          <cell r="F216" t="str">
            <v>辽宁营销中心</v>
          </cell>
          <cell r="G216" t="str">
            <v>辽宁销售部</v>
          </cell>
          <cell r="H216" t="str">
            <v>孙科辽宁</v>
          </cell>
          <cell r="I216" t="str">
            <v>二星销售顾问</v>
          </cell>
        </row>
        <row r="217">
          <cell r="A217" t="str">
            <v>王志红</v>
          </cell>
          <cell r="B217" t="str">
            <v>01715</v>
          </cell>
          <cell r="C217" t="str">
            <v>湖南时代蜂族营销策划有限公司</v>
          </cell>
          <cell r="D217">
            <v>45927</v>
          </cell>
          <cell r="E217" t="str">
            <v>湖南</v>
          </cell>
          <cell r="F217" t="str">
            <v>湖南营销中心</v>
          </cell>
          <cell r="G217" t="str">
            <v>湖南销售部</v>
          </cell>
          <cell r="H217" t="str">
            <v>夏富杨</v>
          </cell>
          <cell r="I217" t="str">
            <v>实习销售</v>
          </cell>
        </row>
        <row r="218">
          <cell r="A218" t="str">
            <v>王锐</v>
          </cell>
          <cell r="B218" t="str">
            <v>01710</v>
          </cell>
          <cell r="C218" t="str">
            <v>四川时代蜂族营销策划有限公司</v>
          </cell>
          <cell r="D218">
            <v>45927</v>
          </cell>
          <cell r="E218" t="str">
            <v>西南总部</v>
          </cell>
          <cell r="F218" t="str">
            <v>西南营销中心</v>
          </cell>
          <cell r="G218" t="str">
            <v>营业五部</v>
          </cell>
          <cell r="H218" t="str">
            <v>李敏</v>
          </cell>
          <cell r="I218" t="str">
            <v>一星销售顾问</v>
          </cell>
        </row>
        <row r="219">
          <cell r="A219" t="str">
            <v>钟昌燕</v>
          </cell>
          <cell r="B219" t="str">
            <v>01709</v>
          </cell>
          <cell r="C219" t="str">
            <v>四川时代蜂族营销策划有限公司</v>
          </cell>
          <cell r="D219">
            <v>45927</v>
          </cell>
          <cell r="E219" t="str">
            <v>西南总部</v>
          </cell>
          <cell r="F219" t="str">
            <v>西南营销中心</v>
          </cell>
          <cell r="G219" t="str">
            <v>营业五部</v>
          </cell>
          <cell r="H219" t="str">
            <v>尹稳</v>
          </cell>
          <cell r="I219" t="str">
            <v>一星销售顾问</v>
          </cell>
        </row>
        <row r="220">
          <cell r="A220" t="str">
            <v>颜尚清</v>
          </cell>
          <cell r="B220" t="str">
            <v>01706</v>
          </cell>
          <cell r="C220" t="str">
            <v>四川时代蜂族营销策划有限公司</v>
          </cell>
          <cell r="D220">
            <v>45927</v>
          </cell>
          <cell r="E220" t="str">
            <v>西南总部</v>
          </cell>
          <cell r="F220" t="str">
            <v>西南营销中心</v>
          </cell>
          <cell r="G220" t="str">
            <v>营业六部</v>
          </cell>
          <cell r="H220" t="str">
            <v>贾雪英</v>
          </cell>
          <cell r="I220" t="str">
            <v>一星销售顾问</v>
          </cell>
        </row>
        <row r="221">
          <cell r="A221" t="str">
            <v>牛子玮</v>
          </cell>
          <cell r="B221" t="str">
            <v>01705</v>
          </cell>
          <cell r="C221" t="str">
            <v>山东时代蜂族营销策划有限公司</v>
          </cell>
          <cell r="D221">
            <v>45922</v>
          </cell>
          <cell r="E221" t="str">
            <v>山东</v>
          </cell>
          <cell r="F221" t="str">
            <v>山东营销中心</v>
          </cell>
          <cell r="G221" t="str">
            <v>山东销售部</v>
          </cell>
          <cell r="H221" t="str">
            <v>肖佳</v>
          </cell>
          <cell r="I221" t="str">
            <v>一星销售顾问</v>
          </cell>
        </row>
        <row r="222">
          <cell r="A222" t="str">
            <v>邢红英</v>
          </cell>
          <cell r="B222" t="str">
            <v>01704</v>
          </cell>
          <cell r="C222" t="str">
            <v>四川时代蜂族营销策划有限公司</v>
          </cell>
          <cell r="D222">
            <v>45920</v>
          </cell>
          <cell r="E222" t="str">
            <v>西南总部</v>
          </cell>
          <cell r="F222" t="str">
            <v>西南营销中心</v>
          </cell>
          <cell r="G222" t="str">
            <v>营业六部</v>
          </cell>
          <cell r="H222" t="str">
            <v>税锐</v>
          </cell>
          <cell r="I222" t="str">
            <v>一星销售顾问</v>
          </cell>
        </row>
        <row r="223">
          <cell r="A223" t="str">
            <v>王成</v>
          </cell>
          <cell r="B223" t="str">
            <v>00827</v>
          </cell>
          <cell r="C223" t="str">
            <v>四川时代蜂族营销策划有限公司</v>
          </cell>
          <cell r="D223">
            <v>45920</v>
          </cell>
          <cell r="E223" t="str">
            <v>西南总部</v>
          </cell>
          <cell r="F223" t="str">
            <v>西南营销中心</v>
          </cell>
          <cell r="G223" t="str">
            <v>营业二部</v>
          </cell>
          <cell r="H223" t="str">
            <v>黄磊</v>
          </cell>
          <cell r="I223" t="str">
            <v>二星销售顾问</v>
          </cell>
        </row>
        <row r="224">
          <cell r="A224" t="str">
            <v>周玉兰</v>
          </cell>
          <cell r="B224" t="str">
            <v>01699</v>
          </cell>
          <cell r="C224" t="str">
            <v>四川时代蜂族营销策划有限公司</v>
          </cell>
          <cell r="D224">
            <v>45918</v>
          </cell>
          <cell r="E224" t="str">
            <v>西南总部</v>
          </cell>
          <cell r="F224" t="str">
            <v>西南营销中心</v>
          </cell>
          <cell r="G224" t="str">
            <v>营业六部</v>
          </cell>
          <cell r="H224" t="str">
            <v>税锐</v>
          </cell>
          <cell r="I224" t="str">
            <v>一星销售顾问</v>
          </cell>
        </row>
        <row r="225">
          <cell r="A225" t="str">
            <v>余侃侃</v>
          </cell>
          <cell r="B225" t="str">
            <v>01702</v>
          </cell>
          <cell r="C225" t="str">
            <v>四川时代蜂族营销策划有限公司</v>
          </cell>
          <cell r="D225">
            <v>45918</v>
          </cell>
          <cell r="E225" t="str">
            <v>河北</v>
          </cell>
          <cell r="F225" t="str">
            <v>河北营销中心</v>
          </cell>
          <cell r="G225" t="str">
            <v>河北销售部</v>
          </cell>
          <cell r="H225" t="str">
            <v>李港一</v>
          </cell>
          <cell r="I225" t="str">
            <v>一星销售顾问</v>
          </cell>
        </row>
        <row r="226">
          <cell r="A226" t="str">
            <v>周佳玲</v>
          </cell>
          <cell r="B226" t="str">
            <v>00388</v>
          </cell>
          <cell r="C226" t="str">
            <v>四川时代蜂族营销策划有限公司</v>
          </cell>
          <cell r="D226">
            <v>45917</v>
          </cell>
          <cell r="E226" t="str">
            <v>西南总部</v>
          </cell>
          <cell r="F226" t="str">
            <v>西南营销中心</v>
          </cell>
          <cell r="G226" t="str">
            <v>营业七部</v>
          </cell>
          <cell r="H226" t="str">
            <v>刘鹏</v>
          </cell>
          <cell r="I226" t="str">
            <v>二星销售顾问</v>
          </cell>
        </row>
        <row r="227">
          <cell r="A227" t="str">
            <v>刘俊海</v>
          </cell>
          <cell r="B227" t="str">
            <v>00385</v>
          </cell>
          <cell r="C227" t="str">
            <v>湖南时代蜂族营销策划有限公司</v>
          </cell>
          <cell r="D227">
            <v>45915</v>
          </cell>
          <cell r="E227" t="str">
            <v>湖南</v>
          </cell>
          <cell r="F227" t="str">
            <v>湖南营销中心</v>
          </cell>
          <cell r="G227" t="str">
            <v>湖南销售部</v>
          </cell>
          <cell r="H227" t="str">
            <v>杨超群</v>
          </cell>
          <cell r="I227" t="str">
            <v>一星实习经理</v>
          </cell>
        </row>
        <row r="228">
          <cell r="A228" t="str">
            <v>张泽坤</v>
          </cell>
          <cell r="B228" t="str">
            <v>01697</v>
          </cell>
          <cell r="C228" t="str">
            <v>陕西蜂族科技有限公司</v>
          </cell>
          <cell r="D228">
            <v>45915</v>
          </cell>
          <cell r="E228" t="str">
            <v>陕西</v>
          </cell>
          <cell r="F228" t="str">
            <v>陕西营销中心</v>
          </cell>
          <cell r="G228" t="str">
            <v>陕西1部</v>
          </cell>
          <cell r="H228" t="str">
            <v>杨永梅</v>
          </cell>
          <cell r="I228" t="str">
            <v>实习销售</v>
          </cell>
        </row>
        <row r="229">
          <cell r="A229" t="str">
            <v>蒲洪</v>
          </cell>
          <cell r="B229" t="str">
            <v>01703</v>
          </cell>
          <cell r="C229" t="str">
            <v>四川时代蜂族营销策划有限公司</v>
          </cell>
          <cell r="D229">
            <v>45914</v>
          </cell>
          <cell r="E229" t="str">
            <v>西南总部</v>
          </cell>
          <cell r="F229" t="str">
            <v>西南营销中心</v>
          </cell>
          <cell r="G229" t="str">
            <v>营业五部</v>
          </cell>
          <cell r="H229" t="str">
            <v>尹稳</v>
          </cell>
          <cell r="I229" t="str">
            <v>一星销售顾问</v>
          </cell>
        </row>
        <row r="230">
          <cell r="A230" t="str">
            <v>汪强</v>
          </cell>
          <cell r="B230" t="str">
            <v>01694</v>
          </cell>
          <cell r="C230" t="str">
            <v>四川时代蜂族营销策划有限公司</v>
          </cell>
          <cell r="D230">
            <v>45913</v>
          </cell>
          <cell r="E230" t="str">
            <v>西南总部</v>
          </cell>
          <cell r="F230" t="str">
            <v>西南营销中心</v>
          </cell>
          <cell r="G230" t="str">
            <v>营业二部</v>
          </cell>
          <cell r="H230" t="str">
            <v>李先洪</v>
          </cell>
          <cell r="I230" t="str">
            <v>实习销售</v>
          </cell>
        </row>
        <row r="231">
          <cell r="A231" t="str">
            <v>王勤博</v>
          </cell>
          <cell r="B231" t="str">
            <v>01698</v>
          </cell>
          <cell r="C231" t="str">
            <v>山西时代蜂族房地产经纪有限公司</v>
          </cell>
          <cell r="D231">
            <v>45913</v>
          </cell>
          <cell r="E231" t="str">
            <v>山西</v>
          </cell>
          <cell r="F231" t="str">
            <v>山西营销中心</v>
          </cell>
          <cell r="G231" t="str">
            <v>山西销售部</v>
          </cell>
          <cell r="H231" t="str">
            <v>郭永曼</v>
          </cell>
          <cell r="I231" t="str">
            <v>二星销售顾问</v>
          </cell>
        </row>
        <row r="232">
          <cell r="A232" t="str">
            <v>李凤琴</v>
          </cell>
          <cell r="B232" t="str">
            <v>01223</v>
          </cell>
          <cell r="C232" t="str">
            <v>四川时代蜂族营销策划有限公司</v>
          </cell>
          <cell r="D232">
            <v>45912</v>
          </cell>
          <cell r="E232" t="str">
            <v>西南总部</v>
          </cell>
          <cell r="F232" t="str">
            <v>西南营销中心</v>
          </cell>
          <cell r="G232" t="str">
            <v>营业七部</v>
          </cell>
          <cell r="H232" t="str">
            <v>程新浩</v>
          </cell>
          <cell r="I232" t="str">
            <v>一星销售顾问</v>
          </cell>
        </row>
        <row r="233">
          <cell r="A233" t="str">
            <v>李松</v>
          </cell>
          <cell r="B233" t="str">
            <v>01689</v>
          </cell>
          <cell r="C233" t="str">
            <v>陕西蜂族科技有限公司</v>
          </cell>
          <cell r="D233">
            <v>45910</v>
          </cell>
          <cell r="E233" t="str">
            <v>陕西</v>
          </cell>
          <cell r="F233" t="str">
            <v>陕西营销中心</v>
          </cell>
          <cell r="G233" t="str">
            <v>陕西1部</v>
          </cell>
          <cell r="H233" t="str">
            <v>李丝丝</v>
          </cell>
          <cell r="I233" t="str">
            <v>一星销售顾问</v>
          </cell>
        </row>
        <row r="234">
          <cell r="A234" t="str">
            <v>孙其盟</v>
          </cell>
          <cell r="B234" t="str">
            <v>01692</v>
          </cell>
          <cell r="C234" t="str">
            <v>山东时代蜂族营销策划有限公司</v>
          </cell>
          <cell r="D234">
            <v>45910</v>
          </cell>
          <cell r="E234" t="str">
            <v>山东</v>
          </cell>
          <cell r="F234" t="str">
            <v>山东营销中心</v>
          </cell>
          <cell r="G234" t="str">
            <v>山东销售部</v>
          </cell>
          <cell r="H234" t="str">
            <v>苏晓青</v>
          </cell>
          <cell r="I234" t="str">
            <v>一星销售顾问</v>
          </cell>
        </row>
        <row r="235">
          <cell r="A235" t="str">
            <v>徐凯凯</v>
          </cell>
          <cell r="B235" t="str">
            <v>01690</v>
          </cell>
          <cell r="C235" t="str">
            <v>四川时代蜂族营销策划有限公司</v>
          </cell>
          <cell r="D235">
            <v>45909</v>
          </cell>
          <cell r="E235" t="str">
            <v>西南总部</v>
          </cell>
          <cell r="F235" t="str">
            <v>西南营销中心</v>
          </cell>
          <cell r="G235" t="str">
            <v>营业一部</v>
          </cell>
          <cell r="H235" t="str">
            <v>胡雪梅</v>
          </cell>
          <cell r="I235" t="str">
            <v>一星销售顾问</v>
          </cell>
        </row>
        <row r="236">
          <cell r="A236" t="str">
            <v>李玲</v>
          </cell>
          <cell r="B236" t="str">
            <v>01693</v>
          </cell>
          <cell r="C236" t="str">
            <v>四川时代蜂族营销策划有限公司</v>
          </cell>
          <cell r="D236">
            <v>45908</v>
          </cell>
          <cell r="E236" t="str">
            <v>西南总部</v>
          </cell>
          <cell r="F236" t="str">
            <v>西南营销中心</v>
          </cell>
          <cell r="G236" t="str">
            <v>营业七部</v>
          </cell>
          <cell r="H236" t="str">
            <v>彭小琴</v>
          </cell>
          <cell r="I236" t="str">
            <v>一星销售顾问</v>
          </cell>
        </row>
        <row r="237">
          <cell r="A237" t="str">
            <v>曹佳荣</v>
          </cell>
          <cell r="B237" t="str">
            <v>01685</v>
          </cell>
          <cell r="C237" t="str">
            <v>湖北蜜蜂族房地产经纪有限公司</v>
          </cell>
          <cell r="D237">
            <v>45905</v>
          </cell>
          <cell r="E237" t="str">
            <v>湖北</v>
          </cell>
          <cell r="F237" t="str">
            <v>湖北营销中心</v>
          </cell>
          <cell r="G237" t="str">
            <v>湖北2部</v>
          </cell>
          <cell r="H237" t="str">
            <v>陈竺</v>
          </cell>
          <cell r="I237" t="str">
            <v>一星销售顾问</v>
          </cell>
        </row>
        <row r="238">
          <cell r="A238" t="str">
            <v>税小蓉</v>
          </cell>
          <cell r="B238" t="str">
            <v>01684</v>
          </cell>
          <cell r="C238" t="str">
            <v>四川时代蜂族营销策划有限公司</v>
          </cell>
          <cell r="D238">
            <v>45905</v>
          </cell>
          <cell r="E238" t="str">
            <v>西南总部</v>
          </cell>
          <cell r="F238" t="str">
            <v>西南营销中心</v>
          </cell>
          <cell r="G238" t="str">
            <v>营业一部</v>
          </cell>
          <cell r="H238" t="str">
            <v>朱家艳</v>
          </cell>
          <cell r="I238" t="str">
            <v>一星销售顾问</v>
          </cell>
        </row>
        <row r="239">
          <cell r="A239" t="str">
            <v>苏燕</v>
          </cell>
          <cell r="B239" t="str">
            <v>01680</v>
          </cell>
          <cell r="C239" t="str">
            <v>四川时代蜂族营销策划有限公司</v>
          </cell>
          <cell r="D239">
            <v>45903</v>
          </cell>
          <cell r="E239" t="str">
            <v>山西</v>
          </cell>
          <cell r="F239" t="str">
            <v>山西营销中心</v>
          </cell>
          <cell r="G239" t="str">
            <v>山西销售部</v>
          </cell>
          <cell r="H239" t="str">
            <v>艾林山西</v>
          </cell>
          <cell r="I239" t="str">
            <v>一星销售顾问</v>
          </cell>
        </row>
        <row r="240">
          <cell r="A240" t="str">
            <v>蔡申文</v>
          </cell>
          <cell r="B240" t="str">
            <v>01682</v>
          </cell>
          <cell r="C240" t="str">
            <v>四川时代蜂族营销策划有限公司</v>
          </cell>
          <cell r="D240">
            <v>45903</v>
          </cell>
          <cell r="E240" t="str">
            <v>西南总部</v>
          </cell>
          <cell r="F240" t="str">
            <v>西南营销中心</v>
          </cell>
          <cell r="G240" t="str">
            <v>营业一部</v>
          </cell>
          <cell r="H240" t="str">
            <v>朱家艳</v>
          </cell>
          <cell r="I240" t="str">
            <v>一星销售顾问</v>
          </cell>
        </row>
        <row r="241">
          <cell r="A241" t="str">
            <v>张利娟</v>
          </cell>
          <cell r="B241" t="str">
            <v>01679</v>
          </cell>
          <cell r="C241" t="str">
            <v>山东时代蜂族营销策划有限公司</v>
          </cell>
          <cell r="D241">
            <v>45900</v>
          </cell>
          <cell r="E241" t="str">
            <v>山东</v>
          </cell>
          <cell r="F241" t="str">
            <v>山东营销中心</v>
          </cell>
          <cell r="G241" t="str">
            <v>山东销售部</v>
          </cell>
          <cell r="H241" t="str">
            <v>肖佳</v>
          </cell>
          <cell r="I241" t="str">
            <v>一星销售顾问</v>
          </cell>
        </row>
        <row r="242">
          <cell r="A242" t="str">
            <v>刘浩江</v>
          </cell>
          <cell r="B242" t="str">
            <v>01683</v>
          </cell>
          <cell r="C242" t="str">
            <v>湖南时代蜂族营销策划有限公司</v>
          </cell>
          <cell r="D242">
            <v>45899</v>
          </cell>
          <cell r="E242" t="str">
            <v>湖南</v>
          </cell>
          <cell r="F242" t="str">
            <v>湖南营销中心</v>
          </cell>
          <cell r="G242" t="str">
            <v>湖南销售部</v>
          </cell>
          <cell r="H242" t="str">
            <v>闫柏年</v>
          </cell>
          <cell r="I242" t="str">
            <v>一星销售顾问</v>
          </cell>
        </row>
        <row r="243">
          <cell r="A243" t="str">
            <v>张永华</v>
          </cell>
          <cell r="B243" t="str">
            <v>01673</v>
          </cell>
          <cell r="C243" t="str">
            <v>四川时代蜂族营销策划有限公司</v>
          </cell>
          <cell r="D243">
            <v>45896</v>
          </cell>
          <cell r="E243" t="str">
            <v>西南总部</v>
          </cell>
          <cell r="F243" t="str">
            <v>西南营销中心</v>
          </cell>
          <cell r="G243" t="str">
            <v>营业五部</v>
          </cell>
          <cell r="H243" t="str">
            <v>杨科</v>
          </cell>
          <cell r="I243" t="str">
            <v>实习销售</v>
          </cell>
        </row>
        <row r="244">
          <cell r="A244" t="str">
            <v>童云昌</v>
          </cell>
          <cell r="B244" t="str">
            <v>01667</v>
          </cell>
          <cell r="C244" t="str">
            <v>四川时代蜂族营销策划有限公司</v>
          </cell>
          <cell r="D244">
            <v>45896</v>
          </cell>
          <cell r="E244" t="str">
            <v>西南总部</v>
          </cell>
          <cell r="F244" t="str">
            <v>西南营销中心</v>
          </cell>
          <cell r="G244" t="str">
            <v>营业三部</v>
          </cell>
          <cell r="H244" t="str">
            <v>陶再阳</v>
          </cell>
          <cell r="I244" t="str">
            <v>一星销售顾问</v>
          </cell>
        </row>
        <row r="245">
          <cell r="A245" t="str">
            <v>李金华</v>
          </cell>
          <cell r="B245" t="str">
            <v>01675</v>
          </cell>
          <cell r="C245" t="str">
            <v>四川时代蜂族营销策划有限公司</v>
          </cell>
          <cell r="D245">
            <v>45894</v>
          </cell>
          <cell r="E245" t="str">
            <v>西南总部</v>
          </cell>
          <cell r="F245" t="str">
            <v>西南营销中心</v>
          </cell>
          <cell r="G245" t="str">
            <v>营业七部</v>
          </cell>
          <cell r="H245" t="str">
            <v>彭小琴</v>
          </cell>
          <cell r="I245" t="str">
            <v>一星销售顾问</v>
          </cell>
        </row>
        <row r="246">
          <cell r="A246" t="str">
            <v>张启华</v>
          </cell>
          <cell r="B246" t="str">
            <v>01671</v>
          </cell>
          <cell r="C246" t="str">
            <v>四川时代蜂族营销策划有限公司</v>
          </cell>
          <cell r="D246">
            <v>45890</v>
          </cell>
          <cell r="E246" t="str">
            <v>河北</v>
          </cell>
          <cell r="F246" t="str">
            <v>河北营销中心</v>
          </cell>
          <cell r="G246" t="str">
            <v>河北销售部</v>
          </cell>
          <cell r="H246" t="str">
            <v>陈东2河北</v>
          </cell>
          <cell r="I246" t="str">
            <v>一星销售顾问</v>
          </cell>
        </row>
        <row r="247">
          <cell r="A247" t="str">
            <v>潘晓冬</v>
          </cell>
          <cell r="B247" t="str">
            <v>01665</v>
          </cell>
          <cell r="C247" t="str">
            <v>陕西蜂族科技有限公司</v>
          </cell>
          <cell r="D247">
            <v>45887</v>
          </cell>
          <cell r="E247" t="str">
            <v>陕西</v>
          </cell>
          <cell r="F247" t="str">
            <v>陕西营销中心</v>
          </cell>
          <cell r="G247" t="str">
            <v>陕西1部</v>
          </cell>
          <cell r="H247" t="str">
            <v>刘聪</v>
          </cell>
          <cell r="I247" t="str">
            <v>一星销售顾问</v>
          </cell>
        </row>
        <row r="248">
          <cell r="A248" t="str">
            <v>张国坤</v>
          </cell>
          <cell r="B248" t="str">
            <v>01664</v>
          </cell>
          <cell r="C248" t="str">
            <v>山东时代蜂族营销策划有限公司</v>
          </cell>
          <cell r="D248">
            <v>45885</v>
          </cell>
          <cell r="E248" t="str">
            <v>山东</v>
          </cell>
          <cell r="F248" t="str">
            <v>山东营销中心</v>
          </cell>
          <cell r="G248" t="str">
            <v>山东销售部</v>
          </cell>
          <cell r="H248" t="str">
            <v>王杰</v>
          </cell>
          <cell r="I248" t="str">
            <v>一星销售顾问</v>
          </cell>
        </row>
        <row r="249">
          <cell r="A249" t="str">
            <v>王学军</v>
          </cell>
          <cell r="B249" t="str">
            <v>01666</v>
          </cell>
          <cell r="C249" t="str">
            <v>四川时代蜂族营销策划有限公司</v>
          </cell>
          <cell r="D249">
            <v>45884</v>
          </cell>
          <cell r="E249" t="str">
            <v>西南总部</v>
          </cell>
          <cell r="F249" t="str">
            <v>西南营销中心</v>
          </cell>
          <cell r="G249" t="str">
            <v>营业二部</v>
          </cell>
          <cell r="H249" t="str">
            <v>张佩瑶</v>
          </cell>
          <cell r="I249" t="str">
            <v>二星销售顾问</v>
          </cell>
        </row>
        <row r="250">
          <cell r="A250" t="str">
            <v>庞彬城</v>
          </cell>
          <cell r="B250" t="str">
            <v>01660</v>
          </cell>
          <cell r="C250" t="str">
            <v>四川时代蜂族营销策划有限公司</v>
          </cell>
          <cell r="D250">
            <v>45883</v>
          </cell>
          <cell r="E250" t="str">
            <v>西南总部</v>
          </cell>
          <cell r="F250" t="str">
            <v>西南营销中心</v>
          </cell>
          <cell r="G250" t="str">
            <v>营业六部</v>
          </cell>
          <cell r="H250" t="str">
            <v>杨威</v>
          </cell>
          <cell r="I250" t="str">
            <v>一星销售顾问</v>
          </cell>
        </row>
        <row r="251">
          <cell r="A251" t="str">
            <v>黄建</v>
          </cell>
          <cell r="B251" t="str">
            <v>01657</v>
          </cell>
          <cell r="C251" t="str">
            <v>四川时代蜂族营销策划有限公司</v>
          </cell>
          <cell r="D251">
            <v>45883</v>
          </cell>
          <cell r="E251" t="str">
            <v>湖北</v>
          </cell>
          <cell r="F251" t="str">
            <v>湖北营销中心</v>
          </cell>
          <cell r="G251" t="str">
            <v>湖北1部</v>
          </cell>
          <cell r="H251" t="str">
            <v>张宗铭湖北</v>
          </cell>
          <cell r="I251" t="str">
            <v>二星销售顾问</v>
          </cell>
        </row>
        <row r="252">
          <cell r="A252" t="str">
            <v>邓世才</v>
          </cell>
          <cell r="B252" t="str">
            <v>01669</v>
          </cell>
          <cell r="C252" t="str">
            <v>四川时代蜂族营销策划有限公司</v>
          </cell>
          <cell r="D252">
            <v>45882</v>
          </cell>
          <cell r="E252" t="str">
            <v>西南总部</v>
          </cell>
          <cell r="F252" t="str">
            <v>西南营销中心</v>
          </cell>
          <cell r="G252" t="str">
            <v>营业五部</v>
          </cell>
          <cell r="H252" t="str">
            <v>尹稳</v>
          </cell>
          <cell r="I252" t="str">
            <v>一星销售顾问</v>
          </cell>
        </row>
        <row r="253">
          <cell r="A253" t="str">
            <v>张世豪</v>
          </cell>
          <cell r="B253" t="str">
            <v>01656</v>
          </cell>
          <cell r="C253" t="str">
            <v>陕西蜂族科技有限公司</v>
          </cell>
          <cell r="D253">
            <v>45882</v>
          </cell>
          <cell r="E253" t="str">
            <v>陕西</v>
          </cell>
          <cell r="F253" t="str">
            <v>陕西营销中心</v>
          </cell>
          <cell r="G253" t="str">
            <v>陕西1部</v>
          </cell>
          <cell r="H253" t="str">
            <v>刘聪</v>
          </cell>
          <cell r="I253" t="str">
            <v>一星销售顾问</v>
          </cell>
        </row>
        <row r="254">
          <cell r="A254" t="str">
            <v>安娅丽</v>
          </cell>
          <cell r="B254" t="str">
            <v>01653</v>
          </cell>
          <cell r="C254" t="str">
            <v>陕西蜂族科技有限公司</v>
          </cell>
          <cell r="D254">
            <v>45881</v>
          </cell>
          <cell r="E254" t="str">
            <v>陕西</v>
          </cell>
          <cell r="F254" t="str">
            <v>陕西营销中心</v>
          </cell>
          <cell r="G254" t="str">
            <v>陕西1部</v>
          </cell>
          <cell r="H254" t="str">
            <v>刘聪</v>
          </cell>
          <cell r="I254" t="str">
            <v>一星销售顾问</v>
          </cell>
        </row>
        <row r="255">
          <cell r="A255" t="str">
            <v>杨钧</v>
          </cell>
          <cell r="B255" t="str">
            <v>01658</v>
          </cell>
          <cell r="C255" t="str">
            <v>四川时代蜂族营销策划有限公司</v>
          </cell>
          <cell r="D255">
            <v>45881</v>
          </cell>
          <cell r="E255" t="str">
            <v>西南总部</v>
          </cell>
          <cell r="F255" t="str">
            <v>西南营销中心</v>
          </cell>
          <cell r="G255" t="str">
            <v>营业三部</v>
          </cell>
          <cell r="H255" t="str">
            <v>姚瑶</v>
          </cell>
          <cell r="I255" t="str">
            <v>一星销售顾问</v>
          </cell>
        </row>
        <row r="256">
          <cell r="A256" t="str">
            <v>涂正丽</v>
          </cell>
          <cell r="B256" t="str">
            <v>01654</v>
          </cell>
          <cell r="C256" t="str">
            <v>陕西蜂族科技有限公司</v>
          </cell>
          <cell r="D256">
            <v>45881</v>
          </cell>
          <cell r="E256" t="str">
            <v>陕西</v>
          </cell>
          <cell r="F256" t="str">
            <v>陕西营销中心</v>
          </cell>
          <cell r="G256" t="str">
            <v>陕西2部</v>
          </cell>
          <cell r="H256" t="str">
            <v>冀敏</v>
          </cell>
          <cell r="I256" t="str">
            <v>一星销售顾问</v>
          </cell>
        </row>
        <row r="257">
          <cell r="A257" t="str">
            <v>孙静</v>
          </cell>
          <cell r="B257" t="str">
            <v>01650</v>
          </cell>
          <cell r="C257" t="str">
            <v>四川大礼连连科技有限公司</v>
          </cell>
          <cell r="D257">
            <v>45880</v>
          </cell>
          <cell r="E257" t="str">
            <v>山西</v>
          </cell>
          <cell r="F257" t="str">
            <v>山西营销中心</v>
          </cell>
          <cell r="G257" t="str">
            <v>山西销售部</v>
          </cell>
          <cell r="H257" t="str">
            <v>李权益</v>
          </cell>
          <cell r="I257" t="str">
            <v>一星销售顾问</v>
          </cell>
        </row>
        <row r="258">
          <cell r="A258" t="str">
            <v>冯鑫</v>
          </cell>
          <cell r="B258" t="str">
            <v>01637</v>
          </cell>
          <cell r="C258" t="str">
            <v>四川时代蜂族营销策划有限公司</v>
          </cell>
          <cell r="D258">
            <v>45880</v>
          </cell>
          <cell r="E258" t="str">
            <v>西南总部</v>
          </cell>
          <cell r="F258" t="str">
            <v>西南营销中心</v>
          </cell>
          <cell r="G258" t="str">
            <v>杨薇</v>
          </cell>
        </row>
        <row r="258">
          <cell r="I258" t="str">
            <v>策划专员</v>
          </cell>
        </row>
        <row r="259">
          <cell r="A259" t="str">
            <v>张文祥</v>
          </cell>
          <cell r="B259" t="str">
            <v>01649</v>
          </cell>
          <cell r="C259" t="str">
            <v>湖南时代蜂族营销策划有限公司</v>
          </cell>
          <cell r="D259">
            <v>45880</v>
          </cell>
          <cell r="E259" t="str">
            <v>湖南</v>
          </cell>
          <cell r="F259" t="str">
            <v>湖南营销中心</v>
          </cell>
          <cell r="G259" t="str">
            <v>湖南销售部</v>
          </cell>
          <cell r="H259" t="str">
            <v>徐子康湖南</v>
          </cell>
          <cell r="I259" t="str">
            <v>实习销售</v>
          </cell>
        </row>
        <row r="260">
          <cell r="A260" t="str">
            <v>袁兴丰</v>
          </cell>
          <cell r="B260" t="str">
            <v>01648</v>
          </cell>
          <cell r="C260" t="str">
            <v>四川大礼连连科技有限公司</v>
          </cell>
          <cell r="D260">
            <v>45879</v>
          </cell>
          <cell r="E260" t="str">
            <v>西南总部</v>
          </cell>
          <cell r="F260" t="str">
            <v>西南营销中心</v>
          </cell>
          <cell r="G260" t="str">
            <v>营业二部</v>
          </cell>
          <cell r="H260" t="str">
            <v>魏飞翔</v>
          </cell>
          <cell r="I260" t="str">
            <v>二星销售顾问</v>
          </cell>
        </row>
        <row r="261">
          <cell r="A261" t="str">
            <v>孙洪扬</v>
          </cell>
          <cell r="B261" t="str">
            <v>01652</v>
          </cell>
          <cell r="C261" t="str">
            <v>四川大礼连连科技有限公司</v>
          </cell>
          <cell r="D261">
            <v>45878</v>
          </cell>
          <cell r="E261" t="str">
            <v>西南总部</v>
          </cell>
          <cell r="F261" t="str">
            <v>西南营销中心</v>
          </cell>
          <cell r="G261" t="str">
            <v>营业五部</v>
          </cell>
          <cell r="H261" t="str">
            <v>谢敏</v>
          </cell>
          <cell r="I261" t="str">
            <v>一星销售顾问</v>
          </cell>
        </row>
        <row r="262">
          <cell r="A262" t="str">
            <v>刘星</v>
          </cell>
          <cell r="B262" t="str">
            <v>01646</v>
          </cell>
          <cell r="C262" t="str">
            <v>四川时代蜂族营销策划有限公司</v>
          </cell>
          <cell r="D262">
            <v>45878</v>
          </cell>
          <cell r="E262" t="str">
            <v>西南总部</v>
          </cell>
          <cell r="F262" t="str">
            <v>西南营销中心</v>
          </cell>
          <cell r="G262" t="str">
            <v>营业六部</v>
          </cell>
          <cell r="H262" t="str">
            <v>党虹</v>
          </cell>
          <cell r="I262" t="str">
            <v>一星销售顾问</v>
          </cell>
        </row>
        <row r="263">
          <cell r="A263" t="str">
            <v>吴继花</v>
          </cell>
          <cell r="B263" t="str">
            <v>01644</v>
          </cell>
          <cell r="C263" t="str">
            <v>山西时代蜂族房地产经纪有限公司</v>
          </cell>
          <cell r="D263">
            <v>45876</v>
          </cell>
          <cell r="E263" t="str">
            <v>山西</v>
          </cell>
          <cell r="F263" t="str">
            <v>山西营销中心</v>
          </cell>
          <cell r="G263" t="str">
            <v>山西销售部</v>
          </cell>
          <cell r="H263" t="str">
            <v>郭永曼</v>
          </cell>
          <cell r="I263" t="str">
            <v>一星销售顾问</v>
          </cell>
        </row>
        <row r="264">
          <cell r="A264" t="str">
            <v>焦文豪</v>
          </cell>
          <cell r="B264" t="str">
            <v>01641</v>
          </cell>
          <cell r="C264" t="str">
            <v>山东时代蜂族营销策划有限公司</v>
          </cell>
          <cell r="D264">
            <v>45876</v>
          </cell>
          <cell r="E264" t="str">
            <v>山东</v>
          </cell>
          <cell r="F264" t="str">
            <v>山东营销中心</v>
          </cell>
          <cell r="G264" t="str">
            <v>山东销售部</v>
          </cell>
          <cell r="H264" t="str">
            <v>蒲建宇山东</v>
          </cell>
          <cell r="I264" t="str">
            <v>一星销售顾问</v>
          </cell>
        </row>
        <row r="265">
          <cell r="A265" t="str">
            <v>熊明冬</v>
          </cell>
          <cell r="B265" t="str">
            <v>01642</v>
          </cell>
          <cell r="C265" t="str">
            <v>山西时代蜂族房地产经纪有限公司</v>
          </cell>
          <cell r="D265">
            <v>45874</v>
          </cell>
          <cell r="E265" t="str">
            <v>山西</v>
          </cell>
          <cell r="F265" t="str">
            <v>山西营销中心</v>
          </cell>
          <cell r="G265" t="str">
            <v>山西销售部</v>
          </cell>
          <cell r="H265" t="str">
            <v>郭永曼</v>
          </cell>
          <cell r="I265" t="str">
            <v>一星销售顾问</v>
          </cell>
        </row>
        <row r="266">
          <cell r="A266" t="str">
            <v>何小文</v>
          </cell>
          <cell r="B266" t="str">
            <v>01631</v>
          </cell>
          <cell r="C266" t="str">
            <v>四川蜂起营销策划有限公司</v>
          </cell>
          <cell r="D266">
            <v>45873</v>
          </cell>
          <cell r="E266" t="str">
            <v>西南总部</v>
          </cell>
          <cell r="F266" t="str">
            <v>西南营销中心</v>
          </cell>
          <cell r="G266" t="str">
            <v>营业三部</v>
          </cell>
          <cell r="H266" t="str">
            <v>李海艳</v>
          </cell>
          <cell r="I266" t="str">
            <v>一星销售顾问</v>
          </cell>
        </row>
        <row r="267">
          <cell r="A267" t="str">
            <v>刘江超</v>
          </cell>
          <cell r="B267" t="str">
            <v>01632</v>
          </cell>
          <cell r="C267" t="str">
            <v>湖北蜜蜂族房地产经纪有限公司</v>
          </cell>
          <cell r="D267">
            <v>45873</v>
          </cell>
          <cell r="E267" t="str">
            <v>湖北</v>
          </cell>
          <cell r="F267" t="str">
            <v>湖北营销中心</v>
          </cell>
          <cell r="G267" t="str">
            <v>湖北1部</v>
          </cell>
          <cell r="H267" t="str">
            <v>骆志红</v>
          </cell>
          <cell r="I267" t="str">
            <v>一星销售顾问</v>
          </cell>
        </row>
        <row r="268">
          <cell r="A268" t="str">
            <v>周悦</v>
          </cell>
          <cell r="B268" t="str">
            <v>01636</v>
          </cell>
          <cell r="C268" t="str">
            <v>湖北蜜蜂族房地产经纪有限公司</v>
          </cell>
          <cell r="D268">
            <v>45872</v>
          </cell>
          <cell r="E268" t="str">
            <v>湖北</v>
          </cell>
          <cell r="F268" t="str">
            <v>湖北营销中心</v>
          </cell>
          <cell r="G268" t="str">
            <v>湖北1部</v>
          </cell>
          <cell r="H268" t="str">
            <v>阮阳</v>
          </cell>
          <cell r="I268" t="str">
            <v>一星销售顾问</v>
          </cell>
        </row>
        <row r="269">
          <cell r="A269" t="str">
            <v>向巡</v>
          </cell>
          <cell r="B269" t="str">
            <v>01634</v>
          </cell>
          <cell r="C269" t="str">
            <v>四川时代蜂族营销策划有限公司</v>
          </cell>
          <cell r="D269">
            <v>45872</v>
          </cell>
          <cell r="E269" t="str">
            <v>西南总部</v>
          </cell>
          <cell r="F269" t="str">
            <v>西南营销中心</v>
          </cell>
          <cell r="G269" t="str">
            <v>营业四部</v>
          </cell>
          <cell r="H269" t="str">
            <v>陈嘉文</v>
          </cell>
          <cell r="I269" t="str">
            <v>一星销售顾问</v>
          </cell>
        </row>
        <row r="270">
          <cell r="A270" t="str">
            <v>李凯</v>
          </cell>
          <cell r="B270" t="str">
            <v>01627</v>
          </cell>
          <cell r="C270" t="str">
            <v>陕西蜂族科技有限公司</v>
          </cell>
          <cell r="D270">
            <v>45870</v>
          </cell>
          <cell r="E270" t="str">
            <v>陕西</v>
          </cell>
          <cell r="F270" t="str">
            <v>陕西营销中心</v>
          </cell>
          <cell r="G270" t="str">
            <v>陕西1部</v>
          </cell>
          <cell r="H270" t="str">
            <v>王超2</v>
          </cell>
          <cell r="I270" t="str">
            <v>一星销售顾问</v>
          </cell>
        </row>
        <row r="271">
          <cell r="A271" t="str">
            <v>张梦颖</v>
          </cell>
          <cell r="B271" t="str">
            <v>01623</v>
          </cell>
          <cell r="C271" t="str">
            <v>四川时代蜂族营销策划有限公司</v>
          </cell>
          <cell r="D271">
            <v>45870</v>
          </cell>
          <cell r="E271" t="str">
            <v>集团职能</v>
          </cell>
          <cell r="F271" t="str">
            <v>职能总部</v>
          </cell>
          <cell r="G271" t="str">
            <v>残疾人</v>
          </cell>
        </row>
        <row r="271">
          <cell r="I271" t="str">
            <v>残疾人</v>
          </cell>
        </row>
        <row r="272">
          <cell r="A272" t="str">
            <v>李万林</v>
          </cell>
          <cell r="B272" t="str">
            <v>01663</v>
          </cell>
          <cell r="C272" t="str">
            <v>河南蜜蜂族营销策划有限公司</v>
          </cell>
          <cell r="D272">
            <v>45870</v>
          </cell>
          <cell r="E272" t="str">
            <v>河南</v>
          </cell>
          <cell r="F272" t="str">
            <v>河南营销中心</v>
          </cell>
        </row>
        <row r="272">
          <cell r="I272" t="str">
            <v>一星销售顾问</v>
          </cell>
        </row>
        <row r="273">
          <cell r="A273" t="str">
            <v>冯婉玉</v>
          </cell>
          <cell r="B273" t="str">
            <v>01626</v>
          </cell>
          <cell r="C273" t="str">
            <v>河南蜜蜂族营销策划有限公司</v>
          </cell>
          <cell r="D273">
            <v>45867</v>
          </cell>
          <cell r="E273" t="str">
            <v>河南</v>
          </cell>
          <cell r="F273" t="str">
            <v>河南营销中心</v>
          </cell>
          <cell r="G273" t="str">
            <v>河南销售部</v>
          </cell>
          <cell r="H273" t="str">
            <v>任枭月</v>
          </cell>
          <cell r="I273" t="str">
            <v>一星销售顾问</v>
          </cell>
        </row>
        <row r="274">
          <cell r="A274" t="str">
            <v>许柯</v>
          </cell>
          <cell r="B274" t="str">
            <v>01624</v>
          </cell>
          <cell r="C274" t="str">
            <v>陕西蜂族科技有限公司</v>
          </cell>
          <cell r="D274">
            <v>45867</v>
          </cell>
          <cell r="E274" t="str">
            <v>陕西</v>
          </cell>
          <cell r="F274" t="str">
            <v>陕西营销中心</v>
          </cell>
          <cell r="G274" t="str">
            <v>陕西2部</v>
          </cell>
          <cell r="H274" t="str">
            <v>李耀</v>
          </cell>
          <cell r="I274" t="str">
            <v>实习销售</v>
          </cell>
        </row>
        <row r="275">
          <cell r="A275" t="str">
            <v>张强</v>
          </cell>
          <cell r="B275" t="str">
            <v>00644</v>
          </cell>
          <cell r="C275" t="str">
            <v>四川时代蜂族营销策划有限公司</v>
          </cell>
          <cell r="D275">
            <v>45867</v>
          </cell>
          <cell r="E275" t="str">
            <v>辽宁</v>
          </cell>
          <cell r="F275" t="str">
            <v>辽宁拓展部</v>
          </cell>
        </row>
        <row r="275">
          <cell r="I275" t="str">
            <v>实习拓展</v>
          </cell>
        </row>
        <row r="276">
          <cell r="A276" t="str">
            <v>邓姗姗</v>
          </cell>
          <cell r="B276" t="str">
            <v>01617</v>
          </cell>
          <cell r="C276" t="str">
            <v>陕西蜂族科技有限公司</v>
          </cell>
          <cell r="D276">
            <v>45866</v>
          </cell>
          <cell r="E276" t="str">
            <v>陕西</v>
          </cell>
          <cell r="F276" t="str">
            <v>陕西营销中心</v>
          </cell>
          <cell r="G276" t="str">
            <v>陕西1部</v>
          </cell>
          <cell r="H276" t="str">
            <v>杨应</v>
          </cell>
          <cell r="I276" t="str">
            <v>一星销售顾问</v>
          </cell>
        </row>
        <row r="277">
          <cell r="A277" t="str">
            <v>焦明昊</v>
          </cell>
          <cell r="B277" t="str">
            <v>01625</v>
          </cell>
          <cell r="C277" t="str">
            <v>山东时代蜂族营销策划有限公司</v>
          </cell>
          <cell r="D277">
            <v>45866</v>
          </cell>
          <cell r="E277" t="str">
            <v>山东</v>
          </cell>
          <cell r="F277" t="str">
            <v>山东营销中心</v>
          </cell>
          <cell r="G277" t="str">
            <v>山东销售部</v>
          </cell>
          <cell r="H277" t="str">
            <v>吴江平山东</v>
          </cell>
          <cell r="I277" t="str">
            <v>一星销售顾问</v>
          </cell>
        </row>
        <row r="278">
          <cell r="A278" t="str">
            <v>王畅</v>
          </cell>
          <cell r="B278" t="str">
            <v>01629</v>
          </cell>
          <cell r="C278" t="str">
            <v>湖北蜜蜂族房地产经纪有限公司</v>
          </cell>
          <cell r="D278">
            <v>45866</v>
          </cell>
          <cell r="E278" t="str">
            <v>湖北</v>
          </cell>
          <cell r="F278" t="str">
            <v>湖北营销中心</v>
          </cell>
          <cell r="G278" t="str">
            <v>湖北1部</v>
          </cell>
          <cell r="H278" t="str">
            <v>秦娅玲</v>
          </cell>
          <cell r="I278" t="str">
            <v>一星销售顾问</v>
          </cell>
        </row>
        <row r="279">
          <cell r="A279" t="str">
            <v>杜欢</v>
          </cell>
          <cell r="B279" t="str">
            <v>01615</v>
          </cell>
          <cell r="C279" t="str">
            <v>四川蜂起营销策划有限公司</v>
          </cell>
          <cell r="D279">
            <v>45864</v>
          </cell>
          <cell r="E279" t="str">
            <v>西南总部</v>
          </cell>
          <cell r="F279" t="str">
            <v>西南营销中心</v>
          </cell>
          <cell r="G279" t="str">
            <v>营业六部</v>
          </cell>
          <cell r="H279" t="str">
            <v>杨威</v>
          </cell>
          <cell r="I279" t="str">
            <v>一星销售顾问</v>
          </cell>
        </row>
        <row r="280">
          <cell r="A280" t="str">
            <v>邓孝礼</v>
          </cell>
          <cell r="B280" t="str">
            <v>01621</v>
          </cell>
          <cell r="C280" t="str">
            <v>四川蜂起营销策划有限公司</v>
          </cell>
          <cell r="D280">
            <v>45864</v>
          </cell>
          <cell r="E280" t="str">
            <v>西南总部</v>
          </cell>
          <cell r="F280" t="str">
            <v>西南营销中心</v>
          </cell>
          <cell r="G280" t="str">
            <v>营业四部</v>
          </cell>
          <cell r="H280" t="str">
            <v>陈帅</v>
          </cell>
          <cell r="I280" t="str">
            <v>一星销售顾问</v>
          </cell>
        </row>
        <row r="281">
          <cell r="A281" t="str">
            <v>季浩</v>
          </cell>
          <cell r="B281" t="str">
            <v>01620</v>
          </cell>
          <cell r="C281" t="str">
            <v>河南蜜蜂族营销策划有限公司</v>
          </cell>
          <cell r="D281">
            <v>45861</v>
          </cell>
          <cell r="E281" t="str">
            <v>河南</v>
          </cell>
          <cell r="F281" t="str">
            <v>河南营销中心</v>
          </cell>
          <cell r="G281" t="str">
            <v>河南销售部</v>
          </cell>
          <cell r="H281" t="str">
            <v>杜雄</v>
          </cell>
          <cell r="I281" t="str">
            <v>一星销售顾问</v>
          </cell>
        </row>
        <row r="282">
          <cell r="A282" t="str">
            <v>朱用晴</v>
          </cell>
          <cell r="B282" t="str">
            <v>01609</v>
          </cell>
          <cell r="C282" t="str">
            <v>四川蜂起营销策划有限公司</v>
          </cell>
          <cell r="D282">
            <v>45861</v>
          </cell>
          <cell r="E282" t="str">
            <v>西南总部</v>
          </cell>
          <cell r="F282" t="str">
            <v>西南营销中心</v>
          </cell>
          <cell r="G282" t="str">
            <v>营业三部</v>
          </cell>
          <cell r="H282" t="str">
            <v>扈岭楠</v>
          </cell>
          <cell r="I282" t="str">
            <v>一星销售顾问</v>
          </cell>
        </row>
        <row r="283">
          <cell r="A283" t="str">
            <v>黄赛博</v>
          </cell>
          <cell r="B283" t="str">
            <v>01605</v>
          </cell>
          <cell r="C283" t="str">
            <v>湖南时代蜂族营销策划有限公司</v>
          </cell>
          <cell r="D283">
            <v>45860</v>
          </cell>
          <cell r="E283" t="str">
            <v>湖南</v>
          </cell>
          <cell r="F283" t="str">
            <v>湖南营销中心</v>
          </cell>
          <cell r="G283" t="str">
            <v>湖南销售部</v>
          </cell>
          <cell r="H283" t="str">
            <v>黄勇刚湖南</v>
          </cell>
          <cell r="I283" t="str">
            <v>实习销售</v>
          </cell>
        </row>
        <row r="284">
          <cell r="A284" t="str">
            <v>龚祖明</v>
          </cell>
          <cell r="B284" t="str">
            <v>01607</v>
          </cell>
          <cell r="C284" t="str">
            <v>四川蜂起营销策划有限公司</v>
          </cell>
          <cell r="D284">
            <v>45858</v>
          </cell>
          <cell r="E284" t="str">
            <v>西南总部</v>
          </cell>
          <cell r="F284" t="str">
            <v>西南营销中心</v>
          </cell>
          <cell r="G284" t="str">
            <v>营业五部</v>
          </cell>
          <cell r="H284" t="str">
            <v>杨科</v>
          </cell>
          <cell r="I284" t="str">
            <v>一星销售顾问</v>
          </cell>
        </row>
        <row r="285">
          <cell r="A285" t="str">
            <v>陈子豪</v>
          </cell>
          <cell r="B285" t="str">
            <v>01602</v>
          </cell>
          <cell r="C285" t="str">
            <v>河北时代蜂族营销策划有限公司</v>
          </cell>
          <cell r="D285">
            <v>45856</v>
          </cell>
          <cell r="E285" t="str">
            <v>河北</v>
          </cell>
          <cell r="F285" t="str">
            <v>河北营销中心</v>
          </cell>
          <cell r="G285" t="str">
            <v>河北销售部</v>
          </cell>
          <cell r="H285" t="str">
            <v>韦霞河北</v>
          </cell>
          <cell r="I285" t="str">
            <v>一星销售顾问</v>
          </cell>
        </row>
        <row r="286">
          <cell r="A286" t="str">
            <v>唐雨星</v>
          </cell>
          <cell r="B286" t="str">
            <v>01611</v>
          </cell>
          <cell r="C286" t="str">
            <v>四川优诺通瑞商贸有限公司</v>
          </cell>
          <cell r="D286">
            <v>45856</v>
          </cell>
          <cell r="E286" t="str">
            <v>集团职能</v>
          </cell>
          <cell r="F286" t="str">
            <v>职能总部</v>
          </cell>
          <cell r="G286" t="str">
            <v>人资行政部</v>
          </cell>
          <cell r="H286" t="str">
            <v>招聘部</v>
          </cell>
          <cell r="I286" t="str">
            <v>招聘专员</v>
          </cell>
        </row>
        <row r="287">
          <cell r="A287" t="str">
            <v>周萍</v>
          </cell>
          <cell r="B287" t="str">
            <v>01601</v>
          </cell>
          <cell r="C287" t="str">
            <v>山东时代蜂族营销策划有限公司</v>
          </cell>
          <cell r="D287">
            <v>45856</v>
          </cell>
          <cell r="E287" t="str">
            <v>山东</v>
          </cell>
          <cell r="F287" t="str">
            <v>山东营销中心</v>
          </cell>
          <cell r="G287" t="str">
            <v>山东销售部</v>
          </cell>
          <cell r="H287" t="str">
            <v>杨唐山东</v>
          </cell>
          <cell r="I287" t="str">
            <v>一星销售顾问</v>
          </cell>
        </row>
        <row r="288">
          <cell r="A288" t="str">
            <v>张帅</v>
          </cell>
          <cell r="B288" t="str">
            <v>01600</v>
          </cell>
          <cell r="C288" t="str">
            <v>四川蜂起营销策划有限公司</v>
          </cell>
          <cell r="D288">
            <v>45855</v>
          </cell>
          <cell r="E288" t="str">
            <v>西南总部</v>
          </cell>
          <cell r="F288" t="str">
            <v>西南营销中心</v>
          </cell>
          <cell r="G288" t="str">
            <v>营业五部</v>
          </cell>
          <cell r="H288" t="str">
            <v>尹稳</v>
          </cell>
          <cell r="I288" t="str">
            <v>二星销售顾问</v>
          </cell>
        </row>
        <row r="289">
          <cell r="A289" t="str">
            <v>李宗霖</v>
          </cell>
          <cell r="B289" t="str">
            <v>01599</v>
          </cell>
          <cell r="C289" t="str">
            <v>四川蜂起营销策划有限公司</v>
          </cell>
          <cell r="D289">
            <v>45855</v>
          </cell>
          <cell r="E289" t="str">
            <v>西南总部</v>
          </cell>
          <cell r="F289" t="str">
            <v>西南营销中心</v>
          </cell>
          <cell r="G289" t="str">
            <v>营业七部</v>
          </cell>
          <cell r="H289" t="str">
            <v>刘鹏</v>
          </cell>
          <cell r="I289" t="str">
            <v>二星销售顾问</v>
          </cell>
        </row>
        <row r="290">
          <cell r="A290" t="str">
            <v>宋兰萍</v>
          </cell>
          <cell r="B290" t="str">
            <v>01595</v>
          </cell>
          <cell r="C290" t="str">
            <v>湖北蜜蜂族房地产经纪有限公司</v>
          </cell>
          <cell r="D290">
            <v>45853</v>
          </cell>
          <cell r="E290" t="str">
            <v>湖北</v>
          </cell>
          <cell r="F290" t="str">
            <v>湖北营销中心</v>
          </cell>
          <cell r="G290" t="str">
            <v>湖北1部</v>
          </cell>
          <cell r="H290" t="str">
            <v>张宗铭湖北</v>
          </cell>
          <cell r="I290" t="str">
            <v>一星销售顾问</v>
          </cell>
        </row>
        <row r="291">
          <cell r="A291" t="str">
            <v>杨哲</v>
          </cell>
          <cell r="B291" t="str">
            <v>01596</v>
          </cell>
          <cell r="C291" t="str">
            <v>陕西蜂族科技有限公司</v>
          </cell>
          <cell r="D291">
            <v>45853</v>
          </cell>
          <cell r="E291" t="str">
            <v>陕西</v>
          </cell>
          <cell r="F291" t="str">
            <v>陕西营销中心</v>
          </cell>
          <cell r="G291" t="str">
            <v>陕西1部</v>
          </cell>
          <cell r="H291" t="str">
            <v>叶湑</v>
          </cell>
          <cell r="I291" t="str">
            <v>实习销售</v>
          </cell>
        </row>
        <row r="292">
          <cell r="A292" t="str">
            <v>陈军2</v>
          </cell>
          <cell r="B292" t="str">
            <v>01598</v>
          </cell>
          <cell r="C292" t="str">
            <v>河北时代蜂族营销策划有限公司</v>
          </cell>
          <cell r="D292">
            <v>45853</v>
          </cell>
          <cell r="E292" t="str">
            <v>河北</v>
          </cell>
          <cell r="F292" t="str">
            <v>河北营销中心</v>
          </cell>
          <cell r="G292" t="str">
            <v>河北销售部</v>
          </cell>
          <cell r="H292" t="str">
            <v>韦霞河北</v>
          </cell>
          <cell r="I292" t="str">
            <v>一星销售顾问</v>
          </cell>
        </row>
        <row r="293">
          <cell r="A293" t="str">
            <v>张娇</v>
          </cell>
          <cell r="B293" t="str">
            <v>01597</v>
          </cell>
          <cell r="C293" t="str">
            <v>四川大礼连连科技有限公司</v>
          </cell>
          <cell r="D293">
            <v>45852</v>
          </cell>
          <cell r="E293" t="str">
            <v>河南</v>
          </cell>
          <cell r="F293" t="str">
            <v>河南营销中心</v>
          </cell>
          <cell r="G293" t="str">
            <v>河南销售部</v>
          </cell>
          <cell r="H293" t="str">
            <v>蒋吉勇河南</v>
          </cell>
          <cell r="I293" t="str">
            <v>二星销售顾问</v>
          </cell>
        </row>
        <row r="294">
          <cell r="A294" t="str">
            <v>王维</v>
          </cell>
          <cell r="B294" t="str">
            <v>00569</v>
          </cell>
          <cell r="C294" t="str">
            <v>四川时代蜂族营销策划有限公司</v>
          </cell>
          <cell r="D294">
            <v>45849</v>
          </cell>
          <cell r="E294" t="str">
            <v>西南总部</v>
          </cell>
          <cell r="F294" t="str">
            <v>西南营销中心</v>
          </cell>
          <cell r="G294" t="str">
            <v>营业二部</v>
          </cell>
          <cell r="H294" t="str">
            <v>张佩瑶</v>
          </cell>
          <cell r="I294" t="str">
            <v>二星销售顾问</v>
          </cell>
        </row>
        <row r="295">
          <cell r="A295" t="str">
            <v>邓富成</v>
          </cell>
          <cell r="B295" t="str">
            <v>01591</v>
          </cell>
          <cell r="C295" t="str">
            <v>四川时代蜂族营销策划有限公司</v>
          </cell>
          <cell r="D295">
            <v>45848</v>
          </cell>
          <cell r="E295" t="str">
            <v>西南总部</v>
          </cell>
          <cell r="F295" t="str">
            <v>西南营销中心</v>
          </cell>
          <cell r="G295" t="str">
            <v>营业六部</v>
          </cell>
          <cell r="H295" t="str">
            <v>韩颖</v>
          </cell>
          <cell r="I295" t="str">
            <v>二星销售顾问</v>
          </cell>
        </row>
        <row r="296">
          <cell r="A296" t="str">
            <v>张勤</v>
          </cell>
          <cell r="B296" t="str">
            <v>01584</v>
          </cell>
          <cell r="C296" t="str">
            <v>四川蜂起营销策划有限公司</v>
          </cell>
          <cell r="D296">
            <v>45847</v>
          </cell>
          <cell r="E296" t="str">
            <v>集团职能</v>
          </cell>
          <cell r="F296" t="str">
            <v>职能总部</v>
          </cell>
          <cell r="G296" t="str">
            <v>策划部</v>
          </cell>
        </row>
        <row r="296">
          <cell r="I296" t="str">
            <v>策划专员</v>
          </cell>
        </row>
        <row r="297">
          <cell r="A297" t="str">
            <v>周帅</v>
          </cell>
          <cell r="B297" t="str">
            <v>01588</v>
          </cell>
          <cell r="C297" t="str">
            <v>河南蜜蜂族营销策划有限公司</v>
          </cell>
          <cell r="D297">
            <v>45846</v>
          </cell>
          <cell r="E297" t="str">
            <v>河南</v>
          </cell>
          <cell r="F297" t="str">
            <v>河南营销中心</v>
          </cell>
        </row>
        <row r="297">
          <cell r="I297" t="str">
            <v>实习销售</v>
          </cell>
        </row>
        <row r="298">
          <cell r="A298" t="str">
            <v>朱静</v>
          </cell>
          <cell r="B298" t="str">
            <v>01587</v>
          </cell>
          <cell r="C298" t="str">
            <v>四川时代蜂族营销策划有限公司</v>
          </cell>
          <cell r="D298">
            <v>45845</v>
          </cell>
          <cell r="E298" t="str">
            <v>西南总部</v>
          </cell>
          <cell r="F298" t="str">
            <v>西南营销中心</v>
          </cell>
          <cell r="G298" t="str">
            <v>营业五部</v>
          </cell>
          <cell r="H298" t="str">
            <v>杨科</v>
          </cell>
          <cell r="I298" t="str">
            <v>二星销售顾问</v>
          </cell>
        </row>
        <row r="299">
          <cell r="A299" t="str">
            <v>蒋元香</v>
          </cell>
          <cell r="B299" t="str">
            <v>01567</v>
          </cell>
          <cell r="C299" t="str">
            <v>四川时代蜂族营销策划有限公司</v>
          </cell>
          <cell r="D299">
            <v>45844</v>
          </cell>
          <cell r="E299" t="str">
            <v>西南总部</v>
          </cell>
          <cell r="F299" t="str">
            <v>西南营销中心</v>
          </cell>
          <cell r="G299" t="str">
            <v>营业一部</v>
          </cell>
          <cell r="H299" t="str">
            <v>朱家艳</v>
          </cell>
          <cell r="I299" t="str">
            <v>二星销售顾问</v>
          </cell>
        </row>
        <row r="300">
          <cell r="A300" t="str">
            <v>易青</v>
          </cell>
          <cell r="B300" t="str">
            <v>01569</v>
          </cell>
          <cell r="C300" t="str">
            <v>四川时代蜂族营销策划有限公司</v>
          </cell>
          <cell r="D300">
            <v>45844</v>
          </cell>
          <cell r="E300" t="str">
            <v>西南总部</v>
          </cell>
          <cell r="F300" t="str">
            <v>西南营销中心</v>
          </cell>
          <cell r="G300" t="str">
            <v>营业三部</v>
          </cell>
          <cell r="H300" t="str">
            <v>扈岭楠</v>
          </cell>
          <cell r="I300" t="str">
            <v>一星销售顾问</v>
          </cell>
        </row>
        <row r="301">
          <cell r="A301" t="str">
            <v>宋雨嫣</v>
          </cell>
          <cell r="B301" t="str">
            <v>01575</v>
          </cell>
          <cell r="C301" t="str">
            <v>四川时代蜂族营销策划有限公司</v>
          </cell>
          <cell r="D301">
            <v>45844</v>
          </cell>
          <cell r="E301" t="str">
            <v>西南总部</v>
          </cell>
          <cell r="F301" t="str">
            <v>西南营销中心</v>
          </cell>
          <cell r="G301" t="str">
            <v>营业三部</v>
          </cell>
          <cell r="H301" t="str">
            <v>吴建鑫</v>
          </cell>
          <cell r="I301" t="str">
            <v>一星销售顾问</v>
          </cell>
        </row>
        <row r="302">
          <cell r="A302" t="str">
            <v>刘源</v>
          </cell>
          <cell r="B302" t="str">
            <v>01568</v>
          </cell>
          <cell r="C302" t="str">
            <v>山西时代蜂族房地产经纪有限公司</v>
          </cell>
          <cell r="D302">
            <v>45844</v>
          </cell>
          <cell r="E302" t="str">
            <v>山西</v>
          </cell>
          <cell r="F302" t="str">
            <v>山西营销中心</v>
          </cell>
          <cell r="G302" t="str">
            <v>山西销售部</v>
          </cell>
          <cell r="H302" t="str">
            <v>彭停山西</v>
          </cell>
          <cell r="I302" t="str">
            <v>二星销售顾问</v>
          </cell>
        </row>
        <row r="303">
          <cell r="A303" t="str">
            <v>叶婷</v>
          </cell>
          <cell r="B303" t="str">
            <v>01571</v>
          </cell>
          <cell r="C303" t="str">
            <v>四川时代蜂族营销策划有限公司</v>
          </cell>
          <cell r="D303">
            <v>45844</v>
          </cell>
          <cell r="E303" t="str">
            <v>西南总部</v>
          </cell>
          <cell r="F303" t="str">
            <v>西南营销中心</v>
          </cell>
          <cell r="G303" t="str">
            <v>营业六部</v>
          </cell>
          <cell r="H303" t="str">
            <v>袁华</v>
          </cell>
          <cell r="I303" t="str">
            <v>一星销售顾问</v>
          </cell>
        </row>
        <row r="304">
          <cell r="A304" t="str">
            <v>李骏昊</v>
          </cell>
          <cell r="B304" t="str">
            <v>01573</v>
          </cell>
          <cell r="C304" t="str">
            <v>山西时代蜂族房地产经纪有限公司</v>
          </cell>
          <cell r="D304">
            <v>45844</v>
          </cell>
          <cell r="E304" t="str">
            <v>山西</v>
          </cell>
          <cell r="F304" t="str">
            <v>山西营销中心</v>
          </cell>
          <cell r="G304" t="str">
            <v>山西销售部</v>
          </cell>
          <cell r="H304" t="str">
            <v>赵龙</v>
          </cell>
          <cell r="I304" t="str">
            <v>一星销售顾问</v>
          </cell>
        </row>
        <row r="305">
          <cell r="A305" t="str">
            <v>李鑫4</v>
          </cell>
          <cell r="B305" t="str">
            <v>01579</v>
          </cell>
          <cell r="C305" t="str">
            <v>四川时代蜂族营销策划有限公司</v>
          </cell>
          <cell r="D305">
            <v>45844</v>
          </cell>
          <cell r="E305" t="str">
            <v>西南总部</v>
          </cell>
          <cell r="F305" t="str">
            <v>西南营销中心</v>
          </cell>
          <cell r="G305" t="str">
            <v>营业六部</v>
          </cell>
          <cell r="H305" t="str">
            <v>杨翠茹</v>
          </cell>
          <cell r="I305" t="str">
            <v>二星销售顾问</v>
          </cell>
        </row>
        <row r="306">
          <cell r="A306" t="str">
            <v>余勤昌</v>
          </cell>
          <cell r="B306" t="str">
            <v>01574</v>
          </cell>
          <cell r="C306" t="str">
            <v>四川时代蜂族营销策划有限公司</v>
          </cell>
          <cell r="D306">
            <v>45844</v>
          </cell>
          <cell r="E306" t="str">
            <v>西南总部</v>
          </cell>
          <cell r="F306" t="str">
            <v>西南营销中心</v>
          </cell>
          <cell r="G306" t="str">
            <v>营业二部</v>
          </cell>
          <cell r="H306" t="str">
            <v>张佩瑶</v>
          </cell>
          <cell r="I306" t="str">
            <v>二星销售顾问</v>
          </cell>
        </row>
        <row r="307">
          <cell r="A307" t="str">
            <v>陈佳乐</v>
          </cell>
          <cell r="B307" t="str">
            <v>01589</v>
          </cell>
          <cell r="C307" t="str">
            <v>陕西蜂族科技有限公司</v>
          </cell>
          <cell r="D307">
            <v>45843</v>
          </cell>
          <cell r="E307" t="str">
            <v>陕西</v>
          </cell>
          <cell r="F307" t="str">
            <v>陕西营销中心</v>
          </cell>
          <cell r="G307" t="str">
            <v>陕西1部</v>
          </cell>
          <cell r="H307" t="str">
            <v>杨永梅</v>
          </cell>
          <cell r="I307" t="str">
            <v>一星销售顾问</v>
          </cell>
        </row>
        <row r="308">
          <cell r="A308" t="str">
            <v>贾品超</v>
          </cell>
          <cell r="B308" t="str">
            <v>01585</v>
          </cell>
          <cell r="C308" t="str">
            <v>河南蜜蜂族营销策划有限公司</v>
          </cell>
          <cell r="D308">
            <v>45842</v>
          </cell>
          <cell r="E308" t="str">
            <v>河南</v>
          </cell>
          <cell r="F308" t="str">
            <v>河南营销中心</v>
          </cell>
          <cell r="G308" t="str">
            <v>河南销售部</v>
          </cell>
          <cell r="H308" t="str">
            <v>余金梅</v>
          </cell>
          <cell r="I308" t="str">
            <v>二星销售顾问</v>
          </cell>
        </row>
        <row r="309">
          <cell r="A309" t="str">
            <v>汤茗棵</v>
          </cell>
          <cell r="B309" t="str">
            <v>01583</v>
          </cell>
          <cell r="C309" t="str">
            <v>陕西蜂族科技有限公司</v>
          </cell>
          <cell r="D309">
            <v>45841</v>
          </cell>
          <cell r="E309" t="str">
            <v>陕西</v>
          </cell>
          <cell r="F309" t="str">
            <v>陕西营销中心</v>
          </cell>
          <cell r="G309" t="str">
            <v>陕西1部</v>
          </cell>
          <cell r="H309" t="str">
            <v>刘聪</v>
          </cell>
          <cell r="I309" t="str">
            <v>实习销售</v>
          </cell>
        </row>
        <row r="310">
          <cell r="A310" t="str">
            <v>张莉萍</v>
          </cell>
          <cell r="B310" t="str">
            <v>01581</v>
          </cell>
          <cell r="C310" t="str">
            <v>四川蜂起营销策划有限公司</v>
          </cell>
          <cell r="D310">
            <v>45841</v>
          </cell>
          <cell r="E310" t="str">
            <v>西南总部</v>
          </cell>
          <cell r="F310" t="str">
            <v>西南营销中心</v>
          </cell>
          <cell r="G310" t="str">
            <v>营业七部</v>
          </cell>
          <cell r="H310" t="str">
            <v>张家涛</v>
          </cell>
          <cell r="I310" t="str">
            <v>一星销售顾问</v>
          </cell>
        </row>
        <row r="311">
          <cell r="A311" t="str">
            <v>李再桥</v>
          </cell>
          <cell r="B311" t="str">
            <v>01563</v>
          </cell>
          <cell r="C311" t="str">
            <v>湖南时代蜂族营销策划有限公司</v>
          </cell>
          <cell r="D311">
            <v>45840</v>
          </cell>
          <cell r="E311" t="str">
            <v>湖南</v>
          </cell>
          <cell r="F311" t="str">
            <v>湖南营销中心</v>
          </cell>
          <cell r="G311" t="str">
            <v>湖南销售部</v>
          </cell>
          <cell r="H311" t="str">
            <v>陈炳佑</v>
          </cell>
          <cell r="I311" t="str">
            <v>一星销售顾问</v>
          </cell>
        </row>
        <row r="312">
          <cell r="A312" t="str">
            <v>夏玉木</v>
          </cell>
          <cell r="B312" t="str">
            <v>01560</v>
          </cell>
          <cell r="C312" t="str">
            <v>四川大礼连连科技有限公司</v>
          </cell>
          <cell r="D312">
            <v>45838</v>
          </cell>
          <cell r="E312" t="str">
            <v>西南总部</v>
          </cell>
          <cell r="F312" t="str">
            <v>西南营销中心</v>
          </cell>
          <cell r="G312" t="str">
            <v>营业五部</v>
          </cell>
          <cell r="H312" t="str">
            <v>周远芮</v>
          </cell>
          <cell r="I312" t="str">
            <v>一星销售顾问</v>
          </cell>
        </row>
        <row r="313">
          <cell r="A313" t="str">
            <v>孙杰梅</v>
          </cell>
          <cell r="B313" t="str">
            <v>01562</v>
          </cell>
          <cell r="C313" t="str">
            <v>四川大礼连连科技有限公司</v>
          </cell>
          <cell r="D313">
            <v>45838</v>
          </cell>
          <cell r="E313" t="str">
            <v>西南总部</v>
          </cell>
          <cell r="F313" t="str">
            <v>西南营销中心</v>
          </cell>
          <cell r="G313" t="str">
            <v>营业二部</v>
          </cell>
          <cell r="H313" t="str">
            <v>杨芊</v>
          </cell>
          <cell r="I313" t="str">
            <v>二星销售顾问</v>
          </cell>
        </row>
        <row r="314">
          <cell r="A314" t="str">
            <v>赵书强</v>
          </cell>
          <cell r="B314" t="str">
            <v>01566</v>
          </cell>
          <cell r="C314" t="str">
            <v>陕西蜂族科技有限公司</v>
          </cell>
          <cell r="D314">
            <v>45838</v>
          </cell>
          <cell r="E314" t="str">
            <v>陕西</v>
          </cell>
          <cell r="F314" t="str">
            <v>陕西营销中心</v>
          </cell>
          <cell r="G314" t="str">
            <v>陕西2部</v>
          </cell>
          <cell r="H314" t="str">
            <v>王天成</v>
          </cell>
          <cell r="I314" t="str">
            <v>一星销售顾问</v>
          </cell>
        </row>
        <row r="315">
          <cell r="A315" t="str">
            <v>陶福亮</v>
          </cell>
          <cell r="B315" t="str">
            <v>01558</v>
          </cell>
          <cell r="C315" t="str">
            <v>山东时代蜂族营销策划有限公司</v>
          </cell>
          <cell r="D315">
            <v>45838</v>
          </cell>
          <cell r="E315" t="str">
            <v>山东</v>
          </cell>
          <cell r="F315" t="str">
            <v>山东营销中心</v>
          </cell>
          <cell r="G315" t="str">
            <v>山东销售部</v>
          </cell>
          <cell r="H315" t="str">
            <v>周涛</v>
          </cell>
          <cell r="I315" t="str">
            <v>一星销售顾问</v>
          </cell>
        </row>
        <row r="316">
          <cell r="A316" t="str">
            <v>周光辉</v>
          </cell>
          <cell r="B316" t="str">
            <v>01565</v>
          </cell>
          <cell r="C316" t="str">
            <v>四川大礼连连科技有限公司</v>
          </cell>
          <cell r="D316">
            <v>45836</v>
          </cell>
          <cell r="E316" t="str">
            <v>西南总部</v>
          </cell>
          <cell r="F316" t="str">
            <v>西南营销中心</v>
          </cell>
          <cell r="G316" t="str">
            <v>营业一部</v>
          </cell>
          <cell r="H316" t="str">
            <v>唐浪波</v>
          </cell>
          <cell r="I316" t="str">
            <v>二星销售顾问</v>
          </cell>
        </row>
        <row r="317">
          <cell r="A317" t="str">
            <v>刘政</v>
          </cell>
          <cell r="B317" t="str">
            <v>01561</v>
          </cell>
          <cell r="C317" t="str">
            <v>山东时代蜂族营销策划有限公司</v>
          </cell>
          <cell r="D317">
            <v>45836</v>
          </cell>
          <cell r="E317" t="str">
            <v>山东</v>
          </cell>
          <cell r="F317" t="str">
            <v>山东营销中心</v>
          </cell>
          <cell r="G317" t="str">
            <v>山东销售部</v>
          </cell>
          <cell r="H317" t="str">
            <v>吴江平山东</v>
          </cell>
          <cell r="I317" t="str">
            <v>一星销售顾问</v>
          </cell>
        </row>
        <row r="318">
          <cell r="A318" t="str">
            <v>任浩</v>
          </cell>
          <cell r="B318" t="str">
            <v>01557</v>
          </cell>
          <cell r="C318" t="str">
            <v>四川蜂起营销策划有限公司</v>
          </cell>
          <cell r="D318">
            <v>45836</v>
          </cell>
          <cell r="E318" t="str">
            <v>西南总部</v>
          </cell>
          <cell r="F318" t="str">
            <v>西南营销中心</v>
          </cell>
          <cell r="G318" t="str">
            <v>营业五部</v>
          </cell>
          <cell r="H318" t="str">
            <v>谢敏</v>
          </cell>
          <cell r="I318" t="str">
            <v>一星销售顾问</v>
          </cell>
        </row>
        <row r="319">
          <cell r="A319" t="str">
            <v>张锦</v>
          </cell>
          <cell r="B319" t="str">
            <v>01556</v>
          </cell>
          <cell r="C319" t="str">
            <v>四川时代蜂族营销策划有限公司</v>
          </cell>
          <cell r="D319">
            <v>45836</v>
          </cell>
          <cell r="E319" t="str">
            <v>西南总部</v>
          </cell>
          <cell r="F319" t="str">
            <v>西南拓展中心</v>
          </cell>
          <cell r="G319" t="str">
            <v>川西</v>
          </cell>
        </row>
        <row r="319">
          <cell r="I319" t="str">
            <v>实习拓展</v>
          </cell>
        </row>
        <row r="320">
          <cell r="A320" t="str">
            <v>张强2</v>
          </cell>
          <cell r="B320" t="str">
            <v>01550</v>
          </cell>
          <cell r="C320" t="str">
            <v>四川时代蜂族营销策划有限公司</v>
          </cell>
          <cell r="D320">
            <v>45833</v>
          </cell>
          <cell r="E320" t="str">
            <v>西南总部</v>
          </cell>
          <cell r="F320" t="str">
            <v>西南营销中心</v>
          </cell>
          <cell r="G320" t="str">
            <v>营业三部</v>
          </cell>
          <cell r="H320" t="str">
            <v>肖秀丽</v>
          </cell>
          <cell r="I320" t="str">
            <v>实习销售</v>
          </cell>
        </row>
        <row r="321">
          <cell r="A321" t="str">
            <v>王宇飞</v>
          </cell>
          <cell r="B321" t="str">
            <v>01555</v>
          </cell>
          <cell r="C321" t="str">
            <v>湖南时代蜂族营销策划有限公司</v>
          </cell>
          <cell r="D321">
            <v>45833</v>
          </cell>
          <cell r="E321" t="str">
            <v>湖南</v>
          </cell>
          <cell r="F321" t="str">
            <v>湖南营销中心</v>
          </cell>
          <cell r="G321" t="str">
            <v>湖南销售部</v>
          </cell>
          <cell r="H321" t="str">
            <v>陈炳佑</v>
          </cell>
          <cell r="I321" t="str">
            <v>二星销售顾问</v>
          </cell>
        </row>
        <row r="322">
          <cell r="A322" t="str">
            <v>闫磊</v>
          </cell>
          <cell r="B322" t="str">
            <v>01553</v>
          </cell>
          <cell r="C322" t="str">
            <v>山东时代蜂族营销策划有限公司</v>
          </cell>
          <cell r="D322">
            <v>45833</v>
          </cell>
          <cell r="E322" t="str">
            <v>山东</v>
          </cell>
          <cell r="F322" t="str">
            <v>山东营销中心</v>
          </cell>
          <cell r="G322" t="str">
            <v>山东销售部</v>
          </cell>
          <cell r="H322" t="str">
            <v>吴江平山东</v>
          </cell>
          <cell r="I322" t="str">
            <v>二星销售顾问</v>
          </cell>
        </row>
        <row r="323">
          <cell r="A323" t="str">
            <v>马夕鹏</v>
          </cell>
          <cell r="B323" t="str">
            <v>01559</v>
          </cell>
          <cell r="C323" t="str">
            <v>四川大礼连连科技有限公司</v>
          </cell>
          <cell r="D323">
            <v>45833</v>
          </cell>
          <cell r="E323" t="str">
            <v>西南总部</v>
          </cell>
          <cell r="F323" t="str">
            <v>西南营销中心</v>
          </cell>
          <cell r="G323" t="str">
            <v>营业四部</v>
          </cell>
          <cell r="H323" t="str">
            <v>彭停</v>
          </cell>
          <cell r="I323" t="str">
            <v>二星销售顾问</v>
          </cell>
        </row>
        <row r="324">
          <cell r="A324" t="str">
            <v>黄章强</v>
          </cell>
          <cell r="B324" t="str">
            <v>01551</v>
          </cell>
          <cell r="C324" t="str">
            <v>四川大礼连连科技有限公司</v>
          </cell>
          <cell r="D324">
            <v>45832</v>
          </cell>
          <cell r="E324" t="str">
            <v>西南总部</v>
          </cell>
          <cell r="F324" t="str">
            <v>西南营销中心</v>
          </cell>
          <cell r="G324" t="str">
            <v>营业六部</v>
          </cell>
          <cell r="H324" t="str">
            <v>贾雪英</v>
          </cell>
          <cell r="I324" t="str">
            <v>二星销售顾问</v>
          </cell>
        </row>
        <row r="325">
          <cell r="A325" t="str">
            <v>陈立新</v>
          </cell>
          <cell r="B325" t="str">
            <v>01548</v>
          </cell>
          <cell r="C325" t="str">
            <v>陕西蜂族科技有限公司</v>
          </cell>
          <cell r="D325">
            <v>45831</v>
          </cell>
          <cell r="E325" t="str">
            <v>陕西</v>
          </cell>
          <cell r="F325" t="str">
            <v>陕西营销中心</v>
          </cell>
          <cell r="G325" t="str">
            <v>陕西1部</v>
          </cell>
          <cell r="H325" t="str">
            <v>王超2</v>
          </cell>
          <cell r="I325" t="str">
            <v>实习销售</v>
          </cell>
        </row>
        <row r="326">
          <cell r="A326" t="str">
            <v>殷吉</v>
          </cell>
          <cell r="B326" t="str">
            <v>01547</v>
          </cell>
          <cell r="C326" t="str">
            <v>四川时代蜂族营销策划有限公司</v>
          </cell>
          <cell r="D326">
            <v>45830</v>
          </cell>
          <cell r="E326" t="str">
            <v>西南总部</v>
          </cell>
          <cell r="F326" t="str">
            <v>西南营销中心</v>
          </cell>
          <cell r="G326" t="str">
            <v>营业四部</v>
          </cell>
          <cell r="H326" t="str">
            <v>陈帅</v>
          </cell>
          <cell r="I326" t="str">
            <v>一星销售顾问</v>
          </cell>
        </row>
        <row r="327">
          <cell r="A327" t="str">
            <v>赵安伟</v>
          </cell>
          <cell r="B327" t="str">
            <v>01544</v>
          </cell>
          <cell r="C327" t="str">
            <v>陕西蜂族科技有限公司</v>
          </cell>
          <cell r="D327">
            <v>45828</v>
          </cell>
          <cell r="E327" t="str">
            <v>陕西</v>
          </cell>
          <cell r="F327" t="str">
            <v>陕西营销中心</v>
          </cell>
          <cell r="G327" t="str">
            <v>陕西2部</v>
          </cell>
          <cell r="H327" t="str">
            <v>乔磊</v>
          </cell>
          <cell r="I327" t="str">
            <v>一星销售顾问</v>
          </cell>
        </row>
        <row r="328">
          <cell r="A328" t="str">
            <v>陈相维</v>
          </cell>
          <cell r="B328" t="str">
            <v>01542</v>
          </cell>
          <cell r="C328" t="str">
            <v>辽宁时代蜂族营销策划有限公司</v>
          </cell>
          <cell r="D328">
            <v>45827</v>
          </cell>
          <cell r="E328" t="str">
            <v>辽宁</v>
          </cell>
          <cell r="F328" t="str">
            <v>辽宁营销中心</v>
          </cell>
          <cell r="G328" t="str">
            <v>辽宁销售部</v>
          </cell>
          <cell r="H328" t="str">
            <v>孙科辽宁</v>
          </cell>
          <cell r="I328" t="str">
            <v>一星销售顾问</v>
          </cell>
        </row>
        <row r="329">
          <cell r="A329" t="str">
            <v>沈依婷</v>
          </cell>
          <cell r="B329" t="str">
            <v>01534</v>
          </cell>
          <cell r="C329" t="str">
            <v>湖南时代蜂族营销策划有限公司</v>
          </cell>
          <cell r="D329">
            <v>45826</v>
          </cell>
          <cell r="E329" t="str">
            <v>湖南</v>
          </cell>
          <cell r="F329" t="str">
            <v>湖南办公室</v>
          </cell>
        </row>
        <row r="329">
          <cell r="I329" t="str">
            <v>办公室主任</v>
          </cell>
        </row>
        <row r="330">
          <cell r="A330" t="str">
            <v>陈建利</v>
          </cell>
          <cell r="B330" t="str">
            <v>01079</v>
          </cell>
          <cell r="C330" t="str">
            <v>四川时代蜂族营销策划有限公司</v>
          </cell>
          <cell r="D330">
            <v>45826</v>
          </cell>
          <cell r="E330" t="str">
            <v>西南总部</v>
          </cell>
          <cell r="F330" t="str">
            <v>西南营销中心</v>
          </cell>
          <cell r="G330" t="str">
            <v>营业一部</v>
          </cell>
          <cell r="H330" t="str">
            <v>朱家艳</v>
          </cell>
          <cell r="I330" t="str">
            <v>三星销售顾问</v>
          </cell>
        </row>
        <row r="331">
          <cell r="A331" t="str">
            <v>周毅涛</v>
          </cell>
          <cell r="B331" t="str">
            <v>01545</v>
          </cell>
          <cell r="C331" t="str">
            <v>河南蜜蜂族营销策划有限公司</v>
          </cell>
          <cell r="D331">
            <v>45826</v>
          </cell>
          <cell r="E331" t="str">
            <v>河南</v>
          </cell>
          <cell r="F331" t="str">
            <v>河南营销中心</v>
          </cell>
          <cell r="G331" t="str">
            <v>河南销售部</v>
          </cell>
          <cell r="H331" t="str">
            <v>余金梅</v>
          </cell>
          <cell r="I331" t="str">
            <v>一星销售顾问</v>
          </cell>
        </row>
        <row r="332">
          <cell r="A332" t="str">
            <v>胡浩南</v>
          </cell>
          <cell r="B332" t="str">
            <v>01541</v>
          </cell>
          <cell r="C332" t="str">
            <v>四川时代蜂族营销策划有限公司</v>
          </cell>
          <cell r="D332">
            <v>45823</v>
          </cell>
          <cell r="E332" t="str">
            <v>河南</v>
          </cell>
          <cell r="F332" t="str">
            <v>河南营销中心</v>
          </cell>
          <cell r="G332" t="str">
            <v>河南销售部</v>
          </cell>
          <cell r="H332" t="str">
            <v>蒋吉勇河南</v>
          </cell>
          <cell r="I332" t="str">
            <v>一星销售顾问</v>
          </cell>
        </row>
        <row r="333">
          <cell r="A333" t="str">
            <v>邢亚丹</v>
          </cell>
          <cell r="B333" t="str">
            <v>01535</v>
          </cell>
          <cell r="C333" t="str">
            <v>河南蜜蜂族营销策划有限公司</v>
          </cell>
          <cell r="D333">
            <v>45822</v>
          </cell>
          <cell r="E333" t="str">
            <v>河南</v>
          </cell>
          <cell r="F333" t="str">
            <v>河南营销中心</v>
          </cell>
          <cell r="G333" t="str">
            <v>河南销售部</v>
          </cell>
          <cell r="H333" t="str">
            <v>周吉双河南</v>
          </cell>
          <cell r="I333" t="str">
            <v>一星销售顾问</v>
          </cell>
        </row>
        <row r="334">
          <cell r="A334" t="str">
            <v>潘盼盼</v>
          </cell>
          <cell r="B334" t="str">
            <v>01529</v>
          </cell>
          <cell r="C334" t="str">
            <v>河南蜜蜂族营销策划有限公司</v>
          </cell>
          <cell r="D334">
            <v>45822</v>
          </cell>
          <cell r="E334" t="str">
            <v>河南</v>
          </cell>
          <cell r="F334" t="str">
            <v>河南营销中心</v>
          </cell>
          <cell r="G334" t="str">
            <v>河南销售部</v>
          </cell>
          <cell r="H334" t="str">
            <v>周吉双河南</v>
          </cell>
          <cell r="I334" t="str">
            <v>一星销售顾问</v>
          </cell>
        </row>
        <row r="335">
          <cell r="A335" t="str">
            <v>青琳琳</v>
          </cell>
          <cell r="B335" t="str">
            <v>01537</v>
          </cell>
          <cell r="C335" t="str">
            <v>湖北蜜蜂族房地产经纪有限公司</v>
          </cell>
          <cell r="D335">
            <v>45821</v>
          </cell>
          <cell r="E335" t="str">
            <v>湖北</v>
          </cell>
          <cell r="F335" t="str">
            <v>湖北营销中心</v>
          </cell>
          <cell r="G335" t="str">
            <v>湖北1部</v>
          </cell>
          <cell r="H335" t="str">
            <v>蔺小燕湖北</v>
          </cell>
          <cell r="I335" t="str">
            <v>一星销售顾问</v>
          </cell>
        </row>
        <row r="336">
          <cell r="A336" t="str">
            <v>朱本兴</v>
          </cell>
          <cell r="B336" t="str">
            <v>01540</v>
          </cell>
          <cell r="C336" t="str">
            <v>四川时代蜂族营销策划有限公司</v>
          </cell>
          <cell r="D336">
            <v>45821</v>
          </cell>
          <cell r="E336" t="str">
            <v>西南总部</v>
          </cell>
          <cell r="F336" t="str">
            <v>西南营销中心</v>
          </cell>
          <cell r="G336" t="str">
            <v>营业三部</v>
          </cell>
          <cell r="H336" t="str">
            <v>郑景慕</v>
          </cell>
          <cell r="I336" t="str">
            <v>一星销售顾问</v>
          </cell>
        </row>
        <row r="337">
          <cell r="A337" t="str">
            <v>周凤</v>
          </cell>
          <cell r="B337" t="str">
            <v>01532</v>
          </cell>
          <cell r="C337" t="str">
            <v>四川时代蜂族营销策划有限公司</v>
          </cell>
          <cell r="D337">
            <v>45821</v>
          </cell>
          <cell r="E337" t="str">
            <v>西南总部</v>
          </cell>
          <cell r="F337" t="str">
            <v>西南营销中心</v>
          </cell>
          <cell r="G337" t="str">
            <v>营业五部</v>
          </cell>
          <cell r="H337" t="str">
            <v>李敏</v>
          </cell>
          <cell r="I337" t="str">
            <v>B岗经理</v>
          </cell>
        </row>
        <row r="338">
          <cell r="A338" t="str">
            <v>何佳乐</v>
          </cell>
          <cell r="B338" t="str">
            <v>01528</v>
          </cell>
          <cell r="C338" t="str">
            <v>陕西蜂族科技有限公司</v>
          </cell>
          <cell r="D338">
            <v>45820</v>
          </cell>
          <cell r="E338" t="str">
            <v>陕西</v>
          </cell>
          <cell r="F338" t="str">
            <v>陕西营销中心</v>
          </cell>
          <cell r="G338" t="str">
            <v>陕西2部</v>
          </cell>
          <cell r="H338" t="str">
            <v>冀敏</v>
          </cell>
          <cell r="I338" t="str">
            <v>二星销售顾问</v>
          </cell>
        </row>
        <row r="339">
          <cell r="A339" t="str">
            <v>贺京京</v>
          </cell>
          <cell r="B339" t="str">
            <v>01531</v>
          </cell>
          <cell r="C339" t="str">
            <v>山西时代蜂族房地产经纪有限公司</v>
          </cell>
          <cell r="D339">
            <v>45820</v>
          </cell>
          <cell r="E339" t="str">
            <v>山西</v>
          </cell>
          <cell r="F339" t="str">
            <v>山西营销中心</v>
          </cell>
          <cell r="G339" t="str">
            <v>山西销售部</v>
          </cell>
          <cell r="H339" t="str">
            <v>艾林山西</v>
          </cell>
          <cell r="I339" t="str">
            <v>一星销售顾问</v>
          </cell>
        </row>
        <row r="340">
          <cell r="A340" t="str">
            <v>黄智虎</v>
          </cell>
          <cell r="B340" t="str">
            <v>01530</v>
          </cell>
          <cell r="C340" t="str">
            <v>四川时代蜂族营销策划有限公司</v>
          </cell>
          <cell r="D340">
            <v>45819</v>
          </cell>
          <cell r="E340" t="str">
            <v>河北</v>
          </cell>
          <cell r="F340" t="str">
            <v>河北营销中心</v>
          </cell>
          <cell r="G340" t="str">
            <v>河北销售部</v>
          </cell>
          <cell r="H340" t="str">
            <v>陈东2河北</v>
          </cell>
          <cell r="I340" t="str">
            <v>一星销售顾问</v>
          </cell>
        </row>
        <row r="341">
          <cell r="A341" t="str">
            <v>黄哲</v>
          </cell>
          <cell r="B341" t="str">
            <v>01526</v>
          </cell>
          <cell r="C341" t="str">
            <v>陕西蜂族科技有限公司</v>
          </cell>
          <cell r="D341">
            <v>45817</v>
          </cell>
          <cell r="E341" t="str">
            <v>陕西</v>
          </cell>
          <cell r="F341" t="str">
            <v>陕西营销中心</v>
          </cell>
          <cell r="G341" t="str">
            <v>陕西2部</v>
          </cell>
          <cell r="H341" t="str">
            <v>乔磊</v>
          </cell>
          <cell r="I341" t="str">
            <v>一星销售顾问</v>
          </cell>
        </row>
        <row r="342">
          <cell r="A342" t="str">
            <v>张建华</v>
          </cell>
          <cell r="B342" t="str">
            <v>00293</v>
          </cell>
          <cell r="C342" t="str">
            <v>四川时代蜂族营销策划有限公司</v>
          </cell>
          <cell r="D342">
            <v>45817</v>
          </cell>
          <cell r="E342" t="str">
            <v>西南总部</v>
          </cell>
          <cell r="F342" t="str">
            <v>西南营销中心</v>
          </cell>
          <cell r="G342" t="str">
            <v>营业二部</v>
          </cell>
          <cell r="H342" t="str">
            <v>王彬力</v>
          </cell>
          <cell r="I342" t="str">
            <v>二星销售顾问</v>
          </cell>
        </row>
        <row r="343">
          <cell r="A343" t="str">
            <v>杨泽嘉</v>
          </cell>
          <cell r="B343" t="str">
            <v>01523</v>
          </cell>
          <cell r="C343" t="str">
            <v>四川时代蜂族营销策划有限公司</v>
          </cell>
          <cell r="D343">
            <v>45817</v>
          </cell>
          <cell r="E343" t="str">
            <v>西南总部</v>
          </cell>
          <cell r="F343" t="str">
            <v>西南营销中心</v>
          </cell>
          <cell r="G343" t="str">
            <v>营业三部</v>
          </cell>
          <cell r="H343" t="str">
            <v>曾竞超</v>
          </cell>
          <cell r="I343" t="str">
            <v>一星销售顾问</v>
          </cell>
        </row>
        <row r="344">
          <cell r="A344" t="str">
            <v>王博</v>
          </cell>
          <cell r="B344" t="str">
            <v>01522</v>
          </cell>
          <cell r="C344" t="str">
            <v>四川时代蜂族营销策划有限公司</v>
          </cell>
          <cell r="D344">
            <v>45817</v>
          </cell>
          <cell r="E344" t="str">
            <v>西南总部</v>
          </cell>
          <cell r="F344" t="str">
            <v>西南营销中心</v>
          </cell>
          <cell r="G344" t="str">
            <v>营业三部</v>
          </cell>
          <cell r="H344" t="str">
            <v>曾竞超</v>
          </cell>
          <cell r="I344" t="str">
            <v>一星销售顾问</v>
          </cell>
        </row>
        <row r="345">
          <cell r="A345" t="str">
            <v>罗雨梅</v>
          </cell>
          <cell r="B345" t="str">
            <v>01521</v>
          </cell>
          <cell r="C345" t="str">
            <v>山东时代蜂族营销策划有限公司</v>
          </cell>
          <cell r="D345">
            <v>45817</v>
          </cell>
          <cell r="E345" t="str">
            <v>山东</v>
          </cell>
          <cell r="F345" t="str">
            <v>山东营销中心</v>
          </cell>
          <cell r="G345" t="str">
            <v>山东销售部</v>
          </cell>
          <cell r="H345" t="str">
            <v>吴江平山东</v>
          </cell>
          <cell r="I345" t="str">
            <v>一星销售顾问</v>
          </cell>
        </row>
        <row r="346">
          <cell r="A346" t="str">
            <v>谢泽光</v>
          </cell>
          <cell r="B346" t="str">
            <v>01524</v>
          </cell>
          <cell r="C346" t="str">
            <v>湖南时代蜂族营销策划有限公司</v>
          </cell>
          <cell r="D346">
            <v>45816</v>
          </cell>
          <cell r="E346" t="str">
            <v>湖南</v>
          </cell>
          <cell r="F346" t="str">
            <v>湖南营销中心</v>
          </cell>
          <cell r="G346" t="str">
            <v>湖南销售部</v>
          </cell>
          <cell r="H346" t="str">
            <v>庄素芳</v>
          </cell>
          <cell r="I346" t="str">
            <v>一星销售顾问</v>
          </cell>
        </row>
        <row r="347">
          <cell r="A347" t="str">
            <v>尹年涛</v>
          </cell>
          <cell r="B347" t="str">
            <v>01517</v>
          </cell>
          <cell r="C347" t="str">
            <v>湖南时代蜂族营销策划有限公司</v>
          </cell>
          <cell r="D347">
            <v>45815</v>
          </cell>
          <cell r="E347" t="str">
            <v>湖南</v>
          </cell>
          <cell r="F347" t="str">
            <v>湖南营销中心</v>
          </cell>
          <cell r="G347" t="str">
            <v>湖南销售部</v>
          </cell>
          <cell r="H347" t="str">
            <v>王晶晶</v>
          </cell>
          <cell r="I347" t="str">
            <v>二星销售顾问</v>
          </cell>
        </row>
        <row r="348">
          <cell r="A348" t="str">
            <v>文祥伙</v>
          </cell>
          <cell r="B348" t="str">
            <v>01525</v>
          </cell>
          <cell r="C348" t="str">
            <v>四川时代蜂族营销策划有限公司</v>
          </cell>
          <cell r="D348">
            <v>45815</v>
          </cell>
          <cell r="E348" t="str">
            <v>西南总部</v>
          </cell>
          <cell r="F348" t="str">
            <v>西南营销中心</v>
          </cell>
          <cell r="G348" t="str">
            <v>营业三部</v>
          </cell>
          <cell r="H348" t="str">
            <v>姚瑶</v>
          </cell>
          <cell r="I348" t="str">
            <v>一星销售顾问</v>
          </cell>
        </row>
        <row r="349">
          <cell r="A349" t="str">
            <v>李萍</v>
          </cell>
          <cell r="B349" t="str">
            <v>01507</v>
          </cell>
          <cell r="C349" t="str">
            <v>四川时代蜂族营销策划有限公司</v>
          </cell>
          <cell r="D349">
            <v>45814</v>
          </cell>
          <cell r="E349" t="str">
            <v>内蒙古</v>
          </cell>
          <cell r="F349" t="str">
            <v>内蒙古拓展部</v>
          </cell>
        </row>
        <row r="349">
          <cell r="I349" t="str">
            <v>实习拓展</v>
          </cell>
        </row>
        <row r="350">
          <cell r="A350" t="str">
            <v>潘俊峰</v>
          </cell>
          <cell r="B350" t="str">
            <v>01514</v>
          </cell>
          <cell r="C350" t="str">
            <v>四川时代蜂族营销策划有限公司</v>
          </cell>
          <cell r="D350">
            <v>45814</v>
          </cell>
          <cell r="E350" t="str">
            <v>西南总部</v>
          </cell>
          <cell r="F350" t="str">
            <v>西南营销中心</v>
          </cell>
          <cell r="G350" t="str">
            <v>营业五部</v>
          </cell>
          <cell r="H350" t="str">
            <v>杨科</v>
          </cell>
          <cell r="I350" t="str">
            <v>一星销售顾问</v>
          </cell>
        </row>
        <row r="351">
          <cell r="A351" t="str">
            <v>龙鹏宇</v>
          </cell>
          <cell r="B351" t="str">
            <v>01505</v>
          </cell>
          <cell r="C351" t="str">
            <v>四川时代蜂族营销策划有限公司</v>
          </cell>
          <cell r="D351">
            <v>45812</v>
          </cell>
          <cell r="E351" t="str">
            <v>西南总部</v>
          </cell>
          <cell r="F351" t="str">
            <v>西南营销中心</v>
          </cell>
          <cell r="G351" t="str">
            <v>营业七部</v>
          </cell>
          <cell r="H351" t="str">
            <v>彭小琴</v>
          </cell>
          <cell r="I351" t="str">
            <v>二星销售顾问</v>
          </cell>
        </row>
        <row r="352">
          <cell r="A352" t="str">
            <v>先波</v>
          </cell>
          <cell r="B352" t="str">
            <v>01512</v>
          </cell>
          <cell r="C352" t="str">
            <v>四川时代蜂族营销策划有限公司</v>
          </cell>
          <cell r="D352">
            <v>45812</v>
          </cell>
          <cell r="E352" t="str">
            <v>西南总部</v>
          </cell>
          <cell r="F352" t="str">
            <v>西南营销中心</v>
          </cell>
          <cell r="G352" t="str">
            <v>营业一部</v>
          </cell>
          <cell r="H352" t="str">
            <v>白世根</v>
          </cell>
          <cell r="I352" t="str">
            <v>二星销售顾问</v>
          </cell>
        </row>
        <row r="353">
          <cell r="A353" t="str">
            <v>王珊</v>
          </cell>
          <cell r="B353" t="str">
            <v>01503</v>
          </cell>
          <cell r="C353" t="str">
            <v>四川时代蜂族营销策划有限公司</v>
          </cell>
          <cell r="D353">
            <v>45810</v>
          </cell>
          <cell r="E353" t="str">
            <v>山西</v>
          </cell>
          <cell r="F353" t="str">
            <v>山西营销中心</v>
          </cell>
          <cell r="G353" t="str">
            <v>山西销售部</v>
          </cell>
          <cell r="H353" t="str">
            <v>彭停山西</v>
          </cell>
          <cell r="I353" t="str">
            <v>三星销售顾问</v>
          </cell>
        </row>
        <row r="354">
          <cell r="A354" t="str">
            <v>杜鹏</v>
          </cell>
          <cell r="B354" t="str">
            <v>01501</v>
          </cell>
          <cell r="C354" t="str">
            <v>四川时代蜂族营销策划有限公司</v>
          </cell>
          <cell r="D354">
            <v>45804</v>
          </cell>
          <cell r="E354" t="str">
            <v>西南总部</v>
          </cell>
          <cell r="F354" t="str">
            <v>西南营销中心</v>
          </cell>
          <cell r="G354" t="str">
            <v>营业四部</v>
          </cell>
          <cell r="H354" t="str">
            <v>贾萍</v>
          </cell>
          <cell r="I354" t="str">
            <v>二星销售顾问</v>
          </cell>
        </row>
        <row r="355">
          <cell r="A355" t="str">
            <v>田丰</v>
          </cell>
          <cell r="B355" t="str">
            <v>01500</v>
          </cell>
          <cell r="C355" t="str">
            <v>四川时代蜂族营销策划有限公司</v>
          </cell>
          <cell r="D355">
            <v>45804</v>
          </cell>
          <cell r="E355" t="str">
            <v>西南总部</v>
          </cell>
          <cell r="F355" t="str">
            <v>西南营销中心</v>
          </cell>
          <cell r="G355" t="str">
            <v>营业七部</v>
          </cell>
          <cell r="H355" t="str">
            <v>陈彪</v>
          </cell>
          <cell r="I355" t="str">
            <v>一星销售顾问</v>
          </cell>
        </row>
        <row r="356">
          <cell r="A356" t="str">
            <v>王思</v>
          </cell>
          <cell r="B356" t="str">
            <v>01493</v>
          </cell>
          <cell r="C356" t="str">
            <v>四川优诺通瑞商贸有限公司</v>
          </cell>
          <cell r="D356">
            <v>45803</v>
          </cell>
          <cell r="E356" t="str">
            <v>集团职能</v>
          </cell>
          <cell r="F356" t="str">
            <v>职能总部</v>
          </cell>
          <cell r="G356" t="str">
            <v>人资行政部</v>
          </cell>
        </row>
        <row r="356">
          <cell r="I356" t="str">
            <v>人事专员</v>
          </cell>
        </row>
        <row r="357">
          <cell r="A357" t="str">
            <v>郭川雄</v>
          </cell>
          <cell r="B357" t="str">
            <v>01492</v>
          </cell>
          <cell r="C357" t="str">
            <v>四川时代蜂族营销策划有限公司</v>
          </cell>
          <cell r="D357">
            <v>45803</v>
          </cell>
          <cell r="E357" t="str">
            <v>集团职能</v>
          </cell>
          <cell r="F357" t="str">
            <v>职能总部</v>
          </cell>
          <cell r="G357" t="str">
            <v>外呼中心</v>
          </cell>
        </row>
        <row r="357">
          <cell r="I357" t="str">
            <v>调研专员</v>
          </cell>
        </row>
        <row r="358">
          <cell r="A358" t="str">
            <v>唐磊</v>
          </cell>
          <cell r="B358" t="str">
            <v>01498</v>
          </cell>
          <cell r="C358" t="str">
            <v>四川时代蜂族营销策划有限公司</v>
          </cell>
          <cell r="D358">
            <v>45800</v>
          </cell>
          <cell r="E358" t="str">
            <v>西南总部</v>
          </cell>
          <cell r="F358" t="str">
            <v>西南营销中心</v>
          </cell>
          <cell r="G358" t="str">
            <v>营业三部</v>
          </cell>
          <cell r="H358" t="str">
            <v>刘佳</v>
          </cell>
          <cell r="I358" t="str">
            <v>一星销售顾问</v>
          </cell>
        </row>
        <row r="359">
          <cell r="A359" t="str">
            <v>李嘉恒</v>
          </cell>
          <cell r="B359" t="str">
            <v>01490</v>
          </cell>
          <cell r="C359" t="str">
            <v>陕西蜂族科技有限公司</v>
          </cell>
          <cell r="D359">
            <v>45798</v>
          </cell>
          <cell r="E359" t="str">
            <v>陕西</v>
          </cell>
          <cell r="F359" t="str">
            <v>陕西营销中心</v>
          </cell>
          <cell r="G359" t="str">
            <v>陕西2部</v>
          </cell>
          <cell r="H359" t="str">
            <v>冀敏</v>
          </cell>
          <cell r="I359" t="str">
            <v>实习销售</v>
          </cell>
        </row>
        <row r="360">
          <cell r="A360" t="str">
            <v>彭红燕</v>
          </cell>
          <cell r="B360" t="str">
            <v>01497</v>
          </cell>
          <cell r="C360" t="str">
            <v>山西时代蜂族房地产经纪有限公司</v>
          </cell>
          <cell r="D360">
            <v>45798</v>
          </cell>
          <cell r="E360" t="str">
            <v>山西</v>
          </cell>
          <cell r="F360" t="str">
            <v>山西营销中心</v>
          </cell>
          <cell r="G360" t="str">
            <v>山西销售部</v>
          </cell>
          <cell r="H360" t="str">
            <v>吴志虎山西</v>
          </cell>
          <cell r="I360" t="str">
            <v>二星销售顾问</v>
          </cell>
        </row>
        <row r="361">
          <cell r="A361" t="str">
            <v>田森</v>
          </cell>
          <cell r="B361" t="str">
            <v>01489</v>
          </cell>
          <cell r="C361" t="str">
            <v>陕西蜂族科技有限公司</v>
          </cell>
          <cell r="D361">
            <v>45796</v>
          </cell>
          <cell r="E361" t="str">
            <v>陕西</v>
          </cell>
          <cell r="F361" t="str">
            <v>陕西营销中心</v>
          </cell>
          <cell r="G361" t="str">
            <v>陕西1部</v>
          </cell>
          <cell r="H361" t="str">
            <v>杨应</v>
          </cell>
          <cell r="I361" t="str">
            <v>一星销售顾问</v>
          </cell>
        </row>
        <row r="362">
          <cell r="A362" t="str">
            <v>陈帅2</v>
          </cell>
          <cell r="B362" t="str">
            <v>01488</v>
          </cell>
          <cell r="C362" t="str">
            <v>四川时代蜂族营销策划有限公司</v>
          </cell>
          <cell r="D362">
            <v>45794</v>
          </cell>
          <cell r="E362" t="str">
            <v>西南总部</v>
          </cell>
          <cell r="F362" t="str">
            <v>西南营销中心</v>
          </cell>
          <cell r="G362" t="str">
            <v>营业四部</v>
          </cell>
          <cell r="H362" t="str">
            <v>陈嘉文</v>
          </cell>
          <cell r="I362" t="str">
            <v>二星销售顾问</v>
          </cell>
        </row>
        <row r="363">
          <cell r="A363" t="str">
            <v>胡飞翔</v>
          </cell>
          <cell r="B363" t="str">
            <v>01482</v>
          </cell>
          <cell r="C363" t="str">
            <v>陕西蜂族科技有限公司</v>
          </cell>
          <cell r="D363">
            <v>45792</v>
          </cell>
          <cell r="E363" t="str">
            <v>陕西</v>
          </cell>
          <cell r="F363" t="str">
            <v>陕西营销中心</v>
          </cell>
          <cell r="G363" t="str">
            <v>陕西1部</v>
          </cell>
          <cell r="H363" t="str">
            <v>杨应</v>
          </cell>
          <cell r="I363" t="str">
            <v>二星销售顾问</v>
          </cell>
        </row>
        <row r="364">
          <cell r="A364" t="str">
            <v>文东林</v>
          </cell>
          <cell r="B364" t="str">
            <v>01480</v>
          </cell>
          <cell r="C364" t="str">
            <v>四川时代蜂族营销策划有限公司</v>
          </cell>
          <cell r="D364">
            <v>45791</v>
          </cell>
          <cell r="E364" t="str">
            <v>湖北</v>
          </cell>
          <cell r="F364" t="str">
            <v>湖北营销中心</v>
          </cell>
          <cell r="G364" t="str">
            <v>湖北1部</v>
          </cell>
          <cell r="H364" t="str">
            <v>秦娅玲</v>
          </cell>
          <cell r="I364" t="str">
            <v>一星销售顾问</v>
          </cell>
        </row>
        <row r="365">
          <cell r="A365" t="str">
            <v>李祥春</v>
          </cell>
          <cell r="B365" t="str">
            <v>01481</v>
          </cell>
          <cell r="C365" t="str">
            <v>山东时代蜂族营销策划有限公司</v>
          </cell>
          <cell r="D365">
            <v>45791</v>
          </cell>
          <cell r="E365" t="str">
            <v>山东</v>
          </cell>
          <cell r="F365" t="str">
            <v>山东营销中心</v>
          </cell>
          <cell r="G365" t="str">
            <v>山东销售部</v>
          </cell>
        </row>
        <row r="365">
          <cell r="I365" t="str">
            <v>一星实习经理</v>
          </cell>
        </row>
        <row r="366">
          <cell r="A366" t="str">
            <v>邓颖</v>
          </cell>
          <cell r="B366" t="str">
            <v>01477</v>
          </cell>
          <cell r="C366" t="str">
            <v>四川时代蜂族营销策划有限公司</v>
          </cell>
          <cell r="D366">
            <v>45790</v>
          </cell>
          <cell r="E366" t="str">
            <v>西南总部</v>
          </cell>
          <cell r="F366" t="str">
            <v>西南营销中心</v>
          </cell>
          <cell r="G366" t="str">
            <v>营业二部</v>
          </cell>
          <cell r="H366" t="str">
            <v>孙小龙</v>
          </cell>
          <cell r="I366" t="str">
            <v>二星销售顾问</v>
          </cell>
        </row>
        <row r="367">
          <cell r="A367" t="str">
            <v>方倩倩</v>
          </cell>
          <cell r="B367" t="str">
            <v>01473</v>
          </cell>
          <cell r="C367" t="str">
            <v>陕西蜂族科技有限公司</v>
          </cell>
          <cell r="D367">
            <v>45790</v>
          </cell>
          <cell r="E367" t="str">
            <v>陕西</v>
          </cell>
          <cell r="F367" t="str">
            <v>陕西营销中心</v>
          </cell>
          <cell r="G367" t="str">
            <v>陕西1部</v>
          </cell>
          <cell r="H367" t="str">
            <v>王超2</v>
          </cell>
          <cell r="I367" t="str">
            <v>实习销售</v>
          </cell>
        </row>
        <row r="368">
          <cell r="A368" t="str">
            <v>罗艳</v>
          </cell>
          <cell r="B368" t="str">
            <v>01485</v>
          </cell>
          <cell r="C368" t="str">
            <v>四川时代蜂族营销策划有限公司</v>
          </cell>
          <cell r="D368">
            <v>45790</v>
          </cell>
          <cell r="E368" t="str">
            <v>西南总部</v>
          </cell>
          <cell r="F368" t="str">
            <v>西南营销中心</v>
          </cell>
          <cell r="G368" t="str">
            <v>营业五部</v>
          </cell>
          <cell r="H368" t="str">
            <v>杨科</v>
          </cell>
          <cell r="I368" t="str">
            <v>二星销售顾问</v>
          </cell>
        </row>
        <row r="369">
          <cell r="A369" t="str">
            <v>杨涛2</v>
          </cell>
          <cell r="B369" t="str">
            <v>01476</v>
          </cell>
          <cell r="C369" t="str">
            <v>河北时代蜂族营销策划有限公司</v>
          </cell>
          <cell r="D369">
            <v>45790</v>
          </cell>
          <cell r="E369" t="str">
            <v>河北</v>
          </cell>
          <cell r="F369" t="str">
            <v>河北营销中心</v>
          </cell>
          <cell r="G369" t="str">
            <v>河北销售部</v>
          </cell>
          <cell r="H369" t="str">
            <v>李港一</v>
          </cell>
          <cell r="I369" t="str">
            <v>二星销售顾问</v>
          </cell>
        </row>
        <row r="370">
          <cell r="A370" t="str">
            <v>杨瑞玲</v>
          </cell>
          <cell r="B370" t="str">
            <v>01472</v>
          </cell>
          <cell r="C370" t="str">
            <v>山东时代蜂族营销策划有限公司</v>
          </cell>
          <cell r="D370">
            <v>45784</v>
          </cell>
          <cell r="E370" t="str">
            <v>山东</v>
          </cell>
          <cell r="F370" t="str">
            <v>山东营销中心</v>
          </cell>
          <cell r="G370" t="str">
            <v>山东销售部</v>
          </cell>
          <cell r="H370" t="str">
            <v>冯洁</v>
          </cell>
          <cell r="I370" t="str">
            <v>二星销售顾问</v>
          </cell>
        </row>
        <row r="371">
          <cell r="A371" t="str">
            <v>唐笑麟</v>
          </cell>
          <cell r="B371" t="str">
            <v>00823</v>
          </cell>
          <cell r="C371" t="str">
            <v>陕西蜂族科技有限公司</v>
          </cell>
          <cell r="D371">
            <v>45782</v>
          </cell>
          <cell r="E371" t="str">
            <v>陕西</v>
          </cell>
          <cell r="F371" t="str">
            <v>陕西营销中心</v>
          </cell>
          <cell r="G371" t="str">
            <v>陕西2部</v>
          </cell>
          <cell r="H371" t="str">
            <v>罗小花</v>
          </cell>
          <cell r="I371" t="str">
            <v>三星销售顾问</v>
          </cell>
        </row>
        <row r="372">
          <cell r="A372" t="str">
            <v>秦秀莉</v>
          </cell>
          <cell r="B372" t="str">
            <v>01459</v>
          </cell>
          <cell r="C372" t="str">
            <v>四川蜂起营销策划有限公司</v>
          </cell>
          <cell r="D372">
            <v>45772</v>
          </cell>
          <cell r="E372" t="str">
            <v>集团职能</v>
          </cell>
          <cell r="F372" t="str">
            <v>职能营销</v>
          </cell>
          <cell r="G372" t="str">
            <v>设计部</v>
          </cell>
        </row>
        <row r="372">
          <cell r="I372" t="str">
            <v>设计专员</v>
          </cell>
        </row>
        <row r="373">
          <cell r="A373" t="str">
            <v>李红婷</v>
          </cell>
          <cell r="B373" t="str">
            <v>01460</v>
          </cell>
          <cell r="C373" t="str">
            <v>山西时代蜂族房地产经纪有限公司</v>
          </cell>
          <cell r="D373">
            <v>45772</v>
          </cell>
          <cell r="E373" t="str">
            <v>山西</v>
          </cell>
          <cell r="F373" t="str">
            <v>山西营销中心</v>
          </cell>
          <cell r="G373" t="str">
            <v>山西销售部</v>
          </cell>
          <cell r="H373" t="str">
            <v>刘辉</v>
          </cell>
          <cell r="I373" t="str">
            <v>二星销售顾问</v>
          </cell>
        </row>
        <row r="374">
          <cell r="A374" t="str">
            <v>罗加艺</v>
          </cell>
          <cell r="B374" t="str">
            <v>01455</v>
          </cell>
          <cell r="C374" t="str">
            <v>四川时代蜂族营销策划有限公司</v>
          </cell>
          <cell r="D374">
            <v>45768</v>
          </cell>
          <cell r="E374" t="str">
            <v>西南总部</v>
          </cell>
          <cell r="F374" t="str">
            <v>西南营销中心</v>
          </cell>
          <cell r="G374" t="str">
            <v>营业七部</v>
          </cell>
          <cell r="H374" t="str">
            <v>谢沁霜</v>
          </cell>
          <cell r="I374" t="str">
            <v>一星销售顾问</v>
          </cell>
        </row>
        <row r="375">
          <cell r="A375" t="str">
            <v>赵斌</v>
          </cell>
          <cell r="B375" t="str">
            <v>01465</v>
          </cell>
          <cell r="C375" t="str">
            <v>四川时代蜂族营销策划有限公司</v>
          </cell>
          <cell r="D375">
            <v>45768</v>
          </cell>
          <cell r="E375" t="str">
            <v>西南总部</v>
          </cell>
          <cell r="F375" t="str">
            <v>西南营销中心</v>
          </cell>
          <cell r="G375" t="str">
            <v>营业七部</v>
          </cell>
          <cell r="H375" t="str">
            <v>刘鹏</v>
          </cell>
          <cell r="I375" t="str">
            <v>二星销售顾问</v>
          </cell>
        </row>
        <row r="376">
          <cell r="A376" t="str">
            <v>米贞东</v>
          </cell>
          <cell r="B376" t="str">
            <v>01440</v>
          </cell>
          <cell r="C376" t="str">
            <v>四川时代蜂族营销策划有限公司</v>
          </cell>
          <cell r="D376">
            <v>45764</v>
          </cell>
          <cell r="E376" t="str">
            <v>西南总部</v>
          </cell>
          <cell r="F376" t="str">
            <v>西南营销中心</v>
          </cell>
          <cell r="G376" t="str">
            <v>营业三部</v>
          </cell>
          <cell r="H376" t="str">
            <v>扈岭楠</v>
          </cell>
          <cell r="I376" t="str">
            <v>一星销售顾问</v>
          </cell>
        </row>
        <row r="377">
          <cell r="A377" t="str">
            <v>李玥瑞</v>
          </cell>
          <cell r="B377" t="str">
            <v>00780</v>
          </cell>
          <cell r="C377" t="str">
            <v>陕西蜂族科技有限公司</v>
          </cell>
          <cell r="D377">
            <v>45764</v>
          </cell>
          <cell r="E377" t="str">
            <v>陕西</v>
          </cell>
          <cell r="F377" t="str">
            <v>陕西营销中心</v>
          </cell>
          <cell r="G377" t="str">
            <v>陕西1部</v>
          </cell>
          <cell r="H377" t="str">
            <v>杨应</v>
          </cell>
          <cell r="I377" t="str">
            <v>一星销售顾问</v>
          </cell>
        </row>
        <row r="378">
          <cell r="A378" t="str">
            <v>李晓莉</v>
          </cell>
          <cell r="B378" t="str">
            <v>00583</v>
          </cell>
          <cell r="C378" t="str">
            <v>陕西蜂族科技有限公司</v>
          </cell>
          <cell r="D378">
            <v>45763</v>
          </cell>
          <cell r="E378" t="str">
            <v>陕西</v>
          </cell>
          <cell r="F378" t="str">
            <v>陕西营销中心</v>
          </cell>
          <cell r="G378" t="str">
            <v>陕西2部</v>
          </cell>
          <cell r="H378" t="str">
            <v>李耀</v>
          </cell>
          <cell r="I378" t="str">
            <v>一星销售顾问</v>
          </cell>
        </row>
        <row r="379">
          <cell r="A379" t="str">
            <v>唐超</v>
          </cell>
          <cell r="B379" t="str">
            <v>01449</v>
          </cell>
          <cell r="C379" t="str">
            <v>四川时代蜂族营销策划有限公司</v>
          </cell>
          <cell r="D379">
            <v>45763</v>
          </cell>
          <cell r="E379" t="str">
            <v>西南总部</v>
          </cell>
          <cell r="F379" t="str">
            <v>西南营销中心</v>
          </cell>
          <cell r="G379" t="str">
            <v>营业六部</v>
          </cell>
          <cell r="H379" t="str">
            <v>党虹</v>
          </cell>
          <cell r="I379" t="str">
            <v>二星销售顾问</v>
          </cell>
        </row>
        <row r="380">
          <cell r="A380" t="str">
            <v>郑雄</v>
          </cell>
          <cell r="B380" t="str">
            <v>01456</v>
          </cell>
          <cell r="C380" t="str">
            <v>四川时代蜂族营销策划有限公司</v>
          </cell>
          <cell r="D380">
            <v>45763</v>
          </cell>
          <cell r="E380" t="str">
            <v>西南总部</v>
          </cell>
          <cell r="F380" t="str">
            <v>西南营销中心</v>
          </cell>
          <cell r="G380" t="str">
            <v>营业六部</v>
          </cell>
          <cell r="H380" t="str">
            <v>党虹</v>
          </cell>
          <cell r="I380" t="str">
            <v>一星实习经理</v>
          </cell>
        </row>
        <row r="381">
          <cell r="A381" t="str">
            <v>邹春梅</v>
          </cell>
          <cell r="B381" t="str">
            <v>01431</v>
          </cell>
          <cell r="C381" t="str">
            <v>陕西蜂族科技有限公司</v>
          </cell>
          <cell r="D381">
            <v>45761</v>
          </cell>
          <cell r="E381" t="str">
            <v>陕西</v>
          </cell>
          <cell r="F381" t="str">
            <v>陕西拓展部</v>
          </cell>
          <cell r="G381" t="str">
            <v>陕西2区</v>
          </cell>
        </row>
        <row r="381">
          <cell r="I381" t="str">
            <v>拓展组长</v>
          </cell>
        </row>
        <row r="382">
          <cell r="A382" t="str">
            <v>李欣荣</v>
          </cell>
          <cell r="B382" t="str">
            <v>00129</v>
          </cell>
          <cell r="C382" t="str">
            <v>陕西蜂族科技有限公司</v>
          </cell>
          <cell r="D382">
            <v>45757</v>
          </cell>
          <cell r="E382" t="str">
            <v>陕西</v>
          </cell>
          <cell r="F382" t="str">
            <v>陕西营销中心</v>
          </cell>
          <cell r="G382" t="str">
            <v>陕西1部</v>
          </cell>
          <cell r="H382" t="str">
            <v>马少波</v>
          </cell>
          <cell r="I382" t="str">
            <v>二星销售顾问</v>
          </cell>
        </row>
        <row r="383">
          <cell r="A383" t="str">
            <v>陈胤</v>
          </cell>
          <cell r="B383" t="str">
            <v>01444</v>
          </cell>
          <cell r="C383" t="str">
            <v>四川时代蜂族营销策划有限公司</v>
          </cell>
          <cell r="D383">
            <v>45756</v>
          </cell>
          <cell r="E383" t="str">
            <v>西南总部</v>
          </cell>
          <cell r="F383" t="str">
            <v>西南营销中心</v>
          </cell>
          <cell r="G383" t="str">
            <v>营业五部</v>
          </cell>
          <cell r="H383" t="str">
            <v>李敏</v>
          </cell>
          <cell r="I383" t="str">
            <v>二星销售顾问</v>
          </cell>
        </row>
        <row r="384">
          <cell r="A384" t="str">
            <v>黄齐勇</v>
          </cell>
          <cell r="B384" t="str">
            <v>01428</v>
          </cell>
          <cell r="C384" t="str">
            <v>湖北蜜蜂族房地产经纪有限公司</v>
          </cell>
          <cell r="D384">
            <v>45755</v>
          </cell>
          <cell r="E384" t="str">
            <v>湖北</v>
          </cell>
          <cell r="F384" t="str">
            <v>湖北营销中心</v>
          </cell>
          <cell r="G384" t="str">
            <v>湖北2部</v>
          </cell>
          <cell r="H384" t="str">
            <v>陈俊儒</v>
          </cell>
          <cell r="I384" t="str">
            <v>三星销售顾问</v>
          </cell>
        </row>
        <row r="385">
          <cell r="A385" t="str">
            <v>梁辉武</v>
          </cell>
          <cell r="B385" t="str">
            <v>01427</v>
          </cell>
          <cell r="C385" t="str">
            <v>湖北蜜蜂族房地产经纪有限公司</v>
          </cell>
          <cell r="D385">
            <v>45754</v>
          </cell>
          <cell r="E385" t="str">
            <v>湖北</v>
          </cell>
          <cell r="F385" t="str">
            <v>湖北营销中心</v>
          </cell>
          <cell r="G385" t="str">
            <v>湖北1部</v>
          </cell>
          <cell r="H385" t="str">
            <v>黄俊</v>
          </cell>
          <cell r="I385" t="str">
            <v>一星销售顾问</v>
          </cell>
        </row>
        <row r="386">
          <cell r="A386" t="str">
            <v>肖翠</v>
          </cell>
          <cell r="B386" t="str">
            <v>01424</v>
          </cell>
          <cell r="C386" t="str">
            <v>湖北蜜蜂族房地产经纪有限公司</v>
          </cell>
          <cell r="D386">
            <v>45754</v>
          </cell>
          <cell r="E386" t="str">
            <v>湖北</v>
          </cell>
          <cell r="F386" t="str">
            <v>湖北营销中心</v>
          </cell>
          <cell r="G386" t="str">
            <v>湖北1部</v>
          </cell>
          <cell r="H386" t="str">
            <v>黄俊</v>
          </cell>
          <cell r="I386" t="str">
            <v>二星销售顾问</v>
          </cell>
        </row>
        <row r="387">
          <cell r="A387" t="str">
            <v>冉洪</v>
          </cell>
          <cell r="B387" t="str">
            <v>01426</v>
          </cell>
          <cell r="C387" t="str">
            <v>辽宁时代蜂族营销策划有限公司</v>
          </cell>
          <cell r="D387">
            <v>45754</v>
          </cell>
          <cell r="E387" t="str">
            <v>辽宁</v>
          </cell>
          <cell r="F387" t="str">
            <v>辽宁营销中心</v>
          </cell>
          <cell r="G387" t="str">
            <v>辽宁销售部</v>
          </cell>
          <cell r="H387" t="str">
            <v>孙科辽宁</v>
          </cell>
          <cell r="I387" t="str">
            <v>二星销售顾问</v>
          </cell>
        </row>
        <row r="388">
          <cell r="A388" t="str">
            <v>孙智港</v>
          </cell>
          <cell r="B388" t="str">
            <v>01423</v>
          </cell>
          <cell r="C388" t="str">
            <v>四川时代蜂族营销策划有限公司</v>
          </cell>
          <cell r="D388">
            <v>45749</v>
          </cell>
          <cell r="E388" t="str">
            <v>内蒙古</v>
          </cell>
          <cell r="F388" t="str">
            <v>内蒙古营销中心</v>
          </cell>
          <cell r="G388" t="str">
            <v>内蒙古销售部</v>
          </cell>
          <cell r="H388" t="str">
            <v>安芮内蒙古</v>
          </cell>
          <cell r="I388" t="str">
            <v>二星销售顾问</v>
          </cell>
        </row>
        <row r="389">
          <cell r="A389" t="str">
            <v>蔡凤军</v>
          </cell>
          <cell r="B389" t="str">
            <v>01425</v>
          </cell>
          <cell r="C389" t="str">
            <v>四川时代蜂族营销策划有限公司</v>
          </cell>
          <cell r="D389">
            <v>45749</v>
          </cell>
          <cell r="E389" t="str">
            <v>西南总部</v>
          </cell>
          <cell r="F389" t="str">
            <v>西南营销中心</v>
          </cell>
          <cell r="G389" t="str">
            <v>营业二部</v>
          </cell>
          <cell r="H389" t="str">
            <v>杨芊</v>
          </cell>
          <cell r="I389" t="str">
            <v>二星销售顾问</v>
          </cell>
        </row>
        <row r="390">
          <cell r="A390" t="str">
            <v>刘宇3</v>
          </cell>
          <cell r="B390" t="str">
            <v>01429</v>
          </cell>
          <cell r="C390" t="str">
            <v>四川时代蜂族营销策划有限公司</v>
          </cell>
          <cell r="D390">
            <v>45748</v>
          </cell>
          <cell r="E390" t="str">
            <v>西南总部</v>
          </cell>
          <cell r="F390" t="str">
            <v>西南营销中心</v>
          </cell>
          <cell r="G390" t="str">
            <v>营业六部</v>
          </cell>
          <cell r="H390" t="str">
            <v>税锐</v>
          </cell>
          <cell r="I390" t="str">
            <v>二星销售顾问</v>
          </cell>
        </row>
        <row r="391">
          <cell r="A391" t="str">
            <v>李强</v>
          </cell>
          <cell r="B391" t="str">
            <v>01422</v>
          </cell>
          <cell r="C391" t="str">
            <v>陕西蜂族科技有限公司</v>
          </cell>
          <cell r="D391">
            <v>45747</v>
          </cell>
          <cell r="E391" t="str">
            <v>陕西</v>
          </cell>
          <cell r="F391" t="str">
            <v>陕西营销中心</v>
          </cell>
          <cell r="G391" t="str">
            <v>陕西1部</v>
          </cell>
          <cell r="H391" t="str">
            <v>吕瑞仙</v>
          </cell>
          <cell r="I391" t="str">
            <v>二星销售顾问</v>
          </cell>
        </row>
        <row r="392">
          <cell r="A392" t="str">
            <v>卢照明</v>
          </cell>
          <cell r="B392" t="str">
            <v>01407</v>
          </cell>
          <cell r="C392" t="str">
            <v>湖北蜜蜂族房地产经纪有限公司</v>
          </cell>
          <cell r="D392">
            <v>45747</v>
          </cell>
          <cell r="E392" t="str">
            <v>湖北</v>
          </cell>
          <cell r="F392" t="str">
            <v>湖北营销中心</v>
          </cell>
          <cell r="G392" t="str">
            <v>湖北2部</v>
          </cell>
          <cell r="H392" t="str">
            <v>陈晓辉</v>
          </cell>
          <cell r="I392" t="str">
            <v>二星销售顾问</v>
          </cell>
        </row>
        <row r="393">
          <cell r="A393" t="str">
            <v>李裕楷</v>
          </cell>
          <cell r="B393" t="str">
            <v>01412</v>
          </cell>
          <cell r="C393" t="str">
            <v>四川时代蜂族营销策划有限公司</v>
          </cell>
          <cell r="D393">
            <v>45747</v>
          </cell>
          <cell r="E393" t="str">
            <v>内蒙古</v>
          </cell>
          <cell r="F393" t="str">
            <v>内蒙古营销中心</v>
          </cell>
          <cell r="G393" t="str">
            <v>内蒙古销售部</v>
          </cell>
          <cell r="H393" t="str">
            <v>安芮内蒙古</v>
          </cell>
          <cell r="I393" t="str">
            <v>一星销售顾问</v>
          </cell>
        </row>
        <row r="394">
          <cell r="A394" t="str">
            <v>陈文吉</v>
          </cell>
          <cell r="B394" t="str">
            <v>01415</v>
          </cell>
          <cell r="C394" t="str">
            <v>湖南时代蜂族营销策划有限公司</v>
          </cell>
          <cell r="D394">
            <v>45746</v>
          </cell>
          <cell r="E394" t="str">
            <v>湖南</v>
          </cell>
          <cell r="F394" t="str">
            <v>湖南营销中心</v>
          </cell>
          <cell r="G394" t="str">
            <v>湖南销售部</v>
          </cell>
          <cell r="H394" t="str">
            <v>杨超群</v>
          </cell>
          <cell r="I394" t="str">
            <v>三星销售顾问</v>
          </cell>
        </row>
        <row r="395">
          <cell r="A395" t="str">
            <v>龙世锋</v>
          </cell>
          <cell r="B395" t="str">
            <v>01411</v>
          </cell>
          <cell r="C395" t="str">
            <v>湖南时代蜂族营销策划有限公司</v>
          </cell>
          <cell r="D395">
            <v>45743</v>
          </cell>
          <cell r="E395" t="str">
            <v>湖南</v>
          </cell>
          <cell r="F395" t="str">
            <v>湖南营销中心</v>
          </cell>
          <cell r="G395" t="str">
            <v>湖南销售部</v>
          </cell>
          <cell r="H395" t="str">
            <v>陈炳佑</v>
          </cell>
          <cell r="I395" t="str">
            <v>二星销售顾问</v>
          </cell>
        </row>
        <row r="396">
          <cell r="A396" t="str">
            <v>顾大局</v>
          </cell>
          <cell r="B396" t="str">
            <v>01421</v>
          </cell>
          <cell r="C396" t="str">
            <v>河南蜜蜂族营销策划有限公司</v>
          </cell>
          <cell r="D396">
            <v>45743</v>
          </cell>
          <cell r="E396" t="str">
            <v>河南</v>
          </cell>
          <cell r="F396" t="str">
            <v>河南营销中心</v>
          </cell>
          <cell r="G396" t="str">
            <v>河南销售部</v>
          </cell>
          <cell r="H396" t="str">
            <v>余金梅</v>
          </cell>
          <cell r="I396" t="str">
            <v>二星销售顾问</v>
          </cell>
        </row>
        <row r="397">
          <cell r="A397" t="str">
            <v>朱阳</v>
          </cell>
          <cell r="B397" t="str">
            <v>01408</v>
          </cell>
          <cell r="C397" t="str">
            <v>湖北蜜蜂族房地产经纪有限公司</v>
          </cell>
          <cell r="D397">
            <v>45743</v>
          </cell>
          <cell r="E397" t="str">
            <v>湖北</v>
          </cell>
          <cell r="F397" t="str">
            <v>湖北营销中心</v>
          </cell>
          <cell r="G397" t="str">
            <v>湖北2部</v>
          </cell>
          <cell r="H397" t="str">
            <v>陈竺</v>
          </cell>
          <cell r="I397" t="str">
            <v>二星销售顾问</v>
          </cell>
        </row>
        <row r="398">
          <cell r="A398" t="str">
            <v>何丽2</v>
          </cell>
          <cell r="B398" t="str">
            <v>01410</v>
          </cell>
          <cell r="C398" t="str">
            <v>四川时代蜂族营销策划有限公司</v>
          </cell>
          <cell r="D398">
            <v>45741</v>
          </cell>
          <cell r="E398" t="str">
            <v>西南总部</v>
          </cell>
          <cell r="F398" t="str">
            <v>西南营销中心</v>
          </cell>
          <cell r="G398" t="str">
            <v>营业四部</v>
          </cell>
          <cell r="H398" t="str">
            <v>陈嘉文</v>
          </cell>
          <cell r="I398" t="str">
            <v>二星销售顾问</v>
          </cell>
        </row>
        <row r="399">
          <cell r="A399" t="str">
            <v>田保山</v>
          </cell>
          <cell r="B399" t="str">
            <v>01400</v>
          </cell>
          <cell r="C399" t="str">
            <v>湖北蜜蜂族房地产经纪有限公司</v>
          </cell>
          <cell r="D399">
            <v>45740</v>
          </cell>
          <cell r="E399" t="str">
            <v>安徽</v>
          </cell>
          <cell r="F399" t="str">
            <v>安徽拓展部</v>
          </cell>
        </row>
        <row r="399">
          <cell r="I399" t="str">
            <v>实习拓展</v>
          </cell>
        </row>
        <row r="400">
          <cell r="A400" t="str">
            <v>李文迪</v>
          </cell>
          <cell r="B400" t="str">
            <v>01404</v>
          </cell>
          <cell r="C400" t="str">
            <v>湖北蜜蜂族房地产经纪有限公司</v>
          </cell>
          <cell r="D400">
            <v>45740</v>
          </cell>
          <cell r="E400" t="str">
            <v>湖北</v>
          </cell>
          <cell r="F400" t="str">
            <v>湖北营销中心</v>
          </cell>
          <cell r="G400" t="str">
            <v>湖北1部</v>
          </cell>
          <cell r="H400" t="str">
            <v>蔺小燕湖北</v>
          </cell>
          <cell r="I400" t="str">
            <v>二星销售顾问</v>
          </cell>
        </row>
        <row r="401">
          <cell r="A401" t="str">
            <v>朱小英</v>
          </cell>
          <cell r="B401" t="str">
            <v>01398</v>
          </cell>
          <cell r="C401" t="str">
            <v>四川时代蜂族营销策划有限公司</v>
          </cell>
          <cell r="D401">
            <v>45738</v>
          </cell>
          <cell r="E401" t="str">
            <v>西南总部</v>
          </cell>
          <cell r="F401" t="str">
            <v>西南营销中心</v>
          </cell>
          <cell r="G401" t="str">
            <v>营业六部</v>
          </cell>
          <cell r="H401" t="str">
            <v>税锐</v>
          </cell>
          <cell r="I401" t="str">
            <v>二星销售顾问</v>
          </cell>
        </row>
        <row r="402">
          <cell r="A402" t="str">
            <v>黄雯霞</v>
          </cell>
          <cell r="B402" t="str">
            <v>01403</v>
          </cell>
          <cell r="C402" t="str">
            <v>四川时代蜂族营销策划有限公司</v>
          </cell>
          <cell r="D402">
            <v>45738</v>
          </cell>
          <cell r="E402" t="str">
            <v>西南总部</v>
          </cell>
          <cell r="F402" t="str">
            <v>西南营销中心</v>
          </cell>
          <cell r="G402" t="str">
            <v>营业一部</v>
          </cell>
          <cell r="H402" t="str">
            <v>胡雪梅</v>
          </cell>
          <cell r="I402" t="str">
            <v>二星销售顾问</v>
          </cell>
        </row>
        <row r="403">
          <cell r="A403" t="str">
            <v>江俊宏</v>
          </cell>
          <cell r="B403" t="str">
            <v>01405</v>
          </cell>
          <cell r="C403" t="str">
            <v>四川时代蜂族营销策划有限公司</v>
          </cell>
          <cell r="D403">
            <v>45738</v>
          </cell>
          <cell r="E403" t="str">
            <v>西南总部</v>
          </cell>
          <cell r="F403" t="str">
            <v>西南营销中心</v>
          </cell>
          <cell r="G403" t="str">
            <v>营业七部</v>
          </cell>
          <cell r="H403" t="str">
            <v>蒋杨</v>
          </cell>
          <cell r="I403" t="str">
            <v>一星销售顾问</v>
          </cell>
        </row>
        <row r="404">
          <cell r="A404" t="str">
            <v>罗施宇</v>
          </cell>
          <cell r="B404" t="str">
            <v>01402</v>
          </cell>
          <cell r="C404" t="str">
            <v>辽宁时代蜂族营销策划有限公司</v>
          </cell>
          <cell r="D404">
            <v>45737</v>
          </cell>
          <cell r="E404" t="str">
            <v>辽宁</v>
          </cell>
          <cell r="F404" t="str">
            <v>辽宁营销中心</v>
          </cell>
          <cell r="G404" t="str">
            <v>辽宁销售部</v>
          </cell>
          <cell r="H404" t="str">
            <v>赖慧辽宁</v>
          </cell>
          <cell r="I404" t="str">
            <v>一星销售顾问</v>
          </cell>
        </row>
        <row r="405">
          <cell r="A405" t="str">
            <v>栾俊山</v>
          </cell>
          <cell r="B405" t="str">
            <v>01396</v>
          </cell>
          <cell r="C405" t="str">
            <v>湖北蜜蜂族房地产经纪有限公司</v>
          </cell>
          <cell r="D405">
            <v>45736</v>
          </cell>
          <cell r="E405" t="str">
            <v>湖北</v>
          </cell>
          <cell r="F405" t="str">
            <v>湖北拓展部</v>
          </cell>
        </row>
        <row r="405">
          <cell r="I405" t="str">
            <v>实习拓展</v>
          </cell>
        </row>
        <row r="406">
          <cell r="A406" t="str">
            <v>龚灵波</v>
          </cell>
          <cell r="B406" t="str">
            <v>01390</v>
          </cell>
          <cell r="C406" t="str">
            <v>湖南时代蜂族营销策划有限公司</v>
          </cell>
          <cell r="D406">
            <v>45734</v>
          </cell>
          <cell r="E406" t="str">
            <v>湖南</v>
          </cell>
          <cell r="F406" t="str">
            <v>湖南营销中心</v>
          </cell>
          <cell r="G406" t="str">
            <v>湖南销售部</v>
          </cell>
          <cell r="H406" t="str">
            <v>闫柏年</v>
          </cell>
          <cell r="I406" t="str">
            <v>二星销售顾问</v>
          </cell>
        </row>
        <row r="407">
          <cell r="A407" t="str">
            <v>张存瑞</v>
          </cell>
          <cell r="B407" t="str">
            <v>01392</v>
          </cell>
          <cell r="C407" t="str">
            <v>湖南时代蜂族营销策划有限公司</v>
          </cell>
          <cell r="D407">
            <v>45733</v>
          </cell>
          <cell r="E407" t="str">
            <v>湖南</v>
          </cell>
          <cell r="F407" t="str">
            <v>湖南营销中心</v>
          </cell>
          <cell r="G407" t="str">
            <v>湖南销售部</v>
          </cell>
          <cell r="H407" t="str">
            <v>刘俊海</v>
          </cell>
          <cell r="I407" t="str">
            <v>一星销售顾问</v>
          </cell>
        </row>
        <row r="408">
          <cell r="A408" t="str">
            <v>侯艺鹏</v>
          </cell>
          <cell r="B408" t="str">
            <v>01388</v>
          </cell>
          <cell r="C408" t="str">
            <v>陕西蜂族科技有限公司</v>
          </cell>
          <cell r="D408">
            <v>45730</v>
          </cell>
          <cell r="E408" t="str">
            <v>陕西</v>
          </cell>
          <cell r="F408" t="str">
            <v>陕西营销中心</v>
          </cell>
          <cell r="G408" t="str">
            <v>陕西1部</v>
          </cell>
          <cell r="H408" t="str">
            <v>李丝丝</v>
          </cell>
          <cell r="I408" t="str">
            <v>一星销售顾问</v>
          </cell>
        </row>
        <row r="409">
          <cell r="A409" t="str">
            <v>廖可</v>
          </cell>
          <cell r="B409" t="str">
            <v>01386</v>
          </cell>
          <cell r="C409" t="str">
            <v>四川时代蜂族营销策划有限公司</v>
          </cell>
          <cell r="D409">
            <v>45729</v>
          </cell>
          <cell r="E409" t="str">
            <v>西南总部</v>
          </cell>
          <cell r="F409" t="str">
            <v>西南营销中心</v>
          </cell>
          <cell r="G409" t="str">
            <v>营业四部</v>
          </cell>
          <cell r="H409" t="str">
            <v>李培金</v>
          </cell>
          <cell r="I409" t="str">
            <v>二星销售顾问</v>
          </cell>
        </row>
        <row r="410">
          <cell r="A410" t="str">
            <v>董常兆</v>
          </cell>
          <cell r="B410" t="str">
            <v>01383</v>
          </cell>
          <cell r="C410" t="str">
            <v>四川时代蜂族营销策划有限公司</v>
          </cell>
          <cell r="D410">
            <v>45727</v>
          </cell>
          <cell r="E410" t="str">
            <v>西南总部</v>
          </cell>
          <cell r="F410" t="str">
            <v>西南营销中心</v>
          </cell>
          <cell r="G410" t="str">
            <v>营业七部</v>
          </cell>
          <cell r="H410" t="str">
            <v>申慧</v>
          </cell>
          <cell r="I410" t="str">
            <v>三星销售顾问</v>
          </cell>
        </row>
        <row r="411">
          <cell r="A411" t="str">
            <v>刘余芳</v>
          </cell>
          <cell r="B411" t="str">
            <v>01380</v>
          </cell>
          <cell r="C411" t="str">
            <v>四川时代蜂族营销策划有限公司</v>
          </cell>
          <cell r="D411">
            <v>45724</v>
          </cell>
          <cell r="E411" t="str">
            <v>西南总部</v>
          </cell>
          <cell r="F411" t="str">
            <v>西南营销中心</v>
          </cell>
          <cell r="G411" t="str">
            <v>营业七部</v>
          </cell>
          <cell r="H411" t="str">
            <v>程新浩</v>
          </cell>
          <cell r="I411" t="str">
            <v>二星销售顾问</v>
          </cell>
        </row>
        <row r="412">
          <cell r="A412" t="str">
            <v>鲜贵强</v>
          </cell>
          <cell r="B412" t="str">
            <v>01381</v>
          </cell>
          <cell r="C412" t="str">
            <v>四川时代蜂族营销策划有限公司</v>
          </cell>
          <cell r="D412">
            <v>45723</v>
          </cell>
          <cell r="E412" t="str">
            <v>西南总部</v>
          </cell>
          <cell r="F412" t="str">
            <v>西南营销中心</v>
          </cell>
          <cell r="G412" t="str">
            <v>营业三部</v>
          </cell>
          <cell r="H412" t="str">
            <v>吴建鑫</v>
          </cell>
          <cell r="I412" t="str">
            <v>三星销售顾问</v>
          </cell>
        </row>
        <row r="413">
          <cell r="A413" t="str">
            <v>霍雪毅</v>
          </cell>
          <cell r="B413" t="str">
            <v>01374</v>
          </cell>
          <cell r="C413" t="str">
            <v>四川时代蜂族营销策划有限公司</v>
          </cell>
          <cell r="D413">
            <v>45723</v>
          </cell>
          <cell r="E413" t="str">
            <v>西南总部</v>
          </cell>
          <cell r="F413" t="str">
            <v>西南营销中心</v>
          </cell>
          <cell r="G413" t="str">
            <v>营业七部</v>
          </cell>
          <cell r="H413" t="str">
            <v>蒋杨</v>
          </cell>
          <cell r="I413" t="str">
            <v>三星销售顾问</v>
          </cell>
        </row>
        <row r="414">
          <cell r="A414" t="str">
            <v>胡信</v>
          </cell>
          <cell r="B414" t="str">
            <v>01369</v>
          </cell>
          <cell r="C414" t="str">
            <v>四川时代蜂族营销策划有限公司</v>
          </cell>
          <cell r="D414">
            <v>45722</v>
          </cell>
          <cell r="E414" t="str">
            <v>西南总部</v>
          </cell>
          <cell r="F414" t="str">
            <v>西南营销中心</v>
          </cell>
          <cell r="G414" t="str">
            <v>营业一部</v>
          </cell>
          <cell r="H414" t="str">
            <v>张圣梁</v>
          </cell>
          <cell r="I414" t="str">
            <v>一星销售顾问</v>
          </cell>
        </row>
        <row r="415">
          <cell r="A415" t="str">
            <v>黄鹏</v>
          </cell>
          <cell r="B415" t="str">
            <v>01382</v>
          </cell>
          <cell r="C415" t="str">
            <v>四川时代蜂族营销策划有限公司</v>
          </cell>
          <cell r="D415">
            <v>45722</v>
          </cell>
          <cell r="E415" t="str">
            <v>西南总部</v>
          </cell>
          <cell r="F415" t="str">
            <v>西南营销中心</v>
          </cell>
          <cell r="G415" t="str">
            <v>营业四部</v>
          </cell>
          <cell r="H415" t="str">
            <v>陈嘉文</v>
          </cell>
          <cell r="I415" t="str">
            <v>三星销售顾问</v>
          </cell>
        </row>
        <row r="416">
          <cell r="A416" t="str">
            <v>赵梦妤</v>
          </cell>
          <cell r="B416" t="str">
            <v>01370</v>
          </cell>
          <cell r="C416" t="str">
            <v>四川时代蜂族营销策划有限公司</v>
          </cell>
          <cell r="D416">
            <v>45721</v>
          </cell>
          <cell r="E416" t="str">
            <v>辽宁</v>
          </cell>
          <cell r="F416" t="str">
            <v>辽宁营销中心</v>
          </cell>
          <cell r="G416" t="str">
            <v>辽宁销售部</v>
          </cell>
          <cell r="H416" t="str">
            <v>赖慧辽宁</v>
          </cell>
          <cell r="I416" t="str">
            <v>二星销售顾问</v>
          </cell>
        </row>
        <row r="417">
          <cell r="A417" t="str">
            <v>李杰2</v>
          </cell>
          <cell r="B417" t="str">
            <v>01379</v>
          </cell>
          <cell r="C417" t="str">
            <v>湖北蜜蜂族房地产经纪有限公司</v>
          </cell>
          <cell r="D417">
            <v>45719</v>
          </cell>
          <cell r="E417" t="str">
            <v>湖北</v>
          </cell>
          <cell r="F417" t="str">
            <v>湖北营销中心</v>
          </cell>
          <cell r="G417" t="str">
            <v>湖北2部</v>
          </cell>
          <cell r="H417" t="str">
            <v>赵国富</v>
          </cell>
          <cell r="I417" t="str">
            <v>三星销售顾问</v>
          </cell>
        </row>
        <row r="418">
          <cell r="A418" t="str">
            <v>张松</v>
          </cell>
          <cell r="B418" t="str">
            <v>01357</v>
          </cell>
          <cell r="C418" t="str">
            <v>陕西蜂族科技有限公司</v>
          </cell>
          <cell r="D418">
            <v>45718</v>
          </cell>
          <cell r="E418" t="str">
            <v>陕西</v>
          </cell>
          <cell r="F418" t="str">
            <v>陕西营销中心</v>
          </cell>
          <cell r="G418" t="str">
            <v>陕西2部</v>
          </cell>
          <cell r="H418" t="str">
            <v>蒙建</v>
          </cell>
          <cell r="I418" t="str">
            <v>二星销售顾问</v>
          </cell>
        </row>
        <row r="419">
          <cell r="A419" t="str">
            <v>李世豪</v>
          </cell>
          <cell r="B419" t="str">
            <v>01362</v>
          </cell>
          <cell r="C419" t="str">
            <v>湖北蜜蜂族房地产经纪有限公司</v>
          </cell>
          <cell r="D419">
            <v>45717</v>
          </cell>
          <cell r="E419" t="str">
            <v>湖北</v>
          </cell>
          <cell r="F419" t="str">
            <v>湖北营销中心</v>
          </cell>
          <cell r="G419" t="str">
            <v>湖北1部</v>
          </cell>
          <cell r="H419" t="str">
            <v>李文</v>
          </cell>
          <cell r="I419" t="str">
            <v>一星销售顾问</v>
          </cell>
        </row>
        <row r="420">
          <cell r="A420" t="str">
            <v>李浩</v>
          </cell>
          <cell r="B420" t="str">
            <v>01375</v>
          </cell>
          <cell r="C420" t="str">
            <v>辽宁时代蜂族营销策划有限公司</v>
          </cell>
          <cell r="D420">
            <v>45715</v>
          </cell>
          <cell r="E420" t="str">
            <v>辽宁</v>
          </cell>
          <cell r="F420" t="str">
            <v>辽宁营销中心</v>
          </cell>
          <cell r="G420" t="str">
            <v>辽宁销售部</v>
          </cell>
        </row>
        <row r="420">
          <cell r="I420" t="str">
            <v>二星销售顾问</v>
          </cell>
        </row>
        <row r="421">
          <cell r="A421" t="str">
            <v>何军辉</v>
          </cell>
          <cell r="B421" t="str">
            <v>01356</v>
          </cell>
          <cell r="C421" t="str">
            <v>四川时代蜂族营销策划有限公司</v>
          </cell>
          <cell r="D421">
            <v>45714</v>
          </cell>
          <cell r="E421" t="str">
            <v>西南总部</v>
          </cell>
          <cell r="F421" t="str">
            <v>西南营销中心</v>
          </cell>
          <cell r="G421" t="str">
            <v>营业七部</v>
          </cell>
          <cell r="H421" t="str">
            <v>蒋杨</v>
          </cell>
          <cell r="I421" t="str">
            <v>三星销售顾问</v>
          </cell>
        </row>
        <row r="422">
          <cell r="A422" t="str">
            <v>赵伟</v>
          </cell>
          <cell r="B422" t="str">
            <v>01365</v>
          </cell>
          <cell r="C422" t="str">
            <v>四川时代蜂族营销策划有限公司</v>
          </cell>
          <cell r="D422">
            <v>45713</v>
          </cell>
          <cell r="E422" t="str">
            <v>西南总部</v>
          </cell>
          <cell r="F422" t="str">
            <v>西南营销中心</v>
          </cell>
          <cell r="G422" t="str">
            <v>营业七部</v>
          </cell>
          <cell r="H422" t="str">
            <v>陈彪</v>
          </cell>
          <cell r="I422" t="str">
            <v>一星销售顾问</v>
          </cell>
        </row>
        <row r="423">
          <cell r="A423" t="str">
            <v>陈天东</v>
          </cell>
          <cell r="B423" t="str">
            <v>01364</v>
          </cell>
          <cell r="C423" t="str">
            <v>湖南时代蜂族营销策划有限公司</v>
          </cell>
          <cell r="D423">
            <v>45712</v>
          </cell>
          <cell r="E423" t="str">
            <v>湖南</v>
          </cell>
          <cell r="F423" t="str">
            <v>湖南营销中心</v>
          </cell>
          <cell r="G423" t="str">
            <v>湖南销售部</v>
          </cell>
          <cell r="H423" t="str">
            <v>夏富杨</v>
          </cell>
          <cell r="I423" t="str">
            <v>二星销售顾问</v>
          </cell>
        </row>
        <row r="424">
          <cell r="A424" t="str">
            <v>夏明珠</v>
          </cell>
          <cell r="B424" t="str">
            <v>01347</v>
          </cell>
          <cell r="C424" t="str">
            <v>四川大礼连连科技有限公司</v>
          </cell>
          <cell r="D424">
            <v>45712</v>
          </cell>
          <cell r="E424" t="str">
            <v>集团职能</v>
          </cell>
          <cell r="F424" t="str">
            <v>职能营销</v>
          </cell>
          <cell r="G424" t="str">
            <v>培训部</v>
          </cell>
        </row>
        <row r="424">
          <cell r="I424" t="str">
            <v>培训专员</v>
          </cell>
        </row>
        <row r="425">
          <cell r="A425" t="str">
            <v>闫亚豪</v>
          </cell>
          <cell r="B425" t="str">
            <v>01352</v>
          </cell>
          <cell r="C425" t="str">
            <v>湖南时代蜂族营销策划有限公司</v>
          </cell>
          <cell r="D425">
            <v>45711</v>
          </cell>
          <cell r="E425" t="str">
            <v>湖南</v>
          </cell>
          <cell r="F425" t="str">
            <v>湖南营销中心</v>
          </cell>
          <cell r="G425" t="str">
            <v>湖南销售部</v>
          </cell>
          <cell r="H425" t="str">
            <v>杨超群</v>
          </cell>
          <cell r="I425" t="str">
            <v>二星销售顾问</v>
          </cell>
        </row>
        <row r="426">
          <cell r="A426" t="str">
            <v>陈诗洋</v>
          </cell>
          <cell r="B426" t="str">
            <v>01348</v>
          </cell>
          <cell r="C426" t="str">
            <v>四川时代蜂族营销策划有限公司</v>
          </cell>
          <cell r="D426">
            <v>45709</v>
          </cell>
          <cell r="E426" t="str">
            <v>西南总部</v>
          </cell>
          <cell r="F426" t="str">
            <v>西南营销中心</v>
          </cell>
          <cell r="G426" t="str">
            <v>营业二部</v>
          </cell>
          <cell r="H426" t="str">
            <v>柏刚</v>
          </cell>
          <cell r="I426" t="str">
            <v>二星销售顾问</v>
          </cell>
        </row>
        <row r="427">
          <cell r="A427" t="str">
            <v>司思</v>
          </cell>
          <cell r="B427" t="str">
            <v>01339</v>
          </cell>
          <cell r="C427" t="str">
            <v>山东时代蜂族营销策划有限公司</v>
          </cell>
          <cell r="D427">
            <v>45709</v>
          </cell>
          <cell r="E427" t="str">
            <v>山东</v>
          </cell>
          <cell r="F427" t="str">
            <v>山东营销中心</v>
          </cell>
          <cell r="G427" t="str">
            <v>山东销售部</v>
          </cell>
          <cell r="H427" t="str">
            <v>蒲建宇山东</v>
          </cell>
          <cell r="I427" t="str">
            <v>二星销售顾问</v>
          </cell>
        </row>
        <row r="428">
          <cell r="A428" t="str">
            <v>陈文娟</v>
          </cell>
          <cell r="B428" t="str">
            <v>01338</v>
          </cell>
          <cell r="C428" t="str">
            <v>四川时代蜂族营销策划有限公司</v>
          </cell>
          <cell r="D428">
            <v>45709</v>
          </cell>
          <cell r="E428" t="str">
            <v>西南总部</v>
          </cell>
          <cell r="F428" t="str">
            <v>西南营销中心</v>
          </cell>
          <cell r="G428" t="str">
            <v>营业二部</v>
          </cell>
          <cell r="H428" t="str">
            <v>文鹏羽</v>
          </cell>
          <cell r="I428" t="str">
            <v>三星销售顾问</v>
          </cell>
        </row>
        <row r="429">
          <cell r="A429" t="str">
            <v>李杰</v>
          </cell>
          <cell r="B429" t="str">
            <v>01345</v>
          </cell>
          <cell r="C429" t="str">
            <v>河北时代蜂族营销策划有限公司</v>
          </cell>
          <cell r="D429">
            <v>45708</v>
          </cell>
          <cell r="E429" t="str">
            <v>河北</v>
          </cell>
          <cell r="F429" t="str">
            <v>河北拓展部</v>
          </cell>
        </row>
        <row r="429">
          <cell r="I429" t="str">
            <v>一星拓展专员</v>
          </cell>
        </row>
        <row r="430">
          <cell r="A430" t="str">
            <v>唐晋康</v>
          </cell>
          <cell r="B430" t="str">
            <v>01333</v>
          </cell>
          <cell r="C430" t="str">
            <v>山西时代蜂族房地产经纪有限公司</v>
          </cell>
          <cell r="D430">
            <v>45708</v>
          </cell>
          <cell r="E430" t="str">
            <v>山西</v>
          </cell>
          <cell r="F430" t="str">
            <v>山西拓展部</v>
          </cell>
        </row>
        <row r="430">
          <cell r="I430" t="str">
            <v>实习拓展</v>
          </cell>
        </row>
        <row r="431">
          <cell r="A431" t="str">
            <v>刘琴</v>
          </cell>
          <cell r="B431" t="str">
            <v>01350</v>
          </cell>
          <cell r="C431" t="str">
            <v>辽宁时代蜂族营销策划有限公司</v>
          </cell>
          <cell r="D431">
            <v>45708</v>
          </cell>
          <cell r="E431" t="str">
            <v>辽宁</v>
          </cell>
          <cell r="F431" t="str">
            <v>辽宁营销中心</v>
          </cell>
          <cell r="G431" t="str">
            <v>辽宁销售部</v>
          </cell>
          <cell r="H431" t="str">
            <v>赖慧辽宁</v>
          </cell>
          <cell r="I431" t="str">
            <v>二星销售顾问</v>
          </cell>
        </row>
        <row r="432">
          <cell r="A432" t="str">
            <v>李世靖</v>
          </cell>
          <cell r="B432" t="str">
            <v>01335</v>
          </cell>
          <cell r="C432" t="str">
            <v>四川时代蜂族营销策划有限公司</v>
          </cell>
          <cell r="D432">
            <v>45707</v>
          </cell>
          <cell r="E432" t="str">
            <v>河北</v>
          </cell>
          <cell r="F432" t="str">
            <v>河北营销中心</v>
          </cell>
          <cell r="G432" t="str">
            <v>河北销售部</v>
          </cell>
          <cell r="H432" t="str">
            <v>韩旭河北</v>
          </cell>
          <cell r="I432" t="str">
            <v>三星销售顾问</v>
          </cell>
        </row>
        <row r="433">
          <cell r="A433" t="str">
            <v>李海艳</v>
          </cell>
          <cell r="B433" t="str">
            <v>01344</v>
          </cell>
          <cell r="C433" t="str">
            <v>四川时代蜂族营销策划有限公司</v>
          </cell>
          <cell r="D433">
            <v>45706</v>
          </cell>
          <cell r="E433" t="str">
            <v>西南总部</v>
          </cell>
          <cell r="F433" t="str">
            <v>西南营销中心</v>
          </cell>
          <cell r="G433" t="str">
            <v>营业三部</v>
          </cell>
          <cell r="H433" t="str">
            <v>肖秀丽</v>
          </cell>
          <cell r="I433" t="str">
            <v>一星实习经理</v>
          </cell>
        </row>
        <row r="434">
          <cell r="A434" t="str">
            <v>刘淑兰</v>
          </cell>
          <cell r="B434" t="str">
            <v>01346</v>
          </cell>
          <cell r="C434" t="str">
            <v>四川时代蜂族营销策划有限公司</v>
          </cell>
          <cell r="D434">
            <v>45706</v>
          </cell>
          <cell r="E434" t="str">
            <v>西南总部</v>
          </cell>
          <cell r="F434" t="str">
            <v>西南拓展中心</v>
          </cell>
          <cell r="G434" t="str">
            <v>川南</v>
          </cell>
        </row>
        <row r="434">
          <cell r="I434" t="str">
            <v>实习拓展</v>
          </cell>
        </row>
        <row r="435">
          <cell r="A435" t="str">
            <v>刘静</v>
          </cell>
          <cell r="B435" t="str">
            <v>01342</v>
          </cell>
          <cell r="C435" t="str">
            <v>四川时代蜂族营销策划有限公司</v>
          </cell>
          <cell r="D435">
            <v>45706</v>
          </cell>
          <cell r="E435" t="str">
            <v>河北</v>
          </cell>
          <cell r="F435" t="str">
            <v>河北营销中心</v>
          </cell>
          <cell r="G435" t="str">
            <v>河北销售部</v>
          </cell>
          <cell r="H435" t="str">
            <v>韦霞河北</v>
          </cell>
          <cell r="I435" t="str">
            <v>二星销售顾问</v>
          </cell>
        </row>
        <row r="436">
          <cell r="A436" t="str">
            <v>陈亮</v>
          </cell>
          <cell r="B436" t="str">
            <v>01320</v>
          </cell>
          <cell r="C436" t="str">
            <v>湖北蜜蜂族房地产经纪有限公司</v>
          </cell>
          <cell r="D436">
            <v>45706</v>
          </cell>
          <cell r="E436" t="str">
            <v>湖北</v>
          </cell>
          <cell r="F436" t="str">
            <v>湖北营销中心</v>
          </cell>
          <cell r="G436" t="str">
            <v>湖北2部</v>
          </cell>
          <cell r="H436" t="str">
            <v>陈晓辉</v>
          </cell>
          <cell r="I436" t="str">
            <v>三星销售顾问</v>
          </cell>
        </row>
        <row r="437">
          <cell r="A437" t="str">
            <v>文尤洋</v>
          </cell>
          <cell r="B437" t="str">
            <v>01351</v>
          </cell>
          <cell r="C437" t="str">
            <v>四川时代蜂族营销策划有限公司</v>
          </cell>
          <cell r="D437">
            <v>45705</v>
          </cell>
          <cell r="E437" t="str">
            <v>西南总部</v>
          </cell>
          <cell r="F437" t="str">
            <v>西南营销中心</v>
          </cell>
          <cell r="G437" t="str">
            <v>营业五部</v>
          </cell>
          <cell r="H437" t="str">
            <v>杨科</v>
          </cell>
          <cell r="I437" t="str">
            <v>B岗经理</v>
          </cell>
        </row>
        <row r="438">
          <cell r="A438" t="str">
            <v>沈冬晴</v>
          </cell>
          <cell r="B438" t="str">
            <v>01314</v>
          </cell>
          <cell r="C438" t="str">
            <v>四川优诺通瑞商贸有限公司</v>
          </cell>
          <cell r="D438">
            <v>45705</v>
          </cell>
          <cell r="E438" t="str">
            <v>集团职能</v>
          </cell>
          <cell r="F438" t="str">
            <v>职能营销</v>
          </cell>
          <cell r="G438" t="str">
            <v>督导部</v>
          </cell>
        </row>
        <row r="438">
          <cell r="I438" t="str">
            <v>一星销售政委</v>
          </cell>
        </row>
        <row r="439">
          <cell r="A439" t="str">
            <v>陈杨</v>
          </cell>
          <cell r="B439" t="str">
            <v>01318</v>
          </cell>
          <cell r="C439" t="str">
            <v>湖南时代蜂族营销策划有限公司</v>
          </cell>
          <cell r="D439">
            <v>45704</v>
          </cell>
          <cell r="E439" t="str">
            <v>湖南</v>
          </cell>
          <cell r="F439" t="str">
            <v>湖南营销中心</v>
          </cell>
          <cell r="G439" t="str">
            <v>湖南销售部</v>
          </cell>
          <cell r="H439" t="str">
            <v>黄勇刚</v>
          </cell>
          <cell r="I439" t="str">
            <v>二星销售顾问</v>
          </cell>
        </row>
        <row r="440">
          <cell r="A440" t="str">
            <v>陈岚</v>
          </cell>
          <cell r="B440" t="str">
            <v>01319</v>
          </cell>
          <cell r="C440" t="str">
            <v>河北时代蜂族营销策划有限公司</v>
          </cell>
          <cell r="D440">
            <v>45703</v>
          </cell>
          <cell r="E440" t="str">
            <v>河北</v>
          </cell>
          <cell r="F440" t="str">
            <v>河北拓展部</v>
          </cell>
        </row>
        <row r="440">
          <cell r="I440" t="str">
            <v>一星拓展专员</v>
          </cell>
        </row>
        <row r="441">
          <cell r="A441" t="str">
            <v>张鹏</v>
          </cell>
          <cell r="B441" t="str">
            <v>01321</v>
          </cell>
          <cell r="C441" t="str">
            <v>四川时代蜂族营销策划有限公司</v>
          </cell>
          <cell r="D441">
            <v>45703</v>
          </cell>
          <cell r="E441" t="str">
            <v>西南总部</v>
          </cell>
          <cell r="F441" t="str">
            <v>西南营销中心</v>
          </cell>
          <cell r="G441" t="str">
            <v>营业三部</v>
          </cell>
          <cell r="H441" t="str">
            <v>肖秀丽</v>
          </cell>
          <cell r="I441" t="str">
            <v>二星销售顾问</v>
          </cell>
        </row>
        <row r="442">
          <cell r="A442" t="str">
            <v>陈丽红</v>
          </cell>
          <cell r="B442" t="str">
            <v>01323</v>
          </cell>
          <cell r="C442" t="str">
            <v>山东时代蜂族营销策划有限公司</v>
          </cell>
          <cell r="D442">
            <v>45703</v>
          </cell>
          <cell r="E442" t="str">
            <v>山东</v>
          </cell>
          <cell r="F442" t="str">
            <v>山东拓展部</v>
          </cell>
        </row>
        <row r="442">
          <cell r="I442" t="str">
            <v>实习拓展</v>
          </cell>
        </row>
        <row r="443">
          <cell r="A443" t="str">
            <v>章芹</v>
          </cell>
          <cell r="B443" t="str">
            <v>01298</v>
          </cell>
          <cell r="C443" t="str">
            <v>湖北蜜蜂族房地产经纪有限公司</v>
          </cell>
          <cell r="D443">
            <v>45702</v>
          </cell>
          <cell r="E443" t="str">
            <v>湖北</v>
          </cell>
          <cell r="F443" t="str">
            <v>湖北营销中心</v>
          </cell>
          <cell r="G443" t="str">
            <v>湖北1部</v>
          </cell>
          <cell r="H443" t="str">
            <v>骆志红</v>
          </cell>
          <cell r="I443" t="str">
            <v>二星销售顾问</v>
          </cell>
        </row>
        <row r="444">
          <cell r="A444" t="str">
            <v>鲜曦</v>
          </cell>
          <cell r="B444" t="str">
            <v>01301</v>
          </cell>
          <cell r="C444" t="str">
            <v>四川时代蜂族营销策划有限公司</v>
          </cell>
          <cell r="D444">
            <v>45702</v>
          </cell>
          <cell r="E444" t="str">
            <v>西南总部</v>
          </cell>
          <cell r="F444" t="str">
            <v>西南营销中心</v>
          </cell>
          <cell r="G444" t="str">
            <v>营业五部</v>
          </cell>
          <cell r="H444" t="str">
            <v>李敏</v>
          </cell>
          <cell r="I444" t="str">
            <v>三星销售顾问</v>
          </cell>
        </row>
        <row r="445">
          <cell r="A445" t="str">
            <v>蒲红霞</v>
          </cell>
          <cell r="B445" t="str">
            <v>01315</v>
          </cell>
          <cell r="C445" t="str">
            <v>四川大礼连连科技有限公司</v>
          </cell>
          <cell r="D445">
            <v>45701</v>
          </cell>
          <cell r="E445" t="str">
            <v>河南</v>
          </cell>
          <cell r="F445" t="str">
            <v>河南营销中心</v>
          </cell>
          <cell r="G445" t="str">
            <v>河南销售部</v>
          </cell>
          <cell r="H445" t="str">
            <v>蒋吉勇河南</v>
          </cell>
          <cell r="I445" t="str">
            <v>三星销售顾问</v>
          </cell>
        </row>
        <row r="446">
          <cell r="A446" t="str">
            <v>刘志鹏</v>
          </cell>
          <cell r="B446" t="str">
            <v>01305</v>
          </cell>
          <cell r="C446" t="str">
            <v>山东时代蜂族营销策划有限公司</v>
          </cell>
          <cell r="D446">
            <v>45701</v>
          </cell>
          <cell r="E446" t="str">
            <v>山东</v>
          </cell>
          <cell r="F446" t="str">
            <v>山东营销中心</v>
          </cell>
          <cell r="G446" t="str">
            <v>山东销售部</v>
          </cell>
          <cell r="H446" t="str">
            <v>赵文涛</v>
          </cell>
          <cell r="I446" t="str">
            <v>三星销售顾问</v>
          </cell>
        </row>
        <row r="447">
          <cell r="A447" t="str">
            <v>张阳</v>
          </cell>
          <cell r="B447" t="str">
            <v>01303</v>
          </cell>
          <cell r="C447" t="str">
            <v>陕西蜂族科技有限公司</v>
          </cell>
          <cell r="D447">
            <v>45701</v>
          </cell>
          <cell r="E447" t="str">
            <v>陕西</v>
          </cell>
          <cell r="F447" t="str">
            <v>陕西营销中心</v>
          </cell>
          <cell r="G447" t="str">
            <v>陕西1部</v>
          </cell>
          <cell r="H447" t="str">
            <v>张英</v>
          </cell>
          <cell r="I447" t="str">
            <v>二星销售顾问</v>
          </cell>
        </row>
        <row r="448">
          <cell r="A448" t="str">
            <v>陈治</v>
          </cell>
          <cell r="B448" t="str">
            <v>01307</v>
          </cell>
          <cell r="C448" t="str">
            <v>四川时代蜂族营销策划有限公司</v>
          </cell>
          <cell r="D448">
            <v>45701</v>
          </cell>
          <cell r="E448" t="str">
            <v>西南总部</v>
          </cell>
          <cell r="F448" t="str">
            <v>西南营销中心</v>
          </cell>
          <cell r="G448" t="str">
            <v>营业一部</v>
          </cell>
          <cell r="H448" t="str">
            <v>胡雪梅</v>
          </cell>
          <cell r="I448" t="str">
            <v>二星销售顾问</v>
          </cell>
        </row>
        <row r="449">
          <cell r="A449" t="str">
            <v>程秀财</v>
          </cell>
          <cell r="B449" t="str">
            <v>01308</v>
          </cell>
          <cell r="C449" t="str">
            <v>陕西蜂族科技有限公司</v>
          </cell>
          <cell r="D449">
            <v>45701</v>
          </cell>
          <cell r="E449" t="str">
            <v>陕西</v>
          </cell>
          <cell r="F449" t="str">
            <v>陕西营销中心</v>
          </cell>
          <cell r="G449" t="str">
            <v>陕西2部</v>
          </cell>
          <cell r="H449" t="str">
            <v>罗小花</v>
          </cell>
          <cell r="I449" t="str">
            <v>二星销售顾问</v>
          </cell>
        </row>
        <row r="450">
          <cell r="A450" t="str">
            <v>周梦欢</v>
          </cell>
          <cell r="B450" t="str">
            <v>01304</v>
          </cell>
          <cell r="C450" t="str">
            <v>陕西蜂族科技有限公司</v>
          </cell>
          <cell r="D450">
            <v>45701</v>
          </cell>
          <cell r="E450" t="str">
            <v>陕西</v>
          </cell>
          <cell r="F450" t="str">
            <v>陕西营销中心</v>
          </cell>
          <cell r="G450" t="str">
            <v>陕西1部</v>
          </cell>
          <cell r="H450" t="str">
            <v>叶湑</v>
          </cell>
          <cell r="I450" t="str">
            <v>一星销售顾问</v>
          </cell>
        </row>
        <row r="451">
          <cell r="A451" t="str">
            <v>何伟</v>
          </cell>
          <cell r="B451" t="str">
            <v>01309</v>
          </cell>
          <cell r="C451" t="str">
            <v>四川蜂起营销策划有限公司</v>
          </cell>
          <cell r="D451">
            <v>45700</v>
          </cell>
          <cell r="E451" t="str">
            <v>西南总部</v>
          </cell>
          <cell r="F451" t="str">
            <v>西南营销中心</v>
          </cell>
          <cell r="G451" t="str">
            <v>营业七部</v>
          </cell>
          <cell r="H451" t="str">
            <v>程新浩</v>
          </cell>
          <cell r="I451" t="str">
            <v>三星销售顾问</v>
          </cell>
        </row>
        <row r="452">
          <cell r="A452" t="str">
            <v>周舜</v>
          </cell>
          <cell r="B452" t="str">
            <v>01297</v>
          </cell>
          <cell r="C452" t="str">
            <v>四川时代蜂族营销策划有限公司</v>
          </cell>
          <cell r="D452">
            <v>45700</v>
          </cell>
          <cell r="E452" t="str">
            <v>西南总部</v>
          </cell>
          <cell r="F452" t="str">
            <v>西南拓展中心</v>
          </cell>
          <cell r="G452" t="str">
            <v>川东</v>
          </cell>
        </row>
        <row r="452">
          <cell r="I452" t="str">
            <v>实习拓展</v>
          </cell>
        </row>
        <row r="453">
          <cell r="A453" t="str">
            <v>孙磊</v>
          </cell>
          <cell r="B453" t="str">
            <v>01289</v>
          </cell>
          <cell r="C453" t="str">
            <v>四川时代蜂族营销策划有限公司</v>
          </cell>
          <cell r="D453">
            <v>45700</v>
          </cell>
          <cell r="E453" t="str">
            <v>西南总部</v>
          </cell>
          <cell r="F453" t="str">
            <v>西南营销中心</v>
          </cell>
          <cell r="G453" t="str">
            <v>营业六部</v>
          </cell>
          <cell r="H453" t="str">
            <v>党虹</v>
          </cell>
          <cell r="I453" t="str">
            <v>三星销售顾问</v>
          </cell>
        </row>
        <row r="454">
          <cell r="A454" t="str">
            <v>寸春叶</v>
          </cell>
          <cell r="B454" t="str">
            <v>01294</v>
          </cell>
          <cell r="C454" t="str">
            <v>陕西蜂族科技有限公司</v>
          </cell>
          <cell r="D454">
            <v>45699</v>
          </cell>
          <cell r="E454" t="str">
            <v>甘肃</v>
          </cell>
          <cell r="F454" t="str">
            <v>甘肃营销中心</v>
          </cell>
          <cell r="G454" t="str">
            <v>甘肃销售部</v>
          </cell>
          <cell r="H454" t="str">
            <v>王辉甘肃</v>
          </cell>
          <cell r="I454" t="str">
            <v>二星销售顾问</v>
          </cell>
        </row>
        <row r="455">
          <cell r="A455" t="str">
            <v>王茜</v>
          </cell>
          <cell r="B455" t="str">
            <v>01324</v>
          </cell>
          <cell r="C455" t="str">
            <v>四川时代蜂族营销策划有限公司</v>
          </cell>
          <cell r="D455">
            <v>45699</v>
          </cell>
          <cell r="E455" t="str">
            <v>西南总部</v>
          </cell>
          <cell r="F455" t="str">
            <v>西南营销中心</v>
          </cell>
          <cell r="G455" t="str">
            <v>营业六部</v>
          </cell>
          <cell r="H455" t="str">
            <v>郑雄</v>
          </cell>
          <cell r="I455" t="str">
            <v>二星销售顾问</v>
          </cell>
        </row>
        <row r="456">
          <cell r="A456" t="str">
            <v>王新国</v>
          </cell>
          <cell r="B456" t="str">
            <v>01292</v>
          </cell>
          <cell r="C456" t="str">
            <v>陕西蜂族科技有限公司</v>
          </cell>
          <cell r="D456">
            <v>45699</v>
          </cell>
          <cell r="E456" t="str">
            <v>陕西</v>
          </cell>
          <cell r="F456" t="str">
            <v>陕西营销中心</v>
          </cell>
          <cell r="G456" t="str">
            <v>陕西1部</v>
          </cell>
          <cell r="H456" t="str">
            <v>叶湑</v>
          </cell>
          <cell r="I456" t="str">
            <v>一星销售顾问</v>
          </cell>
        </row>
        <row r="457">
          <cell r="A457" t="str">
            <v>穆霭元</v>
          </cell>
          <cell r="B457" t="str">
            <v>01299</v>
          </cell>
          <cell r="C457" t="str">
            <v>湖北蜜蜂族房地产经纪有限公司</v>
          </cell>
          <cell r="D457">
            <v>45699</v>
          </cell>
          <cell r="E457" t="str">
            <v>湖北</v>
          </cell>
          <cell r="F457" t="str">
            <v>湖北营销中心</v>
          </cell>
          <cell r="G457" t="str">
            <v>湖北2部</v>
          </cell>
          <cell r="H457" t="str">
            <v>陈俊儒</v>
          </cell>
          <cell r="I457" t="str">
            <v>三星销售顾问</v>
          </cell>
        </row>
        <row r="458">
          <cell r="A458" t="str">
            <v>夏富杨</v>
          </cell>
          <cell r="B458" t="str">
            <v>01317</v>
          </cell>
          <cell r="C458" t="str">
            <v>湖南时代蜂族营销策划有限公司</v>
          </cell>
          <cell r="D458">
            <v>45699</v>
          </cell>
          <cell r="E458" t="str">
            <v>湖南</v>
          </cell>
          <cell r="F458" t="str">
            <v>湖南营销中心</v>
          </cell>
          <cell r="G458" t="str">
            <v>湖南销售部</v>
          </cell>
        </row>
        <row r="458">
          <cell r="I458" t="str">
            <v>一星实习经理</v>
          </cell>
        </row>
        <row r="459">
          <cell r="A459" t="str">
            <v>丁浩</v>
          </cell>
          <cell r="B459" t="str">
            <v>01291</v>
          </cell>
          <cell r="C459" t="str">
            <v>辽宁时代蜂族营销策划有限公司</v>
          </cell>
          <cell r="D459">
            <v>45699</v>
          </cell>
          <cell r="E459" t="str">
            <v>辽宁</v>
          </cell>
          <cell r="F459" t="str">
            <v>辽宁营销中心</v>
          </cell>
          <cell r="G459" t="str">
            <v>辽宁销售部</v>
          </cell>
          <cell r="H459" t="str">
            <v>孙科辽宁</v>
          </cell>
          <cell r="I459" t="str">
            <v>三星销售顾问</v>
          </cell>
        </row>
        <row r="460">
          <cell r="A460" t="str">
            <v>曾志勇</v>
          </cell>
          <cell r="B460" t="str">
            <v>01326</v>
          </cell>
          <cell r="C460" t="str">
            <v>山西时代蜂族房地产经纪有限公司</v>
          </cell>
          <cell r="D460">
            <v>45698</v>
          </cell>
          <cell r="E460" t="str">
            <v>山西</v>
          </cell>
          <cell r="F460" t="str">
            <v>山西营销中心</v>
          </cell>
          <cell r="G460" t="str">
            <v>山西销售部</v>
          </cell>
          <cell r="H460" t="str">
            <v>艾林山西</v>
          </cell>
          <cell r="I460" t="str">
            <v>三星销售顾问</v>
          </cell>
        </row>
        <row r="461">
          <cell r="A461" t="str">
            <v>廖洪毅</v>
          </cell>
          <cell r="B461" t="str">
            <v>01313</v>
          </cell>
          <cell r="C461" t="str">
            <v>四川蜂起营销策划有限公司</v>
          </cell>
          <cell r="D461">
            <v>45698</v>
          </cell>
          <cell r="E461" t="str">
            <v>西南总部</v>
          </cell>
          <cell r="F461" t="str">
            <v>西南营销中心</v>
          </cell>
          <cell r="G461" t="str">
            <v>营业七部</v>
          </cell>
          <cell r="H461" t="str">
            <v>张家涛</v>
          </cell>
          <cell r="I461" t="str">
            <v>二星销售顾问</v>
          </cell>
        </row>
        <row r="462">
          <cell r="A462" t="str">
            <v>周兴明</v>
          </cell>
          <cell r="B462" t="str">
            <v>01285</v>
          </cell>
          <cell r="C462" t="str">
            <v>四川时代蜂族营销策划有限公司</v>
          </cell>
          <cell r="D462">
            <v>45698</v>
          </cell>
          <cell r="E462" t="str">
            <v>西南总部</v>
          </cell>
          <cell r="F462" t="str">
            <v>西南营销中心</v>
          </cell>
          <cell r="G462" t="str">
            <v>营业三部</v>
          </cell>
          <cell r="H462" t="str">
            <v>李海艳</v>
          </cell>
          <cell r="I462" t="str">
            <v>一星销售顾问</v>
          </cell>
        </row>
        <row r="463">
          <cell r="A463" t="str">
            <v>周远芮</v>
          </cell>
          <cell r="B463" t="str">
            <v>01284</v>
          </cell>
          <cell r="C463" t="str">
            <v>四川时代蜂族营销策划有限公司</v>
          </cell>
          <cell r="D463">
            <v>45698</v>
          </cell>
          <cell r="E463" t="str">
            <v>西南总部</v>
          </cell>
          <cell r="F463" t="str">
            <v>西南营销中心</v>
          </cell>
          <cell r="G463" t="str">
            <v>营业五部</v>
          </cell>
          <cell r="H463" t="str">
            <v>周远芮</v>
          </cell>
          <cell r="I463" t="str">
            <v>一星实习经理</v>
          </cell>
        </row>
        <row r="464">
          <cell r="A464" t="str">
            <v>王娜</v>
          </cell>
          <cell r="B464" t="str">
            <v>01280</v>
          </cell>
          <cell r="C464" t="str">
            <v>陕西蜂族科技有限公司</v>
          </cell>
          <cell r="D464">
            <v>45698</v>
          </cell>
          <cell r="E464" t="str">
            <v>陕西</v>
          </cell>
          <cell r="F464" t="str">
            <v>陕西营销中心</v>
          </cell>
          <cell r="G464" t="str">
            <v>陕西1部</v>
          </cell>
          <cell r="H464" t="str">
            <v>叶湑</v>
          </cell>
          <cell r="I464" t="str">
            <v>二星销售顾问</v>
          </cell>
        </row>
        <row r="465">
          <cell r="A465" t="str">
            <v>王超</v>
          </cell>
          <cell r="B465" t="str">
            <v>00132</v>
          </cell>
          <cell r="C465" t="str">
            <v>山东时代蜂族营销策划有限公司</v>
          </cell>
          <cell r="D465">
            <v>45698</v>
          </cell>
          <cell r="E465" t="str">
            <v>山东</v>
          </cell>
          <cell r="F465" t="str">
            <v>山东营销中心</v>
          </cell>
          <cell r="G465" t="str">
            <v>山东销售部</v>
          </cell>
          <cell r="H465" t="str">
            <v>冯洁</v>
          </cell>
          <cell r="I465" t="str">
            <v>二星销售顾问</v>
          </cell>
        </row>
        <row r="466">
          <cell r="A466" t="str">
            <v>董博涛</v>
          </cell>
          <cell r="B466" t="str">
            <v>01281</v>
          </cell>
          <cell r="C466" t="str">
            <v>陕西蜂族科技有限公司</v>
          </cell>
          <cell r="D466">
            <v>45697</v>
          </cell>
          <cell r="E466" t="str">
            <v>陕西</v>
          </cell>
          <cell r="F466" t="str">
            <v>陕西营销中心</v>
          </cell>
          <cell r="G466" t="str">
            <v>陕西2部</v>
          </cell>
          <cell r="H466" t="str">
            <v>乔磊</v>
          </cell>
          <cell r="I466" t="str">
            <v>二星销售顾问</v>
          </cell>
        </row>
        <row r="467">
          <cell r="A467" t="str">
            <v>邱阳</v>
          </cell>
          <cell r="B467" t="str">
            <v>01276</v>
          </cell>
          <cell r="C467" t="str">
            <v>山东时代蜂族营销策划有限公司</v>
          </cell>
          <cell r="D467">
            <v>45673</v>
          </cell>
          <cell r="E467" t="str">
            <v>山东</v>
          </cell>
          <cell r="F467" t="str">
            <v>山东营销中心</v>
          </cell>
          <cell r="G467" t="str">
            <v>山东销售部</v>
          </cell>
          <cell r="H467" t="str">
            <v>李祥春</v>
          </cell>
          <cell r="I467" t="str">
            <v>三星销售顾问</v>
          </cell>
        </row>
        <row r="468">
          <cell r="A468" t="str">
            <v>陈东2</v>
          </cell>
          <cell r="B468" t="str">
            <v>01273</v>
          </cell>
          <cell r="C468" t="str">
            <v>四川时代蜂族营销策划有限公司</v>
          </cell>
          <cell r="D468">
            <v>45673</v>
          </cell>
          <cell r="E468" t="str">
            <v>河北</v>
          </cell>
          <cell r="F468" t="str">
            <v>河北营销中心</v>
          </cell>
          <cell r="G468" t="str">
            <v>河北销售部</v>
          </cell>
        </row>
        <row r="468">
          <cell r="I468" t="str">
            <v>一星实习经理</v>
          </cell>
        </row>
        <row r="469">
          <cell r="A469" t="str">
            <v>杨先达</v>
          </cell>
          <cell r="B469" t="str">
            <v>01267</v>
          </cell>
          <cell r="C469" t="str">
            <v>四川大礼连连科技有限公司</v>
          </cell>
          <cell r="D469">
            <v>45671</v>
          </cell>
          <cell r="E469" t="str">
            <v>集团职能</v>
          </cell>
          <cell r="F469" t="str">
            <v>职能总部</v>
          </cell>
          <cell r="G469" t="str">
            <v>人资行政部</v>
          </cell>
          <cell r="H469" t="str">
            <v>招聘部</v>
          </cell>
          <cell r="I469" t="str">
            <v>招聘主管</v>
          </cell>
        </row>
        <row r="470">
          <cell r="A470" t="str">
            <v>陶再阳</v>
          </cell>
          <cell r="B470" t="str">
            <v>01271</v>
          </cell>
          <cell r="C470" t="str">
            <v>四川时代蜂族营销策划有限公司</v>
          </cell>
          <cell r="D470">
            <v>45669</v>
          </cell>
          <cell r="E470" t="str">
            <v>西南总部</v>
          </cell>
          <cell r="F470" t="str">
            <v>西南营销中心</v>
          </cell>
          <cell r="G470" t="str">
            <v>营业三部</v>
          </cell>
        </row>
        <row r="470">
          <cell r="I470" t="str">
            <v>一星实习经理</v>
          </cell>
        </row>
        <row r="471">
          <cell r="A471" t="str">
            <v>黄婷</v>
          </cell>
          <cell r="B471" t="str">
            <v>01270</v>
          </cell>
          <cell r="C471" t="str">
            <v>四川时代蜂族营销策划有限公司</v>
          </cell>
          <cell r="D471">
            <v>45667</v>
          </cell>
          <cell r="E471" t="str">
            <v>西南总部</v>
          </cell>
          <cell r="F471" t="str">
            <v>西南营销中心</v>
          </cell>
          <cell r="G471" t="str">
            <v>营业二部</v>
          </cell>
          <cell r="H471" t="str">
            <v>黄磊</v>
          </cell>
          <cell r="I471" t="str">
            <v>三星销售顾问</v>
          </cell>
        </row>
        <row r="472">
          <cell r="A472" t="str">
            <v>郑苓</v>
          </cell>
          <cell r="B472" t="str">
            <v>01268</v>
          </cell>
          <cell r="C472" t="str">
            <v>山西时代蜂族房地产经纪有限公司</v>
          </cell>
          <cell r="D472">
            <v>45667</v>
          </cell>
          <cell r="E472" t="str">
            <v>山西</v>
          </cell>
          <cell r="F472" t="str">
            <v>山西营销中心</v>
          </cell>
          <cell r="G472" t="str">
            <v>山西销售部</v>
          </cell>
          <cell r="H472" t="str">
            <v>赵龙</v>
          </cell>
          <cell r="I472" t="str">
            <v>三星销售顾问</v>
          </cell>
        </row>
        <row r="473">
          <cell r="A473" t="str">
            <v>向明镜</v>
          </cell>
          <cell r="B473" t="str">
            <v>01265</v>
          </cell>
          <cell r="C473" t="str">
            <v>四川时代蜂族营销策划有限公司</v>
          </cell>
          <cell r="D473">
            <v>45666</v>
          </cell>
          <cell r="E473" t="str">
            <v>西南总部</v>
          </cell>
          <cell r="F473" t="str">
            <v>西南营销中心</v>
          </cell>
          <cell r="G473" t="str">
            <v>营业一部</v>
          </cell>
          <cell r="H473" t="str">
            <v>朱家艳</v>
          </cell>
          <cell r="I473" t="str">
            <v>三星销售顾问</v>
          </cell>
        </row>
        <row r="474">
          <cell r="A474" t="str">
            <v>李杰根</v>
          </cell>
          <cell r="B474" t="str">
            <v>01263</v>
          </cell>
          <cell r="C474" t="str">
            <v>四川时代蜂族营销策划有限公司</v>
          </cell>
          <cell r="D474">
            <v>45665</v>
          </cell>
          <cell r="E474" t="str">
            <v>西南总部</v>
          </cell>
          <cell r="F474" t="str">
            <v>西南营销中心</v>
          </cell>
          <cell r="G474" t="str">
            <v>营业七部</v>
          </cell>
          <cell r="H474" t="str">
            <v>申慧</v>
          </cell>
          <cell r="I474" t="str">
            <v>三星销售顾问</v>
          </cell>
        </row>
        <row r="475">
          <cell r="A475" t="str">
            <v>吴宋义</v>
          </cell>
          <cell r="B475" t="str">
            <v>01260</v>
          </cell>
          <cell r="C475" t="str">
            <v>山东时代蜂族营销策划有限公司</v>
          </cell>
          <cell r="D475">
            <v>45665</v>
          </cell>
          <cell r="E475" t="str">
            <v>山东</v>
          </cell>
          <cell r="F475" t="str">
            <v>山东营销中心</v>
          </cell>
          <cell r="G475" t="str">
            <v>山东销售部</v>
          </cell>
          <cell r="H475" t="str">
            <v>李祥春</v>
          </cell>
          <cell r="I475" t="str">
            <v>二星销售顾问</v>
          </cell>
        </row>
        <row r="476">
          <cell r="A476" t="str">
            <v>邵敏</v>
          </cell>
          <cell r="B476" t="str">
            <v>01261</v>
          </cell>
          <cell r="C476" t="str">
            <v>湖南时代蜂族营销策划有限公司</v>
          </cell>
          <cell r="D476">
            <v>45665</v>
          </cell>
          <cell r="E476" t="str">
            <v>湖南</v>
          </cell>
          <cell r="F476" t="str">
            <v>湖南营销中心</v>
          </cell>
          <cell r="G476" t="str">
            <v>湖南销售部</v>
          </cell>
          <cell r="H476" t="str">
            <v>夏富杨</v>
          </cell>
          <cell r="I476" t="str">
            <v>一星销售顾问</v>
          </cell>
        </row>
        <row r="477">
          <cell r="A477" t="str">
            <v>李建华</v>
          </cell>
          <cell r="B477" t="str">
            <v>01258</v>
          </cell>
          <cell r="C477" t="str">
            <v>四川时代蜂族营销策划有限公司</v>
          </cell>
          <cell r="D477">
            <v>45664</v>
          </cell>
          <cell r="E477" t="str">
            <v>西南总部</v>
          </cell>
          <cell r="F477" t="str">
            <v>西南营销中心</v>
          </cell>
          <cell r="G477" t="str">
            <v>营业三部</v>
          </cell>
          <cell r="H477" t="str">
            <v>刘佳</v>
          </cell>
          <cell r="I477" t="str">
            <v>三星销售顾问</v>
          </cell>
        </row>
        <row r="478">
          <cell r="A478" t="str">
            <v>张萍2</v>
          </cell>
          <cell r="B478" t="str">
            <v>01257</v>
          </cell>
          <cell r="C478" t="str">
            <v>四川时代蜂族营销策划有限公司</v>
          </cell>
          <cell r="D478">
            <v>45661</v>
          </cell>
          <cell r="E478" t="str">
            <v>西南总部</v>
          </cell>
          <cell r="F478" t="str">
            <v>西南营销中心</v>
          </cell>
          <cell r="G478" t="str">
            <v>营业五部</v>
          </cell>
          <cell r="H478" t="str">
            <v>叶鑫</v>
          </cell>
          <cell r="I478" t="str">
            <v>一星实习经理</v>
          </cell>
        </row>
        <row r="479">
          <cell r="A479" t="str">
            <v>雷浩</v>
          </cell>
          <cell r="B479" t="str">
            <v>01252</v>
          </cell>
          <cell r="C479" t="str">
            <v>四川时代蜂族营销策划有限公司</v>
          </cell>
          <cell r="D479">
            <v>45659</v>
          </cell>
          <cell r="E479" t="str">
            <v>西南总部</v>
          </cell>
          <cell r="F479" t="str">
            <v>西南营销中心</v>
          </cell>
          <cell r="G479" t="str">
            <v>营业三部</v>
          </cell>
          <cell r="H479" t="str">
            <v>肖秀丽</v>
          </cell>
          <cell r="I479" t="str">
            <v>三星销售顾问</v>
          </cell>
        </row>
        <row r="480">
          <cell r="A480" t="str">
            <v>何勇</v>
          </cell>
          <cell r="B480" t="str">
            <v>01255</v>
          </cell>
          <cell r="C480" t="str">
            <v>山西时代蜂族房地产经纪有限公司</v>
          </cell>
          <cell r="D480">
            <v>45658</v>
          </cell>
          <cell r="E480" t="str">
            <v>山西</v>
          </cell>
          <cell r="F480" t="str">
            <v>山西营销中心</v>
          </cell>
          <cell r="G480" t="str">
            <v>山西销售部</v>
          </cell>
          <cell r="H480" t="str">
            <v>邓富</v>
          </cell>
          <cell r="I480" t="str">
            <v>三星销售顾问</v>
          </cell>
        </row>
        <row r="481">
          <cell r="A481" t="str">
            <v>韩颖</v>
          </cell>
          <cell r="B481" t="str">
            <v>01251</v>
          </cell>
          <cell r="C481" t="str">
            <v>四川时代蜂族营销策划有限公司</v>
          </cell>
          <cell r="D481">
            <v>45657</v>
          </cell>
          <cell r="E481" t="str">
            <v>西南总部</v>
          </cell>
          <cell r="F481" t="str">
            <v>西南营销中心</v>
          </cell>
          <cell r="G481" t="str">
            <v>营业五部</v>
          </cell>
        </row>
        <row r="481">
          <cell r="I481" t="str">
            <v>一星实习经理</v>
          </cell>
        </row>
        <row r="482">
          <cell r="A482" t="str">
            <v>王豪</v>
          </cell>
          <cell r="B482" t="str">
            <v>01249</v>
          </cell>
          <cell r="C482" t="str">
            <v>陕西蜂族科技有限公司</v>
          </cell>
          <cell r="D482">
            <v>45656</v>
          </cell>
          <cell r="E482" t="str">
            <v>陕西</v>
          </cell>
          <cell r="F482" t="str">
            <v>陕西营销中心</v>
          </cell>
          <cell r="G482" t="str">
            <v>陕西1部</v>
          </cell>
          <cell r="H482" t="str">
            <v>杨永梅</v>
          </cell>
          <cell r="I482" t="str">
            <v>三星销售顾问</v>
          </cell>
        </row>
        <row r="483">
          <cell r="A483" t="str">
            <v>李令</v>
          </cell>
          <cell r="B483" t="str">
            <v>01247</v>
          </cell>
          <cell r="C483" t="str">
            <v>湖北蜜蜂族房地产经纪有限公司</v>
          </cell>
          <cell r="D483">
            <v>45654</v>
          </cell>
          <cell r="E483" t="str">
            <v>湖北</v>
          </cell>
          <cell r="F483" t="str">
            <v>湖北营销中心</v>
          </cell>
          <cell r="G483" t="str">
            <v>湖北1部</v>
          </cell>
          <cell r="H483" t="str">
            <v>林浩</v>
          </cell>
          <cell r="I483" t="str">
            <v>三星销售顾问</v>
          </cell>
        </row>
        <row r="484">
          <cell r="A484" t="str">
            <v>黄丽</v>
          </cell>
          <cell r="B484" t="str">
            <v>01248</v>
          </cell>
          <cell r="C484" t="str">
            <v>山西时代蜂族房地产经纪有限公司</v>
          </cell>
          <cell r="D484">
            <v>45652</v>
          </cell>
          <cell r="E484" t="str">
            <v>山西</v>
          </cell>
          <cell r="F484" t="str">
            <v>山西营销中心</v>
          </cell>
          <cell r="G484" t="str">
            <v>山西销售部</v>
          </cell>
          <cell r="H484" t="str">
            <v>邓富</v>
          </cell>
          <cell r="I484" t="str">
            <v>三星销售顾问</v>
          </cell>
        </row>
        <row r="485">
          <cell r="A485" t="str">
            <v>何常禧</v>
          </cell>
          <cell r="B485" t="str">
            <v>01246</v>
          </cell>
          <cell r="C485" t="str">
            <v>四川时代蜂族营销策划有限公司</v>
          </cell>
          <cell r="D485">
            <v>45651</v>
          </cell>
          <cell r="E485" t="str">
            <v>西南总部</v>
          </cell>
          <cell r="F485" t="str">
            <v>西南营销中心</v>
          </cell>
          <cell r="G485" t="str">
            <v>营业七部</v>
          </cell>
          <cell r="H485" t="str">
            <v>谢沁霜</v>
          </cell>
          <cell r="I485" t="str">
            <v>二星销售顾问</v>
          </cell>
        </row>
        <row r="486">
          <cell r="A486" t="str">
            <v>江梅</v>
          </cell>
          <cell r="B486" t="str">
            <v>01238</v>
          </cell>
          <cell r="C486" t="str">
            <v>四川时代蜂族营销策划有限公司</v>
          </cell>
          <cell r="D486">
            <v>45649</v>
          </cell>
          <cell r="E486" t="str">
            <v>西南总部</v>
          </cell>
          <cell r="F486" t="str">
            <v>西南营销中心</v>
          </cell>
          <cell r="G486" t="str">
            <v>营业五部</v>
          </cell>
          <cell r="H486" t="str">
            <v>叶鑫</v>
          </cell>
          <cell r="I486" t="str">
            <v>三星销售顾问</v>
          </cell>
        </row>
        <row r="487">
          <cell r="A487" t="str">
            <v>阮阳</v>
          </cell>
          <cell r="B487" t="str">
            <v>01239</v>
          </cell>
          <cell r="C487" t="str">
            <v>湖北蜜蜂族房地产经纪有限公司</v>
          </cell>
          <cell r="D487">
            <v>45649</v>
          </cell>
          <cell r="E487" t="str">
            <v>湖北</v>
          </cell>
          <cell r="F487" t="str">
            <v>湖北营销中心</v>
          </cell>
          <cell r="G487" t="str">
            <v>湖北1部</v>
          </cell>
        </row>
        <row r="487">
          <cell r="I487" t="str">
            <v>一星实习经理</v>
          </cell>
        </row>
        <row r="488">
          <cell r="A488" t="str">
            <v>肖娟</v>
          </cell>
          <cell r="B488" t="str">
            <v>01237</v>
          </cell>
          <cell r="C488" t="str">
            <v>四川时代蜂族营销策划有限公司</v>
          </cell>
          <cell r="D488">
            <v>45648</v>
          </cell>
          <cell r="E488" t="str">
            <v>西南总部</v>
          </cell>
          <cell r="F488" t="str">
            <v>西南营销中心</v>
          </cell>
          <cell r="G488" t="str">
            <v>营业一部</v>
          </cell>
          <cell r="H488" t="str">
            <v>张圣梁</v>
          </cell>
          <cell r="I488" t="str">
            <v>三星销售顾问</v>
          </cell>
        </row>
        <row r="489">
          <cell r="A489" t="str">
            <v>石军</v>
          </cell>
          <cell r="B489" t="str">
            <v>01234</v>
          </cell>
          <cell r="C489" t="str">
            <v>四川时代蜂族营销策划有限公司</v>
          </cell>
          <cell r="D489">
            <v>45646</v>
          </cell>
          <cell r="E489" t="str">
            <v>西南总部</v>
          </cell>
          <cell r="F489" t="str">
            <v>西南营销中心</v>
          </cell>
          <cell r="G489" t="str">
            <v>营业六部</v>
          </cell>
          <cell r="H489" t="str">
            <v>袁华</v>
          </cell>
          <cell r="I489" t="str">
            <v>三星销售顾问</v>
          </cell>
        </row>
        <row r="490">
          <cell r="A490" t="str">
            <v>郑栋财</v>
          </cell>
          <cell r="B490" t="str">
            <v>01236</v>
          </cell>
          <cell r="C490" t="str">
            <v>山西时代蜂族房地产经纪有限公司</v>
          </cell>
          <cell r="D490">
            <v>45645</v>
          </cell>
          <cell r="E490" t="str">
            <v>山西</v>
          </cell>
          <cell r="F490" t="str">
            <v>山西拓展部</v>
          </cell>
        </row>
        <row r="490">
          <cell r="I490" t="str">
            <v>一星拓展专员</v>
          </cell>
        </row>
        <row r="491">
          <cell r="A491" t="str">
            <v>邓闻雯</v>
          </cell>
          <cell r="B491" t="str">
            <v>01228</v>
          </cell>
          <cell r="C491" t="str">
            <v>山东时代蜂族营销策划有限公司</v>
          </cell>
          <cell r="D491">
            <v>45642</v>
          </cell>
          <cell r="E491" t="str">
            <v>山东</v>
          </cell>
          <cell r="F491" t="str">
            <v>山东营销中心</v>
          </cell>
          <cell r="G491" t="str">
            <v>山东销售部</v>
          </cell>
          <cell r="H491" t="str">
            <v>苏晓青</v>
          </cell>
          <cell r="I491" t="str">
            <v>三星销售顾问</v>
          </cell>
        </row>
        <row r="492">
          <cell r="A492" t="str">
            <v>蒋明娥</v>
          </cell>
          <cell r="B492" t="str">
            <v>01231</v>
          </cell>
          <cell r="C492" t="str">
            <v>四川时代蜂族营销策划有限公司</v>
          </cell>
          <cell r="D492">
            <v>45641</v>
          </cell>
          <cell r="E492" t="str">
            <v>西南总部</v>
          </cell>
          <cell r="F492" t="str">
            <v>西南营销中心</v>
          </cell>
          <cell r="G492" t="str">
            <v>营业四部</v>
          </cell>
          <cell r="H492" t="str">
            <v>陈帅</v>
          </cell>
          <cell r="I492" t="str">
            <v>三星销售顾问</v>
          </cell>
        </row>
        <row r="493">
          <cell r="A493" t="str">
            <v>陈蜀玥</v>
          </cell>
          <cell r="B493" t="str">
            <v>01232</v>
          </cell>
          <cell r="C493" t="str">
            <v>四川时代蜂族营销策划有限公司</v>
          </cell>
          <cell r="D493">
            <v>45639</v>
          </cell>
          <cell r="E493" t="str">
            <v>西南总部</v>
          </cell>
          <cell r="F493" t="str">
            <v>西南营销中心</v>
          </cell>
          <cell r="G493" t="str">
            <v>营业二部</v>
          </cell>
          <cell r="H493" t="str">
            <v>黄磊</v>
          </cell>
          <cell r="I493" t="str">
            <v>三星销售顾问</v>
          </cell>
        </row>
        <row r="494">
          <cell r="A494" t="str">
            <v>何迎欣</v>
          </cell>
          <cell r="B494" t="str">
            <v>01230</v>
          </cell>
          <cell r="C494" t="str">
            <v>四川时代蜂族营销策划有限公司</v>
          </cell>
          <cell r="D494">
            <v>45639</v>
          </cell>
          <cell r="E494" t="str">
            <v>集团职能</v>
          </cell>
          <cell r="F494" t="str">
            <v>职能总部</v>
          </cell>
          <cell r="G494" t="str">
            <v>财务部</v>
          </cell>
        </row>
        <row r="494">
          <cell r="I494" t="str">
            <v>财务助理</v>
          </cell>
        </row>
        <row r="495">
          <cell r="A495" t="str">
            <v>卢新山</v>
          </cell>
          <cell r="B495" t="str">
            <v>01220</v>
          </cell>
          <cell r="C495" t="str">
            <v>湖北蜜蜂族房地产经纪有限公司</v>
          </cell>
          <cell r="D495">
            <v>45638</v>
          </cell>
          <cell r="E495" t="str">
            <v>湖北</v>
          </cell>
          <cell r="F495" t="str">
            <v>湖北营销中心</v>
          </cell>
          <cell r="G495" t="str">
            <v>湖北1部</v>
          </cell>
          <cell r="H495" t="str">
            <v>骆志红</v>
          </cell>
          <cell r="I495" t="str">
            <v>三星销售顾问</v>
          </cell>
        </row>
        <row r="496">
          <cell r="A496" t="str">
            <v>胡月</v>
          </cell>
          <cell r="B496" t="str">
            <v>01218</v>
          </cell>
          <cell r="C496" t="str">
            <v>四川时代蜂族营销策划有限公司</v>
          </cell>
          <cell r="D496">
            <v>45637</v>
          </cell>
          <cell r="E496" t="str">
            <v>集团职能</v>
          </cell>
          <cell r="F496" t="str">
            <v>职能总部</v>
          </cell>
          <cell r="G496" t="str">
            <v>财务部</v>
          </cell>
        </row>
        <row r="496">
          <cell r="I496" t="str">
            <v>出纳</v>
          </cell>
        </row>
        <row r="497">
          <cell r="A497" t="str">
            <v>玖伶俐</v>
          </cell>
          <cell r="B497" t="str">
            <v>01217</v>
          </cell>
          <cell r="C497" t="str">
            <v>四川时代蜂族营销策划有限公司</v>
          </cell>
          <cell r="D497">
            <v>45634</v>
          </cell>
          <cell r="E497" t="str">
            <v>河南</v>
          </cell>
          <cell r="F497" t="str">
            <v>河南营销中心</v>
          </cell>
          <cell r="G497" t="str">
            <v>河南销售部</v>
          </cell>
          <cell r="H497" t="str">
            <v>周吉双河南</v>
          </cell>
          <cell r="I497" t="str">
            <v>三星销售顾问</v>
          </cell>
        </row>
        <row r="498">
          <cell r="A498" t="str">
            <v>辜洪</v>
          </cell>
          <cell r="B498" t="str">
            <v>01208</v>
          </cell>
          <cell r="C498" t="str">
            <v>四川时代蜂族营销策划有限公司</v>
          </cell>
          <cell r="D498">
            <v>45630</v>
          </cell>
          <cell r="E498" t="str">
            <v>西南总部</v>
          </cell>
          <cell r="F498" t="str">
            <v>西南营销中心</v>
          </cell>
          <cell r="G498" t="str">
            <v>营业六部</v>
          </cell>
          <cell r="H498" t="str">
            <v>韩颖</v>
          </cell>
          <cell r="I498" t="str">
            <v>二星销售顾问</v>
          </cell>
        </row>
        <row r="499">
          <cell r="A499" t="str">
            <v>曾朝伟</v>
          </cell>
          <cell r="B499" t="str">
            <v>01216</v>
          </cell>
          <cell r="C499" t="str">
            <v>陕西蜂族科技有限公司</v>
          </cell>
          <cell r="D499">
            <v>45630</v>
          </cell>
          <cell r="E499" t="str">
            <v>陕西</v>
          </cell>
          <cell r="F499" t="str">
            <v>陕西营销中心</v>
          </cell>
          <cell r="G499" t="str">
            <v>陕西1部</v>
          </cell>
          <cell r="H499" t="str">
            <v>李丝丝</v>
          </cell>
          <cell r="I499" t="str">
            <v>一星销售顾问</v>
          </cell>
        </row>
        <row r="500">
          <cell r="A500" t="str">
            <v>邛莫毛干干</v>
          </cell>
          <cell r="B500" t="str">
            <v>01207</v>
          </cell>
          <cell r="C500" t="str">
            <v>四川时代蜂族营销策划有限公司</v>
          </cell>
          <cell r="D500">
            <v>45629</v>
          </cell>
          <cell r="E500" t="str">
            <v>西南总部</v>
          </cell>
          <cell r="F500" t="str">
            <v>西南营销中心</v>
          </cell>
          <cell r="G500" t="str">
            <v>营业一部</v>
          </cell>
          <cell r="H500" t="str">
            <v>雷小金</v>
          </cell>
          <cell r="I500" t="str">
            <v>三星销售顾问</v>
          </cell>
        </row>
        <row r="501">
          <cell r="A501" t="str">
            <v>陈静2</v>
          </cell>
          <cell r="B501" t="str">
            <v>01204</v>
          </cell>
          <cell r="C501" t="str">
            <v>山东时代蜂族营销策划有限公司</v>
          </cell>
          <cell r="D501">
            <v>45628</v>
          </cell>
          <cell r="E501" t="str">
            <v>山东</v>
          </cell>
          <cell r="F501" t="str">
            <v>山东营销中心</v>
          </cell>
          <cell r="G501" t="str">
            <v>山东销售部</v>
          </cell>
          <cell r="H501" t="str">
            <v>冯洁</v>
          </cell>
          <cell r="I501" t="str">
            <v>二星销售顾问</v>
          </cell>
        </row>
        <row r="502">
          <cell r="A502" t="str">
            <v>徐超</v>
          </cell>
          <cell r="B502" t="str">
            <v>01203</v>
          </cell>
          <cell r="C502" t="str">
            <v>四川时代蜂族营销策划有限公司</v>
          </cell>
          <cell r="D502">
            <v>45627</v>
          </cell>
          <cell r="E502" t="str">
            <v>河南</v>
          </cell>
          <cell r="F502" t="str">
            <v>河南拓展部</v>
          </cell>
        </row>
        <row r="502">
          <cell r="I502" t="str">
            <v>一星拓展专员</v>
          </cell>
        </row>
        <row r="503">
          <cell r="A503" t="str">
            <v>唐远成</v>
          </cell>
          <cell r="B503" t="str">
            <v>01468</v>
          </cell>
          <cell r="C503" t="str">
            <v>四川时代蜂族营销策划有限公司</v>
          </cell>
          <cell r="D503">
            <v>45627</v>
          </cell>
          <cell r="E503" t="str">
            <v>集团职能</v>
          </cell>
          <cell r="F503" t="str">
            <v>职能总部</v>
          </cell>
          <cell r="G503" t="str">
            <v>残疾人</v>
          </cell>
        </row>
        <row r="503">
          <cell r="I503" t="str">
            <v>残疾人</v>
          </cell>
        </row>
        <row r="504">
          <cell r="A504" t="str">
            <v>易成俊</v>
          </cell>
          <cell r="B504" t="str">
            <v>01201</v>
          </cell>
          <cell r="C504" t="str">
            <v>四川时代蜂族营销策划有限公司</v>
          </cell>
          <cell r="D504">
            <v>45626</v>
          </cell>
          <cell r="E504" t="str">
            <v>西南总部</v>
          </cell>
          <cell r="F504" t="str">
            <v>西南营销中心</v>
          </cell>
          <cell r="G504" t="str">
            <v>营业二部</v>
          </cell>
          <cell r="H504" t="str">
            <v>文鹏羽</v>
          </cell>
          <cell r="I504" t="str">
            <v>二星销售顾问</v>
          </cell>
        </row>
        <row r="505">
          <cell r="A505" t="str">
            <v>熊梅</v>
          </cell>
          <cell r="B505" t="str">
            <v>01200</v>
          </cell>
          <cell r="C505" t="str">
            <v>湖北蜜蜂族房地产经纪有限公司</v>
          </cell>
          <cell r="D505">
            <v>45625</v>
          </cell>
          <cell r="E505" t="str">
            <v>湖北</v>
          </cell>
          <cell r="F505" t="str">
            <v>湖北营销中心</v>
          </cell>
          <cell r="G505" t="str">
            <v>湖北2部</v>
          </cell>
          <cell r="H505" t="str">
            <v>赵国富</v>
          </cell>
          <cell r="I505" t="str">
            <v>二星销售顾问</v>
          </cell>
        </row>
        <row r="506">
          <cell r="A506" t="str">
            <v>杨溢鑫</v>
          </cell>
          <cell r="B506" t="str">
            <v>01199</v>
          </cell>
          <cell r="C506" t="str">
            <v>四川时代蜂族营销策划有限公司</v>
          </cell>
          <cell r="D506">
            <v>45625</v>
          </cell>
          <cell r="E506" t="str">
            <v>西南总部</v>
          </cell>
          <cell r="F506" t="str">
            <v>西南拓展中心</v>
          </cell>
          <cell r="G506" t="str">
            <v>川南</v>
          </cell>
        </row>
        <row r="506">
          <cell r="I506" t="str">
            <v>一星拓展专员</v>
          </cell>
        </row>
        <row r="507">
          <cell r="A507" t="str">
            <v>路娟娟</v>
          </cell>
          <cell r="B507" t="str">
            <v>01197</v>
          </cell>
          <cell r="C507" t="str">
            <v>陕西蜂族科技有限公司</v>
          </cell>
          <cell r="D507">
            <v>45624</v>
          </cell>
          <cell r="E507" t="str">
            <v>陕西</v>
          </cell>
          <cell r="F507" t="str">
            <v>陕西营销中心</v>
          </cell>
          <cell r="G507" t="str">
            <v>陕西2部</v>
          </cell>
          <cell r="H507" t="str">
            <v>冀敏</v>
          </cell>
          <cell r="I507" t="str">
            <v>三星销售顾问</v>
          </cell>
        </row>
        <row r="508">
          <cell r="A508" t="str">
            <v>刘溢</v>
          </cell>
          <cell r="B508" t="str">
            <v>01198</v>
          </cell>
          <cell r="C508" t="str">
            <v>四川时代蜂族营销策划有限公司</v>
          </cell>
          <cell r="D508">
            <v>45624</v>
          </cell>
          <cell r="E508" t="str">
            <v>西南总部</v>
          </cell>
          <cell r="F508" t="str">
            <v>西南营销中心</v>
          </cell>
          <cell r="G508" t="str">
            <v>营业七部</v>
          </cell>
          <cell r="H508" t="str">
            <v>申慧</v>
          </cell>
          <cell r="I508" t="str">
            <v>三星销售顾问</v>
          </cell>
        </row>
        <row r="509">
          <cell r="A509" t="str">
            <v>张欢</v>
          </cell>
          <cell r="B509" t="str">
            <v>01194</v>
          </cell>
          <cell r="C509" t="str">
            <v>四川时代蜂族营销策划有限公司</v>
          </cell>
          <cell r="D509">
            <v>45616</v>
          </cell>
          <cell r="E509" t="str">
            <v>西南总部</v>
          </cell>
          <cell r="F509" t="str">
            <v>西南营销中心</v>
          </cell>
          <cell r="G509" t="str">
            <v>营业六部</v>
          </cell>
          <cell r="H509" t="str">
            <v>党虹</v>
          </cell>
          <cell r="I509" t="str">
            <v>B岗经理</v>
          </cell>
        </row>
        <row r="510">
          <cell r="A510" t="str">
            <v>许千禧</v>
          </cell>
          <cell r="B510" t="str">
            <v>01193</v>
          </cell>
          <cell r="C510" t="str">
            <v>四川时代蜂族营销策划有限公司</v>
          </cell>
          <cell r="D510">
            <v>45616</v>
          </cell>
          <cell r="E510" t="str">
            <v>西南总部</v>
          </cell>
          <cell r="F510" t="str">
            <v>西南营销中心</v>
          </cell>
          <cell r="G510" t="str">
            <v>营业二部</v>
          </cell>
          <cell r="H510" t="str">
            <v>黄磊</v>
          </cell>
          <cell r="I510" t="str">
            <v>二星销售顾问</v>
          </cell>
        </row>
        <row r="511">
          <cell r="A511" t="str">
            <v>罗瑶</v>
          </cell>
          <cell r="B511" t="str">
            <v>01190</v>
          </cell>
          <cell r="C511" t="str">
            <v>山东时代蜂族营销策划有限公司</v>
          </cell>
          <cell r="D511">
            <v>45616</v>
          </cell>
          <cell r="E511" t="str">
            <v>山东</v>
          </cell>
          <cell r="F511" t="str">
            <v>山东营销中心</v>
          </cell>
          <cell r="G511" t="str">
            <v>山东销售部</v>
          </cell>
          <cell r="H511" t="str">
            <v>赵文涛</v>
          </cell>
          <cell r="I511" t="str">
            <v>三星销售顾问</v>
          </cell>
        </row>
        <row r="512">
          <cell r="A512" t="str">
            <v>吴康达</v>
          </cell>
          <cell r="B512" t="str">
            <v>01187</v>
          </cell>
          <cell r="C512" t="str">
            <v>湖北蜜蜂族房地产经纪有限公司</v>
          </cell>
          <cell r="D512">
            <v>45615</v>
          </cell>
          <cell r="E512" t="str">
            <v>湖北</v>
          </cell>
          <cell r="F512" t="str">
            <v>湖北营销中心</v>
          </cell>
          <cell r="G512" t="str">
            <v>湖北1部</v>
          </cell>
          <cell r="H512" t="str">
            <v>秦娅玲</v>
          </cell>
          <cell r="I512" t="str">
            <v>二星销售顾问</v>
          </cell>
        </row>
        <row r="513">
          <cell r="A513" t="str">
            <v>李志恒</v>
          </cell>
          <cell r="B513" t="str">
            <v>01186</v>
          </cell>
          <cell r="C513" t="str">
            <v>湖北蜜蜂族房地产经纪有限公司</v>
          </cell>
          <cell r="D513">
            <v>45614</v>
          </cell>
          <cell r="E513" t="str">
            <v>湖北</v>
          </cell>
          <cell r="F513" t="str">
            <v>湖北拓展部</v>
          </cell>
        </row>
        <row r="513">
          <cell r="I513" t="str">
            <v>一星拓展专员</v>
          </cell>
        </row>
        <row r="514">
          <cell r="A514" t="str">
            <v>白世根</v>
          </cell>
          <cell r="B514" t="str">
            <v>01185</v>
          </cell>
          <cell r="C514" t="str">
            <v>四川时代蜂族营销策划有限公司</v>
          </cell>
          <cell r="D514">
            <v>45613</v>
          </cell>
          <cell r="E514" t="str">
            <v>西南总部</v>
          </cell>
          <cell r="F514" t="str">
            <v>西南营销中心</v>
          </cell>
          <cell r="G514" t="str">
            <v>营业一部</v>
          </cell>
        </row>
        <row r="514">
          <cell r="I514" t="str">
            <v>一星实习经理</v>
          </cell>
        </row>
        <row r="515">
          <cell r="A515" t="str">
            <v>李树银</v>
          </cell>
          <cell r="B515" t="str">
            <v>01182</v>
          </cell>
          <cell r="C515" t="str">
            <v>山东时代蜂族营销策划有限公司</v>
          </cell>
          <cell r="D515">
            <v>45612</v>
          </cell>
          <cell r="E515" t="str">
            <v>山东</v>
          </cell>
          <cell r="F515" t="str">
            <v>山东拓展部</v>
          </cell>
        </row>
        <row r="515">
          <cell r="I515" t="str">
            <v>实习拓展</v>
          </cell>
        </row>
        <row r="516">
          <cell r="A516" t="str">
            <v>刘宗洋</v>
          </cell>
          <cell r="B516" t="str">
            <v>01183</v>
          </cell>
          <cell r="C516" t="str">
            <v>湖北蜜蜂族房地产经纪有限公司</v>
          </cell>
          <cell r="D516">
            <v>45612</v>
          </cell>
          <cell r="E516" t="str">
            <v>湖北</v>
          </cell>
          <cell r="F516" t="str">
            <v>湖北营销中心</v>
          </cell>
          <cell r="G516" t="str">
            <v>湖北2部</v>
          </cell>
          <cell r="H516" t="str">
            <v>赵国富</v>
          </cell>
          <cell r="I516" t="str">
            <v>三星销售顾问</v>
          </cell>
        </row>
        <row r="517">
          <cell r="A517" t="str">
            <v>甘梓云</v>
          </cell>
          <cell r="B517" t="str">
            <v>01179</v>
          </cell>
          <cell r="C517" t="str">
            <v>四川金巴牛网络科技有限公司</v>
          </cell>
          <cell r="D517">
            <v>45611</v>
          </cell>
          <cell r="E517" t="str">
            <v>集团职能</v>
          </cell>
          <cell r="F517" t="str">
            <v>职能总部</v>
          </cell>
          <cell r="G517" t="str">
            <v>技术部</v>
          </cell>
        </row>
        <row r="517">
          <cell r="I517" t="str">
            <v>前端工程师</v>
          </cell>
        </row>
        <row r="518">
          <cell r="A518" t="str">
            <v>汪鑫海</v>
          </cell>
          <cell r="B518" t="str">
            <v>01180</v>
          </cell>
          <cell r="C518" t="str">
            <v>四川时代蜂族营销策划有限公司</v>
          </cell>
          <cell r="D518">
            <v>45611</v>
          </cell>
          <cell r="E518" t="str">
            <v>西南总部</v>
          </cell>
          <cell r="F518" t="str">
            <v>西南营销中心</v>
          </cell>
          <cell r="G518" t="str">
            <v>营业七部</v>
          </cell>
          <cell r="H518" t="str">
            <v>袁小龙</v>
          </cell>
          <cell r="I518" t="str">
            <v>一星销售顾问</v>
          </cell>
        </row>
        <row r="519">
          <cell r="A519" t="str">
            <v>姚志科</v>
          </cell>
          <cell r="B519" t="str">
            <v>01176</v>
          </cell>
          <cell r="C519" t="str">
            <v>四川时代蜂族营销策划有限公司</v>
          </cell>
          <cell r="D519">
            <v>45611</v>
          </cell>
          <cell r="E519" t="str">
            <v>西南总部</v>
          </cell>
          <cell r="F519" t="str">
            <v>西南营销中心</v>
          </cell>
          <cell r="G519" t="str">
            <v>营业四部</v>
          </cell>
          <cell r="H519" t="str">
            <v>陈嘉文</v>
          </cell>
          <cell r="I519" t="str">
            <v>三星销售顾问</v>
          </cell>
        </row>
        <row r="520">
          <cell r="A520" t="str">
            <v>郑海龙</v>
          </cell>
          <cell r="B520" t="str">
            <v>01173</v>
          </cell>
          <cell r="C520" t="str">
            <v>湖北蜜蜂族房地产经纪有限公司</v>
          </cell>
          <cell r="D520">
            <v>45609</v>
          </cell>
          <cell r="E520" t="str">
            <v>湖北</v>
          </cell>
          <cell r="F520" t="str">
            <v>湖北营销中心</v>
          </cell>
          <cell r="G520" t="str">
            <v>湖北2部</v>
          </cell>
          <cell r="H520" t="str">
            <v>吴明银</v>
          </cell>
          <cell r="I520" t="str">
            <v>三星销售顾问</v>
          </cell>
        </row>
        <row r="521">
          <cell r="A521" t="str">
            <v>成泽</v>
          </cell>
          <cell r="B521" t="str">
            <v>01171</v>
          </cell>
          <cell r="C521" t="str">
            <v>兰州时代蜂族营销策划有限公司</v>
          </cell>
          <cell r="D521">
            <v>45609</v>
          </cell>
          <cell r="E521" t="str">
            <v>甘肃</v>
          </cell>
          <cell r="F521" t="str">
            <v>甘肃拓展部</v>
          </cell>
        </row>
        <row r="521">
          <cell r="I521" t="str">
            <v>一星拓展专员</v>
          </cell>
        </row>
        <row r="522">
          <cell r="A522" t="str">
            <v>张萍</v>
          </cell>
          <cell r="B522" t="str">
            <v>01166</v>
          </cell>
          <cell r="C522" t="str">
            <v>四川时代蜂族营销策划有限公司</v>
          </cell>
          <cell r="D522">
            <v>45604</v>
          </cell>
          <cell r="E522" t="str">
            <v>河南</v>
          </cell>
          <cell r="F522" t="str">
            <v>河南营销中心</v>
          </cell>
          <cell r="G522" t="str">
            <v>河南销售部</v>
          </cell>
        </row>
        <row r="522">
          <cell r="I522" t="str">
            <v>一星实习经理</v>
          </cell>
        </row>
        <row r="523">
          <cell r="A523" t="str">
            <v>王佳玉</v>
          </cell>
          <cell r="B523" t="str">
            <v>01167</v>
          </cell>
          <cell r="C523" t="str">
            <v>四川时代蜂族营销策划有限公司</v>
          </cell>
          <cell r="D523">
            <v>45604</v>
          </cell>
          <cell r="E523" t="str">
            <v>集团职能</v>
          </cell>
          <cell r="F523" t="str">
            <v>职能总部</v>
          </cell>
          <cell r="G523" t="str">
            <v>策划部</v>
          </cell>
        </row>
        <row r="523">
          <cell r="I523" t="str">
            <v>法务专员</v>
          </cell>
        </row>
        <row r="524">
          <cell r="A524" t="str">
            <v>骆世洪</v>
          </cell>
          <cell r="B524" t="str">
            <v>01161</v>
          </cell>
          <cell r="C524" t="str">
            <v>四川时代蜂族营销策划有限公司</v>
          </cell>
          <cell r="D524">
            <v>45603</v>
          </cell>
          <cell r="E524" t="str">
            <v>西南总部</v>
          </cell>
          <cell r="F524" t="str">
            <v>西南营销中心</v>
          </cell>
          <cell r="G524" t="str">
            <v>营业一部</v>
          </cell>
          <cell r="H524" t="str">
            <v>朱家艳</v>
          </cell>
          <cell r="I524" t="str">
            <v>三星销售顾问</v>
          </cell>
        </row>
        <row r="525">
          <cell r="A525" t="str">
            <v>李莎莎</v>
          </cell>
          <cell r="B525" t="str">
            <v>01165</v>
          </cell>
          <cell r="C525" t="str">
            <v>四川时代蜂族营销策划有限公司</v>
          </cell>
          <cell r="D525">
            <v>45603</v>
          </cell>
          <cell r="E525" t="str">
            <v>西南总部</v>
          </cell>
          <cell r="F525" t="str">
            <v>西南营销中心</v>
          </cell>
          <cell r="G525" t="str">
            <v>营业三部</v>
          </cell>
          <cell r="H525" t="str">
            <v>郑景慕</v>
          </cell>
          <cell r="I525" t="str">
            <v>三星销售顾问</v>
          </cell>
        </row>
        <row r="526">
          <cell r="A526" t="str">
            <v>全苗苗</v>
          </cell>
          <cell r="B526" t="str">
            <v>01159</v>
          </cell>
          <cell r="C526" t="str">
            <v>陕西蜂族科技有限公司</v>
          </cell>
          <cell r="D526">
            <v>45603</v>
          </cell>
          <cell r="E526" t="str">
            <v>陕西</v>
          </cell>
          <cell r="F526" t="str">
            <v>陕西营销中心</v>
          </cell>
          <cell r="G526" t="str">
            <v>陕西1部</v>
          </cell>
          <cell r="H526" t="str">
            <v>朱露颖</v>
          </cell>
          <cell r="I526" t="str">
            <v>三星销售顾问</v>
          </cell>
        </row>
        <row r="527">
          <cell r="A527" t="str">
            <v>何飞</v>
          </cell>
          <cell r="B527" t="str">
            <v>01158</v>
          </cell>
          <cell r="C527" t="str">
            <v>陕西蜂族科技有限公司</v>
          </cell>
          <cell r="D527">
            <v>45602</v>
          </cell>
          <cell r="E527" t="str">
            <v>陕西</v>
          </cell>
          <cell r="F527" t="str">
            <v>陕西营销中心</v>
          </cell>
          <cell r="G527" t="str">
            <v>陕西1部</v>
          </cell>
          <cell r="H527" t="str">
            <v>杨永梅</v>
          </cell>
          <cell r="I527" t="str">
            <v>三星销售顾问</v>
          </cell>
        </row>
        <row r="528">
          <cell r="A528" t="str">
            <v>陈思</v>
          </cell>
          <cell r="B528" t="str">
            <v>01156</v>
          </cell>
          <cell r="C528" t="str">
            <v>四川时代蜂族营销策划有限公司</v>
          </cell>
          <cell r="D528">
            <v>45602</v>
          </cell>
          <cell r="E528" t="str">
            <v>集团职能</v>
          </cell>
          <cell r="F528" t="str">
            <v>职能总部</v>
          </cell>
          <cell r="G528" t="str">
            <v>财务部</v>
          </cell>
        </row>
        <row r="528">
          <cell r="I528" t="str">
            <v>会计</v>
          </cell>
        </row>
        <row r="529">
          <cell r="A529" t="str">
            <v>赖文杰</v>
          </cell>
          <cell r="B529" t="str">
            <v>01153</v>
          </cell>
          <cell r="C529" t="str">
            <v>山东时代蜂族营销策划有限公司</v>
          </cell>
          <cell r="D529">
            <v>45601</v>
          </cell>
          <cell r="E529" t="str">
            <v>山东</v>
          </cell>
          <cell r="F529" t="str">
            <v>山东拓展部</v>
          </cell>
        </row>
        <row r="529">
          <cell r="I529" t="str">
            <v>二星拓展专员</v>
          </cell>
        </row>
        <row r="530">
          <cell r="A530" t="str">
            <v>陈金生</v>
          </cell>
          <cell r="B530" t="str">
            <v>01154</v>
          </cell>
          <cell r="C530" t="str">
            <v>山东时代蜂族营销策划有限公司</v>
          </cell>
          <cell r="D530">
            <v>45600</v>
          </cell>
          <cell r="E530" t="str">
            <v>山东</v>
          </cell>
          <cell r="F530" t="str">
            <v>山东拓展部</v>
          </cell>
        </row>
        <row r="530">
          <cell r="I530" t="str">
            <v>一星拓展专员</v>
          </cell>
        </row>
        <row r="531">
          <cell r="A531" t="str">
            <v>翁碧霞</v>
          </cell>
          <cell r="B531" t="str">
            <v>01151</v>
          </cell>
          <cell r="C531" t="str">
            <v>四川优诺通瑞商贸有限公司</v>
          </cell>
          <cell r="D531">
            <v>45600</v>
          </cell>
          <cell r="E531" t="str">
            <v>集团职能</v>
          </cell>
          <cell r="F531" t="str">
            <v>职能总部</v>
          </cell>
          <cell r="G531" t="str">
            <v>人资行政部</v>
          </cell>
          <cell r="H531" t="str">
            <v>招聘部</v>
          </cell>
          <cell r="I531" t="str">
            <v>招聘专员</v>
          </cell>
        </row>
        <row r="532">
          <cell r="A532" t="str">
            <v>马少波</v>
          </cell>
          <cell r="B532" t="str">
            <v>01148</v>
          </cell>
          <cell r="C532" t="str">
            <v>陕西蜂族科技有限公司</v>
          </cell>
          <cell r="D532">
            <v>45599</v>
          </cell>
          <cell r="E532" t="str">
            <v>陕西</v>
          </cell>
          <cell r="F532" t="str">
            <v>陕西营销中心</v>
          </cell>
          <cell r="G532" t="str">
            <v>陕西1部</v>
          </cell>
        </row>
        <row r="532">
          <cell r="I532" t="str">
            <v>一星实习经理</v>
          </cell>
        </row>
        <row r="533">
          <cell r="A533" t="str">
            <v>闫柏年</v>
          </cell>
          <cell r="B533" t="str">
            <v>01143</v>
          </cell>
          <cell r="C533" t="str">
            <v>湖南时代蜂族营销策划有限公司</v>
          </cell>
          <cell r="D533">
            <v>45598</v>
          </cell>
          <cell r="E533" t="str">
            <v>湖南</v>
          </cell>
          <cell r="F533" t="str">
            <v>湖南营销中心</v>
          </cell>
          <cell r="G533" t="str">
            <v>湖南销售部</v>
          </cell>
        </row>
        <row r="533">
          <cell r="I533" t="str">
            <v>一星实习经理</v>
          </cell>
        </row>
        <row r="534">
          <cell r="A534" t="str">
            <v>唐敏</v>
          </cell>
          <cell r="B534" t="str">
            <v>01145</v>
          </cell>
          <cell r="C534" t="str">
            <v>四川时代蜂族营销策划有限公司</v>
          </cell>
          <cell r="D534">
            <v>45598</v>
          </cell>
          <cell r="E534" t="str">
            <v>西南总部</v>
          </cell>
          <cell r="F534" t="str">
            <v>西南营销中心</v>
          </cell>
          <cell r="G534" t="str">
            <v>营业二部</v>
          </cell>
          <cell r="H534" t="str">
            <v>孙小龙</v>
          </cell>
          <cell r="I534" t="str">
            <v>三星销售顾问</v>
          </cell>
        </row>
        <row r="535">
          <cell r="A535" t="str">
            <v>刘敏</v>
          </cell>
          <cell r="B535" t="str">
            <v>01146</v>
          </cell>
          <cell r="C535" t="str">
            <v>四川时代蜂族营销策划有限公司</v>
          </cell>
          <cell r="D535">
            <v>45598</v>
          </cell>
          <cell r="E535" t="str">
            <v>西南总部</v>
          </cell>
          <cell r="F535" t="str">
            <v>西南营销中心</v>
          </cell>
          <cell r="G535" t="str">
            <v>营业二部</v>
          </cell>
          <cell r="H535" t="str">
            <v>李先洪</v>
          </cell>
          <cell r="I535" t="str">
            <v>三星销售顾问</v>
          </cell>
        </row>
        <row r="536">
          <cell r="A536" t="str">
            <v>孟鹏刚</v>
          </cell>
          <cell r="B536" t="str">
            <v>01142</v>
          </cell>
          <cell r="C536" t="str">
            <v>陕西蜂族科技有限公司</v>
          </cell>
          <cell r="D536">
            <v>45597</v>
          </cell>
          <cell r="E536" t="str">
            <v>陕西</v>
          </cell>
          <cell r="F536" t="str">
            <v>陕西营销中心</v>
          </cell>
          <cell r="G536" t="str">
            <v>陕西1部</v>
          </cell>
          <cell r="H536" t="str">
            <v>朱露颖</v>
          </cell>
          <cell r="I536" t="str">
            <v>二星销售顾问</v>
          </cell>
        </row>
        <row r="537">
          <cell r="A537" t="str">
            <v>牟扬</v>
          </cell>
          <cell r="B537" t="str">
            <v>01139</v>
          </cell>
          <cell r="C537" t="str">
            <v>四川时代蜂族营销策划有限公司</v>
          </cell>
          <cell r="D537">
            <v>45597</v>
          </cell>
          <cell r="E537" t="str">
            <v>西南总部</v>
          </cell>
          <cell r="F537" t="str">
            <v>西南营销中心</v>
          </cell>
          <cell r="G537" t="str">
            <v>营业七部</v>
          </cell>
          <cell r="H537" t="str">
            <v>彭小琴</v>
          </cell>
          <cell r="I537" t="str">
            <v>三星销售顾问</v>
          </cell>
        </row>
        <row r="538">
          <cell r="A538" t="str">
            <v>孙芳</v>
          </cell>
          <cell r="B538" t="str">
            <v>01138</v>
          </cell>
          <cell r="C538" t="str">
            <v>辽宁时代蜂族营销策划有限公司</v>
          </cell>
          <cell r="D538">
            <v>45597</v>
          </cell>
          <cell r="E538" t="str">
            <v>辽宁</v>
          </cell>
          <cell r="F538" t="str">
            <v>辽宁拓展部</v>
          </cell>
        </row>
        <row r="538">
          <cell r="I538" t="str">
            <v>一星拓展专员</v>
          </cell>
        </row>
        <row r="539">
          <cell r="A539" t="str">
            <v>刘欣</v>
          </cell>
          <cell r="B539" t="str">
            <v>01135</v>
          </cell>
          <cell r="C539" t="str">
            <v>四川时代蜂族营销策划有限公司</v>
          </cell>
          <cell r="D539">
            <v>45597</v>
          </cell>
          <cell r="E539" t="str">
            <v>西南总部</v>
          </cell>
          <cell r="F539" t="str">
            <v>西南营销中心</v>
          </cell>
          <cell r="G539" t="str">
            <v>营业六部</v>
          </cell>
          <cell r="H539" t="str">
            <v>贾雪英</v>
          </cell>
          <cell r="I539" t="str">
            <v>三星销售顾问</v>
          </cell>
        </row>
        <row r="540">
          <cell r="A540" t="str">
            <v>李涛2</v>
          </cell>
          <cell r="B540" t="str">
            <v>01134</v>
          </cell>
          <cell r="C540" t="str">
            <v>四川金巴牛网络科技有限公司</v>
          </cell>
          <cell r="D540">
            <v>45596</v>
          </cell>
          <cell r="E540" t="str">
            <v>集团职能</v>
          </cell>
          <cell r="F540" t="str">
            <v>职能总部</v>
          </cell>
          <cell r="G540" t="str">
            <v>技术部</v>
          </cell>
        </row>
        <row r="540">
          <cell r="I540" t="str">
            <v>产品经理</v>
          </cell>
        </row>
        <row r="541">
          <cell r="A541" t="str">
            <v>王晓刚</v>
          </cell>
          <cell r="B541" t="str">
            <v>01133</v>
          </cell>
          <cell r="C541" t="str">
            <v>陕西蜂族科技有限公司</v>
          </cell>
          <cell r="D541">
            <v>45595</v>
          </cell>
          <cell r="E541" t="str">
            <v>陕西</v>
          </cell>
          <cell r="F541" t="str">
            <v>陕西营销中心</v>
          </cell>
          <cell r="G541" t="str">
            <v>陕西2部</v>
          </cell>
        </row>
        <row r="541">
          <cell r="I541" t="str">
            <v>一星实习经理</v>
          </cell>
        </row>
        <row r="542">
          <cell r="A542" t="str">
            <v>付波</v>
          </cell>
          <cell r="B542" t="str">
            <v>01132</v>
          </cell>
          <cell r="C542" t="str">
            <v>湖北蜜蜂族房地产经纪有限公司</v>
          </cell>
          <cell r="D542">
            <v>45594</v>
          </cell>
          <cell r="E542" t="str">
            <v>湖北</v>
          </cell>
          <cell r="F542" t="str">
            <v>湖北营销中心</v>
          </cell>
          <cell r="G542" t="str">
            <v>湖北2部</v>
          </cell>
          <cell r="H542" t="str">
            <v>马超</v>
          </cell>
          <cell r="I542" t="str">
            <v>三星销售顾问</v>
          </cell>
        </row>
        <row r="543">
          <cell r="A543" t="str">
            <v>卢宝元</v>
          </cell>
          <cell r="B543" t="str">
            <v>01129</v>
          </cell>
          <cell r="C543" t="str">
            <v>湖北蜜蜂族房地产经纪有限公司</v>
          </cell>
          <cell r="D543">
            <v>45593</v>
          </cell>
          <cell r="E543" t="str">
            <v>湖北</v>
          </cell>
          <cell r="F543" t="str">
            <v>湖北营销中心</v>
          </cell>
          <cell r="G543" t="str">
            <v>湖北2部</v>
          </cell>
          <cell r="H543" t="str">
            <v>陈晓辉</v>
          </cell>
          <cell r="I543" t="str">
            <v>三星销售顾问</v>
          </cell>
        </row>
        <row r="544">
          <cell r="A544" t="str">
            <v>谢莉莎</v>
          </cell>
          <cell r="B544" t="str">
            <v>01128</v>
          </cell>
          <cell r="C544" t="str">
            <v>山西时代蜂族房地产经纪有限公司</v>
          </cell>
          <cell r="D544">
            <v>45593</v>
          </cell>
          <cell r="E544" t="str">
            <v>山西</v>
          </cell>
          <cell r="F544" t="str">
            <v>山西拓展部</v>
          </cell>
        </row>
        <row r="544">
          <cell r="I544" t="str">
            <v>实习拓展</v>
          </cell>
        </row>
        <row r="545">
          <cell r="A545" t="str">
            <v>任富胜</v>
          </cell>
          <cell r="B545" t="str">
            <v>01130</v>
          </cell>
          <cell r="C545" t="str">
            <v>陕西蜂族科技有限公司</v>
          </cell>
          <cell r="D545">
            <v>45593</v>
          </cell>
          <cell r="E545" t="str">
            <v>陕西</v>
          </cell>
          <cell r="F545" t="str">
            <v>陕西拓展部</v>
          </cell>
          <cell r="G545" t="str">
            <v>陕西2区</v>
          </cell>
        </row>
        <row r="545">
          <cell r="I545" t="str">
            <v>一星拓展专员</v>
          </cell>
        </row>
        <row r="546">
          <cell r="A546" t="str">
            <v>李蓓</v>
          </cell>
          <cell r="B546" t="str">
            <v>01127</v>
          </cell>
          <cell r="C546" t="str">
            <v>湖北蜜蜂族房地产经纪有限公司</v>
          </cell>
          <cell r="D546">
            <v>45593</v>
          </cell>
          <cell r="E546" t="str">
            <v>湖北</v>
          </cell>
          <cell r="F546" t="str">
            <v>湖北营销中心</v>
          </cell>
          <cell r="G546" t="str">
            <v>湖北2部</v>
          </cell>
          <cell r="H546" t="str">
            <v>赵国富</v>
          </cell>
          <cell r="I546" t="str">
            <v>三星销售顾问</v>
          </cell>
        </row>
        <row r="547">
          <cell r="A547" t="str">
            <v>吕涛</v>
          </cell>
          <cell r="B547" t="str">
            <v>01124</v>
          </cell>
          <cell r="C547" t="str">
            <v>四川时代蜂族营销策划有限公司</v>
          </cell>
          <cell r="D547">
            <v>45590</v>
          </cell>
          <cell r="E547" t="str">
            <v>河南</v>
          </cell>
          <cell r="F547" t="str">
            <v>河南营销中心</v>
          </cell>
          <cell r="G547" t="str">
            <v>河南销售部</v>
          </cell>
        </row>
        <row r="547">
          <cell r="I547" t="str">
            <v>一星实习经理</v>
          </cell>
        </row>
        <row r="548">
          <cell r="A548" t="str">
            <v>王磊</v>
          </cell>
          <cell r="B548" t="str">
            <v>01121</v>
          </cell>
          <cell r="C548" t="str">
            <v>陕西蜂族科技有限公司</v>
          </cell>
          <cell r="D548">
            <v>45590</v>
          </cell>
          <cell r="E548" t="str">
            <v>陕西</v>
          </cell>
          <cell r="F548" t="str">
            <v>陕西营销中心</v>
          </cell>
          <cell r="G548" t="str">
            <v>陕西1部</v>
          </cell>
          <cell r="H548" t="str">
            <v>孙宇</v>
          </cell>
          <cell r="I548" t="str">
            <v>三星销售顾问</v>
          </cell>
        </row>
        <row r="549">
          <cell r="A549" t="str">
            <v>高旭</v>
          </cell>
          <cell r="B549" t="str">
            <v>01119</v>
          </cell>
          <cell r="C549" t="str">
            <v>四川时代蜂族营销策划有限公司</v>
          </cell>
          <cell r="D549">
            <v>45589</v>
          </cell>
          <cell r="E549" t="str">
            <v>西南总部</v>
          </cell>
          <cell r="F549" t="str">
            <v>西南营销中心</v>
          </cell>
          <cell r="G549" t="str">
            <v>营业五部</v>
          </cell>
          <cell r="H549" t="str">
            <v>叶鑫</v>
          </cell>
          <cell r="I549" t="str">
            <v>三星销售顾问</v>
          </cell>
        </row>
        <row r="550">
          <cell r="A550" t="str">
            <v>雷小平</v>
          </cell>
          <cell r="B550" t="str">
            <v>01115</v>
          </cell>
          <cell r="C550" t="str">
            <v>四川时代蜂族营销策划有限公司</v>
          </cell>
          <cell r="D550">
            <v>45588</v>
          </cell>
          <cell r="E550" t="str">
            <v>集团职能</v>
          </cell>
          <cell r="F550" t="str">
            <v>职能营销</v>
          </cell>
          <cell r="G550" t="str">
            <v>督导部</v>
          </cell>
        </row>
        <row r="550">
          <cell r="I550" t="str">
            <v>一星销售政委</v>
          </cell>
        </row>
        <row r="551">
          <cell r="A551" t="str">
            <v>卢思琴</v>
          </cell>
          <cell r="B551" t="str">
            <v>01109</v>
          </cell>
          <cell r="C551" t="str">
            <v>四川大礼连连科技有限公司</v>
          </cell>
          <cell r="D551">
            <v>45587</v>
          </cell>
          <cell r="E551" t="str">
            <v>集团职能</v>
          </cell>
          <cell r="F551" t="str">
            <v>职能总部</v>
          </cell>
          <cell r="G551" t="str">
            <v>人资行政部</v>
          </cell>
          <cell r="H551" t="str">
            <v>招聘部</v>
          </cell>
          <cell r="I551" t="str">
            <v>招聘专员</v>
          </cell>
        </row>
        <row r="552">
          <cell r="A552" t="str">
            <v>胡智锦</v>
          </cell>
          <cell r="B552" t="str">
            <v>01195</v>
          </cell>
          <cell r="C552" t="str">
            <v>湖南时代蜂族营销策划有限公司</v>
          </cell>
          <cell r="D552">
            <v>45587</v>
          </cell>
          <cell r="E552" t="str">
            <v>湖南</v>
          </cell>
          <cell r="F552" t="str">
            <v>湖南拓展部</v>
          </cell>
        </row>
        <row r="552">
          <cell r="I552" t="str">
            <v>一星拓展专员</v>
          </cell>
        </row>
        <row r="553">
          <cell r="A553" t="str">
            <v>牟新月</v>
          </cell>
          <cell r="B553" t="str">
            <v>01103</v>
          </cell>
          <cell r="C553" t="str">
            <v>四川优诺通瑞商贸有限公司</v>
          </cell>
          <cell r="D553">
            <v>45586</v>
          </cell>
          <cell r="E553" t="str">
            <v>集团职能</v>
          </cell>
          <cell r="F553" t="str">
            <v>职能总部</v>
          </cell>
          <cell r="G553" t="str">
            <v>外呼中心</v>
          </cell>
        </row>
        <row r="553">
          <cell r="I553" t="str">
            <v>调研专员</v>
          </cell>
        </row>
        <row r="554">
          <cell r="A554" t="str">
            <v>寇唐云楠</v>
          </cell>
          <cell r="B554" t="str">
            <v>01102</v>
          </cell>
          <cell r="C554" t="str">
            <v>四川优诺通瑞商贸有限公司</v>
          </cell>
          <cell r="D554">
            <v>45586</v>
          </cell>
          <cell r="E554" t="str">
            <v>集团职能</v>
          </cell>
          <cell r="F554" t="str">
            <v>职能总部</v>
          </cell>
          <cell r="G554" t="str">
            <v>外呼中心</v>
          </cell>
        </row>
        <row r="554">
          <cell r="I554" t="str">
            <v>调研专员</v>
          </cell>
        </row>
        <row r="555">
          <cell r="A555" t="str">
            <v>罗宁2</v>
          </cell>
          <cell r="B555" t="str">
            <v>01105</v>
          </cell>
          <cell r="C555" t="str">
            <v>四川时代蜂族营销策划有限公司</v>
          </cell>
          <cell r="D555">
            <v>45586</v>
          </cell>
          <cell r="E555" t="str">
            <v>西南总部</v>
          </cell>
          <cell r="F555" t="str">
            <v>西南营销中心</v>
          </cell>
          <cell r="G555" t="str">
            <v>营业二部</v>
          </cell>
          <cell r="H555" t="str">
            <v>魏飞翔</v>
          </cell>
          <cell r="I555" t="str">
            <v>三星销售顾问</v>
          </cell>
        </row>
        <row r="556">
          <cell r="A556" t="str">
            <v>应小军</v>
          </cell>
          <cell r="B556" t="str">
            <v>01106</v>
          </cell>
          <cell r="C556" t="str">
            <v>陕西蜂族科技有限公司</v>
          </cell>
          <cell r="D556">
            <v>45586</v>
          </cell>
          <cell r="E556" t="str">
            <v>陕西</v>
          </cell>
          <cell r="F556" t="str">
            <v>陕西营销中心</v>
          </cell>
          <cell r="G556" t="str">
            <v>陕西2部</v>
          </cell>
          <cell r="H556" t="str">
            <v>蒙建</v>
          </cell>
          <cell r="I556" t="str">
            <v>三星销售顾问</v>
          </cell>
        </row>
        <row r="557">
          <cell r="A557" t="str">
            <v>谢沁霜</v>
          </cell>
          <cell r="B557" t="str">
            <v>01099</v>
          </cell>
          <cell r="C557" t="str">
            <v>四川时代蜂族营销策划有限公司</v>
          </cell>
          <cell r="D557">
            <v>45583</v>
          </cell>
          <cell r="E557" t="str">
            <v>西南总部</v>
          </cell>
          <cell r="F557" t="str">
            <v>西南营销中心</v>
          </cell>
          <cell r="G557" t="str">
            <v>营业七部</v>
          </cell>
        </row>
        <row r="557">
          <cell r="I557" t="str">
            <v>一星实习经理</v>
          </cell>
        </row>
        <row r="558">
          <cell r="A558" t="str">
            <v>赵京玉</v>
          </cell>
          <cell r="B558" t="str">
            <v>01098</v>
          </cell>
          <cell r="C558" t="str">
            <v>陕西蜂族科技有限公司</v>
          </cell>
          <cell r="D558">
            <v>45583</v>
          </cell>
          <cell r="E558" t="str">
            <v>陕西</v>
          </cell>
          <cell r="F558" t="str">
            <v>陕西营销中心</v>
          </cell>
          <cell r="G558" t="str">
            <v>陕西1部</v>
          </cell>
          <cell r="H558" t="str">
            <v>李丝丝</v>
          </cell>
          <cell r="I558" t="str">
            <v>二星销售顾问</v>
          </cell>
        </row>
        <row r="559">
          <cell r="A559" t="str">
            <v>何彦宏</v>
          </cell>
          <cell r="B559" t="str">
            <v>01100</v>
          </cell>
          <cell r="C559" t="str">
            <v>四川优诺通瑞商贸有限公司</v>
          </cell>
          <cell r="D559">
            <v>45583</v>
          </cell>
          <cell r="E559" t="str">
            <v>集团职能</v>
          </cell>
          <cell r="F559" t="str">
            <v>职能总部</v>
          </cell>
          <cell r="G559" t="str">
            <v>外呼中心</v>
          </cell>
        </row>
        <row r="559">
          <cell r="I559" t="str">
            <v>调研专员</v>
          </cell>
        </row>
        <row r="560">
          <cell r="A560" t="str">
            <v>马玉玲</v>
          </cell>
          <cell r="B560" t="str">
            <v>01093</v>
          </cell>
          <cell r="C560" t="str">
            <v>四川时代蜂族营销策划有限公司</v>
          </cell>
          <cell r="D560">
            <v>45582</v>
          </cell>
          <cell r="E560" t="str">
            <v>河北</v>
          </cell>
          <cell r="F560" t="str">
            <v>河北营销中心</v>
          </cell>
          <cell r="G560" t="str">
            <v>河北销售部</v>
          </cell>
          <cell r="H560" t="str">
            <v>韩旭河北</v>
          </cell>
          <cell r="I560" t="str">
            <v>三星销售顾问</v>
          </cell>
        </row>
        <row r="561">
          <cell r="A561" t="str">
            <v>刘谨瑞</v>
          </cell>
          <cell r="B561" t="str">
            <v>01091</v>
          </cell>
          <cell r="C561" t="str">
            <v>山东时代蜂族营销策划有限公司</v>
          </cell>
          <cell r="D561">
            <v>45582</v>
          </cell>
          <cell r="E561" t="str">
            <v>山东</v>
          </cell>
          <cell r="F561" t="str">
            <v>山东营销中心</v>
          </cell>
          <cell r="G561" t="str">
            <v>山东销售部</v>
          </cell>
          <cell r="H561" t="str">
            <v>肖佳</v>
          </cell>
          <cell r="I561" t="str">
            <v>三星销售顾问</v>
          </cell>
        </row>
        <row r="562">
          <cell r="A562" t="str">
            <v>冯光辉</v>
          </cell>
          <cell r="B562" t="str">
            <v>01096</v>
          </cell>
          <cell r="C562" t="str">
            <v>四川时代蜂族营销策划有限公司</v>
          </cell>
          <cell r="D562">
            <v>45582</v>
          </cell>
          <cell r="E562" t="str">
            <v>西南总部</v>
          </cell>
          <cell r="F562" t="str">
            <v>西南营销中心</v>
          </cell>
          <cell r="G562" t="str">
            <v>营业四部</v>
          </cell>
          <cell r="H562" t="str">
            <v>贾萍</v>
          </cell>
          <cell r="I562" t="str">
            <v>三星销售顾问</v>
          </cell>
        </row>
        <row r="563">
          <cell r="A563" t="str">
            <v>黄俊</v>
          </cell>
          <cell r="B563" t="str">
            <v>01092</v>
          </cell>
          <cell r="C563" t="str">
            <v>湖北蜜蜂族房地产经纪有限公司</v>
          </cell>
          <cell r="D563">
            <v>45581</v>
          </cell>
          <cell r="E563" t="str">
            <v>湖北</v>
          </cell>
          <cell r="F563" t="str">
            <v>湖北营销中心</v>
          </cell>
          <cell r="G563" t="str">
            <v>湖北1部</v>
          </cell>
        </row>
        <row r="563">
          <cell r="I563" t="str">
            <v>一星实习经理</v>
          </cell>
        </row>
        <row r="564">
          <cell r="A564" t="str">
            <v>吴清华</v>
          </cell>
          <cell r="B564" t="str">
            <v>01090</v>
          </cell>
          <cell r="C564" t="str">
            <v>山东时代蜂族营销策划有限公司</v>
          </cell>
          <cell r="D564">
            <v>45580</v>
          </cell>
          <cell r="E564" t="str">
            <v>山东</v>
          </cell>
          <cell r="F564" t="str">
            <v>山东拓展部</v>
          </cell>
        </row>
        <row r="564">
          <cell r="I564" t="str">
            <v>实习拓展</v>
          </cell>
        </row>
        <row r="565">
          <cell r="A565" t="str">
            <v>岳文</v>
          </cell>
          <cell r="B565" t="str">
            <v>01088</v>
          </cell>
          <cell r="C565" t="str">
            <v>湖北蜜蜂族房地产经纪有限公司</v>
          </cell>
          <cell r="D565">
            <v>45579</v>
          </cell>
          <cell r="E565" t="str">
            <v>湖北</v>
          </cell>
          <cell r="F565" t="str">
            <v>湖北营销中心</v>
          </cell>
          <cell r="G565" t="str">
            <v>湖北1部</v>
          </cell>
          <cell r="H565" t="str">
            <v>李文</v>
          </cell>
          <cell r="I565" t="str">
            <v>三星销售顾问</v>
          </cell>
        </row>
        <row r="566">
          <cell r="A566" t="str">
            <v>何秋怡</v>
          </cell>
          <cell r="B566" t="str">
            <v>01087</v>
          </cell>
          <cell r="C566" t="str">
            <v>四川时代蜂族营销策划有限公司</v>
          </cell>
          <cell r="D566">
            <v>45579</v>
          </cell>
          <cell r="E566" t="str">
            <v>西南总部</v>
          </cell>
          <cell r="F566" t="str">
            <v>西南营销中心</v>
          </cell>
          <cell r="G566" t="str">
            <v>营业五部</v>
          </cell>
          <cell r="H566" t="str">
            <v>叶鑫</v>
          </cell>
          <cell r="I566" t="str">
            <v>三星销售顾问</v>
          </cell>
        </row>
        <row r="567">
          <cell r="A567" t="str">
            <v>余星海</v>
          </cell>
          <cell r="B567" t="str">
            <v>01085</v>
          </cell>
          <cell r="C567" t="str">
            <v>湖北蜜蜂族房地产经纪有限公司</v>
          </cell>
          <cell r="D567">
            <v>45579</v>
          </cell>
          <cell r="E567" t="str">
            <v>湖北</v>
          </cell>
          <cell r="F567" t="str">
            <v>湖北营销中心</v>
          </cell>
          <cell r="G567" t="str">
            <v>湖北1部</v>
          </cell>
          <cell r="H567" t="str">
            <v>阮阳</v>
          </cell>
          <cell r="I567" t="str">
            <v>三星销售顾问</v>
          </cell>
        </row>
        <row r="568">
          <cell r="A568" t="str">
            <v>胡建鸳</v>
          </cell>
          <cell r="B568" t="str">
            <v>01086</v>
          </cell>
          <cell r="C568" t="str">
            <v>四川优诺通瑞商贸有限公司</v>
          </cell>
          <cell r="D568">
            <v>45579</v>
          </cell>
          <cell r="E568" t="str">
            <v>集团职能</v>
          </cell>
          <cell r="F568" t="str">
            <v>职能总部</v>
          </cell>
          <cell r="G568" t="str">
            <v>外呼中心</v>
          </cell>
        </row>
        <row r="568">
          <cell r="I568" t="str">
            <v>调研专员</v>
          </cell>
        </row>
        <row r="569">
          <cell r="A569" t="str">
            <v>张丽2</v>
          </cell>
          <cell r="B569" t="str">
            <v>01082</v>
          </cell>
          <cell r="C569" t="str">
            <v>四川时代蜂族营销策划有限公司</v>
          </cell>
          <cell r="D569">
            <v>45577</v>
          </cell>
          <cell r="E569" t="str">
            <v>西南总部</v>
          </cell>
          <cell r="F569" t="str">
            <v>西南营销中心</v>
          </cell>
          <cell r="G569" t="str">
            <v>营业三部</v>
          </cell>
          <cell r="H569" t="str">
            <v>姚瑶</v>
          </cell>
          <cell r="I569" t="str">
            <v>三星销售顾问</v>
          </cell>
        </row>
        <row r="570">
          <cell r="A570" t="str">
            <v>李家鸿</v>
          </cell>
          <cell r="B570" t="str">
            <v>01083</v>
          </cell>
          <cell r="C570" t="str">
            <v>湖北蜜蜂族房地产经纪有限公司</v>
          </cell>
          <cell r="D570">
            <v>45577</v>
          </cell>
          <cell r="E570" t="str">
            <v>湖北</v>
          </cell>
          <cell r="F570" t="str">
            <v>湖北营销中心</v>
          </cell>
          <cell r="G570" t="str">
            <v>湖北1部</v>
          </cell>
          <cell r="H570" t="str">
            <v>阮阳</v>
          </cell>
          <cell r="I570" t="str">
            <v>三星销售顾问</v>
          </cell>
        </row>
        <row r="571">
          <cell r="A571" t="str">
            <v>陈俊儒2</v>
          </cell>
          <cell r="B571" t="str">
            <v>01080</v>
          </cell>
          <cell r="C571" t="str">
            <v>湖南时代蜂族营销策划有限公司</v>
          </cell>
          <cell r="D571">
            <v>45577</v>
          </cell>
          <cell r="E571" t="str">
            <v>湖南</v>
          </cell>
          <cell r="F571" t="str">
            <v>湖南营销中心</v>
          </cell>
          <cell r="G571" t="str">
            <v>湖南销售部</v>
          </cell>
          <cell r="H571" t="str">
            <v>罗敏</v>
          </cell>
          <cell r="I571" t="str">
            <v>三星销售顾问</v>
          </cell>
        </row>
        <row r="572">
          <cell r="A572" t="str">
            <v>廖常玖</v>
          </cell>
          <cell r="B572" t="str">
            <v>01078</v>
          </cell>
          <cell r="C572" t="str">
            <v>山西时代蜂族房地产经纪有限公司</v>
          </cell>
          <cell r="D572">
            <v>45577</v>
          </cell>
          <cell r="E572" t="str">
            <v>山西</v>
          </cell>
          <cell r="F572" t="str">
            <v>山西营销中心</v>
          </cell>
          <cell r="G572" t="str">
            <v>山西销售部</v>
          </cell>
          <cell r="H572" t="str">
            <v>艾林山西</v>
          </cell>
          <cell r="I572" t="str">
            <v>三星销售顾问</v>
          </cell>
        </row>
        <row r="573">
          <cell r="A573" t="str">
            <v>王力平</v>
          </cell>
          <cell r="B573" t="str">
            <v>01077</v>
          </cell>
          <cell r="C573" t="str">
            <v>山西时代蜂族房地产经纪有限公司</v>
          </cell>
          <cell r="D573">
            <v>45576</v>
          </cell>
          <cell r="E573" t="str">
            <v>山西</v>
          </cell>
          <cell r="F573" t="str">
            <v>山西营销中心</v>
          </cell>
          <cell r="G573" t="str">
            <v>山西销售部</v>
          </cell>
          <cell r="H573" t="str">
            <v>艾林山西</v>
          </cell>
          <cell r="I573" t="str">
            <v>三星销售顾问</v>
          </cell>
        </row>
        <row r="574">
          <cell r="A574" t="str">
            <v>周青天</v>
          </cell>
          <cell r="B574" t="str">
            <v>00630</v>
          </cell>
          <cell r="C574" t="str">
            <v>湖南时代蜂族营销策划有限公司</v>
          </cell>
          <cell r="D574">
            <v>45575</v>
          </cell>
          <cell r="E574" t="str">
            <v>湖南</v>
          </cell>
          <cell r="F574" t="str">
            <v>湖南拓展部</v>
          </cell>
        </row>
        <row r="574">
          <cell r="I574" t="str">
            <v>实习拓展</v>
          </cell>
        </row>
        <row r="575">
          <cell r="A575" t="str">
            <v>周建</v>
          </cell>
          <cell r="B575" t="str">
            <v>01073</v>
          </cell>
          <cell r="C575" t="str">
            <v>山东时代蜂族营销策划有限公司</v>
          </cell>
          <cell r="D575">
            <v>45569</v>
          </cell>
          <cell r="E575" t="str">
            <v>山东</v>
          </cell>
          <cell r="F575" t="str">
            <v>山东营销中心</v>
          </cell>
          <cell r="G575" t="str">
            <v>山东销售部</v>
          </cell>
          <cell r="H575" t="str">
            <v>苏晓青</v>
          </cell>
          <cell r="I575" t="str">
            <v>三星销售顾问</v>
          </cell>
        </row>
        <row r="576">
          <cell r="A576" t="str">
            <v>易香君</v>
          </cell>
          <cell r="B576" t="str">
            <v>01070</v>
          </cell>
          <cell r="C576" t="str">
            <v>山东时代蜂族营销策划有限公司</v>
          </cell>
          <cell r="D576">
            <v>45565</v>
          </cell>
          <cell r="E576" t="str">
            <v>山东</v>
          </cell>
          <cell r="F576" t="str">
            <v>山东营销中心</v>
          </cell>
          <cell r="G576" t="str">
            <v>山东销售部</v>
          </cell>
          <cell r="H576" t="str">
            <v>王杰</v>
          </cell>
          <cell r="I576" t="str">
            <v>二星销售顾问</v>
          </cell>
        </row>
        <row r="577">
          <cell r="A577" t="str">
            <v>尹稳</v>
          </cell>
          <cell r="B577" t="str">
            <v>01068</v>
          </cell>
          <cell r="C577" t="str">
            <v>四川时代蜂族营销策划有限公司</v>
          </cell>
          <cell r="D577">
            <v>45562</v>
          </cell>
          <cell r="E577" t="str">
            <v>西南总部</v>
          </cell>
          <cell r="F577" t="str">
            <v>西南营销中心</v>
          </cell>
          <cell r="G577" t="str">
            <v>营业五部</v>
          </cell>
        </row>
        <row r="577">
          <cell r="I577" t="str">
            <v>一星实习经理</v>
          </cell>
        </row>
        <row r="578">
          <cell r="A578" t="str">
            <v>胡强</v>
          </cell>
          <cell r="B578" t="str">
            <v>01067</v>
          </cell>
          <cell r="C578" t="str">
            <v>山西时代蜂族房地产经纪有限公司</v>
          </cell>
          <cell r="D578">
            <v>45562</v>
          </cell>
          <cell r="E578" t="str">
            <v>山西</v>
          </cell>
          <cell r="F578" t="str">
            <v>山西营销中心</v>
          </cell>
          <cell r="G578" t="str">
            <v>山西销售部</v>
          </cell>
          <cell r="H578" t="str">
            <v>刘辉</v>
          </cell>
          <cell r="I578" t="str">
            <v>二星销售顾问</v>
          </cell>
        </row>
        <row r="579">
          <cell r="A579" t="str">
            <v>江皓</v>
          </cell>
          <cell r="B579" t="str">
            <v>01065</v>
          </cell>
          <cell r="C579" t="str">
            <v>湖南时代蜂族营销策划有限公司</v>
          </cell>
          <cell r="D579">
            <v>45561</v>
          </cell>
          <cell r="E579" t="str">
            <v>湖南</v>
          </cell>
          <cell r="F579" t="str">
            <v>湖南拓展部</v>
          </cell>
        </row>
        <row r="579">
          <cell r="I579" t="str">
            <v>一星拓展专员</v>
          </cell>
        </row>
        <row r="580">
          <cell r="A580" t="str">
            <v>王华兴</v>
          </cell>
          <cell r="B580" t="str">
            <v>01066</v>
          </cell>
          <cell r="C580" t="str">
            <v>四川时代蜂族营销策划有限公司</v>
          </cell>
          <cell r="D580">
            <v>45561</v>
          </cell>
          <cell r="E580" t="str">
            <v>西南总部</v>
          </cell>
          <cell r="F580" t="str">
            <v>西南营销中心</v>
          </cell>
          <cell r="G580" t="str">
            <v>营业七部</v>
          </cell>
          <cell r="H580" t="str">
            <v>张家涛</v>
          </cell>
          <cell r="I580" t="str">
            <v>三星销售顾问</v>
          </cell>
        </row>
        <row r="581">
          <cell r="A581" t="str">
            <v>冯玉霞</v>
          </cell>
          <cell r="B581" t="str">
            <v>01062</v>
          </cell>
          <cell r="C581" t="str">
            <v>四川时代蜂族营销策划有限公司</v>
          </cell>
          <cell r="D581">
            <v>45559</v>
          </cell>
          <cell r="E581" t="str">
            <v>集团职能</v>
          </cell>
          <cell r="F581" t="str">
            <v>职能总部</v>
          </cell>
          <cell r="G581" t="str">
            <v>财务部</v>
          </cell>
        </row>
        <row r="581">
          <cell r="I581" t="str">
            <v>初级会计</v>
          </cell>
        </row>
        <row r="582">
          <cell r="A582" t="str">
            <v>李小琴</v>
          </cell>
          <cell r="B582" t="str">
            <v>00613</v>
          </cell>
          <cell r="C582" t="str">
            <v>四川时代蜂族营销策划有限公司</v>
          </cell>
          <cell r="D582">
            <v>45556</v>
          </cell>
          <cell r="E582" t="str">
            <v>河北</v>
          </cell>
          <cell r="F582" t="str">
            <v>河北拓展部</v>
          </cell>
        </row>
        <row r="582">
          <cell r="I582" t="str">
            <v>一星拓展专员</v>
          </cell>
        </row>
        <row r="583">
          <cell r="A583" t="str">
            <v>谭琴</v>
          </cell>
          <cell r="B583" t="str">
            <v>01053</v>
          </cell>
          <cell r="C583" t="str">
            <v>四川大礼连连科技有限公司</v>
          </cell>
          <cell r="D583">
            <v>45553</v>
          </cell>
          <cell r="E583" t="str">
            <v>集团职能</v>
          </cell>
          <cell r="F583" t="str">
            <v>职能总部</v>
          </cell>
          <cell r="G583" t="str">
            <v>人资行政部</v>
          </cell>
          <cell r="H583" t="str">
            <v>招聘部</v>
          </cell>
          <cell r="I583" t="str">
            <v>招聘专员</v>
          </cell>
        </row>
        <row r="584">
          <cell r="A584" t="str">
            <v>李欣然</v>
          </cell>
          <cell r="B584" t="str">
            <v>01050</v>
          </cell>
          <cell r="C584" t="str">
            <v>河北时代蜂族营销策划有限公司</v>
          </cell>
          <cell r="D584">
            <v>45548</v>
          </cell>
          <cell r="E584" t="str">
            <v>河北</v>
          </cell>
          <cell r="F584" t="str">
            <v>河北营销中心</v>
          </cell>
          <cell r="G584" t="str">
            <v>河北销售部</v>
          </cell>
          <cell r="H584" t="str">
            <v>李港一</v>
          </cell>
          <cell r="I584" t="str">
            <v>三星销售顾问</v>
          </cell>
        </row>
        <row r="585">
          <cell r="A585" t="str">
            <v>张圣梁</v>
          </cell>
          <cell r="B585" t="str">
            <v>01047</v>
          </cell>
          <cell r="C585" t="str">
            <v>四川时代蜂族营销策划有限公司</v>
          </cell>
          <cell r="D585">
            <v>45545</v>
          </cell>
          <cell r="E585" t="str">
            <v>西南总部</v>
          </cell>
          <cell r="F585" t="str">
            <v>西南营销中心</v>
          </cell>
          <cell r="G585" t="str">
            <v>营业一部</v>
          </cell>
        </row>
        <row r="585">
          <cell r="I585" t="str">
            <v>一星实习经理</v>
          </cell>
        </row>
        <row r="586">
          <cell r="A586" t="str">
            <v>马发平</v>
          </cell>
          <cell r="B586" t="str">
            <v>01046</v>
          </cell>
          <cell r="C586" t="str">
            <v>四川时代蜂族营销策划有限公司</v>
          </cell>
          <cell r="D586">
            <v>45539</v>
          </cell>
          <cell r="E586" t="str">
            <v>山西</v>
          </cell>
          <cell r="F586" t="str">
            <v>山西营销中心</v>
          </cell>
          <cell r="G586" t="str">
            <v>山西销售部</v>
          </cell>
          <cell r="H586" t="str">
            <v>彭停山西</v>
          </cell>
          <cell r="I586" t="str">
            <v>三星销售顾问</v>
          </cell>
        </row>
        <row r="587">
          <cell r="A587" t="str">
            <v>袁廷蛟</v>
          </cell>
          <cell r="B587" t="str">
            <v>01045</v>
          </cell>
          <cell r="C587" t="str">
            <v>四川时代蜂族营销策划有限公司</v>
          </cell>
          <cell r="D587">
            <v>45538</v>
          </cell>
          <cell r="E587" t="str">
            <v>西南总部</v>
          </cell>
          <cell r="F587" t="str">
            <v>西南营销中心</v>
          </cell>
          <cell r="G587" t="str">
            <v>营业二部</v>
          </cell>
          <cell r="H587" t="str">
            <v>杨芊</v>
          </cell>
          <cell r="I587" t="str">
            <v>三星销售顾问</v>
          </cell>
        </row>
        <row r="588">
          <cell r="A588" t="str">
            <v>罗征</v>
          </cell>
          <cell r="B588" t="str">
            <v>01044</v>
          </cell>
          <cell r="C588" t="str">
            <v>四川时代蜂族营销策划有限公司</v>
          </cell>
          <cell r="D588">
            <v>45538</v>
          </cell>
          <cell r="E588" t="str">
            <v>西南总部</v>
          </cell>
          <cell r="F588" t="str">
            <v>西南营销中心</v>
          </cell>
          <cell r="G588" t="str">
            <v>营业四部</v>
          </cell>
          <cell r="H588" t="str">
            <v>刘亮</v>
          </cell>
          <cell r="I588" t="str">
            <v>三星销售顾问</v>
          </cell>
        </row>
        <row r="589">
          <cell r="A589" t="str">
            <v>龙峻杰</v>
          </cell>
          <cell r="B589" t="str">
            <v>01043</v>
          </cell>
          <cell r="C589" t="str">
            <v>四川蜂起营销策划有限公司</v>
          </cell>
          <cell r="D589">
            <v>45537</v>
          </cell>
          <cell r="E589" t="str">
            <v>集团职能</v>
          </cell>
          <cell r="F589" t="str">
            <v>职能营销</v>
          </cell>
          <cell r="G589" t="str">
            <v>设计部</v>
          </cell>
        </row>
        <row r="589">
          <cell r="I589" t="str">
            <v>设计专员</v>
          </cell>
        </row>
        <row r="590">
          <cell r="A590" t="str">
            <v>罗津俞</v>
          </cell>
          <cell r="B590" t="str">
            <v>01042</v>
          </cell>
          <cell r="C590" t="str">
            <v>四川时代蜂族营销策划有限公司</v>
          </cell>
          <cell r="D590">
            <v>45536</v>
          </cell>
          <cell r="E590" t="str">
            <v>集团职能</v>
          </cell>
          <cell r="F590" t="str">
            <v>职能总部</v>
          </cell>
          <cell r="G590" t="str">
            <v>外呼中心</v>
          </cell>
        </row>
        <row r="590">
          <cell r="I590" t="str">
            <v>外呼主管</v>
          </cell>
        </row>
        <row r="591">
          <cell r="A591" t="str">
            <v>刘丽萍</v>
          </cell>
          <cell r="B591" t="str">
            <v>01040</v>
          </cell>
          <cell r="C591" t="str">
            <v>四川时代蜂族营销策划有限公司</v>
          </cell>
          <cell r="D591">
            <v>45535</v>
          </cell>
          <cell r="E591" t="str">
            <v>西南总部</v>
          </cell>
          <cell r="F591" t="str">
            <v>西南营销中心</v>
          </cell>
          <cell r="G591" t="str">
            <v>营业三部</v>
          </cell>
          <cell r="H591" t="str">
            <v>曾竞超</v>
          </cell>
          <cell r="I591" t="str">
            <v>二星销售顾问</v>
          </cell>
        </row>
        <row r="592">
          <cell r="A592" t="str">
            <v>李鑫3</v>
          </cell>
          <cell r="B592" t="str">
            <v>01029</v>
          </cell>
          <cell r="C592" t="str">
            <v>四川金巴牛网络科技有限公司</v>
          </cell>
          <cell r="D592">
            <v>45530</v>
          </cell>
          <cell r="E592" t="str">
            <v>集团职能</v>
          </cell>
          <cell r="F592" t="str">
            <v>职能总部</v>
          </cell>
          <cell r="G592" t="str">
            <v>技术部</v>
          </cell>
        </row>
        <row r="592">
          <cell r="I592" t="str">
            <v>测试工程师</v>
          </cell>
        </row>
        <row r="593">
          <cell r="A593" t="str">
            <v>贾春燕</v>
          </cell>
          <cell r="B593" t="str">
            <v>01031</v>
          </cell>
          <cell r="C593" t="str">
            <v>四川时代蜂族营销策划有限公司</v>
          </cell>
          <cell r="D593">
            <v>45530</v>
          </cell>
          <cell r="E593" t="str">
            <v>集团职能</v>
          </cell>
          <cell r="F593" t="str">
            <v>职能总部</v>
          </cell>
          <cell r="G593" t="str">
            <v>人资行政部</v>
          </cell>
        </row>
        <row r="593">
          <cell r="I593" t="str">
            <v>薪酬主管</v>
          </cell>
        </row>
        <row r="594">
          <cell r="A594" t="str">
            <v>蒲建宇</v>
          </cell>
          <cell r="B594" t="str">
            <v>01028</v>
          </cell>
          <cell r="C594" t="str">
            <v>山东时代蜂族营销策划有限公司</v>
          </cell>
          <cell r="D594">
            <v>45529</v>
          </cell>
          <cell r="E594" t="str">
            <v>山东</v>
          </cell>
          <cell r="F594" t="str">
            <v>山东营销中心</v>
          </cell>
          <cell r="G594" t="str">
            <v>山东销售部</v>
          </cell>
          <cell r="H594" t="str">
            <v>蒲建宇山东</v>
          </cell>
          <cell r="I594" t="str">
            <v>一星实习经理</v>
          </cell>
        </row>
        <row r="595">
          <cell r="A595" t="str">
            <v>陈竺</v>
          </cell>
          <cell r="B595" t="str">
            <v>01019</v>
          </cell>
          <cell r="C595" t="str">
            <v>湖北蜜蜂族房地产经纪有限公司</v>
          </cell>
          <cell r="D595">
            <v>45526</v>
          </cell>
          <cell r="E595" t="str">
            <v>湖北</v>
          </cell>
          <cell r="F595" t="str">
            <v>湖北营销中心</v>
          </cell>
          <cell r="G595" t="str">
            <v>湖北2部</v>
          </cell>
        </row>
        <row r="595">
          <cell r="I595" t="str">
            <v>一星实习经理</v>
          </cell>
        </row>
        <row r="596">
          <cell r="A596" t="str">
            <v>张黎明</v>
          </cell>
          <cell r="B596" t="str">
            <v>01018</v>
          </cell>
          <cell r="C596" t="str">
            <v>四川时代蜂族营销策划有限公司</v>
          </cell>
          <cell r="D596">
            <v>45525</v>
          </cell>
          <cell r="E596" t="str">
            <v>西南总部</v>
          </cell>
          <cell r="F596" t="str">
            <v>西南营销中心</v>
          </cell>
          <cell r="G596" t="str">
            <v>营业一部</v>
          </cell>
          <cell r="H596" t="str">
            <v>唐浪波</v>
          </cell>
          <cell r="I596" t="str">
            <v>一星销售顾问</v>
          </cell>
        </row>
        <row r="597">
          <cell r="A597" t="str">
            <v>苏佳倩</v>
          </cell>
          <cell r="B597" t="str">
            <v>01016</v>
          </cell>
          <cell r="C597" t="str">
            <v>陕西蜂族科技有限公司</v>
          </cell>
          <cell r="D597">
            <v>45523</v>
          </cell>
          <cell r="E597" t="str">
            <v>陕西</v>
          </cell>
          <cell r="F597" t="str">
            <v>陕西营销中心</v>
          </cell>
          <cell r="G597" t="str">
            <v>陕西2部</v>
          </cell>
          <cell r="H597" t="str">
            <v>冀敏</v>
          </cell>
          <cell r="I597" t="str">
            <v>二星销售顾问</v>
          </cell>
        </row>
        <row r="598">
          <cell r="A598" t="str">
            <v>曾祥忠</v>
          </cell>
          <cell r="B598" t="str">
            <v>01010</v>
          </cell>
          <cell r="C598" t="str">
            <v>陕西蜂族科技有限公司</v>
          </cell>
          <cell r="D598">
            <v>45521</v>
          </cell>
          <cell r="E598" t="str">
            <v>陕西</v>
          </cell>
          <cell r="F598" t="str">
            <v>陕西营销中心</v>
          </cell>
          <cell r="G598" t="str">
            <v>陕西1部</v>
          </cell>
          <cell r="H598" t="str">
            <v>张英</v>
          </cell>
          <cell r="I598" t="str">
            <v>三星销售顾问</v>
          </cell>
        </row>
        <row r="599">
          <cell r="A599" t="str">
            <v>郭平</v>
          </cell>
          <cell r="B599" t="str">
            <v>01009</v>
          </cell>
          <cell r="C599" t="str">
            <v>四川时代蜂族营销策划有限公司</v>
          </cell>
          <cell r="D599">
            <v>45520</v>
          </cell>
          <cell r="E599" t="str">
            <v>西南总部</v>
          </cell>
          <cell r="F599" t="str">
            <v>西南营销中心</v>
          </cell>
          <cell r="G599" t="str">
            <v>营业五部</v>
          </cell>
          <cell r="H599" t="str">
            <v>叶鑫</v>
          </cell>
          <cell r="I599" t="str">
            <v>三星销售顾问</v>
          </cell>
        </row>
        <row r="600">
          <cell r="A600" t="str">
            <v>万硕佳</v>
          </cell>
          <cell r="B600" t="str">
            <v>01004</v>
          </cell>
          <cell r="C600" t="str">
            <v>四川时代蜂族营销策划有限公司</v>
          </cell>
          <cell r="D600">
            <v>45516</v>
          </cell>
          <cell r="E600" t="str">
            <v>集团职能</v>
          </cell>
          <cell r="F600" t="str">
            <v>职能总部</v>
          </cell>
          <cell r="G600" t="str">
            <v>财务部</v>
          </cell>
        </row>
        <row r="600">
          <cell r="I600" t="str">
            <v>财务助理</v>
          </cell>
        </row>
        <row r="601">
          <cell r="A601" t="str">
            <v>泡里来们</v>
          </cell>
          <cell r="B601" t="str">
            <v>01005</v>
          </cell>
          <cell r="C601" t="str">
            <v>四川时代蜂族营销策划有限公司</v>
          </cell>
          <cell r="D601">
            <v>45516</v>
          </cell>
          <cell r="E601" t="str">
            <v>西南总部</v>
          </cell>
          <cell r="F601" t="str">
            <v>西南营销中心</v>
          </cell>
          <cell r="G601" t="str">
            <v>营业四部</v>
          </cell>
          <cell r="H601" t="str">
            <v>刘亮</v>
          </cell>
          <cell r="I601" t="str">
            <v>三星销售顾问</v>
          </cell>
        </row>
        <row r="602">
          <cell r="A602" t="str">
            <v>申慧</v>
          </cell>
          <cell r="B602" t="str">
            <v>01003</v>
          </cell>
          <cell r="C602" t="str">
            <v>四川时代蜂族营销策划有限公司</v>
          </cell>
          <cell r="D602">
            <v>45515</v>
          </cell>
          <cell r="E602" t="str">
            <v>西南总部</v>
          </cell>
          <cell r="F602" t="str">
            <v>西南营销中心</v>
          </cell>
          <cell r="G602" t="str">
            <v>营业七部</v>
          </cell>
        </row>
        <row r="602">
          <cell r="I602" t="str">
            <v>一星实习经理</v>
          </cell>
        </row>
        <row r="603">
          <cell r="A603" t="str">
            <v>李佳</v>
          </cell>
          <cell r="B603" t="str">
            <v>01002</v>
          </cell>
          <cell r="C603" t="str">
            <v>四川时代蜂族营销策划有限公司</v>
          </cell>
          <cell r="D603">
            <v>45514</v>
          </cell>
          <cell r="E603" t="str">
            <v>西南总部</v>
          </cell>
          <cell r="F603" t="str">
            <v>西南营销中心</v>
          </cell>
          <cell r="G603" t="str">
            <v>营业七部</v>
          </cell>
          <cell r="H603" t="str">
            <v>陈彪</v>
          </cell>
          <cell r="I603" t="str">
            <v>三星销售顾问</v>
          </cell>
        </row>
        <row r="604">
          <cell r="A604" t="str">
            <v>唐维</v>
          </cell>
          <cell r="B604" t="str">
            <v>00998</v>
          </cell>
          <cell r="C604" t="str">
            <v>辽宁时代蜂族营销策划有限公司</v>
          </cell>
          <cell r="D604">
            <v>45511</v>
          </cell>
          <cell r="E604" t="str">
            <v>辽宁</v>
          </cell>
          <cell r="F604" t="str">
            <v>辽宁营销中心</v>
          </cell>
          <cell r="G604" t="str">
            <v>辽宁销售部</v>
          </cell>
          <cell r="H604" t="str">
            <v>赖慧辽宁</v>
          </cell>
          <cell r="I604" t="str">
            <v>三星销售顾问</v>
          </cell>
        </row>
        <row r="605">
          <cell r="A605" t="str">
            <v>张云芳</v>
          </cell>
          <cell r="B605" t="str">
            <v>00988</v>
          </cell>
          <cell r="C605" t="str">
            <v>四川时代蜂族营销策划有限公司</v>
          </cell>
          <cell r="D605">
            <v>45505</v>
          </cell>
          <cell r="E605" t="str">
            <v>西南总部</v>
          </cell>
          <cell r="F605" t="str">
            <v>西南营销中心</v>
          </cell>
          <cell r="G605" t="str">
            <v>营业六部</v>
          </cell>
          <cell r="H605" t="str">
            <v>毛富林</v>
          </cell>
          <cell r="I605" t="str">
            <v>三星销售顾问</v>
          </cell>
        </row>
        <row r="606">
          <cell r="A606" t="str">
            <v>周昕</v>
          </cell>
          <cell r="B606" t="str">
            <v>00991</v>
          </cell>
          <cell r="C606" t="str">
            <v>山西时代蜂族房地产经纪有限公司</v>
          </cell>
          <cell r="D606">
            <v>45505</v>
          </cell>
          <cell r="E606" t="str">
            <v>山西</v>
          </cell>
          <cell r="F606" t="str">
            <v>山西营销中心</v>
          </cell>
          <cell r="G606" t="str">
            <v>山西销售部</v>
          </cell>
          <cell r="H606" t="str">
            <v>刘辉</v>
          </cell>
          <cell r="I606" t="str">
            <v>三星销售顾问</v>
          </cell>
        </row>
        <row r="607">
          <cell r="A607" t="str">
            <v>李洋</v>
          </cell>
          <cell r="B607" t="str">
            <v>00993</v>
          </cell>
          <cell r="C607" t="str">
            <v>山东时代蜂族营销策划有限公司</v>
          </cell>
          <cell r="D607">
            <v>45505</v>
          </cell>
          <cell r="E607" t="str">
            <v>山东</v>
          </cell>
          <cell r="F607" t="str">
            <v>山东营销中心</v>
          </cell>
          <cell r="G607" t="str">
            <v>山东销售部</v>
          </cell>
          <cell r="H607" t="str">
            <v>苏晓青</v>
          </cell>
          <cell r="I607" t="str">
            <v>三星销售顾问</v>
          </cell>
        </row>
        <row r="608">
          <cell r="A608" t="str">
            <v>郭永曼</v>
          </cell>
          <cell r="B608" t="str">
            <v>00984</v>
          </cell>
          <cell r="C608" t="str">
            <v>山西时代蜂族房地产经纪有限公司</v>
          </cell>
          <cell r="D608">
            <v>45502</v>
          </cell>
          <cell r="E608" t="str">
            <v>山西</v>
          </cell>
          <cell r="F608" t="str">
            <v>山西营销中心</v>
          </cell>
          <cell r="G608" t="str">
            <v>山西销售部</v>
          </cell>
        </row>
        <row r="608">
          <cell r="I608" t="str">
            <v>二星实习经理</v>
          </cell>
        </row>
        <row r="609">
          <cell r="A609" t="str">
            <v>赵龙</v>
          </cell>
          <cell r="B609" t="str">
            <v>00996</v>
          </cell>
          <cell r="C609" t="str">
            <v>山西时代蜂族房地产经纪有限公司</v>
          </cell>
          <cell r="D609">
            <v>45502</v>
          </cell>
          <cell r="E609" t="str">
            <v>山西</v>
          </cell>
          <cell r="F609" t="str">
            <v>山西营销中心</v>
          </cell>
          <cell r="G609" t="str">
            <v>山西销售部</v>
          </cell>
          <cell r="H609" t="str">
            <v>刘辉</v>
          </cell>
          <cell r="I609" t="str">
            <v>一星实习经理</v>
          </cell>
        </row>
        <row r="610">
          <cell r="A610" t="str">
            <v>刘聪</v>
          </cell>
          <cell r="B610" t="str">
            <v>00982</v>
          </cell>
          <cell r="C610" t="str">
            <v>陕西蜂族科技有限公司</v>
          </cell>
          <cell r="D610">
            <v>45499</v>
          </cell>
          <cell r="E610" t="str">
            <v>陕西</v>
          </cell>
          <cell r="F610" t="str">
            <v>陕西营销中心</v>
          </cell>
          <cell r="G610" t="str">
            <v>陕西1部</v>
          </cell>
        </row>
        <row r="610">
          <cell r="I610" t="str">
            <v>一星实习经理</v>
          </cell>
        </row>
        <row r="611">
          <cell r="A611" t="str">
            <v>陈政阳</v>
          </cell>
          <cell r="B611" t="str">
            <v>00979</v>
          </cell>
          <cell r="C611" t="str">
            <v>四川时代蜂族营销策划有限公司</v>
          </cell>
          <cell r="D611">
            <v>45497</v>
          </cell>
          <cell r="E611" t="str">
            <v>西南总部</v>
          </cell>
          <cell r="F611" t="str">
            <v>西南营销中心</v>
          </cell>
          <cell r="G611" t="str">
            <v>营业一部</v>
          </cell>
          <cell r="H611" t="str">
            <v>唐浪波</v>
          </cell>
          <cell r="I611" t="str">
            <v>三星销售顾问</v>
          </cell>
        </row>
        <row r="612">
          <cell r="A612" t="str">
            <v>王锦涛</v>
          </cell>
          <cell r="B612" t="str">
            <v>00978</v>
          </cell>
          <cell r="C612" t="str">
            <v>陕西蜂族科技有限公司</v>
          </cell>
          <cell r="D612">
            <v>45496</v>
          </cell>
          <cell r="E612" t="str">
            <v>甘肃</v>
          </cell>
          <cell r="F612" t="str">
            <v>甘肃营销中心</v>
          </cell>
          <cell r="G612" t="str">
            <v>甘肃销售部</v>
          </cell>
          <cell r="H612" t="str">
            <v>王辉甘肃</v>
          </cell>
          <cell r="I612" t="str">
            <v>三星销售顾问</v>
          </cell>
        </row>
        <row r="613">
          <cell r="A613" t="str">
            <v>张亚娟</v>
          </cell>
          <cell r="B613" t="str">
            <v>00975</v>
          </cell>
          <cell r="C613" t="str">
            <v>湖北蜜蜂族房地产经纪有限公司</v>
          </cell>
          <cell r="D613">
            <v>45495</v>
          </cell>
          <cell r="E613" t="str">
            <v>湖北</v>
          </cell>
          <cell r="F613" t="str">
            <v>湖北办公室</v>
          </cell>
        </row>
        <row r="613">
          <cell r="I613" t="str">
            <v>一星销售政委</v>
          </cell>
        </row>
        <row r="614">
          <cell r="A614" t="str">
            <v>杨翠茹</v>
          </cell>
          <cell r="B614" t="str">
            <v>00970</v>
          </cell>
          <cell r="C614" t="str">
            <v>四川时代蜂族营销策划有限公司</v>
          </cell>
          <cell r="D614">
            <v>45491</v>
          </cell>
          <cell r="E614" t="str">
            <v>西南总部</v>
          </cell>
          <cell r="F614" t="str">
            <v>西南营销中心</v>
          </cell>
          <cell r="G614" t="str">
            <v>营业六部</v>
          </cell>
        </row>
        <row r="614">
          <cell r="I614" t="str">
            <v>一星实习经理</v>
          </cell>
        </row>
        <row r="615">
          <cell r="A615" t="str">
            <v>胡建忠</v>
          </cell>
          <cell r="B615" t="str">
            <v>00966</v>
          </cell>
          <cell r="C615" t="str">
            <v>四川时代蜂族营销策划有限公司</v>
          </cell>
          <cell r="D615">
            <v>45485</v>
          </cell>
          <cell r="E615" t="str">
            <v>西南总部</v>
          </cell>
          <cell r="F615" t="str">
            <v>西南营销中心</v>
          </cell>
          <cell r="G615" t="str">
            <v>营业三部</v>
          </cell>
          <cell r="H615" t="str">
            <v>李海艳</v>
          </cell>
          <cell r="I615" t="str">
            <v>三星销售顾问</v>
          </cell>
        </row>
        <row r="616">
          <cell r="A616" t="str">
            <v>王杰</v>
          </cell>
          <cell r="B616" t="str">
            <v>00961</v>
          </cell>
          <cell r="C616" t="str">
            <v>山东时代蜂族营销策划有限公司</v>
          </cell>
          <cell r="D616">
            <v>45482</v>
          </cell>
          <cell r="E616" t="str">
            <v>山东</v>
          </cell>
          <cell r="F616" t="str">
            <v>山东营销中心</v>
          </cell>
          <cell r="G616" t="str">
            <v>山东销售部</v>
          </cell>
        </row>
        <row r="616">
          <cell r="I616" t="str">
            <v>二星实习经理</v>
          </cell>
        </row>
        <row r="617">
          <cell r="A617" t="str">
            <v>古天鹏</v>
          </cell>
          <cell r="B617" t="str">
            <v>00960</v>
          </cell>
          <cell r="C617" t="str">
            <v>四川蜂起营销策划有限公司</v>
          </cell>
          <cell r="D617">
            <v>45481</v>
          </cell>
          <cell r="E617" t="str">
            <v>集团职能</v>
          </cell>
          <cell r="F617" t="str">
            <v>职能总部</v>
          </cell>
          <cell r="G617" t="str">
            <v>策划部</v>
          </cell>
        </row>
        <row r="617">
          <cell r="I617" t="str">
            <v>策划主管</v>
          </cell>
        </row>
        <row r="618">
          <cell r="A618" t="str">
            <v>宋红江</v>
          </cell>
          <cell r="B618" t="str">
            <v>00958</v>
          </cell>
          <cell r="C618" t="str">
            <v>陕西蜂族科技有限公司</v>
          </cell>
          <cell r="D618">
            <v>45480</v>
          </cell>
          <cell r="E618" t="str">
            <v>陕西</v>
          </cell>
          <cell r="F618" t="str">
            <v>陕西营销中心</v>
          </cell>
          <cell r="G618" t="str">
            <v>陕西2部</v>
          </cell>
          <cell r="H618" t="str">
            <v>罗小花</v>
          </cell>
          <cell r="I618" t="str">
            <v>三星销售顾问</v>
          </cell>
        </row>
        <row r="619">
          <cell r="A619" t="str">
            <v>陈超2</v>
          </cell>
          <cell r="B619" t="str">
            <v>00956</v>
          </cell>
          <cell r="C619" t="str">
            <v>四川时代蜂族营销策划有限公司</v>
          </cell>
          <cell r="D619">
            <v>45477</v>
          </cell>
          <cell r="E619" t="str">
            <v>西南总部</v>
          </cell>
          <cell r="F619" t="str">
            <v>西南营销中心</v>
          </cell>
          <cell r="G619" t="str">
            <v>营业六部</v>
          </cell>
          <cell r="H619" t="str">
            <v>党虹</v>
          </cell>
          <cell r="I619" t="str">
            <v>三星销售顾问</v>
          </cell>
        </row>
        <row r="620">
          <cell r="A620" t="str">
            <v>谭东</v>
          </cell>
          <cell r="B620" t="str">
            <v>00955</v>
          </cell>
          <cell r="C620" t="str">
            <v>山西时代蜂族房地产经纪有限公司</v>
          </cell>
          <cell r="D620">
            <v>45477</v>
          </cell>
          <cell r="E620" t="str">
            <v>山西</v>
          </cell>
          <cell r="F620" t="str">
            <v>山西拓展部</v>
          </cell>
        </row>
        <row r="620">
          <cell r="I620" t="str">
            <v>二星拓展专员</v>
          </cell>
        </row>
        <row r="621">
          <cell r="A621" t="str">
            <v>周欣</v>
          </cell>
          <cell r="B621" t="str">
            <v>00954</v>
          </cell>
          <cell r="C621" t="str">
            <v>四川时代蜂族营销策划有限公司</v>
          </cell>
          <cell r="D621">
            <v>45477</v>
          </cell>
          <cell r="E621" t="str">
            <v>河南</v>
          </cell>
          <cell r="F621" t="str">
            <v>河南营销中心</v>
          </cell>
          <cell r="G621" t="str">
            <v>河南销售部</v>
          </cell>
          <cell r="H621" t="str">
            <v>蒋吉勇河南</v>
          </cell>
          <cell r="I621" t="str">
            <v>三星销售顾问</v>
          </cell>
        </row>
        <row r="622">
          <cell r="A622" t="str">
            <v>杨鹏</v>
          </cell>
          <cell r="B622" t="str">
            <v>00950</v>
          </cell>
          <cell r="C622" t="str">
            <v>四川时代蜂族营销策划有限公司</v>
          </cell>
          <cell r="D622">
            <v>45475</v>
          </cell>
          <cell r="E622" t="str">
            <v>西南总部</v>
          </cell>
          <cell r="F622" t="str">
            <v>西南营销中心</v>
          </cell>
          <cell r="G622" t="str">
            <v>营业二部</v>
          </cell>
          <cell r="H622" t="str">
            <v>杨芊</v>
          </cell>
          <cell r="I622" t="str">
            <v>三星销售顾问</v>
          </cell>
        </row>
        <row r="623">
          <cell r="A623" t="str">
            <v>刘礼军</v>
          </cell>
          <cell r="B623" t="str">
            <v>00951</v>
          </cell>
          <cell r="C623" t="str">
            <v>陕西蜂族科技有限公司</v>
          </cell>
          <cell r="D623">
            <v>45475</v>
          </cell>
          <cell r="E623" t="str">
            <v>陕西</v>
          </cell>
          <cell r="F623" t="str">
            <v>陕西营销中心</v>
          </cell>
          <cell r="G623" t="str">
            <v>陕西2部</v>
          </cell>
          <cell r="H623" t="str">
            <v>蒙建</v>
          </cell>
          <cell r="I623" t="str">
            <v>三星销售顾问</v>
          </cell>
        </row>
        <row r="624">
          <cell r="A624" t="str">
            <v>陈薇</v>
          </cell>
          <cell r="B624" t="str">
            <v>00948</v>
          </cell>
          <cell r="C624" t="str">
            <v>河南蜜蜂族营销策划有限公司</v>
          </cell>
          <cell r="D624">
            <v>45474</v>
          </cell>
          <cell r="E624" t="str">
            <v>河南</v>
          </cell>
          <cell r="F624" t="str">
            <v>河南拓展部</v>
          </cell>
        </row>
        <row r="624">
          <cell r="I624" t="str">
            <v>一星拓展专员</v>
          </cell>
        </row>
        <row r="625">
          <cell r="A625" t="str">
            <v>王超2</v>
          </cell>
          <cell r="B625" t="str">
            <v>00945</v>
          </cell>
          <cell r="C625" t="str">
            <v>陕西蜂族科技有限公司</v>
          </cell>
          <cell r="D625">
            <v>45467</v>
          </cell>
          <cell r="E625" t="str">
            <v>陕西</v>
          </cell>
          <cell r="F625" t="str">
            <v>陕西营销中心</v>
          </cell>
          <cell r="G625" t="str">
            <v>陕西1部</v>
          </cell>
          <cell r="H625" t="str">
            <v>邵亮</v>
          </cell>
          <cell r="I625" t="str">
            <v>三星销售顾问</v>
          </cell>
        </row>
        <row r="626">
          <cell r="A626" t="str">
            <v>赵敏</v>
          </cell>
          <cell r="B626" t="str">
            <v>00943</v>
          </cell>
          <cell r="C626" t="str">
            <v>山西时代蜂族房地产经纪有限公司</v>
          </cell>
          <cell r="D626">
            <v>45467</v>
          </cell>
          <cell r="E626" t="str">
            <v>山西</v>
          </cell>
          <cell r="F626" t="str">
            <v>山西营销中心</v>
          </cell>
          <cell r="G626" t="str">
            <v>山西销售部</v>
          </cell>
          <cell r="H626" t="str">
            <v>刘辉</v>
          </cell>
          <cell r="I626" t="str">
            <v>三星销售顾问</v>
          </cell>
        </row>
        <row r="627">
          <cell r="A627" t="str">
            <v>周乐意</v>
          </cell>
          <cell r="B627" t="str">
            <v>00944</v>
          </cell>
          <cell r="C627" t="str">
            <v>四川时代蜂族营销策划有限公司</v>
          </cell>
          <cell r="D627">
            <v>45467</v>
          </cell>
          <cell r="E627" t="str">
            <v>西南总部</v>
          </cell>
          <cell r="F627" t="str">
            <v>西南营销中心</v>
          </cell>
          <cell r="G627" t="str">
            <v>营业四部</v>
          </cell>
          <cell r="H627" t="str">
            <v>刘亮</v>
          </cell>
          <cell r="I627" t="str">
            <v>三星销售顾问</v>
          </cell>
        </row>
        <row r="628">
          <cell r="A628" t="str">
            <v>李悬</v>
          </cell>
          <cell r="B628" t="str">
            <v>00942</v>
          </cell>
          <cell r="C628" t="str">
            <v>山西时代蜂族房地产经纪有限公司</v>
          </cell>
          <cell r="D628">
            <v>45464</v>
          </cell>
          <cell r="E628" t="str">
            <v>山西</v>
          </cell>
          <cell r="F628" t="str">
            <v>山西营销中心</v>
          </cell>
          <cell r="G628" t="str">
            <v>山西销售部</v>
          </cell>
          <cell r="H628" t="str">
            <v>李权益</v>
          </cell>
          <cell r="I628" t="str">
            <v>三星销售顾问</v>
          </cell>
        </row>
        <row r="629">
          <cell r="A629" t="str">
            <v>周敏</v>
          </cell>
          <cell r="B629" t="str">
            <v>00941</v>
          </cell>
          <cell r="C629" t="str">
            <v>成都蓉天城房地产营销策划有限公司</v>
          </cell>
          <cell r="D629">
            <v>45464</v>
          </cell>
          <cell r="E629" t="str">
            <v>集团职能</v>
          </cell>
          <cell r="F629" t="str">
            <v>职能总部</v>
          </cell>
          <cell r="G629" t="str">
            <v>策划部</v>
          </cell>
        </row>
        <row r="629">
          <cell r="I629" t="str">
            <v>投标专员</v>
          </cell>
        </row>
        <row r="630">
          <cell r="A630" t="str">
            <v>郑景慕</v>
          </cell>
          <cell r="B630" t="str">
            <v>00938</v>
          </cell>
          <cell r="C630" t="str">
            <v>四川时代蜂族营销策划有限公司</v>
          </cell>
          <cell r="D630">
            <v>45462</v>
          </cell>
          <cell r="E630" t="str">
            <v>西南总部</v>
          </cell>
          <cell r="F630" t="str">
            <v>西南营销中心</v>
          </cell>
          <cell r="G630" t="str">
            <v>营业三部</v>
          </cell>
        </row>
        <row r="630">
          <cell r="I630" t="str">
            <v>一星实习经理</v>
          </cell>
        </row>
        <row r="631">
          <cell r="A631" t="str">
            <v>郭继伟</v>
          </cell>
          <cell r="B631" t="str">
            <v>00939</v>
          </cell>
          <cell r="C631" t="str">
            <v>陕西蜂族科技有限公司</v>
          </cell>
          <cell r="D631">
            <v>45462</v>
          </cell>
          <cell r="E631" t="str">
            <v>陕西</v>
          </cell>
          <cell r="F631" t="str">
            <v>陕西拓展部</v>
          </cell>
          <cell r="G631" t="str">
            <v>陕西1区</v>
          </cell>
        </row>
        <row r="631">
          <cell r="I631" t="str">
            <v>一星拓展专员</v>
          </cell>
        </row>
        <row r="632">
          <cell r="A632" t="str">
            <v>冯郑</v>
          </cell>
          <cell r="B632" t="str">
            <v>00933</v>
          </cell>
          <cell r="C632" t="str">
            <v>四川时代蜂族营销策划有限公司</v>
          </cell>
          <cell r="D632">
            <v>45448</v>
          </cell>
          <cell r="E632" t="str">
            <v>西南总部</v>
          </cell>
          <cell r="F632" t="str">
            <v>西南营销中心</v>
          </cell>
          <cell r="G632" t="str">
            <v>营业六部</v>
          </cell>
          <cell r="H632" t="str">
            <v>党虹</v>
          </cell>
          <cell r="I632" t="str">
            <v>三星销售顾问</v>
          </cell>
        </row>
        <row r="633">
          <cell r="A633" t="str">
            <v>李晓梅</v>
          </cell>
          <cell r="B633" t="str">
            <v>00929</v>
          </cell>
          <cell r="C633" t="str">
            <v>四川时代蜂族营销策划有限公司</v>
          </cell>
          <cell r="D633">
            <v>45446</v>
          </cell>
          <cell r="E633" t="str">
            <v>西南总部</v>
          </cell>
          <cell r="F633" t="str">
            <v>西南营销中心</v>
          </cell>
          <cell r="G633" t="str">
            <v>营业二部</v>
          </cell>
          <cell r="H633" t="str">
            <v>孙小龙</v>
          </cell>
          <cell r="I633" t="str">
            <v>三星销售顾问</v>
          </cell>
        </row>
        <row r="634">
          <cell r="A634" t="str">
            <v>徐子康</v>
          </cell>
          <cell r="B634" t="str">
            <v>00925</v>
          </cell>
          <cell r="C634" t="str">
            <v>湖南时代蜂族营销策划有限公司</v>
          </cell>
          <cell r="D634">
            <v>45445</v>
          </cell>
          <cell r="E634" t="str">
            <v>湖南</v>
          </cell>
          <cell r="F634" t="str">
            <v>湖南营销中心</v>
          </cell>
          <cell r="G634" t="str">
            <v>湖南销售部</v>
          </cell>
        </row>
        <row r="634">
          <cell r="I634" t="str">
            <v>一星实习经理</v>
          </cell>
        </row>
        <row r="635">
          <cell r="A635" t="str">
            <v>周文</v>
          </cell>
          <cell r="B635" t="str">
            <v>00924</v>
          </cell>
          <cell r="C635" t="str">
            <v>陕西蜂族科技有限公司</v>
          </cell>
          <cell r="D635">
            <v>45444</v>
          </cell>
          <cell r="E635" t="str">
            <v>陕西</v>
          </cell>
          <cell r="F635" t="str">
            <v>陕西营销中心</v>
          </cell>
          <cell r="G635" t="str">
            <v>陕西1部</v>
          </cell>
          <cell r="H635" t="str">
            <v>吕瑞仙</v>
          </cell>
          <cell r="I635" t="str">
            <v>三星销售顾问</v>
          </cell>
        </row>
        <row r="636">
          <cell r="A636" t="str">
            <v>张彬</v>
          </cell>
          <cell r="B636" t="str">
            <v>00923</v>
          </cell>
          <cell r="C636" t="str">
            <v>湖北蜜蜂族房地产经纪有限公司</v>
          </cell>
          <cell r="D636">
            <v>45443</v>
          </cell>
          <cell r="E636" t="str">
            <v>湖北</v>
          </cell>
          <cell r="F636" t="str">
            <v>湖北营销中心</v>
          </cell>
          <cell r="G636" t="str">
            <v>湖北1部</v>
          </cell>
          <cell r="H636" t="str">
            <v>阮阳</v>
          </cell>
          <cell r="I636" t="str">
            <v>三星销售顾问</v>
          </cell>
        </row>
        <row r="637">
          <cell r="A637" t="str">
            <v>冯乙航</v>
          </cell>
          <cell r="B637" t="str">
            <v>00922</v>
          </cell>
          <cell r="C637" t="str">
            <v>四川时代蜂族营销策划有限公司</v>
          </cell>
          <cell r="D637">
            <v>45442</v>
          </cell>
          <cell r="E637" t="str">
            <v>西南总部</v>
          </cell>
          <cell r="F637" t="str">
            <v>西南营销中心</v>
          </cell>
          <cell r="G637" t="str">
            <v>营业六部</v>
          </cell>
          <cell r="H637" t="str">
            <v>党虹</v>
          </cell>
          <cell r="I637" t="str">
            <v>二星销售顾问</v>
          </cell>
        </row>
        <row r="638">
          <cell r="A638" t="str">
            <v>张雨盈</v>
          </cell>
          <cell r="B638" t="str">
            <v>00916</v>
          </cell>
          <cell r="C638" t="str">
            <v>四川大礼连连科技有限公司</v>
          </cell>
          <cell r="D638">
            <v>45436</v>
          </cell>
          <cell r="E638" t="str">
            <v>集团职能</v>
          </cell>
          <cell r="F638" t="str">
            <v>职能总部</v>
          </cell>
          <cell r="G638" t="str">
            <v>人资行政部</v>
          </cell>
        </row>
        <row r="638">
          <cell r="I638" t="str">
            <v>行政采购</v>
          </cell>
        </row>
        <row r="639">
          <cell r="A639" t="str">
            <v>左嘉南</v>
          </cell>
          <cell r="B639" t="str">
            <v>00915</v>
          </cell>
          <cell r="C639" t="str">
            <v>四川时代蜂族营销策划有限公司</v>
          </cell>
          <cell r="D639">
            <v>45435</v>
          </cell>
          <cell r="E639" t="str">
            <v>西南总部</v>
          </cell>
          <cell r="F639" t="str">
            <v>西南营销中心</v>
          </cell>
          <cell r="G639" t="str">
            <v>营业三部</v>
          </cell>
          <cell r="H639" t="str">
            <v>郑景慕</v>
          </cell>
          <cell r="I639" t="str">
            <v>三星销售顾问</v>
          </cell>
        </row>
        <row r="640">
          <cell r="A640" t="str">
            <v>彭小琴</v>
          </cell>
          <cell r="B640" t="str">
            <v>00914</v>
          </cell>
          <cell r="C640" t="str">
            <v>四川时代蜂族营销策划有限公司</v>
          </cell>
          <cell r="D640">
            <v>45435</v>
          </cell>
          <cell r="E640" t="str">
            <v>西南总部</v>
          </cell>
          <cell r="F640" t="str">
            <v>西南营销中心</v>
          </cell>
          <cell r="G640" t="str">
            <v>营业七部</v>
          </cell>
        </row>
        <row r="640">
          <cell r="I640" t="str">
            <v>二星实习经理</v>
          </cell>
        </row>
        <row r="641">
          <cell r="A641" t="str">
            <v>杨芊</v>
          </cell>
          <cell r="B641" t="str">
            <v>00912</v>
          </cell>
          <cell r="C641" t="str">
            <v>四川时代蜂族营销策划有限公司</v>
          </cell>
          <cell r="D641">
            <v>45434</v>
          </cell>
          <cell r="E641" t="str">
            <v>西南总部</v>
          </cell>
          <cell r="F641" t="str">
            <v>西南营销中心</v>
          </cell>
          <cell r="G641" t="str">
            <v>营业二部</v>
          </cell>
        </row>
        <row r="641">
          <cell r="I641" t="str">
            <v>一星实习经理</v>
          </cell>
        </row>
        <row r="642">
          <cell r="A642" t="str">
            <v>朱清</v>
          </cell>
          <cell r="B642" t="str">
            <v>00910</v>
          </cell>
          <cell r="C642" t="str">
            <v>四川时代蜂族营销策划有限公司</v>
          </cell>
          <cell r="D642">
            <v>45433</v>
          </cell>
          <cell r="E642" t="str">
            <v>西南总部</v>
          </cell>
          <cell r="F642" t="str">
            <v>西南营销中心</v>
          </cell>
          <cell r="G642" t="str">
            <v>营业三部</v>
          </cell>
          <cell r="H642" t="str">
            <v>郑景慕</v>
          </cell>
          <cell r="I642" t="str">
            <v>三星销售顾问</v>
          </cell>
        </row>
        <row r="643">
          <cell r="A643" t="str">
            <v>杨波</v>
          </cell>
          <cell r="B643" t="str">
            <v>00906</v>
          </cell>
          <cell r="C643" t="str">
            <v>四川时代蜂族营销策划有限公司</v>
          </cell>
          <cell r="D643">
            <v>45431</v>
          </cell>
          <cell r="E643" t="str">
            <v>西南总部</v>
          </cell>
          <cell r="F643" t="str">
            <v>西南营销中心</v>
          </cell>
          <cell r="G643" t="str">
            <v>营业二部</v>
          </cell>
          <cell r="H643" t="str">
            <v>柏刚</v>
          </cell>
          <cell r="I643" t="str">
            <v>三星销售顾问</v>
          </cell>
        </row>
        <row r="644">
          <cell r="A644" t="str">
            <v>陈龙</v>
          </cell>
          <cell r="B644" t="str">
            <v>00904</v>
          </cell>
          <cell r="C644" t="str">
            <v>河北时代蜂族营销策划有限公司</v>
          </cell>
          <cell r="D644">
            <v>45430</v>
          </cell>
          <cell r="E644" t="str">
            <v>山东</v>
          </cell>
          <cell r="F644" t="str">
            <v>山东营销中心</v>
          </cell>
          <cell r="G644" t="str">
            <v>山东销售部</v>
          </cell>
          <cell r="H644" t="str">
            <v>冯洁</v>
          </cell>
          <cell r="I644" t="str">
            <v>三星销售顾问</v>
          </cell>
        </row>
        <row r="645">
          <cell r="A645" t="str">
            <v>范优强</v>
          </cell>
          <cell r="B645" t="str">
            <v>00905</v>
          </cell>
          <cell r="C645" t="str">
            <v>兰州时代蜂族营销策划有限公司</v>
          </cell>
          <cell r="D645">
            <v>45430</v>
          </cell>
          <cell r="E645" t="str">
            <v>甘肃</v>
          </cell>
          <cell r="F645" t="str">
            <v>甘肃拓展部</v>
          </cell>
        </row>
        <row r="645">
          <cell r="I645" t="str">
            <v>实习拓展</v>
          </cell>
        </row>
        <row r="646">
          <cell r="A646" t="str">
            <v>许春艳</v>
          </cell>
          <cell r="B646" t="str">
            <v>00901</v>
          </cell>
          <cell r="C646" t="str">
            <v>四川时代蜂族营销策划有限公司</v>
          </cell>
          <cell r="D646">
            <v>45429</v>
          </cell>
          <cell r="E646" t="str">
            <v>西南总部</v>
          </cell>
          <cell r="F646" t="str">
            <v>西南营销中心</v>
          </cell>
          <cell r="G646" t="str">
            <v>营业四部</v>
          </cell>
          <cell r="H646" t="str">
            <v>李培金</v>
          </cell>
          <cell r="I646" t="str">
            <v>三星销售顾问</v>
          </cell>
        </row>
        <row r="647">
          <cell r="A647" t="str">
            <v>吴江平</v>
          </cell>
          <cell r="B647" t="str">
            <v>00898</v>
          </cell>
          <cell r="C647" t="str">
            <v>四川时代蜂族营销策划有限公司</v>
          </cell>
          <cell r="D647">
            <v>45427</v>
          </cell>
          <cell r="E647" t="str">
            <v>山东</v>
          </cell>
          <cell r="F647" t="str">
            <v>山东营销中心</v>
          </cell>
          <cell r="G647" t="str">
            <v>山东销售部</v>
          </cell>
          <cell r="H647" t="str">
            <v>李丹</v>
          </cell>
          <cell r="I647" t="str">
            <v>一星实习经理</v>
          </cell>
        </row>
        <row r="648">
          <cell r="A648" t="str">
            <v>艾林</v>
          </cell>
          <cell r="B648" t="str">
            <v>00896</v>
          </cell>
          <cell r="C648" t="str">
            <v>山西时代蜂族房地产经纪有限公司</v>
          </cell>
          <cell r="D648">
            <v>45427</v>
          </cell>
          <cell r="E648" t="str">
            <v>山西</v>
          </cell>
          <cell r="F648" t="str">
            <v>山西营销中心</v>
          </cell>
          <cell r="G648" t="str">
            <v>山西销售部</v>
          </cell>
        </row>
        <row r="648">
          <cell r="I648" t="str">
            <v>二星实习经理</v>
          </cell>
        </row>
        <row r="649">
          <cell r="A649" t="str">
            <v>吴洪蝶</v>
          </cell>
          <cell r="B649" t="str">
            <v>00893</v>
          </cell>
          <cell r="C649" t="str">
            <v>四川时代蜂族营销策划有限公司</v>
          </cell>
          <cell r="D649">
            <v>45425</v>
          </cell>
          <cell r="E649" t="str">
            <v>西南总部</v>
          </cell>
          <cell r="F649" t="str">
            <v>西南营销中心</v>
          </cell>
          <cell r="G649" t="str">
            <v>营业七部</v>
          </cell>
          <cell r="H649" t="str">
            <v>谢沁霜</v>
          </cell>
          <cell r="I649" t="str">
            <v>三星销售顾问</v>
          </cell>
        </row>
        <row r="650">
          <cell r="A650" t="str">
            <v>刘姚林</v>
          </cell>
          <cell r="B650" t="str">
            <v>00888</v>
          </cell>
          <cell r="C650" t="str">
            <v>山西时代蜂族房地产经纪有限公司</v>
          </cell>
          <cell r="D650">
            <v>45420</v>
          </cell>
          <cell r="E650" t="str">
            <v>山西</v>
          </cell>
          <cell r="F650" t="str">
            <v>山西营销中心</v>
          </cell>
          <cell r="G650" t="str">
            <v>山西销售部</v>
          </cell>
          <cell r="H650" t="str">
            <v>李权益</v>
          </cell>
          <cell r="I650" t="str">
            <v>三星销售顾问</v>
          </cell>
        </row>
        <row r="651">
          <cell r="A651" t="str">
            <v>李鑫2</v>
          </cell>
          <cell r="B651" t="str">
            <v>00886</v>
          </cell>
          <cell r="C651" t="str">
            <v>四川时代蜂族营销策划有限公司</v>
          </cell>
          <cell r="D651">
            <v>45414</v>
          </cell>
          <cell r="E651" t="str">
            <v>河南</v>
          </cell>
          <cell r="F651" t="str">
            <v>河南营销中心</v>
          </cell>
          <cell r="G651" t="str">
            <v>河南销售部</v>
          </cell>
          <cell r="H651" t="str">
            <v>周吉双河南</v>
          </cell>
          <cell r="I651" t="str">
            <v>三星销售顾问</v>
          </cell>
        </row>
        <row r="652">
          <cell r="A652" t="str">
            <v>田银萍</v>
          </cell>
          <cell r="B652" t="str">
            <v>00875</v>
          </cell>
          <cell r="C652" t="str">
            <v>湖北蜜蜂族房地产经纪有限公司</v>
          </cell>
          <cell r="D652">
            <v>45408</v>
          </cell>
          <cell r="E652" t="str">
            <v>湖北</v>
          </cell>
          <cell r="F652" t="str">
            <v>湖北营销中心</v>
          </cell>
          <cell r="G652" t="str">
            <v>湖北2部</v>
          </cell>
        </row>
        <row r="652">
          <cell r="I652" t="str">
            <v>二星销售顾问</v>
          </cell>
        </row>
        <row r="653">
          <cell r="A653" t="str">
            <v>陈帅</v>
          </cell>
          <cell r="B653" t="str">
            <v>00883</v>
          </cell>
          <cell r="C653" t="str">
            <v>四川时代蜂族营销策划有限公司</v>
          </cell>
          <cell r="D653">
            <v>45406</v>
          </cell>
          <cell r="E653" t="str">
            <v>西南总部</v>
          </cell>
          <cell r="F653" t="str">
            <v>西南营销中心</v>
          </cell>
          <cell r="G653" t="str">
            <v>营业四部</v>
          </cell>
        </row>
        <row r="653">
          <cell r="I653" t="str">
            <v>一星实习经理</v>
          </cell>
        </row>
        <row r="654">
          <cell r="A654" t="str">
            <v>谭海芹</v>
          </cell>
          <cell r="B654" t="str">
            <v>00878</v>
          </cell>
          <cell r="C654" t="str">
            <v>湖南时代蜂族营销策划有限公司</v>
          </cell>
          <cell r="D654">
            <v>45404</v>
          </cell>
          <cell r="E654" t="str">
            <v>湖南</v>
          </cell>
          <cell r="F654" t="str">
            <v>湖南拓展部</v>
          </cell>
        </row>
        <row r="654">
          <cell r="I654" t="str">
            <v>一星拓展专员</v>
          </cell>
        </row>
        <row r="655">
          <cell r="A655" t="str">
            <v>罗瑞</v>
          </cell>
          <cell r="B655" t="str">
            <v>00873</v>
          </cell>
          <cell r="C655" t="str">
            <v>河南蜜蜂族营销策划有限公司</v>
          </cell>
          <cell r="D655">
            <v>45401</v>
          </cell>
          <cell r="E655" t="str">
            <v>河南</v>
          </cell>
          <cell r="F655" t="str">
            <v>河南营销中心</v>
          </cell>
        </row>
        <row r="655">
          <cell r="I655" t="str">
            <v>三星销售顾问</v>
          </cell>
        </row>
        <row r="656">
          <cell r="A656" t="str">
            <v>刘洋2</v>
          </cell>
          <cell r="B656" t="str">
            <v>00874</v>
          </cell>
          <cell r="C656" t="str">
            <v>河南蜜蜂族营销策划有限公司</v>
          </cell>
          <cell r="D656">
            <v>45401</v>
          </cell>
          <cell r="E656" t="str">
            <v>河南</v>
          </cell>
          <cell r="F656" t="str">
            <v>河南营销中心</v>
          </cell>
        </row>
        <row r="656">
          <cell r="I656" t="str">
            <v>三星销售顾问</v>
          </cell>
        </row>
        <row r="657">
          <cell r="A657" t="str">
            <v>周涛</v>
          </cell>
          <cell r="B657" t="str">
            <v>00869</v>
          </cell>
          <cell r="C657" t="str">
            <v>山东时代蜂族营销策划有限公司</v>
          </cell>
          <cell r="D657">
            <v>45400</v>
          </cell>
          <cell r="E657" t="str">
            <v>山东</v>
          </cell>
          <cell r="F657" t="str">
            <v>山东营销中心</v>
          </cell>
          <cell r="G657" t="str">
            <v>山东销售部</v>
          </cell>
          <cell r="H657" t="str">
            <v>李丹</v>
          </cell>
          <cell r="I657" t="str">
            <v>一星实习经理</v>
          </cell>
        </row>
        <row r="658">
          <cell r="A658" t="str">
            <v>吕瑞仙</v>
          </cell>
          <cell r="B658" t="str">
            <v>00864</v>
          </cell>
          <cell r="C658" t="str">
            <v>陕西蜂族科技有限公司</v>
          </cell>
          <cell r="D658">
            <v>45390</v>
          </cell>
          <cell r="E658" t="str">
            <v>陕西</v>
          </cell>
          <cell r="F658" t="str">
            <v>陕西营销中心</v>
          </cell>
          <cell r="G658" t="str">
            <v>陕西1部</v>
          </cell>
        </row>
        <row r="658">
          <cell r="I658" t="str">
            <v>一星实习经理</v>
          </cell>
        </row>
        <row r="659">
          <cell r="A659" t="str">
            <v>王涛涛</v>
          </cell>
          <cell r="B659" t="str">
            <v>00861</v>
          </cell>
          <cell r="C659" t="str">
            <v>陕西蜂族科技有限公司</v>
          </cell>
          <cell r="D659">
            <v>45384</v>
          </cell>
          <cell r="E659" t="str">
            <v>陕西</v>
          </cell>
          <cell r="F659" t="str">
            <v>陕西营销中心</v>
          </cell>
          <cell r="G659" t="str">
            <v>陕西2部</v>
          </cell>
          <cell r="H659" t="str">
            <v>王晓刚</v>
          </cell>
          <cell r="I659" t="str">
            <v>三星销售顾问</v>
          </cell>
        </row>
        <row r="660">
          <cell r="A660" t="str">
            <v>寇美玲</v>
          </cell>
          <cell r="B660" t="str">
            <v>00862</v>
          </cell>
          <cell r="C660" t="str">
            <v>四川时代蜂族营销策划有限公司</v>
          </cell>
          <cell r="D660">
            <v>45384</v>
          </cell>
          <cell r="E660" t="str">
            <v>西南总部</v>
          </cell>
          <cell r="F660" t="str">
            <v>西南营销中心</v>
          </cell>
          <cell r="G660" t="str">
            <v>营业一部</v>
          </cell>
          <cell r="H660" t="str">
            <v>胡雪梅</v>
          </cell>
          <cell r="I660" t="str">
            <v>三星销售顾问</v>
          </cell>
        </row>
        <row r="661">
          <cell r="A661" t="str">
            <v>叶献颐</v>
          </cell>
          <cell r="B661" t="str">
            <v>00863</v>
          </cell>
          <cell r="C661" t="str">
            <v>山东时代蜂族营销策划有限公司</v>
          </cell>
          <cell r="D661">
            <v>45384</v>
          </cell>
          <cell r="E661" t="str">
            <v>山东</v>
          </cell>
          <cell r="F661" t="str">
            <v>山东拓展部</v>
          </cell>
        </row>
        <row r="661">
          <cell r="I661" t="str">
            <v>一星拓展专员</v>
          </cell>
        </row>
        <row r="662">
          <cell r="A662" t="str">
            <v>谢铭</v>
          </cell>
          <cell r="B662" t="str">
            <v>00860</v>
          </cell>
          <cell r="C662" t="str">
            <v>四川时代蜂族营销策划有限公司</v>
          </cell>
          <cell r="D662">
            <v>45383</v>
          </cell>
          <cell r="E662" t="str">
            <v>西南总部</v>
          </cell>
          <cell r="F662" t="str">
            <v>西南营销中心</v>
          </cell>
          <cell r="G662" t="str">
            <v>营业六部</v>
          </cell>
          <cell r="H662" t="str">
            <v>毛富林</v>
          </cell>
          <cell r="I662" t="str">
            <v>三星销售顾问</v>
          </cell>
        </row>
        <row r="663">
          <cell r="A663" t="str">
            <v>刘军</v>
          </cell>
          <cell r="B663" t="str">
            <v>00856</v>
          </cell>
          <cell r="C663" t="str">
            <v>四川时代蜂族营销策划有限公司</v>
          </cell>
          <cell r="D663">
            <v>45377</v>
          </cell>
          <cell r="E663" t="str">
            <v>西南总部</v>
          </cell>
          <cell r="F663" t="str">
            <v>西南营销中心</v>
          </cell>
          <cell r="G663" t="str">
            <v>营业二部</v>
          </cell>
          <cell r="H663" t="str">
            <v>魏飞翔</v>
          </cell>
          <cell r="I663" t="str">
            <v>B岗经理</v>
          </cell>
        </row>
        <row r="664">
          <cell r="A664" t="str">
            <v>陈其</v>
          </cell>
          <cell r="B664" t="str">
            <v>00857</v>
          </cell>
          <cell r="C664" t="str">
            <v>四川时代蜂族营销策划有限公司</v>
          </cell>
          <cell r="D664">
            <v>45377</v>
          </cell>
          <cell r="E664" t="str">
            <v>河北</v>
          </cell>
          <cell r="F664" t="str">
            <v>河北营销中心</v>
          </cell>
          <cell r="G664" t="str">
            <v>河北销售部</v>
          </cell>
          <cell r="H664" t="str">
            <v>韩旭河北</v>
          </cell>
          <cell r="I664" t="str">
            <v>三星销售顾问</v>
          </cell>
        </row>
        <row r="665">
          <cell r="A665" t="str">
            <v>邓岗</v>
          </cell>
          <cell r="B665" t="str">
            <v>00853</v>
          </cell>
          <cell r="C665" t="str">
            <v>河南蜜蜂族营销策划有限公司</v>
          </cell>
          <cell r="D665">
            <v>45371</v>
          </cell>
          <cell r="E665" t="str">
            <v>河南</v>
          </cell>
          <cell r="F665" t="str">
            <v>河南拓展部</v>
          </cell>
        </row>
        <row r="665">
          <cell r="I665" t="str">
            <v>一星拓展专员</v>
          </cell>
        </row>
        <row r="666">
          <cell r="A666" t="str">
            <v>郑菊</v>
          </cell>
          <cell r="B666" t="str">
            <v>00855</v>
          </cell>
          <cell r="C666" t="str">
            <v>四川时代蜂族营销策划有限公司</v>
          </cell>
          <cell r="D666">
            <v>45371</v>
          </cell>
          <cell r="E666" t="str">
            <v>西南总部</v>
          </cell>
          <cell r="F666" t="str">
            <v>西南营销中心</v>
          </cell>
          <cell r="G666" t="str">
            <v>营业一部</v>
          </cell>
          <cell r="H666" t="str">
            <v>雷小金</v>
          </cell>
          <cell r="I666" t="str">
            <v>三星销售顾问</v>
          </cell>
        </row>
        <row r="667">
          <cell r="A667" t="str">
            <v>邵亮</v>
          </cell>
          <cell r="B667" t="str">
            <v>00849</v>
          </cell>
          <cell r="C667" t="str">
            <v>陕西蜂族科技有限公司</v>
          </cell>
          <cell r="D667">
            <v>45364</v>
          </cell>
          <cell r="E667" t="str">
            <v>陕西</v>
          </cell>
          <cell r="F667" t="str">
            <v>陕西营销中心</v>
          </cell>
          <cell r="G667" t="str">
            <v>陕西1部</v>
          </cell>
        </row>
        <row r="667">
          <cell r="I667" t="str">
            <v>一星实习经理</v>
          </cell>
        </row>
        <row r="668">
          <cell r="A668" t="str">
            <v>王强2</v>
          </cell>
          <cell r="B668" t="str">
            <v>00847</v>
          </cell>
          <cell r="C668" t="str">
            <v>四川时代蜂族营销策划有限公司</v>
          </cell>
          <cell r="D668">
            <v>45363</v>
          </cell>
          <cell r="E668" t="str">
            <v>西南总部</v>
          </cell>
          <cell r="F668" t="str">
            <v>西南拓展中心</v>
          </cell>
          <cell r="G668" t="str">
            <v>川西</v>
          </cell>
        </row>
        <row r="668">
          <cell r="I668" t="str">
            <v>一星拓展专员</v>
          </cell>
        </row>
        <row r="669">
          <cell r="A669" t="str">
            <v>冯玺</v>
          </cell>
          <cell r="B669" t="str">
            <v>00848</v>
          </cell>
          <cell r="C669" t="str">
            <v>陕西蜂族科技有限公司</v>
          </cell>
          <cell r="D669">
            <v>45363</v>
          </cell>
          <cell r="E669" t="str">
            <v>陕西</v>
          </cell>
          <cell r="F669" t="str">
            <v>陕西办公室</v>
          </cell>
        </row>
        <row r="669">
          <cell r="I669" t="str">
            <v>一星销售政委</v>
          </cell>
        </row>
        <row r="670">
          <cell r="A670" t="str">
            <v>周榆力</v>
          </cell>
          <cell r="B670" t="str">
            <v>00846</v>
          </cell>
          <cell r="C670" t="str">
            <v>重庆市江北区蜂顺营销策划有限公司</v>
          </cell>
          <cell r="D670">
            <v>45361</v>
          </cell>
          <cell r="E670" t="str">
            <v>湖北</v>
          </cell>
          <cell r="F670" t="str">
            <v>湖北拓展部</v>
          </cell>
        </row>
        <row r="670">
          <cell r="I670" t="str">
            <v>一星拓展专员</v>
          </cell>
        </row>
        <row r="671">
          <cell r="A671" t="str">
            <v>王守瑶</v>
          </cell>
          <cell r="B671" t="str">
            <v>00844</v>
          </cell>
          <cell r="C671" t="str">
            <v>山东时代蜂族营销策划有限公司</v>
          </cell>
          <cell r="D671">
            <v>45358</v>
          </cell>
          <cell r="E671" t="str">
            <v>山东</v>
          </cell>
          <cell r="F671" t="str">
            <v>山东拓展部</v>
          </cell>
        </row>
        <row r="671">
          <cell r="I671" t="str">
            <v>一星拓展专员</v>
          </cell>
        </row>
        <row r="672">
          <cell r="A672" t="str">
            <v>吴建鑫</v>
          </cell>
          <cell r="B672" t="str">
            <v>00841</v>
          </cell>
          <cell r="C672" t="str">
            <v>四川时代蜂族营销策划有限公司</v>
          </cell>
          <cell r="D672">
            <v>45357</v>
          </cell>
          <cell r="E672" t="str">
            <v>西南总部</v>
          </cell>
          <cell r="F672" t="str">
            <v>西南营销中心</v>
          </cell>
          <cell r="G672" t="str">
            <v>营业三部</v>
          </cell>
        </row>
        <row r="672">
          <cell r="I672" t="str">
            <v>二星实习经理</v>
          </cell>
        </row>
        <row r="673">
          <cell r="A673" t="str">
            <v>刘红梅</v>
          </cell>
          <cell r="B673" t="str">
            <v>00840</v>
          </cell>
          <cell r="C673" t="str">
            <v>湖南时代蜂族营销策划有限公司</v>
          </cell>
          <cell r="D673">
            <v>45353</v>
          </cell>
          <cell r="E673" t="str">
            <v>湖南</v>
          </cell>
          <cell r="F673" t="str">
            <v>湖南营销中心</v>
          </cell>
          <cell r="G673" t="str">
            <v>湖南销售部</v>
          </cell>
          <cell r="H673" t="str">
            <v>黄勇刚湖南</v>
          </cell>
          <cell r="I673" t="str">
            <v>三星销售顾问</v>
          </cell>
        </row>
        <row r="674">
          <cell r="A674" t="str">
            <v>刘丹</v>
          </cell>
          <cell r="B674" t="str">
            <v>00835</v>
          </cell>
          <cell r="C674" t="str">
            <v>四川时代蜂族营销策划有限公司</v>
          </cell>
          <cell r="D674">
            <v>45352</v>
          </cell>
          <cell r="E674" t="str">
            <v>河北</v>
          </cell>
          <cell r="F674" t="str">
            <v>河北营销中心</v>
          </cell>
          <cell r="G674" t="str">
            <v>河北销售部</v>
          </cell>
          <cell r="H674" t="str">
            <v>韦霞河北</v>
          </cell>
          <cell r="I674" t="str">
            <v>三星销售顾问</v>
          </cell>
        </row>
        <row r="675">
          <cell r="A675" t="str">
            <v>任凯</v>
          </cell>
          <cell r="B675" t="str">
            <v>00839</v>
          </cell>
          <cell r="C675" t="str">
            <v>重庆市渝北区蜂族时代营销策划有限公司</v>
          </cell>
          <cell r="D675">
            <v>45352</v>
          </cell>
          <cell r="E675" t="str">
            <v>西南总部</v>
          </cell>
          <cell r="F675" t="str">
            <v>西南营销中心</v>
          </cell>
          <cell r="G675" t="str">
            <v>营业四部</v>
          </cell>
          <cell r="H675" t="str">
            <v>陈帅</v>
          </cell>
          <cell r="I675" t="str">
            <v>三星销售顾问</v>
          </cell>
        </row>
        <row r="676">
          <cell r="A676" t="str">
            <v>罗浩</v>
          </cell>
          <cell r="B676" t="str">
            <v>00829</v>
          </cell>
          <cell r="C676" t="str">
            <v>湖北蜜蜂族房地产经纪有限公司</v>
          </cell>
          <cell r="D676">
            <v>45347</v>
          </cell>
          <cell r="E676" t="str">
            <v>湖北</v>
          </cell>
          <cell r="F676" t="str">
            <v>湖北营销中心</v>
          </cell>
          <cell r="G676" t="str">
            <v>湖北1部</v>
          </cell>
          <cell r="H676" t="str">
            <v>李文</v>
          </cell>
          <cell r="I676" t="str">
            <v>二星销售顾问</v>
          </cell>
        </row>
        <row r="677">
          <cell r="A677" t="str">
            <v>吴泽涵</v>
          </cell>
          <cell r="B677" t="str">
            <v>00825</v>
          </cell>
          <cell r="C677" t="str">
            <v>陕西蜂族科技有限公司</v>
          </cell>
          <cell r="D677">
            <v>45345</v>
          </cell>
          <cell r="E677" t="str">
            <v>陕西</v>
          </cell>
          <cell r="F677" t="str">
            <v>陕西营销中心</v>
          </cell>
          <cell r="G677" t="str">
            <v>陕西1部</v>
          </cell>
          <cell r="H677" t="str">
            <v>孙宇</v>
          </cell>
          <cell r="I677" t="str">
            <v>三星销售顾问</v>
          </cell>
        </row>
        <row r="678">
          <cell r="A678" t="str">
            <v>黄洁</v>
          </cell>
          <cell r="B678" t="str">
            <v>00828</v>
          </cell>
          <cell r="C678" t="str">
            <v>四川大礼连连科技有限公司</v>
          </cell>
          <cell r="D678">
            <v>45345</v>
          </cell>
          <cell r="E678" t="str">
            <v>集团职能</v>
          </cell>
          <cell r="F678" t="str">
            <v>职能营销</v>
          </cell>
          <cell r="G678" t="str">
            <v>培训部</v>
          </cell>
        </row>
        <row r="678">
          <cell r="I678" t="str">
            <v>教培主管</v>
          </cell>
        </row>
        <row r="679">
          <cell r="A679" t="str">
            <v>薛鹏</v>
          </cell>
          <cell r="B679" t="str">
            <v>00822</v>
          </cell>
          <cell r="C679" t="str">
            <v>兰州时代蜂族营销策划有限公司</v>
          </cell>
          <cell r="D679">
            <v>45343</v>
          </cell>
          <cell r="E679" t="str">
            <v>甘肃</v>
          </cell>
          <cell r="F679" t="str">
            <v>甘肃拓展部</v>
          </cell>
        </row>
        <row r="679">
          <cell r="I679" t="str">
            <v>一星拓展专员</v>
          </cell>
        </row>
        <row r="680">
          <cell r="A680" t="str">
            <v>曾小林</v>
          </cell>
          <cell r="B680" t="str">
            <v>00821</v>
          </cell>
          <cell r="C680" t="str">
            <v>河北时代蜂族营销策划有限公司</v>
          </cell>
          <cell r="D680">
            <v>45342</v>
          </cell>
          <cell r="E680" t="str">
            <v>河北</v>
          </cell>
          <cell r="F680" t="str">
            <v>河北拓展部</v>
          </cell>
        </row>
        <row r="680">
          <cell r="I680" t="str">
            <v>一星拓展专员</v>
          </cell>
        </row>
        <row r="681">
          <cell r="A681" t="str">
            <v>童小林</v>
          </cell>
          <cell r="B681" t="str">
            <v>00808</v>
          </cell>
          <cell r="C681" t="str">
            <v>陕西蜂族科技有限公司</v>
          </cell>
          <cell r="D681">
            <v>45294</v>
          </cell>
          <cell r="E681" t="str">
            <v>陕西</v>
          </cell>
          <cell r="F681" t="str">
            <v>陕西营销中心</v>
          </cell>
          <cell r="G681" t="str">
            <v>陕西2部</v>
          </cell>
          <cell r="H681" t="str">
            <v>蒙建</v>
          </cell>
          <cell r="I681" t="str">
            <v>三星销售顾问</v>
          </cell>
        </row>
        <row r="682">
          <cell r="A682" t="str">
            <v>刘洪</v>
          </cell>
          <cell r="B682" t="str">
            <v>01469</v>
          </cell>
          <cell r="C682" t="str">
            <v>四川时代蜂族营销策划有限公司</v>
          </cell>
          <cell r="D682">
            <v>45292</v>
          </cell>
          <cell r="E682" t="str">
            <v>集团职能</v>
          </cell>
          <cell r="F682" t="str">
            <v>职能总部</v>
          </cell>
          <cell r="G682" t="str">
            <v>残疾人</v>
          </cell>
        </row>
        <row r="682">
          <cell r="I682" t="str">
            <v>残疾人</v>
          </cell>
        </row>
        <row r="683">
          <cell r="A683" t="str">
            <v>万文俊</v>
          </cell>
          <cell r="B683" t="str">
            <v>00801</v>
          </cell>
          <cell r="C683" t="str">
            <v>山东时代蜂族营销策划有限公司</v>
          </cell>
          <cell r="D683">
            <v>45272</v>
          </cell>
          <cell r="E683" t="str">
            <v>山东</v>
          </cell>
          <cell r="F683" t="str">
            <v>山东营销中心</v>
          </cell>
          <cell r="G683" t="str">
            <v>山东销售部</v>
          </cell>
          <cell r="H683" t="str">
            <v>赵文涛</v>
          </cell>
          <cell r="I683" t="str">
            <v>三星销售顾问</v>
          </cell>
        </row>
        <row r="684">
          <cell r="A684" t="str">
            <v>扈岭楠</v>
          </cell>
          <cell r="B684" t="str">
            <v>00798</v>
          </cell>
          <cell r="C684" t="str">
            <v>四川时代蜂族营销策划有限公司</v>
          </cell>
          <cell r="D684">
            <v>45269</v>
          </cell>
          <cell r="E684" t="str">
            <v>西南总部</v>
          </cell>
          <cell r="F684" t="str">
            <v>西南营销中心</v>
          </cell>
          <cell r="G684" t="str">
            <v>营业二部</v>
          </cell>
        </row>
        <row r="684">
          <cell r="I684" t="str">
            <v>一星实习经理</v>
          </cell>
        </row>
        <row r="685">
          <cell r="A685" t="str">
            <v>殷昌容</v>
          </cell>
          <cell r="B685" t="str">
            <v>00797</v>
          </cell>
          <cell r="C685" t="str">
            <v>辽宁时代蜂族营销策划有限公司</v>
          </cell>
          <cell r="D685">
            <v>45267</v>
          </cell>
          <cell r="E685" t="str">
            <v>辽宁</v>
          </cell>
          <cell r="F685" t="str">
            <v>辽宁营销中心</v>
          </cell>
          <cell r="G685" t="str">
            <v>辽宁销售部</v>
          </cell>
          <cell r="H685" t="str">
            <v>赖慧辽宁</v>
          </cell>
          <cell r="I685" t="str">
            <v>三星销售顾问</v>
          </cell>
        </row>
        <row r="686">
          <cell r="A686" t="str">
            <v>彭停</v>
          </cell>
          <cell r="B686" t="str">
            <v>00796</v>
          </cell>
          <cell r="C686" t="str">
            <v>四川时代蜂族营销策划有限公司</v>
          </cell>
          <cell r="D686">
            <v>45265</v>
          </cell>
          <cell r="E686" t="str">
            <v>山西</v>
          </cell>
          <cell r="F686" t="str">
            <v>山西营销中心</v>
          </cell>
          <cell r="G686" t="str">
            <v>山西销售部</v>
          </cell>
          <cell r="H686" t="str">
            <v>彭停山西</v>
          </cell>
          <cell r="I686" t="str">
            <v>二星实习经理</v>
          </cell>
        </row>
        <row r="687">
          <cell r="A687" t="str">
            <v>赵玉兰</v>
          </cell>
          <cell r="B687" t="str">
            <v>00793</v>
          </cell>
          <cell r="C687" t="str">
            <v>四川时代蜂族营销策划有限公司</v>
          </cell>
          <cell r="D687">
            <v>45261</v>
          </cell>
          <cell r="E687" t="str">
            <v>山西</v>
          </cell>
          <cell r="F687" t="str">
            <v>山西营销中心</v>
          </cell>
          <cell r="G687" t="str">
            <v>山西销售部</v>
          </cell>
          <cell r="H687" t="str">
            <v>吴志虎山西</v>
          </cell>
          <cell r="I687" t="str">
            <v>三星销售顾问</v>
          </cell>
        </row>
        <row r="688">
          <cell r="A688" t="str">
            <v>文鹏羽</v>
          </cell>
          <cell r="B688" t="str">
            <v>00792</v>
          </cell>
          <cell r="C688" t="str">
            <v>四川时代蜂族营销策划有限公司</v>
          </cell>
          <cell r="D688">
            <v>45260</v>
          </cell>
          <cell r="E688" t="str">
            <v>西南总部</v>
          </cell>
          <cell r="F688" t="str">
            <v>西南营销中心</v>
          </cell>
          <cell r="G688" t="str">
            <v>营业二部</v>
          </cell>
        </row>
        <row r="688">
          <cell r="I688" t="str">
            <v>一星实习经理</v>
          </cell>
        </row>
        <row r="689">
          <cell r="A689" t="str">
            <v>曹朝霞</v>
          </cell>
          <cell r="B689" t="str">
            <v>00791</v>
          </cell>
          <cell r="C689" t="str">
            <v>四川蜂起营销策划有限公司</v>
          </cell>
          <cell r="D689">
            <v>45259</v>
          </cell>
          <cell r="E689" t="str">
            <v>集团职能</v>
          </cell>
          <cell r="F689" t="str">
            <v>职能总部</v>
          </cell>
          <cell r="G689" t="str">
            <v>业绩增长部</v>
          </cell>
        </row>
        <row r="689">
          <cell r="I689" t="str">
            <v>拓展BP</v>
          </cell>
        </row>
        <row r="690">
          <cell r="A690" t="str">
            <v>刘元发</v>
          </cell>
          <cell r="B690" t="str">
            <v>00787</v>
          </cell>
          <cell r="C690" t="str">
            <v>湖南时代蜂族营销策划有限公司</v>
          </cell>
          <cell r="D690">
            <v>45255</v>
          </cell>
          <cell r="E690" t="str">
            <v>湖南</v>
          </cell>
          <cell r="F690" t="str">
            <v>湖南营销中心</v>
          </cell>
          <cell r="G690" t="str">
            <v>湖南销售部</v>
          </cell>
          <cell r="H690" t="str">
            <v>刘元发</v>
          </cell>
          <cell r="I690" t="str">
            <v>二星实习经理</v>
          </cell>
        </row>
        <row r="691">
          <cell r="A691" t="str">
            <v>乔磊</v>
          </cell>
          <cell r="B691" t="str">
            <v>00772</v>
          </cell>
          <cell r="C691" t="str">
            <v>陕西时代蜂族营销策划有限公司</v>
          </cell>
          <cell r="D691">
            <v>45245</v>
          </cell>
          <cell r="E691" t="str">
            <v>陕西</v>
          </cell>
          <cell r="F691" t="str">
            <v>陕西营销中心</v>
          </cell>
          <cell r="G691" t="str">
            <v>陕西2部</v>
          </cell>
        </row>
        <row r="691">
          <cell r="I691" t="str">
            <v>二星实习经理</v>
          </cell>
        </row>
        <row r="692">
          <cell r="A692" t="str">
            <v>杨蓉</v>
          </cell>
          <cell r="B692" t="str">
            <v>00770</v>
          </cell>
          <cell r="C692" t="str">
            <v>四川时代蜂族营销策划有限公司</v>
          </cell>
          <cell r="D692">
            <v>45244</v>
          </cell>
          <cell r="E692" t="str">
            <v>西南总部</v>
          </cell>
          <cell r="F692" t="str">
            <v>西南拓展中心</v>
          </cell>
          <cell r="G692" t="str">
            <v>川西</v>
          </cell>
        </row>
        <row r="692">
          <cell r="I692" t="str">
            <v>区域拓展总监</v>
          </cell>
        </row>
        <row r="693">
          <cell r="A693" t="str">
            <v>季俊先</v>
          </cell>
          <cell r="B693" t="str">
            <v>00769</v>
          </cell>
          <cell r="C693" t="str">
            <v>四川时代蜂族营销策划有限公司</v>
          </cell>
          <cell r="D693">
            <v>45241</v>
          </cell>
          <cell r="E693" t="str">
            <v>西南总部</v>
          </cell>
          <cell r="F693" t="str">
            <v>西南营销中心</v>
          </cell>
          <cell r="G693" t="str">
            <v>营业四部</v>
          </cell>
          <cell r="H693" t="str">
            <v>刘亮</v>
          </cell>
          <cell r="I693" t="str">
            <v>三星销售顾问</v>
          </cell>
        </row>
        <row r="694">
          <cell r="A694" t="str">
            <v>范莉兰</v>
          </cell>
          <cell r="B694" t="str">
            <v>00764</v>
          </cell>
          <cell r="C694" t="str">
            <v>陕西蜂族科技有限公司</v>
          </cell>
          <cell r="D694">
            <v>45236</v>
          </cell>
          <cell r="E694" t="str">
            <v>陕西</v>
          </cell>
          <cell r="F694" t="str">
            <v>陕西营销中心</v>
          </cell>
          <cell r="G694" t="str">
            <v>陕西1部</v>
          </cell>
          <cell r="H694" t="str">
            <v>王超2</v>
          </cell>
          <cell r="I694" t="str">
            <v>三星销售顾问</v>
          </cell>
        </row>
        <row r="695">
          <cell r="A695" t="str">
            <v>贾萍</v>
          </cell>
          <cell r="B695" t="str">
            <v>00762</v>
          </cell>
          <cell r="C695" t="str">
            <v>重庆市沙坪坝区时代蜂族营销策划有限公司</v>
          </cell>
          <cell r="D695">
            <v>45233</v>
          </cell>
          <cell r="E695" t="str">
            <v>西南总部</v>
          </cell>
          <cell r="F695" t="str">
            <v>西南营销中心</v>
          </cell>
          <cell r="G695" t="str">
            <v>营业四部</v>
          </cell>
        </row>
        <row r="695">
          <cell r="I695" t="str">
            <v>二星实习经理</v>
          </cell>
        </row>
        <row r="696">
          <cell r="A696" t="str">
            <v>姜舒怡</v>
          </cell>
          <cell r="B696" t="str">
            <v>00763</v>
          </cell>
          <cell r="C696" t="str">
            <v>陕西蜂族科技有限公司</v>
          </cell>
          <cell r="D696">
            <v>45233</v>
          </cell>
          <cell r="E696" t="str">
            <v>陕西</v>
          </cell>
          <cell r="F696" t="str">
            <v>陕西营销中心</v>
          </cell>
          <cell r="G696" t="str">
            <v>陕西2部</v>
          </cell>
          <cell r="H696" t="str">
            <v>罗小花</v>
          </cell>
          <cell r="I696" t="str">
            <v>三星销售顾问</v>
          </cell>
        </row>
        <row r="697">
          <cell r="A697" t="str">
            <v>何亚琼</v>
          </cell>
          <cell r="B697" t="str">
            <v>00761</v>
          </cell>
          <cell r="C697" t="str">
            <v>四川时代蜂族营销策划有限公司</v>
          </cell>
          <cell r="D697">
            <v>45231</v>
          </cell>
          <cell r="E697" t="str">
            <v>西南总部</v>
          </cell>
          <cell r="F697" t="str">
            <v>西南营销中心</v>
          </cell>
          <cell r="G697" t="str">
            <v>营业二部</v>
          </cell>
          <cell r="H697" t="str">
            <v>柏刚</v>
          </cell>
          <cell r="I697" t="str">
            <v>三星销售顾问</v>
          </cell>
        </row>
        <row r="698">
          <cell r="A698" t="str">
            <v>王付豪</v>
          </cell>
          <cell r="B698" t="str">
            <v>00760</v>
          </cell>
          <cell r="C698" t="str">
            <v>湖北蜜蜂族房地产经纪有限公司</v>
          </cell>
          <cell r="D698">
            <v>45230</v>
          </cell>
          <cell r="E698" t="str">
            <v>湖北</v>
          </cell>
          <cell r="F698" t="str">
            <v>湖北营销中心</v>
          </cell>
          <cell r="G698" t="str">
            <v>湖北1部</v>
          </cell>
          <cell r="H698" t="str">
            <v>蔺小燕湖北</v>
          </cell>
          <cell r="I698" t="str">
            <v>三星销售顾问</v>
          </cell>
        </row>
        <row r="699">
          <cell r="A699" t="str">
            <v>朱家艳</v>
          </cell>
          <cell r="B699" t="str">
            <v>00755</v>
          </cell>
          <cell r="C699" t="str">
            <v>四川时代蜂族营销策划有限公司</v>
          </cell>
          <cell r="D699">
            <v>45213</v>
          </cell>
          <cell r="E699" t="str">
            <v>西南总部</v>
          </cell>
          <cell r="F699" t="str">
            <v>西南营销中心</v>
          </cell>
          <cell r="G699" t="str">
            <v>营业一部</v>
          </cell>
        </row>
        <row r="699">
          <cell r="I699" t="str">
            <v>一星正式经理</v>
          </cell>
        </row>
        <row r="700">
          <cell r="A700" t="str">
            <v>杜鸿梅</v>
          </cell>
          <cell r="B700" t="str">
            <v>00753</v>
          </cell>
          <cell r="C700" t="str">
            <v>四川优诺通瑞商贸有限公司</v>
          </cell>
          <cell r="D700">
            <v>45204</v>
          </cell>
          <cell r="E700" t="str">
            <v>集团职能</v>
          </cell>
          <cell r="F700" t="str">
            <v>职能总部</v>
          </cell>
          <cell r="G700" t="str">
            <v>人资行政部</v>
          </cell>
        </row>
        <row r="700">
          <cell r="I700" t="str">
            <v>行政专员</v>
          </cell>
        </row>
        <row r="701">
          <cell r="A701" t="str">
            <v>许琪</v>
          </cell>
          <cell r="B701" t="str">
            <v>00752</v>
          </cell>
          <cell r="C701" t="str">
            <v>山东时代蜂族营销策划有限公司</v>
          </cell>
          <cell r="D701">
            <v>45203</v>
          </cell>
          <cell r="E701" t="str">
            <v>山东</v>
          </cell>
          <cell r="F701" t="str">
            <v>山东营销中心</v>
          </cell>
          <cell r="G701" t="str">
            <v>山东销售部</v>
          </cell>
          <cell r="H701" t="str">
            <v>吴江平山东</v>
          </cell>
          <cell r="I701" t="str">
            <v>三星销售顾问</v>
          </cell>
        </row>
        <row r="702">
          <cell r="A702" t="str">
            <v>冀敏</v>
          </cell>
          <cell r="B702" t="str">
            <v>00751</v>
          </cell>
          <cell r="C702" t="str">
            <v>陕西蜂族科技有限公司</v>
          </cell>
          <cell r="D702">
            <v>45196</v>
          </cell>
          <cell r="E702" t="str">
            <v>陕西</v>
          </cell>
          <cell r="F702" t="str">
            <v>陕西营销中心</v>
          </cell>
          <cell r="G702" t="str">
            <v>陕西2部</v>
          </cell>
        </row>
        <row r="702">
          <cell r="I702" t="str">
            <v>二星实习经理</v>
          </cell>
        </row>
        <row r="703">
          <cell r="A703" t="str">
            <v>张宗铭</v>
          </cell>
          <cell r="B703" t="str">
            <v>00420</v>
          </cell>
          <cell r="C703" t="str">
            <v>湖北蜜蜂族房地产经纪有限公司</v>
          </cell>
          <cell r="D703">
            <v>45193</v>
          </cell>
          <cell r="E703" t="str">
            <v>湖北</v>
          </cell>
          <cell r="F703" t="str">
            <v>湖北营销中心</v>
          </cell>
          <cell r="G703" t="str">
            <v>湖北1部</v>
          </cell>
        </row>
        <row r="703">
          <cell r="I703" t="str">
            <v>一星实习经理</v>
          </cell>
        </row>
        <row r="704">
          <cell r="A704" t="str">
            <v>陈嘉文</v>
          </cell>
          <cell r="B704" t="str">
            <v>00750</v>
          </cell>
          <cell r="C704" t="str">
            <v>四川时代蜂族营销策划有限公司</v>
          </cell>
          <cell r="D704">
            <v>45192</v>
          </cell>
          <cell r="E704" t="str">
            <v>西南总部</v>
          </cell>
          <cell r="F704" t="str">
            <v>西南营销中心</v>
          </cell>
          <cell r="G704" t="str">
            <v>营业四部</v>
          </cell>
        </row>
        <row r="704">
          <cell r="I704" t="str">
            <v>二星实习经理</v>
          </cell>
        </row>
        <row r="705">
          <cell r="A705" t="str">
            <v>王辉</v>
          </cell>
          <cell r="B705" t="str">
            <v>00743</v>
          </cell>
          <cell r="C705" t="str">
            <v>陕西蜂族科技有限公司</v>
          </cell>
          <cell r="D705">
            <v>45175</v>
          </cell>
          <cell r="E705" t="str">
            <v>甘肃</v>
          </cell>
          <cell r="F705" t="str">
            <v>甘肃营销中心</v>
          </cell>
          <cell r="G705" t="str">
            <v>甘肃销售部</v>
          </cell>
        </row>
        <row r="705">
          <cell r="I705" t="str">
            <v>一星实习经理</v>
          </cell>
        </row>
        <row r="706">
          <cell r="A706" t="str">
            <v>周磊</v>
          </cell>
          <cell r="B706" t="str">
            <v>00742</v>
          </cell>
          <cell r="C706" t="str">
            <v>湖北蜜蜂族房地产经纪有限公司</v>
          </cell>
          <cell r="D706">
            <v>45174</v>
          </cell>
          <cell r="E706" t="str">
            <v>湖北</v>
          </cell>
          <cell r="F706" t="str">
            <v>湖北拓展部</v>
          </cell>
        </row>
        <row r="706">
          <cell r="I706" t="str">
            <v>二星拓展专员</v>
          </cell>
        </row>
        <row r="707">
          <cell r="A707" t="str">
            <v>王孝勇</v>
          </cell>
          <cell r="B707" t="str">
            <v>00737</v>
          </cell>
          <cell r="C707" t="str">
            <v>四川时代蜂族营销策划有限公司</v>
          </cell>
          <cell r="D707">
            <v>45162</v>
          </cell>
          <cell r="E707" t="str">
            <v>西南总部</v>
          </cell>
          <cell r="F707" t="str">
            <v>西南营销中心</v>
          </cell>
          <cell r="G707" t="str">
            <v>营业三部</v>
          </cell>
          <cell r="H707" t="str">
            <v>吴建鑫</v>
          </cell>
          <cell r="I707" t="str">
            <v>三星销售顾问</v>
          </cell>
        </row>
        <row r="708">
          <cell r="A708" t="str">
            <v>陶燕红</v>
          </cell>
          <cell r="B708" t="str">
            <v>00733</v>
          </cell>
          <cell r="C708" t="str">
            <v>四川优诺通瑞商贸有限公司</v>
          </cell>
          <cell r="D708">
            <v>45145</v>
          </cell>
          <cell r="E708" t="str">
            <v>集团职能</v>
          </cell>
          <cell r="F708" t="str">
            <v>职能营销</v>
          </cell>
          <cell r="G708" t="str">
            <v>督导部</v>
          </cell>
        </row>
        <row r="708">
          <cell r="I708" t="str">
            <v>权证专员</v>
          </cell>
        </row>
        <row r="709">
          <cell r="A709" t="str">
            <v>卢鲜仝</v>
          </cell>
          <cell r="B709" t="str">
            <v>00730</v>
          </cell>
          <cell r="C709" t="str">
            <v>四川时代蜂族营销策划有限公司</v>
          </cell>
          <cell r="D709">
            <v>45132</v>
          </cell>
          <cell r="E709" t="str">
            <v>西南总部</v>
          </cell>
          <cell r="F709" t="str">
            <v>西南营销中心</v>
          </cell>
          <cell r="G709" t="str">
            <v>营业三部</v>
          </cell>
          <cell r="H709" t="str">
            <v>刘佳</v>
          </cell>
          <cell r="I709" t="str">
            <v>三星销售顾问</v>
          </cell>
        </row>
        <row r="710">
          <cell r="A710" t="str">
            <v>赵文涛</v>
          </cell>
          <cell r="B710" t="str">
            <v>00728</v>
          </cell>
          <cell r="C710" t="str">
            <v>山东时代蜂族营销策划有限公司</v>
          </cell>
          <cell r="D710">
            <v>45131</v>
          </cell>
          <cell r="E710" t="str">
            <v>山东</v>
          </cell>
          <cell r="F710" t="str">
            <v>山东营销中心</v>
          </cell>
          <cell r="G710" t="str">
            <v>山东销售部</v>
          </cell>
          <cell r="H710" t="str">
            <v>赵文涛</v>
          </cell>
          <cell r="I710" t="str">
            <v>三星实习经理</v>
          </cell>
        </row>
        <row r="711">
          <cell r="A711" t="str">
            <v>黄瑞雪</v>
          </cell>
          <cell r="B711" t="str">
            <v>00722</v>
          </cell>
          <cell r="C711" t="str">
            <v>山东时代蜂族营销策划有限公司</v>
          </cell>
          <cell r="D711">
            <v>45126</v>
          </cell>
          <cell r="E711" t="str">
            <v>山东</v>
          </cell>
          <cell r="F711" t="str">
            <v>山东营销中心</v>
          </cell>
          <cell r="G711" t="str">
            <v>山东销售部</v>
          </cell>
          <cell r="H711" t="str">
            <v>杨唐山东</v>
          </cell>
          <cell r="I711" t="str">
            <v>三星销售顾问</v>
          </cell>
        </row>
        <row r="712">
          <cell r="A712" t="str">
            <v>朱思刚</v>
          </cell>
          <cell r="B712" t="str">
            <v>00718</v>
          </cell>
          <cell r="C712" t="str">
            <v>河南蜜蜂族营销策划有限公司</v>
          </cell>
          <cell r="D712">
            <v>45122</v>
          </cell>
          <cell r="E712" t="str">
            <v>河南</v>
          </cell>
          <cell r="F712" t="str">
            <v>河南营销中心</v>
          </cell>
          <cell r="G712" t="str">
            <v>河南销售部</v>
          </cell>
          <cell r="H712" t="str">
            <v>任枭月</v>
          </cell>
          <cell r="I712" t="str">
            <v>二星销售顾问</v>
          </cell>
        </row>
        <row r="713">
          <cell r="A713" t="str">
            <v>王晶晶</v>
          </cell>
          <cell r="B713" t="str">
            <v>00711</v>
          </cell>
          <cell r="C713" t="str">
            <v>湖南时代蜂族营销策划有限公司</v>
          </cell>
          <cell r="D713">
            <v>45119</v>
          </cell>
          <cell r="E713" t="str">
            <v>湖南</v>
          </cell>
          <cell r="F713" t="str">
            <v>湖南营销中心</v>
          </cell>
          <cell r="G713" t="str">
            <v>湖南销售部</v>
          </cell>
        </row>
        <row r="713">
          <cell r="I713" t="str">
            <v>二星实习经理</v>
          </cell>
        </row>
        <row r="714">
          <cell r="A714" t="str">
            <v>张佩瑶</v>
          </cell>
          <cell r="B714" t="str">
            <v>00707</v>
          </cell>
          <cell r="C714" t="str">
            <v>四川时代蜂族营销策划有限公司</v>
          </cell>
          <cell r="D714">
            <v>45114</v>
          </cell>
          <cell r="E714" t="str">
            <v>西南总部</v>
          </cell>
          <cell r="F714" t="str">
            <v>西南营销中心</v>
          </cell>
          <cell r="G714" t="str">
            <v>营业二部</v>
          </cell>
        </row>
        <row r="714">
          <cell r="I714" t="str">
            <v>二星实习经理</v>
          </cell>
        </row>
        <row r="715">
          <cell r="A715" t="str">
            <v>吴金桦</v>
          </cell>
          <cell r="B715" t="str">
            <v>00706</v>
          </cell>
          <cell r="C715" t="str">
            <v>四川时代蜂族营销策划有限公司</v>
          </cell>
          <cell r="D715">
            <v>45113</v>
          </cell>
          <cell r="E715" t="str">
            <v>西南总部</v>
          </cell>
          <cell r="F715" t="str">
            <v>西南营销中心</v>
          </cell>
          <cell r="G715" t="str">
            <v>营业一部</v>
          </cell>
          <cell r="H715" t="str">
            <v>雷小金</v>
          </cell>
          <cell r="I715" t="str">
            <v>三星销售顾问</v>
          </cell>
        </row>
        <row r="716">
          <cell r="A716" t="str">
            <v>张顺桂</v>
          </cell>
          <cell r="B716" t="str">
            <v>00701</v>
          </cell>
          <cell r="C716" t="str">
            <v>四川时代蜂族营销策划有限公司</v>
          </cell>
          <cell r="D716">
            <v>45104</v>
          </cell>
          <cell r="E716" t="str">
            <v>河南</v>
          </cell>
          <cell r="F716" t="str">
            <v>河南营销中心</v>
          </cell>
          <cell r="G716" t="str">
            <v>河南销售部</v>
          </cell>
          <cell r="H716" t="str">
            <v>周吉双河南</v>
          </cell>
          <cell r="I716" t="str">
            <v>三星销售顾问</v>
          </cell>
        </row>
        <row r="717">
          <cell r="A717" t="str">
            <v>邱超</v>
          </cell>
          <cell r="B717" t="str">
            <v>00700</v>
          </cell>
          <cell r="C717" t="str">
            <v>四川时代蜂族营销策划有限公司</v>
          </cell>
          <cell r="D717">
            <v>45103</v>
          </cell>
          <cell r="E717" t="str">
            <v>河南</v>
          </cell>
          <cell r="F717" t="str">
            <v>河南营销中心</v>
          </cell>
          <cell r="G717" t="str">
            <v>河南销售部</v>
          </cell>
          <cell r="H717" t="str">
            <v>张萍河南</v>
          </cell>
          <cell r="I717" t="str">
            <v>三星销售顾问</v>
          </cell>
        </row>
        <row r="718">
          <cell r="A718" t="str">
            <v>郑小强</v>
          </cell>
          <cell r="B718" t="str">
            <v>00699</v>
          </cell>
          <cell r="C718" t="str">
            <v>四川时代蜂族营销策划有限公司</v>
          </cell>
          <cell r="D718">
            <v>45099</v>
          </cell>
          <cell r="E718" t="str">
            <v>西南总部</v>
          </cell>
          <cell r="F718" t="str">
            <v>西南拓展中心</v>
          </cell>
          <cell r="G718" t="str">
            <v>川北</v>
          </cell>
        </row>
        <row r="718">
          <cell r="I718" t="str">
            <v>一星拓展专员</v>
          </cell>
        </row>
        <row r="719">
          <cell r="A719" t="str">
            <v>罗桂雪</v>
          </cell>
          <cell r="B719" t="str">
            <v>00693</v>
          </cell>
          <cell r="C719" t="str">
            <v>四川时代蜂族营销策划有限公司</v>
          </cell>
          <cell r="D719">
            <v>45097</v>
          </cell>
          <cell r="E719" t="str">
            <v>西南总部</v>
          </cell>
          <cell r="F719" t="str">
            <v>西南营销中心</v>
          </cell>
          <cell r="G719" t="str">
            <v>营业二部</v>
          </cell>
          <cell r="H719" t="str">
            <v>柏刚</v>
          </cell>
          <cell r="I719" t="str">
            <v>三星销售顾问</v>
          </cell>
        </row>
        <row r="720">
          <cell r="A720" t="str">
            <v>黄苹</v>
          </cell>
          <cell r="B720" t="str">
            <v>00692</v>
          </cell>
          <cell r="C720" t="str">
            <v>山东时代蜂族营销策划有限公司</v>
          </cell>
          <cell r="D720">
            <v>45091</v>
          </cell>
          <cell r="E720" t="str">
            <v>山东</v>
          </cell>
          <cell r="F720" t="str">
            <v>山东营销中心</v>
          </cell>
          <cell r="G720" t="str">
            <v>山东销售部</v>
          </cell>
          <cell r="H720" t="str">
            <v>王杰</v>
          </cell>
          <cell r="I720" t="str">
            <v>三星销售顾问</v>
          </cell>
        </row>
        <row r="721">
          <cell r="A721" t="str">
            <v>朱露颖</v>
          </cell>
          <cell r="B721" t="str">
            <v>00690</v>
          </cell>
          <cell r="C721" t="str">
            <v>陕西蜂族科技有限公司</v>
          </cell>
          <cell r="D721">
            <v>45086</v>
          </cell>
          <cell r="E721" t="str">
            <v>陕西</v>
          </cell>
          <cell r="F721" t="str">
            <v>陕西营销中心</v>
          </cell>
          <cell r="G721" t="str">
            <v>陕西1部</v>
          </cell>
        </row>
        <row r="721">
          <cell r="I721" t="str">
            <v>二星实习经理</v>
          </cell>
        </row>
        <row r="722">
          <cell r="A722" t="str">
            <v>陈银</v>
          </cell>
          <cell r="B722" t="str">
            <v>00687</v>
          </cell>
          <cell r="C722" t="str">
            <v>河北时代蜂族营销策划有限公司</v>
          </cell>
          <cell r="D722">
            <v>45082</v>
          </cell>
          <cell r="E722" t="str">
            <v>河北</v>
          </cell>
          <cell r="F722" t="str">
            <v>河北营销中心</v>
          </cell>
          <cell r="G722" t="str">
            <v>河北销售部</v>
          </cell>
          <cell r="H722" t="str">
            <v>李港一</v>
          </cell>
          <cell r="I722" t="str">
            <v>三星销售顾问</v>
          </cell>
        </row>
        <row r="723">
          <cell r="A723" t="str">
            <v>蒋吉勇</v>
          </cell>
          <cell r="B723" t="str">
            <v>00682</v>
          </cell>
          <cell r="C723" t="str">
            <v>四川时代蜂族营销策划有限公司</v>
          </cell>
          <cell r="D723">
            <v>45068</v>
          </cell>
          <cell r="E723" t="str">
            <v>河南</v>
          </cell>
          <cell r="F723" t="str">
            <v>河南营销中心</v>
          </cell>
          <cell r="G723" t="str">
            <v>河南销售部</v>
          </cell>
        </row>
        <row r="723">
          <cell r="I723" t="str">
            <v>二星实习经理</v>
          </cell>
        </row>
        <row r="724">
          <cell r="A724" t="str">
            <v>王融成</v>
          </cell>
          <cell r="B724" t="str">
            <v>00679</v>
          </cell>
          <cell r="C724" t="str">
            <v>陕西蜂族科技有限公司</v>
          </cell>
          <cell r="D724">
            <v>45065</v>
          </cell>
          <cell r="E724" t="str">
            <v>陕西</v>
          </cell>
          <cell r="F724" t="str">
            <v>陕西拓展部</v>
          </cell>
          <cell r="G724" t="str">
            <v>陕西1区</v>
          </cell>
        </row>
        <row r="724">
          <cell r="I724" t="str">
            <v>一星拓展专员</v>
          </cell>
        </row>
        <row r="725">
          <cell r="A725" t="str">
            <v>汪俊</v>
          </cell>
          <cell r="B725" t="str">
            <v>00676</v>
          </cell>
          <cell r="C725" t="str">
            <v>湖北蜜蜂族房地产经纪有限公司</v>
          </cell>
          <cell r="D725">
            <v>45063</v>
          </cell>
          <cell r="E725" t="str">
            <v>湖北</v>
          </cell>
          <cell r="F725" t="str">
            <v>湖北营销中心</v>
          </cell>
          <cell r="G725" t="str">
            <v>湖北2部</v>
          </cell>
          <cell r="H725" t="str">
            <v>吴明银</v>
          </cell>
          <cell r="I725" t="str">
            <v>三星销售顾问</v>
          </cell>
        </row>
        <row r="726">
          <cell r="A726" t="str">
            <v>戢小霞</v>
          </cell>
          <cell r="B726" t="str">
            <v>00674</v>
          </cell>
          <cell r="C726" t="str">
            <v>湖北蜜蜂族房地产经纪有限公司</v>
          </cell>
          <cell r="D726">
            <v>45062</v>
          </cell>
          <cell r="E726" t="str">
            <v>湖北</v>
          </cell>
          <cell r="F726" t="str">
            <v>湖北拓展部</v>
          </cell>
        </row>
        <row r="726">
          <cell r="I726" t="str">
            <v>一星拓展专员</v>
          </cell>
        </row>
        <row r="727">
          <cell r="A727" t="str">
            <v>孙宇</v>
          </cell>
          <cell r="B727" t="str">
            <v>00671</v>
          </cell>
          <cell r="C727" t="str">
            <v>陕西蜂族科技有限公司</v>
          </cell>
          <cell r="D727">
            <v>45059</v>
          </cell>
          <cell r="E727" t="str">
            <v>陕西</v>
          </cell>
          <cell r="F727" t="str">
            <v>陕西营销中心</v>
          </cell>
          <cell r="G727" t="str">
            <v>陕西1部</v>
          </cell>
        </row>
        <row r="727">
          <cell r="I727" t="str">
            <v>一星实习经理</v>
          </cell>
        </row>
        <row r="728">
          <cell r="A728" t="str">
            <v>杨永梅</v>
          </cell>
          <cell r="B728" t="str">
            <v>00666</v>
          </cell>
          <cell r="C728" t="str">
            <v>四川时代蜂族营销策划有限公司</v>
          </cell>
          <cell r="D728">
            <v>45056</v>
          </cell>
          <cell r="E728" t="str">
            <v>陕西</v>
          </cell>
          <cell r="F728" t="str">
            <v>陕西营销中心</v>
          </cell>
          <cell r="G728" t="str">
            <v>陕西1部</v>
          </cell>
        </row>
        <row r="728">
          <cell r="I728" t="str">
            <v>三星实习经理</v>
          </cell>
        </row>
        <row r="729">
          <cell r="A729" t="str">
            <v>张静</v>
          </cell>
          <cell r="B729" t="str">
            <v>00656</v>
          </cell>
          <cell r="C729" t="str">
            <v>四川金巴牛网络科技有限公司</v>
          </cell>
          <cell r="D729">
            <v>45049</v>
          </cell>
          <cell r="E729" t="str">
            <v>集团职能</v>
          </cell>
          <cell r="F729" t="str">
            <v>职能总部</v>
          </cell>
          <cell r="G729" t="str">
            <v>技术部</v>
          </cell>
        </row>
        <row r="729">
          <cell r="I729" t="str">
            <v>前端工程师</v>
          </cell>
        </row>
        <row r="730">
          <cell r="A730" t="str">
            <v>倪艳萍</v>
          </cell>
          <cell r="B730" t="str">
            <v>00657</v>
          </cell>
          <cell r="C730" t="str">
            <v>四川蜂起营销策划有限公司</v>
          </cell>
          <cell r="D730">
            <v>45049</v>
          </cell>
          <cell r="E730" t="str">
            <v>集团职能</v>
          </cell>
          <cell r="F730" t="str">
            <v>职能营销</v>
          </cell>
          <cell r="G730" t="str">
            <v>设计部</v>
          </cell>
        </row>
        <row r="730">
          <cell r="I730" t="str">
            <v>设计专员</v>
          </cell>
        </row>
        <row r="731">
          <cell r="A731" t="str">
            <v>李先洪</v>
          </cell>
          <cell r="B731" t="str">
            <v>00654</v>
          </cell>
          <cell r="C731" t="str">
            <v>四川时代蜂族营销策划有限公司</v>
          </cell>
          <cell r="D731">
            <v>45046</v>
          </cell>
          <cell r="E731" t="str">
            <v>西南总部</v>
          </cell>
          <cell r="F731" t="str">
            <v>西南营销中心</v>
          </cell>
          <cell r="G731" t="str">
            <v>营业二部</v>
          </cell>
        </row>
        <row r="731">
          <cell r="I731" t="str">
            <v>一星实习经理</v>
          </cell>
        </row>
        <row r="732">
          <cell r="A732" t="str">
            <v>刘鹏</v>
          </cell>
          <cell r="B732" t="str">
            <v>00653</v>
          </cell>
          <cell r="C732" t="str">
            <v>四川时代蜂族营销策划有限公司</v>
          </cell>
          <cell r="D732">
            <v>45045</v>
          </cell>
          <cell r="E732" t="str">
            <v>西南总部</v>
          </cell>
          <cell r="F732" t="str">
            <v>西南营销中心</v>
          </cell>
          <cell r="G732" t="str">
            <v>营业七部</v>
          </cell>
        </row>
        <row r="732">
          <cell r="I732" t="str">
            <v>二星实习经理</v>
          </cell>
        </row>
        <row r="733">
          <cell r="A733" t="str">
            <v>张家涛</v>
          </cell>
          <cell r="B733" t="str">
            <v>00648</v>
          </cell>
          <cell r="C733" t="str">
            <v>成都蓉天城房地产营销策划有限公司</v>
          </cell>
          <cell r="D733">
            <v>45040</v>
          </cell>
          <cell r="E733" t="str">
            <v>西南总部</v>
          </cell>
          <cell r="F733" t="str">
            <v>西南营销中心</v>
          </cell>
          <cell r="G733" t="str">
            <v>营业七部</v>
          </cell>
          <cell r="H733" t="str">
            <v>程新浩</v>
          </cell>
          <cell r="I733" t="str">
            <v>二星实习经理</v>
          </cell>
        </row>
        <row r="734">
          <cell r="A734" t="str">
            <v>吴成杨</v>
          </cell>
          <cell r="B734" t="str">
            <v>00647</v>
          </cell>
          <cell r="C734" t="str">
            <v>陕西蜂族科技有限公司</v>
          </cell>
          <cell r="D734">
            <v>45036</v>
          </cell>
          <cell r="E734" t="str">
            <v>陕西</v>
          </cell>
          <cell r="F734" t="str">
            <v>陕西营销中心</v>
          </cell>
          <cell r="G734" t="str">
            <v>陕西1部</v>
          </cell>
          <cell r="H734" t="str">
            <v>杨永梅</v>
          </cell>
          <cell r="I734" t="str">
            <v>三星销售顾问</v>
          </cell>
        </row>
        <row r="735">
          <cell r="A735" t="str">
            <v>陈彪</v>
          </cell>
          <cell r="B735" t="str">
            <v>00646</v>
          </cell>
          <cell r="C735" t="str">
            <v>四川时代蜂族营销策划有限公司</v>
          </cell>
          <cell r="D735">
            <v>45035</v>
          </cell>
          <cell r="E735" t="str">
            <v>西南总部</v>
          </cell>
          <cell r="F735" t="str">
            <v>西南营销中心</v>
          </cell>
          <cell r="G735" t="str">
            <v>营业七部</v>
          </cell>
        </row>
        <row r="735">
          <cell r="I735" t="str">
            <v>一星实习经理</v>
          </cell>
        </row>
        <row r="736">
          <cell r="A736" t="str">
            <v>陈俊儒</v>
          </cell>
          <cell r="B736" t="str">
            <v>00645</v>
          </cell>
          <cell r="C736" t="str">
            <v>湖北蜜蜂族房地产经纪有限公司</v>
          </cell>
          <cell r="D736">
            <v>45031</v>
          </cell>
          <cell r="E736" t="str">
            <v>湖北</v>
          </cell>
          <cell r="F736" t="str">
            <v>湖北营销中心</v>
          </cell>
          <cell r="G736" t="str">
            <v>湖北2部</v>
          </cell>
        </row>
        <row r="736">
          <cell r="I736" t="str">
            <v>一星实习经理</v>
          </cell>
        </row>
        <row r="737">
          <cell r="A737" t="str">
            <v>任枭月</v>
          </cell>
          <cell r="B737" t="str">
            <v>00641</v>
          </cell>
          <cell r="C737" t="str">
            <v>河南蜜蜂族营销策划有限公司</v>
          </cell>
          <cell r="D737">
            <v>45029</v>
          </cell>
          <cell r="E737" t="str">
            <v>河南</v>
          </cell>
          <cell r="F737" t="str">
            <v>河南营销中心</v>
          </cell>
          <cell r="G737" t="str">
            <v>河南销售部</v>
          </cell>
        </row>
        <row r="737">
          <cell r="I737" t="str">
            <v>一星实习经理</v>
          </cell>
        </row>
        <row r="738">
          <cell r="A738" t="str">
            <v>陶静</v>
          </cell>
          <cell r="B738" t="str">
            <v>00637</v>
          </cell>
          <cell r="C738" t="str">
            <v>四川时代蜂族营销策划有限公司</v>
          </cell>
          <cell r="D738">
            <v>45029</v>
          </cell>
          <cell r="E738" t="str">
            <v>西南总部</v>
          </cell>
          <cell r="F738" t="str">
            <v>西南营销中心</v>
          </cell>
          <cell r="G738" t="str">
            <v>营业四部</v>
          </cell>
          <cell r="H738" t="str">
            <v>刘亮</v>
          </cell>
          <cell r="I738" t="str">
            <v>三星销售顾问</v>
          </cell>
        </row>
        <row r="739">
          <cell r="A739" t="str">
            <v>邓富</v>
          </cell>
          <cell r="B739" t="str">
            <v>00643</v>
          </cell>
          <cell r="C739" t="str">
            <v>山西时代蜂族房地产经纪有限公司</v>
          </cell>
          <cell r="D739">
            <v>45029</v>
          </cell>
          <cell r="E739" t="str">
            <v>山西</v>
          </cell>
          <cell r="F739" t="str">
            <v>山西营销中心</v>
          </cell>
          <cell r="G739" t="str">
            <v>山西销售部</v>
          </cell>
        </row>
        <row r="739">
          <cell r="I739" t="str">
            <v>二星实习经理</v>
          </cell>
        </row>
        <row r="740">
          <cell r="A740" t="str">
            <v>王彬力</v>
          </cell>
          <cell r="B740" t="str">
            <v>00635</v>
          </cell>
          <cell r="C740" t="str">
            <v>成都蓉天城房地产营销策划有限公司</v>
          </cell>
          <cell r="D740">
            <v>45025</v>
          </cell>
          <cell r="E740" t="str">
            <v>西南总部</v>
          </cell>
          <cell r="F740" t="str">
            <v>西南营销中心</v>
          </cell>
          <cell r="G740" t="str">
            <v>营业二部</v>
          </cell>
        </row>
        <row r="740">
          <cell r="I740" t="str">
            <v>二星实习经理</v>
          </cell>
        </row>
        <row r="741">
          <cell r="A741" t="str">
            <v>安芮</v>
          </cell>
          <cell r="B741" t="str">
            <v>00631</v>
          </cell>
          <cell r="C741" t="str">
            <v>四川时代蜂族营销策划有限公司</v>
          </cell>
          <cell r="D741">
            <v>45021</v>
          </cell>
          <cell r="E741" t="str">
            <v>内蒙古</v>
          </cell>
          <cell r="F741" t="str">
            <v>内蒙古营销中心</v>
          </cell>
          <cell r="G741" t="str">
            <v>内蒙古销售部</v>
          </cell>
        </row>
        <row r="741">
          <cell r="I741" t="str">
            <v>一星正式经理</v>
          </cell>
        </row>
        <row r="742">
          <cell r="A742" t="str">
            <v>范琴</v>
          </cell>
          <cell r="B742" t="str">
            <v>00628</v>
          </cell>
          <cell r="C742" t="str">
            <v>四川时代蜂族营销策划有限公司</v>
          </cell>
          <cell r="D742">
            <v>45019</v>
          </cell>
          <cell r="E742" t="str">
            <v>西南总部</v>
          </cell>
          <cell r="F742" t="str">
            <v>西南营销中心</v>
          </cell>
          <cell r="G742" t="str">
            <v>营业二部</v>
          </cell>
          <cell r="H742" t="str">
            <v>柏刚</v>
          </cell>
          <cell r="I742" t="str">
            <v>三星销售顾问</v>
          </cell>
        </row>
        <row r="743">
          <cell r="A743" t="str">
            <v>张俊</v>
          </cell>
          <cell r="B743" t="str">
            <v>00622</v>
          </cell>
          <cell r="C743" t="str">
            <v>陕西蜂族科技有限公司</v>
          </cell>
          <cell r="D743">
            <v>45015</v>
          </cell>
          <cell r="E743" t="str">
            <v>陕西</v>
          </cell>
          <cell r="F743" t="str">
            <v>陕西拓展部</v>
          </cell>
          <cell r="G743" t="str">
            <v>陕西2区</v>
          </cell>
        </row>
        <row r="743">
          <cell r="I743" t="str">
            <v>一星拓展专员</v>
          </cell>
        </row>
        <row r="744">
          <cell r="A744" t="str">
            <v>李开来</v>
          </cell>
          <cell r="B744" t="str">
            <v>00621</v>
          </cell>
          <cell r="C744" t="str">
            <v>四川时代蜂族营销策划有限公司</v>
          </cell>
          <cell r="D744">
            <v>45014</v>
          </cell>
          <cell r="E744" t="str">
            <v>山西</v>
          </cell>
          <cell r="F744" t="str">
            <v>山西营销中心</v>
          </cell>
          <cell r="G744" t="str">
            <v>山西销售部</v>
          </cell>
          <cell r="H744" t="str">
            <v>吴志虎山西</v>
          </cell>
          <cell r="I744" t="str">
            <v>三星销售顾问</v>
          </cell>
        </row>
        <row r="745">
          <cell r="A745" t="str">
            <v>唐浪波</v>
          </cell>
          <cell r="B745" t="str">
            <v>00620</v>
          </cell>
          <cell r="C745" t="str">
            <v>四川时代蜂族营销策划有限公司</v>
          </cell>
          <cell r="D745">
            <v>45014</v>
          </cell>
          <cell r="E745" t="str">
            <v>西南总部</v>
          </cell>
          <cell r="F745" t="str">
            <v>西南营销中心</v>
          </cell>
          <cell r="G745" t="str">
            <v>营业一部</v>
          </cell>
        </row>
        <row r="745">
          <cell r="I745" t="str">
            <v>一星实习经理</v>
          </cell>
        </row>
        <row r="746">
          <cell r="A746" t="str">
            <v>韦霞</v>
          </cell>
          <cell r="B746" t="str">
            <v>00614</v>
          </cell>
          <cell r="C746" t="str">
            <v>成都蓉天城房地产营销策划有限公司</v>
          </cell>
          <cell r="D746">
            <v>45012</v>
          </cell>
          <cell r="E746" t="str">
            <v>河北</v>
          </cell>
          <cell r="F746" t="str">
            <v>河北营销中心</v>
          </cell>
          <cell r="G746" t="str">
            <v>河北销售部</v>
          </cell>
        </row>
        <row r="746">
          <cell r="I746" t="str">
            <v>二星实习经理</v>
          </cell>
        </row>
        <row r="747">
          <cell r="A747" t="str">
            <v>朱全兰</v>
          </cell>
          <cell r="B747" t="str">
            <v>00615</v>
          </cell>
          <cell r="C747" t="str">
            <v>陕西蜂族科技有限公司</v>
          </cell>
          <cell r="D747">
            <v>45011</v>
          </cell>
          <cell r="E747" t="str">
            <v>陕西</v>
          </cell>
          <cell r="F747" t="str">
            <v>陕西营销中心</v>
          </cell>
          <cell r="G747" t="str">
            <v>陕西2部</v>
          </cell>
        </row>
        <row r="747">
          <cell r="I747" t="str">
            <v>一星实习经理</v>
          </cell>
        </row>
        <row r="748">
          <cell r="A748" t="str">
            <v>李权益</v>
          </cell>
          <cell r="B748" t="str">
            <v>00612</v>
          </cell>
          <cell r="C748" t="str">
            <v>山西时代蜂族房地产经纪有限公司</v>
          </cell>
          <cell r="D748">
            <v>45009</v>
          </cell>
          <cell r="E748" t="str">
            <v>山西</v>
          </cell>
          <cell r="F748" t="str">
            <v>山西营销中心</v>
          </cell>
          <cell r="G748" t="str">
            <v>山西销售部</v>
          </cell>
        </row>
        <row r="748">
          <cell r="I748" t="str">
            <v>一星正式经理</v>
          </cell>
        </row>
        <row r="749">
          <cell r="A749" t="str">
            <v>谭迪</v>
          </cell>
          <cell r="B749" t="str">
            <v>00611</v>
          </cell>
          <cell r="C749" t="str">
            <v>四川时代蜂族营销策划有限公司</v>
          </cell>
          <cell r="D749">
            <v>45009</v>
          </cell>
          <cell r="E749" t="str">
            <v>西南总部</v>
          </cell>
          <cell r="F749" t="str">
            <v>西南营销中心</v>
          </cell>
          <cell r="G749" t="str">
            <v>营业四部</v>
          </cell>
          <cell r="H749" t="str">
            <v>陈嘉文</v>
          </cell>
          <cell r="I749" t="str">
            <v>三星销售顾问</v>
          </cell>
        </row>
        <row r="750">
          <cell r="A750" t="str">
            <v>赵国富</v>
          </cell>
          <cell r="B750" t="str">
            <v>00609</v>
          </cell>
          <cell r="C750" t="str">
            <v>湖北蜜蜂族房地产经纪有限公司</v>
          </cell>
          <cell r="D750">
            <v>45007</v>
          </cell>
          <cell r="E750" t="str">
            <v>湖北</v>
          </cell>
          <cell r="F750" t="str">
            <v>湖北营销中心</v>
          </cell>
          <cell r="G750" t="str">
            <v>湖北2部</v>
          </cell>
        </row>
        <row r="750">
          <cell r="I750" t="str">
            <v>二星实习经理</v>
          </cell>
        </row>
        <row r="751">
          <cell r="A751" t="str">
            <v>陈滟</v>
          </cell>
          <cell r="B751" t="str">
            <v>00608</v>
          </cell>
          <cell r="C751" t="str">
            <v>四川时代蜂族营销策划有限公司</v>
          </cell>
          <cell r="D751">
            <v>45006</v>
          </cell>
          <cell r="E751" t="str">
            <v>西南总部</v>
          </cell>
          <cell r="F751" t="str">
            <v>西南营销中心</v>
          </cell>
          <cell r="G751" t="str">
            <v>营业三部</v>
          </cell>
          <cell r="H751" t="str">
            <v>肖秀丽</v>
          </cell>
          <cell r="I751" t="str">
            <v>三星销售顾问</v>
          </cell>
        </row>
        <row r="752">
          <cell r="A752" t="str">
            <v>向高涵</v>
          </cell>
          <cell r="B752" t="str">
            <v>00590</v>
          </cell>
          <cell r="C752" t="str">
            <v>四川时代蜂族营销策划有限公司</v>
          </cell>
          <cell r="D752">
            <v>44982</v>
          </cell>
          <cell r="E752" t="str">
            <v>西南总部</v>
          </cell>
          <cell r="F752" t="str">
            <v>西南拓展中心</v>
          </cell>
          <cell r="G752" t="str">
            <v>川东</v>
          </cell>
        </row>
        <row r="752">
          <cell r="I752" t="str">
            <v>二星拓展专员</v>
          </cell>
        </row>
        <row r="753">
          <cell r="A753" t="str">
            <v>梁霞</v>
          </cell>
          <cell r="B753" t="str">
            <v>00585</v>
          </cell>
          <cell r="C753" t="str">
            <v>四川优诺通瑞商贸有限公司</v>
          </cell>
          <cell r="D753">
            <v>44978</v>
          </cell>
          <cell r="E753" t="str">
            <v>集团职能</v>
          </cell>
          <cell r="F753" t="str">
            <v>职能总部</v>
          </cell>
          <cell r="G753" t="str">
            <v>业绩增长部</v>
          </cell>
        </row>
        <row r="753">
          <cell r="I753" t="str">
            <v>业绩增长部经理</v>
          </cell>
        </row>
        <row r="754">
          <cell r="A754" t="str">
            <v>辜兰杰</v>
          </cell>
          <cell r="B754" t="str">
            <v>00582</v>
          </cell>
          <cell r="C754" t="str">
            <v>四川时代蜂族营销策划有限公司</v>
          </cell>
          <cell r="D754">
            <v>44973</v>
          </cell>
          <cell r="E754" t="str">
            <v>西南总部</v>
          </cell>
          <cell r="F754" t="str">
            <v>西南营销中心</v>
          </cell>
          <cell r="G754" t="str">
            <v>营业一部</v>
          </cell>
          <cell r="H754" t="str">
            <v>雷小金</v>
          </cell>
          <cell r="I754" t="str">
            <v>三星销售顾问</v>
          </cell>
        </row>
        <row r="755">
          <cell r="A755" t="str">
            <v>曾竞超</v>
          </cell>
          <cell r="B755" t="str">
            <v>00577</v>
          </cell>
          <cell r="C755" t="str">
            <v>四川时代蜂族营销策划有限公司</v>
          </cell>
          <cell r="D755">
            <v>44969</v>
          </cell>
          <cell r="E755" t="str">
            <v>西南总部</v>
          </cell>
          <cell r="F755" t="str">
            <v>西南营销中心</v>
          </cell>
          <cell r="G755" t="str">
            <v>营业三部</v>
          </cell>
        </row>
        <row r="755">
          <cell r="I755" t="str">
            <v>二星实习经理</v>
          </cell>
        </row>
        <row r="756">
          <cell r="A756" t="str">
            <v>钟魁</v>
          </cell>
          <cell r="B756" t="str">
            <v>00574</v>
          </cell>
          <cell r="C756" t="str">
            <v>山东时代蜂族营销策划有限公司</v>
          </cell>
          <cell r="D756">
            <v>44968</v>
          </cell>
          <cell r="E756" t="str">
            <v>山东</v>
          </cell>
          <cell r="F756" t="str">
            <v>山东营销中心</v>
          </cell>
          <cell r="G756" t="str">
            <v>山东销售部</v>
          </cell>
          <cell r="H756" t="str">
            <v>李祥春</v>
          </cell>
          <cell r="I756" t="str">
            <v>三星销售顾问</v>
          </cell>
        </row>
        <row r="757">
          <cell r="A757" t="str">
            <v>韩太</v>
          </cell>
          <cell r="B757" t="str">
            <v>00568</v>
          </cell>
          <cell r="C757" t="str">
            <v>湖北蜜蜂族房地产经纪有限公司</v>
          </cell>
          <cell r="D757">
            <v>44964</v>
          </cell>
          <cell r="E757" t="str">
            <v>湖北</v>
          </cell>
          <cell r="F757" t="str">
            <v>湖北拓展部</v>
          </cell>
        </row>
        <row r="757">
          <cell r="I757" t="str">
            <v>二星拓展专员</v>
          </cell>
        </row>
        <row r="758">
          <cell r="A758" t="str">
            <v>田静</v>
          </cell>
          <cell r="B758" t="str">
            <v>00567</v>
          </cell>
          <cell r="C758" t="str">
            <v>四川金巴牛网络科技有限公司</v>
          </cell>
          <cell r="D758">
            <v>44964</v>
          </cell>
          <cell r="E758" t="str">
            <v>集团职能</v>
          </cell>
          <cell r="F758" t="str">
            <v>职能总部</v>
          </cell>
          <cell r="G758" t="str">
            <v>技术部</v>
          </cell>
        </row>
        <row r="758">
          <cell r="I758" t="str">
            <v>产品经理</v>
          </cell>
        </row>
        <row r="759">
          <cell r="A759" t="str">
            <v>叶湑</v>
          </cell>
          <cell r="B759" t="str">
            <v>00562</v>
          </cell>
          <cell r="C759" t="str">
            <v>陕西蜂族科技有限公司</v>
          </cell>
          <cell r="D759">
            <v>44962</v>
          </cell>
          <cell r="E759" t="str">
            <v>陕西</v>
          </cell>
          <cell r="F759" t="str">
            <v>陕西营销中心</v>
          </cell>
          <cell r="G759" t="str">
            <v>陕西1部</v>
          </cell>
        </row>
        <row r="759">
          <cell r="I759" t="str">
            <v>二星实习经理</v>
          </cell>
        </row>
        <row r="760">
          <cell r="A760" t="str">
            <v>邱凯</v>
          </cell>
          <cell r="B760" t="str">
            <v>00560</v>
          </cell>
          <cell r="C760" t="str">
            <v>山东时代蜂族营销策划有限公司</v>
          </cell>
          <cell r="D760">
            <v>44961</v>
          </cell>
          <cell r="E760" t="str">
            <v>山东</v>
          </cell>
          <cell r="F760" t="str">
            <v>山东营销中心</v>
          </cell>
          <cell r="G760" t="str">
            <v>山东销售部</v>
          </cell>
          <cell r="H760" t="str">
            <v>杨唐山东</v>
          </cell>
          <cell r="I760" t="str">
            <v>三星销售顾问</v>
          </cell>
        </row>
        <row r="761">
          <cell r="A761" t="str">
            <v>聂闵</v>
          </cell>
          <cell r="B761" t="str">
            <v>00556</v>
          </cell>
          <cell r="C761" t="str">
            <v>陕西蜂族科技有限公司</v>
          </cell>
          <cell r="D761">
            <v>44960</v>
          </cell>
          <cell r="E761" t="str">
            <v>陕西</v>
          </cell>
          <cell r="F761" t="str">
            <v>陕西营销中心</v>
          </cell>
          <cell r="G761" t="str">
            <v>陕西1部</v>
          </cell>
          <cell r="H761" t="str">
            <v>孙宇</v>
          </cell>
          <cell r="I761" t="str">
            <v>三星销售顾问</v>
          </cell>
        </row>
        <row r="762">
          <cell r="A762" t="str">
            <v>吴明银</v>
          </cell>
          <cell r="B762" t="str">
            <v>00554</v>
          </cell>
          <cell r="C762" t="str">
            <v>湖北蜜蜂族房地产经纪有限公司</v>
          </cell>
          <cell r="D762">
            <v>44959</v>
          </cell>
          <cell r="E762" t="str">
            <v>湖北</v>
          </cell>
          <cell r="F762" t="str">
            <v>湖北营销中心</v>
          </cell>
          <cell r="G762" t="str">
            <v>湖北2部</v>
          </cell>
        </row>
        <row r="762">
          <cell r="I762" t="str">
            <v>一星实习经理</v>
          </cell>
        </row>
        <row r="763">
          <cell r="A763" t="str">
            <v>谢小东</v>
          </cell>
          <cell r="B763" t="str">
            <v>00551</v>
          </cell>
          <cell r="C763" t="str">
            <v>湖北蜜蜂族房地产经纪有限公司</v>
          </cell>
          <cell r="D763">
            <v>44937</v>
          </cell>
          <cell r="E763" t="str">
            <v>湖北</v>
          </cell>
          <cell r="F763" t="str">
            <v>湖北营销中心</v>
          </cell>
          <cell r="G763" t="str">
            <v>湖北1部</v>
          </cell>
          <cell r="H763" t="str">
            <v>林浩</v>
          </cell>
          <cell r="I763" t="str">
            <v>三星销售顾问</v>
          </cell>
        </row>
        <row r="764">
          <cell r="A764" t="str">
            <v>陈晓辉</v>
          </cell>
          <cell r="B764" t="str">
            <v>00549</v>
          </cell>
          <cell r="C764" t="str">
            <v>湖北蜜蜂族房地产经纪有限公司</v>
          </cell>
          <cell r="D764">
            <v>44933</v>
          </cell>
          <cell r="E764" t="str">
            <v>湖北</v>
          </cell>
          <cell r="F764" t="str">
            <v>湖北营销中心</v>
          </cell>
          <cell r="G764" t="str">
            <v>湖北2部</v>
          </cell>
          <cell r="H764" t="str">
            <v>陈晓辉</v>
          </cell>
          <cell r="I764" t="str">
            <v>部长</v>
          </cell>
        </row>
        <row r="765">
          <cell r="A765" t="str">
            <v>刘凯</v>
          </cell>
          <cell r="B765" t="str">
            <v>00545</v>
          </cell>
          <cell r="C765" t="str">
            <v>湖北蜜蜂族房地产经纪有限公司</v>
          </cell>
          <cell r="D765">
            <v>44931</v>
          </cell>
          <cell r="E765" t="str">
            <v>湖北</v>
          </cell>
          <cell r="F765" t="str">
            <v>湖北营销中心</v>
          </cell>
          <cell r="G765" t="str">
            <v>湖北1部</v>
          </cell>
          <cell r="H765" t="str">
            <v>林浩</v>
          </cell>
          <cell r="I765" t="str">
            <v>三星销售顾问</v>
          </cell>
        </row>
        <row r="766">
          <cell r="A766" t="str">
            <v>王艺燕</v>
          </cell>
          <cell r="B766" t="str">
            <v>00540</v>
          </cell>
          <cell r="C766" t="str">
            <v>四川时代蜂族营销策划有限公司</v>
          </cell>
          <cell r="D766">
            <v>44930</v>
          </cell>
          <cell r="E766" t="str">
            <v>山西</v>
          </cell>
          <cell r="F766" t="str">
            <v>山西营销中心</v>
          </cell>
          <cell r="G766" t="str">
            <v>山西销售部</v>
          </cell>
          <cell r="H766" t="str">
            <v>吴志虎山西</v>
          </cell>
          <cell r="I766" t="str">
            <v>三星销售顾问</v>
          </cell>
        </row>
        <row r="767">
          <cell r="A767" t="str">
            <v>陈炳佑</v>
          </cell>
          <cell r="B767" t="str">
            <v>00536</v>
          </cell>
          <cell r="C767" t="str">
            <v>湖南时代蜂族营销策划有限公司</v>
          </cell>
          <cell r="D767">
            <v>44926</v>
          </cell>
          <cell r="E767" t="str">
            <v>湖南</v>
          </cell>
          <cell r="F767" t="str">
            <v>湖南营销中心</v>
          </cell>
          <cell r="G767" t="str">
            <v>湖南销售部</v>
          </cell>
        </row>
        <row r="767">
          <cell r="I767" t="str">
            <v>二星实习经理</v>
          </cell>
        </row>
        <row r="768">
          <cell r="A768" t="str">
            <v>江豪</v>
          </cell>
          <cell r="B768" t="str">
            <v>00532</v>
          </cell>
          <cell r="C768" t="str">
            <v>湖北蜜蜂族房地产经纪有限公司</v>
          </cell>
          <cell r="D768">
            <v>44924</v>
          </cell>
          <cell r="E768" t="str">
            <v>湖北</v>
          </cell>
          <cell r="F768" t="str">
            <v>湖北营销中心</v>
          </cell>
          <cell r="G768" t="str">
            <v>湖北1部</v>
          </cell>
          <cell r="H768" t="str">
            <v>秦娅玲</v>
          </cell>
          <cell r="I768" t="str">
            <v>三星销售顾问</v>
          </cell>
        </row>
        <row r="769">
          <cell r="A769" t="str">
            <v>余金梅</v>
          </cell>
          <cell r="B769" t="str">
            <v>00527</v>
          </cell>
          <cell r="C769" t="str">
            <v>河南蜜蜂族营销策划有限公司</v>
          </cell>
          <cell r="D769">
            <v>44922</v>
          </cell>
          <cell r="E769" t="str">
            <v>河南</v>
          </cell>
          <cell r="F769" t="str">
            <v>河南营销中心</v>
          </cell>
          <cell r="G769" t="str">
            <v>河南销售部</v>
          </cell>
        </row>
        <row r="769">
          <cell r="I769" t="str">
            <v>一星正式经理</v>
          </cell>
        </row>
        <row r="770">
          <cell r="A770" t="str">
            <v>蒙建</v>
          </cell>
          <cell r="B770" t="str">
            <v>00528</v>
          </cell>
          <cell r="C770" t="str">
            <v>陕西蜂族科技有限公司</v>
          </cell>
          <cell r="D770">
            <v>44922</v>
          </cell>
          <cell r="E770" t="str">
            <v>陕西</v>
          </cell>
          <cell r="F770" t="str">
            <v>陕西营销中心</v>
          </cell>
          <cell r="G770" t="str">
            <v>陕西2部</v>
          </cell>
        </row>
        <row r="770">
          <cell r="I770" t="str">
            <v>二星实习经理</v>
          </cell>
        </row>
        <row r="771">
          <cell r="A771" t="str">
            <v>魏飞翔</v>
          </cell>
          <cell r="B771" t="str">
            <v>00522</v>
          </cell>
          <cell r="C771" t="str">
            <v>四川时代蜂族营销策划有限公司</v>
          </cell>
          <cell r="D771">
            <v>44919</v>
          </cell>
          <cell r="E771" t="str">
            <v>西南总部</v>
          </cell>
          <cell r="F771" t="str">
            <v>西南营销中心</v>
          </cell>
          <cell r="G771" t="str">
            <v>营业二部</v>
          </cell>
        </row>
        <row r="771">
          <cell r="I771" t="str">
            <v>一星正式经理</v>
          </cell>
        </row>
        <row r="772">
          <cell r="A772" t="str">
            <v>肖佳</v>
          </cell>
          <cell r="B772" t="str">
            <v>00521</v>
          </cell>
          <cell r="C772" t="str">
            <v>山东时代蜂族营销策划有限公司</v>
          </cell>
          <cell r="D772">
            <v>44919</v>
          </cell>
          <cell r="E772" t="str">
            <v>山东</v>
          </cell>
          <cell r="F772" t="str">
            <v>山东营销中心</v>
          </cell>
          <cell r="G772" t="str">
            <v>山东销售部</v>
          </cell>
          <cell r="H772" t="str">
            <v>肖佳</v>
          </cell>
          <cell r="I772" t="str">
            <v>一星正式经理</v>
          </cell>
        </row>
        <row r="773">
          <cell r="A773" t="str">
            <v>杨勇</v>
          </cell>
          <cell r="B773" t="str">
            <v>00520</v>
          </cell>
          <cell r="C773" t="str">
            <v>山西时代蜂族房地产经纪有限公司</v>
          </cell>
          <cell r="D773">
            <v>44918</v>
          </cell>
          <cell r="E773" t="str">
            <v>山西</v>
          </cell>
          <cell r="F773" t="str">
            <v>山西拓展部</v>
          </cell>
        </row>
        <row r="773">
          <cell r="I773" t="str">
            <v>二星拓展专员</v>
          </cell>
        </row>
        <row r="774">
          <cell r="A774" t="str">
            <v>杨航</v>
          </cell>
          <cell r="B774" t="str">
            <v>00518</v>
          </cell>
          <cell r="C774" t="str">
            <v>四川时代蜂族营销策划有限公司</v>
          </cell>
          <cell r="D774">
            <v>44917</v>
          </cell>
          <cell r="E774" t="str">
            <v>河南</v>
          </cell>
          <cell r="F774" t="str">
            <v>河南营销中心</v>
          </cell>
          <cell r="G774" t="str">
            <v>河南销售部</v>
          </cell>
          <cell r="H774" t="str">
            <v>周吉双河南</v>
          </cell>
          <cell r="I774" t="str">
            <v>三星销售顾问</v>
          </cell>
        </row>
        <row r="775">
          <cell r="A775" t="str">
            <v>魏浪</v>
          </cell>
          <cell r="B775" t="str">
            <v>00516</v>
          </cell>
          <cell r="C775" t="str">
            <v>四川时代蜂族营销策划有限公司</v>
          </cell>
          <cell r="D775">
            <v>44916</v>
          </cell>
          <cell r="E775" t="str">
            <v>辽宁</v>
          </cell>
          <cell r="F775" t="str">
            <v>辽宁拓展部</v>
          </cell>
        </row>
        <row r="775">
          <cell r="I775" t="str">
            <v>一星拓展专员</v>
          </cell>
        </row>
        <row r="776">
          <cell r="A776" t="str">
            <v>吴大海</v>
          </cell>
          <cell r="B776" t="str">
            <v>00514</v>
          </cell>
          <cell r="C776" t="str">
            <v>四川时代蜂族营销策划有限公司</v>
          </cell>
          <cell r="D776">
            <v>44912</v>
          </cell>
          <cell r="E776" t="str">
            <v>西南总部</v>
          </cell>
          <cell r="F776" t="str">
            <v>西南营销中心</v>
          </cell>
          <cell r="G776" t="str">
            <v>营业七部</v>
          </cell>
          <cell r="H776" t="str">
            <v>蒋杨</v>
          </cell>
          <cell r="I776" t="str">
            <v>三星销售顾问</v>
          </cell>
        </row>
        <row r="777">
          <cell r="A777" t="str">
            <v>袁小龙</v>
          </cell>
          <cell r="B777" t="str">
            <v>00510</v>
          </cell>
          <cell r="C777" t="str">
            <v>四川时代蜂族营销策划有限公司</v>
          </cell>
          <cell r="D777">
            <v>44908</v>
          </cell>
          <cell r="E777" t="str">
            <v>西南总部</v>
          </cell>
          <cell r="F777" t="str">
            <v>西南营销中心</v>
          </cell>
          <cell r="G777" t="str">
            <v>营业七部</v>
          </cell>
        </row>
        <row r="777">
          <cell r="I777" t="str">
            <v>一星实习经理</v>
          </cell>
        </row>
        <row r="778">
          <cell r="A778" t="str">
            <v>贾雪英</v>
          </cell>
          <cell r="B778" t="str">
            <v>00500</v>
          </cell>
          <cell r="C778" t="str">
            <v>四川金巴牛网络科技有限公司</v>
          </cell>
          <cell r="D778">
            <v>44900</v>
          </cell>
          <cell r="E778" t="str">
            <v>西南总部</v>
          </cell>
          <cell r="F778" t="str">
            <v>西南营销中心</v>
          </cell>
          <cell r="G778" t="str">
            <v>营业六部</v>
          </cell>
        </row>
        <row r="778">
          <cell r="I778" t="str">
            <v>二星实习经理</v>
          </cell>
        </row>
        <row r="779">
          <cell r="A779" t="str">
            <v>刘大千</v>
          </cell>
          <cell r="B779" t="str">
            <v>00485</v>
          </cell>
          <cell r="C779" t="str">
            <v>四川时代蜂族营销策划有限公司</v>
          </cell>
          <cell r="D779">
            <v>44889</v>
          </cell>
          <cell r="E779" t="str">
            <v>西南总部</v>
          </cell>
          <cell r="F779" t="str">
            <v>西南营销中心</v>
          </cell>
          <cell r="G779" t="str">
            <v>营业五部</v>
          </cell>
          <cell r="H779" t="str">
            <v>李敏</v>
          </cell>
          <cell r="I779" t="str">
            <v>三星销售顾问</v>
          </cell>
        </row>
        <row r="780">
          <cell r="A780" t="str">
            <v>韩博雷</v>
          </cell>
          <cell r="B780" t="str">
            <v>00484</v>
          </cell>
          <cell r="C780" t="str">
            <v>四川时代蜂族营销策划有限公司</v>
          </cell>
          <cell r="D780">
            <v>44886</v>
          </cell>
          <cell r="E780" t="str">
            <v>西南总部</v>
          </cell>
          <cell r="F780" t="str">
            <v>西南营销中心</v>
          </cell>
          <cell r="G780" t="str">
            <v>营业二部</v>
          </cell>
          <cell r="H780" t="str">
            <v>孙小龙</v>
          </cell>
          <cell r="I780" t="str">
            <v>三星销售顾问</v>
          </cell>
        </row>
        <row r="781">
          <cell r="A781" t="str">
            <v>叶鑫</v>
          </cell>
          <cell r="B781" t="str">
            <v>00472</v>
          </cell>
          <cell r="C781" t="str">
            <v>四川时代蜂族营销策划有限公司</v>
          </cell>
          <cell r="D781">
            <v>44878</v>
          </cell>
          <cell r="E781" t="str">
            <v>西南总部</v>
          </cell>
          <cell r="F781" t="str">
            <v>西南营销中心</v>
          </cell>
          <cell r="G781" t="str">
            <v>营业五部</v>
          </cell>
        </row>
        <row r="781">
          <cell r="I781" t="str">
            <v>部长</v>
          </cell>
        </row>
        <row r="782">
          <cell r="A782" t="str">
            <v>贺正杨</v>
          </cell>
          <cell r="B782" t="str">
            <v>00467</v>
          </cell>
          <cell r="C782" t="str">
            <v>四川时代蜂族营销策划有限公司</v>
          </cell>
          <cell r="D782">
            <v>44873</v>
          </cell>
          <cell r="E782" t="str">
            <v>西南总部</v>
          </cell>
          <cell r="F782" t="str">
            <v>西南营销中心</v>
          </cell>
          <cell r="G782" t="str">
            <v>营业一部</v>
          </cell>
          <cell r="H782" t="str">
            <v>雷小金</v>
          </cell>
          <cell r="I782" t="str">
            <v>三星销售顾问</v>
          </cell>
        </row>
        <row r="783">
          <cell r="A783" t="str">
            <v>杨薇</v>
          </cell>
          <cell r="B783" t="str">
            <v>00456</v>
          </cell>
          <cell r="C783" t="str">
            <v>四川时代蜂族营销策划有限公司</v>
          </cell>
          <cell r="D783">
            <v>44865</v>
          </cell>
          <cell r="E783" t="str">
            <v>集团职能</v>
          </cell>
          <cell r="F783" t="str">
            <v>职能营销</v>
          </cell>
          <cell r="G783" t="str">
            <v>督导部</v>
          </cell>
        </row>
        <row r="783">
          <cell r="I783" t="str">
            <v>运营经理</v>
          </cell>
        </row>
        <row r="784">
          <cell r="A784" t="str">
            <v>骆志红</v>
          </cell>
          <cell r="B784" t="str">
            <v>00450</v>
          </cell>
          <cell r="C784" t="str">
            <v>四川时代蜂族营销策划有限公司</v>
          </cell>
          <cell r="D784">
            <v>44861</v>
          </cell>
          <cell r="E784" t="str">
            <v>湖北</v>
          </cell>
          <cell r="F784" t="str">
            <v>湖北营销中心</v>
          </cell>
          <cell r="G784" t="str">
            <v>湖北1部</v>
          </cell>
        </row>
        <row r="784">
          <cell r="I784" t="str">
            <v>二星实习经理</v>
          </cell>
        </row>
        <row r="785">
          <cell r="A785" t="str">
            <v>李瑞文</v>
          </cell>
          <cell r="B785" t="str">
            <v>00452</v>
          </cell>
          <cell r="C785" t="str">
            <v>湖南时代蜂族营销策划有限公司</v>
          </cell>
          <cell r="D785">
            <v>44861</v>
          </cell>
          <cell r="E785" t="str">
            <v>湖南</v>
          </cell>
          <cell r="F785" t="str">
            <v>湖南营销中心</v>
          </cell>
          <cell r="G785" t="str">
            <v>湖南销售部</v>
          </cell>
          <cell r="H785" t="str">
            <v>刘俊海</v>
          </cell>
          <cell r="I785" t="str">
            <v>三星销售顾问</v>
          </cell>
        </row>
        <row r="786">
          <cell r="A786" t="str">
            <v>陈国林</v>
          </cell>
          <cell r="B786" t="str">
            <v>00442</v>
          </cell>
          <cell r="C786" t="str">
            <v>四川时代蜂族营销策划有限公司</v>
          </cell>
          <cell r="D786">
            <v>44855</v>
          </cell>
          <cell r="E786" t="str">
            <v>西南总部</v>
          </cell>
          <cell r="F786" t="str">
            <v>西南营销中心</v>
          </cell>
          <cell r="G786" t="str">
            <v>营业三部</v>
          </cell>
          <cell r="H786" t="str">
            <v>姚瑶</v>
          </cell>
          <cell r="I786" t="str">
            <v>三星销售顾问</v>
          </cell>
        </row>
        <row r="787">
          <cell r="A787" t="str">
            <v>吴川江</v>
          </cell>
          <cell r="B787" t="str">
            <v>00695</v>
          </cell>
          <cell r="C787" t="str">
            <v>山西时代蜂族房地产经纪有限公司</v>
          </cell>
          <cell r="D787">
            <v>44849</v>
          </cell>
          <cell r="E787" t="str">
            <v>山西</v>
          </cell>
          <cell r="F787" t="str">
            <v>山西办公室</v>
          </cell>
        </row>
        <row r="787">
          <cell r="I787" t="str">
            <v>分公司总经理</v>
          </cell>
        </row>
        <row r="788">
          <cell r="A788" t="str">
            <v>王道彬</v>
          </cell>
          <cell r="B788" t="str">
            <v>01430</v>
          </cell>
          <cell r="C788" t="str">
            <v>四川时代蜂族营销策划有限公司</v>
          </cell>
          <cell r="D788">
            <v>44848</v>
          </cell>
          <cell r="E788" t="str">
            <v>西南总部</v>
          </cell>
          <cell r="F788" t="str">
            <v>西南拓展中心</v>
          </cell>
          <cell r="G788" t="str">
            <v>存量</v>
          </cell>
        </row>
        <row r="788">
          <cell r="I788" t="str">
            <v>存量拓展</v>
          </cell>
        </row>
        <row r="789">
          <cell r="A789" t="str">
            <v>袁伟川</v>
          </cell>
          <cell r="B789" t="str">
            <v>00429</v>
          </cell>
          <cell r="C789" t="str">
            <v>湖北蜜蜂族房地产经纪有限公司</v>
          </cell>
          <cell r="D789">
            <v>44840</v>
          </cell>
          <cell r="E789" t="str">
            <v>湖北</v>
          </cell>
          <cell r="F789" t="str">
            <v>湖北营销中心</v>
          </cell>
          <cell r="G789" t="str">
            <v>湖北1部</v>
          </cell>
          <cell r="H789" t="str">
            <v>秦娅玲</v>
          </cell>
          <cell r="I789" t="str">
            <v>三星销售顾问</v>
          </cell>
        </row>
        <row r="790">
          <cell r="A790" t="str">
            <v>赵鹏</v>
          </cell>
          <cell r="B790" t="str">
            <v>00428</v>
          </cell>
          <cell r="C790" t="str">
            <v>陕西蜂族科技有限公司</v>
          </cell>
          <cell r="D790">
            <v>44840</v>
          </cell>
          <cell r="E790" t="str">
            <v>陕西</v>
          </cell>
          <cell r="F790" t="str">
            <v>陕西拓展部</v>
          </cell>
          <cell r="G790" t="str">
            <v>陕西2区</v>
          </cell>
        </row>
        <row r="790">
          <cell r="I790" t="str">
            <v>一星拓展专员</v>
          </cell>
        </row>
        <row r="791">
          <cell r="A791" t="str">
            <v>隆陈亚</v>
          </cell>
          <cell r="B791" t="str">
            <v>00421</v>
          </cell>
          <cell r="C791" t="str">
            <v>四川时代蜂族营销策划有限公司</v>
          </cell>
          <cell r="D791">
            <v>44828</v>
          </cell>
          <cell r="E791" t="str">
            <v>西南总部</v>
          </cell>
          <cell r="F791" t="str">
            <v>西南拓展中心</v>
          </cell>
          <cell r="G791" t="str">
            <v>川南</v>
          </cell>
        </row>
        <row r="791">
          <cell r="I791" t="str">
            <v>一星拓展专员</v>
          </cell>
        </row>
        <row r="792">
          <cell r="A792" t="str">
            <v>于强</v>
          </cell>
          <cell r="B792" t="str">
            <v>00416</v>
          </cell>
          <cell r="C792" t="str">
            <v>四川时代蜂族营销策划有限公司</v>
          </cell>
          <cell r="D792">
            <v>44805</v>
          </cell>
          <cell r="E792" t="str">
            <v>西南总部</v>
          </cell>
          <cell r="F792" t="str">
            <v>西南拓展中心</v>
          </cell>
          <cell r="G792" t="str">
            <v>川南</v>
          </cell>
        </row>
        <row r="792">
          <cell r="I792" t="str">
            <v>区域拓展总监</v>
          </cell>
        </row>
        <row r="793">
          <cell r="A793" t="str">
            <v>李培金</v>
          </cell>
          <cell r="B793" t="str">
            <v>00411</v>
          </cell>
          <cell r="C793" t="str">
            <v>四川时代蜂族营销策划有限公司</v>
          </cell>
          <cell r="D793">
            <v>44802</v>
          </cell>
          <cell r="E793" t="str">
            <v>西南总部</v>
          </cell>
          <cell r="F793" t="str">
            <v>西南营销中心</v>
          </cell>
          <cell r="G793" t="str">
            <v>营业四部</v>
          </cell>
        </row>
        <row r="793">
          <cell r="I793" t="str">
            <v>二星实习经理</v>
          </cell>
        </row>
        <row r="794">
          <cell r="A794" t="str">
            <v>张英</v>
          </cell>
          <cell r="B794" t="str">
            <v>00402</v>
          </cell>
          <cell r="C794" t="str">
            <v>陕西蜂族科技有限公司</v>
          </cell>
          <cell r="D794">
            <v>44790</v>
          </cell>
          <cell r="E794" t="str">
            <v>陕西</v>
          </cell>
          <cell r="F794" t="str">
            <v>陕西营销中心</v>
          </cell>
          <cell r="G794" t="str">
            <v>陕西1部</v>
          </cell>
        </row>
        <row r="794">
          <cell r="I794" t="str">
            <v>二星实习经理</v>
          </cell>
        </row>
        <row r="795">
          <cell r="A795" t="str">
            <v>马超</v>
          </cell>
          <cell r="B795" t="str">
            <v>00384</v>
          </cell>
          <cell r="C795" t="str">
            <v>湖北蜜蜂族房地产经纪有限公司</v>
          </cell>
          <cell r="D795">
            <v>44760</v>
          </cell>
          <cell r="E795" t="str">
            <v>湖北</v>
          </cell>
          <cell r="F795" t="str">
            <v>湖北营销中心</v>
          </cell>
          <cell r="G795" t="str">
            <v>湖北2部</v>
          </cell>
        </row>
        <row r="795">
          <cell r="I795" t="str">
            <v>三星实习经理</v>
          </cell>
        </row>
        <row r="796">
          <cell r="A796" t="str">
            <v>郭秉娜</v>
          </cell>
          <cell r="B796" t="str">
            <v>00380</v>
          </cell>
          <cell r="C796" t="str">
            <v>四川时代蜂族营销策划有限公司</v>
          </cell>
          <cell r="D796">
            <v>44753</v>
          </cell>
          <cell r="E796" t="str">
            <v>集团职能</v>
          </cell>
          <cell r="F796" t="str">
            <v>职能总部</v>
          </cell>
          <cell r="G796" t="str">
            <v>业绩增长部</v>
          </cell>
        </row>
        <row r="796">
          <cell r="I796" t="str">
            <v>拓展BP组长</v>
          </cell>
        </row>
        <row r="797">
          <cell r="A797" t="str">
            <v>冯菊蓉</v>
          </cell>
          <cell r="B797" t="str">
            <v>00378</v>
          </cell>
          <cell r="C797" t="str">
            <v>陕西蜂族科技有限公司</v>
          </cell>
          <cell r="D797">
            <v>44749</v>
          </cell>
          <cell r="E797" t="str">
            <v>陕西</v>
          </cell>
          <cell r="F797" t="str">
            <v>陕西拓展部</v>
          </cell>
          <cell r="G797" t="str">
            <v>陕西1区</v>
          </cell>
        </row>
        <row r="797">
          <cell r="I797" t="str">
            <v>一星拓展专员</v>
          </cell>
        </row>
        <row r="798">
          <cell r="A798" t="str">
            <v>徐莲</v>
          </cell>
          <cell r="B798" t="str">
            <v>00374</v>
          </cell>
          <cell r="C798" t="str">
            <v>四川时代蜂族营销策划有限公司</v>
          </cell>
          <cell r="D798">
            <v>44742</v>
          </cell>
          <cell r="E798" t="str">
            <v>集团职能</v>
          </cell>
          <cell r="F798" t="str">
            <v>职能营销</v>
          </cell>
          <cell r="G798" t="str">
            <v>督导部</v>
          </cell>
        </row>
        <row r="798">
          <cell r="I798" t="str">
            <v>售后</v>
          </cell>
        </row>
        <row r="799">
          <cell r="A799" t="str">
            <v>杨威</v>
          </cell>
          <cell r="B799" t="str">
            <v>00360</v>
          </cell>
          <cell r="C799" t="str">
            <v>四川时代蜂族营销策划有限公司</v>
          </cell>
          <cell r="D799">
            <v>44732</v>
          </cell>
          <cell r="E799" t="str">
            <v>西南总部</v>
          </cell>
          <cell r="F799" t="str">
            <v>西南营销中心</v>
          </cell>
          <cell r="G799" t="str">
            <v>营业五部</v>
          </cell>
        </row>
        <row r="799">
          <cell r="I799" t="str">
            <v>二星实习经理</v>
          </cell>
        </row>
        <row r="800">
          <cell r="A800" t="str">
            <v>孙科</v>
          </cell>
          <cell r="B800" t="str">
            <v>00354</v>
          </cell>
          <cell r="C800" t="str">
            <v>辽宁时代蜂族营销策划有限公司</v>
          </cell>
          <cell r="D800">
            <v>44729</v>
          </cell>
          <cell r="E800" t="str">
            <v>辽宁</v>
          </cell>
          <cell r="F800" t="str">
            <v>辽宁营销中心</v>
          </cell>
          <cell r="G800" t="str">
            <v>辽宁销售部</v>
          </cell>
        </row>
        <row r="800">
          <cell r="I800" t="str">
            <v>一星正式经理</v>
          </cell>
        </row>
        <row r="801">
          <cell r="A801" t="str">
            <v>谢敏</v>
          </cell>
          <cell r="B801" t="str">
            <v>00349</v>
          </cell>
          <cell r="C801" t="str">
            <v>四川时代蜂族营销策划有限公司</v>
          </cell>
          <cell r="D801">
            <v>44725</v>
          </cell>
          <cell r="E801" t="str">
            <v>西南总部</v>
          </cell>
          <cell r="F801" t="str">
            <v>西南营销中心</v>
          </cell>
          <cell r="G801" t="str">
            <v>营业五部</v>
          </cell>
        </row>
        <row r="801">
          <cell r="I801" t="str">
            <v>一星正式经理</v>
          </cell>
        </row>
        <row r="802">
          <cell r="A802" t="str">
            <v>蔺小燕</v>
          </cell>
          <cell r="B802" t="str">
            <v>00346</v>
          </cell>
          <cell r="C802" t="str">
            <v>湖北蜜蜂族房地产经纪有限公司</v>
          </cell>
          <cell r="D802">
            <v>44723</v>
          </cell>
          <cell r="E802" t="str">
            <v>湖北</v>
          </cell>
          <cell r="F802" t="str">
            <v>湖北营销中心</v>
          </cell>
          <cell r="G802" t="str">
            <v>湖北1部</v>
          </cell>
        </row>
        <row r="802">
          <cell r="I802" t="str">
            <v>三星实习经理</v>
          </cell>
        </row>
        <row r="803">
          <cell r="A803" t="str">
            <v>刘佳</v>
          </cell>
          <cell r="B803" t="str">
            <v>00347</v>
          </cell>
          <cell r="C803" t="str">
            <v>四川时代蜂族营销策划有限公司</v>
          </cell>
          <cell r="D803">
            <v>44723</v>
          </cell>
          <cell r="E803" t="str">
            <v>西南总部</v>
          </cell>
          <cell r="F803" t="str">
            <v>西南营销中心</v>
          </cell>
          <cell r="G803" t="str">
            <v>营业三部</v>
          </cell>
        </row>
        <row r="803">
          <cell r="I803" t="str">
            <v>一星实习经理</v>
          </cell>
        </row>
        <row r="804">
          <cell r="A804" t="str">
            <v>程新浩</v>
          </cell>
          <cell r="B804" t="str">
            <v>00345</v>
          </cell>
          <cell r="C804" t="str">
            <v>四川时代蜂族营销策划有限公司</v>
          </cell>
          <cell r="D804">
            <v>44721</v>
          </cell>
          <cell r="E804" t="str">
            <v>西南总部</v>
          </cell>
          <cell r="F804" t="str">
            <v>西南营销中心</v>
          </cell>
          <cell r="G804" t="str">
            <v>营业七部</v>
          </cell>
        </row>
        <row r="804">
          <cell r="I804" t="str">
            <v>部长</v>
          </cell>
        </row>
        <row r="805">
          <cell r="A805" t="str">
            <v>李敏</v>
          </cell>
          <cell r="B805" t="str">
            <v>00336</v>
          </cell>
          <cell r="C805" t="str">
            <v>四川时代蜂族营销策划有限公司</v>
          </cell>
          <cell r="D805">
            <v>44703</v>
          </cell>
          <cell r="E805" t="str">
            <v>西南总部</v>
          </cell>
          <cell r="F805" t="str">
            <v>西南营销中心</v>
          </cell>
          <cell r="G805" t="str">
            <v>营业五部</v>
          </cell>
        </row>
        <row r="805">
          <cell r="I805" t="str">
            <v>三星实习经理</v>
          </cell>
        </row>
        <row r="806">
          <cell r="A806" t="str">
            <v>霍艳</v>
          </cell>
          <cell r="B806" t="str">
            <v>00335</v>
          </cell>
          <cell r="C806" t="str">
            <v>陕西蜂族科技有限公司</v>
          </cell>
          <cell r="D806">
            <v>44703</v>
          </cell>
          <cell r="E806" t="str">
            <v>陕西</v>
          </cell>
          <cell r="F806" t="str">
            <v>陕西营销中心</v>
          </cell>
          <cell r="G806" t="str">
            <v>陕西2部</v>
          </cell>
          <cell r="H806" t="str">
            <v>王天成</v>
          </cell>
          <cell r="I806" t="str">
            <v>一星销售顾问</v>
          </cell>
        </row>
        <row r="807">
          <cell r="A807" t="str">
            <v>林浩</v>
          </cell>
          <cell r="B807" t="str">
            <v>00333</v>
          </cell>
          <cell r="C807" t="str">
            <v>湖北蜜蜂族房地产经纪有限公司</v>
          </cell>
          <cell r="D807">
            <v>44698</v>
          </cell>
          <cell r="E807" t="str">
            <v>湖北</v>
          </cell>
          <cell r="F807" t="str">
            <v>湖北营销中心</v>
          </cell>
          <cell r="G807" t="str">
            <v>湖北1部</v>
          </cell>
        </row>
        <row r="807">
          <cell r="I807" t="str">
            <v>部长</v>
          </cell>
        </row>
        <row r="808">
          <cell r="A808" t="str">
            <v>段燕</v>
          </cell>
          <cell r="B808" t="str">
            <v>00320</v>
          </cell>
          <cell r="C808" t="str">
            <v>四川时代蜂族营销策划有限公司</v>
          </cell>
          <cell r="D808">
            <v>44663</v>
          </cell>
          <cell r="E808" t="str">
            <v>河北</v>
          </cell>
          <cell r="F808" t="str">
            <v>河北拓展部</v>
          </cell>
        </row>
        <row r="808">
          <cell r="I808" t="str">
            <v>一星拓展专员</v>
          </cell>
        </row>
        <row r="809">
          <cell r="A809" t="str">
            <v>杨永丽</v>
          </cell>
          <cell r="B809" t="str">
            <v>00312</v>
          </cell>
          <cell r="C809" t="str">
            <v>四川时代蜂族营销策划有限公司</v>
          </cell>
          <cell r="D809">
            <v>44652</v>
          </cell>
          <cell r="E809" t="str">
            <v>西南总部</v>
          </cell>
          <cell r="F809" t="str">
            <v>西南拓展中心</v>
          </cell>
          <cell r="G809" t="str">
            <v>川西</v>
          </cell>
        </row>
        <row r="809">
          <cell r="I809" t="str">
            <v>二星拓展专员</v>
          </cell>
        </row>
        <row r="810">
          <cell r="A810" t="str">
            <v>秦娅玲</v>
          </cell>
          <cell r="B810" t="str">
            <v>00308</v>
          </cell>
          <cell r="C810" t="str">
            <v>四川时代蜂族营销策划有限公司</v>
          </cell>
          <cell r="D810">
            <v>44643</v>
          </cell>
          <cell r="E810" t="str">
            <v>湖北</v>
          </cell>
          <cell r="F810" t="str">
            <v>湖北营销中心</v>
          </cell>
          <cell r="G810" t="str">
            <v>湖北1部</v>
          </cell>
        </row>
        <row r="810">
          <cell r="I810" t="str">
            <v>三星实习经理</v>
          </cell>
        </row>
        <row r="811">
          <cell r="A811" t="str">
            <v>孙丽琼</v>
          </cell>
          <cell r="B811" t="str">
            <v>00301</v>
          </cell>
          <cell r="C811" t="str">
            <v>四川时代蜂族营销策划有限公司</v>
          </cell>
          <cell r="D811">
            <v>44629</v>
          </cell>
          <cell r="E811" t="str">
            <v>集团职能</v>
          </cell>
          <cell r="F811" t="str">
            <v>职能总部</v>
          </cell>
          <cell r="G811" t="str">
            <v>人资行政部</v>
          </cell>
        </row>
        <row r="811">
          <cell r="I811" t="str">
            <v>行政专员</v>
          </cell>
        </row>
        <row r="812">
          <cell r="A812" t="str">
            <v>张鑫宇</v>
          </cell>
          <cell r="B812" t="str">
            <v>00300</v>
          </cell>
          <cell r="C812" t="str">
            <v>四川时代蜂族营销策划有限公司</v>
          </cell>
          <cell r="D812">
            <v>44628</v>
          </cell>
          <cell r="E812" t="str">
            <v>集团职能</v>
          </cell>
          <cell r="F812" t="str">
            <v>职能总部</v>
          </cell>
          <cell r="G812" t="str">
            <v>财务部</v>
          </cell>
        </row>
        <row r="812">
          <cell r="I812" t="str">
            <v>财务bp</v>
          </cell>
        </row>
        <row r="813">
          <cell r="A813" t="str">
            <v>杜雄</v>
          </cell>
          <cell r="B813" t="str">
            <v>00297</v>
          </cell>
          <cell r="C813" t="str">
            <v>河南蜜蜂族营销策划有限公司</v>
          </cell>
          <cell r="D813">
            <v>44626</v>
          </cell>
          <cell r="E813" t="str">
            <v>河南</v>
          </cell>
          <cell r="F813" t="str">
            <v>河南营销中心</v>
          </cell>
          <cell r="G813" t="str">
            <v>河南销售部</v>
          </cell>
        </row>
        <row r="813">
          <cell r="I813" t="str">
            <v>一星实习经理</v>
          </cell>
        </row>
        <row r="814">
          <cell r="A814" t="str">
            <v>蒋杨</v>
          </cell>
          <cell r="B814" t="str">
            <v>00294</v>
          </cell>
          <cell r="C814" t="str">
            <v>四川时代蜂族营销策划有限公司</v>
          </cell>
          <cell r="D814">
            <v>44623</v>
          </cell>
          <cell r="E814" t="str">
            <v>西南总部</v>
          </cell>
          <cell r="F814" t="str">
            <v>西南营销中心</v>
          </cell>
          <cell r="G814" t="str">
            <v>营业七部</v>
          </cell>
        </row>
        <row r="814">
          <cell r="I814" t="str">
            <v>一星正式经理</v>
          </cell>
        </row>
        <row r="815">
          <cell r="A815" t="str">
            <v>李晓虹</v>
          </cell>
          <cell r="B815" t="str">
            <v>00291</v>
          </cell>
          <cell r="C815" t="str">
            <v>四川时代蜂族营销策划有限公司</v>
          </cell>
          <cell r="D815">
            <v>44615</v>
          </cell>
          <cell r="E815" t="str">
            <v>湖南</v>
          </cell>
          <cell r="F815" t="str">
            <v>湖南营销中心</v>
          </cell>
          <cell r="G815" t="str">
            <v>湖南销售部</v>
          </cell>
        </row>
        <row r="815">
          <cell r="I815" t="str">
            <v>三星销售顾问</v>
          </cell>
        </row>
        <row r="816">
          <cell r="A816" t="str">
            <v>孙小龙</v>
          </cell>
          <cell r="B816" t="str">
            <v>00288</v>
          </cell>
          <cell r="C816" t="str">
            <v>四川时代蜂族营销策划有限公司</v>
          </cell>
          <cell r="D816">
            <v>44578</v>
          </cell>
          <cell r="E816" t="str">
            <v>西南总部</v>
          </cell>
          <cell r="F816" t="str">
            <v>西南营销中心</v>
          </cell>
          <cell r="G816" t="str">
            <v>营业二部</v>
          </cell>
        </row>
        <row r="816">
          <cell r="I816" t="str">
            <v>二星正式经理</v>
          </cell>
        </row>
        <row r="817">
          <cell r="A817" t="str">
            <v>冯洁</v>
          </cell>
          <cell r="B817" t="str">
            <v>00285</v>
          </cell>
          <cell r="C817" t="str">
            <v>山东时代蜂族营销策划有限公司</v>
          </cell>
          <cell r="D817">
            <v>44571</v>
          </cell>
          <cell r="E817" t="str">
            <v>山东</v>
          </cell>
          <cell r="F817" t="str">
            <v>山东营销中心</v>
          </cell>
          <cell r="G817" t="str">
            <v>山东销售部</v>
          </cell>
          <cell r="H817" t="str">
            <v>冯洁</v>
          </cell>
          <cell r="I817" t="str">
            <v>二星实习经理</v>
          </cell>
        </row>
        <row r="818">
          <cell r="A818" t="str">
            <v>罗小花</v>
          </cell>
          <cell r="B818" t="str">
            <v>00283</v>
          </cell>
          <cell r="C818" t="str">
            <v>陕西蜂族科技有限公司</v>
          </cell>
          <cell r="D818">
            <v>44565</v>
          </cell>
          <cell r="E818" t="str">
            <v>陕西</v>
          </cell>
          <cell r="F818" t="str">
            <v>陕西营销中心</v>
          </cell>
          <cell r="G818" t="str">
            <v>陕西2部</v>
          </cell>
        </row>
        <row r="818">
          <cell r="I818" t="str">
            <v>二星正式经理</v>
          </cell>
        </row>
        <row r="819">
          <cell r="A819" t="str">
            <v>伍浩东</v>
          </cell>
          <cell r="B819" t="str">
            <v>00275</v>
          </cell>
          <cell r="C819" t="str">
            <v>四川时代蜂族营销策划有限公司</v>
          </cell>
          <cell r="D819">
            <v>44558</v>
          </cell>
          <cell r="E819" t="str">
            <v>西南总部</v>
          </cell>
          <cell r="F819" t="str">
            <v>西南营销中心</v>
          </cell>
          <cell r="G819" t="str">
            <v>营业五部</v>
          </cell>
          <cell r="H819" t="str">
            <v>谢敏</v>
          </cell>
          <cell r="I819" t="str">
            <v>三星销售顾问</v>
          </cell>
        </row>
        <row r="820">
          <cell r="A820" t="str">
            <v>蒋明霞</v>
          </cell>
          <cell r="B820" t="str">
            <v>00273</v>
          </cell>
          <cell r="C820" t="str">
            <v>四川优诺通瑞商贸有限公司</v>
          </cell>
          <cell r="D820">
            <v>44557</v>
          </cell>
          <cell r="E820" t="str">
            <v>集团职能</v>
          </cell>
          <cell r="F820" t="str">
            <v>职能总部</v>
          </cell>
          <cell r="G820" t="str">
            <v>财务部</v>
          </cell>
        </row>
        <row r="820">
          <cell r="I820" t="str">
            <v>财务主管</v>
          </cell>
        </row>
        <row r="821">
          <cell r="A821" t="str">
            <v>周吉双</v>
          </cell>
          <cell r="B821" t="str">
            <v>00270</v>
          </cell>
          <cell r="C821" t="str">
            <v>四川时代蜂族营销策划有限公司</v>
          </cell>
          <cell r="D821">
            <v>44555</v>
          </cell>
          <cell r="E821" t="str">
            <v>河南</v>
          </cell>
          <cell r="F821" t="str">
            <v>河南营销中心</v>
          </cell>
          <cell r="G821" t="str">
            <v>河南销售部</v>
          </cell>
        </row>
        <row r="821">
          <cell r="I821" t="str">
            <v>部长</v>
          </cell>
        </row>
        <row r="822">
          <cell r="A822" t="str">
            <v>韩旭</v>
          </cell>
          <cell r="B822" t="str">
            <v>00263</v>
          </cell>
          <cell r="C822" t="str">
            <v>四川时代蜂族营销策划有限公司</v>
          </cell>
          <cell r="D822">
            <v>44552</v>
          </cell>
          <cell r="E822" t="str">
            <v>河北</v>
          </cell>
          <cell r="F822" t="str">
            <v>河北营销中心</v>
          </cell>
          <cell r="G822" t="str">
            <v>河北销售部</v>
          </cell>
          <cell r="H822" t="str">
            <v>韩旭河北</v>
          </cell>
          <cell r="I822" t="str">
            <v>一星正式经理</v>
          </cell>
        </row>
        <row r="823">
          <cell r="A823" t="str">
            <v>朱林</v>
          </cell>
          <cell r="B823" t="str">
            <v>00266</v>
          </cell>
          <cell r="C823" t="str">
            <v>河南蜜蜂族营销策划有限公司</v>
          </cell>
          <cell r="D823">
            <v>44552</v>
          </cell>
          <cell r="E823" t="str">
            <v>河南</v>
          </cell>
          <cell r="F823" t="str">
            <v>河南营销中心</v>
          </cell>
          <cell r="G823" t="str">
            <v>河南销售部</v>
          </cell>
          <cell r="H823" t="str">
            <v>杜雄</v>
          </cell>
          <cell r="I823" t="str">
            <v>三星销售顾问</v>
          </cell>
        </row>
        <row r="824">
          <cell r="A824" t="str">
            <v>袁华</v>
          </cell>
          <cell r="B824" t="str">
            <v>00255</v>
          </cell>
          <cell r="C824" t="str">
            <v>四川时代蜂族营销策划有限公司</v>
          </cell>
          <cell r="D824">
            <v>44548</v>
          </cell>
          <cell r="E824" t="str">
            <v>西南总部</v>
          </cell>
          <cell r="F824" t="str">
            <v>西南营销中心</v>
          </cell>
          <cell r="G824" t="str">
            <v>营业六部</v>
          </cell>
        </row>
        <row r="824">
          <cell r="I824" t="str">
            <v>二星实习经理</v>
          </cell>
        </row>
        <row r="825">
          <cell r="A825" t="str">
            <v>雷鸣</v>
          </cell>
          <cell r="B825" t="str">
            <v>00248</v>
          </cell>
          <cell r="C825" t="str">
            <v>兰州时代蜂族营销策划有限公司</v>
          </cell>
          <cell r="D825">
            <v>44546</v>
          </cell>
          <cell r="E825" t="str">
            <v>甘肃</v>
          </cell>
          <cell r="F825" t="str">
            <v>甘肃拓展部</v>
          </cell>
        </row>
        <row r="825">
          <cell r="I825" t="str">
            <v>区域拓展总监</v>
          </cell>
        </row>
        <row r="826">
          <cell r="A826" t="str">
            <v>杨应</v>
          </cell>
          <cell r="B826" t="str">
            <v>00232</v>
          </cell>
          <cell r="C826" t="str">
            <v>陕西蜂族科技有限公司</v>
          </cell>
          <cell r="D826">
            <v>44543</v>
          </cell>
          <cell r="E826" t="str">
            <v>陕西</v>
          </cell>
          <cell r="F826" t="str">
            <v>陕西营销中心</v>
          </cell>
          <cell r="G826" t="str">
            <v>陕西1部</v>
          </cell>
        </row>
        <row r="826">
          <cell r="I826" t="str">
            <v>二星实习经理</v>
          </cell>
        </row>
        <row r="827">
          <cell r="A827" t="str">
            <v>覃波</v>
          </cell>
          <cell r="B827" t="str">
            <v>00747</v>
          </cell>
          <cell r="C827" t="str">
            <v>陕西蜂族科技有限公司</v>
          </cell>
          <cell r="D827">
            <v>44543</v>
          </cell>
          <cell r="E827" t="str">
            <v>陕西</v>
          </cell>
          <cell r="F827" t="str">
            <v>陕西拓展部</v>
          </cell>
          <cell r="G827" t="str">
            <v>陕西1区</v>
          </cell>
        </row>
        <row r="827">
          <cell r="I827" t="str">
            <v>拓展组长</v>
          </cell>
        </row>
        <row r="828">
          <cell r="A828" t="str">
            <v>刘岷</v>
          </cell>
          <cell r="B828" t="str">
            <v>00235</v>
          </cell>
          <cell r="C828" t="str">
            <v>四川时代蜂族营销策划有限公司</v>
          </cell>
          <cell r="D828">
            <v>44543</v>
          </cell>
          <cell r="E828" t="str">
            <v>湖南</v>
          </cell>
          <cell r="F828" t="str">
            <v>湖南拓展部</v>
          </cell>
        </row>
        <row r="828">
          <cell r="I828" t="str">
            <v>二星拓展专员</v>
          </cell>
        </row>
        <row r="829">
          <cell r="A829" t="str">
            <v>杨唐</v>
          </cell>
          <cell r="B829" t="str">
            <v>00237</v>
          </cell>
          <cell r="C829" t="str">
            <v>山东时代蜂族营销策划有限公司</v>
          </cell>
          <cell r="D829">
            <v>44543</v>
          </cell>
          <cell r="E829" t="str">
            <v>山东</v>
          </cell>
          <cell r="F829" t="str">
            <v>山东营销中心</v>
          </cell>
          <cell r="G829" t="str">
            <v>山东销售部</v>
          </cell>
          <cell r="H829" t="str">
            <v>杨唐山东</v>
          </cell>
          <cell r="I829" t="str">
            <v>一星实习经理</v>
          </cell>
        </row>
        <row r="830">
          <cell r="A830" t="str">
            <v>王兴云</v>
          </cell>
          <cell r="B830" t="str">
            <v>00224</v>
          </cell>
          <cell r="C830" t="str">
            <v>四川时代蜂族营销策划有限公司</v>
          </cell>
          <cell r="D830">
            <v>44538</v>
          </cell>
          <cell r="E830" t="str">
            <v>河南</v>
          </cell>
          <cell r="F830" t="str">
            <v>河南拓展部</v>
          </cell>
        </row>
        <row r="830">
          <cell r="I830" t="str">
            <v>一星拓展专员</v>
          </cell>
        </row>
        <row r="831">
          <cell r="A831" t="str">
            <v>姚瑶</v>
          </cell>
          <cell r="B831" t="str">
            <v>00217</v>
          </cell>
          <cell r="C831" t="str">
            <v>四川时代蜂族营销策划有限公司</v>
          </cell>
          <cell r="D831">
            <v>44530</v>
          </cell>
          <cell r="E831" t="str">
            <v>西南总部</v>
          </cell>
          <cell r="F831" t="str">
            <v>西南营销中心</v>
          </cell>
          <cell r="G831" t="str">
            <v>营业三部</v>
          </cell>
          <cell r="H831" t="str">
            <v>姚瑶</v>
          </cell>
          <cell r="I831" t="str">
            <v>二星实习经理</v>
          </cell>
        </row>
        <row r="832">
          <cell r="A832" t="str">
            <v>黄小东</v>
          </cell>
          <cell r="B832" t="str">
            <v>00215</v>
          </cell>
          <cell r="C832" t="str">
            <v>四川时代蜂族营销策划有限公司</v>
          </cell>
          <cell r="D832">
            <v>44525</v>
          </cell>
          <cell r="E832" t="str">
            <v>西南总部</v>
          </cell>
          <cell r="F832" t="str">
            <v>西南拓展中心</v>
          </cell>
          <cell r="G832" t="str">
            <v>宁夏</v>
          </cell>
        </row>
        <row r="832">
          <cell r="I832" t="str">
            <v>区域拓展总监</v>
          </cell>
        </row>
        <row r="833">
          <cell r="A833" t="str">
            <v>蒋婉萍</v>
          </cell>
          <cell r="B833" t="str">
            <v>00745</v>
          </cell>
          <cell r="C833" t="str">
            <v>四川时代蜂族营销策划有限公司</v>
          </cell>
          <cell r="D833">
            <v>44522</v>
          </cell>
          <cell r="E833" t="str">
            <v>西南总部</v>
          </cell>
          <cell r="F833" t="str">
            <v>西南拓展中心</v>
          </cell>
          <cell r="G833" t="str">
            <v>川北</v>
          </cell>
        </row>
        <row r="833">
          <cell r="I833" t="str">
            <v>区域拓展总监</v>
          </cell>
        </row>
        <row r="834">
          <cell r="A834" t="str">
            <v>谢淅安</v>
          </cell>
          <cell r="B834" t="str">
            <v>00206</v>
          </cell>
          <cell r="C834" t="str">
            <v>四川时代蜂族营销策划有限公司</v>
          </cell>
          <cell r="D834">
            <v>44511</v>
          </cell>
          <cell r="E834" t="str">
            <v>山西</v>
          </cell>
          <cell r="F834" t="str">
            <v>山西营销中心</v>
          </cell>
          <cell r="G834" t="str">
            <v>山西销售部</v>
          </cell>
          <cell r="H834" t="str">
            <v>吴志虎山西</v>
          </cell>
          <cell r="I834" t="str">
            <v>三星销售顾问</v>
          </cell>
        </row>
        <row r="835">
          <cell r="A835" t="str">
            <v>杨英</v>
          </cell>
          <cell r="B835" t="str">
            <v>00205</v>
          </cell>
          <cell r="C835" t="str">
            <v>四川时代蜂族营销策划有限公司</v>
          </cell>
          <cell r="D835">
            <v>44505</v>
          </cell>
          <cell r="E835" t="str">
            <v>山西</v>
          </cell>
          <cell r="F835" t="str">
            <v>山西营销中心</v>
          </cell>
          <cell r="G835" t="str">
            <v>山西销售部</v>
          </cell>
        </row>
        <row r="835">
          <cell r="I835" t="str">
            <v>三星销售顾问</v>
          </cell>
        </row>
        <row r="836">
          <cell r="A836" t="str">
            <v>肖秀丽</v>
          </cell>
          <cell r="B836" t="str">
            <v>00204</v>
          </cell>
          <cell r="C836" t="str">
            <v>四川时代蜂族营销策划有限公司</v>
          </cell>
          <cell r="D836">
            <v>44504</v>
          </cell>
          <cell r="E836" t="str">
            <v>西南总部</v>
          </cell>
          <cell r="F836" t="str">
            <v>西南营销中心</v>
          </cell>
          <cell r="G836" t="str">
            <v>营业三部</v>
          </cell>
        </row>
        <row r="836">
          <cell r="I836" t="str">
            <v>二星正式经理</v>
          </cell>
        </row>
        <row r="837">
          <cell r="A837" t="str">
            <v>李文</v>
          </cell>
          <cell r="B837" t="str">
            <v>00195</v>
          </cell>
          <cell r="C837" t="str">
            <v>湖北蜜蜂族房地产经纪有限公司</v>
          </cell>
          <cell r="D837">
            <v>44489</v>
          </cell>
          <cell r="E837" t="str">
            <v>湖北</v>
          </cell>
          <cell r="F837" t="str">
            <v>湖北营销中心</v>
          </cell>
          <cell r="G837" t="str">
            <v>湖北1部</v>
          </cell>
        </row>
        <row r="837">
          <cell r="I837" t="str">
            <v>一星实习经理</v>
          </cell>
        </row>
        <row r="838">
          <cell r="A838" t="str">
            <v>胡雪梅</v>
          </cell>
          <cell r="B838" t="str">
            <v>00178</v>
          </cell>
          <cell r="C838" t="str">
            <v>四川时代蜂族营销策划有限公司</v>
          </cell>
          <cell r="D838">
            <v>44464</v>
          </cell>
          <cell r="E838" t="str">
            <v>西南总部</v>
          </cell>
          <cell r="F838" t="str">
            <v>西南营销中心</v>
          </cell>
          <cell r="G838" t="str">
            <v>营业一部</v>
          </cell>
        </row>
        <row r="838">
          <cell r="I838" t="str">
            <v>二星正式经理</v>
          </cell>
        </row>
        <row r="839">
          <cell r="A839" t="str">
            <v>苏晓青</v>
          </cell>
          <cell r="B839" t="str">
            <v>00166</v>
          </cell>
          <cell r="C839" t="str">
            <v>山东时代蜂族营销策划有限公司</v>
          </cell>
          <cell r="D839">
            <v>44426</v>
          </cell>
          <cell r="E839" t="str">
            <v>山东</v>
          </cell>
          <cell r="F839" t="str">
            <v>山东营销中心</v>
          </cell>
          <cell r="G839" t="str">
            <v>山东销售部</v>
          </cell>
        </row>
        <row r="839">
          <cell r="I839" t="str">
            <v>二星正式经理</v>
          </cell>
        </row>
        <row r="840">
          <cell r="A840" t="str">
            <v>杨兰</v>
          </cell>
          <cell r="B840" t="str">
            <v>00165</v>
          </cell>
          <cell r="C840" t="str">
            <v>山东时代蜂族营销策划有限公司</v>
          </cell>
          <cell r="D840">
            <v>44426</v>
          </cell>
          <cell r="E840" t="str">
            <v>山东</v>
          </cell>
          <cell r="F840" t="str">
            <v>山东营销中心</v>
          </cell>
          <cell r="G840" t="str">
            <v>山东销售部</v>
          </cell>
          <cell r="H840" t="str">
            <v>苏晓青</v>
          </cell>
          <cell r="I840" t="str">
            <v>三星销售顾问</v>
          </cell>
        </row>
        <row r="841">
          <cell r="A841" t="str">
            <v>汤伟</v>
          </cell>
          <cell r="B841" t="str">
            <v>00161</v>
          </cell>
          <cell r="C841" t="str">
            <v>四川金巴牛网络科技有限公司</v>
          </cell>
          <cell r="D841">
            <v>44424</v>
          </cell>
          <cell r="E841" t="str">
            <v>集团职能</v>
          </cell>
          <cell r="F841" t="str">
            <v>职能总部</v>
          </cell>
          <cell r="G841" t="str">
            <v>技术部</v>
          </cell>
        </row>
        <row r="841">
          <cell r="I841" t="str">
            <v>JAVA工程师</v>
          </cell>
        </row>
        <row r="842">
          <cell r="A842" t="str">
            <v>吴志虎</v>
          </cell>
          <cell r="B842" t="str">
            <v>00160</v>
          </cell>
          <cell r="C842" t="str">
            <v>山西时代蜂族房地产经纪有限公司</v>
          </cell>
          <cell r="D842">
            <v>44420</v>
          </cell>
          <cell r="E842" t="str">
            <v>山西</v>
          </cell>
          <cell r="F842" t="str">
            <v>山西营销中心</v>
          </cell>
          <cell r="G842" t="str">
            <v>山西销售部</v>
          </cell>
        </row>
        <row r="842">
          <cell r="I842" t="str">
            <v>部长</v>
          </cell>
        </row>
        <row r="843">
          <cell r="A843" t="str">
            <v>刘宇</v>
          </cell>
          <cell r="B843" t="str">
            <v>00154</v>
          </cell>
          <cell r="C843" t="str">
            <v>四川时代蜂族营销策划有限公司</v>
          </cell>
          <cell r="D843">
            <v>44415</v>
          </cell>
          <cell r="E843" t="str">
            <v>内蒙古</v>
          </cell>
          <cell r="F843" t="str">
            <v>内蒙古拓展部</v>
          </cell>
        </row>
        <row r="843">
          <cell r="I843" t="str">
            <v>分公司总经理</v>
          </cell>
        </row>
        <row r="844">
          <cell r="A844" t="str">
            <v>罗诗雨</v>
          </cell>
          <cell r="B844" t="str">
            <v>00146</v>
          </cell>
          <cell r="C844" t="str">
            <v>四川大礼连连科技有限公司</v>
          </cell>
          <cell r="D844">
            <v>44396</v>
          </cell>
          <cell r="E844" t="str">
            <v>集团职能</v>
          </cell>
          <cell r="F844" t="str">
            <v>职能总部</v>
          </cell>
          <cell r="G844" t="str">
            <v>人资行政部</v>
          </cell>
        </row>
        <row r="844">
          <cell r="I844" t="str">
            <v>人事行政主管</v>
          </cell>
        </row>
        <row r="845">
          <cell r="A845" t="str">
            <v>王小春</v>
          </cell>
          <cell r="B845" t="str">
            <v>00143</v>
          </cell>
          <cell r="C845" t="str">
            <v>四川时代蜂族营销策划有限公司</v>
          </cell>
          <cell r="D845">
            <v>44376</v>
          </cell>
          <cell r="E845" t="str">
            <v>集团职能</v>
          </cell>
          <cell r="F845" t="str">
            <v>职能营销</v>
          </cell>
          <cell r="G845" t="str">
            <v>督导部</v>
          </cell>
        </row>
        <row r="845">
          <cell r="I845" t="str">
            <v>督导主管</v>
          </cell>
        </row>
        <row r="846">
          <cell r="A846" t="str">
            <v>罗小清</v>
          </cell>
          <cell r="B846" t="str">
            <v>00135</v>
          </cell>
          <cell r="C846" t="str">
            <v>四川蜂起营销策划有限公司</v>
          </cell>
          <cell r="D846">
            <v>44354</v>
          </cell>
          <cell r="E846" t="str">
            <v>集团职能</v>
          </cell>
          <cell r="F846" t="str">
            <v>职能总部</v>
          </cell>
          <cell r="G846" t="str">
            <v>总经办</v>
          </cell>
        </row>
        <row r="846">
          <cell r="I846" t="str">
            <v>总经办秘书</v>
          </cell>
        </row>
        <row r="847">
          <cell r="A847" t="str">
            <v>罗敏</v>
          </cell>
          <cell r="B847" t="str">
            <v>00134</v>
          </cell>
          <cell r="C847" t="str">
            <v>湖南时代蜂族营销策划有限公司</v>
          </cell>
          <cell r="D847">
            <v>44351</v>
          </cell>
          <cell r="E847" t="str">
            <v>湖南</v>
          </cell>
          <cell r="F847" t="str">
            <v>湖南营销中心</v>
          </cell>
          <cell r="G847" t="str">
            <v>湖南销售部</v>
          </cell>
        </row>
        <row r="847">
          <cell r="I847" t="str">
            <v>一星实习经理</v>
          </cell>
        </row>
        <row r="848">
          <cell r="A848" t="str">
            <v>杨超群</v>
          </cell>
          <cell r="B848" t="str">
            <v>00128</v>
          </cell>
          <cell r="C848" t="str">
            <v>四川时代蜂族营销策划有限公司</v>
          </cell>
          <cell r="D848">
            <v>44333</v>
          </cell>
          <cell r="E848" t="str">
            <v>湖南</v>
          </cell>
          <cell r="F848" t="str">
            <v>湖南营销中心</v>
          </cell>
          <cell r="G848" t="str">
            <v>湖南销售部</v>
          </cell>
          <cell r="H848" t="str">
            <v>杨超群</v>
          </cell>
          <cell r="I848" t="str">
            <v>三星实习经理</v>
          </cell>
        </row>
        <row r="849">
          <cell r="A849" t="str">
            <v>张仁久</v>
          </cell>
          <cell r="B849" t="str">
            <v>00122</v>
          </cell>
          <cell r="C849" t="str">
            <v>四川金巴牛网络科技有限公司</v>
          </cell>
          <cell r="D849">
            <v>44309</v>
          </cell>
          <cell r="E849" t="str">
            <v>集团职能</v>
          </cell>
          <cell r="F849" t="str">
            <v>职能总部</v>
          </cell>
          <cell r="G849" t="str">
            <v>技术部</v>
          </cell>
        </row>
        <row r="849">
          <cell r="I849" t="str">
            <v>前端工程师</v>
          </cell>
        </row>
        <row r="850">
          <cell r="A850" t="str">
            <v>干银</v>
          </cell>
          <cell r="B850" t="str">
            <v>00121</v>
          </cell>
          <cell r="C850" t="str">
            <v>四川金巴牛网络科技有限公司</v>
          </cell>
          <cell r="D850">
            <v>44301</v>
          </cell>
          <cell r="E850" t="str">
            <v>集团职能</v>
          </cell>
          <cell r="F850" t="str">
            <v>职能总部</v>
          </cell>
          <cell r="G850" t="str">
            <v>技术部</v>
          </cell>
        </row>
        <row r="850">
          <cell r="I850" t="str">
            <v>架构师</v>
          </cell>
        </row>
        <row r="851">
          <cell r="A851" t="str">
            <v>张亚东</v>
          </cell>
          <cell r="B851" t="str">
            <v>00120</v>
          </cell>
          <cell r="C851" t="str">
            <v>四川金巴牛网络科技有限公司</v>
          </cell>
          <cell r="D851">
            <v>44298</v>
          </cell>
          <cell r="E851" t="str">
            <v>集团职能</v>
          </cell>
          <cell r="F851" t="str">
            <v>职能总部</v>
          </cell>
          <cell r="G851" t="str">
            <v>技术部</v>
          </cell>
        </row>
        <row r="851">
          <cell r="I851" t="str">
            <v>技术总监</v>
          </cell>
        </row>
        <row r="852">
          <cell r="A852" t="str">
            <v>颜超</v>
          </cell>
          <cell r="B852" t="str">
            <v>00118</v>
          </cell>
          <cell r="C852" t="str">
            <v>四川时代蜂族营销策划有限公司</v>
          </cell>
          <cell r="D852">
            <v>44279</v>
          </cell>
          <cell r="E852" t="str">
            <v>西南总部</v>
          </cell>
          <cell r="F852" t="str">
            <v>西南拓展中心</v>
          </cell>
          <cell r="G852" t="str">
            <v>川北</v>
          </cell>
        </row>
        <row r="852">
          <cell r="I852" t="str">
            <v>二星拓展专员</v>
          </cell>
        </row>
        <row r="853">
          <cell r="A853" t="str">
            <v>刘亮</v>
          </cell>
          <cell r="B853" t="str">
            <v>00117</v>
          </cell>
          <cell r="C853" t="str">
            <v>四川时代蜂族营销策划有限公司</v>
          </cell>
          <cell r="D853">
            <v>44272</v>
          </cell>
          <cell r="E853" t="str">
            <v>西南总部</v>
          </cell>
          <cell r="F853" t="str">
            <v>西南营销中心</v>
          </cell>
          <cell r="G853" t="str">
            <v>营业四部</v>
          </cell>
        </row>
        <row r="853">
          <cell r="I853" t="str">
            <v>部长</v>
          </cell>
        </row>
        <row r="854">
          <cell r="A854" t="str">
            <v>党虹</v>
          </cell>
          <cell r="B854" t="str">
            <v>00113</v>
          </cell>
          <cell r="C854" t="str">
            <v>四川时代蜂族营销策划有限公司</v>
          </cell>
          <cell r="D854">
            <v>44264</v>
          </cell>
          <cell r="E854" t="str">
            <v>西南总部</v>
          </cell>
          <cell r="F854" t="str">
            <v>西南营销中心</v>
          </cell>
          <cell r="G854" t="str">
            <v>营业六部</v>
          </cell>
        </row>
        <row r="854">
          <cell r="I854" t="str">
            <v>一星正式经理</v>
          </cell>
        </row>
        <row r="855">
          <cell r="A855" t="str">
            <v>李娜</v>
          </cell>
          <cell r="B855" t="str">
            <v>00111</v>
          </cell>
          <cell r="C855" t="str">
            <v>四川金巴牛网络科技有限公司</v>
          </cell>
          <cell r="D855">
            <v>44254</v>
          </cell>
          <cell r="E855" t="str">
            <v>西南总部</v>
          </cell>
          <cell r="F855" t="str">
            <v>西南营销中心</v>
          </cell>
          <cell r="G855" t="str">
            <v>营业六部</v>
          </cell>
          <cell r="H855" t="str">
            <v>袁华</v>
          </cell>
          <cell r="I855" t="str">
            <v>三星销售顾问</v>
          </cell>
        </row>
        <row r="856">
          <cell r="A856" t="str">
            <v>丁伟</v>
          </cell>
          <cell r="B856" t="str">
            <v>00106</v>
          </cell>
          <cell r="C856" t="str">
            <v>湖北蜜蜂族房地产经纪有限公司</v>
          </cell>
          <cell r="D856">
            <v>44250</v>
          </cell>
          <cell r="E856" t="str">
            <v>湖北</v>
          </cell>
          <cell r="F856" t="str">
            <v>湖北营销中心</v>
          </cell>
          <cell r="G856" t="str">
            <v>湖北1部</v>
          </cell>
          <cell r="H856" t="str">
            <v>秦娅玲</v>
          </cell>
          <cell r="I856" t="str">
            <v>三星销售顾问</v>
          </cell>
        </row>
        <row r="857">
          <cell r="A857" t="str">
            <v>雷金梅</v>
          </cell>
          <cell r="B857" t="str">
            <v>00101</v>
          </cell>
          <cell r="C857" t="str">
            <v>四川时代蜂族营销策划有限公司</v>
          </cell>
          <cell r="D857">
            <v>44218</v>
          </cell>
          <cell r="E857" t="str">
            <v>集团职能</v>
          </cell>
          <cell r="F857" t="str">
            <v>职能营销</v>
          </cell>
          <cell r="G857" t="str">
            <v>督导部</v>
          </cell>
        </row>
        <row r="857">
          <cell r="I857" t="str">
            <v>二星销售政委</v>
          </cell>
        </row>
        <row r="858">
          <cell r="A858" t="str">
            <v>王超飞</v>
          </cell>
          <cell r="B858" t="str">
            <v>00094</v>
          </cell>
          <cell r="C858" t="str">
            <v>杭州蜂族时代网络科技有限公司</v>
          </cell>
          <cell r="D858">
            <v>44175</v>
          </cell>
          <cell r="E858" t="str">
            <v>湖南</v>
          </cell>
          <cell r="F858" t="str">
            <v>湖南办公室</v>
          </cell>
        </row>
        <row r="858">
          <cell r="I858" t="str">
            <v>分公司总经理</v>
          </cell>
        </row>
        <row r="859">
          <cell r="A859" t="str">
            <v>税锐</v>
          </cell>
          <cell r="B859" t="str">
            <v>00092</v>
          </cell>
          <cell r="C859" t="str">
            <v>四川时代蜂族营销策划有限公司</v>
          </cell>
          <cell r="D859">
            <v>44158</v>
          </cell>
          <cell r="E859" t="str">
            <v>西南总部</v>
          </cell>
          <cell r="F859" t="str">
            <v>西南营销中心</v>
          </cell>
          <cell r="G859" t="str">
            <v>营业六部</v>
          </cell>
        </row>
        <row r="859">
          <cell r="I859" t="str">
            <v>二星实习经理</v>
          </cell>
        </row>
        <row r="860">
          <cell r="A860" t="str">
            <v>李丝丝</v>
          </cell>
          <cell r="B860" t="str">
            <v>00090</v>
          </cell>
          <cell r="C860" t="str">
            <v>陕西蜂族科技有限公司</v>
          </cell>
          <cell r="D860">
            <v>44153</v>
          </cell>
          <cell r="E860" t="str">
            <v>陕西</v>
          </cell>
          <cell r="F860" t="str">
            <v>陕西营销中心</v>
          </cell>
          <cell r="G860" t="str">
            <v>陕西1部</v>
          </cell>
        </row>
        <row r="860">
          <cell r="I860" t="str">
            <v>部长</v>
          </cell>
        </row>
        <row r="861">
          <cell r="A861" t="str">
            <v>毛富林</v>
          </cell>
          <cell r="B861" t="str">
            <v>00087</v>
          </cell>
          <cell r="C861" t="str">
            <v>四川时代蜂族营销策划有限公司</v>
          </cell>
          <cell r="D861">
            <v>44139</v>
          </cell>
          <cell r="E861" t="str">
            <v>西南总部</v>
          </cell>
          <cell r="F861" t="str">
            <v>西南营销中心</v>
          </cell>
          <cell r="G861" t="str">
            <v>营业六部</v>
          </cell>
        </row>
        <row r="861">
          <cell r="I861" t="str">
            <v>部长</v>
          </cell>
        </row>
        <row r="862">
          <cell r="A862" t="str">
            <v>蒋建秋</v>
          </cell>
          <cell r="B862" t="str">
            <v>00080</v>
          </cell>
          <cell r="C862" t="str">
            <v>四川时代蜂族营销策划有限公司</v>
          </cell>
          <cell r="D862">
            <v>44092</v>
          </cell>
          <cell r="E862" t="str">
            <v>集团职能</v>
          </cell>
          <cell r="F862" t="str">
            <v>职能营销</v>
          </cell>
          <cell r="G862" t="str">
            <v>督导部</v>
          </cell>
        </row>
        <row r="862">
          <cell r="I862" t="str">
            <v>二星销售政委</v>
          </cell>
        </row>
        <row r="863">
          <cell r="A863" t="str">
            <v>李耀</v>
          </cell>
          <cell r="B863" t="str">
            <v>00077</v>
          </cell>
          <cell r="C863" t="str">
            <v>陕西蜂族科技有限公司</v>
          </cell>
          <cell r="D863">
            <v>44088</v>
          </cell>
          <cell r="E863" t="str">
            <v>陕西</v>
          </cell>
          <cell r="F863" t="str">
            <v>陕西营销中心</v>
          </cell>
          <cell r="G863" t="str">
            <v>陕西2部</v>
          </cell>
        </row>
        <row r="863">
          <cell r="I863" t="str">
            <v>部长</v>
          </cell>
        </row>
        <row r="864">
          <cell r="A864" t="str">
            <v>熊桃桃</v>
          </cell>
          <cell r="B864" t="str">
            <v>00075</v>
          </cell>
          <cell r="C864" t="str">
            <v>湖北蜜蜂族房地产经纪有限公司</v>
          </cell>
          <cell r="D864">
            <v>44079</v>
          </cell>
          <cell r="E864" t="str">
            <v>湖北</v>
          </cell>
          <cell r="F864" t="str">
            <v>湖北营销中心</v>
          </cell>
          <cell r="G864" t="str">
            <v>湖北2部</v>
          </cell>
          <cell r="H864" t="str">
            <v>陈晓辉</v>
          </cell>
          <cell r="I864" t="str">
            <v>三星销售顾问</v>
          </cell>
        </row>
        <row r="865">
          <cell r="A865" t="str">
            <v>谢文明</v>
          </cell>
          <cell r="B865" t="str">
            <v>00069</v>
          </cell>
          <cell r="C865" t="str">
            <v>辽宁时代蜂族营销策划有限公司</v>
          </cell>
          <cell r="D865">
            <v>44068</v>
          </cell>
          <cell r="E865" t="str">
            <v>辽宁</v>
          </cell>
          <cell r="F865" t="str">
            <v>辽宁营销中心</v>
          </cell>
          <cell r="G865" t="str">
            <v>辽宁销售部</v>
          </cell>
          <cell r="H865" t="str">
            <v>赖慧辽宁</v>
          </cell>
          <cell r="I865" t="str">
            <v>三星销售顾问</v>
          </cell>
        </row>
        <row r="866">
          <cell r="A866" t="str">
            <v>查丹</v>
          </cell>
          <cell r="B866" t="str">
            <v>00068</v>
          </cell>
          <cell r="C866" t="str">
            <v>四川优诺通瑞商贸有限公司</v>
          </cell>
          <cell r="D866">
            <v>44062</v>
          </cell>
          <cell r="E866" t="str">
            <v>集团职能</v>
          </cell>
          <cell r="F866" t="str">
            <v>职能总部</v>
          </cell>
          <cell r="G866" t="str">
            <v>业绩增长部</v>
          </cell>
        </row>
        <row r="866">
          <cell r="I866" t="str">
            <v>拓展BP</v>
          </cell>
        </row>
        <row r="867">
          <cell r="A867" t="str">
            <v>李丹</v>
          </cell>
          <cell r="B867" t="str">
            <v>00067</v>
          </cell>
          <cell r="C867" t="str">
            <v>山东时代蜂族营销策划有限公司</v>
          </cell>
          <cell r="D867">
            <v>44054</v>
          </cell>
          <cell r="E867" t="str">
            <v>山东</v>
          </cell>
          <cell r="F867" t="str">
            <v>山东办公室</v>
          </cell>
        </row>
        <row r="867">
          <cell r="I867" t="str">
            <v>分公司总经理</v>
          </cell>
        </row>
        <row r="868">
          <cell r="A868" t="str">
            <v>刘科</v>
          </cell>
          <cell r="B868" t="str">
            <v>00065</v>
          </cell>
          <cell r="C868" t="str">
            <v>山西时代蜂族房地产经纪有限公司</v>
          </cell>
          <cell r="D868">
            <v>44048</v>
          </cell>
          <cell r="E868" t="str">
            <v>山西</v>
          </cell>
          <cell r="F868" t="str">
            <v>山西拓展部</v>
          </cell>
        </row>
        <row r="868">
          <cell r="I868" t="str">
            <v>一星拓展专员</v>
          </cell>
        </row>
        <row r="869">
          <cell r="A869" t="str">
            <v>柏刚</v>
          </cell>
          <cell r="B869" t="str">
            <v>00060</v>
          </cell>
          <cell r="C869" t="str">
            <v>四川时代蜂族营销策划有限公司</v>
          </cell>
          <cell r="D869">
            <v>44033</v>
          </cell>
          <cell r="E869" t="str">
            <v>西南总部</v>
          </cell>
          <cell r="F869" t="str">
            <v>西南营销中心</v>
          </cell>
          <cell r="G869" t="str">
            <v>营业二部</v>
          </cell>
        </row>
        <row r="869">
          <cell r="I869" t="str">
            <v>部长</v>
          </cell>
        </row>
        <row r="870">
          <cell r="A870" t="str">
            <v>黄勇刚</v>
          </cell>
          <cell r="B870" t="str">
            <v>00058</v>
          </cell>
          <cell r="C870" t="str">
            <v>湖南时代蜂族营销策划有限公司</v>
          </cell>
          <cell r="D870">
            <v>44023</v>
          </cell>
          <cell r="E870" t="str">
            <v>湖南</v>
          </cell>
          <cell r="F870" t="str">
            <v>湖南营销中心</v>
          </cell>
          <cell r="G870" t="str">
            <v>湖南销售部</v>
          </cell>
        </row>
        <row r="870">
          <cell r="I870" t="str">
            <v>一星正式经理</v>
          </cell>
        </row>
        <row r="871">
          <cell r="A871" t="str">
            <v>聂仕平</v>
          </cell>
          <cell r="B871" t="str">
            <v>00057</v>
          </cell>
          <cell r="C871" t="str">
            <v>辽宁时代蜂族营销策划有限公司</v>
          </cell>
          <cell r="D871">
            <v>44019</v>
          </cell>
          <cell r="E871" t="str">
            <v>辽宁</v>
          </cell>
          <cell r="F871" t="str">
            <v>辽宁办公室</v>
          </cell>
        </row>
        <row r="871">
          <cell r="I871" t="str">
            <v>分公司总经理</v>
          </cell>
        </row>
        <row r="872">
          <cell r="A872" t="str">
            <v>王天成</v>
          </cell>
          <cell r="B872" t="str">
            <v>00052</v>
          </cell>
          <cell r="C872" t="str">
            <v>陕西蜂族科技有限公司</v>
          </cell>
          <cell r="D872">
            <v>44012</v>
          </cell>
          <cell r="E872" t="str">
            <v>陕西</v>
          </cell>
          <cell r="F872" t="str">
            <v>陕西营销中心</v>
          </cell>
          <cell r="G872" t="str">
            <v>陕西2部</v>
          </cell>
        </row>
        <row r="872">
          <cell r="I872" t="str">
            <v>二星实习经理</v>
          </cell>
        </row>
        <row r="873">
          <cell r="A873" t="str">
            <v>刘进</v>
          </cell>
          <cell r="B873" t="str">
            <v>00050</v>
          </cell>
          <cell r="C873" t="str">
            <v>湖南时代蜂族营销策划有限公司</v>
          </cell>
          <cell r="D873">
            <v>43997</v>
          </cell>
          <cell r="E873" t="str">
            <v>湖南</v>
          </cell>
          <cell r="F873" t="str">
            <v>湖南营销中心</v>
          </cell>
          <cell r="G873" t="str">
            <v>湖南销售部</v>
          </cell>
        </row>
        <row r="873">
          <cell r="I873" t="str">
            <v>分公司副总经理</v>
          </cell>
        </row>
        <row r="874">
          <cell r="A874" t="str">
            <v>向润</v>
          </cell>
          <cell r="B874" t="str">
            <v>00315</v>
          </cell>
          <cell r="C874" t="str">
            <v>山东时代蜂族营销策划有限公司</v>
          </cell>
          <cell r="D874">
            <v>43974</v>
          </cell>
          <cell r="E874" t="str">
            <v>山东</v>
          </cell>
          <cell r="F874" t="str">
            <v>山东办公室</v>
          </cell>
        </row>
        <row r="874">
          <cell r="I874" t="str">
            <v>区域拓展总监</v>
          </cell>
        </row>
        <row r="875">
          <cell r="A875" t="str">
            <v>杨滔</v>
          </cell>
          <cell r="B875" t="str">
            <v>00034</v>
          </cell>
          <cell r="C875" t="str">
            <v>四川金巴牛网络科技有限公司</v>
          </cell>
          <cell r="D875">
            <v>43948</v>
          </cell>
          <cell r="E875" t="str">
            <v>集团职能</v>
          </cell>
          <cell r="F875" t="str">
            <v>职能总部</v>
          </cell>
          <cell r="G875" t="str">
            <v>技术部</v>
          </cell>
        </row>
        <row r="875">
          <cell r="I875" t="str">
            <v>JAVA工程师</v>
          </cell>
        </row>
        <row r="876">
          <cell r="A876" t="str">
            <v>许钊</v>
          </cell>
          <cell r="B876" t="str">
            <v>00032</v>
          </cell>
          <cell r="C876" t="str">
            <v>四川蜂起营销策划有限公司</v>
          </cell>
          <cell r="D876">
            <v>43910</v>
          </cell>
          <cell r="E876" t="str">
            <v>安徽</v>
          </cell>
          <cell r="F876" t="str">
            <v>安徽办公室</v>
          </cell>
        </row>
        <row r="876">
          <cell r="I876" t="str">
            <v>分公司总经理</v>
          </cell>
        </row>
        <row r="877">
          <cell r="A877" t="str">
            <v>赖慧</v>
          </cell>
          <cell r="B877" t="str">
            <v>00016</v>
          </cell>
          <cell r="C877" t="str">
            <v>四川时代蜂族营销策划有限公司</v>
          </cell>
          <cell r="D877">
            <v>43904</v>
          </cell>
          <cell r="E877" t="str">
            <v>辽宁</v>
          </cell>
          <cell r="F877" t="str">
            <v>辽宁办公室</v>
          </cell>
        </row>
        <row r="877">
          <cell r="I877" t="str">
            <v>分公司副总经理</v>
          </cell>
        </row>
        <row r="878">
          <cell r="A878" t="str">
            <v>刘辉</v>
          </cell>
          <cell r="B878" t="str">
            <v>00015</v>
          </cell>
          <cell r="C878" t="str">
            <v>山西时代蜂族房地产经纪有限公司</v>
          </cell>
          <cell r="D878">
            <v>43904</v>
          </cell>
          <cell r="E878" t="str">
            <v>山西</v>
          </cell>
          <cell r="F878" t="str">
            <v>山西办公室</v>
          </cell>
        </row>
        <row r="878">
          <cell r="I878" t="str">
            <v>分公司副总经理</v>
          </cell>
        </row>
        <row r="879">
          <cell r="A879" t="str">
            <v>刘超</v>
          </cell>
          <cell r="B879" t="str">
            <v>00029</v>
          </cell>
          <cell r="C879" t="str">
            <v>四川时代蜂族营销策划有限公司</v>
          </cell>
          <cell r="D879">
            <v>43833</v>
          </cell>
          <cell r="E879" t="str">
            <v>西南总部</v>
          </cell>
          <cell r="F879" t="str">
            <v>西南拓展中心</v>
          </cell>
          <cell r="G879" t="str">
            <v>川东</v>
          </cell>
        </row>
        <row r="879">
          <cell r="I879" t="str">
            <v>区域拓展总监</v>
          </cell>
        </row>
        <row r="880">
          <cell r="A880" t="str">
            <v>黄磊</v>
          </cell>
          <cell r="B880" t="str">
            <v>00014</v>
          </cell>
          <cell r="C880" t="str">
            <v>四川时代蜂族营销策划有限公司</v>
          </cell>
          <cell r="D880">
            <v>43831</v>
          </cell>
          <cell r="E880" t="str">
            <v>西南总部</v>
          </cell>
          <cell r="F880" t="str">
            <v>西南营销中心</v>
          </cell>
          <cell r="G880" t="str">
            <v>营业二部</v>
          </cell>
        </row>
        <row r="880">
          <cell r="I880" t="str">
            <v>三星正式经理</v>
          </cell>
        </row>
        <row r="881">
          <cell r="A881" t="str">
            <v>刘盼</v>
          </cell>
          <cell r="B881" t="str">
            <v>00036</v>
          </cell>
          <cell r="C881" t="str">
            <v>四川优诺通瑞商贸有限公司</v>
          </cell>
          <cell r="D881">
            <v>43800</v>
          </cell>
          <cell r="E881" t="str">
            <v>西南总部</v>
          </cell>
          <cell r="F881" t="str">
            <v>西南营销中心</v>
          </cell>
          <cell r="G881" t="str">
            <v>营业三部</v>
          </cell>
          <cell r="H881" t="str">
            <v>姚瑶</v>
          </cell>
          <cell r="I881" t="str">
            <v>督导</v>
          </cell>
        </row>
        <row r="882">
          <cell r="A882" t="str">
            <v>杨科</v>
          </cell>
          <cell r="B882" t="str">
            <v>00012</v>
          </cell>
          <cell r="C882" t="str">
            <v>四川时代蜂族营销策划有限公司</v>
          </cell>
          <cell r="D882">
            <v>43757</v>
          </cell>
          <cell r="E882" t="str">
            <v>西南总部</v>
          </cell>
          <cell r="F882" t="str">
            <v>西南营销中心</v>
          </cell>
          <cell r="G882" t="str">
            <v>营业五部</v>
          </cell>
        </row>
        <row r="882">
          <cell r="I882" t="str">
            <v>二星正式经理</v>
          </cell>
        </row>
        <row r="883">
          <cell r="A883" t="str">
            <v>毛孝树</v>
          </cell>
          <cell r="B883" t="str">
            <v>00010</v>
          </cell>
          <cell r="C883" t="str">
            <v>河南蜜蜂族营销策划有限公司</v>
          </cell>
          <cell r="D883">
            <v>43743</v>
          </cell>
          <cell r="E883" t="str">
            <v>河南</v>
          </cell>
          <cell r="F883" t="str">
            <v>河南办公室</v>
          </cell>
        </row>
        <row r="883">
          <cell r="I883" t="str">
            <v>分公司副总经理</v>
          </cell>
        </row>
        <row r="884">
          <cell r="A884" t="str">
            <v>雷小金</v>
          </cell>
          <cell r="B884" t="str">
            <v>00011</v>
          </cell>
          <cell r="C884" t="str">
            <v>四川时代蜂族营销策划有限公司</v>
          </cell>
          <cell r="D884">
            <v>43743</v>
          </cell>
          <cell r="E884" t="str">
            <v>西南总部</v>
          </cell>
          <cell r="F884" t="str">
            <v>西南营销中心</v>
          </cell>
          <cell r="G884" t="str">
            <v>营业一部</v>
          </cell>
        </row>
        <row r="884">
          <cell r="I884" t="str">
            <v>部长</v>
          </cell>
        </row>
        <row r="885">
          <cell r="A885" t="str">
            <v>张冀</v>
          </cell>
          <cell r="B885" t="str">
            <v>00039</v>
          </cell>
          <cell r="C885" t="str">
            <v>河北时代蜂族营销策划有限公司</v>
          </cell>
          <cell r="D885">
            <v>43721</v>
          </cell>
          <cell r="E885" t="str">
            <v>河北</v>
          </cell>
          <cell r="F885" t="str">
            <v>河北办公室</v>
          </cell>
        </row>
        <row r="885">
          <cell r="I885" t="str">
            <v>分公司总经理</v>
          </cell>
        </row>
        <row r="886">
          <cell r="A886" t="str">
            <v>廖静</v>
          </cell>
          <cell r="B886" t="str">
            <v>00040</v>
          </cell>
          <cell r="C886" t="str">
            <v>四川时代蜂族营销策划有限公司</v>
          </cell>
          <cell r="D886">
            <v>43692</v>
          </cell>
          <cell r="E886" t="str">
            <v>河南</v>
          </cell>
          <cell r="F886" t="str">
            <v>河南办公室</v>
          </cell>
        </row>
        <row r="886">
          <cell r="I886" t="str">
            <v>分公司总经理</v>
          </cell>
        </row>
        <row r="887">
          <cell r="A887" t="str">
            <v>廖小朋</v>
          </cell>
          <cell r="B887" t="str">
            <v>00009</v>
          </cell>
          <cell r="C887" t="str">
            <v>陕西蜂族科技有限公司</v>
          </cell>
          <cell r="D887">
            <v>43602</v>
          </cell>
          <cell r="E887" t="str">
            <v>陕西</v>
          </cell>
          <cell r="F887" t="str">
            <v>陕西办公室</v>
          </cell>
        </row>
        <row r="887">
          <cell r="I887" t="str">
            <v>分公司总经理</v>
          </cell>
        </row>
        <row r="888">
          <cell r="A888" t="str">
            <v>李港一</v>
          </cell>
          <cell r="B888" t="str">
            <v>00008</v>
          </cell>
          <cell r="C888" t="str">
            <v>河北时代蜂族营销策划有限公司</v>
          </cell>
          <cell r="D888">
            <v>43598</v>
          </cell>
          <cell r="E888" t="str">
            <v>河北</v>
          </cell>
          <cell r="F888" t="str">
            <v>河北办公室</v>
          </cell>
        </row>
        <row r="888">
          <cell r="I888" t="str">
            <v>分公司副总经理</v>
          </cell>
        </row>
        <row r="889">
          <cell r="A889" t="str">
            <v>庄素芳</v>
          </cell>
          <cell r="B889" t="str">
            <v>00006</v>
          </cell>
          <cell r="C889" t="str">
            <v>四川时代蜂族营销策划有限公司</v>
          </cell>
          <cell r="D889">
            <v>43572</v>
          </cell>
          <cell r="E889" t="str">
            <v>湖南</v>
          </cell>
          <cell r="F889" t="str">
            <v>湖南营销中心</v>
          </cell>
          <cell r="G889" t="str">
            <v>湖南销售部</v>
          </cell>
        </row>
        <row r="889">
          <cell r="I889" t="str">
            <v>一星正式经理</v>
          </cell>
        </row>
        <row r="890">
          <cell r="A890" t="str">
            <v>李旭</v>
          </cell>
          <cell r="B890" t="str">
            <v>00035</v>
          </cell>
          <cell r="C890" t="str">
            <v>四川蜂起营销策划有限公司</v>
          </cell>
          <cell r="D890">
            <v>43570</v>
          </cell>
          <cell r="E890" t="str">
            <v>集团职能</v>
          </cell>
          <cell r="F890" t="str">
            <v>职能营销</v>
          </cell>
          <cell r="G890" t="str">
            <v>设计部</v>
          </cell>
        </row>
        <row r="890">
          <cell r="I890" t="str">
            <v>设计主管</v>
          </cell>
        </row>
        <row r="891">
          <cell r="A891" t="str">
            <v>陈萍</v>
          </cell>
          <cell r="B891" t="str">
            <v>00037</v>
          </cell>
          <cell r="C891" t="str">
            <v>四川时代蜂族营销策划有限公司</v>
          </cell>
          <cell r="D891">
            <v>43525</v>
          </cell>
          <cell r="E891" t="str">
            <v>集团职能</v>
          </cell>
          <cell r="F891" t="str">
            <v>职能总部</v>
          </cell>
          <cell r="G891" t="str">
            <v>财务部</v>
          </cell>
        </row>
        <row r="891">
          <cell r="I891" t="str">
            <v>财务经理</v>
          </cell>
        </row>
        <row r="892">
          <cell r="A892" t="str">
            <v>何文斌</v>
          </cell>
          <cell r="B892" t="str">
            <v>00033</v>
          </cell>
          <cell r="C892" t="str">
            <v>四川金巴牛网络科技有限公司</v>
          </cell>
          <cell r="D892">
            <v>43525</v>
          </cell>
          <cell r="E892" t="str">
            <v>集团职能</v>
          </cell>
          <cell r="F892" t="str">
            <v>职能总部</v>
          </cell>
          <cell r="G892" t="str">
            <v>财务部</v>
          </cell>
        </row>
        <row r="892">
          <cell r="I892" t="str">
            <v>出纳</v>
          </cell>
        </row>
        <row r="893">
          <cell r="A893" t="str">
            <v>范庚</v>
          </cell>
          <cell r="B893" t="str">
            <v>00004</v>
          </cell>
          <cell r="C893" t="str">
            <v>湖北蜜蜂族房地产经纪有限公司</v>
          </cell>
          <cell r="D893">
            <v>43519</v>
          </cell>
          <cell r="E893" t="str">
            <v>湖北</v>
          </cell>
          <cell r="F893" t="str">
            <v>湖北办公室</v>
          </cell>
        </row>
        <row r="893">
          <cell r="I893" t="str">
            <v>分公司总经理</v>
          </cell>
        </row>
        <row r="894">
          <cell r="A894" t="str">
            <v>黄伟</v>
          </cell>
          <cell r="B894" t="str">
            <v>00043</v>
          </cell>
          <cell r="C894" t="str">
            <v>四川时代蜂族营销策划有限公司</v>
          </cell>
          <cell r="D894">
            <v>43516</v>
          </cell>
          <cell r="E894" t="str">
            <v>西南总部</v>
          </cell>
          <cell r="F894" t="str">
            <v>西南拓展中心</v>
          </cell>
        </row>
        <row r="894">
          <cell r="I894" t="str">
            <v>分公司总经理</v>
          </cell>
        </row>
        <row r="895">
          <cell r="A895" t="str">
            <v>黄芳</v>
          </cell>
          <cell r="B895" t="str">
            <v>00001</v>
          </cell>
          <cell r="C895" t="str">
            <v>四川蜜蜂族网络科技有限公司</v>
          </cell>
          <cell r="D895">
            <v>43466</v>
          </cell>
          <cell r="E895" t="str">
            <v>集团职能</v>
          </cell>
          <cell r="F895" t="str">
            <v>职能总部</v>
          </cell>
          <cell r="G895" t="str">
            <v>总经办</v>
          </cell>
        </row>
        <row r="895">
          <cell r="I895" t="str">
            <v>总经理</v>
          </cell>
        </row>
        <row r="896">
          <cell r="A896" t="str">
            <v>欧松林</v>
          </cell>
          <cell r="B896" t="str">
            <v>00002</v>
          </cell>
          <cell r="C896" t="str">
            <v>四川时代蜂族营销策划有限公司</v>
          </cell>
          <cell r="D896">
            <v>43466</v>
          </cell>
          <cell r="E896" t="str">
            <v>集团职能</v>
          </cell>
          <cell r="F896" t="str">
            <v>职能总部</v>
          </cell>
          <cell r="G896" t="str">
            <v>总经办</v>
          </cell>
        </row>
        <row r="896">
          <cell r="I896" t="str">
            <v>营销总监</v>
          </cell>
        </row>
        <row r="897">
          <cell r="A897" t="str">
            <v>刘文宇</v>
          </cell>
          <cell r="B897" t="str">
            <v>00003</v>
          </cell>
          <cell r="C897" t="str">
            <v>四川时代蜂族营销策划有限公司</v>
          </cell>
          <cell r="D897">
            <v>43466</v>
          </cell>
          <cell r="E897" t="str">
            <v>集团职能</v>
          </cell>
          <cell r="F897" t="str">
            <v>职能总部</v>
          </cell>
          <cell r="G897" t="str">
            <v>总经办</v>
          </cell>
        </row>
        <row r="897">
          <cell r="I897" t="str">
            <v>风控总监</v>
          </cell>
        </row>
      </sheetData>
      <sheetData sheetId="1"/>
      <sheetData sheetId="2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汇总表"/>
      <sheetName val="每日一练(销售）"/>
      <sheetName val="每周一通（销售）"/>
      <sheetName val="每周一练（经理）"/>
    </sheetNames>
    <sheetDataSet>
      <sheetData sheetId="0">
        <row r="1">
          <cell r="A1" t="str">
            <v>2026年项目经理维度考核表-通关指标得分排名（3月2日-3月29日）</v>
          </cell>
        </row>
        <row r="2">
          <cell r="A2" t="str">
            <v>计分规则：
项目经理维度考核表-通关指标满分30分，三个维度各10分
《每日一练》得分=10分*《每日一练》完成率（完成率88%以上得满分）
《每周一通》得分=10分*《每周一通》完成率
《每周一练》得分=10分*《每周一练》完成率
完成率=（应完成人数/实际完成人数）*100%
每日一练当天生成，当天完成算实际完成；每周一通当周生成，当周完成算实际完成；每周一练当周生成，当周完成算实际完成。</v>
          </cell>
        </row>
        <row r="3">
          <cell r="A3" t="str">
            <v>姓名</v>
          </cell>
        </row>
        <row r="3">
          <cell r="D3" t="str">
            <v>《每日一练》</v>
          </cell>
        </row>
        <row r="4">
          <cell r="A4" t="str">
            <v>营业部</v>
          </cell>
        </row>
        <row r="4">
          <cell r="D4" t="str">
            <v>应该完成</v>
          </cell>
        </row>
        <row r="5">
          <cell r="A5" t="str">
            <v>陕西2部</v>
          </cell>
        </row>
        <row r="5">
          <cell r="D5">
            <v>130</v>
          </cell>
        </row>
        <row r="6">
          <cell r="A6" t="str">
            <v>陕西2部</v>
          </cell>
        </row>
        <row r="6">
          <cell r="D6">
            <v>128</v>
          </cell>
        </row>
        <row r="7">
          <cell r="A7" t="str">
            <v>湖北2部</v>
          </cell>
        </row>
        <row r="7">
          <cell r="D7">
            <v>87</v>
          </cell>
        </row>
        <row r="8">
          <cell r="A8" t="str">
            <v>湖南销售部</v>
          </cell>
        </row>
        <row r="8">
          <cell r="D8">
            <v>79</v>
          </cell>
        </row>
        <row r="9">
          <cell r="A9" t="str">
            <v>陕西1部</v>
          </cell>
        </row>
        <row r="9">
          <cell r="D9">
            <v>104</v>
          </cell>
        </row>
        <row r="10">
          <cell r="A10" t="str">
            <v>营业一部</v>
          </cell>
        </row>
        <row r="10">
          <cell r="D10">
            <v>161</v>
          </cell>
        </row>
        <row r="11">
          <cell r="A11" t="str">
            <v>营业一部</v>
          </cell>
        </row>
        <row r="11">
          <cell r="D11">
            <v>174</v>
          </cell>
        </row>
        <row r="12">
          <cell r="A12" t="str">
            <v>营业一部</v>
          </cell>
        </row>
        <row r="12">
          <cell r="D12">
            <v>191</v>
          </cell>
        </row>
        <row r="13">
          <cell r="A13" t="str">
            <v>营业一部</v>
          </cell>
        </row>
        <row r="13">
          <cell r="D13">
            <v>108</v>
          </cell>
        </row>
        <row r="14">
          <cell r="A14" t="str">
            <v>营业五部</v>
          </cell>
        </row>
        <row r="14">
          <cell r="D14">
            <v>103</v>
          </cell>
        </row>
        <row r="15">
          <cell r="A15" t="str">
            <v>营业五部</v>
          </cell>
        </row>
        <row r="15">
          <cell r="D15">
            <v>129</v>
          </cell>
        </row>
        <row r="16">
          <cell r="A16" t="str">
            <v>营业四部</v>
          </cell>
        </row>
        <row r="16">
          <cell r="D16">
            <v>143</v>
          </cell>
        </row>
        <row r="17">
          <cell r="A17" t="str">
            <v>营业四部</v>
          </cell>
        </row>
        <row r="17">
          <cell r="D17">
            <v>123</v>
          </cell>
        </row>
        <row r="18">
          <cell r="A18" t="str">
            <v>营业四部</v>
          </cell>
        </row>
        <row r="18">
          <cell r="D18">
            <v>81</v>
          </cell>
        </row>
        <row r="19">
          <cell r="A19" t="str">
            <v>营业三部</v>
          </cell>
        </row>
        <row r="19">
          <cell r="D19">
            <v>121</v>
          </cell>
        </row>
        <row r="20">
          <cell r="A20" t="str">
            <v>营业三部</v>
          </cell>
        </row>
        <row r="20">
          <cell r="D20">
            <v>121</v>
          </cell>
        </row>
        <row r="21">
          <cell r="A21" t="str">
            <v>营业三部</v>
          </cell>
        </row>
        <row r="21">
          <cell r="D21">
            <v>70</v>
          </cell>
        </row>
        <row r="22">
          <cell r="A22" t="str">
            <v>营业七部</v>
          </cell>
        </row>
        <row r="22">
          <cell r="D22">
            <v>157</v>
          </cell>
        </row>
        <row r="23">
          <cell r="A23" t="str">
            <v>营业七部</v>
          </cell>
        </row>
        <row r="23">
          <cell r="D23">
            <v>127</v>
          </cell>
        </row>
        <row r="24">
          <cell r="A24" t="str">
            <v>营业六部</v>
          </cell>
        </row>
        <row r="24">
          <cell r="D24">
            <v>138</v>
          </cell>
        </row>
        <row r="25">
          <cell r="A25" t="str">
            <v>营业六部</v>
          </cell>
        </row>
        <row r="25">
          <cell r="D25">
            <v>69</v>
          </cell>
        </row>
        <row r="26">
          <cell r="A26" t="str">
            <v>营业六部</v>
          </cell>
        </row>
        <row r="26">
          <cell r="D26">
            <v>90</v>
          </cell>
        </row>
        <row r="27">
          <cell r="A27" t="str">
            <v>营业二部</v>
          </cell>
        </row>
        <row r="27">
          <cell r="D27">
            <v>132</v>
          </cell>
        </row>
        <row r="28">
          <cell r="A28" t="str">
            <v>河南销售部</v>
          </cell>
        </row>
        <row r="28">
          <cell r="D28">
            <v>146</v>
          </cell>
        </row>
        <row r="29">
          <cell r="A29" t="str">
            <v>营业五部</v>
          </cell>
        </row>
        <row r="29">
          <cell r="D29">
            <v>229</v>
          </cell>
        </row>
        <row r="30">
          <cell r="A30" t="str">
            <v>营业五部</v>
          </cell>
        </row>
        <row r="30">
          <cell r="D30">
            <v>99</v>
          </cell>
        </row>
        <row r="31">
          <cell r="A31" t="str">
            <v>营业五部</v>
          </cell>
        </row>
        <row r="31">
          <cell r="D31">
            <v>100</v>
          </cell>
        </row>
        <row r="32">
          <cell r="A32" t="str">
            <v>营业六部</v>
          </cell>
        </row>
        <row r="32">
          <cell r="D32">
            <v>137</v>
          </cell>
        </row>
        <row r="33">
          <cell r="A33" t="str">
            <v>营业二部</v>
          </cell>
        </row>
        <row r="33">
          <cell r="D33">
            <v>113</v>
          </cell>
        </row>
        <row r="34">
          <cell r="A34" t="str">
            <v>营业七部</v>
          </cell>
        </row>
        <row r="34">
          <cell r="D34">
            <v>160</v>
          </cell>
        </row>
        <row r="35">
          <cell r="A35" t="str">
            <v>陕西1部</v>
          </cell>
        </row>
        <row r="35">
          <cell r="D35">
            <v>108</v>
          </cell>
        </row>
        <row r="36">
          <cell r="A36" t="str">
            <v>陕西2部</v>
          </cell>
        </row>
        <row r="36">
          <cell r="D36">
            <v>104</v>
          </cell>
        </row>
        <row r="37">
          <cell r="A37" t="str">
            <v>陕西1部</v>
          </cell>
        </row>
        <row r="37">
          <cell r="D37">
            <v>131</v>
          </cell>
        </row>
        <row r="38">
          <cell r="A38" t="str">
            <v>陕西1部</v>
          </cell>
        </row>
        <row r="38">
          <cell r="D38">
            <v>78</v>
          </cell>
        </row>
        <row r="39">
          <cell r="A39" t="str">
            <v>陕西1部</v>
          </cell>
        </row>
        <row r="39">
          <cell r="D39">
            <v>101</v>
          </cell>
        </row>
        <row r="40">
          <cell r="A40" t="str">
            <v>山西销售部</v>
          </cell>
        </row>
        <row r="40">
          <cell r="D40">
            <v>111</v>
          </cell>
        </row>
        <row r="41">
          <cell r="A41" t="str">
            <v>山西销售部</v>
          </cell>
        </row>
        <row r="41">
          <cell r="D41">
            <v>106</v>
          </cell>
        </row>
        <row r="42">
          <cell r="A42" t="str">
            <v>山西销售部</v>
          </cell>
        </row>
        <row r="42">
          <cell r="D42">
            <v>103</v>
          </cell>
        </row>
        <row r="43">
          <cell r="A43" t="str">
            <v>山西销售部</v>
          </cell>
        </row>
        <row r="43">
          <cell r="D43">
            <v>118</v>
          </cell>
        </row>
        <row r="44">
          <cell r="A44" t="str">
            <v>山东销售部</v>
          </cell>
        </row>
        <row r="44">
          <cell r="D44">
            <v>84</v>
          </cell>
        </row>
        <row r="45">
          <cell r="A45" t="str">
            <v>山东销售部</v>
          </cell>
        </row>
        <row r="45">
          <cell r="D45">
            <v>104</v>
          </cell>
        </row>
        <row r="46">
          <cell r="A46" t="str">
            <v>山东销售部</v>
          </cell>
        </row>
        <row r="46">
          <cell r="D46">
            <v>56</v>
          </cell>
        </row>
        <row r="47">
          <cell r="A47" t="str">
            <v>山东销售部</v>
          </cell>
        </row>
        <row r="47">
          <cell r="D47">
            <v>106</v>
          </cell>
        </row>
        <row r="48">
          <cell r="A48" t="str">
            <v>山东销售部</v>
          </cell>
        </row>
        <row r="48">
          <cell r="D48">
            <v>138</v>
          </cell>
        </row>
        <row r="49">
          <cell r="A49" t="str">
            <v>山东销售部</v>
          </cell>
        </row>
        <row r="49">
          <cell r="D49">
            <v>61</v>
          </cell>
        </row>
        <row r="50">
          <cell r="A50" t="str">
            <v>山东销售部</v>
          </cell>
        </row>
        <row r="50">
          <cell r="D50">
            <v>98</v>
          </cell>
        </row>
        <row r="51">
          <cell r="A51" t="str">
            <v>山东销售部</v>
          </cell>
        </row>
        <row r="51">
          <cell r="D51">
            <v>123</v>
          </cell>
        </row>
        <row r="52">
          <cell r="A52" t="str">
            <v>河南销售部</v>
          </cell>
        </row>
        <row r="52">
          <cell r="D52">
            <v>85</v>
          </cell>
        </row>
        <row r="53">
          <cell r="A53" t="str">
            <v>辽宁销售部</v>
          </cell>
        </row>
        <row r="53">
          <cell r="D53">
            <v>157</v>
          </cell>
        </row>
        <row r="54">
          <cell r="A54" t="str">
            <v>营业二部</v>
          </cell>
        </row>
        <row r="54">
          <cell r="D54">
            <v>114</v>
          </cell>
        </row>
        <row r="55">
          <cell r="A55" t="str">
            <v>湖南销售部</v>
          </cell>
        </row>
        <row r="55">
          <cell r="D55">
            <v>79</v>
          </cell>
        </row>
        <row r="56">
          <cell r="A56" t="str">
            <v>湖南销售部</v>
          </cell>
        </row>
        <row r="56">
          <cell r="D56">
            <v>71</v>
          </cell>
        </row>
        <row r="57">
          <cell r="A57" t="str">
            <v>湖南销售部</v>
          </cell>
        </row>
        <row r="57">
          <cell r="D57">
            <v>73</v>
          </cell>
        </row>
        <row r="58">
          <cell r="A58" t="str">
            <v>湖南销售部</v>
          </cell>
        </row>
        <row r="58">
          <cell r="D58">
            <v>54</v>
          </cell>
        </row>
        <row r="59">
          <cell r="A59" t="str">
            <v>湖南销售部</v>
          </cell>
        </row>
        <row r="59">
          <cell r="D59">
            <v>123</v>
          </cell>
        </row>
        <row r="60">
          <cell r="A60" t="str">
            <v>湖北1部</v>
          </cell>
        </row>
        <row r="60">
          <cell r="D60">
            <v>76</v>
          </cell>
        </row>
        <row r="61">
          <cell r="A61" t="str">
            <v>湖北2部</v>
          </cell>
        </row>
        <row r="61">
          <cell r="D61">
            <v>76</v>
          </cell>
        </row>
        <row r="62">
          <cell r="A62" t="str">
            <v>河南销售部</v>
          </cell>
        </row>
        <row r="62">
          <cell r="D62">
            <v>143</v>
          </cell>
        </row>
        <row r="63">
          <cell r="A63" t="str">
            <v>河南销售部</v>
          </cell>
        </row>
        <row r="63">
          <cell r="D63">
            <v>87</v>
          </cell>
        </row>
        <row r="64">
          <cell r="A64" t="str">
            <v>河南销售部</v>
          </cell>
        </row>
        <row r="64">
          <cell r="D64">
            <v>114</v>
          </cell>
        </row>
        <row r="65">
          <cell r="A65" t="str">
            <v>河南销售部</v>
          </cell>
        </row>
        <row r="65">
          <cell r="D65">
            <v>120</v>
          </cell>
        </row>
        <row r="66">
          <cell r="A66" t="str">
            <v>河北销售部</v>
          </cell>
        </row>
        <row r="66">
          <cell r="D66">
            <v>101</v>
          </cell>
        </row>
        <row r="67">
          <cell r="A67" t="str">
            <v>河北销售部</v>
          </cell>
        </row>
        <row r="67">
          <cell r="D67">
            <v>87</v>
          </cell>
        </row>
        <row r="68">
          <cell r="A68" t="str">
            <v>河北销售部</v>
          </cell>
        </row>
        <row r="68">
          <cell r="D68">
            <v>129</v>
          </cell>
        </row>
        <row r="69">
          <cell r="A69" t="str">
            <v>甘肃销售部</v>
          </cell>
        </row>
        <row r="69">
          <cell r="D69">
            <v>104</v>
          </cell>
        </row>
        <row r="70">
          <cell r="A70" t="str">
            <v>湖南销售部</v>
          </cell>
        </row>
        <row r="70">
          <cell r="D70">
            <v>54</v>
          </cell>
        </row>
        <row r="71">
          <cell r="A71" t="str">
            <v>湖北2部</v>
          </cell>
        </row>
        <row r="71">
          <cell r="D71">
            <v>81</v>
          </cell>
        </row>
        <row r="72">
          <cell r="A72" t="str">
            <v>湖北1部</v>
          </cell>
        </row>
        <row r="72">
          <cell r="D72">
            <v>75</v>
          </cell>
        </row>
        <row r="73">
          <cell r="A73" t="str">
            <v>山西销售部</v>
          </cell>
        </row>
        <row r="73">
          <cell r="D73">
            <v>172</v>
          </cell>
        </row>
        <row r="74">
          <cell r="A74" t="str">
            <v>山西销售部</v>
          </cell>
        </row>
        <row r="74">
          <cell r="D74">
            <v>126</v>
          </cell>
        </row>
        <row r="75">
          <cell r="A75" t="str">
            <v>陕西2部</v>
          </cell>
        </row>
        <row r="75">
          <cell r="D75">
            <v>120</v>
          </cell>
        </row>
        <row r="76">
          <cell r="A76" t="str">
            <v>陕西1部</v>
          </cell>
        </row>
        <row r="76">
          <cell r="D76">
            <v>127</v>
          </cell>
        </row>
        <row r="77">
          <cell r="A77" t="str">
            <v>湖南销售部</v>
          </cell>
        </row>
        <row r="77">
          <cell r="D77">
            <v>86</v>
          </cell>
        </row>
        <row r="78">
          <cell r="A78" t="str">
            <v>营业三部</v>
          </cell>
        </row>
        <row r="78">
          <cell r="D78">
            <v>99</v>
          </cell>
        </row>
        <row r="79">
          <cell r="A79" t="str">
            <v>营业七部</v>
          </cell>
        </row>
        <row r="79">
          <cell r="D79">
            <v>150</v>
          </cell>
        </row>
        <row r="80">
          <cell r="A80" t="str">
            <v>陕西1部</v>
          </cell>
        </row>
        <row r="80">
          <cell r="D80">
            <v>106</v>
          </cell>
        </row>
        <row r="81">
          <cell r="A81" t="str">
            <v>营业二部</v>
          </cell>
        </row>
        <row r="81">
          <cell r="D81">
            <v>100</v>
          </cell>
        </row>
        <row r="82">
          <cell r="A82" t="str">
            <v>河北销售部</v>
          </cell>
        </row>
        <row r="82">
          <cell r="D82">
            <v>108</v>
          </cell>
        </row>
        <row r="83">
          <cell r="A83" t="str">
            <v>营业二部</v>
          </cell>
        </row>
        <row r="83">
          <cell r="D83">
            <v>125</v>
          </cell>
        </row>
        <row r="84">
          <cell r="A84" t="str">
            <v>营业一部</v>
          </cell>
        </row>
        <row r="84">
          <cell r="D84">
            <v>105</v>
          </cell>
        </row>
        <row r="85">
          <cell r="A85" t="str">
            <v>河南销售部</v>
          </cell>
        </row>
        <row r="85">
          <cell r="D85">
            <v>165</v>
          </cell>
        </row>
        <row r="86">
          <cell r="A86" t="str">
            <v>营业六部</v>
          </cell>
        </row>
        <row r="86">
          <cell r="D86">
            <v>150</v>
          </cell>
        </row>
        <row r="87">
          <cell r="A87" t="str">
            <v>营业一部</v>
          </cell>
        </row>
        <row r="87">
          <cell r="D87">
            <v>155</v>
          </cell>
        </row>
        <row r="88">
          <cell r="A88" t="str">
            <v>营业三部</v>
          </cell>
        </row>
        <row r="88">
          <cell r="D88">
            <v>119</v>
          </cell>
        </row>
        <row r="89">
          <cell r="A89" t="str">
            <v>湖北2部</v>
          </cell>
        </row>
        <row r="89">
          <cell r="D89">
            <v>128</v>
          </cell>
        </row>
        <row r="90">
          <cell r="A90" t="str">
            <v>山东销售部</v>
          </cell>
        </row>
        <row r="90">
          <cell r="D90">
            <v>128</v>
          </cell>
        </row>
        <row r="91">
          <cell r="A91" t="str">
            <v>营业七部</v>
          </cell>
        </row>
        <row r="91">
          <cell r="D91">
            <v>114</v>
          </cell>
        </row>
        <row r="92">
          <cell r="A92" t="str">
            <v>陕西1部</v>
          </cell>
        </row>
        <row r="92">
          <cell r="D92">
            <v>110</v>
          </cell>
        </row>
        <row r="93">
          <cell r="A93" t="str">
            <v>营业五部</v>
          </cell>
        </row>
        <row r="93">
          <cell r="D93">
            <v>106</v>
          </cell>
        </row>
        <row r="94">
          <cell r="A94" t="str">
            <v>陕西2部</v>
          </cell>
        </row>
        <row r="94">
          <cell r="D94">
            <v>114</v>
          </cell>
        </row>
        <row r="95">
          <cell r="A95" t="str">
            <v>营业二部</v>
          </cell>
        </row>
        <row r="95">
          <cell r="D95">
            <v>101</v>
          </cell>
        </row>
        <row r="96">
          <cell r="A96" t="str">
            <v>湖北1部</v>
          </cell>
        </row>
        <row r="96">
          <cell r="D96">
            <v>105</v>
          </cell>
        </row>
        <row r="97">
          <cell r="A97" t="str">
            <v>营业六部</v>
          </cell>
        </row>
        <row r="97">
          <cell r="D97">
            <v>102</v>
          </cell>
        </row>
        <row r="98">
          <cell r="A98" t="str">
            <v>河南销售部</v>
          </cell>
        </row>
        <row r="98">
          <cell r="D98">
            <v>94</v>
          </cell>
        </row>
        <row r="99">
          <cell r="A99" t="str">
            <v>湖北1部</v>
          </cell>
        </row>
        <row r="99">
          <cell r="D99">
            <v>98</v>
          </cell>
        </row>
        <row r="100">
          <cell r="A100" t="str">
            <v>营业五部</v>
          </cell>
        </row>
        <row r="100">
          <cell r="D100">
            <v>80</v>
          </cell>
        </row>
        <row r="101">
          <cell r="A101" t="str">
            <v>湖北2部</v>
          </cell>
        </row>
        <row r="101">
          <cell r="D101">
            <v>77</v>
          </cell>
        </row>
        <row r="102">
          <cell r="A102" t="str">
            <v>营业五部</v>
          </cell>
        </row>
        <row r="102">
          <cell r="D102">
            <v>79</v>
          </cell>
        </row>
        <row r="103">
          <cell r="A103" t="str">
            <v>陕西2部</v>
          </cell>
        </row>
        <row r="103">
          <cell r="D103">
            <v>75</v>
          </cell>
        </row>
        <row r="104">
          <cell r="A104" t="str">
            <v>内蒙古销售部</v>
          </cell>
        </row>
        <row r="104">
          <cell r="D104">
            <v>81</v>
          </cell>
        </row>
        <row r="105">
          <cell r="A105" t="str">
            <v>湖南销售部</v>
          </cell>
        </row>
        <row r="105">
          <cell r="D105">
            <v>78</v>
          </cell>
        </row>
        <row r="106">
          <cell r="A106" t="str">
            <v>湖南销售部</v>
          </cell>
        </row>
        <row r="106">
          <cell r="D106">
            <v>49</v>
          </cell>
        </row>
        <row r="107">
          <cell r="A107" t="str">
            <v>营业三部</v>
          </cell>
        </row>
        <row r="107">
          <cell r="D107">
            <v>122</v>
          </cell>
        </row>
        <row r="108">
          <cell r="A108" t="str">
            <v>陕西1部</v>
          </cell>
        </row>
        <row r="108">
          <cell r="D108">
            <v>116</v>
          </cell>
        </row>
        <row r="109">
          <cell r="A109" t="str">
            <v>营业五部</v>
          </cell>
        </row>
        <row r="109">
          <cell r="D109">
            <v>131</v>
          </cell>
        </row>
        <row r="110">
          <cell r="A110" t="str">
            <v>辽宁销售部</v>
          </cell>
        </row>
        <row r="110">
          <cell r="D110">
            <v>154</v>
          </cell>
        </row>
        <row r="111">
          <cell r="A111" t="str">
            <v>湖南销售部</v>
          </cell>
        </row>
        <row r="111">
          <cell r="D111">
            <v>53</v>
          </cell>
        </row>
        <row r="112">
          <cell r="A112" t="str">
            <v>湖南销售部</v>
          </cell>
        </row>
        <row r="112">
          <cell r="D112">
            <v>104</v>
          </cell>
        </row>
        <row r="113">
          <cell r="A113" t="str">
            <v>营业二部</v>
          </cell>
        </row>
        <row r="113">
          <cell r="D113">
            <v>134</v>
          </cell>
        </row>
        <row r="114">
          <cell r="A114" t="str">
            <v>营业六部</v>
          </cell>
        </row>
        <row r="114">
          <cell r="D114">
            <v>84</v>
          </cell>
        </row>
        <row r="115">
          <cell r="A115" t="str">
            <v>山西销售部</v>
          </cell>
        </row>
        <row r="115">
          <cell r="D115">
            <v>132</v>
          </cell>
        </row>
        <row r="116">
          <cell r="A116" t="str">
            <v>营业二部</v>
          </cell>
        </row>
        <row r="116">
          <cell r="D116">
            <v>101</v>
          </cell>
        </row>
        <row r="117">
          <cell r="A117" t="str">
            <v>营业三部</v>
          </cell>
        </row>
        <row r="117">
          <cell r="D117">
            <v>111</v>
          </cell>
        </row>
        <row r="118">
          <cell r="A118" t="str">
            <v>山东销售部</v>
          </cell>
        </row>
        <row r="118">
          <cell r="D118">
            <v>107</v>
          </cell>
        </row>
        <row r="119">
          <cell r="A119" t="str">
            <v>陕西1部</v>
          </cell>
        </row>
        <row r="119">
          <cell r="D119">
            <v>121</v>
          </cell>
        </row>
        <row r="120">
          <cell r="A120" t="str">
            <v>湖北1部</v>
          </cell>
        </row>
        <row r="120">
          <cell r="D120">
            <v>90</v>
          </cell>
        </row>
        <row r="121">
          <cell r="A121" t="str">
            <v>营业七部</v>
          </cell>
        </row>
        <row r="121">
          <cell r="D121">
            <v>82</v>
          </cell>
        </row>
        <row r="122">
          <cell r="A122" t="str">
            <v>营业四部</v>
          </cell>
        </row>
        <row r="122">
          <cell r="D122">
            <v>130</v>
          </cell>
        </row>
        <row r="123">
          <cell r="A123" t="str">
            <v>营业七部</v>
          </cell>
        </row>
        <row r="123">
          <cell r="D123">
            <v>106</v>
          </cell>
        </row>
        <row r="124">
          <cell r="A124" t="str">
            <v>营业二部</v>
          </cell>
        </row>
        <row r="124">
          <cell r="D124">
            <v>122</v>
          </cell>
        </row>
        <row r="125">
          <cell r="A125" t="str">
            <v>营业四部</v>
          </cell>
        </row>
        <row r="125">
          <cell r="D125">
            <v>141</v>
          </cell>
        </row>
        <row r="126">
          <cell r="A126" t="str">
            <v>陕西2部</v>
          </cell>
        </row>
        <row r="126">
          <cell r="D126">
            <v>131</v>
          </cell>
        </row>
        <row r="127">
          <cell r="A127" t="str">
            <v>湖北1部</v>
          </cell>
        </row>
        <row r="127">
          <cell r="D127">
            <v>147</v>
          </cell>
        </row>
        <row r="128">
          <cell r="A128" t="str">
            <v>营业二部</v>
          </cell>
        </row>
        <row r="128">
          <cell r="D128">
            <v>143</v>
          </cell>
        </row>
        <row r="129">
          <cell r="A129" t="str">
            <v>湖北1部</v>
          </cell>
        </row>
        <row r="129">
          <cell r="D129">
            <v>81</v>
          </cell>
        </row>
        <row r="130">
          <cell r="A130" t="str">
            <v>湖北2部</v>
          </cell>
        </row>
        <row r="130">
          <cell r="D130">
            <v>115</v>
          </cell>
        </row>
        <row r="131">
          <cell r="A131" t="str">
            <v>山西销售部</v>
          </cell>
        </row>
        <row r="131">
          <cell r="D131">
            <v>100</v>
          </cell>
        </row>
        <row r="132">
          <cell r="A132" t="str">
            <v>营业七部</v>
          </cell>
        </row>
        <row r="132">
          <cell r="D132">
            <v>107</v>
          </cell>
        </row>
        <row r="133">
          <cell r="A133" t="str">
            <v>湖北1部</v>
          </cell>
        </row>
        <row r="133">
          <cell r="D133">
            <v>99</v>
          </cell>
        </row>
        <row r="134">
          <cell r="A134" t="str">
            <v>营业三部</v>
          </cell>
        </row>
        <row r="134">
          <cell r="D134">
            <v>126</v>
          </cell>
        </row>
        <row r="135">
          <cell r="A135" t="str">
            <v>陕西2部</v>
          </cell>
        </row>
        <row r="135">
          <cell r="D135">
            <v>91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266"/>
  <sheetViews>
    <sheetView zoomScale="105" zoomScaleNormal="105" workbookViewId="0">
      <pane xSplit="3" ySplit="5" topLeftCell="D52" activePane="bottomRight" state="frozen"/>
      <selection/>
      <selection pane="topRight"/>
      <selection pane="bottomLeft"/>
      <selection pane="bottomRight" activeCell="O53" sqref="O53:O55"/>
    </sheetView>
  </sheetViews>
  <sheetFormatPr defaultColWidth="8.89166666666667" defaultRowHeight="13.5"/>
  <cols>
    <col min="3" max="3" width="17.6666666666667" customWidth="1"/>
    <col min="4" max="4" width="14" customWidth="1"/>
    <col min="5" max="5" width="14.6666666666667" customWidth="1"/>
    <col min="7" max="7" width="9.66666666666667" customWidth="1"/>
    <col min="8" max="8" width="16.4416666666667" customWidth="1"/>
    <col min="9" max="9" width="11.8916666666667" customWidth="1"/>
    <col min="10" max="10" width="10.775" customWidth="1"/>
    <col min="11" max="11" width="11.3333333333333" customWidth="1"/>
    <col min="14" max="14" width="10.775" customWidth="1"/>
    <col min="15" max="15" width="11.6666666666667" customWidth="1"/>
    <col min="16" max="16" width="12.8916666666667" customWidth="1"/>
    <col min="17" max="17" width="14.3333333333333"/>
    <col min="18" max="19" width="13.3333333333333" customWidth="1"/>
    <col min="20" max="20" width="9.44166666666667" customWidth="1"/>
    <col min="21" max="21" width="11.6666666666667" customWidth="1"/>
    <col min="22" max="22" width="13.8916666666667" customWidth="1"/>
    <col min="23" max="23" width="9.55833333333333" customWidth="1"/>
  </cols>
  <sheetData>
    <row r="1" ht="21" customHeight="1" spans="1:23">
      <c r="A1" s="126" t="s">
        <v>0</v>
      </c>
      <c r="B1" s="127"/>
      <c r="C1" s="128"/>
      <c r="D1" s="126"/>
      <c r="E1" s="127"/>
      <c r="F1" s="128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9"/>
    </row>
    <row r="2" ht="16.5" spans="1:23">
      <c r="A2" s="130" t="s">
        <v>1</v>
      </c>
      <c r="B2" s="131"/>
      <c r="C2" s="132"/>
      <c r="D2" s="130"/>
      <c r="E2" s="131"/>
      <c r="F2" s="132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3"/>
    </row>
    <row r="3" ht="16.5" spans="1:23">
      <c r="A3" s="134" t="s">
        <v>2</v>
      </c>
      <c r="B3" s="135" t="s">
        <v>3</v>
      </c>
      <c r="C3" s="136" t="s">
        <v>4</v>
      </c>
      <c r="D3" s="137" t="s">
        <v>5</v>
      </c>
      <c r="E3" s="138"/>
      <c r="F3" s="139"/>
      <c r="G3" s="138"/>
      <c r="H3" s="138"/>
      <c r="I3" s="138"/>
      <c r="J3" s="138"/>
      <c r="K3" s="138"/>
      <c r="L3" s="135" t="s">
        <v>6</v>
      </c>
      <c r="M3" s="135"/>
      <c r="N3" s="135"/>
      <c r="O3" s="135" t="s">
        <v>7</v>
      </c>
      <c r="P3" s="135"/>
      <c r="Q3" s="135"/>
      <c r="R3" s="135"/>
      <c r="S3" s="135"/>
      <c r="T3" s="135"/>
      <c r="U3" s="135"/>
      <c r="V3" s="135"/>
      <c r="W3" s="140"/>
    </row>
    <row r="4" ht="16.5" spans="1:23">
      <c r="A4" s="134"/>
      <c r="B4" s="135"/>
      <c r="C4" s="136"/>
      <c r="D4" s="141" t="s">
        <v>8</v>
      </c>
      <c r="E4" s="135" t="s">
        <v>9</v>
      </c>
      <c r="F4" s="136" t="s">
        <v>10</v>
      </c>
      <c r="G4" s="135" t="s">
        <v>11</v>
      </c>
      <c r="H4" s="135" t="s">
        <v>12</v>
      </c>
      <c r="I4" s="135" t="s">
        <v>13</v>
      </c>
      <c r="J4" s="135" t="s">
        <v>14</v>
      </c>
      <c r="K4" s="135" t="s">
        <v>15</v>
      </c>
      <c r="L4" s="135" t="s">
        <v>16</v>
      </c>
      <c r="M4" s="135" t="s">
        <v>11</v>
      </c>
      <c r="N4" s="135" t="s">
        <v>14</v>
      </c>
      <c r="O4" s="142" t="s">
        <v>17</v>
      </c>
      <c r="P4" s="142"/>
      <c r="Q4" s="142"/>
      <c r="R4" s="142" t="s">
        <v>18</v>
      </c>
      <c r="S4" s="142"/>
      <c r="T4" s="142"/>
      <c r="U4" s="142" t="s">
        <v>19</v>
      </c>
      <c r="V4" s="142"/>
      <c r="W4" s="143"/>
    </row>
    <row r="5" ht="16.5" spans="1:23">
      <c r="A5" s="134"/>
      <c r="B5" s="135"/>
      <c r="C5" s="136"/>
      <c r="D5" s="137"/>
      <c r="E5" s="135"/>
      <c r="F5" s="136"/>
      <c r="G5" s="135"/>
      <c r="H5" s="135"/>
      <c r="I5" s="135"/>
      <c r="J5" s="135"/>
      <c r="K5" s="135"/>
      <c r="L5" s="135"/>
      <c r="M5" s="135"/>
      <c r="N5" s="135"/>
      <c r="O5" s="142" t="s">
        <v>20</v>
      </c>
      <c r="P5" s="142" t="s">
        <v>21</v>
      </c>
      <c r="Q5" s="142" t="s">
        <v>22</v>
      </c>
      <c r="R5" s="142" t="s">
        <v>20</v>
      </c>
      <c r="S5" s="142" t="s">
        <v>21</v>
      </c>
      <c r="T5" s="142" t="s">
        <v>22</v>
      </c>
      <c r="U5" s="142" t="s">
        <v>20</v>
      </c>
      <c r="V5" s="142" t="s">
        <v>21</v>
      </c>
      <c r="W5" s="143" t="s">
        <v>22</v>
      </c>
    </row>
    <row r="6" ht="16.5" spans="1:23">
      <c r="A6" s="46" t="s">
        <v>23</v>
      </c>
      <c r="B6" s="46" t="s">
        <v>24</v>
      </c>
      <c r="C6" s="7" t="s">
        <v>25</v>
      </c>
      <c r="D6" s="46">
        <v>1</v>
      </c>
      <c r="E6" s="46">
        <v>1</v>
      </c>
      <c r="F6" s="144">
        <v>1</v>
      </c>
      <c r="G6" s="46">
        <v>1</v>
      </c>
      <c r="H6" s="144">
        <v>1</v>
      </c>
      <c r="I6" s="145">
        <v>97.5</v>
      </c>
      <c r="J6" s="105">
        <v>5</v>
      </c>
      <c r="K6" s="105">
        <v>5</v>
      </c>
      <c r="L6" s="46">
        <v>9</v>
      </c>
      <c r="M6" s="46">
        <v>33</v>
      </c>
      <c r="N6" s="145">
        <v>5</v>
      </c>
      <c r="O6" s="46">
        <v>111</v>
      </c>
      <c r="P6" s="46">
        <v>104</v>
      </c>
      <c r="Q6" s="77">
        <f t="shared" ref="Q6:Q10" si="0">P6/O6</f>
        <v>0.936936936936937</v>
      </c>
      <c r="R6" s="46">
        <v>15</v>
      </c>
      <c r="S6" s="46">
        <v>15</v>
      </c>
      <c r="T6" s="77">
        <f t="shared" ref="T6:T10" si="1">S6/R6</f>
        <v>1</v>
      </c>
      <c r="U6" s="46">
        <v>4</v>
      </c>
      <c r="V6" s="46">
        <v>4</v>
      </c>
      <c r="W6" s="77">
        <f t="shared" ref="W6:W10" si="2">V6/U6</f>
        <v>1</v>
      </c>
    </row>
    <row r="7" ht="16.5" spans="1:23">
      <c r="A7" s="146" t="s">
        <v>23</v>
      </c>
      <c r="B7" s="146" t="s">
        <v>26</v>
      </c>
      <c r="C7" s="7" t="s">
        <v>25</v>
      </c>
      <c r="D7" s="46">
        <v>1</v>
      </c>
      <c r="E7" s="146">
        <v>3</v>
      </c>
      <c r="F7" s="144">
        <v>1</v>
      </c>
      <c r="G7" s="46">
        <v>3</v>
      </c>
      <c r="H7" s="144">
        <v>0.75</v>
      </c>
      <c r="I7" s="145">
        <v>62.3125</v>
      </c>
      <c r="J7" s="105">
        <v>5</v>
      </c>
      <c r="K7" s="105">
        <v>5</v>
      </c>
      <c r="L7" s="146">
        <v>12</v>
      </c>
      <c r="M7" s="146">
        <v>32</v>
      </c>
      <c r="N7" s="147">
        <v>5</v>
      </c>
      <c r="O7" s="146">
        <v>383</v>
      </c>
      <c r="P7" s="146">
        <v>374</v>
      </c>
      <c r="Q7" s="77">
        <f t="shared" si="0"/>
        <v>0.976501305483029</v>
      </c>
      <c r="R7" s="146">
        <v>58</v>
      </c>
      <c r="S7" s="146">
        <v>57</v>
      </c>
      <c r="T7" s="77">
        <f t="shared" si="1"/>
        <v>0.982758620689655</v>
      </c>
      <c r="U7" s="146">
        <v>16</v>
      </c>
      <c r="V7" s="146">
        <v>16</v>
      </c>
      <c r="W7" s="77">
        <f t="shared" si="2"/>
        <v>1</v>
      </c>
    </row>
    <row r="8" ht="16.5" spans="1:23">
      <c r="A8" s="148"/>
      <c r="B8" s="148"/>
      <c r="C8" s="7" t="s">
        <v>27</v>
      </c>
      <c r="D8" s="46">
        <v>1</v>
      </c>
      <c r="E8" s="148"/>
      <c r="F8" s="144">
        <v>1</v>
      </c>
      <c r="G8" s="46">
        <v>2</v>
      </c>
      <c r="H8" s="144">
        <v>1</v>
      </c>
      <c r="I8" s="145">
        <v>82.3333333333333</v>
      </c>
      <c r="J8" s="105">
        <v>5</v>
      </c>
      <c r="K8" s="105">
        <v>5</v>
      </c>
      <c r="L8" s="148"/>
      <c r="M8" s="148"/>
      <c r="N8" s="149"/>
      <c r="O8" s="148"/>
      <c r="P8" s="148"/>
      <c r="Q8" s="77"/>
      <c r="R8" s="148"/>
      <c r="S8" s="148"/>
      <c r="T8" s="77"/>
      <c r="U8" s="148"/>
      <c r="V8" s="148"/>
      <c r="W8" s="77"/>
    </row>
    <row r="9" ht="16.5" spans="1:23">
      <c r="A9" s="150"/>
      <c r="B9" s="150"/>
      <c r="C9" s="7" t="s">
        <v>28</v>
      </c>
      <c r="D9" s="46">
        <v>1</v>
      </c>
      <c r="E9" s="150"/>
      <c r="F9" s="144">
        <v>1</v>
      </c>
      <c r="G9" s="46">
        <v>2</v>
      </c>
      <c r="H9" s="144">
        <v>1</v>
      </c>
      <c r="I9" s="145">
        <v>0</v>
      </c>
      <c r="J9" s="105">
        <v>5</v>
      </c>
      <c r="K9" s="105">
        <v>5</v>
      </c>
      <c r="L9" s="150"/>
      <c r="M9" s="150"/>
      <c r="N9" s="151"/>
      <c r="O9" s="150"/>
      <c r="P9" s="150"/>
      <c r="Q9" s="77"/>
      <c r="R9" s="150"/>
      <c r="S9" s="150"/>
      <c r="T9" s="77"/>
      <c r="U9" s="150"/>
      <c r="V9" s="150"/>
      <c r="W9" s="77"/>
    </row>
    <row r="10" ht="16.5" spans="1:23">
      <c r="A10" s="146" t="s">
        <v>23</v>
      </c>
      <c r="B10" s="146" t="s">
        <v>29</v>
      </c>
      <c r="C10" s="7" t="s">
        <v>25</v>
      </c>
      <c r="D10" s="46">
        <v>1</v>
      </c>
      <c r="E10" s="146">
        <v>9</v>
      </c>
      <c r="F10" s="144">
        <v>1</v>
      </c>
      <c r="G10" s="46">
        <v>5</v>
      </c>
      <c r="H10" s="144">
        <v>0.833333333333333</v>
      </c>
      <c r="I10" s="145">
        <v>76.875</v>
      </c>
      <c r="J10" s="105">
        <v>5</v>
      </c>
      <c r="K10" s="105">
        <v>5</v>
      </c>
      <c r="L10" s="146">
        <v>21</v>
      </c>
      <c r="M10" s="146">
        <v>95</v>
      </c>
      <c r="N10" s="147">
        <v>5</v>
      </c>
      <c r="O10" s="146">
        <v>845</v>
      </c>
      <c r="P10" s="146">
        <v>776</v>
      </c>
      <c r="Q10" s="77">
        <f t="shared" si="0"/>
        <v>0.918343195266272</v>
      </c>
      <c r="R10" s="146">
        <v>127</v>
      </c>
      <c r="S10" s="146">
        <v>125</v>
      </c>
      <c r="T10" s="77">
        <f t="shared" si="1"/>
        <v>0.984251968503937</v>
      </c>
      <c r="U10" s="146">
        <v>28</v>
      </c>
      <c r="V10" s="146">
        <v>25</v>
      </c>
      <c r="W10" s="77">
        <f t="shared" si="2"/>
        <v>0.892857142857143</v>
      </c>
    </row>
    <row r="11" ht="16.5" spans="1:23">
      <c r="A11" s="148"/>
      <c r="B11" s="148"/>
      <c r="C11" s="7" t="s">
        <v>27</v>
      </c>
      <c r="D11" s="46">
        <v>1</v>
      </c>
      <c r="E11" s="148"/>
      <c r="F11" s="144">
        <v>1</v>
      </c>
      <c r="G11" s="46">
        <v>3</v>
      </c>
      <c r="H11" s="144">
        <v>1</v>
      </c>
      <c r="I11" s="145">
        <v>85.8888888888889</v>
      </c>
      <c r="J11" s="105">
        <v>5</v>
      </c>
      <c r="K11" s="105">
        <v>5</v>
      </c>
      <c r="L11" s="148"/>
      <c r="M11" s="148"/>
      <c r="N11" s="149"/>
      <c r="O11" s="148"/>
      <c r="P11" s="148"/>
      <c r="Q11" s="77"/>
      <c r="R11" s="148"/>
      <c r="S11" s="148"/>
      <c r="T11" s="77"/>
      <c r="U11" s="148"/>
      <c r="V11" s="148"/>
      <c r="W11" s="77"/>
    </row>
    <row r="12" ht="16.5" spans="1:23">
      <c r="A12" s="148"/>
      <c r="B12" s="148"/>
      <c r="C12" s="7" t="s">
        <v>30</v>
      </c>
      <c r="D12" s="46">
        <v>6</v>
      </c>
      <c r="E12" s="148"/>
      <c r="F12" s="144">
        <v>1</v>
      </c>
      <c r="G12" s="46">
        <v>3</v>
      </c>
      <c r="H12" s="144">
        <v>1</v>
      </c>
      <c r="I12" s="145">
        <v>0</v>
      </c>
      <c r="J12" s="105">
        <v>5</v>
      </c>
      <c r="K12" s="105">
        <v>5</v>
      </c>
      <c r="L12" s="148"/>
      <c r="M12" s="148"/>
      <c r="N12" s="149"/>
      <c r="O12" s="148"/>
      <c r="P12" s="148"/>
      <c r="Q12" s="77"/>
      <c r="R12" s="148"/>
      <c r="S12" s="148"/>
      <c r="T12" s="77"/>
      <c r="U12" s="148"/>
      <c r="V12" s="148"/>
      <c r="W12" s="77"/>
    </row>
    <row r="13" ht="16.5" spans="1:23">
      <c r="A13" s="150"/>
      <c r="B13" s="150"/>
      <c r="C13" s="7" t="s">
        <v>28</v>
      </c>
      <c r="D13" s="46">
        <v>1</v>
      </c>
      <c r="E13" s="150"/>
      <c r="F13" s="144">
        <v>1</v>
      </c>
      <c r="G13" s="46">
        <v>3</v>
      </c>
      <c r="H13" s="144">
        <v>1</v>
      </c>
      <c r="I13" s="145">
        <v>0</v>
      </c>
      <c r="J13" s="105">
        <v>5</v>
      </c>
      <c r="K13" s="105">
        <v>5</v>
      </c>
      <c r="L13" s="150"/>
      <c r="M13" s="150"/>
      <c r="N13" s="151"/>
      <c r="O13" s="150"/>
      <c r="P13" s="150"/>
      <c r="Q13" s="77"/>
      <c r="R13" s="150"/>
      <c r="S13" s="150"/>
      <c r="T13" s="77"/>
      <c r="U13" s="150"/>
      <c r="V13" s="150"/>
      <c r="W13" s="77"/>
    </row>
    <row r="14" ht="16.5" spans="1:23">
      <c r="A14" s="146" t="s">
        <v>23</v>
      </c>
      <c r="B14" s="146" t="s">
        <v>31</v>
      </c>
      <c r="C14" s="7" t="s">
        <v>25</v>
      </c>
      <c r="D14" s="46">
        <v>1</v>
      </c>
      <c r="E14" s="146">
        <v>9</v>
      </c>
      <c r="F14" s="144">
        <v>1</v>
      </c>
      <c r="G14" s="46">
        <v>3</v>
      </c>
      <c r="H14" s="144">
        <v>1</v>
      </c>
      <c r="I14" s="145">
        <v>92.0833333333333</v>
      </c>
      <c r="J14" s="105">
        <v>5</v>
      </c>
      <c r="K14" s="105">
        <v>5</v>
      </c>
      <c r="L14" s="146">
        <v>38</v>
      </c>
      <c r="M14" s="146">
        <v>125</v>
      </c>
      <c r="N14" s="147">
        <v>5</v>
      </c>
      <c r="O14" s="146">
        <v>1389</v>
      </c>
      <c r="P14" s="146">
        <v>1313</v>
      </c>
      <c r="Q14" s="77">
        <f>P14/O14</f>
        <v>0.94528437724982</v>
      </c>
      <c r="R14" s="146">
        <v>206</v>
      </c>
      <c r="S14" s="146">
        <v>199</v>
      </c>
      <c r="T14" s="77">
        <f>S14/R14</f>
        <v>0.966019417475728</v>
      </c>
      <c r="U14" s="146">
        <v>46</v>
      </c>
      <c r="V14" s="146">
        <v>43</v>
      </c>
      <c r="W14" s="77">
        <f>V14/U14</f>
        <v>0.934782608695652</v>
      </c>
    </row>
    <row r="15" ht="14" customHeight="1" spans="1:23">
      <c r="A15" s="148"/>
      <c r="B15" s="148"/>
      <c r="C15" s="7" t="s">
        <v>27</v>
      </c>
      <c r="D15" s="46">
        <v>1</v>
      </c>
      <c r="E15" s="148"/>
      <c r="F15" s="144">
        <v>1</v>
      </c>
      <c r="G15" s="46">
        <v>0</v>
      </c>
      <c r="H15" s="144">
        <v>0</v>
      </c>
      <c r="I15" s="145">
        <v>0</v>
      </c>
      <c r="J15" s="105">
        <v>0</v>
      </c>
      <c r="K15" s="105">
        <v>0</v>
      </c>
      <c r="L15" s="148"/>
      <c r="M15" s="148"/>
      <c r="N15" s="149"/>
      <c r="O15" s="148"/>
      <c r="P15" s="148"/>
      <c r="Q15" s="77"/>
      <c r="R15" s="148"/>
      <c r="S15" s="148"/>
      <c r="T15" s="77"/>
      <c r="U15" s="148"/>
      <c r="V15" s="148"/>
      <c r="W15" s="77"/>
    </row>
    <row r="16" ht="16.5" spans="1:23">
      <c r="A16" s="148"/>
      <c r="B16" s="148"/>
      <c r="C16" s="7" t="s">
        <v>30</v>
      </c>
      <c r="D16" s="46">
        <v>6</v>
      </c>
      <c r="E16" s="148"/>
      <c r="F16" s="144">
        <v>1</v>
      </c>
      <c r="G16" s="46">
        <v>12</v>
      </c>
      <c r="H16" s="144">
        <v>1</v>
      </c>
      <c r="I16" s="145">
        <v>0</v>
      </c>
      <c r="J16" s="105">
        <v>5</v>
      </c>
      <c r="K16" s="105">
        <v>5</v>
      </c>
      <c r="L16" s="148"/>
      <c r="M16" s="148"/>
      <c r="N16" s="149"/>
      <c r="O16" s="148"/>
      <c r="P16" s="148"/>
      <c r="Q16" s="77"/>
      <c r="R16" s="148"/>
      <c r="S16" s="148"/>
      <c r="T16" s="77"/>
      <c r="U16" s="148"/>
      <c r="V16" s="148"/>
      <c r="W16" s="77"/>
    </row>
    <row r="17" ht="16.5" spans="1:23">
      <c r="A17" s="150"/>
      <c r="B17" s="150"/>
      <c r="C17" s="7" t="s">
        <v>28</v>
      </c>
      <c r="D17" s="46">
        <v>1</v>
      </c>
      <c r="E17" s="150"/>
      <c r="F17" s="144">
        <v>1</v>
      </c>
      <c r="G17" s="46">
        <v>3</v>
      </c>
      <c r="H17" s="144">
        <v>1</v>
      </c>
      <c r="I17" s="145">
        <v>0</v>
      </c>
      <c r="J17" s="105">
        <v>5</v>
      </c>
      <c r="K17" s="105">
        <v>5</v>
      </c>
      <c r="L17" s="150"/>
      <c r="M17" s="150"/>
      <c r="N17" s="151"/>
      <c r="O17" s="150"/>
      <c r="P17" s="150"/>
      <c r="Q17" s="77"/>
      <c r="R17" s="150"/>
      <c r="S17" s="150"/>
      <c r="T17" s="77"/>
      <c r="U17" s="150"/>
      <c r="V17" s="150"/>
      <c r="W17" s="77"/>
    </row>
    <row r="18" ht="16.5" spans="1:23">
      <c r="A18" s="146" t="s">
        <v>23</v>
      </c>
      <c r="B18" s="146" t="s">
        <v>32</v>
      </c>
      <c r="C18" s="7" t="s">
        <v>25</v>
      </c>
      <c r="D18" s="46">
        <v>1</v>
      </c>
      <c r="E18" s="146">
        <v>9</v>
      </c>
      <c r="F18" s="144">
        <v>1</v>
      </c>
      <c r="G18" s="46">
        <v>3</v>
      </c>
      <c r="H18" s="144">
        <v>0.5</v>
      </c>
      <c r="I18" s="145">
        <v>47.375</v>
      </c>
      <c r="J18" s="105">
        <v>5</v>
      </c>
      <c r="K18" s="105">
        <v>5</v>
      </c>
      <c r="L18" s="146">
        <v>37</v>
      </c>
      <c r="M18" s="146">
        <v>119</v>
      </c>
      <c r="N18" s="147">
        <v>5</v>
      </c>
      <c r="O18" s="146">
        <v>1094</v>
      </c>
      <c r="P18" s="146">
        <v>1052</v>
      </c>
      <c r="Q18" s="77">
        <f>P18/O18</f>
        <v>0.961608775137112</v>
      </c>
      <c r="R18" s="146">
        <v>160</v>
      </c>
      <c r="S18" s="146">
        <v>152</v>
      </c>
      <c r="T18" s="77">
        <f>S18/R18</f>
        <v>0.95</v>
      </c>
      <c r="U18" s="146">
        <v>44</v>
      </c>
      <c r="V18" s="146">
        <v>42</v>
      </c>
      <c r="W18" s="77">
        <f>V18/U18</f>
        <v>0.954545454545455</v>
      </c>
    </row>
    <row r="19" ht="16.5" spans="1:23">
      <c r="A19" s="148"/>
      <c r="B19" s="148"/>
      <c r="C19" s="7" t="s">
        <v>27</v>
      </c>
      <c r="D19" s="46">
        <v>1</v>
      </c>
      <c r="E19" s="148"/>
      <c r="F19" s="144">
        <v>1</v>
      </c>
      <c r="G19" s="46">
        <v>2</v>
      </c>
      <c r="H19" s="144">
        <v>1</v>
      </c>
      <c r="I19" s="145">
        <v>49</v>
      </c>
      <c r="J19" s="105">
        <v>5</v>
      </c>
      <c r="K19" s="105">
        <v>5</v>
      </c>
      <c r="L19" s="148"/>
      <c r="M19" s="148"/>
      <c r="N19" s="149"/>
      <c r="O19" s="148"/>
      <c r="P19" s="148"/>
      <c r="Q19" s="77"/>
      <c r="R19" s="148"/>
      <c r="S19" s="148"/>
      <c r="T19" s="77"/>
      <c r="U19" s="148"/>
      <c r="V19" s="148"/>
      <c r="W19" s="77"/>
    </row>
    <row r="20" ht="16.5" spans="1:23">
      <c r="A20" s="148"/>
      <c r="B20" s="148"/>
      <c r="C20" s="7" t="s">
        <v>30</v>
      </c>
      <c r="D20" s="46">
        <v>6</v>
      </c>
      <c r="E20" s="148"/>
      <c r="F20" s="144">
        <v>1</v>
      </c>
      <c r="G20" s="46">
        <v>18</v>
      </c>
      <c r="H20" s="144">
        <v>1</v>
      </c>
      <c r="I20" s="145">
        <v>0</v>
      </c>
      <c r="J20" s="105">
        <v>5</v>
      </c>
      <c r="K20" s="105">
        <v>5</v>
      </c>
      <c r="L20" s="148"/>
      <c r="M20" s="148"/>
      <c r="N20" s="149"/>
      <c r="O20" s="148"/>
      <c r="P20" s="148"/>
      <c r="Q20" s="77"/>
      <c r="R20" s="148"/>
      <c r="S20" s="148"/>
      <c r="T20" s="77"/>
      <c r="U20" s="148"/>
      <c r="V20" s="148"/>
      <c r="W20" s="77"/>
    </row>
    <row r="21" ht="16.5" spans="1:23">
      <c r="A21" s="150"/>
      <c r="B21" s="150"/>
      <c r="C21" s="7" t="s">
        <v>28</v>
      </c>
      <c r="D21" s="46">
        <v>1</v>
      </c>
      <c r="E21" s="150"/>
      <c r="F21" s="144">
        <v>1</v>
      </c>
      <c r="G21" s="46">
        <v>4</v>
      </c>
      <c r="H21" s="144">
        <v>1</v>
      </c>
      <c r="I21" s="145">
        <v>0</v>
      </c>
      <c r="J21" s="105">
        <v>5</v>
      </c>
      <c r="K21" s="105">
        <v>5</v>
      </c>
      <c r="L21" s="150"/>
      <c r="M21" s="150"/>
      <c r="N21" s="151"/>
      <c r="O21" s="150"/>
      <c r="P21" s="150"/>
      <c r="Q21" s="77"/>
      <c r="R21" s="150"/>
      <c r="S21" s="150"/>
      <c r="T21" s="77"/>
      <c r="U21" s="150"/>
      <c r="V21" s="150"/>
      <c r="W21" s="77"/>
    </row>
    <row r="22" ht="16.5" spans="1:23">
      <c r="A22" s="146" t="s">
        <v>23</v>
      </c>
      <c r="B22" s="146" t="s">
        <v>33</v>
      </c>
      <c r="C22" s="7" t="s">
        <v>27</v>
      </c>
      <c r="D22" s="46">
        <v>1</v>
      </c>
      <c r="E22" s="146">
        <v>2</v>
      </c>
      <c r="F22" s="144">
        <v>1</v>
      </c>
      <c r="G22" s="46">
        <v>1</v>
      </c>
      <c r="H22" s="144">
        <v>1</v>
      </c>
      <c r="I22" s="145">
        <v>80</v>
      </c>
      <c r="J22" s="105">
        <v>5</v>
      </c>
      <c r="K22" s="105">
        <v>5</v>
      </c>
      <c r="L22" s="146">
        <v>3</v>
      </c>
      <c r="M22" s="146">
        <v>15</v>
      </c>
      <c r="N22" s="147">
        <v>5</v>
      </c>
      <c r="O22" s="146">
        <v>122</v>
      </c>
      <c r="P22" s="146">
        <v>115</v>
      </c>
      <c r="Q22" s="77">
        <f t="shared" ref="Q22:Q25" si="3">P22/O22</f>
        <v>0.942622950819672</v>
      </c>
      <c r="R22" s="146">
        <v>20</v>
      </c>
      <c r="S22" s="146">
        <v>20</v>
      </c>
      <c r="T22" s="77">
        <f t="shared" ref="T22:T25" si="4">S22/R22</f>
        <v>1</v>
      </c>
      <c r="U22" s="146">
        <v>4</v>
      </c>
      <c r="V22" s="146">
        <v>4</v>
      </c>
      <c r="W22" s="77">
        <f t="shared" ref="W22:W25" si="5">V22/U22</f>
        <v>1</v>
      </c>
    </row>
    <row r="23" ht="16.5" spans="1:23">
      <c r="A23" s="150"/>
      <c r="B23" s="150"/>
      <c r="C23" s="7" t="s">
        <v>28</v>
      </c>
      <c r="D23" s="46">
        <v>1</v>
      </c>
      <c r="E23" s="150"/>
      <c r="F23" s="144">
        <v>1</v>
      </c>
      <c r="G23" s="46">
        <v>2</v>
      </c>
      <c r="H23" s="144">
        <v>1</v>
      </c>
      <c r="I23" s="145">
        <v>0</v>
      </c>
      <c r="J23" s="105">
        <v>5</v>
      </c>
      <c r="K23" s="105">
        <v>5</v>
      </c>
      <c r="L23" s="150"/>
      <c r="M23" s="150"/>
      <c r="N23" s="151"/>
      <c r="O23" s="150"/>
      <c r="P23" s="150"/>
      <c r="Q23" s="77"/>
      <c r="R23" s="150"/>
      <c r="S23" s="150"/>
      <c r="T23" s="77"/>
      <c r="U23" s="150"/>
      <c r="V23" s="150"/>
      <c r="W23" s="77"/>
    </row>
    <row r="24" ht="16.5" spans="1:23">
      <c r="A24" s="46" t="s">
        <v>23</v>
      </c>
      <c r="B24" s="46" t="s">
        <v>34</v>
      </c>
      <c r="C24" s="7" t="s">
        <v>25</v>
      </c>
      <c r="D24" s="46">
        <v>1</v>
      </c>
      <c r="E24" s="46">
        <v>1</v>
      </c>
      <c r="F24" s="144">
        <v>1</v>
      </c>
      <c r="G24" s="46">
        <v>3</v>
      </c>
      <c r="H24" s="144">
        <v>1</v>
      </c>
      <c r="I24" s="145">
        <v>76.75</v>
      </c>
      <c r="J24" s="105">
        <v>5</v>
      </c>
      <c r="K24" s="105">
        <v>5</v>
      </c>
      <c r="L24" s="46">
        <v>6</v>
      </c>
      <c r="M24" s="46">
        <v>21</v>
      </c>
      <c r="N24" s="105">
        <v>5</v>
      </c>
      <c r="O24" s="46">
        <v>213</v>
      </c>
      <c r="P24" s="46">
        <v>202</v>
      </c>
      <c r="Q24" s="77">
        <f t="shared" si="3"/>
        <v>0.948356807511737</v>
      </c>
      <c r="R24" s="46">
        <v>32</v>
      </c>
      <c r="S24" s="46">
        <v>31</v>
      </c>
      <c r="T24" s="77">
        <f t="shared" si="4"/>
        <v>0.96875</v>
      </c>
      <c r="U24" s="46">
        <v>8</v>
      </c>
      <c r="V24" s="46">
        <v>8</v>
      </c>
      <c r="W24" s="77">
        <f t="shared" si="5"/>
        <v>1</v>
      </c>
    </row>
    <row r="25" ht="16.5" spans="1:23">
      <c r="A25" s="146" t="s">
        <v>23</v>
      </c>
      <c r="B25" s="146" t="s">
        <v>35</v>
      </c>
      <c r="C25" s="7" t="s">
        <v>25</v>
      </c>
      <c r="D25" s="46">
        <v>1</v>
      </c>
      <c r="E25" s="146">
        <v>9</v>
      </c>
      <c r="F25" s="144">
        <v>1</v>
      </c>
      <c r="G25" s="46">
        <v>2</v>
      </c>
      <c r="H25" s="144">
        <v>1</v>
      </c>
      <c r="I25" s="145">
        <v>93.75</v>
      </c>
      <c r="J25" s="105">
        <v>5</v>
      </c>
      <c r="K25" s="105">
        <v>5</v>
      </c>
      <c r="L25" s="146">
        <v>31</v>
      </c>
      <c r="M25" s="146">
        <v>119</v>
      </c>
      <c r="N25" s="147">
        <v>5</v>
      </c>
      <c r="O25" s="146">
        <v>1041</v>
      </c>
      <c r="P25" s="146">
        <v>1009</v>
      </c>
      <c r="Q25" s="77">
        <f t="shared" si="3"/>
        <v>0.96926032660903</v>
      </c>
      <c r="R25" s="146">
        <v>152</v>
      </c>
      <c r="S25" s="146">
        <v>151</v>
      </c>
      <c r="T25" s="77">
        <f t="shared" si="4"/>
        <v>0.993421052631579</v>
      </c>
      <c r="U25" s="146">
        <v>38</v>
      </c>
      <c r="V25" s="146">
        <v>37</v>
      </c>
      <c r="W25" s="77">
        <f t="shared" si="5"/>
        <v>0.973684210526316</v>
      </c>
    </row>
    <row r="26" ht="16.5" spans="1:23">
      <c r="A26" s="148"/>
      <c r="B26" s="148"/>
      <c r="C26" s="7" t="s">
        <v>27</v>
      </c>
      <c r="D26" s="46">
        <v>1</v>
      </c>
      <c r="E26" s="148"/>
      <c r="F26" s="144">
        <v>1</v>
      </c>
      <c r="G26" s="46">
        <v>6</v>
      </c>
      <c r="H26" s="144">
        <v>1</v>
      </c>
      <c r="I26" s="145">
        <v>92.7058823529412</v>
      </c>
      <c r="J26" s="105">
        <v>5</v>
      </c>
      <c r="K26" s="105">
        <v>5</v>
      </c>
      <c r="L26" s="148"/>
      <c r="M26" s="148"/>
      <c r="N26" s="149"/>
      <c r="O26" s="148"/>
      <c r="P26" s="148"/>
      <c r="Q26" s="77"/>
      <c r="R26" s="148"/>
      <c r="S26" s="148"/>
      <c r="T26" s="77"/>
      <c r="U26" s="148"/>
      <c r="V26" s="148"/>
      <c r="W26" s="77"/>
    </row>
    <row r="27" ht="16.5" spans="1:23">
      <c r="A27" s="148"/>
      <c r="B27" s="148"/>
      <c r="C27" s="7" t="s">
        <v>30</v>
      </c>
      <c r="D27" s="46">
        <v>6</v>
      </c>
      <c r="E27" s="148"/>
      <c r="F27" s="144">
        <v>1</v>
      </c>
      <c r="G27" s="46">
        <v>18</v>
      </c>
      <c r="H27" s="144">
        <v>1</v>
      </c>
      <c r="I27" s="145">
        <v>0</v>
      </c>
      <c r="J27" s="105">
        <v>5</v>
      </c>
      <c r="K27" s="105">
        <v>5</v>
      </c>
      <c r="L27" s="148"/>
      <c r="M27" s="148"/>
      <c r="N27" s="149"/>
      <c r="O27" s="148"/>
      <c r="P27" s="148"/>
      <c r="Q27" s="77"/>
      <c r="R27" s="148"/>
      <c r="S27" s="148"/>
      <c r="T27" s="77"/>
      <c r="U27" s="148"/>
      <c r="V27" s="148"/>
      <c r="W27" s="77"/>
    </row>
    <row r="28" ht="16.5" spans="1:23">
      <c r="A28" s="150"/>
      <c r="B28" s="150"/>
      <c r="C28" s="7" t="s">
        <v>28</v>
      </c>
      <c r="D28" s="46">
        <v>1</v>
      </c>
      <c r="E28" s="150"/>
      <c r="F28" s="144">
        <v>1</v>
      </c>
      <c r="G28" s="46">
        <v>3</v>
      </c>
      <c r="H28" s="144">
        <v>1</v>
      </c>
      <c r="I28" s="145">
        <v>0</v>
      </c>
      <c r="J28" s="105">
        <v>5</v>
      </c>
      <c r="K28" s="105">
        <v>5</v>
      </c>
      <c r="L28" s="150"/>
      <c r="M28" s="150"/>
      <c r="N28" s="151"/>
      <c r="O28" s="150"/>
      <c r="P28" s="150"/>
      <c r="Q28" s="77"/>
      <c r="R28" s="150"/>
      <c r="S28" s="150"/>
      <c r="T28" s="77"/>
      <c r="U28" s="150"/>
      <c r="V28" s="150"/>
      <c r="W28" s="77"/>
    </row>
    <row r="29" ht="16.5" spans="1:23">
      <c r="A29" s="146" t="s">
        <v>23</v>
      </c>
      <c r="B29" s="146" t="s">
        <v>36</v>
      </c>
      <c r="C29" s="7" t="s">
        <v>27</v>
      </c>
      <c r="D29" s="46">
        <v>1</v>
      </c>
      <c r="E29" s="146">
        <v>8</v>
      </c>
      <c r="F29" s="144">
        <v>1</v>
      </c>
      <c r="G29" s="46">
        <v>6</v>
      </c>
      <c r="H29" s="144">
        <v>1</v>
      </c>
      <c r="I29" s="145">
        <v>83.1666666666667</v>
      </c>
      <c r="J29" s="105">
        <v>5</v>
      </c>
      <c r="K29" s="105">
        <v>5</v>
      </c>
      <c r="L29" s="146">
        <v>23</v>
      </c>
      <c r="M29" s="146">
        <v>108</v>
      </c>
      <c r="N29" s="147">
        <v>5</v>
      </c>
      <c r="O29" s="146">
        <v>1004</v>
      </c>
      <c r="P29" s="146">
        <v>933</v>
      </c>
      <c r="Q29" s="77">
        <f>P29/O29</f>
        <v>0.929282868525896</v>
      </c>
      <c r="R29" s="146">
        <v>152</v>
      </c>
      <c r="S29" s="146">
        <v>148</v>
      </c>
      <c r="T29" s="77">
        <f>S29/R29</f>
        <v>0.973684210526316</v>
      </c>
      <c r="U29" s="146">
        <v>30</v>
      </c>
      <c r="V29" s="146">
        <v>29</v>
      </c>
      <c r="W29" s="77">
        <f>V29/U29</f>
        <v>0.966666666666667</v>
      </c>
    </row>
    <row r="30" ht="16.5" spans="1:23">
      <c r="A30" s="148"/>
      <c r="B30" s="148"/>
      <c r="C30" s="7" t="s">
        <v>30</v>
      </c>
      <c r="D30" s="46">
        <v>6</v>
      </c>
      <c r="E30" s="148"/>
      <c r="F30" s="144">
        <v>1</v>
      </c>
      <c r="G30" s="46">
        <v>6</v>
      </c>
      <c r="H30" s="144">
        <v>1</v>
      </c>
      <c r="I30" s="145">
        <v>0</v>
      </c>
      <c r="J30" s="105">
        <v>5</v>
      </c>
      <c r="K30" s="105">
        <v>5</v>
      </c>
      <c r="L30" s="148"/>
      <c r="M30" s="148"/>
      <c r="N30" s="149"/>
      <c r="O30" s="148"/>
      <c r="P30" s="148"/>
      <c r="Q30" s="77"/>
      <c r="R30" s="148"/>
      <c r="S30" s="148"/>
      <c r="T30" s="77"/>
      <c r="U30" s="148"/>
      <c r="V30" s="148"/>
      <c r="W30" s="77"/>
    </row>
    <row r="31" ht="16.5" spans="1:23">
      <c r="A31" s="150"/>
      <c r="B31" s="150"/>
      <c r="C31" s="7" t="s">
        <v>28</v>
      </c>
      <c r="D31" s="46">
        <v>1</v>
      </c>
      <c r="E31" s="150"/>
      <c r="F31" s="144">
        <v>1</v>
      </c>
      <c r="G31" s="46">
        <v>3</v>
      </c>
      <c r="H31" s="144">
        <v>1</v>
      </c>
      <c r="I31" s="145">
        <v>0</v>
      </c>
      <c r="J31" s="105">
        <v>5</v>
      </c>
      <c r="K31" s="105">
        <v>5</v>
      </c>
      <c r="L31" s="150"/>
      <c r="M31" s="150"/>
      <c r="N31" s="151"/>
      <c r="O31" s="150"/>
      <c r="P31" s="150"/>
      <c r="Q31" s="77"/>
      <c r="R31" s="150"/>
      <c r="S31" s="150"/>
      <c r="T31" s="77"/>
      <c r="U31" s="150"/>
      <c r="V31" s="150"/>
      <c r="W31" s="77"/>
    </row>
    <row r="32" ht="16.5" spans="1:23">
      <c r="A32" s="146" t="s">
        <v>23</v>
      </c>
      <c r="B32" s="146" t="s">
        <v>37</v>
      </c>
      <c r="C32" s="7" t="s">
        <v>25</v>
      </c>
      <c r="D32" s="46">
        <v>1</v>
      </c>
      <c r="E32" s="146">
        <v>9</v>
      </c>
      <c r="F32" s="144">
        <v>1</v>
      </c>
      <c r="G32" s="46">
        <v>4</v>
      </c>
      <c r="H32" s="144">
        <v>1</v>
      </c>
      <c r="I32" s="145">
        <v>89.375</v>
      </c>
      <c r="J32" s="105">
        <v>5</v>
      </c>
      <c r="K32" s="105">
        <v>5</v>
      </c>
      <c r="L32" s="146">
        <v>50</v>
      </c>
      <c r="M32" s="146">
        <v>214</v>
      </c>
      <c r="N32" s="147">
        <v>5</v>
      </c>
      <c r="O32" s="146">
        <v>2176</v>
      </c>
      <c r="P32" s="146">
        <v>2070</v>
      </c>
      <c r="Q32" s="77">
        <f>P32/O32</f>
        <v>0.951286764705882</v>
      </c>
      <c r="R32" s="146">
        <v>330</v>
      </c>
      <c r="S32" s="146">
        <v>319</v>
      </c>
      <c r="T32" s="77">
        <f>S32/R32</f>
        <v>0.966666666666667</v>
      </c>
      <c r="U32" s="146">
        <v>76</v>
      </c>
      <c r="V32" s="146">
        <v>75</v>
      </c>
      <c r="W32" s="77">
        <f>V32/U32</f>
        <v>0.986842105263158</v>
      </c>
    </row>
    <row r="33" ht="16.5" spans="1:23">
      <c r="A33" s="148"/>
      <c r="B33" s="148"/>
      <c r="C33" s="7" t="s">
        <v>27</v>
      </c>
      <c r="D33" s="46">
        <v>1</v>
      </c>
      <c r="E33" s="148"/>
      <c r="F33" s="144">
        <v>1</v>
      </c>
      <c r="G33" s="46">
        <v>3</v>
      </c>
      <c r="H33" s="144">
        <v>0.75</v>
      </c>
      <c r="I33" s="145">
        <v>72.75</v>
      </c>
      <c r="J33" s="105">
        <v>5</v>
      </c>
      <c r="K33" s="105">
        <v>5</v>
      </c>
      <c r="L33" s="148"/>
      <c r="M33" s="148"/>
      <c r="N33" s="149"/>
      <c r="O33" s="148"/>
      <c r="P33" s="148"/>
      <c r="Q33" s="77"/>
      <c r="R33" s="148"/>
      <c r="S33" s="148"/>
      <c r="T33" s="77"/>
      <c r="U33" s="148"/>
      <c r="V33" s="148"/>
      <c r="W33" s="77"/>
    </row>
    <row r="34" ht="16.5" spans="1:23">
      <c r="A34" s="148"/>
      <c r="B34" s="148"/>
      <c r="C34" s="7" t="s">
        <v>30</v>
      </c>
      <c r="D34" s="46">
        <v>6</v>
      </c>
      <c r="E34" s="148"/>
      <c r="F34" s="144">
        <v>1</v>
      </c>
      <c r="G34" s="46">
        <v>18</v>
      </c>
      <c r="H34" s="144">
        <v>1</v>
      </c>
      <c r="I34" s="145">
        <v>0</v>
      </c>
      <c r="J34" s="105">
        <v>5</v>
      </c>
      <c r="K34" s="105">
        <v>5</v>
      </c>
      <c r="L34" s="148"/>
      <c r="M34" s="148"/>
      <c r="N34" s="149"/>
      <c r="O34" s="148"/>
      <c r="P34" s="148"/>
      <c r="Q34" s="77"/>
      <c r="R34" s="148"/>
      <c r="S34" s="148"/>
      <c r="T34" s="77"/>
      <c r="U34" s="148"/>
      <c r="V34" s="148"/>
      <c r="W34" s="77"/>
    </row>
    <row r="35" ht="16.5" spans="1:23">
      <c r="A35" s="150"/>
      <c r="B35" s="150"/>
      <c r="C35" s="7" t="s">
        <v>28</v>
      </c>
      <c r="D35" s="46">
        <v>1</v>
      </c>
      <c r="E35" s="150"/>
      <c r="F35" s="144">
        <v>1</v>
      </c>
      <c r="G35" s="46">
        <v>4</v>
      </c>
      <c r="H35" s="144">
        <v>1</v>
      </c>
      <c r="I35" s="145">
        <v>0</v>
      </c>
      <c r="J35" s="105">
        <v>5</v>
      </c>
      <c r="K35" s="105">
        <v>5</v>
      </c>
      <c r="L35" s="150"/>
      <c r="M35" s="150"/>
      <c r="N35" s="151"/>
      <c r="O35" s="150"/>
      <c r="P35" s="150"/>
      <c r="Q35" s="77"/>
      <c r="R35" s="150"/>
      <c r="S35" s="150"/>
      <c r="T35" s="77"/>
      <c r="U35" s="150"/>
      <c r="V35" s="150"/>
      <c r="W35" s="77"/>
    </row>
    <row r="36" ht="16.5" spans="1:23">
      <c r="A36" s="146" t="s">
        <v>23</v>
      </c>
      <c r="B36" s="146" t="s">
        <v>38</v>
      </c>
      <c r="C36" s="7" t="s">
        <v>25</v>
      </c>
      <c r="D36" s="46">
        <v>1</v>
      </c>
      <c r="E36" s="146">
        <v>9</v>
      </c>
      <c r="F36" s="144">
        <v>1</v>
      </c>
      <c r="G36" s="46">
        <v>17</v>
      </c>
      <c r="H36" s="144">
        <v>0.314814814814815</v>
      </c>
      <c r="I36" s="145">
        <v>26.9128205128205</v>
      </c>
      <c r="J36" s="105">
        <v>5</v>
      </c>
      <c r="K36" s="105">
        <v>5</v>
      </c>
      <c r="L36" s="146">
        <v>169</v>
      </c>
      <c r="M36" s="146">
        <v>732</v>
      </c>
      <c r="N36" s="147">
        <v>5</v>
      </c>
      <c r="O36" s="146">
        <v>6601</v>
      </c>
      <c r="P36" s="146">
        <v>6347</v>
      </c>
      <c r="Q36" s="77">
        <f>P36/O36</f>
        <v>0.961520981669444</v>
      </c>
      <c r="R36" s="146">
        <v>990</v>
      </c>
      <c r="S36" s="146">
        <v>959</v>
      </c>
      <c r="T36" s="77">
        <f>S36/R36</f>
        <v>0.968686868686869</v>
      </c>
      <c r="U36" s="146">
        <v>215</v>
      </c>
      <c r="V36" s="146">
        <v>207</v>
      </c>
      <c r="W36" s="77">
        <f>V36/U36</f>
        <v>0.962790697674419</v>
      </c>
    </row>
    <row r="37" ht="16.5" spans="1:23">
      <c r="A37" s="148"/>
      <c r="B37" s="148"/>
      <c r="C37" s="7" t="s">
        <v>27</v>
      </c>
      <c r="D37" s="46">
        <v>1</v>
      </c>
      <c r="E37" s="148"/>
      <c r="F37" s="144">
        <v>1</v>
      </c>
      <c r="G37" s="46">
        <v>18</v>
      </c>
      <c r="H37" s="144">
        <v>0.327272727272727</v>
      </c>
      <c r="I37" s="145">
        <v>34.0490797546012</v>
      </c>
      <c r="J37" s="105">
        <v>5</v>
      </c>
      <c r="K37" s="105">
        <v>5</v>
      </c>
      <c r="L37" s="148"/>
      <c r="M37" s="148"/>
      <c r="N37" s="149"/>
      <c r="O37" s="148"/>
      <c r="P37" s="148"/>
      <c r="Q37" s="77"/>
      <c r="R37" s="148"/>
      <c r="S37" s="148"/>
      <c r="T37" s="77"/>
      <c r="U37" s="148"/>
      <c r="V37" s="148"/>
      <c r="W37" s="77"/>
    </row>
    <row r="38" ht="16.5" spans="1:23">
      <c r="A38" s="148"/>
      <c r="B38" s="148"/>
      <c r="C38" s="7" t="s">
        <v>30</v>
      </c>
      <c r="D38" s="46">
        <v>6</v>
      </c>
      <c r="E38" s="148"/>
      <c r="F38" s="144">
        <v>1</v>
      </c>
      <c r="G38" s="46">
        <v>50</v>
      </c>
      <c r="H38" s="144">
        <v>1</v>
      </c>
      <c r="I38" s="145">
        <v>0</v>
      </c>
      <c r="J38" s="105">
        <v>5</v>
      </c>
      <c r="K38" s="105">
        <v>5</v>
      </c>
      <c r="L38" s="148"/>
      <c r="M38" s="148"/>
      <c r="N38" s="149"/>
      <c r="O38" s="148"/>
      <c r="P38" s="148"/>
      <c r="Q38" s="77"/>
      <c r="R38" s="148"/>
      <c r="S38" s="148"/>
      <c r="T38" s="77"/>
      <c r="U38" s="148"/>
      <c r="V38" s="148"/>
      <c r="W38" s="77"/>
    </row>
    <row r="39" ht="16.5" spans="1:23">
      <c r="A39" s="150"/>
      <c r="B39" s="150"/>
      <c r="C39" s="7" t="s">
        <v>28</v>
      </c>
      <c r="D39" s="46">
        <v>1</v>
      </c>
      <c r="E39" s="150"/>
      <c r="F39" s="144">
        <v>1</v>
      </c>
      <c r="G39" s="46">
        <v>11</v>
      </c>
      <c r="H39" s="144">
        <v>1</v>
      </c>
      <c r="I39" s="145">
        <v>0</v>
      </c>
      <c r="J39" s="105">
        <v>5</v>
      </c>
      <c r="K39" s="105">
        <v>5</v>
      </c>
      <c r="L39" s="150"/>
      <c r="M39" s="150"/>
      <c r="N39" s="151"/>
      <c r="O39" s="150"/>
      <c r="P39" s="150"/>
      <c r="Q39" s="77"/>
      <c r="R39" s="150"/>
      <c r="S39" s="150"/>
      <c r="T39" s="77"/>
      <c r="U39" s="150"/>
      <c r="V39" s="150"/>
      <c r="W39" s="77"/>
    </row>
    <row r="40" ht="16.5" spans="1:23">
      <c r="A40" s="46" t="s">
        <v>39</v>
      </c>
      <c r="B40" s="12" t="s">
        <v>38</v>
      </c>
      <c r="C40" s="46" t="s">
        <v>40</v>
      </c>
      <c r="D40" s="46">
        <v>2</v>
      </c>
      <c r="E40" s="46">
        <v>2</v>
      </c>
      <c r="F40" s="144">
        <v>1</v>
      </c>
      <c r="G40" s="46">
        <v>26</v>
      </c>
      <c r="H40" s="144">
        <v>1</v>
      </c>
      <c r="I40" s="145">
        <v>0</v>
      </c>
      <c r="J40" s="105">
        <v>0</v>
      </c>
      <c r="K40" s="105">
        <v>0</v>
      </c>
      <c r="L40" s="46">
        <v>112</v>
      </c>
      <c r="M40" s="46">
        <v>471</v>
      </c>
      <c r="N40" s="46">
        <v>4.9</v>
      </c>
      <c r="O40" s="46">
        <v>5523</v>
      </c>
      <c r="P40" s="46">
        <v>5309</v>
      </c>
      <c r="Q40" s="144">
        <v>0.961252942241535</v>
      </c>
      <c r="R40" s="46">
        <v>1005</v>
      </c>
      <c r="S40" s="46">
        <v>975</v>
      </c>
      <c r="T40" s="144">
        <f>S40/R40</f>
        <v>0.970149253731343</v>
      </c>
      <c r="U40" s="46">
        <v>219</v>
      </c>
      <c r="V40" s="46">
        <v>211</v>
      </c>
      <c r="W40" s="144">
        <f>V40/U40</f>
        <v>0.963470319634703</v>
      </c>
    </row>
    <row r="41" ht="16.5" spans="1:23">
      <c r="A41" s="46" t="s">
        <v>39</v>
      </c>
      <c r="B41" s="12" t="s">
        <v>32</v>
      </c>
      <c r="C41" s="46" t="s">
        <v>40</v>
      </c>
      <c r="D41" s="46">
        <v>2</v>
      </c>
      <c r="E41" s="46">
        <v>2</v>
      </c>
      <c r="F41" s="144">
        <v>1</v>
      </c>
      <c r="G41" s="46">
        <v>3</v>
      </c>
      <c r="H41" s="144">
        <v>1</v>
      </c>
      <c r="I41" s="145">
        <v>0</v>
      </c>
      <c r="J41" s="105">
        <v>0</v>
      </c>
      <c r="K41" s="105">
        <v>0</v>
      </c>
      <c r="L41" s="46">
        <v>22</v>
      </c>
      <c r="M41" s="46">
        <v>70</v>
      </c>
      <c r="N41" s="46">
        <v>4.9</v>
      </c>
      <c r="O41" s="46">
        <v>881</v>
      </c>
      <c r="P41" s="46">
        <v>850</v>
      </c>
      <c r="Q41" s="144">
        <v>0.964812712826334</v>
      </c>
      <c r="R41" s="46">
        <v>155</v>
      </c>
      <c r="S41" s="46">
        <v>153</v>
      </c>
      <c r="T41" s="144">
        <f t="shared" ref="T41:T52" si="6">S41/R41</f>
        <v>0.987096774193548</v>
      </c>
      <c r="U41" s="46">
        <v>48</v>
      </c>
      <c r="V41" s="46">
        <v>45</v>
      </c>
      <c r="W41" s="144">
        <f t="shared" ref="W41:W52" si="7">V41/U41</f>
        <v>0.9375</v>
      </c>
    </row>
    <row r="42" ht="16.5" spans="1:23">
      <c r="A42" s="46" t="s">
        <v>39</v>
      </c>
      <c r="B42" s="12" t="s">
        <v>37</v>
      </c>
      <c r="C42" s="46" t="s">
        <v>40</v>
      </c>
      <c r="D42" s="46">
        <v>2</v>
      </c>
      <c r="E42" s="46">
        <v>2</v>
      </c>
      <c r="F42" s="144">
        <v>1</v>
      </c>
      <c r="G42" s="46">
        <v>3</v>
      </c>
      <c r="H42" s="144">
        <v>1</v>
      </c>
      <c r="I42" s="145">
        <v>0</v>
      </c>
      <c r="J42" s="105">
        <v>0</v>
      </c>
      <c r="K42" s="105">
        <v>0</v>
      </c>
      <c r="L42" s="46">
        <v>38</v>
      </c>
      <c r="M42" s="46">
        <v>161</v>
      </c>
      <c r="N42" s="152" t="s">
        <v>41</v>
      </c>
      <c r="O42" s="46">
        <v>1830</v>
      </c>
      <c r="P42" s="46">
        <v>1735</v>
      </c>
      <c r="Q42" s="144">
        <v>0.948087431693989</v>
      </c>
      <c r="R42" s="46">
        <v>331</v>
      </c>
      <c r="S42" s="46">
        <v>320</v>
      </c>
      <c r="T42" s="144">
        <f t="shared" si="6"/>
        <v>0.966767371601209</v>
      </c>
      <c r="U42" s="46">
        <v>76</v>
      </c>
      <c r="V42" s="46">
        <v>72</v>
      </c>
      <c r="W42" s="144">
        <f t="shared" si="7"/>
        <v>0.947368421052632</v>
      </c>
    </row>
    <row r="43" ht="16.5" spans="1:23">
      <c r="A43" s="46" t="s">
        <v>39</v>
      </c>
      <c r="B43" s="12" t="s">
        <v>29</v>
      </c>
      <c r="C43" s="46" t="s">
        <v>40</v>
      </c>
      <c r="D43" s="46">
        <v>2</v>
      </c>
      <c r="E43" s="46">
        <v>2</v>
      </c>
      <c r="F43" s="144">
        <v>1</v>
      </c>
      <c r="G43" s="46">
        <v>3</v>
      </c>
      <c r="H43" s="144">
        <v>1</v>
      </c>
      <c r="I43" s="145">
        <v>0</v>
      </c>
      <c r="J43" s="105">
        <v>0</v>
      </c>
      <c r="K43" s="105">
        <v>0</v>
      </c>
      <c r="L43" s="46">
        <v>15</v>
      </c>
      <c r="M43" s="46">
        <v>66</v>
      </c>
      <c r="N43" s="152" t="s">
        <v>41</v>
      </c>
      <c r="O43" s="46">
        <v>636</v>
      </c>
      <c r="P43" s="46">
        <v>598</v>
      </c>
      <c r="Q43" s="144">
        <v>0.940251572327044</v>
      </c>
      <c r="R43" s="46">
        <v>117</v>
      </c>
      <c r="S43" s="46">
        <v>110</v>
      </c>
      <c r="T43" s="144">
        <f t="shared" si="6"/>
        <v>0.94017094017094</v>
      </c>
      <c r="U43" s="46">
        <v>24</v>
      </c>
      <c r="V43" s="46">
        <v>22</v>
      </c>
      <c r="W43" s="144">
        <f t="shared" si="7"/>
        <v>0.916666666666667</v>
      </c>
    </row>
    <row r="44" ht="16.5" spans="1:23">
      <c r="A44" s="46" t="s">
        <v>39</v>
      </c>
      <c r="B44" s="12" t="s">
        <v>31</v>
      </c>
      <c r="C44" s="46" t="s">
        <v>40</v>
      </c>
      <c r="D44" s="46">
        <v>2</v>
      </c>
      <c r="E44" s="46">
        <v>2</v>
      </c>
      <c r="F44" s="144">
        <v>1</v>
      </c>
      <c r="G44" s="46">
        <v>3</v>
      </c>
      <c r="H44" s="144">
        <v>1</v>
      </c>
      <c r="I44" s="145">
        <v>0</v>
      </c>
      <c r="J44" s="105">
        <v>0</v>
      </c>
      <c r="K44" s="105">
        <v>0</v>
      </c>
      <c r="L44" s="46">
        <v>24</v>
      </c>
      <c r="M44" s="46">
        <v>74</v>
      </c>
      <c r="N44" s="152" t="s">
        <v>41</v>
      </c>
      <c r="O44" s="46">
        <v>1058</v>
      </c>
      <c r="P44" s="46">
        <v>987</v>
      </c>
      <c r="Q44" s="144">
        <v>0.93289224952741</v>
      </c>
      <c r="R44" s="46">
        <v>192</v>
      </c>
      <c r="S44" s="46">
        <v>177</v>
      </c>
      <c r="T44" s="144">
        <f t="shared" si="6"/>
        <v>0.921875</v>
      </c>
      <c r="U44" s="46">
        <v>52</v>
      </c>
      <c r="V44" s="46">
        <v>50</v>
      </c>
      <c r="W44" s="144">
        <f t="shared" si="7"/>
        <v>0.961538461538462</v>
      </c>
    </row>
    <row r="45" ht="16.5" spans="1:23">
      <c r="A45" s="46" t="s">
        <v>39</v>
      </c>
      <c r="B45" s="12" t="s">
        <v>35</v>
      </c>
      <c r="C45" s="46" t="s">
        <v>40</v>
      </c>
      <c r="D45" s="46">
        <v>2</v>
      </c>
      <c r="E45" s="46">
        <v>2</v>
      </c>
      <c r="F45" s="144">
        <v>1</v>
      </c>
      <c r="G45" s="46">
        <v>4</v>
      </c>
      <c r="H45" s="144">
        <v>1</v>
      </c>
      <c r="I45" s="145">
        <v>0</v>
      </c>
      <c r="J45" s="105">
        <v>0</v>
      </c>
      <c r="K45" s="105">
        <v>0</v>
      </c>
      <c r="L45" s="46">
        <v>19</v>
      </c>
      <c r="M45" s="46">
        <v>55</v>
      </c>
      <c r="N45" s="152" t="s">
        <v>41</v>
      </c>
      <c r="O45" s="46">
        <v>798</v>
      </c>
      <c r="P45" s="46">
        <v>770</v>
      </c>
      <c r="Q45" s="144">
        <v>0.964912280701754</v>
      </c>
      <c r="R45" s="46">
        <v>154</v>
      </c>
      <c r="S45" s="46">
        <v>148</v>
      </c>
      <c r="T45" s="144">
        <f t="shared" si="6"/>
        <v>0.961038961038961</v>
      </c>
      <c r="U45" s="46">
        <v>40</v>
      </c>
      <c r="V45" s="46">
        <v>40</v>
      </c>
      <c r="W45" s="144">
        <f t="shared" si="7"/>
        <v>1</v>
      </c>
    </row>
    <row r="46" ht="16.5" spans="1:23">
      <c r="A46" s="46" t="s">
        <v>39</v>
      </c>
      <c r="B46" s="12" t="s">
        <v>26</v>
      </c>
      <c r="C46" s="46" t="s">
        <v>40</v>
      </c>
      <c r="D46" s="46">
        <v>2</v>
      </c>
      <c r="E46" s="46">
        <v>2</v>
      </c>
      <c r="F46" s="144">
        <v>1</v>
      </c>
      <c r="G46" s="46">
        <v>4</v>
      </c>
      <c r="H46" s="144">
        <v>1</v>
      </c>
      <c r="I46" s="145">
        <v>0</v>
      </c>
      <c r="J46" s="105">
        <v>0</v>
      </c>
      <c r="K46" s="105">
        <v>0</v>
      </c>
      <c r="L46" s="46">
        <v>6</v>
      </c>
      <c r="M46" s="46">
        <v>22</v>
      </c>
      <c r="N46" s="152" t="s">
        <v>42</v>
      </c>
      <c r="O46" s="46">
        <v>346</v>
      </c>
      <c r="P46" s="46">
        <v>329</v>
      </c>
      <c r="Q46" s="144">
        <v>0.950867052023121</v>
      </c>
      <c r="R46" s="46">
        <v>59</v>
      </c>
      <c r="S46" s="46">
        <v>53</v>
      </c>
      <c r="T46" s="144">
        <f t="shared" si="6"/>
        <v>0.898305084745763</v>
      </c>
      <c r="U46" s="46">
        <v>16</v>
      </c>
      <c r="V46" s="46">
        <v>14</v>
      </c>
      <c r="W46" s="144">
        <f t="shared" si="7"/>
        <v>0.875</v>
      </c>
    </row>
    <row r="47" ht="16.5" spans="1:23">
      <c r="A47" s="46" t="s">
        <v>39</v>
      </c>
      <c r="B47" s="12" t="s">
        <v>43</v>
      </c>
      <c r="C47" s="46" t="s">
        <v>40</v>
      </c>
      <c r="D47" s="46">
        <v>2</v>
      </c>
      <c r="E47" s="46">
        <v>2</v>
      </c>
      <c r="F47" s="144">
        <v>1</v>
      </c>
      <c r="G47" s="46">
        <v>1</v>
      </c>
      <c r="H47" s="144">
        <v>1</v>
      </c>
      <c r="I47" s="145">
        <v>0</v>
      </c>
      <c r="J47" s="105">
        <v>0</v>
      </c>
      <c r="K47" s="105">
        <v>0</v>
      </c>
      <c r="L47" s="46">
        <v>0</v>
      </c>
      <c r="M47" s="46">
        <v>0</v>
      </c>
      <c r="N47" s="152">
        <v>0</v>
      </c>
      <c r="O47" s="46">
        <v>0</v>
      </c>
      <c r="P47" s="46">
        <v>0</v>
      </c>
      <c r="Q47" s="144">
        <v>1</v>
      </c>
      <c r="R47" s="46">
        <v>0</v>
      </c>
      <c r="S47" s="46">
        <v>0</v>
      </c>
      <c r="T47" s="144">
        <v>1</v>
      </c>
      <c r="U47" s="46">
        <v>0</v>
      </c>
      <c r="V47" s="46">
        <v>0</v>
      </c>
      <c r="W47" s="153">
        <v>1</v>
      </c>
    </row>
    <row r="48" ht="16.5" spans="1:23">
      <c r="A48" s="46" t="s">
        <v>39</v>
      </c>
      <c r="B48" s="12" t="s">
        <v>24</v>
      </c>
      <c r="C48" s="46" t="s">
        <v>40</v>
      </c>
      <c r="D48" s="46">
        <v>2</v>
      </c>
      <c r="E48" s="46">
        <v>2</v>
      </c>
      <c r="F48" s="144">
        <v>1</v>
      </c>
      <c r="G48" s="46">
        <v>1</v>
      </c>
      <c r="H48" s="144">
        <v>1</v>
      </c>
      <c r="I48" s="145">
        <v>0</v>
      </c>
      <c r="J48" s="105">
        <v>0</v>
      </c>
      <c r="K48" s="105">
        <v>0</v>
      </c>
      <c r="L48" s="46">
        <v>2</v>
      </c>
      <c r="M48" s="46">
        <v>8</v>
      </c>
      <c r="N48" s="152" t="s">
        <v>41</v>
      </c>
      <c r="O48" s="46">
        <v>88</v>
      </c>
      <c r="P48" s="46">
        <v>85</v>
      </c>
      <c r="Q48" s="144">
        <v>0.965909090909091</v>
      </c>
      <c r="R48" s="46">
        <v>16</v>
      </c>
      <c r="S48" s="46">
        <v>16</v>
      </c>
      <c r="T48" s="144">
        <f t="shared" si="6"/>
        <v>1</v>
      </c>
      <c r="U48" s="46">
        <v>4</v>
      </c>
      <c r="V48" s="46">
        <v>4</v>
      </c>
      <c r="W48" s="144">
        <f t="shared" si="7"/>
        <v>1</v>
      </c>
    </row>
    <row r="49" ht="16.5" spans="1:23">
      <c r="A49" s="46" t="s">
        <v>39</v>
      </c>
      <c r="B49" s="12" t="s">
        <v>33</v>
      </c>
      <c r="C49" s="46" t="s">
        <v>40</v>
      </c>
      <c r="D49" s="46">
        <v>2</v>
      </c>
      <c r="E49" s="46">
        <v>2</v>
      </c>
      <c r="F49" s="144">
        <v>1</v>
      </c>
      <c r="G49" s="46">
        <v>2</v>
      </c>
      <c r="H49" s="144">
        <v>1</v>
      </c>
      <c r="I49" s="145">
        <v>0</v>
      </c>
      <c r="J49" s="105">
        <v>0</v>
      </c>
      <c r="K49" s="105">
        <v>0</v>
      </c>
      <c r="L49" s="46">
        <v>4</v>
      </c>
      <c r="M49" s="46">
        <v>14</v>
      </c>
      <c r="N49" s="152" t="s">
        <v>41</v>
      </c>
      <c r="O49" s="46">
        <v>154</v>
      </c>
      <c r="P49" s="46">
        <v>148</v>
      </c>
      <c r="Q49" s="144">
        <v>0.961038961038961</v>
      </c>
      <c r="R49" s="46">
        <v>27</v>
      </c>
      <c r="S49" s="46">
        <v>27</v>
      </c>
      <c r="T49" s="144">
        <f t="shared" si="6"/>
        <v>1</v>
      </c>
      <c r="U49" s="46">
        <v>8</v>
      </c>
      <c r="V49" s="46">
        <v>8</v>
      </c>
      <c r="W49" s="144">
        <f t="shared" si="7"/>
        <v>1</v>
      </c>
    </row>
    <row r="50" ht="16.5" spans="1:23">
      <c r="A50" s="46" t="s">
        <v>39</v>
      </c>
      <c r="B50" s="12" t="s">
        <v>34</v>
      </c>
      <c r="C50" s="46" t="s">
        <v>40</v>
      </c>
      <c r="D50" s="46">
        <v>2</v>
      </c>
      <c r="E50" s="46">
        <v>2</v>
      </c>
      <c r="F50" s="144">
        <v>1</v>
      </c>
      <c r="G50" s="46">
        <v>1</v>
      </c>
      <c r="H50" s="144">
        <v>1</v>
      </c>
      <c r="I50" s="145">
        <v>0</v>
      </c>
      <c r="J50" s="105">
        <v>0</v>
      </c>
      <c r="K50" s="105">
        <v>0</v>
      </c>
      <c r="L50" s="46">
        <v>2</v>
      </c>
      <c r="M50" s="46">
        <v>3</v>
      </c>
      <c r="N50" s="152" t="s">
        <v>41</v>
      </c>
      <c r="O50" s="46">
        <v>171</v>
      </c>
      <c r="P50" s="46">
        <v>163</v>
      </c>
      <c r="Q50" s="144">
        <v>0.953216374269006</v>
      </c>
      <c r="R50" s="46">
        <v>32</v>
      </c>
      <c r="S50" s="46">
        <v>30</v>
      </c>
      <c r="T50" s="144">
        <f t="shared" si="6"/>
        <v>0.9375</v>
      </c>
      <c r="U50" s="46">
        <v>8</v>
      </c>
      <c r="V50" s="46">
        <v>8</v>
      </c>
      <c r="W50" s="144">
        <f t="shared" si="7"/>
        <v>1</v>
      </c>
    </row>
    <row r="51" ht="16.5" spans="1:23">
      <c r="A51" s="46" t="s">
        <v>39</v>
      </c>
      <c r="B51" s="12" t="s">
        <v>36</v>
      </c>
      <c r="C51" s="46" t="s">
        <v>40</v>
      </c>
      <c r="D51" s="46">
        <v>2</v>
      </c>
      <c r="E51" s="46">
        <v>2</v>
      </c>
      <c r="F51" s="144">
        <v>1</v>
      </c>
      <c r="G51" s="46">
        <v>3</v>
      </c>
      <c r="H51" s="144">
        <v>1</v>
      </c>
      <c r="I51" s="145">
        <v>0</v>
      </c>
      <c r="J51" s="105">
        <v>0</v>
      </c>
      <c r="K51" s="105">
        <v>0</v>
      </c>
      <c r="L51" s="46">
        <v>17</v>
      </c>
      <c r="M51" s="46">
        <v>80</v>
      </c>
      <c r="N51" s="152">
        <v>4.9</v>
      </c>
      <c r="O51" s="46">
        <v>850</v>
      </c>
      <c r="P51" s="46">
        <v>815</v>
      </c>
      <c r="Q51" s="144">
        <v>0.958823529411765</v>
      </c>
      <c r="R51" s="46">
        <v>153</v>
      </c>
      <c r="S51" s="46">
        <v>149</v>
      </c>
      <c r="T51" s="144">
        <f t="shared" si="6"/>
        <v>0.973856209150327</v>
      </c>
      <c r="U51" s="46">
        <v>32</v>
      </c>
      <c r="V51" s="46">
        <v>32</v>
      </c>
      <c r="W51" s="144">
        <f t="shared" si="7"/>
        <v>1</v>
      </c>
    </row>
    <row r="52" ht="16.5" spans="1:23">
      <c r="A52" s="46" t="s">
        <v>39</v>
      </c>
      <c r="B52" s="12" t="s">
        <v>44</v>
      </c>
      <c r="C52" s="46" t="s">
        <v>40</v>
      </c>
      <c r="D52" s="46">
        <v>2</v>
      </c>
      <c r="E52" s="46">
        <v>2</v>
      </c>
      <c r="F52" s="144">
        <v>1</v>
      </c>
      <c r="G52" s="46">
        <v>1</v>
      </c>
      <c r="H52" s="144">
        <v>1</v>
      </c>
      <c r="I52" s="145">
        <v>0</v>
      </c>
      <c r="J52" s="105">
        <v>0</v>
      </c>
      <c r="K52" s="105">
        <v>0</v>
      </c>
      <c r="L52" s="46">
        <v>0</v>
      </c>
      <c r="M52" s="46">
        <v>0</v>
      </c>
      <c r="N52" s="152">
        <v>0</v>
      </c>
      <c r="O52" s="46">
        <v>0</v>
      </c>
      <c r="P52" s="46">
        <v>0</v>
      </c>
      <c r="Q52" s="144">
        <v>1</v>
      </c>
      <c r="R52" s="154">
        <v>0</v>
      </c>
      <c r="S52" s="46">
        <v>0</v>
      </c>
      <c r="T52" s="144">
        <v>1</v>
      </c>
      <c r="U52" s="46">
        <v>0</v>
      </c>
      <c r="V52" s="46">
        <v>0</v>
      </c>
      <c r="W52" s="153">
        <v>1</v>
      </c>
    </row>
    <row r="53" ht="16.5" spans="1:23">
      <c r="A53" s="146" t="s">
        <v>45</v>
      </c>
      <c r="B53" s="146" t="s">
        <v>38</v>
      </c>
      <c r="C53" s="46" t="s">
        <v>27</v>
      </c>
      <c r="D53" s="46">
        <v>1</v>
      </c>
      <c r="E53" s="146">
        <f>SUM(D53:D55)</f>
        <v>7</v>
      </c>
      <c r="F53" s="144">
        <v>1</v>
      </c>
      <c r="G53" s="155">
        <v>62</v>
      </c>
      <c r="H53" s="156">
        <f>COUNTIFS('2026年度培训主表'!B:B,A53,'2026年度培训主表'!C:C,B53,'2026年度培训主表'!D:D,C53,'2026年度培训主表'!L:L,"已签到")/3/G53</f>
        <v>0.575268817204301</v>
      </c>
      <c r="I53" s="157">
        <f>AVERAGEIFS('2026年度培训主表'!S:S,'2026年度培训主表'!B:B,'2026年度培训主表'!B958,'2026年度培训主表'!C:C,'2026年度培训主表'!C958,'2026年度培训主表'!D:D,C53,'2026年度培训主表'!L:L,'2026年度培训主表'!L957)</f>
        <v>93.1308411214953</v>
      </c>
      <c r="J53" s="158">
        <f>AVERAGEIFS('2026年度培训主表'!R:R,'2026年度培训主表'!B:B,'2026年度培训主表'!B958,'2026年度培训主表'!C:C,'2026年度培训主表'!C958,'2026年度培训主表'!D:D,C53,'2026年度培训主表'!L:L,'2026年度培训主表'!L957)</f>
        <v>4.76635514018692</v>
      </c>
      <c r="K53" s="158">
        <f>AVERAGEIFS('2026年度培训主表'!Q:Q,'2026年度培训主表'!B:B,'2026年度培训主表'!B958,'2026年度培训主表'!C:C,'2026年度培训主表'!C958,'2026年度培训主表'!D:D,C53,'2026年度培训主表'!L:L,'2026年度培训主表'!L957)</f>
        <v>4.76635514018692</v>
      </c>
      <c r="L53" s="46"/>
      <c r="M53" s="46"/>
      <c r="N53" s="46"/>
      <c r="O53" s="159" cm="1">
        <f t="array" ref="O53">IF($B53="西南总部",SUM(SUMIFS([6]汇总表!D:D,[6]汇总表!$A:$A,{"营业一部","营业二部","营业三部","营业四部","营业五部","营业六部","营业七部"})),IF($B53="湖北",SUM(SUMIFS([6]汇总表!D:D,[6]汇总表!$A:$A,{"湖北1部","湖北2部"})),IF($B53="陕西",SUM(SUMIFS([6]汇总表!D:D,[6]汇总表!$A:$A,{"陕西1部","陕西2部"})),SUMIFS([6]汇总表!D:D,[6]汇总表!$A:$A,$B53&amp;"销售部"))))</f>
        <v>6415</v>
      </c>
      <c r="P53" s="160" cm="1">
        <f t="array" ref="P53">IF($B53="西南总部",SUM(SUMIFS([6]汇总表!E:E,[6]汇总表!$A:$A,{"营业一部","营业二部","营业三部","营业四部","营业五部","营业六部","营业七部"})),IF($B53="湖北",SUM(SUMIFS([6]汇总表!E:E,[6]汇总表!$A:$A,{"湖北1部","湖北2部"})),IF($B53="陕西",SUM(SUMIFS([6]汇总表!E:E,[6]汇总表!$A:$A,{"陕西1部","陕西2部"})),SUMIFS([6]汇总表!E:E,[6]汇总表!$A:$A,$B53&amp;"销售部"))))</f>
        <v>6068</v>
      </c>
      <c r="Q53" s="161">
        <f>IFERROR(P53/O53,0)</f>
        <v>0.945908028059236</v>
      </c>
      <c r="R53" s="160" cm="1">
        <f t="array" ref="R53">IF($B53="西南总部",SUM(SUMIFS([6]汇总表!H:H,[6]汇总表!$A:$A,{"营业一部","营业二部","营业三部","营业四部","营业五部","营业六部","营业七部"})),IF($B53="湖北",SUM(SUMIFS([6]汇总表!H:H,[6]汇总表!$A:$A,{"湖北1部","湖北2部"})),IF($B53="陕西",SUM(SUMIFS([6]汇总表!H:H,[6]汇总表!$A:$A,{"陕西1部","陕西2部"})),SUMIFS([6]汇总表!H:H,[6]汇总表!$A:$A,$B53&amp;"销售部"))))</f>
        <v>987</v>
      </c>
      <c r="S53" s="159" cm="1">
        <f t="array" ref="S53">IF($B53="西南总部",SUM(SUMIFS([6]汇总表!I:I,[6]汇总表!$A:$A,{"营业一部","营业二部","营业三部","营业四部","营业五部","营业六部","营业七部"})),IF($B53="湖北",SUM(SUMIFS([6]汇总表!I:I,[6]汇总表!$A:$A,{"湖北1部","湖北2部"})),IF($B53="陕西",SUM(SUMIFS([6]汇总表!I:I,[6]汇总表!$A:$A,{"陕西1部","陕西2部"})),SUMIFS([6]汇总表!I:I,[6]汇总表!$A:$A,$B53&amp;"销售部"))))</f>
        <v>959</v>
      </c>
      <c r="T53" s="161">
        <f>IFERROR(S53/R53,0)</f>
        <v>0.971631205673759</v>
      </c>
      <c r="U53" s="160" cm="1">
        <f t="array" ref="U53">IF($B53="西南总部",SUM(SUMIFS([6]汇总表!L:L,[6]汇总表!$A:$A,{"营业一部","营业二部","营业三部","营业四部","营业五部","营业六部","营业七部"})),IF($B53="湖北",SUM(SUMIFS([6]汇总表!L:L,[6]汇总表!$A:$A,{"湖北1部","湖北2部"})),IF($B53="陕西",SUM(SUMIFS([6]汇总表!L:L,[6]汇总表!$A:$A,{"陕西1部","陕西2部"})),SUMIFS([6]汇总表!L:L,[6]汇总表!$A:$A,$B53&amp;"销售部"))))</f>
        <v>212</v>
      </c>
      <c r="V53" s="160" cm="1">
        <f t="array" ref="V53">IF($B53="西南总部",SUM(SUMIFS([6]汇总表!M:M,[6]汇总表!$A:$A,{"营业一部","营业二部","营业三部","营业四部","营业五部","营业六部","营业七部"})),IF($B53="湖北",SUM(SUMIFS([6]汇总表!M:M,[6]汇总表!$A:$A,{"湖北1部","湖北2部"})),IF($B53="陕西",SUM(SUMIFS([6]汇总表!M:M,[6]汇总表!$A:$A,{"陕西1部","陕西2部"})),SUMIFS([6]汇总表!M:M,[6]汇总表!$A:$A,$B53&amp;"销售部"))))</f>
        <v>206</v>
      </c>
      <c r="W53" s="161">
        <f>IFERROR(V53/U53,0)</f>
        <v>0.971698113207547</v>
      </c>
    </row>
    <row r="54" ht="16.5" spans="1:23">
      <c r="A54" s="148"/>
      <c r="B54" s="148"/>
      <c r="C54" s="46" t="s">
        <v>30</v>
      </c>
      <c r="D54" s="46">
        <v>5</v>
      </c>
      <c r="E54" s="148"/>
      <c r="F54" s="144">
        <v>1</v>
      </c>
      <c r="G54" s="101">
        <f>COUNTIFS('2026年度培训主表'!B:B,A53,'2026年度培训主表'!C:C,B53,'2026年度培训主表'!D:D,C54)/6</f>
        <v>9</v>
      </c>
      <c r="H54" s="162">
        <f>COUNTIFS('2026年度培训主表'!B:B,'2026年度培训主表'!B873,'2026年度培训主表'!C:C,'2026年度培训主表'!C873,'2026年度培训主表'!D:D,'2026年度培训主表'!D873,'2026年度培训主表'!L:L,'2026年度培训主表'!L959)/6/G54</f>
        <v>1</v>
      </c>
      <c r="I54" s="157">
        <f>AVERAGEIFS('2026年度培训主表'!S:S,'2026年度培训主表'!B:B,'2026年度培训主表'!B959,'2026年度培训主表'!C:C,'2026年度培训主表'!C959,'2026年度培训主表'!D:D,C54,'2026年度培训主表'!L:L,'2026年度培训主表'!L958)</f>
        <v>57.2222222222222</v>
      </c>
      <c r="J54" s="158">
        <f>AVERAGEIFS('2026年度培训主表'!R:R,'2026年度培训主表'!B:B,'2026年度培训主表'!B959,'2026年度培训主表'!C:C,'2026年度培训主表'!C959,'2026年度培训主表'!D:D,C54,'2026年度培训主表'!L:L,'2026年度培训主表'!L958)</f>
        <v>4.80740740740741</v>
      </c>
      <c r="K54" s="158">
        <f>AVERAGEIFS('2026年度培训主表'!Q:Q,'2026年度培训主表'!B:B,'2026年度培训主表'!B959,'2026年度培训主表'!C:C,'2026年度培训主表'!C959,'2026年度培训主表'!D:D,C54,'2026年度培训主表'!L:L,'2026年度培训主表'!L958)</f>
        <v>4.81481481481481</v>
      </c>
      <c r="L54" s="46"/>
      <c r="M54" s="46"/>
      <c r="N54" s="46"/>
      <c r="O54" s="163"/>
      <c r="P54" s="163"/>
      <c r="Q54" s="164"/>
      <c r="R54" s="163"/>
      <c r="S54" s="163"/>
      <c r="T54" s="164"/>
      <c r="U54" s="163"/>
      <c r="V54" s="163"/>
      <c r="W54" s="164"/>
    </row>
    <row r="55" ht="16.5" spans="1:23">
      <c r="A55" s="150"/>
      <c r="B55" s="150"/>
      <c r="C55" s="46" t="s">
        <v>25</v>
      </c>
      <c r="D55" s="46">
        <v>1</v>
      </c>
      <c r="E55" s="150"/>
      <c r="F55" s="144">
        <v>1</v>
      </c>
      <c r="G55" s="155">
        <f>COUNTIFS('2026年度培训主表'!B:B,A53,'2026年度培训主表'!C:C,B53,'2026年度培训主表'!D:D,C55)/4</f>
        <v>59.5</v>
      </c>
      <c r="H55" s="162">
        <f>COUNTIFS('2026年度培训主表'!B:B,A53,'2026年度培训主表'!C:C,B53,'2026年度培训主表'!D:D,C55,'2026年度培训主表'!L:L,"已签到")/4/G55</f>
        <v>0.361344537815126</v>
      </c>
      <c r="I55" s="157">
        <f>AVERAGEIFS('2026年度培训主表'!S:S,'2026年度培训主表'!B:B,A53,'2026年度培训主表'!C:C,B53,'2026年度培训主表'!D:D,C55,'2026年度培训主表'!L:L,"已签到")</f>
        <v>85.1860465116279</v>
      </c>
      <c r="J55" s="158">
        <f>AVERAGEIFS('2026年度培训主表'!R:R,'2026年度培训主表'!B:B,A53,'2026年度培训主表'!C:C,B53,'2026年度培训主表'!D:D,C55,'2026年度培训主表'!L:L,"已签到")</f>
        <v>4.36046511627907</v>
      </c>
      <c r="K55" s="158">
        <f>AVERAGEIFS('2026年度培训主表'!Q:Q,'2026年度培训主表'!B:B,A53,'2026年度培训主表'!C:C,B53,'2026年度培训主表'!D:D,C55,'2026年度培训主表'!L:L,"已签到")</f>
        <v>4.35755813953488</v>
      </c>
      <c r="L55" s="46"/>
      <c r="M55" s="46"/>
      <c r="N55" s="46"/>
      <c r="O55" s="165"/>
      <c r="P55" s="165"/>
      <c r="Q55" s="166"/>
      <c r="R55" s="165"/>
      <c r="S55" s="165"/>
      <c r="T55" s="166"/>
      <c r="U55" s="165"/>
      <c r="V55" s="165"/>
      <c r="W55" s="166"/>
    </row>
    <row r="56" ht="16.5" spans="1:23">
      <c r="A56" s="146" t="s">
        <v>45</v>
      </c>
      <c r="B56" s="167" t="s">
        <v>32</v>
      </c>
      <c r="C56" s="46" t="s">
        <v>27</v>
      </c>
      <c r="D56" s="46">
        <v>1</v>
      </c>
      <c r="E56" s="146">
        <f>SUM(D56:D58)</f>
        <v>7</v>
      </c>
      <c r="F56" s="144">
        <v>1</v>
      </c>
      <c r="G56" s="101">
        <f>COUNTIFS('2026年度培训主表'!B:B,'2026年度培训主表'!B1007,'2026年度培训主表'!C:C,B56,'2026年度培训主表'!D:D,C56)/3</f>
        <v>1</v>
      </c>
      <c r="H56" s="162">
        <f>COUNTIFS('2026年度培训主表'!B:B,'2026年度培训主表'!B1007,'2026年度培训主表'!C:C,'2026年度培训主表'!C1007,'2026年度培训主表'!D:D,'2026年度培训主表'!D1007,'2026年度培训主表'!L:L,'2026年度培训主表'!L1007)/3/G56</f>
        <v>1</v>
      </c>
      <c r="I56" s="157">
        <f>AVERAGEIFS('2026年度培训主表'!S:S,'2026年度培训主表'!B:B,'2026年度培训主表'!B1007,'2026年度培训主表'!C:C,'2026年度培训主表'!C1007,'2026年度培训主表'!D:D,'2026年度培训主表'!D1007,'2026年度培训主表'!L:L,'2026年度培训主表'!L1007)</f>
        <v>95.3333333333333</v>
      </c>
      <c r="J56" s="158">
        <f>AVERAGEIFS('2026年度培训主表'!R:R,'2026年度培训主表'!B:B,'2026年度培训主表'!B1007,'2026年度培训主表'!C:C,'2026年度培训主表'!C1007,'2026年度培训主表'!D:D,C56,'2026年度培训主表'!L:L,'2026年度培训主表'!L1007)</f>
        <v>5</v>
      </c>
      <c r="K56" s="158">
        <f>AVERAGEIFS('2026年度培训主表'!Q:Q,'2026年度培训主表'!B:B,'2026年度培训主表'!B1007,'2026年度培训主表'!C:C,'2026年度培训主表'!C1007,'2026年度培训主表'!D:D,C56,'2026年度培训主表'!L:L,'2026年度培训主表'!L1007)</f>
        <v>4.91666666666667</v>
      </c>
      <c r="L56" s="46"/>
      <c r="M56" s="46"/>
      <c r="N56" s="46"/>
      <c r="O56" s="159" cm="1">
        <f t="array" ref="O56">IF($B56="西南总部",SUM(SUMIFS([6]汇总表!D:D,[6]汇总表!$A:$A,{"营业一部","营业二部","营业三部","营业四部","营业五部","营业六部","营业七部"})),IF($B56="湖北",SUM(SUMIFS([6]汇总表!D:D,[6]汇总表!$A:$A,{"湖北1部","湖北2部"})),IF($B56="陕西",SUM(SUMIFS([6]汇总表!D:D,[6]汇总表!$A:$A,{"陕西1部","陕西2部"})),SUMIFS([6]汇总表!D:D,[6]汇总表!$A:$A,$B56&amp;"销售部"))))</f>
        <v>903</v>
      </c>
      <c r="P56" s="160" cm="1">
        <f t="array" ref="P56">IF($B56="西南总部",SUM(SUMIFS([6]汇总表!E:E,[6]汇总表!$A:$A,{"营业一部","营业二部","营业三部","营业四部","营业五部","营业六部","营业七部"})),IF($B56="湖北",SUM(SUMIFS([6]汇总表!E:E,[6]汇总表!$A:$A,{"湖北1部","湖北2部"})),IF($B56="陕西",SUM(SUMIFS([6]汇总表!E:E,[6]汇总表!$A:$A,{"陕西1部","陕西2部"})),SUMIFS([6]汇总表!E:E,[6]汇总表!$A:$A,$B56&amp;"销售部"))))</f>
        <v>873</v>
      </c>
      <c r="Q56" s="161">
        <f>IFERROR(P56/O56,0)</f>
        <v>0.966777408637874</v>
      </c>
      <c r="R56" s="160" cm="1">
        <f t="array" ref="R56">IF($B56="西南总部",SUM(SUMIFS([6]汇总表!H:H,[6]汇总表!$A:$A,{"营业一部","营业二部","营业三部","营业四部","营业五部","营业六部","营业七部"})),IF($B56="湖北",SUM(SUMIFS([6]汇总表!H:H,[6]汇总表!$A:$A,{"湖北1部","湖北2部"})),IF($B56="陕西",SUM(SUMIFS([6]汇总表!H:H,[6]汇总表!$A:$A,{"陕西1部","陕西2部"})),SUMIFS([6]汇总表!H:H,[6]汇总表!$A:$A,$B56&amp;"销售部"))))</f>
        <v>136</v>
      </c>
      <c r="S56" s="160" cm="1">
        <f t="array" ref="S56">IF($B56="西南总部",SUM(SUMIFS([6]汇总表!I:I,[6]汇总表!$A:$A,{"营业一部","营业二部","营业三部","营业四部","营业五部","营业六部","营业七部"})),IF($B56="湖北",SUM(SUMIFS([6]汇总表!I:I,[6]汇总表!$A:$A,{"湖北1部","湖北2部"})),IF($B56="陕西",SUM(SUMIFS([6]汇总表!I:I,[6]汇总表!$A:$A,{"陕西1部","陕西2部"})),SUMIFS([6]汇总表!I:I,[6]汇总表!$A:$A,$B56&amp;"销售部"))))</f>
        <v>130</v>
      </c>
      <c r="T56" s="161">
        <f>IFERROR(S56/R56,0)</f>
        <v>0.955882352941177</v>
      </c>
      <c r="U56" s="160" cm="1">
        <f t="array" ref="U56">IF($B56="西南总部",SUM(SUMIFS([6]汇总表!L:L,[6]汇总表!$A:$A,{"营业一部","营业二部","营业三部","营业四部","营业五部","营业六部","营业七部"})),IF($B56="湖北",SUM(SUMIFS([6]汇总表!L:L,[6]汇总表!$A:$A,{"湖北1部","湖北2部"})),IF($B56="陕西",SUM(SUMIFS([6]汇总表!L:L,[6]汇总表!$A:$A,{"陕西1部","陕西2部"})),SUMIFS([6]汇总表!L:L,[6]汇总表!$A:$A,$B56&amp;"销售部"))))</f>
        <v>47</v>
      </c>
      <c r="V56" s="160" cm="1">
        <f t="array" ref="V56">IF($B56="西南总部",SUM(SUMIFS([6]汇总表!M:M,[6]汇总表!$A:$A,{"营业一部","营业二部","营业三部","营业四部","营业五部","营业六部","营业七部"})),IF($B56="湖北",SUM(SUMIFS([6]汇总表!M:M,[6]汇总表!$A:$A,{"湖北1部","湖北2部"})),IF($B56="陕西",SUM(SUMIFS([6]汇总表!M:M,[6]汇总表!$A:$A,{"陕西1部","陕西2部"})),SUMIFS([6]汇总表!M:M,[6]汇总表!$A:$A,$B56&amp;"销售部"))))</f>
        <v>47</v>
      </c>
      <c r="W56" s="161">
        <f>IFERROR(V56/U56,0)</f>
        <v>1</v>
      </c>
    </row>
    <row r="57" ht="16.5" spans="1:23">
      <c r="A57" s="148"/>
      <c r="B57" s="168"/>
      <c r="C57" s="46" t="s">
        <v>30</v>
      </c>
      <c r="D57" s="46">
        <v>5</v>
      </c>
      <c r="E57" s="148"/>
      <c r="F57" s="144">
        <v>1</v>
      </c>
      <c r="G57" s="155">
        <f>COUNTIFS('2026年度培训主表'!B:B,A56,'2026年度培训主表'!C:C,B56,'2026年度培训主表'!D:D,C57)/6</f>
        <v>1.66666666666667</v>
      </c>
      <c r="H57" s="162">
        <f>COUNTIFS('2026年度培训主表'!B:B,A56,'2026年度培训主表'!C:C,B56,'2026年度培训主表'!D:D,C57,'2026年度培训主表'!L:L,"已签到")/6/G57</f>
        <v>1</v>
      </c>
      <c r="I57" s="101">
        <f>AVERAGEIFS('2026年度培训主表'!S:S,'2026年度培训主表'!B:B,A56,'2026年度培训主表'!C:C,B56,'2026年度培训主表'!D:D,C57,'2026年度培训主表'!L:L,"已签到")</f>
        <v>50</v>
      </c>
      <c r="J57" s="101">
        <f>AVERAGEIFS('2026年度培训主表'!R:R,'2026年度培训主表'!B:B,A56,'2026年度培训主表'!C:C,B56,'2026年度培训主表'!D:D,C57,'2026年度培训主表'!L:L,"已签到")</f>
        <v>4.5</v>
      </c>
      <c r="K57" s="158">
        <f>AVERAGEIFS('2026年度培训主表'!Q:Q,'2026年度培训主表'!B:B,A56,'2026年度培训主表'!C:C,B56,'2026年度培训主表'!D:D,C57,'2026年度培训主表'!L:L,"已签到")</f>
        <v>4.475</v>
      </c>
      <c r="L57" s="46"/>
      <c r="M57" s="46"/>
      <c r="N57" s="46"/>
      <c r="O57" s="163"/>
      <c r="P57" s="163"/>
      <c r="Q57" s="164"/>
      <c r="R57" s="163"/>
      <c r="S57" s="163"/>
      <c r="T57" s="164"/>
      <c r="U57" s="163"/>
      <c r="V57" s="163"/>
      <c r="W57" s="164"/>
    </row>
    <row r="58" ht="16.5" spans="1:23">
      <c r="A58" s="150"/>
      <c r="B58" s="169"/>
      <c r="C58" s="46" t="s">
        <v>25</v>
      </c>
      <c r="D58" s="46">
        <v>1</v>
      </c>
      <c r="E58" s="150"/>
      <c r="F58" s="144">
        <v>1</v>
      </c>
      <c r="G58" s="155">
        <f>COUNTIFS('2026年度培训主表'!B:B,A56,'2026年度培训主表'!C:C,B56,'2026年度培训主表'!D:D,C58)/4</f>
        <v>5</v>
      </c>
      <c r="H58" s="162">
        <f>COUNTIFS('2026年度培训主表'!B:B,A56,'2026年度培训主表'!C:C,B56,'2026年度培训主表'!D:D,C58,'2026年度培训主表'!L:L,"已签到")/4/G58</f>
        <v>0.8</v>
      </c>
      <c r="I58" s="157">
        <f>AVERAGEIFS('2026年度培训主表'!S:S,'2026年度培训主表'!B:B,A56,'2026年度培训主表'!C:C,B56,'2026年度培训主表'!D:D,C58,'2026年度培训主表'!L:L,"已签到")</f>
        <v>85.4375</v>
      </c>
      <c r="J58" s="158">
        <f>AVERAGEIFS('2026年度培训主表'!R:R,'2026年度培训主表'!B:B,A56,'2026年度培训主表'!C:C,B56,'2026年度培训主表'!D:D,C58,'2026年度培训主表'!L:L,"已签到")</f>
        <v>4.6875</v>
      </c>
      <c r="K58" s="158">
        <f>AVERAGEIFS('2026年度培训主表'!Q:Q,'2026年度培训主表'!B:B,A56,'2026年度培训主表'!C:C,B56,'2026年度培训主表'!D:D,C58,'2026年度培训主表'!L:L,"已签到")</f>
        <v>4.6875</v>
      </c>
      <c r="L58" s="46"/>
      <c r="M58" s="46"/>
      <c r="N58" s="46"/>
      <c r="O58" s="165"/>
      <c r="P58" s="165"/>
      <c r="Q58" s="166"/>
      <c r="R58" s="165"/>
      <c r="S58" s="165"/>
      <c r="T58" s="166"/>
      <c r="U58" s="165"/>
      <c r="V58" s="165"/>
      <c r="W58" s="166"/>
    </row>
    <row r="59" ht="16.5" spans="1:23">
      <c r="A59" s="146" t="s">
        <v>45</v>
      </c>
      <c r="B59" s="167" t="s">
        <v>37</v>
      </c>
      <c r="C59" s="46" t="s">
        <v>27</v>
      </c>
      <c r="D59" s="46">
        <v>1</v>
      </c>
      <c r="E59" s="146">
        <f>SUM(D59:D61)</f>
        <v>7</v>
      </c>
      <c r="F59" s="144">
        <v>1</v>
      </c>
      <c r="G59" s="155">
        <f>COUNTIFS('2026年度培训主表'!B:B,A59,'2026年度培训主表'!C:C,B59,'2026年度培训主表'!D:D,C59)/3</f>
        <v>13</v>
      </c>
      <c r="H59" s="162">
        <f>COUNTIFS('2026年度培训主表'!B:B,A59,'2026年度培训主表'!C:C,B59,'2026年度培训主表'!D:D,C59,'2026年度培训主表'!L:L,"已签到")/3/G59</f>
        <v>0.538461538461538</v>
      </c>
      <c r="I59" s="157">
        <f>AVERAGEIFS('2026年度培训主表'!S:S,'2026年度培训主表'!B:B,A59,'2026年度培训主表'!C:C,B59,'2026年度培训主表'!D:D,C59,'2026年度培训主表'!L:L,"已签到")</f>
        <v>94.2380952380952</v>
      </c>
      <c r="J59" s="158">
        <f>AVERAGEIFS('2026年度培训主表'!R:R,'2026年度培训主表'!B:B,A59,'2026年度培训主表'!C:C,B59,'2026年度培训主表'!D:D,C59,'2026年度培训主表'!L:L,"已签到")</f>
        <v>4.28571428571429</v>
      </c>
      <c r="K59" s="158">
        <f>AVERAGEIFS('2026年度培训主表'!Q:Q,'2026年度培训主表'!B:B,A59,'2026年度培训主表'!C:C,B59,'2026年度培训主表'!D:D,C59,'2026年度培训主表'!L:L,"已签到")</f>
        <v>4.27380952380952</v>
      </c>
      <c r="L59" s="46"/>
      <c r="M59" s="46"/>
      <c r="N59" s="46"/>
      <c r="O59" s="159" cm="1">
        <f t="array" ref="O59">IF($B59="西南总部",SUM(SUMIFS([6]汇总表!D:D,[6]汇总表!$A:$A,{"营业一部","营业二部","营业三部","营业四部","营业五部","营业六部","营业七部"})),IF($B59="湖北",SUM(SUMIFS([6]汇总表!D:D,[6]汇总表!$A:$A,{"湖北1部","湖北2部"})),IF($B59="陕西",SUM(SUMIFS([6]汇总表!D:D,[6]汇总表!$A:$A,{"陕西1部","陕西2部"})),SUMIFS([6]汇总表!D:D,[6]汇总表!$A:$A,$B59&amp;"销售部"))))</f>
        <v>1995</v>
      </c>
      <c r="P59" s="160" cm="1">
        <f t="array" ref="P59">IF($B59="西南总部",SUM(SUMIFS([6]汇总表!E:E,[6]汇总表!$A:$A,{"营业一部","营业二部","营业三部","营业四部","营业五部","营业六部","营业七部"})),IF($B59="湖北",SUM(SUMIFS([6]汇总表!E:E,[6]汇总表!$A:$A,{"湖北1部","湖北2部"})),IF($B59="陕西",SUM(SUMIFS([6]汇总表!E:E,[6]汇总表!$A:$A,{"陕西1部","陕西2部"})),SUMIFS([6]汇总表!E:E,[6]汇总表!$A:$A,$B59&amp;"销售部"))))</f>
        <v>1893</v>
      </c>
      <c r="Q59" s="161">
        <f>IFERROR(P59/O59,0)</f>
        <v>0.948872180451128</v>
      </c>
      <c r="R59" s="160" cm="1">
        <f t="array" ref="R59">IF($B59="西南总部",SUM(SUMIFS([6]汇总表!H:H,[6]汇总表!$A:$A,{"营业一部","营业二部","营业三部","营业四部","营业五部","营业六部","营业七部"})),IF($B59="湖北",SUM(SUMIFS([6]汇总表!H:H,[6]汇总表!$A:$A,{"湖北1部","湖北2部"})),IF($B59="陕西",SUM(SUMIFS([6]汇总表!H:H,[6]汇总表!$A:$A,{"陕西1部","陕西2部"})),SUMIFS([6]汇总表!H:H,[6]汇总表!$A:$A,$B59&amp;"销售部"))))</f>
        <v>307</v>
      </c>
      <c r="S59" s="160" cm="1">
        <f t="array" ref="S59">IF($B59="西南总部",SUM(SUMIFS([6]汇总表!I:I,[6]汇总表!$A:$A,{"营业一部","营业二部","营业三部","营业四部","营业五部","营业六部","营业七部"})),IF($B59="湖北",SUM(SUMIFS([6]汇总表!I:I,[6]汇总表!$A:$A,{"湖北1部","湖北2部"})),IF($B59="陕西",SUM(SUMIFS([6]汇总表!I:I,[6]汇总表!$A:$A,{"陕西1部","陕西2部"})),SUMIFS([6]汇总表!I:I,[6]汇总表!$A:$A,$B59&amp;"销售部"))))</f>
        <v>298</v>
      </c>
      <c r="T59" s="161">
        <f>IFERROR(S59/R59,0)</f>
        <v>0.970684039087948</v>
      </c>
      <c r="U59" s="160" cm="1">
        <f t="array" ref="U59">IF($B59="西南总部",SUM(SUMIFS([6]汇总表!L:L,[6]汇总表!$A:$A,{"营业一部","营业二部","营业三部","营业四部","营业五部","营业六部","营业七部"})),IF($B59="湖北",SUM(SUMIFS([6]汇总表!L:L,[6]汇总表!$A:$A,{"湖北1部","湖北2部"})),IF($B59="陕西",SUM(SUMIFS([6]汇总表!L:L,[6]汇总表!$A:$A,{"陕西1部","陕西2部"})),SUMIFS([6]汇总表!L:L,[6]汇总表!$A:$A,$B59&amp;"销售部"))))</f>
        <v>72</v>
      </c>
      <c r="V59" s="160" cm="1">
        <f t="array" ref="V59">IF($B59="西南总部",SUM(SUMIFS([6]汇总表!M:M,[6]汇总表!$A:$A,{"营业一部","营业二部","营业三部","营业四部","营业五部","营业六部","营业七部"})),IF($B59="湖北",SUM(SUMIFS([6]汇总表!M:M,[6]汇总表!$A:$A,{"湖北1部","湖北2部"})),IF($B59="陕西",SUM(SUMIFS([6]汇总表!M:M,[6]汇总表!$A:$A,{"陕西1部","陕西2部"})),SUMIFS([6]汇总表!M:M,[6]汇总表!$A:$A,$B59&amp;"销售部"))))</f>
        <v>70</v>
      </c>
      <c r="W59" s="161">
        <f>IFERROR(V59/U59,0)</f>
        <v>0.972222222222222</v>
      </c>
    </row>
    <row r="60" ht="16.5" spans="1:23">
      <c r="A60" s="148"/>
      <c r="B60" s="168"/>
      <c r="C60" s="46" t="s">
        <v>30</v>
      </c>
      <c r="D60" s="46">
        <v>5</v>
      </c>
      <c r="E60" s="148"/>
      <c r="F60" s="144">
        <v>1</v>
      </c>
      <c r="G60" s="155">
        <f>COUNTIFS('2026年度培训主表'!B:B,A59,'2026年度培训主表'!C:C,B59,'2026年度培训主表'!D:D,C60)/6</f>
        <v>1</v>
      </c>
      <c r="H60" s="162">
        <f>COUNTIFS('2026年度培训主表'!B:B,A59,'2026年度培训主表'!C:C,B59,'2026年度培训主表'!D:D,C60,'2026年度培训主表'!L:L,"已签到")/6/G60</f>
        <v>1</v>
      </c>
      <c r="I60" s="101">
        <f>AVERAGEIFS('2026年度培训主表'!S:S,'2026年度培训主表'!B:B,A59,'2026年度培训主表'!C:C,B59,'2026年度培训主表'!D:D,C60,'2026年度培训主表'!L:L,"已签到")</f>
        <v>70</v>
      </c>
      <c r="J60" s="158">
        <f>AVERAGEIFS('2026年度培训主表'!R:R,'2026年度培训主表'!B:B,A59,'2026年度培训主表'!C:C,B59,'2026年度培训主表'!D:D,C60,'2026年度培训主表'!L:L,"已签到")</f>
        <v>5</v>
      </c>
      <c r="K60" s="158">
        <f>AVERAGEIFS('2026年度培训主表'!Q:Q,'2026年度培训主表'!B:B,A59,'2026年度培训主表'!C:C,B59,'2026年度培训主表'!D:D,C60,'2026年度培训主表'!L:L,"已签到")</f>
        <v>5</v>
      </c>
      <c r="L60" s="46"/>
      <c r="M60" s="46"/>
      <c r="N60" s="46"/>
      <c r="O60" s="163"/>
      <c r="P60" s="163"/>
      <c r="Q60" s="164"/>
      <c r="R60" s="163"/>
      <c r="S60" s="163"/>
      <c r="T60" s="164"/>
      <c r="U60" s="163"/>
      <c r="V60" s="163"/>
      <c r="W60" s="164"/>
    </row>
    <row r="61" ht="16.5" spans="1:23">
      <c r="A61" s="150"/>
      <c r="B61" s="169"/>
      <c r="C61" s="46" t="s">
        <v>25</v>
      </c>
      <c r="D61" s="46">
        <v>1</v>
      </c>
      <c r="E61" s="150"/>
      <c r="F61" s="144">
        <v>1</v>
      </c>
      <c r="G61" s="155">
        <f>COUNTIFS('2026年度培训主表'!B:B,A59,'2026年度培训主表'!C:C,B59,'2026年度培训主表'!D:D,C61)/4</f>
        <v>4</v>
      </c>
      <c r="H61" s="162">
        <f>COUNTIFS('2026年度培训主表'!B:B,A59,'2026年度培训主表'!C:C,B59,'2026年度培训主表'!D:D,C61,'2026年度培训主表'!L:L,"已签到")/4/G61</f>
        <v>1</v>
      </c>
      <c r="I61" s="157">
        <f>AVERAGEIFS('2026年度培训主表'!S:S,'2026年度培训主表'!B:B,A59,'2026年度培训主表'!C:C,B59,'2026年度培训主表'!D:D,C61,'2026年度培训主表'!L:L,"已签到")</f>
        <v>64.6875</v>
      </c>
      <c r="J61" s="158">
        <f>AVERAGEIFS('2026年度培训主表'!R:R,'2026年度培训主表'!B:B,A59,'2026年度培训主表'!C:C,B59,'2026年度培训主表'!D:D,C61,'2026年度培训主表'!L:L,"已签到")</f>
        <v>3.4375</v>
      </c>
      <c r="K61" s="158">
        <f>AVERAGEIFS('2026年度培训主表'!Q:Q,'2026年度培训主表'!B:B,A59,'2026年度培训主表'!C:C,B59,'2026年度培训主表'!D:D,C61,'2026年度培训主表'!L:L,"已签到")</f>
        <v>3.4375</v>
      </c>
      <c r="L61" s="46"/>
      <c r="M61" s="46"/>
      <c r="N61" s="46"/>
      <c r="O61" s="165"/>
      <c r="P61" s="165"/>
      <c r="Q61" s="166"/>
      <c r="R61" s="165"/>
      <c r="S61" s="165"/>
      <c r="T61" s="166"/>
      <c r="U61" s="165"/>
      <c r="V61" s="165"/>
      <c r="W61" s="166"/>
    </row>
    <row r="62" ht="16.5" spans="1:23">
      <c r="A62" s="146" t="s">
        <v>45</v>
      </c>
      <c r="B62" s="167" t="s">
        <v>29</v>
      </c>
      <c r="C62" s="46" t="s">
        <v>27</v>
      </c>
      <c r="D62" s="46">
        <v>1</v>
      </c>
      <c r="E62" s="146">
        <f>SUM(D62:D64)</f>
        <v>7</v>
      </c>
      <c r="F62" s="144">
        <v>1</v>
      </c>
      <c r="G62" s="101">
        <f>COUNTIFS('2026年度培训主表'!B:B,A62,'2026年度培训主表'!C:C,B62,'2026年度培训主表'!D:D,C62)/3</f>
        <v>9</v>
      </c>
      <c r="H62" s="162">
        <f>COUNTIFS('2026年度培训主表'!B:B,A62,'2026年度培训主表'!C:C,B62,'2026年度培训主表'!D:D,C62,'2026年度培训主表'!L:L,"已签到")/3/G62</f>
        <v>0.888888888888889</v>
      </c>
      <c r="I62" s="157">
        <f>AVERAGEIFS('2026年度培训主表'!S:S,'2026年度培训主表'!B:B,A62,'2026年度培训主表'!C:C,B62,'2026年度培训主表'!D:D,C62,'2026年度培训主表'!L:L,"已签到")</f>
        <v>84.375</v>
      </c>
      <c r="J62" s="158">
        <f>AVERAGEIFS('2026年度培训主表'!R:R,'2026年度培训主表'!B:B,A62,'2026年度培训主表'!C:C,B62,'2026年度培训主表'!D:D,C62,'2026年度培训主表'!L:L,"已签到")</f>
        <v>4.58333333333333</v>
      </c>
      <c r="K62" s="158">
        <f>AVERAGEIFS('2026年度培训主表'!Q:Q,'2026年度培训主表'!B:B,A62,'2026年度培训主表'!C:C,B62,'2026年度培训主表'!D:D,C62,'2026年度培训主表'!L:L,"已签到")</f>
        <v>4.58333333333333</v>
      </c>
      <c r="L62" s="46"/>
      <c r="M62" s="46"/>
      <c r="N62" s="46"/>
      <c r="O62" s="159" cm="1">
        <f t="array" ref="O62">IF($B62="西南总部",SUM(SUMIFS([6]汇总表!D:D,[6]汇总表!$A:$A,{"营业一部","营业二部","营业三部","营业四部","营业五部","营业六部","营业七部"})),IF($B62="湖北",SUM(SUMIFS([6]汇总表!D:D,[6]汇总表!$A:$A,{"湖北1部","湖北2部"})),IF($B62="陕西",SUM(SUMIFS([6]汇总表!D:D,[6]汇总表!$A:$A,{"陕西1部","陕西2部"})),SUMIFS([6]汇总表!D:D,[6]汇总表!$A:$A,$B62&amp;"销售部"))))</f>
        <v>954</v>
      </c>
      <c r="P62" s="160" cm="1">
        <f t="array" ref="P62">IF($B62="西南总部",SUM(SUMIFS([6]汇总表!E:E,[6]汇总表!$A:$A,{"营业一部","营业二部","营业三部","营业四部","营业五部","营业六部","营业七部"})),IF($B62="湖北",SUM(SUMIFS([6]汇总表!E:E,[6]汇总表!$A:$A,{"湖北1部","湖北2部"})),IF($B62="陕西",SUM(SUMIFS([6]汇总表!E:E,[6]汇总表!$A:$A,{"陕西1部","陕西2部"})),SUMIFS([6]汇总表!E:E,[6]汇总表!$A:$A,$B62&amp;"销售部"))))</f>
        <v>912</v>
      </c>
      <c r="Q62" s="161">
        <f>IFERROR(P62/O62,0)</f>
        <v>0.955974842767296</v>
      </c>
      <c r="R62" s="160" cm="1">
        <f t="array" ref="R62">IF($B62="西南总部",SUM(SUMIFS([6]汇总表!H:H,[6]汇总表!$A:$A,{"营业一部","营业二部","营业三部","营业四部","营业五部","营业六部","营业七部"})),IF($B62="湖北",SUM(SUMIFS([6]汇总表!H:H,[6]汇总表!$A:$A,{"湖北1部","湖北2部"})),IF($B62="陕西",SUM(SUMIFS([6]汇总表!H:H,[6]汇总表!$A:$A,{"陕西1部","陕西2部"})),SUMIFS([6]汇总表!H:H,[6]汇总表!$A:$A,$B62&amp;"销售部"))))</f>
        <v>149</v>
      </c>
      <c r="S62" s="160" cm="1">
        <f t="array" ref="S62">IF($B62="西南总部",SUM(SUMIFS([6]汇总表!I:I,[6]汇总表!$A:$A,{"营业一部","营业二部","营业三部","营业四部","营业五部","营业六部","营业七部"})),IF($B62="湖北",SUM(SUMIFS([6]汇总表!I:I,[6]汇总表!$A:$A,{"湖北1部","湖北2部"})),IF($B62="陕西",SUM(SUMIFS([6]汇总表!I:I,[6]汇总表!$A:$A,{"陕西1部","陕西2部"})),SUMIFS([6]汇总表!I:I,[6]汇总表!$A:$A,$B62&amp;"销售部"))))</f>
        <v>147</v>
      </c>
      <c r="T62" s="161">
        <f>IFERROR(S62/R62,0)</f>
        <v>0.986577181208054</v>
      </c>
      <c r="U62" s="160" cm="1">
        <f t="array" ref="U62">IF($B62="西南总部",SUM(SUMIFS([6]汇总表!L:L,[6]汇总表!$A:$A,{"营业一部","营业二部","营业三部","营业四部","营业五部","营业六部","营业七部"})),IF($B62="湖北",SUM(SUMIFS([6]汇总表!L:L,[6]汇总表!$A:$A,{"湖北1部","湖北2部"})),IF($B62="陕西",SUM(SUMIFS([6]汇总表!L:L,[6]汇总表!$A:$A,{"陕西1部","陕西2部"})),SUMIFS([6]汇总表!L:L,[6]汇总表!$A:$A,$B62&amp;"销售部"))))</f>
        <v>32</v>
      </c>
      <c r="V62" s="160" cm="1">
        <f t="array" ref="V62">IF($B62="西南总部",SUM(SUMIFS([6]汇总表!M:M,[6]汇总表!$A:$A,{"营业一部","营业二部","营业三部","营业四部","营业五部","营业六部","营业七部"})),IF($B62="湖北",SUM(SUMIFS([6]汇总表!M:M,[6]汇总表!$A:$A,{"湖北1部","湖北2部"})),IF($B62="陕西",SUM(SUMIFS([6]汇总表!M:M,[6]汇总表!$A:$A,{"陕西1部","陕西2部"})),SUMIFS([6]汇总表!M:M,[6]汇总表!$A:$A,$B62&amp;"销售部"))))</f>
        <v>32</v>
      </c>
      <c r="W62" s="161">
        <f>IFERROR(V62/U62,0)</f>
        <v>1</v>
      </c>
    </row>
    <row r="63" ht="16.5" spans="1:23">
      <c r="A63" s="148"/>
      <c r="B63" s="168"/>
      <c r="C63" s="46" t="s">
        <v>30</v>
      </c>
      <c r="D63" s="46">
        <v>5</v>
      </c>
      <c r="E63" s="148"/>
      <c r="F63" s="144">
        <v>1</v>
      </c>
      <c r="G63" s="155">
        <f>COUNTIFS('2026年度培训主表'!B:B,A62,'2026年度培训主表'!C:C,B62,'2026年度培训主表'!D:D,C63)/6</f>
        <v>1.66666666666667</v>
      </c>
      <c r="H63" s="162">
        <f>COUNTIFS('2026年度培训主表'!B:B,A62,'2026年度培训主表'!C:C,B62,'2026年度培训主表'!D:D,C63,'2026年度培训主表'!L:L,"已签到")/6/G63</f>
        <v>1</v>
      </c>
      <c r="I63" s="101">
        <f>AVERAGEIFS('2026年度培训主表'!S:S,'2026年度培训主表'!B:B,A62,'2026年度培训主表'!C:C,B62,'2026年度培训主表'!D:D,C63,'2026年度培训主表'!L:L,"已签到")</f>
        <v>57</v>
      </c>
      <c r="J63" s="101">
        <f>AVERAGEIFS('2026年度培训主表'!R:R,'2026年度培训主表'!B:B,A62,'2026年度培训主表'!C:C,B62,'2026年度培训主表'!D:D,C63,'2026年度培训主表'!L:L,"已签到")</f>
        <v>5</v>
      </c>
      <c r="K63" s="158">
        <f>AVERAGEIFS('2026年度培训主表'!Q:Q,'2026年度培训主表'!B:B,A62,'2026年度培训主表'!C:C,B62,'2026年度培训主表'!D:D,C63,'2026年度培训主表'!L:L,"已签到")</f>
        <v>5</v>
      </c>
      <c r="L63" s="46"/>
      <c r="M63" s="46"/>
      <c r="N63" s="46"/>
      <c r="O63" s="163"/>
      <c r="P63" s="163"/>
      <c r="Q63" s="164"/>
      <c r="R63" s="163"/>
      <c r="S63" s="163"/>
      <c r="T63" s="164"/>
      <c r="U63" s="163"/>
      <c r="V63" s="163"/>
      <c r="W63" s="164"/>
    </row>
    <row r="64" ht="16.5" spans="1:23">
      <c r="A64" s="150"/>
      <c r="B64" s="169"/>
      <c r="C64" s="46" t="s">
        <v>25</v>
      </c>
      <c r="D64" s="46">
        <v>1</v>
      </c>
      <c r="E64" s="150"/>
      <c r="F64" s="144">
        <v>1</v>
      </c>
      <c r="G64" s="155">
        <f>COUNTIFS('2026年度培训主表'!B:B,A62,'2026年度培训主表'!C:C,B62,'2026年度培训主表'!D:D,C64)/4</f>
        <v>3.5</v>
      </c>
      <c r="H64" s="162">
        <f>COUNTIFS('2026年度培训主表'!B:B,A62,'2026年度培训主表'!C:C,B62,'2026年度培训主表'!D:D,C64,'2026年度培训主表'!L:L,"已签到")/4/G64</f>
        <v>0.714285714285714</v>
      </c>
      <c r="I64" s="157">
        <f>AVERAGEIFS('2026年度培训主表'!S:S,'2026年度培训主表'!B:B,A62,'2026年度培训主表'!C:C,B62,'2026年度培训主表'!D:D,C64,'2026年度培训主表'!L:L,"已签到")</f>
        <v>82.5</v>
      </c>
      <c r="J64" s="158">
        <f>AVERAGEIFS('2026年度培训主表'!R:R,'2026年度培训主表'!B:B,A62,'2026年度培训主表'!C:C,B62,'2026年度培训主表'!D:D,C64,'2026年度培训主表'!L:L,"已签到")</f>
        <v>4.46</v>
      </c>
      <c r="K64" s="158">
        <f>AVERAGEIFS('2026年度培训主表'!Q:Q,'2026年度培训主表'!B:B,A62,'2026年度培训主表'!C:C,B62,'2026年度培训主表'!D:D,C64,'2026年度培训主表'!L:L,"已签到")</f>
        <v>4.475</v>
      </c>
      <c r="L64" s="46"/>
      <c r="M64" s="46"/>
      <c r="N64" s="46"/>
      <c r="O64" s="165"/>
      <c r="P64" s="165"/>
      <c r="Q64" s="166"/>
      <c r="R64" s="165"/>
      <c r="S64" s="165"/>
      <c r="T64" s="166"/>
      <c r="U64" s="165"/>
      <c r="V64" s="165"/>
      <c r="W64" s="166"/>
    </row>
    <row r="65" ht="16.5" spans="1:23">
      <c r="A65" s="146" t="s">
        <v>45</v>
      </c>
      <c r="B65" s="167" t="s">
        <v>31</v>
      </c>
      <c r="C65" s="46" t="s">
        <v>27</v>
      </c>
      <c r="D65" s="46">
        <v>1</v>
      </c>
      <c r="E65" s="146">
        <f>SUM(D65:D67)</f>
        <v>7</v>
      </c>
      <c r="F65" s="144">
        <v>1</v>
      </c>
      <c r="G65" s="155">
        <f>COUNTIFS('2026年度培训主表'!B:B,A65,'2026年度培训主表'!C:C,B65,'2026年度培训主表'!D:D,C65)/3</f>
        <v>9.66666666666667</v>
      </c>
      <c r="H65" s="162">
        <f>COUNTIFS('2026年度培训主表'!B:B,A65,'2026年度培训主表'!C:C,B65,'2026年度培训主表'!D:D,C65,'2026年度培训主表'!L:L,"已签到")/3/G65</f>
        <v>0.896551724137931</v>
      </c>
      <c r="I65" s="157">
        <f>AVERAGEIFS('2026年度培训主表'!S:S,'2026年度培训主表'!B:B,A65,'2026年度培训主表'!C:C,B65,'2026年度培训主表'!D:D,C65,'2026年度培训主表'!L:L,"已签到")</f>
        <v>101.307692307692</v>
      </c>
      <c r="J65" s="158">
        <f>AVERAGEIFS('2026年度培训主表'!R:R,'2026年度培训主表'!B:B,A65,'2026年度培训主表'!C:C,B65,'2026年度培训主表'!D:D,C65,'2026年度培训主表'!L:L,"已签到")</f>
        <v>4.80769230769231</v>
      </c>
      <c r="K65" s="158">
        <f>AVERAGEIFS('2026年度培训主表'!Q:Q,'2026年度培训主表'!B:B,A65,'2026年度培训主表'!C:C,B65,'2026年度培训主表'!D:D,C65,'2026年度培训主表'!L:L,"已签到")</f>
        <v>4.80769230769231</v>
      </c>
      <c r="L65" s="46"/>
      <c r="M65" s="46"/>
      <c r="N65" s="46"/>
      <c r="O65" s="159" cm="1">
        <f t="array" ref="O65">IF($B65="西南总部",SUM(SUMIFS([6]汇总表!D:D,[6]汇总表!$A:$A,{"营业一部","营业二部","营业三部","营业四部","营业五部","营业六部","营业七部"})),IF($B65="湖北",SUM(SUMIFS([6]汇总表!D:D,[6]汇总表!$A:$A,{"湖北1部","湖北2部"})),IF($B65="陕西",SUM(SUMIFS([6]汇总表!D:D,[6]汇总表!$A:$A,{"陕西1部","陕西2部"})),SUMIFS([6]汇总表!D:D,[6]汇总表!$A:$A,$B65&amp;"销售部"))))</f>
        <v>1335</v>
      </c>
      <c r="P65" s="160" cm="1">
        <f t="array" ref="P65">IF($B65="西南总部",SUM(SUMIFS([6]汇总表!E:E,[6]汇总表!$A:$A,{"营业一部","营业二部","营业三部","营业四部","营业五部","营业六部","营业七部"})),IF($B65="湖北",SUM(SUMIFS([6]汇总表!E:E,[6]汇总表!$A:$A,{"湖北1部","湖北2部"})),IF($B65="陕西",SUM(SUMIFS([6]汇总表!E:E,[6]汇总表!$A:$A,{"陕西1部","陕西2部"})),SUMIFS([6]汇总表!E:E,[6]汇总表!$A:$A,$B65&amp;"销售部"))))</f>
        <v>1263</v>
      </c>
      <c r="Q65" s="161">
        <f>IFERROR(P65/O65,0)</f>
        <v>0.946067415730337</v>
      </c>
      <c r="R65" s="160" cm="1">
        <f t="array" ref="R65">IF($B65="西南总部",SUM(SUMIFS([6]汇总表!H:H,[6]汇总表!$A:$A,{"营业一部","营业二部","营业三部","营业四部","营业五部","营业六部","营业七部"})),IF($B65="湖北",SUM(SUMIFS([6]汇总表!H:H,[6]汇总表!$A:$A,{"湖北1部","湖北2部"})),IF($B65="陕西",SUM(SUMIFS([6]汇总表!H:H,[6]汇总表!$A:$A,{"陕西1部","陕西2部"})),SUMIFS([6]汇总表!H:H,[6]汇总表!$A:$A,$B65&amp;"销售部"))))</f>
        <v>204</v>
      </c>
      <c r="S65" s="160" cm="1">
        <f t="array" ref="S65">IF($B65="西南总部",SUM(SUMIFS([6]汇总表!I:I,[6]汇总表!$A:$A,{"营业一部","营业二部","营业三部","营业四部","营业五部","营业六部","营业七部"})),IF($B65="湖北",SUM(SUMIFS([6]汇总表!I:I,[6]汇总表!$A:$A,{"湖北1部","湖北2部"})),IF($B65="陕西",SUM(SUMIFS([6]汇总表!I:I,[6]汇总表!$A:$A,{"陕西1部","陕西2部"})),SUMIFS([6]汇总表!I:I,[6]汇总表!$A:$A,$B65&amp;"销售部"))))</f>
        <v>189</v>
      </c>
      <c r="T65" s="161">
        <f>IFERROR(S65/R65,0)</f>
        <v>0.926470588235294</v>
      </c>
      <c r="U65" s="160" cm="1">
        <f t="array" ref="U65">IF($B65="西南总部",SUM(SUMIFS([6]汇总表!L:L,[6]汇总表!$A:$A,{"营业一部","营业二部","营业三部","营业四部","营业五部","营业六部","营业七部"})),IF($B65="湖北",SUM(SUMIFS([6]汇总表!L:L,[6]汇总表!$A:$A,{"湖北1部","湖北2部"})),IF($B65="陕西",SUM(SUMIFS([6]汇总表!L:L,[6]汇总表!$A:$A,{"陕西1部","陕西2部"})),SUMIFS([6]汇总表!L:L,[6]汇总表!$A:$A,$B65&amp;"销售部"))))</f>
        <v>56</v>
      </c>
      <c r="V65" s="160" cm="1">
        <f t="array" ref="V65">IF($B65="西南总部",SUM(SUMIFS([6]汇总表!M:M,[6]汇总表!$A:$A,{"营业一部","营业二部","营业三部","营业四部","营业五部","营业六部","营业七部"})),IF($B65="湖北",SUM(SUMIFS([6]汇总表!M:M,[6]汇总表!$A:$A,{"湖北1部","湖北2部"})),IF($B65="陕西",SUM(SUMIFS([6]汇总表!M:M,[6]汇总表!$A:$A,{"陕西1部","陕西2部"})),SUMIFS([6]汇总表!M:M,[6]汇总表!$A:$A,$B65&amp;"销售部"))))</f>
        <v>52</v>
      </c>
      <c r="W65" s="161">
        <f>IFERROR(V65/U65,0)</f>
        <v>0.928571428571429</v>
      </c>
    </row>
    <row r="66" ht="16.5" spans="1:23">
      <c r="A66" s="148"/>
      <c r="B66" s="168"/>
      <c r="C66" s="46" t="s">
        <v>30</v>
      </c>
      <c r="D66" s="46">
        <v>5</v>
      </c>
      <c r="E66" s="148"/>
      <c r="F66" s="144">
        <v>1</v>
      </c>
      <c r="G66" s="155">
        <f>COUNTIFS('2026年度培训主表'!B:B,A65,'2026年度培训主表'!C:C,B65,'2026年度培训主表'!D:D,C66)/6</f>
        <v>1</v>
      </c>
      <c r="H66" s="162">
        <f>COUNTIFS('2026年度培训主表'!B:B,A65,'2026年度培训主表'!C:C,B65,'2026年度培训主表'!D:D,C66,'2026年度培训主表'!L:L,"已签到")/6/G66</f>
        <v>1</v>
      </c>
      <c r="I66" s="157">
        <f>AVERAGEIFS('2026年度培训主表'!S:S,'2026年度培训主表'!B:B,A65,'2026年度培训主表'!C:C,B65,'2026年度培训主表'!D:D,C66,'2026年度培训主表'!L:L,"已签到")</f>
        <v>56.6666666666667</v>
      </c>
      <c r="J66" s="158">
        <f>AVERAGEIFS('2026年度培训主表'!R:R,'2026年度培训主表'!B:B,A65,'2026年度培训主表'!C:C,B65,'2026年度培训主表'!D:D,C66,'2026年度培训主表'!L:L,"已签到")</f>
        <v>4.16666666666667</v>
      </c>
      <c r="K66" s="158">
        <f>AVERAGEIFS('2026年度培训主表'!Q:Q,'2026年度培训主表'!B:B,A65,'2026年度培训主表'!C:C,B65,'2026年度培训主表'!D:D,C66,'2026年度培训主表'!L:L,"已签到")</f>
        <v>4.16666666666667</v>
      </c>
      <c r="L66" s="46"/>
      <c r="M66" s="46"/>
      <c r="N66" s="46"/>
      <c r="O66" s="163"/>
      <c r="P66" s="163"/>
      <c r="Q66" s="164"/>
      <c r="R66" s="163"/>
      <c r="S66" s="163"/>
      <c r="T66" s="164"/>
      <c r="U66" s="163"/>
      <c r="V66" s="163"/>
      <c r="W66" s="164"/>
    </row>
    <row r="67" ht="16.5" spans="1:23">
      <c r="A67" s="150"/>
      <c r="B67" s="169"/>
      <c r="C67" s="46" t="s">
        <v>25</v>
      </c>
      <c r="D67" s="46">
        <v>1</v>
      </c>
      <c r="E67" s="150"/>
      <c r="F67" s="144">
        <v>1</v>
      </c>
      <c r="G67" s="155">
        <f>COUNTIFS('2026年度培训主表'!B:B,A65,'2026年度培训主表'!C:C,B65,'2026年度培训主表'!D:D,C67)/4</f>
        <v>4</v>
      </c>
      <c r="H67" s="162">
        <f>COUNTIFS('2026年度培训主表'!B:B,A65,'2026年度培训主表'!C:C,B65,'2026年度培训主表'!D:D,C67,'2026年度培训主表'!L:L,"已签到")/4/G67</f>
        <v>0.75</v>
      </c>
      <c r="I67" s="157">
        <f>AVERAGEIFS('2026年度培训主表'!S:S,'2026年度培训主表'!B:B,A65,'2026年度培训主表'!C:C,B65,'2026年度培训主表'!D:D,C67,'2026年度培训主表'!L:L,"已签到")</f>
        <v>74.3333333333333</v>
      </c>
      <c r="J67" s="158">
        <f>AVERAGEIFS('2026年度培训主表'!R:R,'2026年度培训主表'!B:B,A65,'2026年度培训主表'!C:C,B65,'2026年度培训主表'!D:D,C67,'2026年度培训主表'!L:L,"已签到")</f>
        <v>5</v>
      </c>
      <c r="K67" s="158">
        <f>AVERAGEIFS('2026年度培训主表'!Q:Q,'2026年度培训主表'!B:B,A65,'2026年度培训主表'!C:C,B65,'2026年度培训主表'!D:D,C67,'2026年度培训主表'!L:L,"已签到")</f>
        <v>5</v>
      </c>
      <c r="L67" s="46"/>
      <c r="M67" s="46"/>
      <c r="N67" s="46"/>
      <c r="O67" s="165"/>
      <c r="P67" s="165"/>
      <c r="Q67" s="166"/>
      <c r="R67" s="165"/>
      <c r="S67" s="165"/>
      <c r="T67" s="166"/>
      <c r="U67" s="165"/>
      <c r="V67" s="165"/>
      <c r="W67" s="166"/>
    </row>
    <row r="68" ht="16.5" spans="1:23">
      <c r="A68" s="146" t="s">
        <v>45</v>
      </c>
      <c r="B68" s="167" t="s">
        <v>35</v>
      </c>
      <c r="C68" s="46" t="s">
        <v>27</v>
      </c>
      <c r="D68" s="46">
        <v>1</v>
      </c>
      <c r="E68" s="146">
        <f>SUM(D68:D70)</f>
        <v>7</v>
      </c>
      <c r="F68" s="144">
        <v>1</v>
      </c>
      <c r="G68" s="155">
        <f>COUNTIFS('2026年度培训主表'!B:B,A68,'2026年度培训主表'!C:C,B68,'2026年度培训主表'!D:D,C68)/3</f>
        <v>6</v>
      </c>
      <c r="H68" s="162">
        <f>COUNTIFS('2026年度培训主表'!B:B,A68,'2026年度培训主表'!C:C,B68,'2026年度培训主表'!D:D,C68,'2026年度培训主表'!L:L,"已签到")/3/G68</f>
        <v>0.5</v>
      </c>
      <c r="I68" s="157">
        <f>AVERAGEIFS('2026年度培训主表'!S:S,'2026年度培训主表'!B:B,A68,'2026年度培训主表'!C:C,B68,'2026年度培训主表'!D:D,C68,'2026年度培训主表'!L:L,"已签到")</f>
        <v>86.3333333333333</v>
      </c>
      <c r="J68" s="158">
        <f>AVERAGEIFS('2026年度培训主表'!R:R,'2026年度培训主表'!B:B,A68,'2026年度培训主表'!C:C,B68,'2026年度培训主表'!D:D,C68,'2026年度培训主表'!L:L,"已签到")</f>
        <v>5</v>
      </c>
      <c r="K68" s="158">
        <f>AVERAGEIFS('2026年度培训主表'!Q:Q,'2026年度培训主表'!B:B,A68,'2026年度培训主表'!C:C,B68,'2026年度培训主表'!D:D,C68,'2026年度培训主表'!L:L,"已签到")</f>
        <v>5</v>
      </c>
      <c r="L68" s="46"/>
      <c r="M68" s="46"/>
      <c r="N68" s="46"/>
      <c r="O68" s="159" cm="1">
        <f t="array" ref="O68">IF($B68="西南总部",SUM(SUMIFS([6]汇总表!D:D,[6]汇总表!$A:$A,{"营业一部","营业二部","营业三部","营业四部","营业五部","营业六部","营业七部"})),IF($B68="湖北",SUM(SUMIFS([6]汇总表!D:D,[6]汇总表!$A:$A,{"湖北1部","湖北2部"})),IF($B68="陕西",SUM(SUMIFS([6]汇总表!D:D,[6]汇总表!$A:$A,{"陕西1部","陕西2部"})),SUMIFS([6]汇总表!D:D,[6]汇总表!$A:$A,$B68&amp;"销售部"))))</f>
        <v>1005</v>
      </c>
      <c r="P68" s="160" cm="1">
        <f t="array" ref="P68">IF($B68="西南总部",SUM(SUMIFS([6]汇总表!E:E,[6]汇总表!$A:$A,{"营业一部","营业二部","营业三部","营业四部","营业五部","营业六部","营业七部"})),IF($B68="湖北",SUM(SUMIFS([6]汇总表!E:E,[6]汇总表!$A:$A,{"湖北1部","湖北2部"})),IF($B68="陕西",SUM(SUMIFS([6]汇总表!E:E,[6]汇总表!$A:$A,{"陕西1部","陕西2部"})),SUMIFS([6]汇总表!E:E,[6]汇总表!$A:$A,$B68&amp;"销售部"))))</f>
        <v>965</v>
      </c>
      <c r="Q68" s="161">
        <f>IFERROR(P68/O68,0)</f>
        <v>0.960199004975124</v>
      </c>
      <c r="R68" s="160" cm="1">
        <f t="array" ref="R68">IF($B68="西南总部",SUM(SUMIFS([6]汇总表!H:H,[6]汇总表!$A:$A,{"营业一部","营业二部","营业三部","营业四部","营业五部","营业六部","营业七部"})),IF($B68="湖北",SUM(SUMIFS([6]汇总表!H:H,[6]汇总表!$A:$A,{"湖北1部","湖北2部"})),IF($B68="陕西",SUM(SUMIFS([6]汇总表!H:H,[6]汇总表!$A:$A,{"陕西1部","陕西2部"})),SUMIFS([6]汇总表!H:H,[6]汇总表!$A:$A,$B68&amp;"销售部"))))</f>
        <v>150</v>
      </c>
      <c r="S68" s="160" cm="1">
        <f t="array" ref="S68">IF($B68="西南总部",SUM(SUMIFS([6]汇总表!I:I,[6]汇总表!$A:$A,{"营业一部","营业二部","营业三部","营业四部","营业五部","营业六部","营业七部"})),IF($B68="湖北",SUM(SUMIFS([6]汇总表!I:I,[6]汇总表!$A:$A,{"湖北1部","湖北2部"})),IF($B68="陕西",SUM(SUMIFS([6]汇总表!I:I,[6]汇总表!$A:$A,{"陕西1部","陕西2部"})),SUMIFS([6]汇总表!I:I,[6]汇总表!$A:$A,$B68&amp;"销售部"))))</f>
        <v>149</v>
      </c>
      <c r="T68" s="161">
        <f>IFERROR(S68/R68,0)</f>
        <v>0.993333333333333</v>
      </c>
      <c r="U68" s="160" cm="1">
        <f t="array" ref="U68">IF($B68="西南总部",SUM(SUMIFS([6]汇总表!L:L,[6]汇总表!$A:$A,{"营业一部","营业二部","营业三部","营业四部","营业五部","营业六部","营业七部"})),IF($B68="湖北",SUM(SUMIFS([6]汇总表!L:L,[6]汇总表!$A:$A,{"湖北1部","湖北2部"})),IF($B68="陕西",SUM(SUMIFS([6]汇总表!L:L,[6]汇总表!$A:$A,{"陕西1部","陕西2部"})),SUMIFS([6]汇总表!L:L,[6]汇总表!$A:$A,$B68&amp;"销售部"))))</f>
        <v>40</v>
      </c>
      <c r="V68" s="160" cm="1">
        <f t="array" ref="V68">IF($B68="西南总部",SUM(SUMIFS([6]汇总表!M:M,[6]汇总表!$A:$A,{"营业一部","营业二部","营业三部","营业四部","营业五部","营业六部","营业七部"})),IF($B68="湖北",SUM(SUMIFS([6]汇总表!M:M,[6]汇总表!$A:$A,{"湖北1部","湖北2部"})),IF($B68="陕西",SUM(SUMIFS([6]汇总表!M:M,[6]汇总表!$A:$A,{"陕西1部","陕西2部"})),SUMIFS([6]汇总表!M:M,[6]汇总表!$A:$A,$B68&amp;"销售部"))))</f>
        <v>40</v>
      </c>
      <c r="W68" s="161">
        <f>IFERROR(V68/U68,0)</f>
        <v>1</v>
      </c>
    </row>
    <row r="69" ht="16.5" spans="1:23">
      <c r="A69" s="148"/>
      <c r="B69" s="168"/>
      <c r="C69" s="46" t="s">
        <v>30</v>
      </c>
      <c r="D69" s="46">
        <v>5</v>
      </c>
      <c r="E69" s="148"/>
      <c r="F69" s="144">
        <v>1</v>
      </c>
      <c r="G69" s="155">
        <f>COUNTIFS('2026年度培训主表'!B:B,A68,'2026年度培训主表'!C:C,B68,'2026年度培训主表'!D:D,C69)/6</f>
        <v>1</v>
      </c>
      <c r="H69" s="162">
        <f>COUNTIFS('2026年度培训主表'!B:B,A68,'2026年度培训主表'!C:C,B68,'2026年度培训主表'!D:D,C69,'2026年度培训主表'!L:L,"已签到")/6/G69</f>
        <v>1</v>
      </c>
      <c r="I69" s="157">
        <f>AVERAGEIFS('2026年度培训主表'!S:S,'2026年度培训主表'!B:B,A68,'2026年度培训主表'!C:C,B68,'2026年度培训主表'!D:D,C69,'2026年度培训主表'!L:L,"已签到")</f>
        <v>55</v>
      </c>
      <c r="J69" s="158">
        <f>AVERAGEIFS('2026年度培训主表'!R:R,'2026年度培训主表'!B:B,A68,'2026年度培训主表'!C:C,B68,'2026年度培训主表'!D:D,C69,'2026年度培训主表'!L:L,"已签到")</f>
        <v>4.16666666666667</v>
      </c>
      <c r="K69" s="158">
        <f>AVERAGEIFS('2026年度培训主表'!Q:Q,'2026年度培训主表'!B:B,A68,'2026年度培训主表'!C:C,B68,'2026年度培训主表'!D:D,C69,'2026年度培训主表'!L:L,"已签到")</f>
        <v>4.16666666666667</v>
      </c>
      <c r="L69" s="46"/>
      <c r="M69" s="46"/>
      <c r="N69" s="46"/>
      <c r="O69" s="163"/>
      <c r="P69" s="163"/>
      <c r="Q69" s="164"/>
      <c r="R69" s="163"/>
      <c r="S69" s="163"/>
      <c r="T69" s="164"/>
      <c r="U69" s="163"/>
      <c r="V69" s="163"/>
      <c r="W69" s="164"/>
    </row>
    <row r="70" ht="16.5" spans="1:23">
      <c r="A70" s="150"/>
      <c r="B70" s="169"/>
      <c r="C70" s="46" t="s">
        <v>25</v>
      </c>
      <c r="D70" s="46">
        <v>1</v>
      </c>
      <c r="E70" s="150"/>
      <c r="F70" s="144">
        <v>1</v>
      </c>
      <c r="G70" s="155">
        <f>COUNTIFS('2026年度培训主表'!B:B,A68,'2026年度培训主表'!C:C,B68,'2026年度培训主表'!D:D,C70)/4</f>
        <v>3</v>
      </c>
      <c r="H70" s="162">
        <f>COUNTIFS('2026年度培训主表'!B:B,A68,'2026年度培训主表'!C:C,B68,'2026年度培训主表'!D:D,C70,'2026年度培训主表'!L:L,"已签到")/4/G70</f>
        <v>1</v>
      </c>
      <c r="I70" s="157">
        <f>AVERAGEIFS('2026年度培训主表'!S:S,'2026年度培训主表'!B:B,A68,'2026年度培训主表'!C:C,B68,'2026年度培训主表'!D:D,C70,'2026年度培训主表'!L:L,"已签到")</f>
        <v>80.6666666666667</v>
      </c>
      <c r="J70" s="158">
        <f>AVERAGEIFS('2026年度培训主表'!R:R,'2026年度培训主表'!B:B,A68,'2026年度培训主表'!C:C,B68,'2026年度培训主表'!D:D,C70,'2026年度培训主表'!L:L,"已签到")</f>
        <v>4.96666666666667</v>
      </c>
      <c r="K70" s="158">
        <f>AVERAGEIFS('2026年度培训主表'!Q:Q,'2026年度培训主表'!B:B,A68,'2026年度培训主表'!C:C,B68,'2026年度培训主表'!D:D,C70,'2026年度培训主表'!L:L,"已签到")</f>
        <v>5</v>
      </c>
      <c r="L70" s="46"/>
      <c r="M70" s="46"/>
      <c r="N70" s="46"/>
      <c r="O70" s="165"/>
      <c r="P70" s="165"/>
      <c r="Q70" s="166"/>
      <c r="R70" s="165"/>
      <c r="S70" s="165"/>
      <c r="T70" s="166"/>
      <c r="U70" s="165"/>
      <c r="V70" s="165"/>
      <c r="W70" s="166"/>
    </row>
    <row r="71" ht="16.5" spans="1:23">
      <c r="A71" s="146" t="s">
        <v>45</v>
      </c>
      <c r="B71" s="167" t="s">
        <v>26</v>
      </c>
      <c r="C71" s="46" t="s">
        <v>27</v>
      </c>
      <c r="D71" s="46">
        <v>1</v>
      </c>
      <c r="E71" s="146">
        <f>SUM(D71:D73)</f>
        <v>7</v>
      </c>
      <c r="F71" s="144">
        <v>1</v>
      </c>
      <c r="G71" s="155">
        <f>COUNTIFS('2026年度培训主表'!B:B,A71,'2026年度培训主表'!C:C,B71,'2026年度培训主表'!D:D,C71)/3</f>
        <v>4</v>
      </c>
      <c r="H71" s="162">
        <f>COUNTIFS('2026年度培训主表'!B:B,A71,'2026年度培训主表'!C:C,B71,'2026年度培训主表'!D:D,C71,'2026年度培训主表'!L:L,"已签到")/3/G71</f>
        <v>0.5</v>
      </c>
      <c r="I71" s="157">
        <f>AVERAGEIFS('2026年度培训主表'!S:S,'2026年度培训主表'!B:B,A71,'2026年度培训主表'!C:C,B71,'2026年度培训主表'!D:D,C71,'2026年度培训主表'!L:L,"已签到")</f>
        <v>97.3333333333333</v>
      </c>
      <c r="J71" s="158">
        <f>AVERAGEIFS('2026年度培训主表'!R:R,'2026年度培训主表'!B:B,A71,'2026年度培训主表'!C:C,B71,'2026年度培训主表'!D:D,C71,'2026年度培训主表'!L:L,"已签到")</f>
        <v>4.16666666666667</v>
      </c>
      <c r="K71" s="158">
        <f>AVERAGEIFS('2026年度培训主表'!Q:Q,'2026年度培训主表'!B:B,A71,'2026年度培训主表'!C:C,B71,'2026年度培训主表'!D:D,C71,'2026年度培训主表'!L:L,"已签到")</f>
        <v>4.16666666666667</v>
      </c>
      <c r="L71" s="46"/>
      <c r="M71" s="46"/>
      <c r="N71" s="46"/>
      <c r="O71" s="159" cm="1">
        <f t="array" ref="O71">IF($B71="西南总部",SUM(SUMIFS([6]汇总表!D:D,[6]汇总表!$A:$A,{"营业一部","营业二部","营业三部","营业四部","营业五部","营业六部","营业七部"})),IF($B71="湖北",SUM(SUMIFS([6]汇总表!D:D,[6]汇总表!$A:$A,{"湖北1部","湖北2部"})),IF($B71="陕西",SUM(SUMIFS([6]汇总表!D:D,[6]汇总表!$A:$A,{"陕西1部","陕西2部"})),SUMIFS([6]汇总表!D:D,[6]汇总表!$A:$A,$B71&amp;"销售部"))))</f>
        <v>425</v>
      </c>
      <c r="P71" s="160" cm="1">
        <f t="array" ref="P71">IF($B71="西南总部",SUM(SUMIFS([6]汇总表!E:E,[6]汇总表!$A:$A,{"营业一部","营业二部","营业三部","营业四部","营业五部","营业六部","营业七部"})),IF($B71="湖北",SUM(SUMIFS([6]汇总表!E:E,[6]汇总表!$A:$A,{"湖北1部","湖北2部"})),IF($B71="陕西",SUM(SUMIFS([6]汇总表!E:E,[6]汇总表!$A:$A,{"陕西1部","陕西2部"})),SUMIFS([6]汇总表!E:E,[6]汇总表!$A:$A,$B71&amp;"销售部"))))</f>
        <v>407</v>
      </c>
      <c r="Q71" s="161">
        <f>IFERROR(P71/O71,0)</f>
        <v>0.957647058823529</v>
      </c>
      <c r="R71" s="160" cm="1">
        <f t="array" ref="R71">IF($B71="西南总部",SUM(SUMIFS([6]汇总表!H:H,[6]汇总表!$A:$A,{"营业一部","营业二部","营业三部","营业四部","营业五部","营业六部","营业七部"})),IF($B71="湖北",SUM(SUMIFS([6]汇总表!H:H,[6]汇总表!$A:$A,{"湖北1部","湖北2部"})),IF($B71="陕西",SUM(SUMIFS([6]汇总表!H:H,[6]汇总表!$A:$A,{"陕西1部","陕西2部"})),SUMIFS([6]汇总表!H:H,[6]汇总表!$A:$A,$B71&amp;"销售部"))))</f>
        <v>67</v>
      </c>
      <c r="S71" s="160" cm="1">
        <f t="array" ref="S71">IF($B71="西南总部",SUM(SUMIFS([6]汇总表!I:I,[6]汇总表!$A:$A,{"营业一部","营业二部","营业三部","营业四部","营业五部","营业六部","营业七部"})),IF($B71="湖北",SUM(SUMIFS([6]汇总表!I:I,[6]汇总表!$A:$A,{"湖北1部","湖北2部"})),IF($B71="陕西",SUM(SUMIFS([6]汇总表!I:I,[6]汇总表!$A:$A,{"陕西1部","陕西2部"})),SUMIFS([6]汇总表!I:I,[6]汇总表!$A:$A,$B71&amp;"销售部"))))</f>
        <v>67</v>
      </c>
      <c r="T71" s="161">
        <f>IFERROR(S71/R71,0)</f>
        <v>1</v>
      </c>
      <c r="U71" s="160" cm="1">
        <f t="array" ref="U71">IF($B71="西南总部",SUM(SUMIFS([6]汇总表!L:L,[6]汇总表!$A:$A,{"营业一部","营业二部","营业三部","营业四部","营业五部","营业六部","营业七部"})),IF($B71="湖北",SUM(SUMIFS([6]汇总表!L:L,[6]汇总表!$A:$A,{"湖北1部","湖北2部"})),IF($B71="陕西",SUM(SUMIFS([6]汇总表!L:L,[6]汇总表!$A:$A,{"陕西1部","陕西2部"})),SUMIFS([6]汇总表!L:L,[6]汇总表!$A:$A,$B71&amp;"销售部"))))</f>
        <v>16</v>
      </c>
      <c r="V71" s="160" cm="1">
        <f t="array" ref="V71">IF($B71="西南总部",SUM(SUMIFS([6]汇总表!M:M,[6]汇总表!$A:$A,{"营业一部","营业二部","营业三部","营业四部","营业五部","营业六部","营业七部"})),IF($B71="湖北",SUM(SUMIFS([6]汇总表!M:M,[6]汇总表!$A:$A,{"湖北1部","湖北2部"})),IF($B71="陕西",SUM(SUMIFS([6]汇总表!M:M,[6]汇总表!$A:$A,{"陕西1部","陕西2部"})),SUMIFS([6]汇总表!M:M,[6]汇总表!$A:$A,$B71&amp;"销售部"))))</f>
        <v>16</v>
      </c>
      <c r="W71" s="161">
        <f>IFERROR(V71/U71,0)</f>
        <v>1</v>
      </c>
    </row>
    <row r="72" ht="16.5" spans="1:23">
      <c r="A72" s="148"/>
      <c r="B72" s="168"/>
      <c r="C72" s="46" t="s">
        <v>30</v>
      </c>
      <c r="D72" s="46">
        <v>5</v>
      </c>
      <c r="E72" s="148"/>
      <c r="F72" s="144">
        <v>1</v>
      </c>
      <c r="G72" s="155">
        <f>COUNTIFS('2026年度培训主表'!B:B,A71,'2026年度培训主表'!C:C,B71,'2026年度培训主表'!D:D,C72)/6</f>
        <v>1</v>
      </c>
      <c r="H72" s="162">
        <f>COUNTIFS('2026年度培训主表'!B:B,A71,'2026年度培训主表'!C:C,B71,'2026年度培训主表'!D:D,C72,'2026年度培训主表'!L:L,"已签到")/6/G72</f>
        <v>1</v>
      </c>
      <c r="I72" s="157">
        <f>AVERAGEIFS('2026年度培训主表'!S:S,'2026年度培训主表'!B:B,A71,'2026年度培训主表'!C:C,B71,'2026年度培训主表'!D:D,C72,'2026年度培训主表'!L:L,"已签到")</f>
        <v>56.6666666666667</v>
      </c>
      <c r="J72" s="158">
        <f>AVERAGEIFS('2026年度培训主表'!R:R,'2026年度培训主表'!B:B,A71,'2026年度培训主表'!C:C,B71,'2026年度培训主表'!D:D,C72,'2026年度培训主表'!L:L,"已签到")</f>
        <v>4.16666666666667</v>
      </c>
      <c r="K72" s="158">
        <f>AVERAGEIFS('2026年度培训主表'!Q:Q,'2026年度培训主表'!B:B,A71,'2026年度培训主表'!C:C,B71,'2026年度培训主表'!D:D,C72,'2026年度培训主表'!L:L,"已签到")</f>
        <v>4.16666666666667</v>
      </c>
      <c r="L72" s="46"/>
      <c r="M72" s="46"/>
      <c r="N72" s="46"/>
      <c r="O72" s="163"/>
      <c r="P72" s="163"/>
      <c r="Q72" s="164"/>
      <c r="R72" s="163"/>
      <c r="S72" s="163"/>
      <c r="T72" s="164"/>
      <c r="U72" s="163"/>
      <c r="V72" s="163"/>
      <c r="W72" s="164"/>
    </row>
    <row r="73" ht="16.5" spans="1:23">
      <c r="A73" s="150"/>
      <c r="B73" s="169"/>
      <c r="C73" s="46" t="s">
        <v>25</v>
      </c>
      <c r="D73" s="46">
        <v>1</v>
      </c>
      <c r="E73" s="150"/>
      <c r="F73" s="144">
        <v>1</v>
      </c>
      <c r="G73" s="155">
        <f>COUNTIFS('2026年度培训主表'!B:B,A71,'2026年度培训主表'!C:C,B71,'2026年度培训主表'!D:D,C73)/4</f>
        <v>4.5</v>
      </c>
      <c r="H73" s="162">
        <f>COUNTIFS('2026年度培训主表'!B:B,A71,'2026年度培训主表'!C:C,B71,'2026年度培训主表'!D:D,C73,'2026年度培训主表'!L:L,"已签到")/4/G73</f>
        <v>0.555555555555556</v>
      </c>
      <c r="I73" s="157">
        <f>AVERAGEIFS('2026年度培训主表'!S:S,'2026年度培训主表'!B:B,A71,'2026年度培训主表'!C:C,B71,'2026年度培训主表'!D:D,C73,'2026年度培训主表'!L:L,"已签到")</f>
        <v>79.4</v>
      </c>
      <c r="J73" s="158">
        <f>AVERAGEIFS('2026年度培训主表'!R:R,'2026年度培训主表'!B:B,A71,'2026年度培训主表'!C:C,B71,'2026年度培训主表'!D:D,C73,'2026年度培训主表'!L:L,"已签到")</f>
        <v>4.48</v>
      </c>
      <c r="K73" s="158">
        <f>AVERAGEIFS('2026年度培训主表'!Q:Q,'2026年度培训主表'!B:B,A71,'2026年度培训主表'!C:C,B71,'2026年度培训主表'!D:D,C73,'2026年度培训主表'!L:L,"已签到")</f>
        <v>4.425</v>
      </c>
      <c r="L73" s="46"/>
      <c r="M73" s="46"/>
      <c r="N73" s="46"/>
      <c r="O73" s="165"/>
      <c r="P73" s="165"/>
      <c r="Q73" s="166"/>
      <c r="R73" s="165"/>
      <c r="S73" s="165"/>
      <c r="T73" s="166"/>
      <c r="U73" s="165"/>
      <c r="V73" s="165"/>
      <c r="W73" s="166"/>
    </row>
    <row r="74" ht="16.5" spans="1:23">
      <c r="A74" s="146" t="s">
        <v>45</v>
      </c>
      <c r="B74" s="167" t="s">
        <v>24</v>
      </c>
      <c r="C74" s="46" t="s">
        <v>27</v>
      </c>
      <c r="D74" s="46">
        <v>0</v>
      </c>
      <c r="E74" s="146">
        <f>SUM(D74:D76)</f>
        <v>6</v>
      </c>
      <c r="F74" s="144">
        <v>1</v>
      </c>
      <c r="G74" s="155">
        <f>COUNTIFS('2026年度培训主表'!B:B,A74,'2026年度培训主表'!C:C,B74,'2026年度培训主表'!D:D,C74)/3</f>
        <v>0</v>
      </c>
      <c r="H74" s="162">
        <v>1</v>
      </c>
      <c r="I74" s="157">
        <v>0</v>
      </c>
      <c r="J74" s="158">
        <v>0</v>
      </c>
      <c r="K74" s="158">
        <v>0</v>
      </c>
      <c r="L74" s="46"/>
      <c r="M74" s="46"/>
      <c r="N74" s="46"/>
      <c r="O74" s="159" cm="1">
        <f t="array" ref="O74">IF($B74="西南总部",SUM(SUMIFS([6]汇总表!D:D,[6]汇总表!$A:$A,{"营业一部","营业二部","营业三部","营业四部","营业五部","营业六部","营业七部"})),IF($B74="湖北",SUM(SUMIFS([6]汇总表!D:D,[6]汇总表!$A:$A,{"湖北1部","湖北2部"})),IF($B74="陕西",SUM(SUMIFS([6]汇总表!D:D,[6]汇总表!$A:$A,{"陕西1部","陕西2部"})),SUMIFS([6]汇总表!D:D,[6]汇总表!$A:$A,$B74&amp;"销售部"))))</f>
        <v>104</v>
      </c>
      <c r="P74" s="160" cm="1">
        <f t="array" ref="P74">IF($B74="西南总部",SUM(SUMIFS([6]汇总表!E:E,[6]汇总表!$A:$A,{"营业一部","营业二部","营业三部","营业四部","营业五部","营业六部","营业七部"})),IF($B74="湖北",SUM(SUMIFS([6]汇总表!E:E,[6]汇总表!$A:$A,{"湖北1部","湖北2部"})),IF($B74="陕西",SUM(SUMIFS([6]汇总表!E:E,[6]汇总表!$A:$A,{"陕西1部","陕西2部"})),SUMIFS([6]汇总表!E:E,[6]汇总表!$A:$A,$B74&amp;"销售部"))))</f>
        <v>101</v>
      </c>
      <c r="Q74" s="161">
        <f>IFERROR(P74/O74,0)</f>
        <v>0.971153846153846</v>
      </c>
      <c r="R74" s="160" cm="1">
        <f t="array" ref="R74">IF($B74="西南总部",SUM(SUMIFS([6]汇总表!H:H,[6]汇总表!$A:$A,{"营业一部","营业二部","营业三部","营业四部","营业五部","营业六部","营业七部"})),IF($B74="湖北",SUM(SUMIFS([6]汇总表!H:H,[6]汇总表!$A:$A,{"湖北1部","湖北2部"})),IF($B74="陕西",SUM(SUMIFS([6]汇总表!H:H,[6]汇总表!$A:$A,{"陕西1部","陕西2部"})),SUMIFS([6]汇总表!H:H,[6]汇总表!$A:$A,$B74&amp;"销售部"))))</f>
        <v>15</v>
      </c>
      <c r="S74" s="160" cm="1">
        <f t="array" ref="S74">IF($B74="西南总部",SUM(SUMIFS([6]汇总表!I:I,[6]汇总表!$A:$A,{"营业一部","营业二部","营业三部","营业四部","营业五部","营业六部","营业七部"})),IF($B74="湖北",SUM(SUMIFS([6]汇总表!I:I,[6]汇总表!$A:$A,{"湖北1部","湖北2部"})),IF($B74="陕西",SUM(SUMIFS([6]汇总表!I:I,[6]汇总表!$A:$A,{"陕西1部","陕西2部"})),SUMIFS([6]汇总表!I:I,[6]汇总表!$A:$A,$B74&amp;"销售部"))))</f>
        <v>15</v>
      </c>
      <c r="T74" s="161">
        <f>IFERROR(S74/R74,0)</f>
        <v>1</v>
      </c>
      <c r="U74" s="160" cm="1">
        <f t="array" ref="U74">IF($B74="西南总部",SUM(SUMIFS([6]汇总表!L:L,[6]汇总表!$A:$A,{"营业一部","营业二部","营业三部","营业四部","营业五部","营业六部","营业七部"})),IF($B74="湖北",SUM(SUMIFS([6]汇总表!L:L,[6]汇总表!$A:$A,{"湖北1部","湖北2部"})),IF($B74="陕西",SUM(SUMIFS([6]汇总表!L:L,[6]汇总表!$A:$A,{"陕西1部","陕西2部"})),SUMIFS([6]汇总表!L:L,[6]汇总表!$A:$A,$B74&amp;"销售部"))))</f>
        <v>4</v>
      </c>
      <c r="V74" s="160" cm="1">
        <f t="array" ref="V74">IF($B74="西南总部",SUM(SUMIFS([6]汇总表!M:M,[6]汇总表!$A:$A,{"营业一部","营业二部","营业三部","营业四部","营业五部","营业六部","营业七部"})),IF($B74="湖北",SUM(SUMIFS([6]汇总表!M:M,[6]汇总表!$A:$A,{"湖北1部","湖北2部"})),IF($B74="陕西",SUM(SUMIFS([6]汇总表!M:M,[6]汇总表!$A:$A,{"陕西1部","陕西2部"})),SUMIFS([6]汇总表!M:M,[6]汇总表!$A:$A,$B74&amp;"销售部"))))</f>
        <v>4</v>
      </c>
      <c r="W74" s="161">
        <f>IFERROR(V74/U74,0)</f>
        <v>1</v>
      </c>
    </row>
    <row r="75" ht="16.5" spans="1:23">
      <c r="A75" s="148"/>
      <c r="B75" s="168"/>
      <c r="C75" s="46" t="s">
        <v>30</v>
      </c>
      <c r="D75" s="46">
        <v>5</v>
      </c>
      <c r="E75" s="148"/>
      <c r="F75" s="144">
        <v>1</v>
      </c>
      <c r="G75" s="155">
        <f>COUNTIFS('2026年度培训主表'!B:B,A74,'2026年度培训主表'!C:C,B74,'2026年度培训主表'!D:D,C75)/6</f>
        <v>1.66666666666667</v>
      </c>
      <c r="H75" s="162">
        <f>COUNTIFS('2026年度培训主表'!B:B,A74,'2026年度培训主表'!C:C,B74,'2026年度培训主表'!D:D,C75,'2026年度培训主表'!L:L,"已签到")/6/G75</f>
        <v>1</v>
      </c>
      <c r="I75" s="157">
        <f>AVERAGEIFS('2026年度培训主表'!S:S,'2026年度培训主表'!B:B,A74,'2026年度培训主表'!C:C,B74,'2026年度培训主表'!D:D,C75,'2026年度培训主表'!L:L,"已签到")</f>
        <v>52</v>
      </c>
      <c r="J75" s="158">
        <f>AVERAGEIFS('2026年度培训主表'!R:R,'2026年度培训主表'!B:B,A74,'2026年度培训主表'!C:C,B74,'2026年度培训主表'!D:D,C75,'2026年度培训主表'!L:L,"已签到")</f>
        <v>3.5</v>
      </c>
      <c r="K75" s="158">
        <f>AVERAGEIFS('2026年度培训主表'!Q:Q,'2026年度培训主表'!B:B,A74,'2026年度培训主表'!C:C,B74,'2026年度培训主表'!D:D,C75,'2026年度培训主表'!L:L,"已签到")</f>
        <v>3.475</v>
      </c>
      <c r="L75" s="46"/>
      <c r="M75" s="46"/>
      <c r="N75" s="46"/>
      <c r="O75" s="163"/>
      <c r="P75" s="163"/>
      <c r="Q75" s="164"/>
      <c r="R75" s="163"/>
      <c r="S75" s="163"/>
      <c r="T75" s="164"/>
      <c r="U75" s="163"/>
      <c r="V75" s="163"/>
      <c r="W75" s="164"/>
    </row>
    <row r="76" ht="16.5" spans="1:23">
      <c r="A76" s="150"/>
      <c r="B76" s="169"/>
      <c r="C76" s="46" t="s">
        <v>25</v>
      </c>
      <c r="D76" s="46">
        <v>1</v>
      </c>
      <c r="E76" s="150"/>
      <c r="F76" s="144">
        <v>1</v>
      </c>
      <c r="G76" s="155">
        <f>COUNTIFS('2026年度培训主表'!B:B,A74,'2026年度培训主表'!C:C,B74,'2026年度培训主表'!D:D,C76)/4</f>
        <v>1</v>
      </c>
      <c r="H76" s="162">
        <f>COUNTIFS('2026年度培训主表'!B:B,A74,'2026年度培训主表'!C:C,B74,'2026年度培训主表'!D:D,C76,'2026年度培训主表'!L:L,"已签到")/4/G76</f>
        <v>1</v>
      </c>
      <c r="I76" s="157">
        <f>AVERAGEIFS('2026年度培训主表'!S:S,'2026年度培训主表'!B:B,A74,'2026年度培训主表'!C:C,B74,'2026年度培训主表'!D:D,C76,'2026年度培训主表'!L:L,"已签到")</f>
        <v>71.5</v>
      </c>
      <c r="J76" s="158">
        <f>AVERAGEIFS('2026年度培训主表'!R:R,'2026年度培训主表'!B:B,A74,'2026年度培训主表'!C:C,B74,'2026年度培训主表'!D:D,C76,'2026年度培训主表'!L:L,"已签到")</f>
        <v>0</v>
      </c>
      <c r="K76" s="158">
        <f>AVERAGEIFS('2026年度培训主表'!Q:Q,'2026年度培训主表'!B:B,A74,'2026年度培训主表'!C:C,B74,'2026年度培训主表'!D:D,C76,'2026年度培训主表'!L:L,"已签到")</f>
        <v>0</v>
      </c>
      <c r="L76" s="46"/>
      <c r="M76" s="46"/>
      <c r="N76" s="46"/>
      <c r="O76" s="165"/>
      <c r="P76" s="165"/>
      <c r="Q76" s="166"/>
      <c r="R76" s="165"/>
      <c r="S76" s="165"/>
      <c r="T76" s="166"/>
      <c r="U76" s="165"/>
      <c r="V76" s="165"/>
      <c r="W76" s="166"/>
    </row>
    <row r="77" ht="16.5" spans="1:23">
      <c r="A77" s="146" t="s">
        <v>45</v>
      </c>
      <c r="B77" s="167" t="s">
        <v>33</v>
      </c>
      <c r="C77" s="46" t="s">
        <v>27</v>
      </c>
      <c r="D77" s="46">
        <v>1</v>
      </c>
      <c r="E77" s="146">
        <f>SUM(D77:D79)</f>
        <v>2</v>
      </c>
      <c r="F77" s="144">
        <v>1</v>
      </c>
      <c r="G77" s="155">
        <f>COUNTIFS('2026年度培训主表'!B:B,A77,'2026年度培训主表'!C:C,B77,'2026年度培训主表'!D:D,C77)/3</f>
        <v>2</v>
      </c>
      <c r="H77" s="162">
        <f>COUNTIFS('2026年度培训主表'!B:B,A77,'2026年度培训主表'!C:C,B77,'2026年度培训主表'!D:D,C77,'2026年度培训主表'!L:L,"已签到")/3/G77</f>
        <v>1</v>
      </c>
      <c r="I77" s="157">
        <f>AVERAGEIFS('2026年度培训主表'!S:S,'2026年度培训主表'!B:B,A77,'2026年度培训主表'!C:C,B77,'2026年度培训主表'!D:D,C77,'2026年度培训主表'!L:L,"已签到")</f>
        <v>90</v>
      </c>
      <c r="J77" s="158">
        <f>AVERAGEIFS('2026年度培训主表'!R:R,'2026年度培训主表'!B:B,A77,'2026年度培训主表'!C:C,B77,'2026年度培训主表'!D:D,C77,'2026年度培训主表'!L:L,"已签到")</f>
        <v>2.5</v>
      </c>
      <c r="K77" s="158">
        <f>AVERAGEIFS('2026年度培训主表'!Q:Q,'2026年度培训主表'!B:B,A77,'2026年度培训主表'!C:C,B77,'2026年度培训主表'!D:D,C77,'2026年度培训主表'!L:L,"已签到")</f>
        <v>2.5</v>
      </c>
      <c r="L77" s="46"/>
      <c r="M77" s="46"/>
      <c r="N77" s="46"/>
      <c r="O77" s="159" cm="1">
        <f t="array" ref="O77">IF($B77="西南总部",SUM(SUMIFS([6]汇总表!D:D,[6]汇总表!$A:$A,{"营业一部","营业二部","营业三部","营业四部","营业五部","营业六部","营业七部"})),IF($B77="湖北",SUM(SUMIFS([6]汇总表!D:D,[6]汇总表!$A:$A,{"湖北1部","湖北2部"})),IF($B77="陕西",SUM(SUMIFS([6]汇总表!D:D,[6]汇总表!$A:$A,{"陕西1部","陕西2部"})),SUMIFS([6]汇总表!D:D,[6]汇总表!$A:$A,$B77&amp;"销售部"))))</f>
        <v>311</v>
      </c>
      <c r="P77" s="160" cm="1">
        <f t="array" ref="P77">IF($B77="西南总部",SUM(SUMIFS([6]汇总表!E:E,[6]汇总表!$A:$A,{"营业一部","营业二部","营业三部","营业四部","营业五部","营业六部","营业七部"})),IF($B77="湖北",SUM(SUMIFS([6]汇总表!E:E,[6]汇总表!$A:$A,{"湖北1部","湖北2部"})),IF($B77="陕西",SUM(SUMIFS([6]汇总表!E:E,[6]汇总表!$A:$A,{"陕西1部","陕西2部"})),SUMIFS([6]汇总表!E:E,[6]汇总表!$A:$A,$B77&amp;"销售部"))))</f>
        <v>286</v>
      </c>
      <c r="Q77" s="161">
        <f>IFERROR(P77/O77,0)</f>
        <v>0.919614147909968</v>
      </c>
      <c r="R77" s="160" cm="1">
        <f t="array" ref="R77">IF($B77="西南总部",SUM(SUMIFS([6]汇总表!H:H,[6]汇总表!$A:$A,{"营业一部","营业二部","营业三部","营业四部","营业五部","营业六部","营业七部"})),IF($B77="湖北",SUM(SUMIFS([6]汇总表!H:H,[6]汇总表!$A:$A,{"湖北1部","湖北2部"})),IF($B77="陕西",SUM(SUMIFS([6]汇总表!H:H,[6]汇总表!$A:$A,{"陕西1部","陕西2部"})),SUMIFS([6]汇总表!H:H,[6]汇总表!$A:$A,$B77&amp;"销售部"))))</f>
        <v>46</v>
      </c>
      <c r="S77" s="160" cm="1">
        <f t="array" ref="S77">IF($B77="西南总部",SUM(SUMIFS([6]汇总表!I:I,[6]汇总表!$A:$A,{"营业一部","营业二部","营业三部","营业四部","营业五部","营业六部","营业七部"})),IF($B77="湖北",SUM(SUMIFS([6]汇总表!I:I,[6]汇总表!$A:$A,{"湖北1部","湖北2部"})),IF($B77="陕西",SUM(SUMIFS([6]汇总表!I:I,[6]汇总表!$A:$A,{"陕西1部","陕西2部"})),SUMIFS([6]汇总表!I:I,[6]汇总表!$A:$A,$B77&amp;"销售部"))))</f>
        <v>46</v>
      </c>
      <c r="T77" s="161">
        <f>IFERROR(S77/R77,0)</f>
        <v>1</v>
      </c>
      <c r="U77" s="160" cm="1">
        <f t="array" ref="U77">IF($B77="西南总部",SUM(SUMIFS([6]汇总表!L:L,[6]汇总表!$A:$A,{"营业一部","营业二部","营业三部","营业四部","营业五部","营业六部","营业七部"})),IF($B77="湖北",SUM(SUMIFS([6]汇总表!L:L,[6]汇总表!$A:$A,{"湖北1部","湖北2部"})),IF($B77="陕西",SUM(SUMIFS([6]汇总表!L:L,[6]汇总表!$A:$A,{"陕西1部","陕西2部"})),SUMIFS([6]汇总表!L:L,[6]汇总表!$A:$A,$B77&amp;"销售部"))))</f>
        <v>8</v>
      </c>
      <c r="V77" s="160" cm="1">
        <f t="array" ref="V77">IF($B77="西南总部",SUM(SUMIFS([6]汇总表!M:M,[6]汇总表!$A:$A,{"营业一部","营业二部","营业三部","营业四部","营业五部","营业六部","营业七部"})),IF($B77="湖北",SUM(SUMIFS([6]汇总表!M:M,[6]汇总表!$A:$A,{"湖北1部","湖北2部"})),IF($B77="陕西",SUM(SUMIFS([6]汇总表!M:M,[6]汇总表!$A:$A,{"陕西1部","陕西2部"})),SUMIFS([6]汇总表!M:M,[6]汇总表!$A:$A,$B77&amp;"销售部"))))</f>
        <v>8</v>
      </c>
      <c r="W77" s="161">
        <f>IFERROR(V77/U77,0)</f>
        <v>1</v>
      </c>
    </row>
    <row r="78" ht="16.5" spans="1:23">
      <c r="A78" s="148"/>
      <c r="B78" s="168"/>
      <c r="C78" s="46" t="s">
        <v>30</v>
      </c>
      <c r="D78" s="46">
        <v>0</v>
      </c>
      <c r="E78" s="148"/>
      <c r="F78" s="144">
        <v>1</v>
      </c>
      <c r="G78" s="155">
        <f>COUNTIFS('2026年度培训主表'!B:B,A77,'2026年度培训主表'!C:C,B77,'2026年度培训主表'!D:D,C78)/6</f>
        <v>0</v>
      </c>
      <c r="H78" s="162">
        <v>1</v>
      </c>
      <c r="I78" s="157">
        <v>0</v>
      </c>
      <c r="J78" s="158">
        <v>0</v>
      </c>
      <c r="K78" s="158">
        <v>0</v>
      </c>
      <c r="L78" s="46"/>
      <c r="M78" s="46"/>
      <c r="N78" s="46"/>
      <c r="O78" s="163"/>
      <c r="P78" s="163"/>
      <c r="Q78" s="164"/>
      <c r="R78" s="163"/>
      <c r="S78" s="163"/>
      <c r="T78" s="164"/>
      <c r="U78" s="163"/>
      <c r="V78" s="163"/>
      <c r="W78" s="164"/>
    </row>
    <row r="79" ht="16.5" spans="1:23">
      <c r="A79" s="150"/>
      <c r="B79" s="169"/>
      <c r="C79" s="46" t="s">
        <v>25</v>
      </c>
      <c r="D79" s="46">
        <v>1</v>
      </c>
      <c r="E79" s="150"/>
      <c r="F79" s="144">
        <v>1</v>
      </c>
      <c r="G79" s="155">
        <f>COUNTIFS('2026年度培训主表'!B:B,A77,'2026年度培训主表'!C:C,B77,'2026年度培训主表'!D:D,C79)/4</f>
        <v>2</v>
      </c>
      <c r="H79" s="162">
        <f>COUNTIFS('2026年度培训主表'!B:B,A77,'2026年度培训主表'!C:C,B77,'2026年度培训主表'!D:D,C79,'2026年度培训主表'!L:L,"已签到")/4/G79</f>
        <v>1</v>
      </c>
      <c r="I79" s="157">
        <f>AVERAGEIFS('2026年度培训主表'!S:S,'2026年度培训主表'!B:B,A77,'2026年度培训主表'!C:C,B77,'2026年度培训主表'!D:D,C79,'2026年度培训主表'!L:L,"已签到")</f>
        <v>89.25</v>
      </c>
      <c r="J79" s="158">
        <f>AVERAGEIFS('2026年度培训主表'!R:R,'2026年度培训主表'!B:B,A77,'2026年度培训主表'!C:C,B77,'2026年度培训主表'!D:D,C79,'2026年度培训主表'!L:L,"已签到")</f>
        <v>5</v>
      </c>
      <c r="K79" s="158">
        <f>AVERAGEIFS('2026年度培训主表'!Q:Q,'2026年度培训主表'!B:B,A77,'2026年度培训主表'!C:C,B77,'2026年度培训主表'!D:D,C79,'2026年度培训主表'!L:L,"已签到")</f>
        <v>5</v>
      </c>
      <c r="L79" s="46"/>
      <c r="M79" s="46"/>
      <c r="N79" s="46"/>
      <c r="O79" s="165"/>
      <c r="P79" s="165"/>
      <c r="Q79" s="166"/>
      <c r="R79" s="165"/>
      <c r="S79" s="165"/>
      <c r="T79" s="166"/>
      <c r="U79" s="165"/>
      <c r="V79" s="165"/>
      <c r="W79" s="166"/>
    </row>
    <row r="80" ht="16.5" spans="1:23">
      <c r="A80" s="146" t="s">
        <v>45</v>
      </c>
      <c r="B80" s="167" t="s">
        <v>34</v>
      </c>
      <c r="C80" s="46" t="s">
        <v>27</v>
      </c>
      <c r="D80" s="46">
        <v>1</v>
      </c>
      <c r="E80" s="146">
        <f>SUM(D80:D82)</f>
        <v>1</v>
      </c>
      <c r="F80" s="144">
        <v>1</v>
      </c>
      <c r="G80" s="155">
        <f>COUNTIFS('2026年度培训主表'!B:B,A80,'2026年度培训主表'!C:C,B80,'2026年度培训主表'!D:D,C80)/3</f>
        <v>3</v>
      </c>
      <c r="H80" s="162">
        <f>COUNTIFS('2026年度培训主表'!B:B,A80,'2026年度培训主表'!C:C,B80,'2026年度培训主表'!D:D,C80,'2026年度培训主表'!L:L,"已签到")/3/G80</f>
        <v>1</v>
      </c>
      <c r="I80" s="157">
        <f>AVERAGEIFS('2026年度培训主表'!S:S,'2026年度培训主表'!B:B,A80,'2026年度培训主表'!C:C,B80,'2026年度培训主表'!D:D,C80,'2026年度培训主表'!L:L,"已签到")</f>
        <v>88.4444444444444</v>
      </c>
      <c r="J80" s="158">
        <f>AVERAGEIFS('2026年度培训主表'!R:R,'2026年度培训主表'!B:B,A80,'2026年度培训主表'!C:C,B80,'2026年度培训主表'!D:D,C80,'2026年度培训主表'!L:L,"已签到")</f>
        <v>5</v>
      </c>
      <c r="K80" s="158">
        <f>AVERAGEIFS('2026年度培训主表'!Q:Q,'2026年度培训主表'!B:B,A80,'2026年度培训主表'!C:C,B80,'2026年度培训主表'!D:D,C80,'2026年度培训主表'!L:L,"已签到")</f>
        <v>5</v>
      </c>
      <c r="L80" s="46"/>
      <c r="M80" s="46"/>
      <c r="N80" s="46"/>
      <c r="O80" s="159" cm="1">
        <f t="array" ref="O80">IF($B80="西南总部",SUM(SUMIFS([6]汇总表!D:D,[6]汇总表!$A:$A,{"营业一部","营业二部","营业三部","营业四部","营业五部","营业六部","营业七部"})),IF($B80="湖北",SUM(SUMIFS([6]汇总表!D:D,[6]汇总表!$A:$A,{"湖北1部","湖北2部"})),IF($B80="陕西",SUM(SUMIFS([6]汇总表!D:D,[6]汇总表!$A:$A,{"陕西1部","陕西2部"})),SUMIFS([6]汇总表!D:D,[6]汇总表!$A:$A,$B80&amp;"销售部"))))</f>
        <v>81</v>
      </c>
      <c r="P80" s="160" cm="1">
        <f t="array" ref="P80">IF($B80="西南总部",SUM(SUMIFS([6]汇总表!E:E,[6]汇总表!$A:$A,{"营业一部","营业二部","营业三部","营业四部","营业五部","营业六部","营业七部"})),IF($B80="湖北",SUM(SUMIFS([6]汇总表!E:E,[6]汇总表!$A:$A,{"湖北1部","湖北2部"})),IF($B80="陕西",SUM(SUMIFS([6]汇总表!E:E,[6]汇总表!$A:$A,{"陕西1部","陕西2部"})),SUMIFS([6]汇总表!E:E,[6]汇总表!$A:$A,$B80&amp;"销售部"))))</f>
        <v>72</v>
      </c>
      <c r="Q80" s="161">
        <f>IFERROR(P80/O80,0)</f>
        <v>0.888888888888889</v>
      </c>
      <c r="R80" s="160" cm="1">
        <f t="array" ref="R80">IF($B80="西南总部",SUM(SUMIFS([6]汇总表!H:H,[6]汇总表!$A:$A,{"营业一部","营业二部","营业三部","营业四部","营业五部","营业六部","营业七部"})),IF($B80="湖北",SUM(SUMIFS([6]汇总表!H:H,[6]汇总表!$A:$A,{"湖北1部","湖北2部"})),IF($B80="陕西",SUM(SUMIFS([6]汇总表!H:H,[6]汇总表!$A:$A,{"陕西1部","陕西2部"})),SUMIFS([6]汇总表!H:H,[6]汇总表!$A:$A,$B80&amp;"销售部"))))</f>
        <v>12</v>
      </c>
      <c r="S80" s="160" cm="1">
        <f t="array" ref="S80">IF($B80="西南总部",SUM(SUMIFS([6]汇总表!I:I,[6]汇总表!$A:$A,{"营业一部","营业二部","营业三部","营业四部","营业五部","营业六部","营业七部"})),IF($B80="湖北",SUM(SUMIFS([6]汇总表!I:I,[6]汇总表!$A:$A,{"湖北1部","湖北2部"})),IF($B80="陕西",SUM(SUMIFS([6]汇总表!I:I,[6]汇总表!$A:$A,{"陕西1部","陕西2部"})),SUMIFS([6]汇总表!I:I,[6]汇总表!$A:$A,$B80&amp;"销售部"))))</f>
        <v>11</v>
      </c>
      <c r="T80" s="161">
        <f>IFERROR(S80/R80,0)</f>
        <v>0.916666666666667</v>
      </c>
      <c r="U80" s="160" cm="1">
        <f t="array" ref="U80">IF($B80="西南总部",SUM(SUMIFS([6]汇总表!L:L,[6]汇总表!$A:$A,{"营业一部","营业二部","营业三部","营业四部","营业五部","营业六部","营业七部"})),IF($B80="湖北",SUM(SUMIFS([6]汇总表!L:L,[6]汇总表!$A:$A,{"湖北1部","湖北2部"})),IF($B80="陕西",SUM(SUMIFS([6]汇总表!L:L,[6]汇总表!$A:$A,{"陕西1部","陕西2部"})),SUMIFS([6]汇总表!L:L,[6]汇总表!$A:$A,$B80&amp;"销售部"))))</f>
        <v>4</v>
      </c>
      <c r="V80" s="160" cm="1">
        <f t="array" ref="V80">IF($B80="西南总部",SUM(SUMIFS([6]汇总表!M:M,[6]汇总表!$A:$A,{"营业一部","营业二部","营业三部","营业四部","营业五部","营业六部","营业七部"})),IF($B80="湖北",SUM(SUMIFS([6]汇总表!M:M,[6]汇总表!$A:$A,{"湖北1部","湖北2部"})),IF($B80="陕西",SUM(SUMIFS([6]汇总表!M:M,[6]汇总表!$A:$A,{"陕西1部","陕西2部"})),SUMIFS([6]汇总表!M:M,[6]汇总表!$A:$A,$B80&amp;"销售部"))))</f>
        <v>4</v>
      </c>
      <c r="W80" s="161">
        <f>IFERROR(V80/U80,0)</f>
        <v>1</v>
      </c>
    </row>
    <row r="81" ht="16.5" spans="1:23">
      <c r="A81" s="148"/>
      <c r="B81" s="168"/>
      <c r="C81" s="46" t="s">
        <v>30</v>
      </c>
      <c r="D81" s="46">
        <v>0</v>
      </c>
      <c r="E81" s="148"/>
      <c r="F81" s="144">
        <v>1</v>
      </c>
      <c r="G81" s="155">
        <f>COUNTIFS('2026年度培训主表'!B:B,A80,'2026年度培训主表'!C:C,B80,'2026年度培训主表'!D:D,C81)/6</f>
        <v>0</v>
      </c>
      <c r="H81" s="162">
        <v>1</v>
      </c>
      <c r="I81" s="157">
        <v>0</v>
      </c>
      <c r="J81" s="158">
        <v>0</v>
      </c>
      <c r="K81" s="158">
        <v>0</v>
      </c>
      <c r="L81" s="46"/>
      <c r="M81" s="46"/>
      <c r="N81" s="46"/>
      <c r="O81" s="163"/>
      <c r="P81" s="163"/>
      <c r="Q81" s="164"/>
      <c r="R81" s="163"/>
      <c r="S81" s="163"/>
      <c r="T81" s="164"/>
      <c r="U81" s="163"/>
      <c r="V81" s="163"/>
      <c r="W81" s="164"/>
    </row>
    <row r="82" ht="16.5" spans="1:23">
      <c r="A82" s="150"/>
      <c r="B82" s="169"/>
      <c r="C82" s="46" t="s">
        <v>25</v>
      </c>
      <c r="D82" s="46">
        <v>0</v>
      </c>
      <c r="E82" s="150"/>
      <c r="F82" s="144">
        <v>1</v>
      </c>
      <c r="G82" s="155">
        <f>COUNTIFS('2026年度培训主表'!B:B,A82,'2026年度培训主表'!C:C,B82,'2026年度培训主表'!D:D,C82)/3</f>
        <v>0</v>
      </c>
      <c r="H82" s="162">
        <v>1</v>
      </c>
      <c r="I82" s="157">
        <v>0</v>
      </c>
      <c r="J82" s="158">
        <v>0</v>
      </c>
      <c r="K82" s="158">
        <v>0</v>
      </c>
      <c r="L82" s="46"/>
      <c r="M82" s="46"/>
      <c r="N82" s="46"/>
      <c r="O82" s="165"/>
      <c r="P82" s="165"/>
      <c r="Q82" s="166"/>
      <c r="R82" s="165"/>
      <c r="S82" s="165"/>
      <c r="T82" s="166"/>
      <c r="U82" s="165"/>
      <c r="V82" s="165"/>
      <c r="W82" s="166"/>
    </row>
    <row r="83" ht="16.5" spans="1:23">
      <c r="A83" s="146" t="s">
        <v>45</v>
      </c>
      <c r="B83" s="167" t="s">
        <v>36</v>
      </c>
      <c r="C83" s="46" t="s">
        <v>27</v>
      </c>
      <c r="D83" s="46">
        <v>1</v>
      </c>
      <c r="E83" s="146">
        <f>SUM(D83:D85)</f>
        <v>6</v>
      </c>
      <c r="F83" s="144">
        <v>1</v>
      </c>
      <c r="G83" s="155">
        <f>COUNTIFS('2026年度培训主表'!B:B,A83,'2026年度培训主表'!C:C,B83,'2026年度培训主表'!D:D,C83)/3</f>
        <v>7</v>
      </c>
      <c r="H83" s="162">
        <f>COUNTIFS('2026年度培训主表'!B:B,A83,'2026年度培训主表'!C:C,B83,'2026年度培训主表'!D:D,C83,'2026年度培训主表'!L:L,"已签到")/3/G83</f>
        <v>1</v>
      </c>
      <c r="I83" s="157">
        <f>AVERAGEIFS('2026年度培训主表'!S:S,'2026年度培训主表'!B:B,A83,'2026年度培训主表'!C:C,B83,'2026年度培训主表'!D:D,C83,'2026年度培训主表'!L:L,"已签到")</f>
        <v>93.1904761904762</v>
      </c>
      <c r="J83" s="158">
        <f>AVERAGEIFS('2026年度培训主表'!R:R,'2026年度培训主表'!B:B,A83,'2026年度培训主表'!C:C,B83,'2026年度培训主表'!D:D,C83,'2026年度培训主表'!L:L,"已签到")</f>
        <v>5</v>
      </c>
      <c r="K83" s="158">
        <f>AVERAGEIFS('2026年度培训主表'!Q:Q,'2026年度培训主表'!B:B,A83,'2026年度培训主表'!C:C,B83,'2026年度培训主表'!D:D,C83,'2026年度培训主表'!L:L,"已签到")</f>
        <v>5</v>
      </c>
      <c r="L83" s="46"/>
      <c r="M83" s="46"/>
      <c r="N83" s="46"/>
      <c r="O83" s="159" cm="1">
        <f t="array" ref="O83">IF($B83="西南总部",SUM(SUMIFS([6]汇总表!D:D,[6]汇总表!$A:$A,{"营业一部","营业二部","营业三部","营业四部","营业五部","营业六部","营业七部"})),IF($B83="湖北",SUM(SUMIFS([6]汇总表!D:D,[6]汇总表!$A:$A,{"湖北1部","湖北2部"})),IF($B83="陕西",SUM(SUMIFS([6]汇总表!D:D,[6]汇总表!$A:$A,{"陕西1部","陕西2部"})),SUMIFS([6]汇总表!D:D,[6]汇总表!$A:$A,$B83&amp;"销售部"))))</f>
        <v>968</v>
      </c>
      <c r="P83" s="160" cm="1">
        <f t="array" ref="P83">IF($B83="西南总部",SUM(SUMIFS([6]汇总表!E:E,[6]汇总表!$A:$A,{"营业一部","营业二部","营业三部","营业四部","营业五部","营业六部","营业七部"})),IF($B83="湖北",SUM(SUMIFS([6]汇总表!E:E,[6]汇总表!$A:$A,{"湖北1部","湖北2部"})),IF($B83="陕西",SUM(SUMIFS([6]汇总表!E:E,[6]汇总表!$A:$A,{"陕西1部","陕西2部"})),SUMIFS([6]汇总表!E:E,[6]汇总表!$A:$A,$B83&amp;"销售部"))))</f>
        <v>928</v>
      </c>
      <c r="Q83" s="161">
        <f>IFERROR(P83/O83,0)</f>
        <v>0.958677685950413</v>
      </c>
      <c r="R83" s="160" cm="1">
        <f t="array" ref="R83">IF($B83="西南总部",SUM(SUMIFS([6]汇总表!H:H,[6]汇总表!$A:$A,{"营业一部","营业二部","营业三部","营业四部","营业五部","营业六部","营业七部"})),IF($B83="湖北",SUM(SUMIFS([6]汇总表!H:H,[6]汇总表!$A:$A,{"湖北1部","湖北2部"})),IF($B83="陕西",SUM(SUMIFS([6]汇总表!H:H,[6]汇总表!$A:$A,{"陕西1部","陕西2部"})),SUMIFS([6]汇总表!H:H,[6]汇总表!$A:$A,$B83&amp;"销售部"))))</f>
        <v>142</v>
      </c>
      <c r="S83" s="160" cm="1">
        <f t="array" ref="S83">IF($B83="西南总部",SUM(SUMIFS([6]汇总表!I:I,[6]汇总表!$A:$A,{"营业一部","营业二部","营业三部","营业四部","营业五部","营业六部","营业七部"})),IF($B83="湖北",SUM(SUMIFS([6]汇总表!I:I,[6]汇总表!$A:$A,{"湖北1部","湖北2部"})),IF($B83="陕西",SUM(SUMIFS([6]汇总表!I:I,[6]汇总表!$A:$A,{"陕西1部","陕西2部"})),SUMIFS([6]汇总表!I:I,[6]汇总表!$A:$A,$B83&amp;"销售部"))))</f>
        <v>136</v>
      </c>
      <c r="T83" s="161">
        <f>IFERROR(S83/R83,0)</f>
        <v>0.957746478873239</v>
      </c>
      <c r="U83" s="160" cm="1">
        <f t="array" ref="U83">IF($B83="西南总部",SUM(SUMIFS([6]汇总表!L:L,[6]汇总表!$A:$A,{"营业一部","营业二部","营业三部","营业四部","营业五部","营业六部","营业七部"})),IF($B83="湖北",SUM(SUMIFS([6]汇总表!L:L,[6]汇总表!$A:$A,{"湖北1部","湖北2部"})),IF($B83="陕西",SUM(SUMIFS([6]汇总表!L:L,[6]汇总表!$A:$A,{"陕西1部","陕西2部"})),SUMIFS([6]汇总表!L:L,[6]汇总表!$A:$A,$B83&amp;"销售部"))))</f>
        <v>32</v>
      </c>
      <c r="V83" s="160" cm="1">
        <f t="array" ref="V83">IF($B83="西南总部",SUM(SUMIFS([6]汇总表!M:M,[6]汇总表!$A:$A,{"营业一部","营业二部","营业三部","营业四部","营业五部","营业六部","营业七部"})),IF($B83="湖北",SUM(SUMIFS([6]汇总表!M:M,[6]汇总表!$A:$A,{"湖北1部","湖北2部"})),IF($B83="陕西",SUM(SUMIFS([6]汇总表!M:M,[6]汇总表!$A:$A,{"陕西1部","陕西2部"})),SUMIFS([6]汇总表!M:M,[6]汇总表!$A:$A,$B83&amp;"销售部"))))</f>
        <v>31</v>
      </c>
      <c r="W83" s="161">
        <f>IFERROR(V83/U83,0)</f>
        <v>0.96875</v>
      </c>
    </row>
    <row r="84" ht="16.5" spans="1:23">
      <c r="A84" s="148"/>
      <c r="B84" s="168"/>
      <c r="C84" s="46" t="s">
        <v>30</v>
      </c>
      <c r="D84" s="46">
        <v>5</v>
      </c>
      <c r="E84" s="148"/>
      <c r="F84" s="144">
        <v>1</v>
      </c>
      <c r="G84" s="155">
        <f>COUNTIFS('2026年度培训主表'!B:B,A83,'2026年度培训主表'!C:C,B83,'2026年度培训主表'!D:D,C84)/6</f>
        <v>1</v>
      </c>
      <c r="H84" s="162">
        <f>COUNTIFS('2026年度培训主表'!B:B,A83,'2026年度培训主表'!C:C,B83,'2026年度培训主表'!D:D,C84,'2026年度培训主表'!L:L,"已签到")/6/G84</f>
        <v>1</v>
      </c>
      <c r="I84" s="157">
        <f>AVERAGEIFS('2026年度培训主表'!S:S,'2026年度培训主表'!B:B,A83,'2026年度培训主表'!C:C,B83,'2026年度培训主表'!D:D,C84,'2026年度培训主表'!L:L,"已签到")</f>
        <v>45</v>
      </c>
      <c r="J84" s="158">
        <f>AVERAGEIFS('2026年度培训主表'!R:R,'2026年度培训主表'!B:B,A83,'2026年度培训主表'!C:C,B83,'2026年度培训主表'!D:D,C84,'2026年度培训主表'!L:L,"已签到")</f>
        <v>5</v>
      </c>
      <c r="K84" s="158">
        <f>AVERAGEIFS('2026年度培训主表'!Q:Q,'2026年度培训主表'!B:B,A83,'2026年度培训主表'!C:C,B83,'2026年度培训主表'!D:D,C84,'2026年度培训主表'!L:L,"已签到")</f>
        <v>5</v>
      </c>
      <c r="L84" s="46"/>
      <c r="M84" s="46"/>
      <c r="N84" s="46"/>
      <c r="O84" s="163"/>
      <c r="P84" s="163"/>
      <c r="Q84" s="164"/>
      <c r="R84" s="163"/>
      <c r="S84" s="163"/>
      <c r="T84" s="164"/>
      <c r="U84" s="163"/>
      <c r="V84" s="163"/>
      <c r="W84" s="164"/>
    </row>
    <row r="85" ht="16.5" spans="1:23">
      <c r="A85" s="150"/>
      <c r="B85" s="169"/>
      <c r="C85" s="46" t="s">
        <v>25</v>
      </c>
      <c r="D85" s="46">
        <v>0</v>
      </c>
      <c r="E85" s="150"/>
      <c r="F85" s="144">
        <v>1</v>
      </c>
      <c r="G85" s="155">
        <f>COUNTIFS('2026年度培训主表'!B:B,A85,'2026年度培训主表'!C:C,B85,'2026年度培训主表'!D:D,C85)/3</f>
        <v>0</v>
      </c>
      <c r="H85" s="162">
        <v>1</v>
      </c>
      <c r="I85" s="157">
        <v>0</v>
      </c>
      <c r="J85" s="158">
        <v>0</v>
      </c>
      <c r="K85" s="158">
        <v>0</v>
      </c>
      <c r="L85" s="46"/>
      <c r="M85" s="46"/>
      <c r="N85" s="46"/>
      <c r="O85" s="165"/>
      <c r="P85" s="165"/>
      <c r="Q85" s="166"/>
      <c r="R85" s="165"/>
      <c r="S85" s="165"/>
      <c r="T85" s="166"/>
      <c r="U85" s="165"/>
      <c r="V85" s="165"/>
      <c r="W85" s="166"/>
    </row>
    <row r="86" ht="16.5" spans="1:23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</row>
    <row r="87" ht="16.5" spans="1:23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</row>
    <row r="88" ht="16.5" spans="1:23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</row>
    <row r="89" ht="16.5" spans="1:23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</row>
    <row r="90" ht="16.5" spans="1:23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</row>
    <row r="91" ht="16.5" spans="1:23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</row>
    <row r="92" ht="16.5" spans="1:23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</row>
    <row r="93" ht="16.5" spans="1:2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</row>
    <row r="94" ht="16.5" spans="1:23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</row>
    <row r="95" ht="16.5" spans="1:23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</row>
    <row r="96" ht="16.5" spans="1:23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</row>
    <row r="97" ht="16.5" spans="1:23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</row>
    <row r="98" ht="16.5" spans="1:23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</row>
    <row r="99" ht="16.5" spans="1:23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</row>
    <row r="100" ht="16.5" spans="1:23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</row>
    <row r="101" ht="16.5" spans="1:23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</row>
    <row r="102" ht="16.5" spans="1:23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</row>
    <row r="103" ht="16.5" spans="1:2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</row>
    <row r="104" ht="16.5" spans="1:23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</row>
    <row r="105" ht="16.5" spans="1:23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</row>
    <row r="106" ht="16.5" spans="1:23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</row>
    <row r="107" ht="16.5" spans="1:23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</row>
    <row r="108" ht="16.5" spans="1:23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</row>
    <row r="109" ht="16.5" spans="1:23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</row>
    <row r="110" ht="16.5" spans="1:23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</row>
    <row r="111" ht="16.5" spans="1:23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</row>
    <row r="112" ht="16.5" spans="1:23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</row>
    <row r="113" ht="16.5" spans="1:2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</row>
    <row r="114" ht="16.5" spans="1:23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</row>
    <row r="115" ht="16.5" spans="1:23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</row>
    <row r="116" ht="16.5" spans="1:23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</row>
    <row r="117" ht="16.5" spans="1:23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</row>
    <row r="118" ht="16.5" spans="1:23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</row>
    <row r="119" ht="16.5" spans="1:23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</row>
    <row r="120" ht="16.5" spans="1:23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</row>
    <row r="121" ht="16.5" spans="1:23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</row>
    <row r="122" ht="16.5" spans="1:23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</row>
    <row r="123" ht="16.5" spans="1: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</row>
    <row r="124" ht="16.5" spans="1:23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</row>
    <row r="125" ht="16.5" spans="1:23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</row>
    <row r="126" ht="16.5" spans="1:23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</row>
    <row r="127" ht="16.5" spans="1:23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</row>
    <row r="128" ht="16.5" spans="1:23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</row>
    <row r="129" ht="16.5" spans="1:23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</row>
    <row r="130" ht="16.5" spans="1:23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</row>
    <row r="131" ht="16.5" spans="1:23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</row>
    <row r="132" ht="16.5" spans="1:23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</row>
    <row r="133" ht="16.5" spans="1:2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</row>
    <row r="134" ht="16.5" spans="1:23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</row>
    <row r="135" ht="16.5" spans="1:23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</row>
    <row r="136" ht="16.5" spans="1:23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</row>
    <row r="137" ht="16.5" spans="1:23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</row>
    <row r="138" ht="16.5" spans="1:23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</row>
    <row r="139" ht="16.5" spans="1:23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</row>
    <row r="140" ht="16.5" spans="1:23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</row>
    <row r="141" ht="16.5" spans="1:23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</row>
    <row r="142" ht="16.5" spans="1:23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</row>
    <row r="143" ht="16.5" spans="1:2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</row>
    <row r="144" ht="16.5" spans="1:23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</row>
    <row r="145" ht="16.5" spans="1:23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</row>
    <row r="146" ht="16.5" spans="1:23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</row>
    <row r="147" ht="16.5" spans="1:23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</row>
    <row r="148" ht="16.5" spans="1:23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</row>
    <row r="149" ht="16.5" spans="1:23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</row>
    <row r="150" ht="16.5" spans="1:23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</row>
    <row r="151" ht="16.5" spans="1:23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</row>
    <row r="152" ht="16.5" spans="1:23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</row>
    <row r="153" ht="16.5" spans="1:2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</row>
    <row r="154" ht="16.5" spans="1:23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</row>
    <row r="155" ht="16.5" spans="1:23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</row>
    <row r="156" ht="16.5" spans="1:23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</row>
    <row r="157" ht="16.5" spans="1:23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</row>
    <row r="158" ht="16.5" spans="1:23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</row>
    <row r="159" ht="16.5" spans="1:23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</row>
    <row r="160" ht="16.5" spans="1:23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</row>
    <row r="161" ht="16.5" spans="1:23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</row>
    <row r="162" ht="16.5" spans="1:23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</row>
    <row r="163" ht="16.5" spans="1:2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</row>
    <row r="164" ht="16.5" spans="1:23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</row>
    <row r="165" ht="16.5" spans="1:23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</row>
    <row r="166" ht="16.5" spans="1:23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</row>
    <row r="167" ht="16.5" spans="1:23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</row>
    <row r="168" ht="16.5" spans="1:23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</row>
    <row r="169" ht="16.5" spans="1:23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</row>
    <row r="170" ht="16.5" spans="1:23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</row>
    <row r="171" ht="16.5" spans="1:23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</row>
    <row r="172" ht="16.5" spans="1:23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</row>
    <row r="173" ht="16.5" spans="1:2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</row>
    <row r="174" ht="16.5" spans="1:23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</row>
    <row r="175" ht="16.5" spans="1:23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</row>
    <row r="176" ht="16.5" spans="1:23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</row>
    <row r="177" ht="16.5" spans="1:23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</row>
    <row r="178" ht="16.5" spans="1:23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</row>
    <row r="179" ht="16.5" spans="1:23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</row>
    <row r="180" ht="16.5" spans="1:23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</row>
    <row r="181" ht="16.5" spans="1:23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</row>
    <row r="182" ht="16.5" spans="1:23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</row>
    <row r="183" ht="16.5" spans="1:2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</row>
    <row r="184" ht="16.5" spans="1:23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</row>
    <row r="185" ht="16.5" spans="1:23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</row>
    <row r="186" ht="16.5" spans="1:23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</row>
    <row r="187" ht="16.5" spans="1:23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</row>
    <row r="188" ht="16.5" spans="1:23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</row>
    <row r="189" ht="16.5" spans="1:23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</row>
    <row r="190" ht="16.5" spans="1:23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</row>
    <row r="191" ht="16.5" spans="1:23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</row>
    <row r="192" ht="16.5" spans="1:23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</row>
    <row r="193" ht="16.5" spans="1:2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</row>
    <row r="194" ht="16.5" spans="1:23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</row>
    <row r="195" ht="16.5" spans="1:23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</row>
    <row r="196" ht="16.5" spans="1:23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</row>
    <row r="197" ht="16.5" spans="1:23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</row>
    <row r="198" ht="16.5" spans="1:23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</row>
    <row r="199" ht="16.5" spans="1:23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</row>
    <row r="200" ht="16.5" spans="1:23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</row>
    <row r="201" ht="16.5" spans="1:23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</row>
    <row r="202" ht="16.5" spans="1:23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</row>
    <row r="203" ht="16.5" spans="1:2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</row>
    <row r="204" ht="16.5" spans="1:23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</row>
    <row r="205" ht="16.5" spans="1:23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</row>
    <row r="206" ht="16.5" spans="1:23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</row>
    <row r="207" ht="16.5" spans="1:23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</row>
    <row r="208" ht="16.5" spans="1:23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</row>
    <row r="209" ht="16.5" spans="1:23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</row>
    <row r="210" ht="16.5" spans="1:23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</row>
    <row r="211" ht="16.5" spans="1:23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</row>
    <row r="212" ht="16.5" spans="1:23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</row>
    <row r="213" ht="16.5" spans="1:2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</row>
    <row r="214" ht="16.5" spans="1:23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</row>
    <row r="215" ht="16.5" spans="1:23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</row>
    <row r="216" ht="16.5" spans="1:23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</row>
    <row r="217" ht="16.5" spans="1:23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</row>
    <row r="218" ht="16.5" spans="1:23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</row>
    <row r="219" ht="16.5" spans="1:23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</row>
    <row r="220" ht="16.5" spans="1:23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</row>
    <row r="221" ht="16.5" spans="1:23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</row>
    <row r="222" ht="16.5" spans="1:23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</row>
    <row r="223" ht="16.5" spans="1: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</row>
    <row r="224" ht="16.5" spans="1:23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</row>
    <row r="225" ht="16.5" spans="1:23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</row>
    <row r="226" ht="16.5" spans="1:23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</row>
    <row r="227" ht="16.5" spans="1:23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</row>
    <row r="228" ht="16.5" spans="1:23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</row>
    <row r="229" ht="16.5" spans="1:23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</row>
    <row r="230" ht="16.5" spans="1:23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</row>
    <row r="231" ht="16.5" spans="1:23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</row>
    <row r="232" ht="16.5" spans="1:23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</row>
    <row r="233" ht="16.5" spans="1:2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</row>
    <row r="234" ht="16.5" spans="1:23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</row>
    <row r="235" ht="16.5" spans="1:23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</row>
    <row r="236" ht="16.5" spans="1:23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</row>
    <row r="237" ht="16.5" spans="1:23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</row>
    <row r="238" ht="16.5" spans="1:23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</row>
    <row r="239" ht="16.5" spans="1:23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</row>
    <row r="240" ht="16.5" spans="1:23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</row>
    <row r="241" ht="16.5" spans="1:23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</row>
    <row r="242" ht="16.5" spans="1:23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</row>
    <row r="243" ht="16.5" spans="1:2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</row>
    <row r="244" ht="16.5" spans="1:23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</row>
    <row r="245" ht="16.5" spans="1:23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</row>
    <row r="246" ht="16.5" spans="1:23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</row>
    <row r="247" ht="16.5" spans="1:23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</row>
    <row r="248" ht="16.5" spans="1:23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</row>
    <row r="249" ht="16.5" spans="1:23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</row>
    <row r="250" ht="16.5" spans="1:23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</row>
    <row r="251" ht="16.5" spans="1:23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</row>
    <row r="252" ht="16.5" spans="1:23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</row>
    <row r="253" ht="16.5" spans="1:2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</row>
    <row r="254" ht="16.5" spans="1:23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</row>
    <row r="255" ht="16.5" spans="1:23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</row>
    <row r="256" ht="16.5" spans="1:23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</row>
    <row r="257" ht="16.5" spans="1:23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</row>
    <row r="258" ht="16.5" spans="1:23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</row>
    <row r="259" ht="16.5" spans="1:23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</row>
    <row r="260" ht="16.5" spans="1:23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</row>
    <row r="261" ht="16.5" spans="1:23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</row>
    <row r="262" ht="16.5" spans="1:23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</row>
    <row r="263" ht="16.5" spans="1:2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</row>
    <row r="264" ht="16.5" spans="1:23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</row>
    <row r="265" ht="16.5" spans="1:23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</row>
    <row r="266" ht="16.5" spans="1:23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</row>
    <row r="267" ht="16.5" spans="1:23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</row>
    <row r="268" ht="16.5" spans="1:23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</row>
    <row r="269" ht="16.5" spans="1:23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</row>
    <row r="270" ht="16.5" spans="1:23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</row>
    <row r="271" ht="16.5" spans="1:23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</row>
    <row r="272" ht="16.5" spans="1:23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</row>
    <row r="273" ht="16.5" spans="1:2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</row>
    <row r="274" ht="16.5" spans="1:23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</row>
    <row r="275" ht="16.5" spans="1:23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</row>
    <row r="276" ht="16.5" spans="1:23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</row>
    <row r="277" ht="16.5" spans="1:23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</row>
    <row r="278" ht="16.5" spans="1:23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</row>
    <row r="279" ht="16.5" spans="1:23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</row>
    <row r="280" ht="16.5" spans="1:23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</row>
    <row r="281" ht="16.5" spans="1:23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</row>
    <row r="282" ht="16.5" spans="1:23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</row>
    <row r="283" ht="16.5" spans="1:2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</row>
    <row r="284" ht="16.5" spans="1:23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</row>
    <row r="285" ht="16.5" spans="1:23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</row>
    <row r="286" ht="16.5" spans="1:23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</row>
    <row r="287" ht="16.5" spans="1:23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</row>
    <row r="288" ht="16.5" spans="1:23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</row>
    <row r="289" ht="16.5" spans="1:23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</row>
    <row r="290" ht="16.5" spans="1:23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</row>
    <row r="291" ht="16.5" spans="1:23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</row>
    <row r="292" ht="16.5" spans="1:23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</row>
    <row r="293" ht="16.5" spans="1:2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</row>
    <row r="294" ht="16.5" spans="1:23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</row>
    <row r="295" ht="16.5" spans="1:23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</row>
    <row r="296" ht="16.5" spans="1:23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</row>
    <row r="297" ht="16.5" spans="1:23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</row>
    <row r="298" ht="16.5" spans="1:23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</row>
    <row r="299" ht="16.5" spans="1:23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</row>
    <row r="300" ht="16.5" spans="1:23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</row>
    <row r="301" ht="16.5" spans="1:23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</row>
    <row r="302" ht="16.5" spans="1:23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</row>
    <row r="303" ht="16.5" spans="1:2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</row>
    <row r="304" ht="16.5" spans="1:23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</row>
    <row r="305" ht="16.5" spans="1:23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</row>
    <row r="306" ht="16.5" spans="1:23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</row>
    <row r="307" ht="16.5" spans="1:23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</row>
    <row r="308" ht="16.5" spans="1:23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</row>
    <row r="309" ht="16.5" spans="1:23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</row>
    <row r="310" ht="16.5" spans="1:23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</row>
    <row r="311" ht="16.5" spans="1:23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</row>
    <row r="312" ht="16.5" spans="1:23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</row>
    <row r="313" ht="16.5" spans="1:2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</row>
    <row r="314" ht="16.5" spans="1:23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</row>
    <row r="315" ht="16.5" spans="1:23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</row>
    <row r="316" ht="16.5" spans="1:23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</row>
    <row r="317" ht="16.5" spans="1:23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</row>
    <row r="318" ht="16.5" spans="1:23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</row>
    <row r="319" ht="16.5" spans="1:23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</row>
    <row r="320" ht="16.5" spans="1:23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</row>
    <row r="321" ht="16.5" spans="1:23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</row>
    <row r="322" ht="16.5" spans="1:23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</row>
    <row r="323" ht="16.5" spans="1: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</row>
    <row r="324" ht="16.5" spans="1:23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</row>
    <row r="325" ht="16.5" spans="1:23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</row>
    <row r="326" ht="16.5" spans="1:23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</row>
    <row r="327" ht="16.5" spans="1:23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</row>
    <row r="328" ht="16.5" spans="1:23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</row>
    <row r="329" ht="16.5" spans="1:23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</row>
    <row r="330" ht="16.5" spans="1:23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</row>
    <row r="331" ht="16.5" spans="1:23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</row>
    <row r="332" ht="16.5" spans="1:23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</row>
    <row r="333" ht="16.5" spans="1:2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</row>
    <row r="334" ht="16.5" spans="1:23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</row>
    <row r="335" ht="16.5" spans="1:23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</row>
    <row r="336" ht="16.5" spans="1:23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</row>
    <row r="337" ht="16.5" spans="1:23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</row>
    <row r="338" ht="16.5" spans="1:23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</row>
    <row r="339" ht="16.5" spans="1:23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</row>
    <row r="340" ht="16.5" spans="1:23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</row>
    <row r="341" ht="16.5" spans="1:23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</row>
    <row r="342" ht="16.5" spans="1:23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</row>
    <row r="343" ht="16.5" spans="1:2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</row>
    <row r="344" ht="16.5" spans="1:23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</row>
    <row r="345" ht="16.5" spans="1:23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</row>
    <row r="346" ht="16.5" spans="1:23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</row>
    <row r="347" ht="16.5" spans="1:23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</row>
    <row r="348" ht="16.5" spans="1:23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</row>
    <row r="349" ht="16.5" spans="1:23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</row>
    <row r="350" ht="16.5" spans="1:23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</row>
    <row r="351" ht="16.5" spans="1:23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</row>
    <row r="352" ht="16.5" spans="1:23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</row>
    <row r="353" ht="16.5" spans="1:2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</row>
    <row r="354" ht="16.5" spans="1:23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</row>
    <row r="355" ht="16.5" spans="1:23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</row>
    <row r="356" ht="16.5" spans="1:23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</row>
    <row r="357" ht="16.5" spans="1:23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</row>
    <row r="358" ht="16.5" spans="1:23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</row>
    <row r="359" ht="16.5" spans="1:23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</row>
    <row r="360" ht="16.5" spans="1:23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</row>
    <row r="361" ht="16.5" spans="1:23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</row>
    <row r="362" ht="16.5" spans="1:23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</row>
    <row r="363" ht="16.5" spans="1:2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</row>
    <row r="364" ht="16.5" spans="1:23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</row>
    <row r="365" ht="16.5" spans="1:23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</row>
    <row r="366" ht="16.5" spans="1:23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</row>
    <row r="367" ht="16.5" spans="1:23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</row>
    <row r="368" ht="16.5" spans="1:23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</row>
    <row r="369" ht="16.5" spans="1:23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</row>
    <row r="370" ht="16.5" spans="1:23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</row>
    <row r="371" ht="16.5" spans="1:23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</row>
    <row r="372" ht="16.5" spans="1:23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</row>
    <row r="373" ht="16.5" spans="1:2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</row>
    <row r="374" ht="16.5" spans="1:23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</row>
    <row r="375" ht="16.5" spans="1:23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</row>
    <row r="376" ht="16.5" spans="1:23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</row>
    <row r="377" ht="16.5" spans="1:23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</row>
    <row r="378" ht="16.5" spans="1:23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</row>
    <row r="379" ht="16.5" spans="1:23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</row>
    <row r="380" ht="16.5" spans="1:23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</row>
    <row r="381" ht="16.5" spans="1:23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</row>
    <row r="382" ht="16.5" spans="1:23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</row>
    <row r="383" ht="16.5" spans="1:2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</row>
    <row r="384" ht="16.5" spans="1:23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</row>
    <row r="385" ht="16.5" spans="1:23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</row>
    <row r="386" ht="16.5" spans="1:23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</row>
    <row r="387" ht="16.5" spans="1:23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</row>
    <row r="388" ht="16.5" spans="1:23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</row>
    <row r="389" ht="16.5" spans="1:23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</row>
    <row r="390" ht="16.5" spans="1:23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</row>
    <row r="391" ht="16.5" spans="1:23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</row>
    <row r="392" ht="16.5" spans="1:23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</row>
    <row r="393" ht="16.5" spans="1:2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</row>
    <row r="394" ht="16.5" spans="1:23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</row>
    <row r="395" ht="16.5" spans="1:23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</row>
    <row r="396" ht="16.5" spans="1:23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</row>
    <row r="397" ht="16.5" spans="1:23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</row>
    <row r="398" ht="16.5" spans="1:23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</row>
    <row r="399" ht="16.5" spans="1:23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</row>
    <row r="400" ht="16.5" spans="1:23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</row>
    <row r="401" ht="16.5" spans="1:23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</row>
    <row r="402" ht="16.5" spans="1:23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</row>
    <row r="403" ht="16.5" spans="1:2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</row>
    <row r="404" ht="16.5" spans="1:23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</row>
    <row r="405" ht="16.5" spans="1:23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</row>
    <row r="406" ht="16.5" spans="1:23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</row>
    <row r="407" ht="16.5" spans="1:23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</row>
    <row r="408" ht="16.5" spans="1:23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</row>
    <row r="409" ht="16.5" spans="1:23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</row>
    <row r="410" ht="16.5" spans="1:23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</row>
    <row r="411" ht="16.5" spans="1:23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</row>
    <row r="412" ht="16.5" spans="1:23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</row>
    <row r="413" ht="16.5" spans="1:2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</row>
    <row r="414" ht="16.5" spans="1:23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</row>
    <row r="415" ht="16.5" spans="1:23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</row>
    <row r="416" ht="16.5" spans="1:23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</row>
    <row r="417" ht="16.5" spans="1:23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</row>
    <row r="418" ht="16.5" spans="1:23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</row>
    <row r="419" ht="16.5" spans="1:23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</row>
    <row r="420" ht="16.5" spans="1:23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</row>
    <row r="421" ht="16.5" spans="1:23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</row>
    <row r="422" ht="16.5" spans="1:23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</row>
    <row r="423" ht="16.5" spans="1: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</row>
    <row r="424" ht="16.5" spans="1:23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</row>
    <row r="425" ht="16.5" spans="1:23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</row>
    <row r="426" ht="16.5" spans="1:23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</row>
    <row r="427" ht="16.5" spans="1:23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</row>
    <row r="428" ht="16.5" spans="1:23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</row>
    <row r="429" ht="16.5" spans="1:23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</row>
    <row r="430" ht="16.5" spans="1:23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</row>
    <row r="431" ht="16.5" spans="1:23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</row>
    <row r="432" ht="16.5" spans="1:23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</row>
    <row r="433" ht="16.5" spans="1:2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</row>
    <row r="434" ht="16.5" spans="1:23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</row>
    <row r="435" ht="16.5" spans="1:23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</row>
    <row r="436" ht="16.5" spans="1:23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</row>
    <row r="437" ht="16.5" spans="1:23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</row>
    <row r="438" ht="16.5" spans="1:23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</row>
    <row r="439" ht="16.5" spans="1:23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</row>
    <row r="440" ht="16.5" spans="1:23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</row>
    <row r="441" ht="16.5" spans="1:23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</row>
    <row r="442" ht="16.5" spans="1:23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</row>
    <row r="443" ht="16.5" spans="1:2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</row>
    <row r="444" ht="16.5" spans="1:23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</row>
    <row r="445" ht="16.5" spans="1:23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</row>
    <row r="446" ht="16.5" spans="1:23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</row>
    <row r="447" ht="16.5" spans="1:23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</row>
    <row r="448" ht="16.5" spans="1:23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</row>
    <row r="449" ht="16.5" spans="1:23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</row>
    <row r="450" ht="16.5" spans="1:23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</row>
    <row r="451" ht="16.5" spans="1:23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</row>
    <row r="452" ht="16.5" spans="1:23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</row>
    <row r="453" ht="16.5" spans="1:2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</row>
    <row r="454" ht="16.5" spans="1:23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</row>
    <row r="455" ht="16.5" spans="1:23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</row>
    <row r="456" ht="16.5" spans="1:23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</row>
    <row r="457" ht="16.5" spans="1:23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</row>
    <row r="458" ht="16.5" spans="1:23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</row>
    <row r="459" ht="16.5" spans="1:23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</row>
    <row r="460" ht="16.5" spans="1:23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</row>
    <row r="461" ht="16.5" spans="1:23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</row>
    <row r="462" ht="16.5" spans="1:23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</row>
    <row r="463" ht="16.5" spans="1:2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</row>
    <row r="464" ht="16.5" spans="1:23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</row>
    <row r="465" ht="16.5" spans="1:23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</row>
    <row r="466" ht="16.5" spans="1:23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</row>
    <row r="467" ht="16.5" spans="1:23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</row>
    <row r="468" ht="16.5" spans="1:23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</row>
    <row r="469" ht="16.5" spans="1:23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</row>
    <row r="470" ht="16.5" spans="1:23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</row>
    <row r="471" ht="16.5" spans="1:23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</row>
    <row r="472" ht="16.5" spans="1:23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</row>
    <row r="473" ht="16.5" spans="1:2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</row>
    <row r="474" ht="16.5" spans="1:23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</row>
    <row r="475" ht="16.5" spans="1:23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</row>
    <row r="476" ht="16.5" spans="1:23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</row>
    <row r="477" ht="16.5" spans="1:23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</row>
    <row r="478" ht="16.5" spans="1:23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</row>
    <row r="479" ht="16.5" spans="1:23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</row>
    <row r="480" ht="16.5" spans="1:23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</row>
    <row r="481" ht="16.5" spans="1:23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</row>
    <row r="482" ht="16.5" spans="1:23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</row>
    <row r="483" ht="16.5" spans="1:2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</row>
    <row r="484" ht="16.5" spans="1:23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</row>
    <row r="485" ht="16.5" spans="1:23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</row>
    <row r="486" ht="16.5" spans="1:23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</row>
    <row r="487" ht="16.5" spans="1:23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</row>
    <row r="488" ht="16.5" spans="1:23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</row>
    <row r="489" ht="16.5" spans="1:23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</row>
    <row r="490" ht="16.5" spans="1:23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</row>
    <row r="491" ht="16.5" spans="1:23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</row>
    <row r="492" ht="16.5" spans="1:23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</row>
    <row r="493" ht="16.5" spans="1:2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</row>
    <row r="494" ht="16.5" spans="1:23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</row>
    <row r="495" ht="16.5" spans="1:23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</row>
    <row r="496" ht="16.5" spans="1:23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</row>
    <row r="497" ht="16.5" spans="1:23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</row>
    <row r="498" ht="16.5" spans="1:23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</row>
    <row r="499" ht="16.5" spans="1:23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</row>
    <row r="500" ht="16.5" spans="1:23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</row>
    <row r="501" ht="16.5" spans="1:23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</row>
    <row r="502" ht="16.5" spans="1:23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</row>
    <row r="503" ht="16.5" spans="1:2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</row>
    <row r="504" ht="16.5" spans="1:23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</row>
    <row r="505" ht="16.5" spans="1:23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</row>
    <row r="506" ht="16.5" spans="1:23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</row>
    <row r="507" ht="16.5" spans="1:23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</row>
    <row r="508" ht="16.5" spans="1:23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</row>
    <row r="509" ht="16.5" spans="1:23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</row>
    <row r="510" ht="16.5" spans="1:23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</row>
    <row r="511" ht="16.5" spans="1:23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</row>
    <row r="512" ht="16.5" spans="1:23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</row>
    <row r="513" ht="16.5" spans="1:2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</row>
    <row r="514" ht="16.5" spans="1:23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</row>
    <row r="515" ht="16.5" spans="1:23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</row>
    <row r="516" ht="16.5" spans="1:23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</row>
    <row r="517" ht="16.5" spans="1:23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</row>
    <row r="518" ht="16.5" spans="1:23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</row>
    <row r="519" ht="16.5" spans="1:23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</row>
    <row r="520" ht="16.5" spans="1:23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</row>
    <row r="521" ht="16.5" spans="1:23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</row>
    <row r="522" ht="16.5" spans="1:23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</row>
    <row r="523" ht="16.5" spans="1: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</row>
    <row r="524" ht="16.5" spans="1:23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</row>
    <row r="525" ht="16.5" spans="1:23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</row>
    <row r="526" ht="16.5" spans="1:23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</row>
    <row r="527" ht="16.5" spans="1:23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</row>
    <row r="528" ht="16.5" spans="1:23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</row>
    <row r="529" ht="16.5" spans="1:23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</row>
    <row r="530" ht="16.5" spans="1:23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</row>
    <row r="531" ht="16.5" spans="1:23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</row>
    <row r="532" ht="16.5" spans="1:23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</row>
    <row r="533" ht="16.5" spans="1:2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</row>
    <row r="534" ht="16.5" spans="1:23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</row>
    <row r="535" ht="16.5" spans="1:23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</row>
    <row r="536" ht="16.5" spans="1:23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</row>
    <row r="537" ht="16.5" spans="1:23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</row>
    <row r="538" ht="16.5" spans="1:23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</row>
    <row r="539" ht="16.5" spans="1:23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</row>
    <row r="540" ht="16.5" spans="1:23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</row>
    <row r="541" ht="16.5" spans="1:23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</row>
    <row r="542" ht="16.5" spans="1:23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</row>
    <row r="543" ht="16.5" spans="1:2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</row>
    <row r="544" ht="16.5" spans="1:23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</row>
    <row r="545" ht="16.5" spans="1:23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</row>
    <row r="546" ht="16.5" spans="1:23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</row>
    <row r="547" ht="16.5" spans="1:23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</row>
    <row r="548" ht="16.5" spans="1:23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</row>
    <row r="549" ht="16.5" spans="1:23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</row>
    <row r="550" ht="16.5" spans="1:23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</row>
    <row r="551" ht="16.5" spans="1:23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</row>
    <row r="552" ht="16.5" spans="1:23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</row>
    <row r="553" ht="16.5" spans="1:2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</row>
    <row r="554" ht="16.5" spans="1:23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</row>
    <row r="555" ht="16.5" spans="1:23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</row>
    <row r="556" ht="16.5" spans="1:23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</row>
    <row r="557" ht="16.5" spans="1:23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</row>
    <row r="558" ht="16.5" spans="1:23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</row>
    <row r="559" ht="16.5" spans="1:23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</row>
    <row r="560" ht="16.5" spans="1:23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</row>
    <row r="561" ht="16.5" spans="1:23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</row>
    <row r="562" ht="16.5" spans="1:23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</row>
    <row r="563" ht="16.5" spans="1:2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</row>
    <row r="564" ht="16.5" spans="1:23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</row>
    <row r="565" ht="16.5" spans="1:23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</row>
    <row r="566" ht="16.5" spans="1:23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</row>
    <row r="567" ht="16.5" spans="1:23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</row>
    <row r="568" ht="16.5" spans="1:23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</row>
    <row r="569" ht="16.5" spans="1:23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</row>
    <row r="570" ht="16.5" spans="1:23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</row>
    <row r="571" ht="16.5" spans="1:23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</row>
    <row r="572" ht="16.5" spans="1:23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</row>
    <row r="573" ht="16.5" spans="1:2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</row>
    <row r="574" ht="16.5" spans="1:23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</row>
    <row r="575" ht="16.5" spans="1:23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</row>
    <row r="576" ht="16.5" spans="1:23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</row>
    <row r="577" ht="16.5" spans="1:23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</row>
    <row r="578" ht="16.5" spans="1:23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</row>
    <row r="579" ht="16.5" spans="1:23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</row>
    <row r="580" ht="16.5" spans="1:23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</row>
    <row r="581" ht="16.5" spans="1:23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</row>
    <row r="582" ht="16.5" spans="1:23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</row>
    <row r="583" ht="16.5" spans="1:2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</row>
    <row r="584" ht="16.5" spans="1:23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</row>
    <row r="585" ht="16.5" spans="1:23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</row>
    <row r="586" ht="16.5" spans="1:23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</row>
    <row r="587" ht="16.5" spans="1:23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</row>
    <row r="588" ht="16.5" spans="1:23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</row>
    <row r="589" ht="16.5" spans="1:23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</row>
    <row r="590" ht="16.5" spans="1:23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</row>
    <row r="591" ht="16.5" spans="1:23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</row>
    <row r="592" ht="16.5" spans="1:23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</row>
    <row r="593" ht="16.5" spans="1:2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</row>
    <row r="594" ht="16.5" spans="1:23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</row>
    <row r="595" ht="16.5" spans="1:23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</row>
    <row r="596" ht="16.5" spans="1:23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</row>
    <row r="597" ht="16.5" spans="1:23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</row>
    <row r="598" ht="16.5" spans="1:23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</row>
    <row r="599" ht="16.5" spans="1:23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</row>
    <row r="600" ht="16.5" spans="1:23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</row>
    <row r="601" ht="16.5" spans="1:23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</row>
    <row r="602" ht="16.5" spans="1:23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</row>
    <row r="603" ht="16.5" spans="1:2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</row>
    <row r="604" ht="16.5" spans="1:23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</row>
    <row r="605" ht="16.5" spans="1:23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</row>
    <row r="606" ht="16.5" spans="1:23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</row>
    <row r="607" ht="16.5" spans="1:23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</row>
    <row r="608" ht="16.5" spans="1:23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</row>
    <row r="609" ht="16.5" spans="1:23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</row>
    <row r="610" ht="16.5" spans="1:23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</row>
    <row r="611" ht="16.5" spans="1:23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</row>
    <row r="612" ht="16.5" spans="1:23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</row>
    <row r="613" ht="16.5" spans="1:2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</row>
    <row r="614" ht="16.5" spans="1:23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</row>
    <row r="615" ht="16.5" spans="1:23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</row>
    <row r="616" ht="16.5" spans="1:23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</row>
    <row r="617" ht="16.5" spans="1:23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</row>
    <row r="618" ht="16.5" spans="1:23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</row>
    <row r="619" ht="16.5" spans="1:23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</row>
    <row r="620" ht="16.5" spans="1:23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</row>
    <row r="621" ht="16.5" spans="1:23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</row>
    <row r="622" ht="16.5" spans="1:23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</row>
    <row r="623" ht="16.5" spans="1: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</row>
    <row r="624" ht="16.5" spans="1:23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</row>
    <row r="625" ht="16.5" spans="1:23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</row>
    <row r="626" ht="16.5" spans="1:23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</row>
    <row r="627" ht="16.5" spans="1:23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</row>
    <row r="628" ht="16.5" spans="1:23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</row>
    <row r="629" ht="16.5" spans="1:23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</row>
    <row r="630" ht="16.5" spans="1:23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</row>
    <row r="631" ht="16.5" spans="1:23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</row>
    <row r="632" ht="16.5" spans="1:23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</row>
    <row r="633" ht="16.5" spans="1:2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</row>
    <row r="634" ht="16.5" spans="1:23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</row>
    <row r="635" ht="16.5" spans="1:23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</row>
    <row r="636" ht="16.5" spans="1:23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</row>
    <row r="637" ht="16.5" spans="1:23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</row>
    <row r="638" ht="16.5" spans="1:23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</row>
    <row r="639" ht="16.5" spans="1:23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</row>
    <row r="640" ht="16.5" spans="1:23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</row>
    <row r="641" ht="16.5" spans="1:23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</row>
    <row r="642" ht="16.5" spans="1:23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</row>
    <row r="643" ht="16.5" spans="1:2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</row>
    <row r="644" ht="16.5" spans="1:23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</row>
    <row r="645" ht="16.5" spans="1:23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</row>
    <row r="646" ht="16.5" spans="1:23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</row>
    <row r="647" ht="16.5" spans="1:23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</row>
    <row r="648" ht="16.5" spans="1:23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</row>
    <row r="649" ht="16.5" spans="1:23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</row>
    <row r="650" ht="16.5" spans="1:23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</row>
    <row r="651" ht="16.5" spans="1:23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</row>
    <row r="652" ht="16.5" spans="1:23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</row>
    <row r="653" ht="16.5" spans="1:2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</row>
    <row r="654" ht="16.5" spans="1:23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</row>
    <row r="655" ht="16.5" spans="1:23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</row>
    <row r="656" ht="16.5" spans="1:23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</row>
    <row r="657" ht="16.5" spans="1:23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</row>
    <row r="658" ht="16.5" spans="1:23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</row>
    <row r="659" ht="16.5" spans="1:23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</row>
    <row r="660" ht="16.5" spans="1:23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</row>
    <row r="661" ht="16.5" spans="1:23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</row>
    <row r="662" ht="16.5" spans="1:23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</row>
    <row r="663" ht="16.5" spans="1:2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</row>
    <row r="664" ht="16.5" spans="1:23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</row>
    <row r="665" ht="16.5" spans="1:23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</row>
    <row r="666" ht="16.5" spans="1:23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</row>
    <row r="667" ht="16.5" spans="1:23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</row>
    <row r="668" ht="16.5" spans="1:23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</row>
    <row r="669" ht="16.5" spans="1:23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</row>
    <row r="670" ht="16.5" spans="1:23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</row>
    <row r="671" ht="16.5" spans="1:23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</row>
    <row r="672" ht="16.5" spans="1:23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</row>
    <row r="673" ht="16.5" spans="1:2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</row>
    <row r="674" ht="16.5" spans="1:23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</row>
    <row r="675" ht="16.5" spans="1:23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</row>
    <row r="676" ht="16.5" spans="1:23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</row>
    <row r="677" ht="16.5" spans="1:23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</row>
    <row r="678" ht="16.5" spans="1:23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</row>
    <row r="679" ht="16.5" spans="1:23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</row>
    <row r="680" ht="16.5" spans="1:23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</row>
    <row r="681" ht="16.5" spans="1:23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</row>
    <row r="682" ht="16.5" spans="1:23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</row>
    <row r="683" ht="16.5" spans="1:2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</row>
    <row r="684" ht="16.5" spans="1:23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</row>
    <row r="685" ht="16.5" spans="1:23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</row>
    <row r="686" ht="16.5" spans="1:23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</row>
    <row r="687" ht="16.5" spans="1:23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</row>
    <row r="688" ht="16.5" spans="1:23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</row>
    <row r="689" ht="16.5" spans="1:23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</row>
    <row r="690" ht="16.5" spans="1:23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</row>
    <row r="691" ht="16.5" spans="1:23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</row>
    <row r="692" ht="16.5" spans="1:23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</row>
    <row r="693" ht="16.5" spans="1:2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</row>
    <row r="694" ht="16.5" spans="1:23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</row>
    <row r="695" ht="16.5" spans="1:23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</row>
    <row r="696" ht="16.5" spans="1:23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</row>
    <row r="697" ht="16.5" spans="1:23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</row>
    <row r="698" ht="16.5" spans="1:23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</row>
    <row r="699" ht="16.5" spans="1:23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</row>
    <row r="700" ht="16.5" spans="1:23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</row>
    <row r="701" ht="16.5" spans="1:23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</row>
    <row r="702" ht="16.5" spans="1:23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</row>
    <row r="703" ht="16.5" spans="1:2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</row>
    <row r="704" ht="16.5" spans="1:23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</row>
    <row r="705" ht="16.5" spans="1:23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</row>
    <row r="706" ht="16.5" spans="1:23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</row>
    <row r="707" ht="16.5" spans="1:23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</row>
    <row r="708" ht="16.5" spans="1:23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</row>
    <row r="709" ht="16.5" spans="1:23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</row>
    <row r="710" ht="16.5" spans="1:23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</row>
    <row r="711" ht="16.5" spans="1:23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</row>
    <row r="712" ht="16.5" spans="1:23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</row>
    <row r="713" ht="16.5" spans="1:2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</row>
    <row r="714" ht="16.5" spans="1:23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</row>
    <row r="715" ht="16.5" spans="1:23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</row>
    <row r="716" ht="16.5" spans="1:23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</row>
    <row r="717" ht="16.5" spans="1:23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</row>
    <row r="718" ht="16.5" spans="1:23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</row>
    <row r="719" ht="16.5" spans="1:23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</row>
    <row r="720" ht="16.5" spans="1:23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</row>
    <row r="721" ht="16.5" spans="1:23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</row>
    <row r="722" ht="16.5" spans="1:23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</row>
    <row r="723" ht="16.5" spans="1: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</row>
    <row r="724" ht="16.5" spans="1:23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</row>
    <row r="725" ht="16.5" spans="1:23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</row>
    <row r="726" ht="16.5" spans="1:23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</row>
    <row r="727" ht="16.5" spans="1:23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</row>
    <row r="728" ht="16.5" spans="1:23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</row>
    <row r="729" ht="16.5" spans="1:23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</row>
    <row r="730" ht="16.5" spans="1:23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</row>
    <row r="731" ht="16.5" spans="1:23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</row>
    <row r="732" ht="16.5" spans="1:23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</row>
    <row r="733" ht="16.5" spans="1:2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</row>
    <row r="734" ht="16.5" spans="1:23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</row>
    <row r="735" ht="16.5" spans="1:23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</row>
    <row r="736" ht="16.5" spans="1:23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</row>
    <row r="737" ht="16.5" spans="1:23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</row>
    <row r="738" ht="16.5" spans="1:23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</row>
    <row r="739" ht="16.5" spans="1:23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</row>
    <row r="740" ht="16.5" spans="1:23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</row>
    <row r="741" ht="16.5" spans="1:23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</row>
    <row r="742" ht="16.5" spans="1:23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</row>
    <row r="743" ht="16.5" spans="1:2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</row>
    <row r="744" ht="16.5" spans="1:23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</row>
    <row r="745" ht="16.5" spans="1:23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</row>
    <row r="746" ht="16.5" spans="1:23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</row>
    <row r="747" ht="16.5" spans="1:23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</row>
    <row r="748" ht="16.5" spans="1:23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</row>
    <row r="749" ht="16.5" spans="1:23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</row>
    <row r="750" ht="16.5" spans="1:23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</row>
    <row r="751" ht="16.5" spans="1:23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</row>
    <row r="752" ht="16.5" spans="1:23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</row>
    <row r="753" ht="16.5" spans="1:2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</row>
    <row r="754" ht="16.5" spans="1:23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</row>
    <row r="755" ht="16.5" spans="1:23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</row>
    <row r="756" ht="16.5" spans="1:23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</row>
    <row r="757" ht="16.5" spans="1:23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</row>
    <row r="758" ht="16.5" spans="1:23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</row>
    <row r="759" ht="16.5" spans="1:23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</row>
    <row r="760" ht="16.5" spans="1:23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</row>
    <row r="761" ht="16.5" spans="1:23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</row>
    <row r="762" ht="16.5" spans="1:23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</row>
    <row r="763" ht="16.5" spans="1:2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</row>
    <row r="764" ht="16.5" spans="1:23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</row>
    <row r="765" ht="16.5" spans="1:23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</row>
    <row r="766" ht="16.5" spans="1:23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</row>
    <row r="767" ht="16.5" spans="1:23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</row>
    <row r="768" ht="16.5" spans="1:23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</row>
    <row r="769" ht="16.5" spans="1:23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</row>
    <row r="770" ht="16.5" spans="1:23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</row>
    <row r="771" ht="16.5" spans="1:23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</row>
    <row r="772" ht="16.5" spans="1:23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</row>
    <row r="773" ht="16.5" spans="1:2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</row>
    <row r="774" ht="16.5" spans="1:23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</row>
    <row r="775" ht="16.5" spans="1:23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</row>
    <row r="776" ht="16.5" spans="1:23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</row>
    <row r="777" ht="16.5" spans="1:23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</row>
    <row r="778" ht="16.5" spans="1:23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</row>
    <row r="779" ht="16.5" spans="1:23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</row>
    <row r="780" ht="16.5" spans="1:23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</row>
    <row r="781" ht="16.5" spans="1:23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</row>
    <row r="782" ht="16.5" spans="1:23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</row>
    <row r="783" ht="16.5" spans="1:2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</row>
    <row r="784" ht="16.5" spans="1:23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</row>
    <row r="785" ht="16.5" spans="1:23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</row>
    <row r="786" ht="16.5" spans="1:23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</row>
    <row r="787" ht="16.5" spans="1:23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</row>
    <row r="788" ht="16.5" spans="1:23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</row>
    <row r="789" ht="16.5" spans="1:23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</row>
    <row r="790" ht="16.5" spans="1:23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</row>
    <row r="791" ht="16.5" spans="1:23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</row>
    <row r="792" ht="16.5" spans="1:23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</row>
    <row r="793" ht="16.5" spans="1:2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</row>
    <row r="794" ht="16.5" spans="1:23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</row>
    <row r="795" ht="16.5" spans="1:23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</row>
    <row r="796" ht="16.5" spans="1:23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</row>
    <row r="797" ht="16.5" spans="1:23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</row>
    <row r="798" ht="16.5" spans="1:23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</row>
    <row r="799" ht="16.5" spans="1:23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</row>
    <row r="800" ht="16.5" spans="1:23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</row>
    <row r="801" ht="16.5" spans="1:23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</row>
    <row r="802" ht="16.5" spans="1:23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</row>
    <row r="803" ht="16.5" spans="1:2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</row>
    <row r="804" ht="16.5" spans="1:23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</row>
    <row r="805" ht="16.5" spans="1:23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</row>
    <row r="806" ht="16.5" spans="1:23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</row>
    <row r="807" ht="16.5" spans="1:23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</row>
    <row r="808" ht="16.5" spans="1:23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</row>
    <row r="809" ht="16.5" spans="1:23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</row>
    <row r="810" ht="16.5" spans="1:23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</row>
    <row r="811" ht="16.5" spans="1:23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</row>
    <row r="812" ht="16.5" spans="1:23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</row>
    <row r="813" ht="16.5" spans="1:2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</row>
    <row r="814" ht="16.5" spans="1:23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</row>
    <row r="815" ht="16.5" spans="1:23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</row>
    <row r="816" ht="16.5" spans="1:23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</row>
    <row r="817" ht="16.5" spans="1:23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</row>
    <row r="818" ht="16.5" spans="1:23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</row>
    <row r="819" ht="16.5" spans="1:23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</row>
    <row r="820" ht="16.5" spans="1:23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</row>
    <row r="821" ht="16.5" spans="1:23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</row>
    <row r="822" ht="16.5" spans="1:23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</row>
    <row r="823" ht="16.5" spans="1: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</row>
    <row r="824" ht="16.5" spans="1:23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</row>
    <row r="825" ht="16.5" spans="1:23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</row>
    <row r="826" ht="16.5" spans="1:23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</row>
    <row r="827" ht="16.5" spans="1:23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</row>
    <row r="828" ht="16.5" spans="1:23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</row>
    <row r="829" ht="16.5" spans="1:23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</row>
    <row r="830" ht="16.5" spans="1:23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</row>
    <row r="831" ht="16.5" spans="1:23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</row>
    <row r="832" ht="16.5" spans="1:23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</row>
    <row r="833" ht="16.5" spans="1:2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</row>
    <row r="834" ht="16.5" spans="1:23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</row>
    <row r="835" ht="16.5" spans="1:23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</row>
    <row r="836" ht="16.5" spans="1:23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</row>
    <row r="837" ht="16.5" spans="1:23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</row>
    <row r="838" ht="16.5" spans="1:23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</row>
    <row r="839" ht="16.5" spans="1:23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</row>
    <row r="840" ht="16.5" spans="1:23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</row>
    <row r="841" ht="16.5" spans="1:23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</row>
    <row r="842" ht="16.5" spans="1:23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</row>
    <row r="843" ht="16.5" spans="1:2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</row>
    <row r="844" ht="16.5" spans="1:23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</row>
    <row r="845" ht="16.5" spans="1:23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</row>
    <row r="846" ht="16.5" spans="1:23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</row>
    <row r="847" ht="16.5" spans="1:23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</row>
    <row r="848" ht="16.5" spans="1:23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</row>
    <row r="849" ht="16.5" spans="1:23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</row>
    <row r="850" ht="16.5" spans="1:23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</row>
    <row r="851" ht="16.5" spans="1:23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</row>
    <row r="852" ht="16.5" spans="1:23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</row>
    <row r="853" ht="16.5" spans="1:2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</row>
    <row r="854" ht="16.5" spans="1:23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</row>
    <row r="855" ht="16.5" spans="1:23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</row>
    <row r="856" ht="16.5" spans="1:23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</row>
    <row r="857" ht="16.5" spans="1:23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</row>
    <row r="858" ht="16.5" spans="1:23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</row>
    <row r="859" ht="16.5" spans="1:23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</row>
    <row r="860" ht="16.5" spans="1:23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</row>
    <row r="861" ht="16.5" spans="1:23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</row>
    <row r="862" ht="16.5" spans="1:23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</row>
    <row r="863" ht="16.5" spans="1:2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</row>
    <row r="864" ht="16.5" spans="1:23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</row>
    <row r="865" ht="16.5" spans="1:23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</row>
    <row r="866" ht="16.5" spans="1:23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</row>
    <row r="867" ht="16.5" spans="1:23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</row>
    <row r="868" ht="16.5" spans="1:23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</row>
    <row r="869" ht="16.5" spans="1:23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</row>
    <row r="870" ht="16.5" spans="1:23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</row>
    <row r="871" ht="16.5" spans="1:23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</row>
    <row r="872" ht="16.5" spans="1:23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</row>
    <row r="873" ht="16.5" spans="1:2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</row>
    <row r="874" ht="16.5" spans="1:23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</row>
    <row r="875" ht="16.5" spans="1:23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</row>
    <row r="876" ht="16.5" spans="1:23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</row>
    <row r="877" ht="16.5" spans="1:23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</row>
    <row r="878" ht="16.5" spans="1:23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</row>
    <row r="879" ht="16.5" spans="1:23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</row>
    <row r="880" ht="16.5" spans="1:23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</row>
    <row r="881" ht="16.5" spans="1:23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</row>
    <row r="882" ht="16.5" spans="1:23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</row>
    <row r="883" ht="16.5" spans="1:2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</row>
    <row r="884" ht="16.5" spans="1:23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</row>
    <row r="885" ht="16.5" spans="1:23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</row>
    <row r="886" ht="16.5" spans="1:23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</row>
    <row r="887" ht="16.5" spans="1:23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</row>
    <row r="888" ht="16.5" spans="1:23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</row>
    <row r="889" ht="16.5" spans="1:23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</row>
    <row r="890" ht="16.5" spans="1:23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</row>
    <row r="891" ht="16.5" spans="1:23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</row>
    <row r="892" ht="16.5" spans="1:23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</row>
    <row r="893" ht="16.5" spans="1:2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</row>
    <row r="894" ht="16.5" spans="1:23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</row>
    <row r="895" ht="16.5" spans="1:23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</row>
    <row r="896" ht="16.5" spans="1:23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</row>
    <row r="897" ht="16.5" spans="1:23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</row>
    <row r="898" ht="16.5" spans="1:23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</row>
    <row r="899" ht="16.5" spans="1:23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</row>
    <row r="900" ht="16.5" spans="1:23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</row>
    <row r="901" ht="16.5" spans="1:23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</row>
    <row r="902" ht="16.5" spans="1:23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</row>
    <row r="903" ht="16.5" spans="1:2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</row>
    <row r="904" ht="16.5" spans="1:23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</row>
    <row r="905" ht="16.5" spans="1:23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</row>
    <row r="906" ht="16.5" spans="1:23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</row>
    <row r="907" ht="16.5" spans="1:23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</row>
    <row r="908" ht="16.5" spans="1:23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</row>
    <row r="909" ht="16.5" spans="1:23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</row>
    <row r="910" ht="16.5" spans="1:23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</row>
    <row r="911" ht="16.5" spans="1:23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</row>
    <row r="912" ht="16.5" spans="1:23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</row>
    <row r="913" ht="16.5" spans="1:2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</row>
    <row r="914" ht="16.5" spans="1:23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</row>
    <row r="915" ht="16.5" spans="1:23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</row>
    <row r="916" ht="16.5" spans="1:23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</row>
    <row r="917" ht="16.5" spans="1:23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</row>
    <row r="918" ht="16.5" spans="1:23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</row>
    <row r="919" ht="16.5" spans="1:23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</row>
    <row r="920" ht="16.5" spans="1:23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</row>
    <row r="921" ht="16.5" spans="1:23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</row>
    <row r="922" ht="16.5" spans="1:23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</row>
    <row r="923" ht="16.5" spans="1: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</row>
    <row r="924" ht="16.5" spans="1:23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</row>
    <row r="925" ht="16.5" spans="1:23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</row>
    <row r="926" ht="16.5" spans="1:23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</row>
    <row r="927" ht="16.5" spans="1:23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</row>
    <row r="928" ht="16.5" spans="1:23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</row>
    <row r="929" ht="16.5" spans="1:23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</row>
    <row r="930" ht="16.5" spans="1:23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</row>
    <row r="931" ht="16.5" spans="1:23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</row>
    <row r="932" ht="16.5" spans="1:23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</row>
    <row r="933" ht="16.5" spans="1:2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</row>
    <row r="934" ht="16.5" spans="1:23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</row>
    <row r="935" ht="16.5" spans="1:23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</row>
    <row r="936" ht="16.5" spans="1:23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</row>
    <row r="937" ht="16.5" spans="1:23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</row>
    <row r="938" ht="16.5" spans="1:23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</row>
    <row r="939" ht="16.5" spans="1:23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</row>
    <row r="940" ht="16.5" spans="1:23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</row>
    <row r="941" ht="16.5" spans="1:23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</row>
    <row r="942" ht="16.5" spans="1:23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</row>
    <row r="943" ht="16.5" spans="1:2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</row>
    <row r="944" ht="16.5" spans="1:23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</row>
    <row r="945" ht="16.5" spans="1:23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</row>
    <row r="946" ht="16.5" spans="1:23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</row>
    <row r="947" ht="16.5" spans="1:23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</row>
    <row r="948" ht="16.5" spans="1:23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</row>
    <row r="949" ht="16.5" spans="1:23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</row>
    <row r="950" ht="16.5" spans="1:23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</row>
    <row r="951" ht="16.5" spans="1:23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</row>
    <row r="952" ht="16.5" spans="1:23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</row>
    <row r="953" ht="16.5" spans="1:2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</row>
    <row r="954" ht="16.5" spans="1:23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</row>
    <row r="955" ht="16.5" spans="1:23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</row>
    <row r="956" ht="16.5" spans="1:23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</row>
    <row r="957" ht="16.5" spans="1:23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</row>
    <row r="958" ht="16.5" spans="1:23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</row>
    <row r="959" ht="16.5" spans="1:23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</row>
    <row r="960" ht="16.5" spans="1:23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</row>
    <row r="961" ht="16.5" spans="1:23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</row>
    <row r="962" ht="16.5" spans="1:23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</row>
    <row r="963" ht="16.5" spans="1:2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</row>
    <row r="964" ht="16.5" spans="1:23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</row>
    <row r="965" ht="16.5" spans="1:23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</row>
    <row r="966" ht="16.5" spans="1:23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</row>
    <row r="967" ht="16.5" spans="1:23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</row>
    <row r="968" ht="16.5" spans="1:23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</row>
    <row r="969" ht="16.5" spans="1:23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</row>
    <row r="970" ht="16.5" spans="1:23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</row>
    <row r="971" ht="16.5" spans="1:23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</row>
    <row r="972" ht="16.5" spans="1:23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</row>
    <row r="973" ht="16.5" spans="1:2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</row>
    <row r="974" ht="16.5" spans="1:23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</row>
    <row r="975" ht="16.5" spans="1:23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</row>
    <row r="976" ht="16.5" spans="1:23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</row>
    <row r="977" ht="16.5" spans="1:23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</row>
    <row r="978" ht="16.5" spans="1:23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</row>
    <row r="979" ht="16.5" spans="1:23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</row>
    <row r="980" ht="16.5" spans="1:23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</row>
    <row r="981" ht="16.5" spans="1:23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</row>
    <row r="982" ht="16.5" spans="1:23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</row>
    <row r="983" ht="16.5" spans="1:2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</row>
    <row r="984" ht="16.5" spans="1:23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</row>
    <row r="985" ht="16.5" spans="1:23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</row>
    <row r="986" ht="16.5" spans="1:23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</row>
    <row r="987" ht="16.5" spans="1:23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</row>
    <row r="988" ht="16.5" spans="1:23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</row>
    <row r="989" ht="16.5" spans="1:23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</row>
    <row r="990" ht="16.5" spans="1:23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</row>
    <row r="991" ht="16.5" spans="1:23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</row>
    <row r="992" ht="16.5" spans="1:23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</row>
    <row r="993" ht="16.5" spans="1:2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</row>
    <row r="994" ht="16.5" spans="1:23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</row>
    <row r="995" ht="16.5" spans="1:23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</row>
    <row r="996" ht="16.5" spans="1:23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</row>
    <row r="997" ht="16.5" spans="1:23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</row>
    <row r="998" ht="16.5" spans="1:23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</row>
    <row r="999" ht="16.5" spans="1:23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</row>
    <row r="1000" ht="16.5" spans="1:23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</row>
    <row r="1001" ht="16.5" spans="1:23">
      <c r="A1001" s="46"/>
      <c r="B1001" s="46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</row>
    <row r="1002" ht="16.5" spans="1:23">
      <c r="A1002" s="46"/>
      <c r="B1002" s="46"/>
      <c r="C1002" s="46"/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</row>
    <row r="1003" ht="16.5" spans="1:23">
      <c r="A1003" s="46"/>
      <c r="B1003" s="46"/>
      <c r="C1003" s="46"/>
      <c r="D1003" s="46"/>
      <c r="E1003" s="46"/>
      <c r="F1003" s="46"/>
      <c r="G1003" s="46"/>
      <c r="H1003" s="46"/>
      <c r="I1003" s="46"/>
      <c r="J1003" s="46"/>
      <c r="K1003" s="46"/>
      <c r="L1003" s="46"/>
      <c r="M1003" s="46"/>
      <c r="N1003" s="46"/>
      <c r="O1003" s="46"/>
      <c r="P1003" s="46"/>
      <c r="Q1003" s="46"/>
      <c r="R1003" s="46"/>
      <c r="S1003" s="46"/>
      <c r="T1003" s="46"/>
      <c r="U1003" s="46"/>
      <c r="V1003" s="46"/>
      <c r="W1003" s="46"/>
    </row>
    <row r="1004" ht="16.5" spans="1:23">
      <c r="A1004" s="46"/>
      <c r="B1004" s="46"/>
      <c r="C1004" s="4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  <c r="S1004" s="46"/>
      <c r="T1004" s="46"/>
      <c r="U1004" s="46"/>
      <c r="V1004" s="46"/>
      <c r="W1004" s="46"/>
    </row>
    <row r="1005" ht="16.5" spans="1:23">
      <c r="A1005" s="46"/>
      <c r="B1005" s="46"/>
      <c r="C1005" s="46"/>
      <c r="D1005" s="46"/>
      <c r="E1005" s="46"/>
      <c r="F1005" s="46"/>
      <c r="G1005" s="46"/>
      <c r="H1005" s="46"/>
      <c r="I1005" s="46"/>
      <c r="J1005" s="46"/>
      <c r="K1005" s="46"/>
      <c r="L1005" s="46"/>
      <c r="M1005" s="46"/>
      <c r="N1005" s="46"/>
      <c r="O1005" s="46"/>
      <c r="P1005" s="46"/>
      <c r="Q1005" s="46"/>
      <c r="R1005" s="46"/>
      <c r="S1005" s="46"/>
      <c r="T1005" s="46"/>
      <c r="U1005" s="46"/>
      <c r="V1005" s="46"/>
      <c r="W1005" s="46"/>
    </row>
    <row r="1006" ht="16.5" spans="1:23">
      <c r="A1006" s="46"/>
      <c r="B1006" s="46"/>
      <c r="C1006" s="46"/>
      <c r="D1006" s="46"/>
      <c r="E1006" s="46"/>
      <c r="F1006" s="46"/>
      <c r="G1006" s="46"/>
      <c r="H1006" s="46"/>
      <c r="I1006" s="46"/>
      <c r="J1006" s="46"/>
      <c r="K1006" s="46"/>
      <c r="L1006" s="46"/>
      <c r="M1006" s="46"/>
      <c r="N1006" s="46"/>
      <c r="O1006" s="46"/>
      <c r="P1006" s="46"/>
      <c r="Q1006" s="46"/>
      <c r="R1006" s="46"/>
      <c r="S1006" s="46"/>
      <c r="T1006" s="46"/>
      <c r="U1006" s="46"/>
      <c r="V1006" s="46"/>
      <c r="W1006" s="46"/>
    </row>
    <row r="1007" ht="16.5" spans="1:23">
      <c r="A1007" s="46"/>
      <c r="B1007" s="46"/>
      <c r="C1007" s="46"/>
      <c r="D1007" s="46"/>
      <c r="E1007" s="46"/>
      <c r="F1007" s="46"/>
      <c r="G1007" s="46"/>
      <c r="H1007" s="46"/>
      <c r="I1007" s="46"/>
      <c r="J1007" s="46"/>
      <c r="K1007" s="46"/>
      <c r="L1007" s="46"/>
      <c r="M1007" s="46"/>
      <c r="N1007" s="46"/>
      <c r="O1007" s="46"/>
      <c r="P1007" s="46"/>
      <c r="Q1007" s="46"/>
      <c r="R1007" s="46"/>
      <c r="S1007" s="46"/>
      <c r="T1007" s="46"/>
      <c r="U1007" s="46"/>
      <c r="V1007" s="46"/>
      <c r="W1007" s="46"/>
    </row>
    <row r="1008" ht="16.5" spans="1:23">
      <c r="A1008" s="46"/>
      <c r="B1008" s="46"/>
      <c r="C1008" s="4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  <c r="S1008" s="46"/>
      <c r="T1008" s="46"/>
      <c r="U1008" s="46"/>
      <c r="V1008" s="46"/>
      <c r="W1008" s="46"/>
    </row>
    <row r="1009" ht="16.5" spans="1:23">
      <c r="A1009" s="46"/>
      <c r="B1009" s="46"/>
      <c r="C1009" s="46"/>
      <c r="D1009" s="46"/>
      <c r="E1009" s="46"/>
      <c r="F1009" s="46"/>
      <c r="G1009" s="46"/>
      <c r="H1009" s="46"/>
      <c r="I1009" s="46"/>
      <c r="J1009" s="46"/>
      <c r="K1009" s="46"/>
      <c r="L1009" s="46"/>
      <c r="M1009" s="46"/>
      <c r="N1009" s="46"/>
      <c r="O1009" s="46"/>
      <c r="P1009" s="46"/>
      <c r="Q1009" s="46"/>
      <c r="R1009" s="46"/>
      <c r="S1009" s="46"/>
      <c r="T1009" s="46"/>
      <c r="U1009" s="46"/>
      <c r="V1009" s="46"/>
      <c r="W1009" s="46"/>
    </row>
    <row r="1010" ht="16.5" spans="1:23">
      <c r="A1010" s="46"/>
      <c r="B1010" s="46"/>
      <c r="C1010" s="46"/>
      <c r="D1010" s="46"/>
      <c r="E1010" s="46"/>
      <c r="F1010" s="46"/>
      <c r="G1010" s="46"/>
      <c r="H1010" s="46"/>
      <c r="I1010" s="46"/>
      <c r="J1010" s="46"/>
      <c r="K1010" s="46"/>
      <c r="L1010" s="46"/>
      <c r="M1010" s="46"/>
      <c r="N1010" s="46"/>
      <c r="O1010" s="46"/>
      <c r="P1010" s="46"/>
      <c r="Q1010" s="46"/>
      <c r="R1010" s="46"/>
      <c r="S1010" s="46"/>
      <c r="T1010" s="46"/>
      <c r="U1010" s="46"/>
      <c r="V1010" s="46"/>
      <c r="W1010" s="46"/>
    </row>
    <row r="1011" ht="16.5" spans="1:23">
      <c r="A1011" s="46"/>
      <c r="B1011" s="46"/>
      <c r="C1011" s="46"/>
      <c r="D1011" s="46"/>
      <c r="E1011" s="46"/>
      <c r="F1011" s="46"/>
      <c r="G1011" s="46"/>
      <c r="H1011" s="46"/>
      <c r="I1011" s="46"/>
      <c r="J1011" s="46"/>
      <c r="K1011" s="46"/>
      <c r="L1011" s="46"/>
      <c r="M1011" s="46"/>
      <c r="N1011" s="46"/>
      <c r="O1011" s="46"/>
      <c r="P1011" s="46"/>
      <c r="Q1011" s="46"/>
      <c r="R1011" s="46"/>
      <c r="S1011" s="46"/>
      <c r="T1011" s="46"/>
      <c r="U1011" s="46"/>
      <c r="V1011" s="46"/>
      <c r="W1011" s="46"/>
    </row>
    <row r="1012" ht="16.5" spans="1:23">
      <c r="A1012" s="46"/>
      <c r="B1012" s="46"/>
      <c r="C1012" s="4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  <c r="S1012" s="46"/>
      <c r="T1012" s="46"/>
      <c r="U1012" s="46"/>
      <c r="V1012" s="46"/>
      <c r="W1012" s="46"/>
    </row>
    <row r="1013" ht="16.5" spans="1:23">
      <c r="A1013" s="46"/>
      <c r="B1013" s="46"/>
      <c r="C1013" s="46"/>
      <c r="D1013" s="46"/>
      <c r="E1013" s="46"/>
      <c r="F1013" s="46"/>
      <c r="G1013" s="46"/>
      <c r="H1013" s="46"/>
      <c r="I1013" s="46"/>
      <c r="J1013" s="46"/>
      <c r="K1013" s="46"/>
      <c r="L1013" s="46"/>
      <c r="M1013" s="46"/>
      <c r="N1013" s="46"/>
      <c r="O1013" s="46"/>
      <c r="P1013" s="46"/>
      <c r="Q1013" s="46"/>
      <c r="R1013" s="46"/>
      <c r="S1013" s="46"/>
      <c r="T1013" s="46"/>
      <c r="U1013" s="46"/>
      <c r="V1013" s="46"/>
      <c r="W1013" s="46"/>
    </row>
    <row r="1014" ht="16.5" spans="1:23">
      <c r="A1014" s="46"/>
      <c r="B1014" s="46"/>
      <c r="C1014" s="46"/>
      <c r="D1014" s="46"/>
      <c r="E1014" s="46"/>
      <c r="F1014" s="46"/>
      <c r="G1014" s="46"/>
      <c r="H1014" s="46"/>
      <c r="I1014" s="46"/>
      <c r="J1014" s="46"/>
      <c r="K1014" s="46"/>
      <c r="L1014" s="46"/>
      <c r="M1014" s="46"/>
      <c r="N1014" s="46"/>
      <c r="O1014" s="46"/>
      <c r="P1014" s="46"/>
      <c r="Q1014" s="46"/>
      <c r="R1014" s="46"/>
      <c r="S1014" s="46"/>
      <c r="T1014" s="46"/>
      <c r="U1014" s="46"/>
      <c r="V1014" s="46"/>
      <c r="W1014" s="46"/>
    </row>
    <row r="1015" ht="16.5" spans="1:23">
      <c r="A1015" s="46"/>
      <c r="B1015" s="46"/>
      <c r="C1015" s="46"/>
      <c r="D1015" s="46"/>
      <c r="E1015" s="46"/>
      <c r="F1015" s="46"/>
      <c r="G1015" s="46"/>
      <c r="H1015" s="46"/>
      <c r="I1015" s="46"/>
      <c r="J1015" s="46"/>
      <c r="K1015" s="46"/>
      <c r="L1015" s="46"/>
      <c r="M1015" s="46"/>
      <c r="N1015" s="46"/>
      <c r="O1015" s="46"/>
      <c r="P1015" s="46"/>
      <c r="Q1015" s="46"/>
      <c r="R1015" s="46"/>
      <c r="S1015" s="46"/>
      <c r="T1015" s="46"/>
      <c r="U1015" s="46"/>
      <c r="V1015" s="46"/>
      <c r="W1015" s="46"/>
    </row>
    <row r="1016" ht="16.5" spans="1:23">
      <c r="A1016" s="46"/>
      <c r="B1016" s="46"/>
      <c r="C1016" s="4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  <c r="S1016" s="46"/>
      <c r="T1016" s="46"/>
      <c r="U1016" s="46"/>
      <c r="V1016" s="46"/>
      <c r="W1016" s="46"/>
    </row>
    <row r="1017" ht="16.5" spans="1:23">
      <c r="A1017" s="46"/>
      <c r="B1017" s="46"/>
      <c r="C1017" s="46"/>
      <c r="D1017" s="46"/>
      <c r="E1017" s="46"/>
      <c r="F1017" s="46"/>
      <c r="G1017" s="46"/>
      <c r="H1017" s="46"/>
      <c r="I1017" s="46"/>
      <c r="J1017" s="46"/>
      <c r="K1017" s="46"/>
      <c r="L1017" s="46"/>
      <c r="M1017" s="46"/>
      <c r="N1017" s="46"/>
      <c r="O1017" s="46"/>
      <c r="P1017" s="46"/>
      <c r="Q1017" s="46"/>
      <c r="R1017" s="46"/>
      <c r="S1017" s="46"/>
      <c r="T1017" s="46"/>
      <c r="U1017" s="46"/>
      <c r="V1017" s="46"/>
      <c r="W1017" s="46"/>
    </row>
    <row r="1018" ht="16.5" spans="1:23">
      <c r="A1018" s="46"/>
      <c r="B1018" s="46"/>
      <c r="C1018" s="46"/>
      <c r="D1018" s="46"/>
      <c r="E1018" s="46"/>
      <c r="F1018" s="46"/>
      <c r="G1018" s="46"/>
      <c r="H1018" s="46"/>
      <c r="I1018" s="46"/>
      <c r="J1018" s="46"/>
      <c r="K1018" s="46"/>
      <c r="L1018" s="46"/>
      <c r="M1018" s="46"/>
      <c r="N1018" s="46"/>
      <c r="O1018" s="46"/>
      <c r="P1018" s="46"/>
      <c r="Q1018" s="46"/>
      <c r="R1018" s="46"/>
      <c r="S1018" s="46"/>
      <c r="T1018" s="46"/>
      <c r="U1018" s="46"/>
      <c r="V1018" s="46"/>
      <c r="W1018" s="46"/>
    </row>
    <row r="1019" ht="16.5" spans="1:23">
      <c r="A1019" s="46"/>
      <c r="B1019" s="46"/>
      <c r="C1019" s="46"/>
      <c r="D1019" s="46"/>
      <c r="E1019" s="46"/>
      <c r="F1019" s="46"/>
      <c r="G1019" s="46"/>
      <c r="H1019" s="46"/>
      <c r="I1019" s="46"/>
      <c r="J1019" s="46"/>
      <c r="K1019" s="46"/>
      <c r="L1019" s="46"/>
      <c r="M1019" s="46"/>
      <c r="N1019" s="46"/>
      <c r="O1019" s="46"/>
      <c r="P1019" s="46"/>
      <c r="Q1019" s="46"/>
      <c r="R1019" s="46"/>
      <c r="S1019" s="46"/>
      <c r="T1019" s="46"/>
      <c r="U1019" s="46"/>
      <c r="V1019" s="46"/>
      <c r="W1019" s="46"/>
    </row>
    <row r="1020" ht="16.5" spans="1:23">
      <c r="A1020" s="46"/>
      <c r="B1020" s="46"/>
      <c r="C1020" s="4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  <c r="S1020" s="46"/>
      <c r="T1020" s="46"/>
      <c r="U1020" s="46"/>
      <c r="V1020" s="46"/>
      <c r="W1020" s="46"/>
    </row>
    <row r="1021" ht="16.5" spans="1:23">
      <c r="A1021" s="46"/>
      <c r="B1021" s="46"/>
      <c r="C1021" s="46"/>
      <c r="D1021" s="46"/>
      <c r="E1021" s="46"/>
      <c r="F1021" s="46"/>
      <c r="G1021" s="46"/>
      <c r="H1021" s="46"/>
      <c r="I1021" s="46"/>
      <c r="J1021" s="46"/>
      <c r="K1021" s="46"/>
      <c r="L1021" s="46"/>
      <c r="M1021" s="46"/>
      <c r="N1021" s="46"/>
      <c r="O1021" s="46"/>
      <c r="P1021" s="46"/>
      <c r="Q1021" s="46"/>
      <c r="R1021" s="46"/>
      <c r="S1021" s="46"/>
      <c r="T1021" s="46"/>
      <c r="U1021" s="46"/>
      <c r="V1021" s="46"/>
      <c r="W1021" s="46"/>
    </row>
    <row r="1022" ht="16.5" spans="1:23">
      <c r="A1022" s="46"/>
      <c r="B1022" s="46"/>
      <c r="C1022" s="46"/>
      <c r="D1022" s="46"/>
      <c r="E1022" s="46"/>
      <c r="F1022" s="46"/>
      <c r="G1022" s="46"/>
      <c r="H1022" s="46"/>
      <c r="I1022" s="46"/>
      <c r="J1022" s="46"/>
      <c r="K1022" s="46"/>
      <c r="L1022" s="46"/>
      <c r="M1022" s="46"/>
      <c r="N1022" s="46"/>
      <c r="O1022" s="46"/>
      <c r="P1022" s="46"/>
      <c r="Q1022" s="46"/>
      <c r="R1022" s="46"/>
      <c r="S1022" s="46"/>
      <c r="T1022" s="46"/>
      <c r="U1022" s="46"/>
      <c r="V1022" s="46"/>
      <c r="W1022" s="46"/>
    </row>
    <row r="1023" ht="16.5" spans="1:23">
      <c r="A1023" s="46"/>
      <c r="B1023" s="46"/>
      <c r="C1023" s="46"/>
      <c r="D1023" s="46"/>
      <c r="E1023" s="46"/>
      <c r="F1023" s="46"/>
      <c r="G1023" s="46"/>
      <c r="H1023" s="46"/>
      <c r="I1023" s="46"/>
      <c r="J1023" s="46"/>
      <c r="K1023" s="46"/>
      <c r="L1023" s="46"/>
      <c r="M1023" s="46"/>
      <c r="N1023" s="46"/>
      <c r="O1023" s="46"/>
      <c r="P1023" s="46"/>
      <c r="Q1023" s="46"/>
      <c r="R1023" s="46"/>
      <c r="S1023" s="46"/>
      <c r="T1023" s="46"/>
      <c r="U1023" s="46"/>
      <c r="V1023" s="46"/>
      <c r="W1023" s="46"/>
    </row>
    <row r="1024" ht="16.5" spans="1:23">
      <c r="A1024" s="46"/>
      <c r="B1024" s="46"/>
      <c r="C1024" s="4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  <c r="S1024" s="46"/>
      <c r="T1024" s="46"/>
      <c r="U1024" s="46"/>
      <c r="V1024" s="46"/>
      <c r="W1024" s="46"/>
    </row>
    <row r="1025" ht="16.5" spans="1:23">
      <c r="A1025" s="46"/>
      <c r="B1025" s="46"/>
      <c r="C1025" s="46"/>
      <c r="D1025" s="46"/>
      <c r="E1025" s="46"/>
      <c r="F1025" s="46"/>
      <c r="G1025" s="46"/>
      <c r="H1025" s="46"/>
      <c r="I1025" s="46"/>
      <c r="J1025" s="46"/>
      <c r="K1025" s="46"/>
      <c r="L1025" s="46"/>
      <c r="M1025" s="46"/>
      <c r="N1025" s="46"/>
      <c r="O1025" s="46"/>
      <c r="P1025" s="46"/>
      <c r="Q1025" s="46"/>
      <c r="R1025" s="46"/>
      <c r="S1025" s="46"/>
      <c r="T1025" s="46"/>
      <c r="U1025" s="46"/>
      <c r="V1025" s="46"/>
      <c r="W1025" s="46"/>
    </row>
    <row r="1026" ht="16.5" spans="1:23">
      <c r="A1026" s="46"/>
      <c r="B1026" s="46"/>
      <c r="C1026" s="46"/>
      <c r="D1026" s="46"/>
      <c r="E1026" s="46"/>
      <c r="F1026" s="46"/>
      <c r="G1026" s="46"/>
      <c r="H1026" s="46"/>
      <c r="I1026" s="46"/>
      <c r="J1026" s="46"/>
      <c r="K1026" s="46"/>
      <c r="L1026" s="46"/>
      <c r="M1026" s="46"/>
      <c r="N1026" s="46"/>
      <c r="O1026" s="46"/>
      <c r="P1026" s="46"/>
      <c r="Q1026" s="46"/>
      <c r="R1026" s="46"/>
      <c r="S1026" s="46"/>
      <c r="T1026" s="46"/>
      <c r="U1026" s="46"/>
      <c r="V1026" s="46"/>
      <c r="W1026" s="46"/>
    </row>
    <row r="1027" ht="16.5" spans="1:23">
      <c r="A1027" s="46"/>
      <c r="B1027" s="46"/>
      <c r="C1027" s="46"/>
      <c r="D1027" s="46"/>
      <c r="E1027" s="46"/>
      <c r="F1027" s="46"/>
      <c r="G1027" s="46"/>
      <c r="H1027" s="46"/>
      <c r="I1027" s="46"/>
      <c r="J1027" s="46"/>
      <c r="K1027" s="46"/>
      <c r="L1027" s="46"/>
      <c r="M1027" s="46"/>
      <c r="N1027" s="46"/>
      <c r="O1027" s="46"/>
      <c r="P1027" s="46"/>
      <c r="Q1027" s="46"/>
      <c r="R1027" s="46"/>
      <c r="S1027" s="46"/>
      <c r="T1027" s="46"/>
      <c r="U1027" s="46"/>
      <c r="V1027" s="46"/>
      <c r="W1027" s="46"/>
    </row>
    <row r="1028" ht="16.5" spans="1:23">
      <c r="A1028" s="46"/>
      <c r="B1028" s="46"/>
      <c r="C1028" s="4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  <c r="S1028" s="46"/>
      <c r="T1028" s="46"/>
      <c r="U1028" s="46"/>
      <c r="V1028" s="46"/>
      <c r="W1028" s="46"/>
    </row>
    <row r="1029" ht="16.5" spans="1:23">
      <c r="A1029" s="46"/>
      <c r="B1029" s="46"/>
      <c r="C1029" s="46"/>
      <c r="D1029" s="46"/>
      <c r="E1029" s="46"/>
      <c r="F1029" s="46"/>
      <c r="G1029" s="46"/>
      <c r="H1029" s="46"/>
      <c r="I1029" s="46"/>
      <c r="J1029" s="46"/>
      <c r="K1029" s="46"/>
      <c r="L1029" s="46"/>
      <c r="M1029" s="46"/>
      <c r="N1029" s="46"/>
      <c r="O1029" s="46"/>
      <c r="P1029" s="46"/>
      <c r="Q1029" s="46"/>
      <c r="R1029" s="46"/>
      <c r="S1029" s="46"/>
      <c r="T1029" s="46"/>
      <c r="U1029" s="46"/>
      <c r="V1029" s="46"/>
      <c r="W1029" s="46"/>
    </row>
    <row r="1030" ht="16.5" spans="1:23">
      <c r="A1030" s="46"/>
      <c r="B1030" s="46"/>
      <c r="C1030" s="46"/>
      <c r="D1030" s="46"/>
      <c r="E1030" s="46"/>
      <c r="F1030" s="46"/>
      <c r="G1030" s="46"/>
      <c r="H1030" s="46"/>
      <c r="I1030" s="46"/>
      <c r="J1030" s="46"/>
      <c r="K1030" s="46"/>
      <c r="L1030" s="46"/>
      <c r="M1030" s="46"/>
      <c r="N1030" s="46"/>
      <c r="O1030" s="46"/>
      <c r="P1030" s="46"/>
      <c r="Q1030" s="46"/>
      <c r="R1030" s="46"/>
      <c r="S1030" s="46"/>
      <c r="T1030" s="46"/>
      <c r="U1030" s="46"/>
      <c r="V1030" s="46"/>
      <c r="W1030" s="46"/>
    </row>
    <row r="1031" ht="16.5" spans="1:23">
      <c r="A1031" s="46"/>
      <c r="B1031" s="46"/>
      <c r="C1031" s="46"/>
      <c r="D1031" s="46"/>
      <c r="E1031" s="46"/>
      <c r="F1031" s="46"/>
      <c r="G1031" s="46"/>
      <c r="H1031" s="46"/>
      <c r="I1031" s="46"/>
      <c r="J1031" s="46"/>
      <c r="K1031" s="46"/>
      <c r="L1031" s="46"/>
      <c r="M1031" s="46"/>
      <c r="N1031" s="46"/>
      <c r="O1031" s="46"/>
      <c r="P1031" s="46"/>
      <c r="Q1031" s="46"/>
      <c r="R1031" s="46"/>
      <c r="S1031" s="46"/>
      <c r="T1031" s="46"/>
      <c r="U1031" s="46"/>
      <c r="V1031" s="46"/>
      <c r="W1031" s="46"/>
    </row>
    <row r="1032" ht="16.5" spans="1:23">
      <c r="A1032" s="46"/>
      <c r="B1032" s="46"/>
      <c r="C1032" s="4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  <c r="S1032" s="46"/>
      <c r="T1032" s="46"/>
      <c r="U1032" s="46"/>
      <c r="V1032" s="46"/>
      <c r="W1032" s="46"/>
    </row>
    <row r="1033" ht="16.5" spans="1:23">
      <c r="A1033" s="46"/>
      <c r="B1033" s="46"/>
      <c r="C1033" s="46"/>
      <c r="D1033" s="46"/>
      <c r="E1033" s="46"/>
      <c r="F1033" s="46"/>
      <c r="G1033" s="46"/>
      <c r="H1033" s="46"/>
      <c r="I1033" s="46"/>
      <c r="J1033" s="46"/>
      <c r="K1033" s="46"/>
      <c r="L1033" s="46"/>
      <c r="M1033" s="46"/>
      <c r="N1033" s="46"/>
      <c r="O1033" s="46"/>
      <c r="P1033" s="46"/>
      <c r="Q1033" s="46"/>
      <c r="R1033" s="46"/>
      <c r="S1033" s="46"/>
      <c r="T1033" s="46"/>
      <c r="U1033" s="46"/>
      <c r="V1033" s="46"/>
      <c r="W1033" s="46"/>
    </row>
    <row r="1034" ht="16.5" spans="1:23">
      <c r="A1034" s="46"/>
      <c r="B1034" s="46"/>
      <c r="C1034" s="46"/>
      <c r="D1034" s="46"/>
      <c r="E1034" s="46"/>
      <c r="F1034" s="46"/>
      <c r="G1034" s="46"/>
      <c r="H1034" s="46"/>
      <c r="I1034" s="46"/>
      <c r="J1034" s="46"/>
      <c r="K1034" s="46"/>
      <c r="L1034" s="46"/>
      <c r="M1034" s="46"/>
      <c r="N1034" s="46"/>
      <c r="O1034" s="46"/>
      <c r="P1034" s="46"/>
      <c r="Q1034" s="46"/>
      <c r="R1034" s="46"/>
      <c r="S1034" s="46"/>
      <c r="T1034" s="46"/>
      <c r="U1034" s="46"/>
      <c r="V1034" s="46"/>
      <c r="W1034" s="46"/>
    </row>
    <row r="1035" ht="16.5" spans="1:23">
      <c r="A1035" s="46"/>
      <c r="B1035" s="46"/>
      <c r="C1035" s="46"/>
      <c r="D1035" s="46"/>
      <c r="E1035" s="46"/>
      <c r="F1035" s="46"/>
      <c r="G1035" s="46"/>
      <c r="H1035" s="46"/>
      <c r="I1035" s="46"/>
      <c r="J1035" s="46"/>
      <c r="K1035" s="46"/>
      <c r="L1035" s="46"/>
      <c r="M1035" s="46"/>
      <c r="N1035" s="46"/>
      <c r="O1035" s="46"/>
      <c r="P1035" s="46"/>
      <c r="Q1035" s="46"/>
      <c r="R1035" s="46"/>
      <c r="S1035" s="46"/>
      <c r="T1035" s="46"/>
      <c r="U1035" s="46"/>
      <c r="V1035" s="46"/>
      <c r="W1035" s="46"/>
    </row>
    <row r="1036" ht="16.5" spans="1:23">
      <c r="A1036" s="46"/>
      <c r="B1036" s="46"/>
      <c r="C1036" s="4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  <c r="S1036" s="46"/>
      <c r="T1036" s="46"/>
      <c r="U1036" s="46"/>
      <c r="V1036" s="46"/>
      <c r="W1036" s="46"/>
    </row>
    <row r="1037" ht="16.5" spans="1:23">
      <c r="A1037" s="46"/>
      <c r="B1037" s="46"/>
      <c r="C1037" s="46"/>
      <c r="D1037" s="46"/>
      <c r="E1037" s="46"/>
      <c r="F1037" s="46"/>
      <c r="G1037" s="46"/>
      <c r="H1037" s="46"/>
      <c r="I1037" s="46"/>
      <c r="J1037" s="46"/>
      <c r="K1037" s="46"/>
      <c r="L1037" s="46"/>
      <c r="M1037" s="46"/>
      <c r="N1037" s="46"/>
      <c r="O1037" s="46"/>
      <c r="P1037" s="46"/>
      <c r="Q1037" s="46"/>
      <c r="R1037" s="46"/>
      <c r="S1037" s="46"/>
      <c r="T1037" s="46"/>
      <c r="U1037" s="46"/>
      <c r="V1037" s="46"/>
      <c r="W1037" s="46"/>
    </row>
    <row r="1038" ht="16.5" spans="1:23">
      <c r="A1038" s="46"/>
      <c r="B1038" s="46"/>
      <c r="C1038" s="46"/>
      <c r="D1038" s="46"/>
      <c r="E1038" s="46"/>
      <c r="F1038" s="46"/>
      <c r="G1038" s="46"/>
      <c r="H1038" s="46"/>
      <c r="I1038" s="46"/>
      <c r="J1038" s="46"/>
      <c r="K1038" s="46"/>
      <c r="L1038" s="46"/>
      <c r="M1038" s="46"/>
      <c r="N1038" s="46"/>
      <c r="O1038" s="46"/>
      <c r="P1038" s="46"/>
      <c r="Q1038" s="46"/>
      <c r="R1038" s="46"/>
      <c r="S1038" s="46"/>
      <c r="T1038" s="46"/>
      <c r="U1038" s="46"/>
      <c r="V1038" s="46"/>
      <c r="W1038" s="46"/>
    </row>
    <row r="1039" ht="16.5" spans="1:23">
      <c r="A1039" s="46"/>
      <c r="B1039" s="46"/>
      <c r="C1039" s="46"/>
      <c r="D1039" s="46"/>
      <c r="E1039" s="46"/>
      <c r="F1039" s="46"/>
      <c r="G1039" s="46"/>
      <c r="H1039" s="46"/>
      <c r="I1039" s="46"/>
      <c r="J1039" s="46"/>
      <c r="K1039" s="46"/>
      <c r="L1039" s="46"/>
      <c r="M1039" s="46"/>
      <c r="N1039" s="46"/>
      <c r="O1039" s="46"/>
      <c r="P1039" s="46"/>
      <c r="Q1039" s="46"/>
      <c r="R1039" s="46"/>
      <c r="S1039" s="46"/>
      <c r="T1039" s="46"/>
      <c r="U1039" s="46"/>
      <c r="V1039" s="46"/>
      <c r="W1039" s="46"/>
    </row>
    <row r="1040" ht="16.5" spans="1:23">
      <c r="A1040" s="46"/>
      <c r="B1040" s="46"/>
      <c r="C1040" s="4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  <c r="S1040" s="46"/>
      <c r="T1040" s="46"/>
      <c r="U1040" s="46"/>
      <c r="V1040" s="46"/>
      <c r="W1040" s="46"/>
    </row>
    <row r="1041" ht="16.5" spans="1:23">
      <c r="A1041" s="46"/>
      <c r="B1041" s="46"/>
      <c r="C1041" s="46"/>
      <c r="D1041" s="46"/>
      <c r="E1041" s="46"/>
      <c r="F1041" s="46"/>
      <c r="G1041" s="46"/>
      <c r="H1041" s="46"/>
      <c r="I1041" s="46"/>
      <c r="J1041" s="46"/>
      <c r="K1041" s="46"/>
      <c r="L1041" s="46"/>
      <c r="M1041" s="46"/>
      <c r="N1041" s="46"/>
      <c r="O1041" s="46"/>
      <c r="P1041" s="46"/>
      <c r="Q1041" s="46"/>
      <c r="R1041" s="46"/>
      <c r="S1041" s="46"/>
      <c r="T1041" s="46"/>
      <c r="U1041" s="46"/>
      <c r="V1041" s="46"/>
      <c r="W1041" s="46"/>
    </row>
    <row r="1042" ht="16.5" spans="1:23">
      <c r="A1042" s="46"/>
      <c r="B1042" s="46"/>
      <c r="C1042" s="46"/>
      <c r="D1042" s="46"/>
      <c r="E1042" s="46"/>
      <c r="F1042" s="46"/>
      <c r="G1042" s="46"/>
      <c r="H1042" s="46"/>
      <c r="I1042" s="46"/>
      <c r="J1042" s="46"/>
      <c r="K1042" s="46"/>
      <c r="L1042" s="46"/>
      <c r="M1042" s="46"/>
      <c r="N1042" s="46"/>
      <c r="O1042" s="46"/>
      <c r="P1042" s="46"/>
      <c r="Q1042" s="46"/>
      <c r="R1042" s="46"/>
      <c r="S1042" s="46"/>
      <c r="T1042" s="46"/>
      <c r="U1042" s="46"/>
      <c r="V1042" s="46"/>
      <c r="W1042" s="46"/>
    </row>
    <row r="1043" ht="16.5" spans="1:23">
      <c r="A1043" s="46"/>
      <c r="B1043" s="46"/>
      <c r="C1043" s="46"/>
      <c r="D1043" s="46"/>
      <c r="E1043" s="46"/>
      <c r="F1043" s="46"/>
      <c r="G1043" s="46"/>
      <c r="H1043" s="46"/>
      <c r="I1043" s="46"/>
      <c r="J1043" s="46"/>
      <c r="K1043" s="46"/>
      <c r="L1043" s="46"/>
      <c r="M1043" s="46"/>
      <c r="N1043" s="46"/>
      <c r="O1043" s="46"/>
      <c r="P1043" s="46"/>
      <c r="Q1043" s="46"/>
      <c r="R1043" s="46"/>
      <c r="S1043" s="46"/>
      <c r="T1043" s="46"/>
      <c r="U1043" s="46"/>
      <c r="V1043" s="46"/>
      <c r="W1043" s="46"/>
    </row>
    <row r="1044" ht="16.5" spans="1:23">
      <c r="A1044" s="46"/>
      <c r="B1044" s="46"/>
      <c r="C1044" s="4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  <c r="S1044" s="46"/>
      <c r="T1044" s="46"/>
      <c r="U1044" s="46"/>
      <c r="V1044" s="46"/>
      <c r="W1044" s="46"/>
    </row>
    <row r="1045" ht="16.5" spans="1:23">
      <c r="A1045" s="46"/>
      <c r="B1045" s="46"/>
      <c r="C1045" s="46"/>
      <c r="D1045" s="46"/>
      <c r="E1045" s="46"/>
      <c r="F1045" s="46"/>
      <c r="G1045" s="46"/>
      <c r="H1045" s="46"/>
      <c r="I1045" s="46"/>
      <c r="J1045" s="46"/>
      <c r="K1045" s="46"/>
      <c r="L1045" s="46"/>
      <c r="M1045" s="46"/>
      <c r="N1045" s="46"/>
      <c r="O1045" s="46"/>
      <c r="P1045" s="46"/>
      <c r="Q1045" s="46"/>
      <c r="R1045" s="46"/>
      <c r="S1045" s="46"/>
      <c r="T1045" s="46"/>
      <c r="U1045" s="46"/>
      <c r="V1045" s="46"/>
      <c r="W1045" s="46"/>
    </row>
    <row r="1046" ht="16.5" spans="1:23">
      <c r="A1046" s="46"/>
      <c r="B1046" s="46"/>
      <c r="C1046" s="46"/>
      <c r="D1046" s="46"/>
      <c r="E1046" s="46"/>
      <c r="F1046" s="46"/>
      <c r="G1046" s="46"/>
      <c r="H1046" s="46"/>
      <c r="I1046" s="46"/>
      <c r="J1046" s="46"/>
      <c r="K1046" s="46"/>
      <c r="L1046" s="46"/>
      <c r="M1046" s="46"/>
      <c r="N1046" s="46"/>
      <c r="O1046" s="46"/>
      <c r="P1046" s="46"/>
      <c r="Q1046" s="46"/>
      <c r="R1046" s="46"/>
      <c r="S1046" s="46"/>
      <c r="T1046" s="46"/>
      <c r="U1046" s="46"/>
      <c r="V1046" s="46"/>
      <c r="W1046" s="46"/>
    </row>
    <row r="1047" ht="16.5" spans="1:23">
      <c r="A1047" s="46"/>
      <c r="B1047" s="46"/>
      <c r="C1047" s="46"/>
      <c r="D1047" s="46"/>
      <c r="E1047" s="46"/>
      <c r="F1047" s="46"/>
      <c r="G1047" s="46"/>
      <c r="H1047" s="46"/>
      <c r="I1047" s="46"/>
      <c r="J1047" s="46"/>
      <c r="K1047" s="46"/>
      <c r="L1047" s="46"/>
      <c r="M1047" s="46"/>
      <c r="N1047" s="46"/>
      <c r="O1047" s="46"/>
      <c r="P1047" s="46"/>
      <c r="Q1047" s="46"/>
      <c r="R1047" s="46"/>
      <c r="S1047" s="46"/>
      <c r="T1047" s="46"/>
      <c r="U1047" s="46"/>
      <c r="V1047" s="46"/>
      <c r="W1047" s="46"/>
    </row>
    <row r="1048" ht="16.5" spans="1:23">
      <c r="A1048" s="46"/>
      <c r="B1048" s="46"/>
      <c r="C1048" s="4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  <c r="S1048" s="46"/>
      <c r="T1048" s="46"/>
      <c r="U1048" s="46"/>
      <c r="V1048" s="46"/>
      <c r="W1048" s="46"/>
    </row>
    <row r="1049" ht="16.5" spans="1:23">
      <c r="A1049" s="46"/>
      <c r="B1049" s="46"/>
      <c r="C1049" s="46"/>
      <c r="D1049" s="46"/>
      <c r="E1049" s="46"/>
      <c r="F1049" s="46"/>
      <c r="G1049" s="46"/>
      <c r="H1049" s="46"/>
      <c r="I1049" s="46"/>
      <c r="J1049" s="46"/>
      <c r="K1049" s="46"/>
      <c r="L1049" s="46"/>
      <c r="M1049" s="46"/>
      <c r="N1049" s="46"/>
      <c r="O1049" s="46"/>
      <c r="P1049" s="46"/>
      <c r="Q1049" s="46"/>
      <c r="R1049" s="46"/>
      <c r="S1049" s="46"/>
      <c r="T1049" s="46"/>
      <c r="U1049" s="46"/>
      <c r="V1049" s="46"/>
      <c r="W1049" s="46"/>
    </row>
    <row r="1050" ht="16.5" spans="1:23">
      <c r="A1050" s="46"/>
      <c r="B1050" s="46"/>
      <c r="C1050" s="46"/>
      <c r="D1050" s="46"/>
      <c r="E1050" s="46"/>
      <c r="F1050" s="46"/>
      <c r="G1050" s="46"/>
      <c r="H1050" s="46"/>
      <c r="I1050" s="46"/>
      <c r="J1050" s="46"/>
      <c r="K1050" s="46"/>
      <c r="L1050" s="46"/>
      <c r="M1050" s="46"/>
      <c r="N1050" s="46"/>
      <c r="O1050" s="46"/>
      <c r="P1050" s="46"/>
      <c r="Q1050" s="46"/>
      <c r="R1050" s="46"/>
      <c r="S1050" s="46"/>
      <c r="T1050" s="46"/>
      <c r="U1050" s="46"/>
      <c r="V1050" s="46"/>
      <c r="W1050" s="46"/>
    </row>
    <row r="1051" ht="16.5" spans="1:23">
      <c r="A1051" s="46"/>
      <c r="B1051" s="46"/>
      <c r="C1051" s="46"/>
      <c r="D1051" s="46"/>
      <c r="E1051" s="46"/>
      <c r="F1051" s="46"/>
      <c r="G1051" s="46"/>
      <c r="H1051" s="46"/>
      <c r="I1051" s="46"/>
      <c r="J1051" s="46"/>
      <c r="K1051" s="46"/>
      <c r="L1051" s="46"/>
      <c r="M1051" s="46"/>
      <c r="N1051" s="46"/>
      <c r="O1051" s="46"/>
      <c r="P1051" s="46"/>
      <c r="Q1051" s="46"/>
      <c r="R1051" s="46"/>
      <c r="S1051" s="46"/>
      <c r="T1051" s="46"/>
      <c r="U1051" s="46"/>
      <c r="V1051" s="46"/>
      <c r="W1051" s="46"/>
    </row>
    <row r="1052" ht="16.5" spans="1:23">
      <c r="A1052" s="46"/>
      <c r="B1052" s="46"/>
      <c r="C1052" s="4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  <c r="S1052" s="46"/>
      <c r="T1052" s="46"/>
      <c r="U1052" s="46"/>
      <c r="V1052" s="46"/>
      <c r="W1052" s="46"/>
    </row>
    <row r="1053" ht="16.5" spans="1:23">
      <c r="A1053" s="46"/>
      <c r="B1053" s="46"/>
      <c r="C1053" s="46"/>
      <c r="D1053" s="46"/>
      <c r="E1053" s="46"/>
      <c r="F1053" s="46"/>
      <c r="G1053" s="46"/>
      <c r="H1053" s="46"/>
      <c r="I1053" s="46"/>
      <c r="J1053" s="46"/>
      <c r="K1053" s="46"/>
      <c r="L1053" s="46"/>
      <c r="M1053" s="46"/>
      <c r="N1053" s="46"/>
      <c r="O1053" s="46"/>
      <c r="P1053" s="46"/>
      <c r="Q1053" s="46"/>
      <c r="R1053" s="46"/>
      <c r="S1053" s="46"/>
      <c r="T1053" s="46"/>
      <c r="U1053" s="46"/>
      <c r="V1053" s="46"/>
      <c r="W1053" s="46"/>
    </row>
    <row r="1054" ht="16.5" spans="1:23">
      <c r="A1054" s="46"/>
      <c r="B1054" s="46"/>
      <c r="C1054" s="46"/>
      <c r="D1054" s="46"/>
      <c r="E1054" s="46"/>
      <c r="F1054" s="46"/>
      <c r="G1054" s="46"/>
      <c r="H1054" s="46"/>
      <c r="I1054" s="46"/>
      <c r="J1054" s="46"/>
      <c r="K1054" s="46"/>
      <c r="L1054" s="46"/>
      <c r="M1054" s="46"/>
      <c r="N1054" s="46"/>
      <c r="O1054" s="46"/>
      <c r="P1054" s="46"/>
      <c r="Q1054" s="46"/>
      <c r="R1054" s="46"/>
      <c r="S1054" s="46"/>
      <c r="T1054" s="46"/>
      <c r="U1054" s="46"/>
      <c r="V1054" s="46"/>
      <c r="W1054" s="46"/>
    </row>
    <row r="1055" ht="16.5" spans="1:23">
      <c r="A1055" s="46"/>
      <c r="B1055" s="46"/>
      <c r="C1055" s="46"/>
      <c r="D1055" s="46"/>
      <c r="E1055" s="46"/>
      <c r="F1055" s="46"/>
      <c r="G1055" s="46"/>
      <c r="H1055" s="46"/>
      <c r="I1055" s="46"/>
      <c r="J1055" s="46"/>
      <c r="K1055" s="46"/>
      <c r="L1055" s="46"/>
      <c r="M1055" s="46"/>
      <c r="N1055" s="46"/>
      <c r="O1055" s="46"/>
      <c r="P1055" s="46"/>
      <c r="Q1055" s="46"/>
      <c r="R1055" s="46"/>
      <c r="S1055" s="46"/>
      <c r="T1055" s="46"/>
      <c r="U1055" s="46"/>
      <c r="V1055" s="46"/>
      <c r="W1055" s="46"/>
    </row>
    <row r="1056" ht="16.5" spans="1:23">
      <c r="A1056" s="46"/>
      <c r="B1056" s="46"/>
      <c r="C1056" s="4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  <c r="S1056" s="46"/>
      <c r="T1056" s="46"/>
      <c r="U1056" s="46"/>
      <c r="V1056" s="46"/>
      <c r="W1056" s="46"/>
    </row>
    <row r="1057" ht="16.5" spans="1:23">
      <c r="A1057" s="46"/>
      <c r="B1057" s="46"/>
      <c r="C1057" s="46"/>
      <c r="D1057" s="46"/>
      <c r="E1057" s="46"/>
      <c r="F1057" s="46"/>
      <c r="G1057" s="46"/>
      <c r="H1057" s="46"/>
      <c r="I1057" s="46"/>
      <c r="J1057" s="46"/>
      <c r="K1057" s="46"/>
      <c r="L1057" s="46"/>
      <c r="M1057" s="46"/>
      <c r="N1057" s="46"/>
      <c r="O1057" s="46"/>
      <c r="P1057" s="46"/>
      <c r="Q1057" s="46"/>
      <c r="R1057" s="46"/>
      <c r="S1057" s="46"/>
      <c r="T1057" s="46"/>
      <c r="U1057" s="46"/>
      <c r="V1057" s="46"/>
      <c r="W1057" s="46"/>
    </row>
    <row r="1058" ht="16.5" spans="1:23">
      <c r="A1058" s="46"/>
      <c r="B1058" s="46"/>
      <c r="C1058" s="46"/>
      <c r="D1058" s="46"/>
      <c r="E1058" s="46"/>
      <c r="F1058" s="46"/>
      <c r="G1058" s="46"/>
      <c r="H1058" s="46"/>
      <c r="I1058" s="46"/>
      <c r="J1058" s="46"/>
      <c r="K1058" s="46"/>
      <c r="L1058" s="46"/>
      <c r="M1058" s="46"/>
      <c r="N1058" s="46"/>
      <c r="O1058" s="46"/>
      <c r="P1058" s="46"/>
      <c r="Q1058" s="46"/>
      <c r="R1058" s="46"/>
      <c r="S1058" s="46"/>
      <c r="T1058" s="46"/>
      <c r="U1058" s="46"/>
      <c r="V1058" s="46"/>
      <c r="W1058" s="46"/>
    </row>
    <row r="1059" ht="16.5" spans="1:23">
      <c r="A1059" s="46"/>
      <c r="B1059" s="46"/>
      <c r="C1059" s="46"/>
      <c r="D1059" s="46"/>
      <c r="E1059" s="46"/>
      <c r="F1059" s="46"/>
      <c r="G1059" s="46"/>
      <c r="H1059" s="46"/>
      <c r="I1059" s="46"/>
      <c r="J1059" s="46"/>
      <c r="K1059" s="46"/>
      <c r="L1059" s="46"/>
      <c r="M1059" s="46"/>
      <c r="N1059" s="46"/>
      <c r="O1059" s="46"/>
      <c r="P1059" s="46"/>
      <c r="Q1059" s="46"/>
      <c r="R1059" s="46"/>
      <c r="S1059" s="46"/>
      <c r="T1059" s="46"/>
      <c r="U1059" s="46"/>
      <c r="V1059" s="46"/>
      <c r="W1059" s="46"/>
    </row>
    <row r="1060" ht="16.5" spans="1:23">
      <c r="A1060" s="46"/>
      <c r="B1060" s="46"/>
      <c r="C1060" s="4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  <c r="S1060" s="46"/>
      <c r="T1060" s="46"/>
      <c r="U1060" s="46"/>
      <c r="V1060" s="46"/>
      <c r="W1060" s="46"/>
    </row>
    <row r="1061" ht="16.5" spans="1:23">
      <c r="A1061" s="46"/>
      <c r="B1061" s="46"/>
      <c r="C1061" s="46"/>
      <c r="D1061" s="46"/>
      <c r="E1061" s="46"/>
      <c r="F1061" s="46"/>
      <c r="G1061" s="46"/>
      <c r="H1061" s="46"/>
      <c r="I1061" s="46"/>
      <c r="J1061" s="46"/>
      <c r="K1061" s="46"/>
      <c r="L1061" s="46"/>
      <c r="M1061" s="46"/>
      <c r="N1061" s="46"/>
      <c r="O1061" s="46"/>
      <c r="P1061" s="46"/>
      <c r="Q1061" s="46"/>
      <c r="R1061" s="46"/>
      <c r="S1061" s="46"/>
      <c r="T1061" s="46"/>
      <c r="U1061" s="46"/>
      <c r="V1061" s="46"/>
      <c r="W1061" s="46"/>
    </row>
    <row r="1062" ht="16.5" spans="1:23">
      <c r="A1062" s="46"/>
      <c r="B1062" s="46"/>
      <c r="C1062" s="46"/>
      <c r="D1062" s="46"/>
      <c r="E1062" s="46"/>
      <c r="F1062" s="46"/>
      <c r="G1062" s="46"/>
      <c r="H1062" s="46"/>
      <c r="I1062" s="46"/>
      <c r="J1062" s="46"/>
      <c r="K1062" s="46"/>
      <c r="L1062" s="46"/>
      <c r="M1062" s="46"/>
      <c r="N1062" s="46"/>
      <c r="O1062" s="46"/>
      <c r="P1062" s="46"/>
      <c r="Q1062" s="46"/>
      <c r="R1062" s="46"/>
      <c r="S1062" s="46"/>
      <c r="T1062" s="46"/>
      <c r="U1062" s="46"/>
      <c r="V1062" s="46"/>
      <c r="W1062" s="46"/>
    </row>
    <row r="1063" ht="16.5" spans="1:23">
      <c r="A1063" s="46"/>
      <c r="B1063" s="46"/>
      <c r="C1063" s="46"/>
      <c r="D1063" s="46"/>
      <c r="E1063" s="46"/>
      <c r="F1063" s="46"/>
      <c r="G1063" s="46"/>
      <c r="H1063" s="46"/>
      <c r="I1063" s="46"/>
      <c r="J1063" s="46"/>
      <c r="K1063" s="46"/>
      <c r="L1063" s="46"/>
      <c r="M1063" s="46"/>
      <c r="N1063" s="46"/>
      <c r="O1063" s="46"/>
      <c r="P1063" s="46"/>
      <c r="Q1063" s="46"/>
      <c r="R1063" s="46"/>
      <c r="S1063" s="46"/>
      <c r="T1063" s="46"/>
      <c r="U1063" s="46"/>
      <c r="V1063" s="46"/>
      <c r="W1063" s="46"/>
    </row>
    <row r="1064" ht="16.5" spans="1:23">
      <c r="A1064" s="46"/>
      <c r="B1064" s="46"/>
      <c r="C1064" s="4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  <c r="S1064" s="46"/>
      <c r="T1064" s="46"/>
      <c r="U1064" s="46"/>
      <c r="V1064" s="46"/>
      <c r="W1064" s="46"/>
    </row>
    <row r="1065" ht="16.5" spans="1:23">
      <c r="A1065" s="46"/>
      <c r="B1065" s="46"/>
      <c r="C1065" s="46"/>
      <c r="D1065" s="46"/>
      <c r="E1065" s="46"/>
      <c r="F1065" s="46"/>
      <c r="G1065" s="46"/>
      <c r="H1065" s="46"/>
      <c r="I1065" s="46"/>
      <c r="J1065" s="46"/>
      <c r="K1065" s="46"/>
      <c r="L1065" s="46"/>
      <c r="M1065" s="46"/>
      <c r="N1065" s="46"/>
      <c r="O1065" s="46"/>
      <c r="P1065" s="46"/>
      <c r="Q1065" s="46"/>
      <c r="R1065" s="46"/>
      <c r="S1065" s="46"/>
      <c r="T1065" s="46"/>
      <c r="U1065" s="46"/>
      <c r="V1065" s="46"/>
      <c r="W1065" s="46"/>
    </row>
    <row r="1066" ht="16.5" spans="1:23">
      <c r="A1066" s="46"/>
      <c r="B1066" s="46"/>
      <c r="C1066" s="46"/>
      <c r="D1066" s="46"/>
      <c r="E1066" s="46"/>
      <c r="F1066" s="46"/>
      <c r="G1066" s="46"/>
      <c r="H1066" s="46"/>
      <c r="I1066" s="46"/>
      <c r="J1066" s="46"/>
      <c r="K1066" s="46"/>
      <c r="L1066" s="46"/>
      <c r="M1066" s="46"/>
      <c r="N1066" s="46"/>
      <c r="O1066" s="46"/>
      <c r="P1066" s="46"/>
      <c r="Q1066" s="46"/>
      <c r="R1066" s="46"/>
      <c r="S1066" s="46"/>
      <c r="T1066" s="46"/>
      <c r="U1066" s="46"/>
      <c r="V1066" s="46"/>
      <c r="W1066" s="46"/>
    </row>
    <row r="1067" ht="16.5" spans="1:23">
      <c r="A1067" s="46"/>
      <c r="B1067" s="46"/>
      <c r="C1067" s="46"/>
      <c r="D1067" s="46"/>
      <c r="E1067" s="46"/>
      <c r="F1067" s="46"/>
      <c r="G1067" s="46"/>
      <c r="H1067" s="46"/>
      <c r="I1067" s="46"/>
      <c r="J1067" s="46"/>
      <c r="K1067" s="46"/>
      <c r="L1067" s="46"/>
      <c r="M1067" s="46"/>
      <c r="N1067" s="46"/>
      <c r="O1067" s="46"/>
      <c r="P1067" s="46"/>
      <c r="Q1067" s="46"/>
      <c r="R1067" s="46"/>
      <c r="S1067" s="46"/>
      <c r="T1067" s="46"/>
      <c r="U1067" s="46"/>
      <c r="V1067" s="46"/>
      <c r="W1067" s="46"/>
    </row>
    <row r="1068" ht="16.5" spans="1:23">
      <c r="A1068" s="46"/>
      <c r="B1068" s="46"/>
      <c r="C1068" s="4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  <c r="S1068" s="46"/>
      <c r="T1068" s="46"/>
      <c r="U1068" s="46"/>
      <c r="V1068" s="46"/>
      <c r="W1068" s="46"/>
    </row>
    <row r="1069" ht="16.5" spans="1:23">
      <c r="A1069" s="46"/>
      <c r="B1069" s="46"/>
      <c r="C1069" s="46"/>
      <c r="D1069" s="46"/>
      <c r="E1069" s="46"/>
      <c r="F1069" s="46"/>
      <c r="G1069" s="46"/>
      <c r="H1069" s="46"/>
      <c r="I1069" s="46"/>
      <c r="J1069" s="46"/>
      <c r="K1069" s="46"/>
      <c r="L1069" s="46"/>
      <c r="M1069" s="46"/>
      <c r="N1069" s="46"/>
      <c r="O1069" s="46"/>
      <c r="P1069" s="46"/>
      <c r="Q1069" s="46"/>
      <c r="R1069" s="46"/>
      <c r="S1069" s="46"/>
      <c r="T1069" s="46"/>
      <c r="U1069" s="46"/>
      <c r="V1069" s="46"/>
      <c r="W1069" s="46"/>
    </row>
    <row r="1070" ht="16.5" spans="1:23">
      <c r="A1070" s="46"/>
      <c r="B1070" s="46"/>
      <c r="C1070" s="46"/>
      <c r="D1070" s="46"/>
      <c r="E1070" s="46"/>
      <c r="F1070" s="46"/>
      <c r="G1070" s="46"/>
      <c r="H1070" s="46"/>
      <c r="I1070" s="46"/>
      <c r="J1070" s="46"/>
      <c r="K1070" s="46"/>
      <c r="L1070" s="46"/>
      <c r="M1070" s="46"/>
      <c r="N1070" s="46"/>
      <c r="O1070" s="46"/>
      <c r="P1070" s="46"/>
      <c r="Q1070" s="46"/>
      <c r="R1070" s="46"/>
      <c r="S1070" s="46"/>
      <c r="T1070" s="46"/>
      <c r="U1070" s="46"/>
      <c r="V1070" s="46"/>
      <c r="W1070" s="46"/>
    </row>
    <row r="1071" ht="16.5" spans="1:23">
      <c r="A1071" s="46"/>
      <c r="B1071" s="46"/>
      <c r="C1071" s="46"/>
      <c r="D1071" s="46"/>
      <c r="E1071" s="46"/>
      <c r="F1071" s="46"/>
      <c r="G1071" s="46"/>
      <c r="H1071" s="46"/>
      <c r="I1071" s="46"/>
      <c r="J1071" s="46"/>
      <c r="K1071" s="46"/>
      <c r="L1071" s="46"/>
      <c r="M1071" s="46"/>
      <c r="N1071" s="46"/>
      <c r="O1071" s="46"/>
      <c r="P1071" s="46"/>
      <c r="Q1071" s="46"/>
      <c r="R1071" s="46"/>
      <c r="S1071" s="46"/>
      <c r="T1071" s="46"/>
      <c r="U1071" s="46"/>
      <c r="V1071" s="46"/>
      <c r="W1071" s="46"/>
    </row>
    <row r="1072" ht="16.5" spans="1:23">
      <c r="A1072" s="46"/>
      <c r="B1072" s="46"/>
      <c r="C1072" s="4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  <c r="S1072" s="46"/>
      <c r="T1072" s="46"/>
      <c r="U1072" s="46"/>
      <c r="V1072" s="46"/>
      <c r="W1072" s="46"/>
    </row>
    <row r="1073" ht="16.5" spans="1:23">
      <c r="A1073" s="46"/>
      <c r="B1073" s="46"/>
      <c r="C1073" s="46"/>
      <c r="D1073" s="46"/>
      <c r="E1073" s="46"/>
      <c r="F1073" s="46"/>
      <c r="G1073" s="46"/>
      <c r="H1073" s="46"/>
      <c r="I1073" s="46"/>
      <c r="J1073" s="46"/>
      <c r="K1073" s="46"/>
      <c r="L1073" s="46"/>
      <c r="M1073" s="46"/>
      <c r="N1073" s="46"/>
      <c r="O1073" s="46"/>
      <c r="P1073" s="46"/>
      <c r="Q1073" s="46"/>
      <c r="R1073" s="46"/>
      <c r="S1073" s="46"/>
      <c r="T1073" s="46"/>
      <c r="U1073" s="46"/>
      <c r="V1073" s="46"/>
      <c r="W1073" s="46"/>
    </row>
    <row r="1074" ht="16.5" spans="1:23">
      <c r="A1074" s="46"/>
      <c r="B1074" s="46"/>
      <c r="C1074" s="46"/>
      <c r="D1074" s="46"/>
      <c r="E1074" s="46"/>
      <c r="F1074" s="46"/>
      <c r="G1074" s="46"/>
      <c r="H1074" s="46"/>
      <c r="I1074" s="46"/>
      <c r="J1074" s="46"/>
      <c r="K1074" s="46"/>
      <c r="L1074" s="46"/>
      <c r="M1074" s="46"/>
      <c r="N1074" s="46"/>
      <c r="O1074" s="46"/>
      <c r="P1074" s="46"/>
      <c r="Q1074" s="46"/>
      <c r="R1074" s="46"/>
      <c r="S1074" s="46"/>
      <c r="T1074" s="46"/>
      <c r="U1074" s="46"/>
      <c r="V1074" s="46"/>
      <c r="W1074" s="46"/>
    </row>
    <row r="1075" ht="16.5" spans="1:23">
      <c r="A1075" s="46"/>
      <c r="B1075" s="46"/>
      <c r="C1075" s="46"/>
      <c r="D1075" s="46"/>
      <c r="E1075" s="46"/>
      <c r="F1075" s="46"/>
      <c r="G1075" s="46"/>
      <c r="H1075" s="46"/>
      <c r="I1075" s="46"/>
      <c r="J1075" s="46"/>
      <c r="K1075" s="46"/>
      <c r="L1075" s="46"/>
      <c r="M1075" s="46"/>
      <c r="N1075" s="46"/>
      <c r="O1075" s="46"/>
      <c r="P1075" s="46"/>
      <c r="Q1075" s="46"/>
      <c r="R1075" s="46"/>
      <c r="S1075" s="46"/>
      <c r="T1075" s="46"/>
      <c r="U1075" s="46"/>
      <c r="V1075" s="46"/>
      <c r="W1075" s="46"/>
    </row>
    <row r="1076" ht="16.5" spans="1:23">
      <c r="A1076" s="46"/>
      <c r="B1076" s="46"/>
      <c r="C1076" s="4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  <c r="S1076" s="46"/>
      <c r="T1076" s="46"/>
      <c r="U1076" s="46"/>
      <c r="V1076" s="46"/>
      <c r="W1076" s="46"/>
    </row>
    <row r="1077" ht="16.5" spans="1:23">
      <c r="A1077" s="46"/>
      <c r="B1077" s="46"/>
      <c r="C1077" s="46"/>
      <c r="D1077" s="46"/>
      <c r="E1077" s="46"/>
      <c r="F1077" s="46"/>
      <c r="G1077" s="46"/>
      <c r="H1077" s="46"/>
      <c r="I1077" s="46"/>
      <c r="J1077" s="46"/>
      <c r="K1077" s="46"/>
      <c r="L1077" s="46"/>
      <c r="M1077" s="46"/>
      <c r="N1077" s="46"/>
      <c r="O1077" s="46"/>
      <c r="P1077" s="46"/>
      <c r="Q1077" s="46"/>
      <c r="R1077" s="46"/>
      <c r="S1077" s="46"/>
      <c r="T1077" s="46"/>
      <c r="U1077" s="46"/>
      <c r="V1077" s="46"/>
      <c r="W1077" s="46"/>
    </row>
    <row r="1078" ht="16.5" spans="1:23">
      <c r="A1078" s="46"/>
      <c r="B1078" s="46"/>
      <c r="C1078" s="46"/>
      <c r="D1078" s="46"/>
      <c r="E1078" s="46"/>
      <c r="F1078" s="46"/>
      <c r="G1078" s="46"/>
      <c r="H1078" s="46"/>
      <c r="I1078" s="46"/>
      <c r="J1078" s="46"/>
      <c r="K1078" s="46"/>
      <c r="L1078" s="46"/>
      <c r="M1078" s="46"/>
      <c r="N1078" s="46"/>
      <c r="O1078" s="46"/>
      <c r="P1078" s="46"/>
      <c r="Q1078" s="46"/>
      <c r="R1078" s="46"/>
      <c r="S1078" s="46"/>
      <c r="T1078" s="46"/>
      <c r="U1078" s="46"/>
      <c r="V1078" s="46"/>
      <c r="W1078" s="46"/>
    </row>
    <row r="1079" ht="16.5" spans="1:23">
      <c r="A1079" s="46"/>
      <c r="B1079" s="46"/>
      <c r="C1079" s="46"/>
      <c r="D1079" s="46"/>
      <c r="E1079" s="46"/>
      <c r="F1079" s="46"/>
      <c r="G1079" s="46"/>
      <c r="H1079" s="46"/>
      <c r="I1079" s="46"/>
      <c r="J1079" s="46"/>
      <c r="K1079" s="46"/>
      <c r="L1079" s="46"/>
      <c r="M1079" s="46"/>
      <c r="N1079" s="46"/>
      <c r="O1079" s="46"/>
      <c r="P1079" s="46"/>
      <c r="Q1079" s="46"/>
      <c r="R1079" s="46"/>
      <c r="S1079" s="46"/>
      <c r="T1079" s="46"/>
      <c r="U1079" s="46"/>
      <c r="V1079" s="46"/>
      <c r="W1079" s="46"/>
    </row>
    <row r="1080" ht="16.5" spans="1:23">
      <c r="A1080" s="46"/>
      <c r="B1080" s="46"/>
      <c r="C1080" s="4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  <c r="S1080" s="46"/>
      <c r="T1080" s="46"/>
      <c r="U1080" s="46"/>
      <c r="V1080" s="46"/>
      <c r="W1080" s="46"/>
    </row>
    <row r="1081" ht="16.5" spans="1:23">
      <c r="A1081" s="46"/>
      <c r="B1081" s="46"/>
      <c r="C1081" s="46"/>
      <c r="D1081" s="46"/>
      <c r="E1081" s="46"/>
      <c r="F1081" s="46"/>
      <c r="G1081" s="46"/>
      <c r="H1081" s="46"/>
      <c r="I1081" s="46"/>
      <c r="J1081" s="46"/>
      <c r="K1081" s="46"/>
      <c r="L1081" s="46"/>
      <c r="M1081" s="46"/>
      <c r="N1081" s="46"/>
      <c r="O1081" s="46"/>
      <c r="P1081" s="46"/>
      <c r="Q1081" s="46"/>
      <c r="R1081" s="46"/>
      <c r="S1081" s="46"/>
      <c r="T1081" s="46"/>
      <c r="U1081" s="46"/>
      <c r="V1081" s="46"/>
      <c r="W1081" s="46"/>
    </row>
    <row r="1082" ht="16.5" spans="1:23">
      <c r="A1082" s="46"/>
      <c r="B1082" s="46"/>
      <c r="C1082" s="46"/>
      <c r="D1082" s="46"/>
      <c r="E1082" s="46"/>
      <c r="F1082" s="46"/>
      <c r="G1082" s="46"/>
      <c r="H1082" s="46"/>
      <c r="I1082" s="46"/>
      <c r="J1082" s="46"/>
      <c r="K1082" s="46"/>
      <c r="L1082" s="46"/>
      <c r="M1082" s="46"/>
      <c r="N1082" s="46"/>
      <c r="O1082" s="46"/>
      <c r="P1082" s="46"/>
      <c r="Q1082" s="46"/>
      <c r="R1082" s="46"/>
      <c r="S1082" s="46"/>
      <c r="T1082" s="46"/>
      <c r="U1082" s="46"/>
      <c r="V1082" s="46"/>
      <c r="W1082" s="46"/>
    </row>
    <row r="1083" ht="16.5" spans="1:23">
      <c r="A1083" s="46"/>
      <c r="B1083" s="46"/>
      <c r="C1083" s="46"/>
      <c r="D1083" s="46"/>
      <c r="E1083" s="46"/>
      <c r="F1083" s="46"/>
      <c r="G1083" s="46"/>
      <c r="H1083" s="46"/>
      <c r="I1083" s="46"/>
      <c r="J1083" s="46"/>
      <c r="K1083" s="46"/>
      <c r="L1083" s="46"/>
      <c r="M1083" s="46"/>
      <c r="N1083" s="46"/>
      <c r="O1083" s="46"/>
      <c r="P1083" s="46"/>
      <c r="Q1083" s="46"/>
      <c r="R1083" s="46"/>
      <c r="S1083" s="46"/>
      <c r="T1083" s="46"/>
      <c r="U1083" s="46"/>
      <c r="V1083" s="46"/>
      <c r="W1083" s="46"/>
    </row>
    <row r="1084" ht="16.5" spans="1:23">
      <c r="A1084" s="46"/>
      <c r="B1084" s="46"/>
      <c r="C1084" s="4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  <c r="S1084" s="46"/>
      <c r="T1084" s="46"/>
      <c r="U1084" s="46"/>
      <c r="V1084" s="46"/>
      <c r="W1084" s="46"/>
    </row>
    <row r="1085" ht="16.5" spans="1:23">
      <c r="A1085" s="46"/>
      <c r="B1085" s="46"/>
      <c r="C1085" s="46"/>
      <c r="D1085" s="46"/>
      <c r="E1085" s="46"/>
      <c r="F1085" s="46"/>
      <c r="G1085" s="46"/>
      <c r="H1085" s="46"/>
      <c r="I1085" s="46"/>
      <c r="J1085" s="46"/>
      <c r="K1085" s="46"/>
      <c r="L1085" s="46"/>
      <c r="M1085" s="46"/>
      <c r="N1085" s="46"/>
      <c r="O1085" s="46"/>
      <c r="P1085" s="46"/>
      <c r="Q1085" s="46"/>
      <c r="R1085" s="46"/>
      <c r="S1085" s="46"/>
      <c r="T1085" s="46"/>
      <c r="U1085" s="46"/>
      <c r="V1085" s="46"/>
      <c r="W1085" s="46"/>
    </row>
    <row r="1086" ht="16.5" spans="1:23">
      <c r="A1086" s="46"/>
      <c r="B1086" s="46"/>
      <c r="C1086" s="46"/>
      <c r="D1086" s="46"/>
      <c r="E1086" s="46"/>
      <c r="F1086" s="46"/>
      <c r="G1086" s="46"/>
      <c r="H1086" s="46"/>
      <c r="I1086" s="46"/>
      <c r="J1086" s="46"/>
      <c r="K1086" s="46"/>
      <c r="L1086" s="46"/>
      <c r="M1086" s="46"/>
      <c r="N1086" s="46"/>
      <c r="O1086" s="46"/>
      <c r="P1086" s="46"/>
      <c r="Q1086" s="46"/>
      <c r="R1086" s="46"/>
      <c r="S1086" s="46"/>
      <c r="T1086" s="46"/>
      <c r="U1086" s="46"/>
      <c r="V1086" s="46"/>
      <c r="W1086" s="46"/>
    </row>
    <row r="1087" ht="16.5" spans="1:23">
      <c r="A1087" s="46"/>
      <c r="B1087" s="46"/>
      <c r="C1087" s="46"/>
      <c r="D1087" s="46"/>
      <c r="E1087" s="46"/>
      <c r="F1087" s="46"/>
      <c r="G1087" s="46"/>
      <c r="H1087" s="46"/>
      <c r="I1087" s="46"/>
      <c r="J1087" s="46"/>
      <c r="K1087" s="46"/>
      <c r="L1087" s="46"/>
      <c r="M1087" s="46"/>
      <c r="N1087" s="46"/>
      <c r="O1087" s="46"/>
      <c r="P1087" s="46"/>
      <c r="Q1087" s="46"/>
      <c r="R1087" s="46"/>
      <c r="S1087" s="46"/>
      <c r="T1087" s="46"/>
      <c r="U1087" s="46"/>
      <c r="V1087" s="46"/>
      <c r="W1087" s="46"/>
    </row>
    <row r="1088" ht="16.5" spans="1:23">
      <c r="A1088" s="46"/>
      <c r="B1088" s="46"/>
      <c r="C1088" s="4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  <c r="S1088" s="46"/>
      <c r="T1088" s="46"/>
      <c r="U1088" s="46"/>
      <c r="V1088" s="46"/>
      <c r="W1088" s="46"/>
    </row>
    <row r="1089" ht="16.5" spans="1:23">
      <c r="A1089" s="46"/>
      <c r="B1089" s="46"/>
      <c r="C1089" s="46"/>
      <c r="D1089" s="46"/>
      <c r="E1089" s="46"/>
      <c r="F1089" s="46"/>
      <c r="G1089" s="46"/>
      <c r="H1089" s="46"/>
      <c r="I1089" s="46"/>
      <c r="J1089" s="46"/>
      <c r="K1089" s="46"/>
      <c r="L1089" s="46"/>
      <c r="M1089" s="46"/>
      <c r="N1089" s="46"/>
      <c r="O1089" s="46"/>
      <c r="P1089" s="46"/>
      <c r="Q1089" s="46"/>
      <c r="R1089" s="46"/>
      <c r="S1089" s="46"/>
      <c r="T1089" s="46"/>
      <c r="U1089" s="46"/>
      <c r="V1089" s="46"/>
      <c r="W1089" s="46"/>
    </row>
    <row r="1090" ht="16.5" spans="1:23">
      <c r="A1090" s="46"/>
      <c r="B1090" s="46"/>
      <c r="C1090" s="46"/>
      <c r="D1090" s="46"/>
      <c r="E1090" s="46"/>
      <c r="F1090" s="46"/>
      <c r="G1090" s="46"/>
      <c r="H1090" s="46"/>
      <c r="I1090" s="46"/>
      <c r="J1090" s="46"/>
      <c r="K1090" s="46"/>
      <c r="L1090" s="46"/>
      <c r="M1090" s="46"/>
      <c r="N1090" s="46"/>
      <c r="O1090" s="46"/>
      <c r="P1090" s="46"/>
      <c r="Q1090" s="46"/>
      <c r="R1090" s="46"/>
      <c r="S1090" s="46"/>
      <c r="T1090" s="46"/>
      <c r="U1090" s="46"/>
      <c r="V1090" s="46"/>
      <c r="W1090" s="46"/>
    </row>
    <row r="1091" ht="16.5" spans="1:23">
      <c r="A1091" s="46"/>
      <c r="B1091" s="46"/>
      <c r="C1091" s="46"/>
      <c r="D1091" s="46"/>
      <c r="E1091" s="46"/>
      <c r="F1091" s="46"/>
      <c r="G1091" s="46"/>
      <c r="H1091" s="46"/>
      <c r="I1091" s="46"/>
      <c r="J1091" s="46"/>
      <c r="K1091" s="46"/>
      <c r="L1091" s="46"/>
      <c r="M1091" s="46"/>
      <c r="N1091" s="46"/>
      <c r="O1091" s="46"/>
      <c r="P1091" s="46"/>
      <c r="Q1091" s="46"/>
      <c r="R1091" s="46"/>
      <c r="S1091" s="46"/>
      <c r="T1091" s="46"/>
      <c r="U1091" s="46"/>
      <c r="V1091" s="46"/>
      <c r="W1091" s="46"/>
    </row>
    <row r="1092" ht="16.5" spans="1:23">
      <c r="A1092" s="46"/>
      <c r="B1092" s="46"/>
      <c r="C1092" s="4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  <c r="S1092" s="46"/>
      <c r="T1092" s="46"/>
      <c r="U1092" s="46"/>
      <c r="V1092" s="46"/>
      <c r="W1092" s="46"/>
    </row>
    <row r="1093" ht="16.5" spans="1:23">
      <c r="A1093" s="46"/>
      <c r="B1093" s="46"/>
      <c r="C1093" s="46"/>
      <c r="D1093" s="46"/>
      <c r="E1093" s="46"/>
      <c r="F1093" s="46"/>
      <c r="G1093" s="46"/>
      <c r="H1093" s="46"/>
      <c r="I1093" s="46"/>
      <c r="J1093" s="46"/>
      <c r="K1093" s="46"/>
      <c r="L1093" s="46"/>
      <c r="M1093" s="46"/>
      <c r="N1093" s="46"/>
      <c r="O1093" s="46"/>
      <c r="P1093" s="46"/>
      <c r="Q1093" s="46"/>
      <c r="R1093" s="46"/>
      <c r="S1093" s="46"/>
      <c r="T1093" s="46"/>
      <c r="U1093" s="46"/>
      <c r="V1093" s="46"/>
      <c r="W1093" s="46"/>
    </row>
    <row r="1094" ht="16.5" spans="1:23">
      <c r="A1094" s="46"/>
      <c r="B1094" s="46"/>
      <c r="C1094" s="46"/>
      <c r="D1094" s="46"/>
      <c r="E1094" s="46"/>
      <c r="F1094" s="46"/>
      <c r="G1094" s="46"/>
      <c r="H1094" s="46"/>
      <c r="I1094" s="46"/>
      <c r="J1094" s="46"/>
      <c r="K1094" s="46"/>
      <c r="L1094" s="46"/>
      <c r="M1094" s="46"/>
      <c r="N1094" s="46"/>
      <c r="O1094" s="46"/>
      <c r="P1094" s="46"/>
      <c r="Q1094" s="46"/>
      <c r="R1094" s="46"/>
      <c r="S1094" s="46"/>
      <c r="T1094" s="46"/>
      <c r="U1094" s="46"/>
      <c r="V1094" s="46"/>
      <c r="W1094" s="46"/>
    </row>
    <row r="1095" ht="16.5" spans="1:23">
      <c r="A1095" s="46"/>
      <c r="B1095" s="46"/>
      <c r="C1095" s="46"/>
      <c r="D1095" s="46"/>
      <c r="E1095" s="46"/>
      <c r="F1095" s="46"/>
      <c r="G1095" s="46"/>
      <c r="H1095" s="46"/>
      <c r="I1095" s="46"/>
      <c r="J1095" s="46"/>
      <c r="K1095" s="46"/>
      <c r="L1095" s="46"/>
      <c r="M1095" s="46"/>
      <c r="N1095" s="46"/>
      <c r="O1095" s="46"/>
      <c r="P1095" s="46"/>
      <c r="Q1095" s="46"/>
      <c r="R1095" s="46"/>
      <c r="S1095" s="46"/>
      <c r="T1095" s="46"/>
      <c r="U1095" s="46"/>
      <c r="V1095" s="46"/>
      <c r="W1095" s="46"/>
    </row>
    <row r="1096" ht="16.5" spans="1:23">
      <c r="A1096" s="46"/>
      <c r="B1096" s="46"/>
      <c r="C1096" s="4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  <c r="S1096" s="46"/>
      <c r="T1096" s="46"/>
      <c r="U1096" s="46"/>
      <c r="V1096" s="46"/>
      <c r="W1096" s="46"/>
    </row>
    <row r="1097" ht="16.5" spans="1:23">
      <c r="A1097" s="46"/>
      <c r="B1097" s="46"/>
      <c r="C1097" s="46"/>
      <c r="D1097" s="46"/>
      <c r="E1097" s="46"/>
      <c r="F1097" s="46"/>
      <c r="G1097" s="46"/>
      <c r="H1097" s="46"/>
      <c r="I1097" s="46"/>
      <c r="J1097" s="46"/>
      <c r="K1097" s="46"/>
      <c r="L1097" s="46"/>
      <c r="M1097" s="46"/>
      <c r="N1097" s="46"/>
      <c r="O1097" s="46"/>
      <c r="P1097" s="46"/>
      <c r="Q1097" s="46"/>
      <c r="R1097" s="46"/>
      <c r="S1097" s="46"/>
      <c r="T1097" s="46"/>
      <c r="U1097" s="46"/>
      <c r="V1097" s="46"/>
      <c r="W1097" s="46"/>
    </row>
    <row r="1098" ht="16.5" spans="1:23">
      <c r="A1098" s="46"/>
      <c r="B1098" s="46"/>
      <c r="C1098" s="46"/>
      <c r="D1098" s="46"/>
      <c r="E1098" s="46"/>
      <c r="F1098" s="46"/>
      <c r="G1098" s="46"/>
      <c r="H1098" s="46"/>
      <c r="I1098" s="46"/>
      <c r="J1098" s="46"/>
      <c r="K1098" s="46"/>
      <c r="L1098" s="46"/>
      <c r="M1098" s="46"/>
      <c r="N1098" s="46"/>
      <c r="O1098" s="46"/>
      <c r="P1098" s="46"/>
      <c r="Q1098" s="46"/>
      <c r="R1098" s="46"/>
      <c r="S1098" s="46"/>
      <c r="T1098" s="46"/>
      <c r="U1098" s="46"/>
      <c r="V1098" s="46"/>
      <c r="W1098" s="46"/>
    </row>
    <row r="1099" ht="16.5" spans="1:23">
      <c r="A1099" s="46"/>
      <c r="B1099" s="46"/>
      <c r="C1099" s="46"/>
      <c r="D1099" s="46"/>
      <c r="E1099" s="46"/>
      <c r="F1099" s="46"/>
      <c r="G1099" s="46"/>
      <c r="H1099" s="46"/>
      <c r="I1099" s="46"/>
      <c r="J1099" s="46"/>
      <c r="K1099" s="46"/>
      <c r="L1099" s="46"/>
      <c r="M1099" s="46"/>
      <c r="N1099" s="46"/>
      <c r="O1099" s="46"/>
      <c r="P1099" s="46"/>
      <c r="Q1099" s="46"/>
      <c r="R1099" s="46"/>
      <c r="S1099" s="46"/>
      <c r="T1099" s="46"/>
      <c r="U1099" s="46"/>
      <c r="V1099" s="46"/>
      <c r="W1099" s="46"/>
    </row>
    <row r="1100" ht="16.5" spans="1:23">
      <c r="A1100" s="46"/>
      <c r="B1100" s="46"/>
      <c r="C1100" s="4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  <c r="S1100" s="46"/>
      <c r="T1100" s="46"/>
      <c r="U1100" s="46"/>
      <c r="V1100" s="46"/>
      <c r="W1100" s="46"/>
    </row>
    <row r="1101" ht="16.5" spans="1:23">
      <c r="A1101" s="46"/>
      <c r="B1101" s="46"/>
      <c r="C1101" s="46"/>
      <c r="D1101" s="46"/>
      <c r="E1101" s="46"/>
      <c r="F1101" s="46"/>
      <c r="G1101" s="46"/>
      <c r="H1101" s="46"/>
      <c r="I1101" s="46"/>
      <c r="J1101" s="46"/>
      <c r="K1101" s="46"/>
      <c r="L1101" s="46"/>
      <c r="M1101" s="46"/>
      <c r="N1101" s="46"/>
      <c r="O1101" s="46"/>
      <c r="P1101" s="46"/>
      <c r="Q1101" s="46"/>
      <c r="R1101" s="46"/>
      <c r="S1101" s="46"/>
      <c r="T1101" s="46"/>
      <c r="U1101" s="46"/>
      <c r="V1101" s="46"/>
      <c r="W1101" s="46"/>
    </row>
    <row r="1102" ht="16.5" spans="1:23">
      <c r="A1102" s="46"/>
      <c r="B1102" s="46"/>
      <c r="C1102" s="46"/>
      <c r="D1102" s="46"/>
      <c r="E1102" s="46"/>
      <c r="F1102" s="46"/>
      <c r="G1102" s="46"/>
      <c r="H1102" s="46"/>
      <c r="I1102" s="46"/>
      <c r="J1102" s="46"/>
      <c r="K1102" s="46"/>
      <c r="L1102" s="46"/>
      <c r="M1102" s="46"/>
      <c r="N1102" s="46"/>
      <c r="O1102" s="46"/>
      <c r="P1102" s="46"/>
      <c r="Q1102" s="46"/>
      <c r="R1102" s="46"/>
      <c r="S1102" s="46"/>
      <c r="T1102" s="46"/>
      <c r="U1102" s="46"/>
      <c r="V1102" s="46"/>
      <c r="W1102" s="46"/>
    </row>
    <row r="1103" ht="16.5" spans="1:23">
      <c r="A1103" s="46"/>
      <c r="B1103" s="46"/>
      <c r="C1103" s="46"/>
      <c r="D1103" s="46"/>
      <c r="E1103" s="46"/>
      <c r="F1103" s="46"/>
      <c r="G1103" s="46"/>
      <c r="H1103" s="46"/>
      <c r="I1103" s="46"/>
      <c r="J1103" s="46"/>
      <c r="K1103" s="46"/>
      <c r="L1103" s="46"/>
      <c r="M1103" s="46"/>
      <c r="N1103" s="46"/>
      <c r="O1103" s="46"/>
      <c r="P1103" s="46"/>
      <c r="Q1103" s="46"/>
      <c r="R1103" s="46"/>
      <c r="S1103" s="46"/>
      <c r="T1103" s="46"/>
      <c r="U1103" s="46"/>
      <c r="V1103" s="46"/>
      <c r="W1103" s="46"/>
    </row>
    <row r="1104" ht="16.5" spans="1:23">
      <c r="A1104" s="46"/>
      <c r="B1104" s="46"/>
      <c r="C1104" s="4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  <c r="S1104" s="46"/>
      <c r="T1104" s="46"/>
      <c r="U1104" s="46"/>
      <c r="V1104" s="46"/>
      <c r="W1104" s="46"/>
    </row>
    <row r="1105" ht="16.5" spans="1:23">
      <c r="A1105" s="46"/>
      <c r="B1105" s="46"/>
      <c r="C1105" s="46"/>
      <c r="D1105" s="46"/>
      <c r="E1105" s="46"/>
      <c r="F1105" s="46"/>
      <c r="G1105" s="46"/>
      <c r="H1105" s="46"/>
      <c r="I1105" s="46"/>
      <c r="J1105" s="46"/>
      <c r="K1105" s="46"/>
      <c r="L1105" s="46"/>
      <c r="M1105" s="46"/>
      <c r="N1105" s="46"/>
      <c r="O1105" s="46"/>
      <c r="P1105" s="46"/>
      <c r="Q1105" s="46"/>
      <c r="R1105" s="46"/>
      <c r="S1105" s="46"/>
      <c r="T1105" s="46"/>
      <c r="U1105" s="46"/>
      <c r="V1105" s="46"/>
      <c r="W1105" s="46"/>
    </row>
    <row r="1106" ht="16.5" spans="1:23">
      <c r="A1106" s="46"/>
      <c r="B1106" s="46"/>
      <c r="C1106" s="46"/>
      <c r="D1106" s="46"/>
      <c r="E1106" s="46"/>
      <c r="F1106" s="46"/>
      <c r="G1106" s="46"/>
      <c r="H1106" s="46"/>
      <c r="I1106" s="46"/>
      <c r="J1106" s="46"/>
      <c r="K1106" s="46"/>
      <c r="L1106" s="46"/>
      <c r="M1106" s="46"/>
      <c r="N1106" s="46"/>
      <c r="O1106" s="46"/>
      <c r="P1106" s="46"/>
      <c r="Q1106" s="46"/>
      <c r="R1106" s="46"/>
      <c r="S1106" s="46"/>
      <c r="T1106" s="46"/>
      <c r="U1106" s="46"/>
      <c r="V1106" s="46"/>
      <c r="W1106" s="46"/>
    </row>
    <row r="1107" ht="16.5" spans="1:23">
      <c r="A1107" s="46"/>
      <c r="B1107" s="46"/>
      <c r="C1107" s="46"/>
      <c r="D1107" s="46"/>
      <c r="E1107" s="46"/>
      <c r="F1107" s="46"/>
      <c r="G1107" s="46"/>
      <c r="H1107" s="46"/>
      <c r="I1107" s="46"/>
      <c r="J1107" s="46"/>
      <c r="K1107" s="46"/>
      <c r="L1107" s="46"/>
      <c r="M1107" s="46"/>
      <c r="N1107" s="46"/>
      <c r="O1107" s="46"/>
      <c r="P1107" s="46"/>
      <c r="Q1107" s="46"/>
      <c r="R1107" s="46"/>
      <c r="S1107" s="46"/>
      <c r="T1107" s="46"/>
      <c r="U1107" s="46"/>
      <c r="V1107" s="46"/>
      <c r="W1107" s="46"/>
    </row>
    <row r="1108" ht="16.5" spans="1:23">
      <c r="A1108" s="46"/>
      <c r="B1108" s="46"/>
      <c r="C1108" s="4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  <c r="S1108" s="46"/>
      <c r="T1108" s="46"/>
      <c r="U1108" s="46"/>
      <c r="V1108" s="46"/>
      <c r="W1108" s="46"/>
    </row>
    <row r="1109" ht="16.5" spans="1:23">
      <c r="A1109" s="46"/>
      <c r="B1109" s="46"/>
      <c r="C1109" s="46"/>
      <c r="D1109" s="46"/>
      <c r="E1109" s="46"/>
      <c r="F1109" s="46"/>
      <c r="G1109" s="46"/>
      <c r="H1109" s="46"/>
      <c r="I1109" s="46"/>
      <c r="J1109" s="46"/>
      <c r="K1109" s="46"/>
      <c r="L1109" s="46"/>
      <c r="M1109" s="46"/>
      <c r="N1109" s="46"/>
      <c r="O1109" s="46"/>
      <c r="P1109" s="46"/>
      <c r="Q1109" s="46"/>
      <c r="R1109" s="46"/>
      <c r="S1109" s="46"/>
      <c r="T1109" s="46"/>
      <c r="U1109" s="46"/>
      <c r="V1109" s="46"/>
      <c r="W1109" s="46"/>
    </row>
    <row r="1110" ht="16.5" spans="1:23">
      <c r="A1110" s="46"/>
      <c r="B1110" s="46"/>
      <c r="C1110" s="46"/>
      <c r="D1110" s="46"/>
      <c r="E1110" s="46"/>
      <c r="F1110" s="46"/>
      <c r="G1110" s="46"/>
      <c r="H1110" s="46"/>
      <c r="I1110" s="46"/>
      <c r="J1110" s="46"/>
      <c r="K1110" s="46"/>
      <c r="L1110" s="46"/>
      <c r="M1110" s="46"/>
      <c r="N1110" s="46"/>
      <c r="O1110" s="46"/>
      <c r="P1110" s="46"/>
      <c r="Q1110" s="46"/>
      <c r="R1110" s="46"/>
      <c r="S1110" s="46"/>
      <c r="T1110" s="46"/>
      <c r="U1110" s="46"/>
      <c r="V1110" s="46"/>
      <c r="W1110" s="46"/>
    </row>
    <row r="1111" ht="16.5" spans="1:23">
      <c r="A1111" s="46"/>
      <c r="B1111" s="46"/>
      <c r="C1111" s="46"/>
      <c r="D1111" s="46"/>
      <c r="E1111" s="46"/>
      <c r="F1111" s="46"/>
      <c r="G1111" s="46"/>
      <c r="H1111" s="46"/>
      <c r="I1111" s="46"/>
      <c r="J1111" s="46"/>
      <c r="K1111" s="46"/>
      <c r="L1111" s="46"/>
      <c r="M1111" s="46"/>
      <c r="N1111" s="46"/>
      <c r="O1111" s="46"/>
      <c r="P1111" s="46"/>
      <c r="Q1111" s="46"/>
      <c r="R1111" s="46"/>
      <c r="S1111" s="46"/>
      <c r="T1111" s="46"/>
      <c r="U1111" s="46"/>
      <c r="V1111" s="46"/>
      <c r="W1111" s="46"/>
    </row>
    <row r="1112" ht="16.5" spans="1:23">
      <c r="A1112" s="46"/>
      <c r="B1112" s="46"/>
      <c r="C1112" s="4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  <c r="S1112" s="46"/>
      <c r="T1112" s="46"/>
      <c r="U1112" s="46"/>
      <c r="V1112" s="46"/>
      <c r="W1112" s="46"/>
    </row>
    <row r="1113" ht="16.5" spans="1:23">
      <c r="A1113" s="46"/>
      <c r="B1113" s="46"/>
      <c r="C1113" s="46"/>
      <c r="D1113" s="46"/>
      <c r="E1113" s="46"/>
      <c r="F1113" s="46"/>
      <c r="G1113" s="46"/>
      <c r="H1113" s="46"/>
      <c r="I1113" s="46"/>
      <c r="J1113" s="46"/>
      <c r="K1113" s="46"/>
      <c r="L1113" s="46"/>
      <c r="M1113" s="46"/>
      <c r="N1113" s="46"/>
      <c r="O1113" s="46"/>
      <c r="P1113" s="46"/>
      <c r="Q1113" s="46"/>
      <c r="R1113" s="46"/>
      <c r="S1113" s="46"/>
      <c r="T1113" s="46"/>
      <c r="U1113" s="46"/>
      <c r="V1113" s="46"/>
      <c r="W1113" s="46"/>
    </row>
    <row r="1114" ht="16.5" spans="1:23">
      <c r="A1114" s="46"/>
      <c r="B1114" s="46"/>
      <c r="C1114" s="46"/>
      <c r="D1114" s="46"/>
      <c r="E1114" s="46"/>
      <c r="F1114" s="46"/>
      <c r="G1114" s="46"/>
      <c r="H1114" s="46"/>
      <c r="I1114" s="46"/>
      <c r="J1114" s="46"/>
      <c r="K1114" s="46"/>
      <c r="L1114" s="46"/>
      <c r="M1114" s="46"/>
      <c r="N1114" s="46"/>
      <c r="O1114" s="46"/>
      <c r="P1114" s="46"/>
      <c r="Q1114" s="46"/>
      <c r="R1114" s="46"/>
      <c r="S1114" s="46"/>
      <c r="T1114" s="46"/>
      <c r="U1114" s="46"/>
      <c r="V1114" s="46"/>
      <c r="W1114" s="46"/>
    </row>
    <row r="1115" ht="16.5" spans="1:23">
      <c r="A1115" s="46"/>
      <c r="B1115" s="46"/>
      <c r="C1115" s="46"/>
      <c r="D1115" s="46"/>
      <c r="E1115" s="46"/>
      <c r="F1115" s="46"/>
      <c r="G1115" s="46"/>
      <c r="H1115" s="46"/>
      <c r="I1115" s="46"/>
      <c r="J1115" s="46"/>
      <c r="K1115" s="46"/>
      <c r="L1115" s="46"/>
      <c r="M1115" s="46"/>
      <c r="N1115" s="46"/>
      <c r="O1115" s="46"/>
      <c r="P1115" s="46"/>
      <c r="Q1115" s="46"/>
      <c r="R1115" s="46"/>
      <c r="S1115" s="46"/>
      <c r="T1115" s="46"/>
      <c r="U1115" s="46"/>
      <c r="V1115" s="46"/>
      <c r="W1115" s="46"/>
    </row>
    <row r="1116" ht="16.5" spans="1:23">
      <c r="A1116" s="46"/>
      <c r="B1116" s="46"/>
      <c r="C1116" s="4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  <c r="S1116" s="46"/>
      <c r="T1116" s="46"/>
      <c r="U1116" s="46"/>
      <c r="V1116" s="46"/>
      <c r="W1116" s="46"/>
    </row>
    <row r="1117" ht="16.5" spans="1:23">
      <c r="A1117" s="46"/>
      <c r="B1117" s="46"/>
      <c r="C1117" s="46"/>
      <c r="D1117" s="46"/>
      <c r="E1117" s="46"/>
      <c r="F1117" s="46"/>
      <c r="G1117" s="46"/>
      <c r="H1117" s="46"/>
      <c r="I1117" s="46"/>
      <c r="J1117" s="46"/>
      <c r="K1117" s="46"/>
      <c r="L1117" s="46"/>
      <c r="M1117" s="46"/>
      <c r="N1117" s="46"/>
      <c r="O1117" s="46"/>
      <c r="P1117" s="46"/>
      <c r="Q1117" s="46"/>
      <c r="R1117" s="46"/>
      <c r="S1117" s="46"/>
      <c r="T1117" s="46"/>
      <c r="U1117" s="46"/>
      <c r="V1117" s="46"/>
      <c r="W1117" s="46"/>
    </row>
    <row r="1118" ht="16.5" spans="1:23">
      <c r="A1118" s="46"/>
      <c r="B1118" s="46"/>
      <c r="C1118" s="46"/>
      <c r="D1118" s="46"/>
      <c r="E1118" s="46"/>
      <c r="F1118" s="46"/>
      <c r="G1118" s="46"/>
      <c r="H1118" s="46"/>
      <c r="I1118" s="46"/>
      <c r="J1118" s="46"/>
      <c r="K1118" s="46"/>
      <c r="L1118" s="46"/>
      <c r="M1118" s="46"/>
      <c r="N1118" s="46"/>
      <c r="O1118" s="46"/>
      <c r="P1118" s="46"/>
      <c r="Q1118" s="46"/>
      <c r="R1118" s="46"/>
      <c r="S1118" s="46"/>
      <c r="T1118" s="46"/>
      <c r="U1118" s="46"/>
      <c r="V1118" s="46"/>
      <c r="W1118" s="46"/>
    </row>
    <row r="1119" ht="16.5" spans="1:23">
      <c r="A1119" s="46"/>
      <c r="B1119" s="46"/>
      <c r="C1119" s="46"/>
      <c r="D1119" s="46"/>
      <c r="E1119" s="46"/>
      <c r="F1119" s="46"/>
      <c r="G1119" s="46"/>
      <c r="H1119" s="46"/>
      <c r="I1119" s="46"/>
      <c r="J1119" s="46"/>
      <c r="K1119" s="46"/>
      <c r="L1119" s="46"/>
      <c r="M1119" s="46"/>
      <c r="N1119" s="46"/>
      <c r="O1119" s="46"/>
      <c r="P1119" s="46"/>
      <c r="Q1119" s="46"/>
      <c r="R1119" s="46"/>
      <c r="S1119" s="46"/>
      <c r="T1119" s="46"/>
      <c r="U1119" s="46"/>
      <c r="V1119" s="46"/>
      <c r="W1119" s="46"/>
    </row>
    <row r="1120" ht="16.5" spans="1:23">
      <c r="A1120" s="46"/>
      <c r="B1120" s="46"/>
      <c r="C1120" s="4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  <c r="S1120" s="46"/>
      <c r="T1120" s="46"/>
      <c r="U1120" s="46"/>
      <c r="V1120" s="46"/>
      <c r="W1120" s="46"/>
    </row>
    <row r="1121" ht="16.5" spans="1:23">
      <c r="A1121" s="46"/>
      <c r="B1121" s="46"/>
      <c r="C1121" s="46"/>
      <c r="D1121" s="46"/>
      <c r="E1121" s="46"/>
      <c r="F1121" s="46"/>
      <c r="G1121" s="46"/>
      <c r="H1121" s="46"/>
      <c r="I1121" s="46"/>
      <c r="J1121" s="46"/>
      <c r="K1121" s="46"/>
      <c r="L1121" s="46"/>
      <c r="M1121" s="46"/>
      <c r="N1121" s="46"/>
      <c r="O1121" s="46"/>
      <c r="P1121" s="46"/>
      <c r="Q1121" s="46"/>
      <c r="R1121" s="46"/>
      <c r="S1121" s="46"/>
      <c r="T1121" s="46"/>
      <c r="U1121" s="46"/>
      <c r="V1121" s="46"/>
      <c r="W1121" s="46"/>
    </row>
    <row r="1122" ht="16.5" spans="1:23">
      <c r="A1122" s="46"/>
      <c r="B1122" s="46"/>
      <c r="C1122" s="46"/>
      <c r="D1122" s="46"/>
      <c r="E1122" s="46"/>
      <c r="F1122" s="46"/>
      <c r="G1122" s="46"/>
      <c r="H1122" s="46"/>
      <c r="I1122" s="46"/>
      <c r="J1122" s="46"/>
      <c r="K1122" s="46"/>
      <c r="L1122" s="46"/>
      <c r="M1122" s="46"/>
      <c r="N1122" s="46"/>
      <c r="O1122" s="46"/>
      <c r="P1122" s="46"/>
      <c r="Q1122" s="46"/>
      <c r="R1122" s="46"/>
      <c r="S1122" s="46"/>
      <c r="T1122" s="46"/>
      <c r="U1122" s="46"/>
      <c r="V1122" s="46"/>
      <c r="W1122" s="46"/>
    </row>
    <row r="1123" ht="16.5" spans="1:23">
      <c r="A1123" s="46"/>
      <c r="B1123" s="46"/>
      <c r="C1123" s="46"/>
      <c r="D1123" s="46"/>
      <c r="E1123" s="46"/>
      <c r="F1123" s="46"/>
      <c r="G1123" s="46"/>
      <c r="H1123" s="46"/>
      <c r="I1123" s="46"/>
      <c r="J1123" s="46"/>
      <c r="K1123" s="46"/>
      <c r="L1123" s="46"/>
      <c r="M1123" s="46"/>
      <c r="N1123" s="46"/>
      <c r="O1123" s="46"/>
      <c r="P1123" s="46"/>
      <c r="Q1123" s="46"/>
      <c r="R1123" s="46"/>
      <c r="S1123" s="46"/>
      <c r="T1123" s="46"/>
      <c r="U1123" s="46"/>
      <c r="V1123" s="46"/>
      <c r="W1123" s="46"/>
    </row>
    <row r="1124" ht="16.5" spans="1:23">
      <c r="A1124" s="46"/>
      <c r="B1124" s="46"/>
      <c r="C1124" s="4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  <c r="S1124" s="46"/>
      <c r="T1124" s="46"/>
      <c r="U1124" s="46"/>
      <c r="V1124" s="46"/>
      <c r="W1124" s="46"/>
    </row>
    <row r="1125" ht="16.5" spans="1:23">
      <c r="A1125" s="46"/>
      <c r="B1125" s="46"/>
      <c r="C1125" s="46"/>
      <c r="D1125" s="46"/>
      <c r="E1125" s="46"/>
      <c r="F1125" s="46"/>
      <c r="G1125" s="46"/>
      <c r="H1125" s="46"/>
      <c r="I1125" s="46"/>
      <c r="J1125" s="46"/>
      <c r="K1125" s="46"/>
      <c r="L1125" s="46"/>
      <c r="M1125" s="46"/>
      <c r="N1125" s="46"/>
      <c r="O1125" s="46"/>
      <c r="P1125" s="46"/>
      <c r="Q1125" s="46"/>
      <c r="R1125" s="46"/>
      <c r="S1125" s="46"/>
      <c r="T1125" s="46"/>
      <c r="U1125" s="46"/>
      <c r="V1125" s="46"/>
      <c r="W1125" s="46"/>
    </row>
    <row r="1126" ht="16.5" spans="1:23">
      <c r="A1126" s="46"/>
      <c r="B1126" s="46"/>
      <c r="C1126" s="46"/>
      <c r="D1126" s="46"/>
      <c r="E1126" s="46"/>
      <c r="F1126" s="46"/>
      <c r="G1126" s="46"/>
      <c r="H1126" s="46"/>
      <c r="I1126" s="46"/>
      <c r="J1126" s="46"/>
      <c r="K1126" s="46"/>
      <c r="L1126" s="46"/>
      <c r="M1126" s="46"/>
      <c r="N1126" s="46"/>
      <c r="O1126" s="46"/>
      <c r="P1126" s="46"/>
      <c r="Q1126" s="46"/>
      <c r="R1126" s="46"/>
      <c r="S1126" s="46"/>
      <c r="T1126" s="46"/>
      <c r="U1126" s="46"/>
      <c r="V1126" s="46"/>
      <c r="W1126" s="46"/>
    </row>
    <row r="1127" ht="16.5" spans="1:23">
      <c r="A1127" s="46"/>
      <c r="B1127" s="46"/>
      <c r="C1127" s="46"/>
      <c r="D1127" s="46"/>
      <c r="E1127" s="46"/>
      <c r="F1127" s="46"/>
      <c r="G1127" s="46"/>
      <c r="H1127" s="46"/>
      <c r="I1127" s="46"/>
      <c r="J1127" s="46"/>
      <c r="K1127" s="46"/>
      <c r="L1127" s="46"/>
      <c r="M1127" s="46"/>
      <c r="N1127" s="46"/>
      <c r="O1127" s="46"/>
      <c r="P1127" s="46"/>
      <c r="Q1127" s="46"/>
      <c r="R1127" s="46"/>
      <c r="S1127" s="46"/>
      <c r="T1127" s="46"/>
      <c r="U1127" s="46"/>
      <c r="V1127" s="46"/>
      <c r="W1127" s="46"/>
    </row>
    <row r="1128" ht="16.5" spans="1:23">
      <c r="A1128" s="46"/>
      <c r="B1128" s="46"/>
      <c r="C1128" s="4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  <c r="S1128" s="46"/>
      <c r="T1128" s="46"/>
      <c r="U1128" s="46"/>
      <c r="V1128" s="46"/>
      <c r="W1128" s="46"/>
    </row>
    <row r="1129" ht="16.5" spans="1:23">
      <c r="A1129" s="46"/>
      <c r="B1129" s="46"/>
      <c r="C1129" s="46"/>
      <c r="D1129" s="46"/>
      <c r="E1129" s="46"/>
      <c r="F1129" s="46"/>
      <c r="G1129" s="46"/>
      <c r="H1129" s="46"/>
      <c r="I1129" s="46"/>
      <c r="J1129" s="46"/>
      <c r="K1129" s="46"/>
      <c r="L1129" s="46"/>
      <c r="M1129" s="46"/>
      <c r="N1129" s="46"/>
      <c r="O1129" s="46"/>
      <c r="P1129" s="46"/>
      <c r="Q1129" s="46"/>
      <c r="R1129" s="46"/>
      <c r="S1129" s="46"/>
      <c r="T1129" s="46"/>
      <c r="U1129" s="46"/>
      <c r="V1129" s="46"/>
      <c r="W1129" s="46"/>
    </row>
    <row r="1130" ht="16.5" spans="1:23">
      <c r="A1130" s="46"/>
      <c r="B1130" s="46"/>
      <c r="C1130" s="46"/>
      <c r="D1130" s="46"/>
      <c r="E1130" s="46"/>
      <c r="F1130" s="46"/>
      <c r="G1130" s="46"/>
      <c r="H1130" s="46"/>
      <c r="I1130" s="46"/>
      <c r="J1130" s="46"/>
      <c r="K1130" s="46"/>
      <c r="L1130" s="46"/>
      <c r="M1130" s="46"/>
      <c r="N1130" s="46"/>
      <c r="O1130" s="46"/>
      <c r="P1130" s="46"/>
      <c r="Q1130" s="46"/>
      <c r="R1130" s="46"/>
      <c r="S1130" s="46"/>
      <c r="T1130" s="46"/>
      <c r="U1130" s="46"/>
      <c r="V1130" s="46"/>
      <c r="W1130" s="46"/>
    </row>
    <row r="1131" ht="16.5" spans="1:23">
      <c r="A1131" s="46"/>
      <c r="B1131" s="46"/>
      <c r="C1131" s="46"/>
      <c r="D1131" s="46"/>
      <c r="E1131" s="46"/>
      <c r="F1131" s="46"/>
      <c r="G1131" s="46"/>
      <c r="H1131" s="46"/>
      <c r="I1131" s="46"/>
      <c r="J1131" s="46"/>
      <c r="K1131" s="46"/>
      <c r="L1131" s="46"/>
      <c r="M1131" s="46"/>
      <c r="N1131" s="46"/>
      <c r="O1131" s="46"/>
      <c r="P1131" s="46"/>
      <c r="Q1131" s="46"/>
      <c r="R1131" s="46"/>
      <c r="S1131" s="46"/>
      <c r="T1131" s="46"/>
      <c r="U1131" s="46"/>
      <c r="V1131" s="46"/>
      <c r="W1131" s="46"/>
    </row>
    <row r="1132" ht="16.5" spans="1:23">
      <c r="A1132" s="46"/>
      <c r="B1132" s="46"/>
      <c r="C1132" s="4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  <c r="S1132" s="46"/>
      <c r="T1132" s="46"/>
      <c r="U1132" s="46"/>
      <c r="V1132" s="46"/>
      <c r="W1132" s="46"/>
    </row>
    <row r="1133" ht="16.5" spans="1:23">
      <c r="A1133" s="46"/>
      <c r="B1133" s="46"/>
      <c r="C1133" s="46"/>
      <c r="D1133" s="46"/>
      <c r="E1133" s="46"/>
      <c r="F1133" s="46"/>
      <c r="G1133" s="46"/>
      <c r="H1133" s="46"/>
      <c r="I1133" s="46"/>
      <c r="J1133" s="46"/>
      <c r="K1133" s="46"/>
      <c r="L1133" s="46"/>
      <c r="M1133" s="46"/>
      <c r="N1133" s="46"/>
      <c r="O1133" s="46"/>
      <c r="P1133" s="46"/>
      <c r="Q1133" s="46"/>
      <c r="R1133" s="46"/>
      <c r="S1133" s="46"/>
      <c r="T1133" s="46"/>
      <c r="U1133" s="46"/>
      <c r="V1133" s="46"/>
      <c r="W1133" s="46"/>
    </row>
    <row r="1134" ht="16.5" spans="1:23">
      <c r="A1134" s="46"/>
      <c r="B1134" s="46"/>
      <c r="C1134" s="46"/>
      <c r="D1134" s="46"/>
      <c r="E1134" s="46"/>
      <c r="F1134" s="46"/>
      <c r="G1134" s="46"/>
      <c r="H1134" s="46"/>
      <c r="I1134" s="46"/>
      <c r="J1134" s="46"/>
      <c r="K1134" s="46"/>
      <c r="L1134" s="46"/>
      <c r="M1134" s="46"/>
      <c r="N1134" s="46"/>
      <c r="O1134" s="46"/>
      <c r="P1134" s="46"/>
      <c r="Q1134" s="46"/>
      <c r="R1134" s="46"/>
      <c r="S1134" s="46"/>
      <c r="T1134" s="46"/>
      <c r="U1134" s="46"/>
      <c r="V1134" s="46"/>
      <c r="W1134" s="46"/>
    </row>
    <row r="1135" ht="16.5" spans="1:23">
      <c r="A1135" s="46"/>
      <c r="B1135" s="46"/>
      <c r="C1135" s="46"/>
      <c r="D1135" s="46"/>
      <c r="E1135" s="46"/>
      <c r="F1135" s="46"/>
      <c r="G1135" s="46"/>
      <c r="H1135" s="46"/>
      <c r="I1135" s="46"/>
      <c r="J1135" s="46"/>
      <c r="K1135" s="46"/>
      <c r="L1135" s="46"/>
      <c r="M1135" s="46"/>
      <c r="N1135" s="46"/>
      <c r="O1135" s="46"/>
      <c r="P1135" s="46"/>
      <c r="Q1135" s="46"/>
      <c r="R1135" s="46"/>
      <c r="S1135" s="46"/>
      <c r="T1135" s="46"/>
      <c r="U1135" s="46"/>
      <c r="V1135" s="46"/>
      <c r="W1135" s="46"/>
    </row>
    <row r="1136" ht="16.5" spans="1:23">
      <c r="A1136" s="46"/>
      <c r="B1136" s="46"/>
      <c r="C1136" s="4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  <c r="S1136" s="46"/>
      <c r="T1136" s="46"/>
      <c r="U1136" s="46"/>
      <c r="V1136" s="46"/>
      <c r="W1136" s="46"/>
    </row>
    <row r="1137" ht="16.5" spans="1:23">
      <c r="A1137" s="46"/>
      <c r="B1137" s="46"/>
      <c r="C1137" s="46"/>
      <c r="D1137" s="46"/>
      <c r="E1137" s="46"/>
      <c r="F1137" s="46"/>
      <c r="G1137" s="46"/>
      <c r="H1137" s="46"/>
      <c r="I1137" s="46"/>
      <c r="J1137" s="46"/>
      <c r="K1137" s="46"/>
      <c r="L1137" s="46"/>
      <c r="M1137" s="46"/>
      <c r="N1137" s="46"/>
      <c r="O1137" s="46"/>
      <c r="P1137" s="46"/>
      <c r="Q1137" s="46"/>
      <c r="R1137" s="46"/>
      <c r="S1137" s="46"/>
      <c r="T1137" s="46"/>
      <c r="U1137" s="46"/>
      <c r="V1137" s="46"/>
      <c r="W1137" s="46"/>
    </row>
    <row r="1138" ht="16.5" spans="1:23">
      <c r="A1138" s="46"/>
      <c r="B1138" s="46"/>
      <c r="C1138" s="46"/>
      <c r="D1138" s="46"/>
      <c r="E1138" s="46"/>
      <c r="F1138" s="46"/>
      <c r="G1138" s="46"/>
      <c r="H1138" s="46"/>
      <c r="I1138" s="46"/>
      <c r="J1138" s="46"/>
      <c r="K1138" s="46"/>
      <c r="L1138" s="46"/>
      <c r="M1138" s="46"/>
      <c r="N1138" s="46"/>
      <c r="O1138" s="46"/>
      <c r="P1138" s="46"/>
      <c r="Q1138" s="46"/>
      <c r="R1138" s="46"/>
      <c r="S1138" s="46"/>
      <c r="T1138" s="46"/>
      <c r="U1138" s="46"/>
      <c r="V1138" s="46"/>
      <c r="W1138" s="46"/>
    </row>
    <row r="1139" ht="16.5" spans="1:23">
      <c r="A1139" s="46"/>
      <c r="B1139" s="46"/>
      <c r="C1139" s="46"/>
      <c r="D1139" s="46"/>
      <c r="E1139" s="46"/>
      <c r="F1139" s="46"/>
      <c r="G1139" s="46"/>
      <c r="H1139" s="46"/>
      <c r="I1139" s="46"/>
      <c r="J1139" s="46"/>
      <c r="K1139" s="46"/>
      <c r="L1139" s="46"/>
      <c r="M1139" s="46"/>
      <c r="N1139" s="46"/>
      <c r="O1139" s="46"/>
      <c r="P1139" s="46"/>
      <c r="Q1139" s="46"/>
      <c r="R1139" s="46"/>
      <c r="S1139" s="46"/>
      <c r="T1139" s="46"/>
      <c r="U1139" s="46"/>
      <c r="V1139" s="46"/>
      <c r="W1139" s="46"/>
    </row>
    <row r="1140" ht="16.5" spans="1:23">
      <c r="A1140" s="46"/>
      <c r="B1140" s="46"/>
      <c r="C1140" s="4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  <c r="S1140" s="46"/>
      <c r="T1140" s="46"/>
      <c r="U1140" s="46"/>
      <c r="V1140" s="46"/>
      <c r="W1140" s="46"/>
    </row>
    <row r="1141" ht="16.5" spans="1:23">
      <c r="A1141" s="46"/>
      <c r="B1141" s="46"/>
      <c r="C1141" s="46"/>
      <c r="D1141" s="46"/>
      <c r="E1141" s="46"/>
      <c r="F1141" s="46"/>
      <c r="G1141" s="46"/>
      <c r="H1141" s="46"/>
      <c r="I1141" s="46"/>
      <c r="J1141" s="46"/>
      <c r="K1141" s="46"/>
      <c r="L1141" s="46"/>
      <c r="M1141" s="46"/>
      <c r="N1141" s="46"/>
      <c r="O1141" s="46"/>
      <c r="P1141" s="46"/>
      <c r="Q1141" s="46"/>
      <c r="R1141" s="46"/>
      <c r="S1141" s="46"/>
      <c r="T1141" s="46"/>
      <c r="U1141" s="46"/>
      <c r="V1141" s="46"/>
      <c r="W1141" s="46"/>
    </row>
    <row r="1142" ht="16.5" spans="1:23">
      <c r="A1142" s="46"/>
      <c r="B1142" s="46"/>
      <c r="C1142" s="46"/>
      <c r="D1142" s="46"/>
      <c r="E1142" s="46"/>
      <c r="F1142" s="46"/>
      <c r="G1142" s="46"/>
      <c r="H1142" s="46"/>
      <c r="I1142" s="46"/>
      <c r="J1142" s="46"/>
      <c r="K1142" s="46"/>
      <c r="L1142" s="46"/>
      <c r="M1142" s="46"/>
      <c r="N1142" s="46"/>
      <c r="O1142" s="46"/>
      <c r="P1142" s="46"/>
      <c r="Q1142" s="46"/>
      <c r="R1142" s="46"/>
      <c r="S1142" s="46"/>
      <c r="T1142" s="46"/>
      <c r="U1142" s="46"/>
      <c r="V1142" s="46"/>
      <c r="W1142" s="46"/>
    </row>
    <row r="1143" ht="16.5" spans="1:23">
      <c r="A1143" s="46"/>
      <c r="B1143" s="46"/>
      <c r="C1143" s="46"/>
      <c r="D1143" s="46"/>
      <c r="E1143" s="46"/>
      <c r="F1143" s="46"/>
      <c r="G1143" s="46"/>
      <c r="H1143" s="46"/>
      <c r="I1143" s="46"/>
      <c r="J1143" s="46"/>
      <c r="K1143" s="46"/>
      <c r="L1143" s="46"/>
      <c r="M1143" s="46"/>
      <c r="N1143" s="46"/>
      <c r="O1143" s="46"/>
      <c r="P1143" s="46"/>
      <c r="Q1143" s="46"/>
      <c r="R1143" s="46"/>
      <c r="S1143" s="46"/>
      <c r="T1143" s="46"/>
      <c r="U1143" s="46"/>
      <c r="V1143" s="46"/>
      <c r="W1143" s="46"/>
    </row>
    <row r="1144" ht="16.5" spans="1:23">
      <c r="A1144" s="46"/>
      <c r="B1144" s="46"/>
      <c r="C1144" s="4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  <c r="S1144" s="46"/>
      <c r="T1144" s="46"/>
      <c r="U1144" s="46"/>
      <c r="V1144" s="46"/>
      <c r="W1144" s="46"/>
    </row>
    <row r="1145" ht="16.5" spans="1:23">
      <c r="A1145" s="46"/>
      <c r="B1145" s="46"/>
      <c r="C1145" s="46"/>
      <c r="D1145" s="46"/>
      <c r="E1145" s="46"/>
      <c r="F1145" s="46"/>
      <c r="G1145" s="46"/>
      <c r="H1145" s="46"/>
      <c r="I1145" s="46"/>
      <c r="J1145" s="46"/>
      <c r="K1145" s="46"/>
      <c r="L1145" s="46"/>
      <c r="M1145" s="46"/>
      <c r="N1145" s="46"/>
      <c r="O1145" s="46"/>
      <c r="P1145" s="46"/>
      <c r="Q1145" s="46"/>
      <c r="R1145" s="46"/>
      <c r="S1145" s="46"/>
      <c r="T1145" s="46"/>
      <c r="U1145" s="46"/>
      <c r="V1145" s="46"/>
      <c r="W1145" s="46"/>
    </row>
    <row r="1146" ht="16.5" spans="1:23">
      <c r="A1146" s="46"/>
      <c r="B1146" s="46"/>
      <c r="C1146" s="46"/>
      <c r="D1146" s="46"/>
      <c r="E1146" s="46"/>
      <c r="F1146" s="46"/>
      <c r="G1146" s="46"/>
      <c r="H1146" s="46"/>
      <c r="I1146" s="46"/>
      <c r="J1146" s="46"/>
      <c r="K1146" s="46"/>
      <c r="L1146" s="46"/>
      <c r="M1146" s="46"/>
      <c r="N1146" s="46"/>
      <c r="O1146" s="46"/>
      <c r="P1146" s="46"/>
      <c r="Q1146" s="46"/>
      <c r="R1146" s="46"/>
      <c r="S1146" s="46"/>
      <c r="T1146" s="46"/>
      <c r="U1146" s="46"/>
      <c r="V1146" s="46"/>
      <c r="W1146" s="46"/>
    </row>
    <row r="1147" ht="16.5" spans="1:23">
      <c r="A1147" s="46"/>
      <c r="B1147" s="46"/>
      <c r="C1147" s="46"/>
      <c r="D1147" s="46"/>
      <c r="E1147" s="46"/>
      <c r="F1147" s="46"/>
      <c r="G1147" s="46"/>
      <c r="H1147" s="46"/>
      <c r="I1147" s="46"/>
      <c r="J1147" s="46"/>
      <c r="K1147" s="46"/>
      <c r="L1147" s="46"/>
      <c r="M1147" s="46"/>
      <c r="N1147" s="46"/>
      <c r="O1147" s="46"/>
      <c r="P1147" s="46"/>
      <c r="Q1147" s="46"/>
      <c r="R1147" s="46"/>
      <c r="S1147" s="46"/>
      <c r="T1147" s="46"/>
      <c r="U1147" s="46"/>
      <c r="V1147" s="46"/>
      <c r="W1147" s="46"/>
    </row>
    <row r="1148" ht="16.5" spans="1:23">
      <c r="A1148" s="46"/>
      <c r="B1148" s="46"/>
      <c r="C1148" s="4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  <c r="S1148" s="46"/>
      <c r="T1148" s="46"/>
      <c r="U1148" s="46"/>
      <c r="V1148" s="46"/>
      <c r="W1148" s="46"/>
    </row>
    <row r="1149" ht="16.5" spans="1:23">
      <c r="A1149" s="46"/>
      <c r="B1149" s="46"/>
      <c r="C1149" s="46"/>
      <c r="D1149" s="46"/>
      <c r="E1149" s="46"/>
      <c r="F1149" s="46"/>
      <c r="G1149" s="46"/>
      <c r="H1149" s="46"/>
      <c r="I1149" s="46"/>
      <c r="J1149" s="46"/>
      <c r="K1149" s="46"/>
      <c r="L1149" s="46"/>
      <c r="M1149" s="46"/>
      <c r="N1149" s="46"/>
      <c r="O1149" s="46"/>
      <c r="P1149" s="46"/>
      <c r="Q1149" s="46"/>
      <c r="R1149" s="46"/>
      <c r="S1149" s="46"/>
      <c r="T1149" s="46"/>
      <c r="U1149" s="46"/>
      <c r="V1149" s="46"/>
      <c r="W1149" s="46"/>
    </row>
    <row r="1150" ht="16.5" spans="1:23">
      <c r="A1150" s="46"/>
      <c r="B1150" s="46"/>
      <c r="C1150" s="46"/>
      <c r="D1150" s="46"/>
      <c r="E1150" s="46"/>
      <c r="F1150" s="46"/>
      <c r="G1150" s="46"/>
      <c r="H1150" s="46"/>
      <c r="I1150" s="46"/>
      <c r="J1150" s="46"/>
      <c r="K1150" s="46"/>
      <c r="L1150" s="46"/>
      <c r="M1150" s="46"/>
      <c r="N1150" s="46"/>
      <c r="O1150" s="46"/>
      <c r="P1150" s="46"/>
      <c r="Q1150" s="46"/>
      <c r="R1150" s="46"/>
      <c r="S1150" s="46"/>
      <c r="T1150" s="46"/>
      <c r="U1150" s="46"/>
      <c r="V1150" s="46"/>
      <c r="W1150" s="46"/>
    </row>
    <row r="1151" ht="16.5" spans="1:23">
      <c r="A1151" s="46"/>
      <c r="B1151" s="46"/>
      <c r="C1151" s="46"/>
      <c r="D1151" s="46"/>
      <c r="E1151" s="46"/>
      <c r="F1151" s="46"/>
      <c r="G1151" s="46"/>
      <c r="H1151" s="46"/>
      <c r="I1151" s="46"/>
      <c r="J1151" s="46"/>
      <c r="K1151" s="46"/>
      <c r="L1151" s="46"/>
      <c r="M1151" s="46"/>
      <c r="N1151" s="46"/>
      <c r="O1151" s="46"/>
      <c r="P1151" s="46"/>
      <c r="Q1151" s="46"/>
      <c r="R1151" s="46"/>
      <c r="S1151" s="46"/>
      <c r="T1151" s="46"/>
      <c r="U1151" s="46"/>
      <c r="V1151" s="46"/>
      <c r="W1151" s="46"/>
    </row>
    <row r="1152" ht="16.5" spans="1:23">
      <c r="A1152" s="46"/>
      <c r="B1152" s="46"/>
      <c r="C1152" s="4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  <c r="S1152" s="46"/>
      <c r="T1152" s="46"/>
      <c r="U1152" s="46"/>
      <c r="V1152" s="46"/>
      <c r="W1152" s="46"/>
    </row>
    <row r="1153" ht="16.5" spans="1:23">
      <c r="A1153" s="46"/>
      <c r="B1153" s="46"/>
      <c r="C1153" s="46"/>
      <c r="D1153" s="46"/>
      <c r="E1153" s="46"/>
      <c r="F1153" s="46"/>
      <c r="G1153" s="46"/>
      <c r="H1153" s="46"/>
      <c r="I1153" s="46"/>
      <c r="J1153" s="46"/>
      <c r="K1153" s="46"/>
      <c r="L1153" s="46"/>
      <c r="M1153" s="46"/>
      <c r="N1153" s="46"/>
      <c r="O1153" s="46"/>
      <c r="P1153" s="46"/>
      <c r="Q1153" s="46"/>
      <c r="R1153" s="46"/>
      <c r="S1153" s="46"/>
      <c r="T1153" s="46"/>
      <c r="U1153" s="46"/>
      <c r="V1153" s="46"/>
      <c r="W1153" s="46"/>
    </row>
    <row r="1154" ht="16.5" spans="1:23">
      <c r="A1154" s="46"/>
      <c r="B1154" s="46"/>
      <c r="C1154" s="46"/>
      <c r="D1154" s="46"/>
      <c r="E1154" s="46"/>
      <c r="F1154" s="46"/>
      <c r="G1154" s="46"/>
      <c r="H1154" s="46"/>
      <c r="I1154" s="46"/>
      <c r="J1154" s="46"/>
      <c r="K1154" s="46"/>
      <c r="L1154" s="46"/>
      <c r="M1154" s="46"/>
      <c r="N1154" s="46"/>
      <c r="O1154" s="46"/>
      <c r="P1154" s="46"/>
      <c r="Q1154" s="46"/>
      <c r="R1154" s="46"/>
      <c r="S1154" s="46"/>
      <c r="T1154" s="46"/>
      <c r="U1154" s="46"/>
      <c r="V1154" s="46"/>
      <c r="W1154" s="46"/>
    </row>
    <row r="1155" ht="16.5" spans="1:23">
      <c r="A1155" s="46"/>
      <c r="B1155" s="46"/>
      <c r="C1155" s="46"/>
      <c r="D1155" s="46"/>
      <c r="E1155" s="46"/>
      <c r="F1155" s="46"/>
      <c r="G1155" s="46"/>
      <c r="H1155" s="46"/>
      <c r="I1155" s="46"/>
      <c r="J1155" s="46"/>
      <c r="K1155" s="46"/>
      <c r="L1155" s="46"/>
      <c r="M1155" s="46"/>
      <c r="N1155" s="46"/>
      <c r="O1155" s="46"/>
      <c r="P1155" s="46"/>
      <c r="Q1155" s="46"/>
      <c r="R1155" s="46"/>
      <c r="S1155" s="46"/>
      <c r="T1155" s="46"/>
      <c r="U1155" s="46"/>
      <c r="V1155" s="46"/>
      <c r="W1155" s="46"/>
    </row>
    <row r="1156" ht="16.5" spans="1:23">
      <c r="A1156" s="46"/>
      <c r="B1156" s="46"/>
      <c r="C1156" s="4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  <c r="S1156" s="46"/>
      <c r="T1156" s="46"/>
      <c r="U1156" s="46"/>
      <c r="V1156" s="46"/>
      <c r="W1156" s="46"/>
    </row>
    <row r="1157" ht="16.5" spans="1:23">
      <c r="A1157" s="46"/>
      <c r="B1157" s="46"/>
      <c r="C1157" s="46"/>
      <c r="D1157" s="46"/>
      <c r="E1157" s="46"/>
      <c r="F1157" s="46"/>
      <c r="G1157" s="46"/>
      <c r="H1157" s="46"/>
      <c r="I1157" s="46"/>
      <c r="J1157" s="46"/>
      <c r="K1157" s="46"/>
      <c r="L1157" s="46"/>
      <c r="M1157" s="46"/>
      <c r="N1157" s="46"/>
      <c r="O1157" s="46"/>
      <c r="P1157" s="46"/>
      <c r="Q1157" s="46"/>
      <c r="R1157" s="46"/>
      <c r="S1157" s="46"/>
      <c r="T1157" s="46"/>
      <c r="U1157" s="46"/>
      <c r="V1157" s="46"/>
      <c r="W1157" s="46"/>
    </row>
    <row r="1158" ht="16.5" spans="1:23">
      <c r="A1158" s="46"/>
      <c r="B1158" s="46"/>
      <c r="C1158" s="46"/>
      <c r="D1158" s="46"/>
      <c r="E1158" s="46"/>
      <c r="F1158" s="46"/>
      <c r="G1158" s="46"/>
      <c r="H1158" s="46"/>
      <c r="I1158" s="46"/>
      <c r="J1158" s="46"/>
      <c r="K1158" s="46"/>
      <c r="L1158" s="46"/>
      <c r="M1158" s="46"/>
      <c r="N1158" s="46"/>
      <c r="O1158" s="46"/>
      <c r="P1158" s="46"/>
      <c r="Q1158" s="46"/>
      <c r="R1158" s="46"/>
      <c r="S1158" s="46"/>
      <c r="T1158" s="46"/>
      <c r="U1158" s="46"/>
      <c r="V1158" s="46"/>
      <c r="W1158" s="46"/>
    </row>
    <row r="1159" ht="16.5" spans="1:23">
      <c r="A1159" s="46"/>
      <c r="B1159" s="46"/>
      <c r="C1159" s="46"/>
      <c r="D1159" s="46"/>
      <c r="E1159" s="46"/>
      <c r="F1159" s="46"/>
      <c r="G1159" s="46"/>
      <c r="H1159" s="46"/>
      <c r="I1159" s="46"/>
      <c r="J1159" s="46"/>
      <c r="K1159" s="46"/>
      <c r="L1159" s="46"/>
      <c r="M1159" s="46"/>
      <c r="N1159" s="46"/>
      <c r="O1159" s="46"/>
      <c r="P1159" s="46"/>
      <c r="Q1159" s="46"/>
      <c r="R1159" s="46"/>
      <c r="S1159" s="46"/>
      <c r="T1159" s="46"/>
      <c r="U1159" s="46"/>
      <c r="V1159" s="46"/>
      <c r="W1159" s="46"/>
    </row>
    <row r="1160" ht="16.5" spans="1:23">
      <c r="A1160" s="46"/>
      <c r="B1160" s="46"/>
      <c r="C1160" s="4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  <c r="S1160" s="46"/>
      <c r="T1160" s="46"/>
      <c r="U1160" s="46"/>
      <c r="V1160" s="46"/>
      <c r="W1160" s="46"/>
    </row>
    <row r="1161" ht="16.5" spans="1:23">
      <c r="A1161" s="46"/>
      <c r="B1161" s="46"/>
      <c r="C1161" s="46"/>
      <c r="D1161" s="46"/>
      <c r="E1161" s="46"/>
      <c r="F1161" s="46"/>
      <c r="G1161" s="46"/>
      <c r="H1161" s="46"/>
      <c r="I1161" s="46"/>
      <c r="J1161" s="46"/>
      <c r="K1161" s="46"/>
      <c r="L1161" s="46"/>
      <c r="M1161" s="46"/>
      <c r="N1161" s="46"/>
      <c r="O1161" s="46"/>
      <c r="P1161" s="46"/>
      <c r="Q1161" s="46"/>
      <c r="R1161" s="46"/>
      <c r="S1161" s="46"/>
      <c r="T1161" s="46"/>
      <c r="U1161" s="46"/>
      <c r="V1161" s="46"/>
      <c r="W1161" s="46"/>
    </row>
    <row r="1162" ht="16.5" spans="1:23">
      <c r="A1162" s="46"/>
      <c r="B1162" s="46"/>
      <c r="C1162" s="46"/>
      <c r="D1162" s="46"/>
      <c r="E1162" s="46"/>
      <c r="F1162" s="46"/>
      <c r="G1162" s="46"/>
      <c r="H1162" s="46"/>
      <c r="I1162" s="46"/>
      <c r="J1162" s="46"/>
      <c r="K1162" s="46"/>
      <c r="L1162" s="46"/>
      <c r="M1162" s="46"/>
      <c r="N1162" s="46"/>
      <c r="O1162" s="46"/>
      <c r="P1162" s="46"/>
      <c r="Q1162" s="46"/>
      <c r="R1162" s="46"/>
      <c r="S1162" s="46"/>
      <c r="T1162" s="46"/>
      <c r="U1162" s="46"/>
      <c r="V1162" s="46"/>
      <c r="W1162" s="46"/>
    </row>
    <row r="1163" ht="16.5" spans="1:23">
      <c r="A1163" s="46"/>
      <c r="B1163" s="46"/>
      <c r="C1163" s="46"/>
      <c r="D1163" s="46"/>
      <c r="E1163" s="46"/>
      <c r="F1163" s="46"/>
      <c r="G1163" s="46"/>
      <c r="H1163" s="46"/>
      <c r="I1163" s="46"/>
      <c r="J1163" s="46"/>
      <c r="K1163" s="46"/>
      <c r="L1163" s="46"/>
      <c r="M1163" s="46"/>
      <c r="N1163" s="46"/>
      <c r="O1163" s="46"/>
      <c r="P1163" s="46"/>
      <c r="Q1163" s="46"/>
      <c r="R1163" s="46"/>
      <c r="S1163" s="46"/>
      <c r="T1163" s="46"/>
      <c r="U1163" s="46"/>
      <c r="V1163" s="46"/>
      <c r="W1163" s="46"/>
    </row>
    <row r="1164" ht="16.5" spans="1:23">
      <c r="A1164" s="46"/>
      <c r="B1164" s="46"/>
      <c r="C1164" s="4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  <c r="S1164" s="46"/>
      <c r="T1164" s="46"/>
      <c r="U1164" s="46"/>
      <c r="V1164" s="46"/>
      <c r="W1164" s="46"/>
    </row>
    <row r="1165" ht="16.5" spans="1:23">
      <c r="A1165" s="46"/>
      <c r="B1165" s="46"/>
      <c r="C1165" s="46"/>
      <c r="D1165" s="46"/>
      <c r="E1165" s="46"/>
      <c r="F1165" s="46"/>
      <c r="G1165" s="46"/>
      <c r="H1165" s="46"/>
      <c r="I1165" s="46"/>
      <c r="J1165" s="46"/>
      <c r="K1165" s="46"/>
      <c r="L1165" s="46"/>
      <c r="M1165" s="46"/>
      <c r="N1165" s="46"/>
      <c r="O1165" s="46"/>
      <c r="P1165" s="46"/>
      <c r="Q1165" s="46"/>
      <c r="R1165" s="46"/>
      <c r="S1165" s="46"/>
      <c r="T1165" s="46"/>
      <c r="U1165" s="46"/>
      <c r="V1165" s="46"/>
      <c r="W1165" s="46"/>
    </row>
    <row r="1166" ht="16.5" spans="1:23">
      <c r="A1166" s="46"/>
      <c r="B1166" s="46"/>
      <c r="C1166" s="46"/>
      <c r="D1166" s="46"/>
      <c r="E1166" s="46"/>
      <c r="F1166" s="46"/>
      <c r="G1166" s="46"/>
      <c r="H1166" s="46"/>
      <c r="I1166" s="46"/>
      <c r="J1166" s="46"/>
      <c r="K1166" s="46"/>
      <c r="L1166" s="46"/>
      <c r="M1166" s="46"/>
      <c r="N1166" s="46"/>
      <c r="O1166" s="46"/>
      <c r="P1166" s="46"/>
      <c r="Q1166" s="46"/>
      <c r="R1166" s="46"/>
      <c r="S1166" s="46"/>
      <c r="T1166" s="46"/>
      <c r="U1166" s="46"/>
      <c r="V1166" s="46"/>
      <c r="W1166" s="46"/>
    </row>
    <row r="1167" ht="16.5" spans="1:23">
      <c r="A1167" s="46"/>
      <c r="B1167" s="46"/>
      <c r="C1167" s="46"/>
      <c r="D1167" s="46"/>
      <c r="E1167" s="46"/>
      <c r="F1167" s="46"/>
      <c r="G1167" s="46"/>
      <c r="H1167" s="46"/>
      <c r="I1167" s="46"/>
      <c r="J1167" s="46"/>
      <c r="K1167" s="46"/>
      <c r="L1167" s="46"/>
      <c r="M1167" s="46"/>
      <c r="N1167" s="46"/>
      <c r="O1167" s="46"/>
      <c r="P1167" s="46"/>
      <c r="Q1167" s="46"/>
      <c r="R1167" s="46"/>
      <c r="S1167" s="46"/>
      <c r="T1167" s="46"/>
      <c r="U1167" s="46"/>
      <c r="V1167" s="46"/>
      <c r="W1167" s="46"/>
    </row>
    <row r="1168" ht="16.5" spans="1:23">
      <c r="A1168" s="46"/>
      <c r="B1168" s="46"/>
      <c r="C1168" s="4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  <c r="S1168" s="46"/>
      <c r="T1168" s="46"/>
      <c r="U1168" s="46"/>
      <c r="V1168" s="46"/>
      <c r="W1168" s="46"/>
    </row>
    <row r="1169" ht="16.5" spans="1:23">
      <c r="A1169" s="46"/>
      <c r="B1169" s="46"/>
      <c r="C1169" s="46"/>
      <c r="D1169" s="46"/>
      <c r="E1169" s="46"/>
      <c r="F1169" s="46"/>
      <c r="G1169" s="46"/>
      <c r="H1169" s="46"/>
      <c r="I1169" s="46"/>
      <c r="J1169" s="46"/>
      <c r="K1169" s="46"/>
      <c r="L1169" s="46"/>
      <c r="M1169" s="46"/>
      <c r="N1169" s="46"/>
      <c r="O1169" s="46"/>
      <c r="P1169" s="46"/>
      <c r="Q1169" s="46"/>
      <c r="R1169" s="46"/>
      <c r="S1169" s="46"/>
      <c r="T1169" s="46"/>
      <c r="U1169" s="46"/>
      <c r="V1169" s="46"/>
      <c r="W1169" s="46"/>
    </row>
    <row r="1170" ht="16.5" spans="1:23">
      <c r="A1170" s="46"/>
      <c r="B1170" s="46"/>
      <c r="C1170" s="46"/>
      <c r="D1170" s="46"/>
      <c r="E1170" s="46"/>
      <c r="F1170" s="46"/>
      <c r="G1170" s="46"/>
      <c r="H1170" s="46"/>
      <c r="I1170" s="46"/>
      <c r="J1170" s="46"/>
      <c r="K1170" s="46"/>
      <c r="L1170" s="46"/>
      <c r="M1170" s="46"/>
      <c r="N1170" s="46"/>
      <c r="O1170" s="46"/>
      <c r="P1170" s="46"/>
      <c r="Q1170" s="46"/>
      <c r="R1170" s="46"/>
      <c r="S1170" s="46"/>
      <c r="T1170" s="46"/>
      <c r="U1170" s="46"/>
      <c r="V1170" s="46"/>
      <c r="W1170" s="46"/>
    </row>
    <row r="1171" ht="16.5" spans="1:23">
      <c r="A1171" s="46"/>
      <c r="B1171" s="46"/>
      <c r="C1171" s="46"/>
      <c r="D1171" s="46"/>
      <c r="E1171" s="46"/>
      <c r="F1171" s="46"/>
      <c r="G1171" s="46"/>
      <c r="H1171" s="46"/>
      <c r="I1171" s="46"/>
      <c r="J1171" s="46"/>
      <c r="K1171" s="46"/>
      <c r="L1171" s="46"/>
      <c r="M1171" s="46"/>
      <c r="N1171" s="46"/>
      <c r="O1171" s="46"/>
      <c r="P1171" s="46"/>
      <c r="Q1171" s="46"/>
      <c r="R1171" s="46"/>
      <c r="S1171" s="46"/>
      <c r="T1171" s="46"/>
      <c r="U1171" s="46"/>
      <c r="V1171" s="46"/>
      <c r="W1171" s="46"/>
    </row>
    <row r="1172" ht="16.5" spans="1:23">
      <c r="A1172" s="46"/>
      <c r="B1172" s="46"/>
      <c r="C1172" s="4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  <c r="S1172" s="46"/>
      <c r="T1172" s="46"/>
      <c r="U1172" s="46"/>
      <c r="V1172" s="46"/>
      <c r="W1172" s="46"/>
    </row>
    <row r="1173" ht="16.5" spans="1:23">
      <c r="A1173" s="46"/>
      <c r="B1173" s="46"/>
      <c r="C1173" s="46"/>
      <c r="D1173" s="46"/>
      <c r="E1173" s="46"/>
      <c r="F1173" s="46"/>
      <c r="G1173" s="46"/>
      <c r="H1173" s="46"/>
      <c r="I1173" s="46"/>
      <c r="J1173" s="46"/>
      <c r="K1173" s="46"/>
      <c r="L1173" s="46"/>
      <c r="M1173" s="46"/>
      <c r="N1173" s="46"/>
      <c r="O1173" s="46"/>
      <c r="P1173" s="46"/>
      <c r="Q1173" s="46"/>
      <c r="R1173" s="46"/>
      <c r="S1173" s="46"/>
      <c r="T1173" s="46"/>
      <c r="U1173" s="46"/>
      <c r="V1173" s="46"/>
      <c r="W1173" s="46"/>
    </row>
    <row r="1174" ht="16.5" spans="1:23">
      <c r="A1174" s="46"/>
      <c r="B1174" s="46"/>
      <c r="C1174" s="46"/>
      <c r="D1174" s="46"/>
      <c r="E1174" s="46"/>
      <c r="F1174" s="46"/>
      <c r="G1174" s="46"/>
      <c r="H1174" s="46"/>
      <c r="I1174" s="46"/>
      <c r="J1174" s="46"/>
      <c r="K1174" s="46"/>
      <c r="L1174" s="46"/>
      <c r="M1174" s="46"/>
      <c r="N1174" s="46"/>
      <c r="O1174" s="46"/>
      <c r="P1174" s="46"/>
      <c r="Q1174" s="46"/>
      <c r="R1174" s="46"/>
      <c r="S1174" s="46"/>
      <c r="T1174" s="46"/>
      <c r="U1174" s="46"/>
      <c r="V1174" s="46"/>
      <c r="W1174" s="46"/>
    </row>
    <row r="1175" ht="16.5" spans="1:23">
      <c r="A1175" s="46"/>
      <c r="B1175" s="46"/>
      <c r="C1175" s="46"/>
      <c r="D1175" s="46"/>
      <c r="E1175" s="46"/>
      <c r="F1175" s="46"/>
      <c r="G1175" s="46"/>
      <c r="H1175" s="46"/>
      <c r="I1175" s="46"/>
      <c r="J1175" s="46"/>
      <c r="K1175" s="46"/>
      <c r="L1175" s="46"/>
      <c r="M1175" s="46"/>
      <c r="N1175" s="46"/>
      <c r="O1175" s="46"/>
      <c r="P1175" s="46"/>
      <c r="Q1175" s="46"/>
      <c r="R1175" s="46"/>
      <c r="S1175" s="46"/>
      <c r="T1175" s="46"/>
      <c r="U1175" s="46"/>
      <c r="V1175" s="46"/>
      <c r="W1175" s="46"/>
    </row>
    <row r="1176" ht="16.5" spans="1:23">
      <c r="A1176" s="46"/>
      <c r="B1176" s="46"/>
      <c r="C1176" s="4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  <c r="S1176" s="46"/>
      <c r="T1176" s="46"/>
      <c r="U1176" s="46"/>
      <c r="V1176" s="46"/>
      <c r="W1176" s="46"/>
    </row>
    <row r="1177" ht="16.5" spans="1:23">
      <c r="A1177" s="46"/>
      <c r="B1177" s="46"/>
      <c r="C1177" s="46"/>
      <c r="D1177" s="46"/>
      <c r="E1177" s="46"/>
      <c r="F1177" s="46"/>
      <c r="G1177" s="46"/>
      <c r="H1177" s="46"/>
      <c r="I1177" s="46"/>
      <c r="J1177" s="46"/>
      <c r="K1177" s="46"/>
      <c r="L1177" s="46"/>
      <c r="M1177" s="46"/>
      <c r="N1177" s="46"/>
      <c r="O1177" s="46"/>
      <c r="P1177" s="46"/>
      <c r="Q1177" s="46"/>
      <c r="R1177" s="46"/>
      <c r="S1177" s="46"/>
      <c r="T1177" s="46"/>
      <c r="U1177" s="46"/>
      <c r="V1177" s="46"/>
      <c r="W1177" s="46"/>
    </row>
    <row r="1178" ht="16.5" spans="1:23">
      <c r="A1178" s="46"/>
      <c r="B1178" s="46"/>
      <c r="C1178" s="46"/>
      <c r="D1178" s="46"/>
      <c r="E1178" s="46"/>
      <c r="F1178" s="46"/>
      <c r="G1178" s="46"/>
      <c r="H1178" s="46"/>
      <c r="I1178" s="46"/>
      <c r="J1178" s="46"/>
      <c r="K1178" s="46"/>
      <c r="L1178" s="46"/>
      <c r="M1178" s="46"/>
      <c r="N1178" s="46"/>
      <c r="O1178" s="46"/>
      <c r="P1178" s="46"/>
      <c r="Q1178" s="46"/>
      <c r="R1178" s="46"/>
      <c r="S1178" s="46"/>
      <c r="T1178" s="46"/>
      <c r="U1178" s="46"/>
      <c r="V1178" s="46"/>
      <c r="W1178" s="46"/>
    </row>
    <row r="1179" ht="16.5" spans="1:23">
      <c r="A1179" s="46"/>
      <c r="B1179" s="46"/>
      <c r="C1179" s="46"/>
      <c r="D1179" s="46"/>
      <c r="E1179" s="46"/>
      <c r="F1179" s="46"/>
      <c r="G1179" s="46"/>
      <c r="H1179" s="46"/>
      <c r="I1179" s="46"/>
      <c r="J1179" s="46"/>
      <c r="K1179" s="46"/>
      <c r="L1179" s="46"/>
      <c r="M1179" s="46"/>
      <c r="N1179" s="46"/>
      <c r="O1179" s="46"/>
      <c r="P1179" s="46"/>
      <c r="Q1179" s="46"/>
      <c r="R1179" s="46"/>
      <c r="S1179" s="46"/>
      <c r="T1179" s="46"/>
      <c r="U1179" s="46"/>
      <c r="V1179" s="46"/>
      <c r="W1179" s="46"/>
    </row>
    <row r="1180" ht="16.5" spans="1:23">
      <c r="A1180" s="46"/>
      <c r="B1180" s="46"/>
      <c r="C1180" s="4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  <c r="S1180" s="46"/>
      <c r="T1180" s="46"/>
      <c r="U1180" s="46"/>
      <c r="V1180" s="46"/>
      <c r="W1180" s="46"/>
    </row>
    <row r="1181" ht="16.5" spans="1:23">
      <c r="A1181" s="46"/>
      <c r="B1181" s="46"/>
      <c r="C1181" s="46"/>
      <c r="D1181" s="46"/>
      <c r="E1181" s="46"/>
      <c r="F1181" s="46"/>
      <c r="G1181" s="46"/>
      <c r="H1181" s="46"/>
      <c r="I1181" s="46"/>
      <c r="J1181" s="46"/>
      <c r="K1181" s="46"/>
      <c r="L1181" s="46"/>
      <c r="M1181" s="46"/>
      <c r="N1181" s="46"/>
      <c r="O1181" s="46"/>
      <c r="P1181" s="46"/>
      <c r="Q1181" s="46"/>
      <c r="R1181" s="46"/>
      <c r="S1181" s="46"/>
      <c r="T1181" s="46"/>
      <c r="U1181" s="46"/>
      <c r="V1181" s="46"/>
      <c r="W1181" s="46"/>
    </row>
    <row r="1182" ht="16.5" spans="1:23">
      <c r="A1182" s="46"/>
      <c r="B1182" s="46"/>
      <c r="C1182" s="46"/>
      <c r="D1182" s="46"/>
      <c r="E1182" s="46"/>
      <c r="F1182" s="46"/>
      <c r="G1182" s="46"/>
      <c r="H1182" s="46"/>
      <c r="I1182" s="46"/>
      <c r="J1182" s="46"/>
      <c r="K1182" s="46"/>
      <c r="L1182" s="46"/>
      <c r="M1182" s="46"/>
      <c r="N1182" s="46"/>
      <c r="O1182" s="46"/>
      <c r="P1182" s="46"/>
      <c r="Q1182" s="46"/>
      <c r="R1182" s="46"/>
      <c r="S1182" s="46"/>
      <c r="T1182" s="46"/>
      <c r="U1182" s="46"/>
      <c r="V1182" s="46"/>
      <c r="W1182" s="46"/>
    </row>
    <row r="1183" ht="16.5" spans="1:23">
      <c r="A1183" s="46"/>
      <c r="B1183" s="46"/>
      <c r="C1183" s="46"/>
      <c r="D1183" s="46"/>
      <c r="E1183" s="46"/>
      <c r="F1183" s="46"/>
      <c r="G1183" s="46"/>
      <c r="H1183" s="46"/>
      <c r="I1183" s="46"/>
      <c r="J1183" s="46"/>
      <c r="K1183" s="46"/>
      <c r="L1183" s="46"/>
      <c r="M1183" s="46"/>
      <c r="N1183" s="46"/>
      <c r="O1183" s="46"/>
      <c r="P1183" s="46"/>
      <c r="Q1183" s="46"/>
      <c r="R1183" s="46"/>
      <c r="S1183" s="46"/>
      <c r="T1183" s="46"/>
      <c r="U1183" s="46"/>
      <c r="V1183" s="46"/>
      <c r="W1183" s="46"/>
    </row>
    <row r="1184" ht="16.5" spans="1:23">
      <c r="A1184" s="46"/>
      <c r="B1184" s="46"/>
      <c r="C1184" s="4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  <c r="S1184" s="46"/>
      <c r="T1184" s="46"/>
      <c r="U1184" s="46"/>
      <c r="V1184" s="46"/>
      <c r="W1184" s="46"/>
    </row>
    <row r="1185" ht="16.5" spans="1:23">
      <c r="A1185" s="46"/>
      <c r="B1185" s="46"/>
      <c r="C1185" s="46"/>
      <c r="D1185" s="46"/>
      <c r="E1185" s="46"/>
      <c r="F1185" s="46"/>
      <c r="G1185" s="46"/>
      <c r="H1185" s="46"/>
      <c r="I1185" s="46"/>
      <c r="J1185" s="46"/>
      <c r="K1185" s="46"/>
      <c r="L1185" s="46"/>
      <c r="M1185" s="46"/>
      <c r="N1185" s="46"/>
      <c r="O1185" s="46"/>
      <c r="P1185" s="46"/>
      <c r="Q1185" s="46"/>
      <c r="R1185" s="46"/>
      <c r="S1185" s="46"/>
      <c r="T1185" s="46"/>
      <c r="U1185" s="46"/>
      <c r="V1185" s="46"/>
      <c r="W1185" s="46"/>
    </row>
    <row r="1186" ht="16.5" spans="1:23">
      <c r="A1186" s="46"/>
      <c r="B1186" s="46"/>
      <c r="C1186" s="46"/>
      <c r="D1186" s="46"/>
      <c r="E1186" s="46"/>
      <c r="F1186" s="46"/>
      <c r="G1186" s="46"/>
      <c r="H1186" s="46"/>
      <c r="I1186" s="46"/>
      <c r="J1186" s="46"/>
      <c r="K1186" s="46"/>
      <c r="L1186" s="46"/>
      <c r="M1186" s="46"/>
      <c r="N1186" s="46"/>
      <c r="O1186" s="46"/>
      <c r="P1186" s="46"/>
      <c r="Q1186" s="46"/>
      <c r="R1186" s="46"/>
      <c r="S1186" s="46"/>
      <c r="T1186" s="46"/>
      <c r="U1186" s="46"/>
      <c r="V1186" s="46"/>
      <c r="W1186" s="46"/>
    </row>
    <row r="1187" ht="16.5" spans="1:23">
      <c r="A1187" s="46"/>
      <c r="B1187" s="46"/>
      <c r="C1187" s="46"/>
      <c r="D1187" s="46"/>
      <c r="E1187" s="46"/>
      <c r="F1187" s="46"/>
      <c r="G1187" s="46"/>
      <c r="H1187" s="46"/>
      <c r="I1187" s="46"/>
      <c r="J1187" s="46"/>
      <c r="K1187" s="46"/>
      <c r="L1187" s="46"/>
      <c r="M1187" s="46"/>
      <c r="N1187" s="46"/>
      <c r="O1187" s="46"/>
      <c r="P1187" s="46"/>
      <c r="Q1187" s="46"/>
      <c r="R1187" s="46"/>
      <c r="S1187" s="46"/>
      <c r="T1187" s="46"/>
      <c r="U1187" s="46"/>
      <c r="V1187" s="46"/>
      <c r="W1187" s="46"/>
    </row>
    <row r="1188" ht="16.5" spans="1:23">
      <c r="A1188" s="46"/>
      <c r="B1188" s="46"/>
      <c r="C1188" s="4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  <c r="S1188" s="46"/>
      <c r="T1188" s="46"/>
      <c r="U1188" s="46"/>
      <c r="V1188" s="46"/>
      <c r="W1188" s="46"/>
    </row>
    <row r="1189" ht="16.5" spans="1:23">
      <c r="A1189" s="46"/>
      <c r="B1189" s="46"/>
      <c r="C1189" s="46"/>
      <c r="D1189" s="46"/>
      <c r="E1189" s="46"/>
      <c r="F1189" s="46"/>
      <c r="G1189" s="46"/>
      <c r="H1189" s="46"/>
      <c r="I1189" s="46"/>
      <c r="J1189" s="46"/>
      <c r="K1189" s="46"/>
      <c r="L1189" s="46"/>
      <c r="M1189" s="46"/>
      <c r="N1189" s="46"/>
      <c r="O1189" s="46"/>
      <c r="P1189" s="46"/>
      <c r="Q1189" s="46"/>
      <c r="R1189" s="46"/>
      <c r="S1189" s="46"/>
      <c r="T1189" s="46"/>
      <c r="U1189" s="46"/>
      <c r="V1189" s="46"/>
      <c r="W1189" s="46"/>
    </row>
    <row r="1190" ht="16.5" spans="1:23">
      <c r="A1190" s="46"/>
      <c r="B1190" s="46"/>
      <c r="C1190" s="46"/>
      <c r="D1190" s="46"/>
      <c r="E1190" s="46"/>
      <c r="F1190" s="46"/>
      <c r="G1190" s="46"/>
      <c r="H1190" s="46"/>
      <c r="I1190" s="46"/>
      <c r="J1190" s="46"/>
      <c r="K1190" s="46"/>
      <c r="L1190" s="46"/>
      <c r="M1190" s="46"/>
      <c r="N1190" s="46"/>
      <c r="O1190" s="46"/>
      <c r="P1190" s="46"/>
      <c r="Q1190" s="46"/>
      <c r="R1190" s="46"/>
      <c r="S1190" s="46"/>
      <c r="T1190" s="46"/>
      <c r="U1190" s="46"/>
      <c r="V1190" s="46"/>
      <c r="W1190" s="46"/>
    </row>
    <row r="1191" ht="16.5" spans="1:23">
      <c r="A1191" s="46"/>
      <c r="B1191" s="46"/>
      <c r="C1191" s="46"/>
      <c r="D1191" s="46"/>
      <c r="E1191" s="46"/>
      <c r="F1191" s="46"/>
      <c r="G1191" s="46"/>
      <c r="H1191" s="46"/>
      <c r="I1191" s="46"/>
      <c r="J1191" s="46"/>
      <c r="K1191" s="46"/>
      <c r="L1191" s="46"/>
      <c r="M1191" s="46"/>
      <c r="N1191" s="46"/>
      <c r="O1191" s="46"/>
      <c r="P1191" s="46"/>
      <c r="Q1191" s="46"/>
      <c r="R1191" s="46"/>
      <c r="S1191" s="46"/>
      <c r="T1191" s="46"/>
      <c r="U1191" s="46"/>
      <c r="V1191" s="46"/>
      <c r="W1191" s="46"/>
    </row>
    <row r="1192" ht="16.5" spans="1:23">
      <c r="A1192" s="46"/>
      <c r="B1192" s="46"/>
      <c r="C1192" s="4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  <c r="S1192" s="46"/>
      <c r="T1192" s="46"/>
      <c r="U1192" s="46"/>
      <c r="V1192" s="46"/>
      <c r="W1192" s="46"/>
    </row>
    <row r="1193" ht="16.5" spans="1:23">
      <c r="A1193" s="46"/>
      <c r="B1193" s="46"/>
      <c r="C1193" s="46"/>
      <c r="D1193" s="46"/>
      <c r="E1193" s="46"/>
      <c r="F1193" s="46"/>
      <c r="G1193" s="46"/>
      <c r="H1193" s="46"/>
      <c r="I1193" s="46"/>
      <c r="J1193" s="46"/>
      <c r="K1193" s="46"/>
      <c r="L1193" s="46"/>
      <c r="M1193" s="46"/>
      <c r="N1193" s="46"/>
      <c r="O1193" s="46"/>
      <c r="P1193" s="46"/>
      <c r="Q1193" s="46"/>
      <c r="R1193" s="46"/>
      <c r="S1193" s="46"/>
      <c r="T1193" s="46"/>
      <c r="U1193" s="46"/>
      <c r="V1193" s="46"/>
      <c r="W1193" s="46"/>
    </row>
    <row r="1194" ht="16.5" spans="1:23">
      <c r="A1194" s="46"/>
      <c r="B1194" s="46"/>
      <c r="C1194" s="46"/>
      <c r="D1194" s="46"/>
      <c r="E1194" s="46"/>
      <c r="F1194" s="46"/>
      <c r="G1194" s="46"/>
      <c r="H1194" s="46"/>
      <c r="I1194" s="46"/>
      <c r="J1194" s="46"/>
      <c r="K1194" s="46"/>
      <c r="L1194" s="46"/>
      <c r="M1194" s="46"/>
      <c r="N1194" s="46"/>
      <c r="O1194" s="46"/>
      <c r="P1194" s="46"/>
      <c r="Q1194" s="46"/>
      <c r="R1194" s="46"/>
      <c r="S1194" s="46"/>
      <c r="T1194" s="46"/>
      <c r="U1194" s="46"/>
      <c r="V1194" s="46"/>
      <c r="W1194" s="46"/>
    </row>
    <row r="1195" ht="16.5" spans="1:23">
      <c r="A1195" s="46"/>
      <c r="B1195" s="46"/>
      <c r="C1195" s="46"/>
      <c r="D1195" s="46"/>
      <c r="E1195" s="46"/>
      <c r="F1195" s="46"/>
      <c r="G1195" s="46"/>
      <c r="H1195" s="46"/>
      <c r="I1195" s="46"/>
      <c r="J1195" s="46"/>
      <c r="K1195" s="46"/>
      <c r="L1195" s="46"/>
      <c r="M1195" s="46"/>
      <c r="N1195" s="46"/>
      <c r="O1195" s="46"/>
      <c r="P1195" s="46"/>
      <c r="Q1195" s="46"/>
      <c r="R1195" s="46"/>
      <c r="S1195" s="46"/>
      <c r="T1195" s="46"/>
      <c r="U1195" s="46"/>
      <c r="V1195" s="46"/>
      <c r="W1195" s="46"/>
    </row>
    <row r="1196" ht="16.5" spans="1:23">
      <c r="A1196" s="46"/>
      <c r="B1196" s="46"/>
      <c r="C1196" s="4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  <c r="S1196" s="46"/>
      <c r="T1196" s="46"/>
      <c r="U1196" s="46"/>
      <c r="V1196" s="46"/>
      <c r="W1196" s="46"/>
    </row>
    <row r="1197" ht="16.5" spans="1:23">
      <c r="A1197" s="46"/>
      <c r="B1197" s="46"/>
      <c r="C1197" s="46"/>
      <c r="D1197" s="46"/>
      <c r="E1197" s="46"/>
      <c r="F1197" s="46"/>
      <c r="G1197" s="46"/>
      <c r="H1197" s="46"/>
      <c r="I1197" s="46"/>
      <c r="J1197" s="46"/>
      <c r="K1197" s="46"/>
      <c r="L1197" s="46"/>
      <c r="M1197" s="46"/>
      <c r="N1197" s="46"/>
      <c r="O1197" s="46"/>
      <c r="P1197" s="46"/>
      <c r="Q1197" s="46"/>
      <c r="R1197" s="46"/>
      <c r="S1197" s="46"/>
      <c r="T1197" s="46"/>
      <c r="U1197" s="46"/>
      <c r="V1197" s="46"/>
      <c r="W1197" s="46"/>
    </row>
    <row r="1198" ht="16.5" spans="1:23">
      <c r="A1198" s="46"/>
      <c r="B1198" s="46"/>
      <c r="C1198" s="46"/>
      <c r="D1198" s="46"/>
      <c r="E1198" s="46"/>
      <c r="F1198" s="46"/>
      <c r="G1198" s="46"/>
      <c r="H1198" s="46"/>
      <c r="I1198" s="46"/>
      <c r="J1198" s="46"/>
      <c r="K1198" s="46"/>
      <c r="L1198" s="46"/>
      <c r="M1198" s="46"/>
      <c r="N1198" s="46"/>
      <c r="O1198" s="46"/>
      <c r="P1198" s="46"/>
      <c r="Q1198" s="46"/>
      <c r="R1198" s="46"/>
      <c r="S1198" s="46"/>
      <c r="T1198" s="46"/>
      <c r="U1198" s="46"/>
      <c r="V1198" s="46"/>
      <c r="W1198" s="46"/>
    </row>
    <row r="1199" ht="16.5" spans="1:23">
      <c r="A1199" s="46"/>
      <c r="B1199" s="46"/>
      <c r="C1199" s="46"/>
      <c r="D1199" s="46"/>
      <c r="E1199" s="46"/>
      <c r="F1199" s="46"/>
      <c r="G1199" s="46"/>
      <c r="H1199" s="46"/>
      <c r="I1199" s="46"/>
      <c r="J1199" s="46"/>
      <c r="K1199" s="46"/>
      <c r="L1199" s="46"/>
      <c r="M1199" s="46"/>
      <c r="N1199" s="46"/>
      <c r="O1199" s="46"/>
      <c r="P1199" s="46"/>
      <c r="Q1199" s="46"/>
      <c r="R1199" s="46"/>
      <c r="S1199" s="46"/>
      <c r="T1199" s="46"/>
      <c r="U1199" s="46"/>
      <c r="V1199" s="46"/>
      <c r="W1199" s="46"/>
    </row>
    <row r="1200" ht="16.5" spans="1:23">
      <c r="A1200" s="46"/>
      <c r="B1200" s="46"/>
      <c r="C1200" s="4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  <c r="S1200" s="46"/>
      <c r="T1200" s="46"/>
      <c r="U1200" s="46"/>
      <c r="V1200" s="46"/>
      <c r="W1200" s="46"/>
    </row>
    <row r="1201" ht="16.5" spans="1:23">
      <c r="A1201" s="46"/>
      <c r="B1201" s="46"/>
      <c r="C1201" s="46"/>
      <c r="D1201" s="46"/>
      <c r="E1201" s="46"/>
      <c r="F1201" s="46"/>
      <c r="G1201" s="46"/>
      <c r="H1201" s="46"/>
      <c r="I1201" s="46"/>
      <c r="J1201" s="46"/>
      <c r="K1201" s="46"/>
      <c r="L1201" s="46"/>
      <c r="M1201" s="46"/>
      <c r="N1201" s="46"/>
      <c r="O1201" s="46"/>
      <c r="P1201" s="46"/>
      <c r="Q1201" s="46"/>
      <c r="R1201" s="46"/>
      <c r="S1201" s="46"/>
      <c r="T1201" s="46"/>
      <c r="U1201" s="46"/>
      <c r="V1201" s="46"/>
      <c r="W1201" s="46"/>
    </row>
    <row r="1202" ht="16.5" spans="1:23">
      <c r="A1202" s="46"/>
      <c r="B1202" s="46"/>
      <c r="C1202" s="46"/>
      <c r="D1202" s="46"/>
      <c r="E1202" s="46"/>
      <c r="F1202" s="46"/>
      <c r="G1202" s="46"/>
      <c r="H1202" s="46"/>
      <c r="I1202" s="46"/>
      <c r="J1202" s="46"/>
      <c r="K1202" s="46"/>
      <c r="L1202" s="46"/>
      <c r="M1202" s="46"/>
      <c r="N1202" s="46"/>
      <c r="O1202" s="46"/>
      <c r="P1202" s="46"/>
      <c r="Q1202" s="46"/>
      <c r="R1202" s="46"/>
      <c r="S1202" s="46"/>
      <c r="T1202" s="46"/>
      <c r="U1202" s="46"/>
      <c r="V1202" s="46"/>
      <c r="W1202" s="46"/>
    </row>
    <row r="1203" ht="16.5" spans="1:23">
      <c r="A1203" s="46"/>
      <c r="B1203" s="46"/>
      <c r="C1203" s="46"/>
      <c r="D1203" s="46"/>
      <c r="E1203" s="46"/>
      <c r="F1203" s="46"/>
      <c r="G1203" s="46"/>
      <c r="H1203" s="46"/>
      <c r="I1203" s="46"/>
      <c r="J1203" s="46"/>
      <c r="K1203" s="46"/>
      <c r="L1203" s="46"/>
      <c r="M1203" s="46"/>
      <c r="N1203" s="46"/>
      <c r="O1203" s="46"/>
      <c r="P1203" s="46"/>
      <c r="Q1203" s="46"/>
      <c r="R1203" s="46"/>
      <c r="S1203" s="46"/>
      <c r="T1203" s="46"/>
      <c r="U1203" s="46"/>
      <c r="V1203" s="46"/>
      <c r="W1203" s="46"/>
    </row>
    <row r="1204" ht="16.5" spans="1:23">
      <c r="A1204" s="46"/>
      <c r="B1204" s="46"/>
      <c r="C1204" s="4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  <c r="S1204" s="46"/>
      <c r="T1204" s="46"/>
      <c r="U1204" s="46"/>
      <c r="V1204" s="46"/>
      <c r="W1204" s="46"/>
    </row>
    <row r="1205" ht="16.5" spans="1:23">
      <c r="A1205" s="46"/>
      <c r="B1205" s="46"/>
      <c r="C1205" s="46"/>
      <c r="D1205" s="46"/>
      <c r="E1205" s="46"/>
      <c r="F1205" s="46"/>
      <c r="G1205" s="46"/>
      <c r="H1205" s="46"/>
      <c r="I1205" s="46"/>
      <c r="J1205" s="46"/>
      <c r="K1205" s="46"/>
      <c r="L1205" s="46"/>
      <c r="M1205" s="46"/>
      <c r="N1205" s="46"/>
      <c r="O1205" s="46"/>
      <c r="P1205" s="46"/>
      <c r="Q1205" s="46"/>
      <c r="R1205" s="46"/>
      <c r="S1205" s="46"/>
      <c r="T1205" s="46"/>
      <c r="U1205" s="46"/>
      <c r="V1205" s="46"/>
      <c r="W1205" s="46"/>
    </row>
    <row r="1206" ht="16.5" spans="1:23">
      <c r="A1206" s="46"/>
      <c r="B1206" s="46"/>
      <c r="C1206" s="46"/>
      <c r="D1206" s="46"/>
      <c r="E1206" s="46"/>
      <c r="F1206" s="46"/>
      <c r="G1206" s="46"/>
      <c r="H1206" s="46"/>
      <c r="I1206" s="46"/>
      <c r="J1206" s="46"/>
      <c r="K1206" s="46"/>
      <c r="L1206" s="46"/>
      <c r="M1206" s="46"/>
      <c r="N1206" s="46"/>
      <c r="O1206" s="46"/>
      <c r="P1206" s="46"/>
      <c r="Q1206" s="46"/>
      <c r="R1206" s="46"/>
      <c r="S1206" s="46"/>
      <c r="T1206" s="46"/>
      <c r="U1206" s="46"/>
      <c r="V1206" s="46"/>
      <c r="W1206" s="46"/>
    </row>
    <row r="1207" ht="16.5" spans="1:23">
      <c r="A1207" s="46"/>
      <c r="B1207" s="46"/>
      <c r="C1207" s="46"/>
      <c r="D1207" s="46"/>
      <c r="E1207" s="46"/>
      <c r="F1207" s="46"/>
      <c r="G1207" s="46"/>
      <c r="H1207" s="46"/>
      <c r="I1207" s="46"/>
      <c r="J1207" s="46"/>
      <c r="K1207" s="46"/>
      <c r="L1207" s="46"/>
      <c r="M1207" s="46"/>
      <c r="N1207" s="46"/>
      <c r="O1207" s="46"/>
      <c r="P1207" s="46"/>
      <c r="Q1207" s="46"/>
      <c r="R1207" s="46"/>
      <c r="S1207" s="46"/>
      <c r="T1207" s="46"/>
      <c r="U1207" s="46"/>
      <c r="V1207" s="46"/>
      <c r="W1207" s="46"/>
    </row>
    <row r="1208" ht="16.5" spans="1:23">
      <c r="A1208" s="46"/>
      <c r="B1208" s="46"/>
      <c r="C1208" s="4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  <c r="S1208" s="46"/>
      <c r="T1208" s="46"/>
      <c r="U1208" s="46"/>
      <c r="V1208" s="46"/>
      <c r="W1208" s="46"/>
    </row>
    <row r="1209" ht="16.5" spans="1:23">
      <c r="A1209" s="46"/>
      <c r="B1209" s="46"/>
      <c r="C1209" s="46"/>
      <c r="D1209" s="46"/>
      <c r="E1209" s="46"/>
      <c r="F1209" s="46"/>
      <c r="G1209" s="46"/>
      <c r="H1209" s="46"/>
      <c r="I1209" s="46"/>
      <c r="J1209" s="46"/>
      <c r="K1209" s="46"/>
      <c r="L1209" s="46"/>
      <c r="M1209" s="46"/>
      <c r="N1209" s="46"/>
      <c r="O1209" s="46"/>
      <c r="P1209" s="46"/>
      <c r="Q1209" s="46"/>
      <c r="R1209" s="46"/>
      <c r="S1209" s="46"/>
      <c r="T1209" s="46"/>
      <c r="U1209" s="46"/>
      <c r="V1209" s="46"/>
      <c r="W1209" s="46"/>
    </row>
    <row r="1210" ht="16.5" spans="1:23">
      <c r="A1210" s="46"/>
      <c r="B1210" s="46"/>
      <c r="C1210" s="46"/>
      <c r="D1210" s="46"/>
      <c r="E1210" s="46"/>
      <c r="F1210" s="46"/>
      <c r="G1210" s="46"/>
      <c r="H1210" s="46"/>
      <c r="I1210" s="46"/>
      <c r="J1210" s="46"/>
      <c r="K1210" s="46"/>
      <c r="L1210" s="46"/>
      <c r="M1210" s="46"/>
      <c r="N1210" s="46"/>
      <c r="O1210" s="46"/>
      <c r="P1210" s="46"/>
      <c r="Q1210" s="46"/>
      <c r="R1210" s="46"/>
      <c r="S1210" s="46"/>
      <c r="T1210" s="46"/>
      <c r="U1210" s="46"/>
      <c r="V1210" s="46"/>
      <c r="W1210" s="46"/>
    </row>
    <row r="1211" ht="16.5" spans="1:23">
      <c r="A1211" s="46"/>
      <c r="B1211" s="46"/>
      <c r="C1211" s="46"/>
      <c r="D1211" s="46"/>
      <c r="E1211" s="46"/>
      <c r="F1211" s="46"/>
      <c r="G1211" s="46"/>
      <c r="H1211" s="46"/>
      <c r="I1211" s="46"/>
      <c r="J1211" s="46"/>
      <c r="K1211" s="46"/>
      <c r="L1211" s="46"/>
      <c r="M1211" s="46"/>
      <c r="N1211" s="46"/>
      <c r="O1211" s="46"/>
      <c r="P1211" s="46"/>
      <c r="Q1211" s="46"/>
      <c r="R1211" s="46"/>
      <c r="S1211" s="46"/>
      <c r="T1211" s="46"/>
      <c r="U1211" s="46"/>
      <c r="V1211" s="46"/>
      <c r="W1211" s="46"/>
    </row>
    <row r="1212" ht="16.5" spans="1:23">
      <c r="A1212" s="46"/>
      <c r="B1212" s="46"/>
      <c r="C1212" s="4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  <c r="S1212" s="46"/>
      <c r="T1212" s="46"/>
      <c r="U1212" s="46"/>
      <c r="V1212" s="46"/>
      <c r="W1212" s="46"/>
    </row>
    <row r="1213" ht="16.5" spans="1:23">
      <c r="A1213" s="46"/>
      <c r="B1213" s="46"/>
      <c r="C1213" s="46"/>
      <c r="D1213" s="46"/>
      <c r="E1213" s="46"/>
      <c r="F1213" s="46"/>
      <c r="G1213" s="46"/>
      <c r="H1213" s="46"/>
      <c r="I1213" s="46"/>
      <c r="J1213" s="46"/>
      <c r="K1213" s="46"/>
      <c r="L1213" s="46"/>
      <c r="M1213" s="46"/>
      <c r="N1213" s="46"/>
      <c r="O1213" s="46"/>
      <c r="P1213" s="46"/>
      <c r="Q1213" s="46"/>
      <c r="R1213" s="46"/>
      <c r="S1213" s="46"/>
      <c r="T1213" s="46"/>
      <c r="U1213" s="46"/>
      <c r="V1213" s="46"/>
      <c r="W1213" s="46"/>
    </row>
    <row r="1214" ht="16.5" spans="1:23">
      <c r="A1214" s="46"/>
      <c r="B1214" s="46"/>
      <c r="C1214" s="46"/>
      <c r="D1214" s="46"/>
      <c r="E1214" s="46"/>
      <c r="F1214" s="46"/>
      <c r="G1214" s="46"/>
      <c r="H1214" s="46"/>
      <c r="I1214" s="46"/>
      <c r="J1214" s="46"/>
      <c r="K1214" s="46"/>
      <c r="L1214" s="46"/>
      <c r="M1214" s="46"/>
      <c r="N1214" s="46"/>
      <c r="O1214" s="46"/>
      <c r="P1214" s="46"/>
      <c r="Q1214" s="46"/>
      <c r="R1214" s="46"/>
      <c r="S1214" s="46"/>
      <c r="T1214" s="46"/>
      <c r="U1214" s="46"/>
      <c r="V1214" s="46"/>
      <c r="W1214" s="46"/>
    </row>
    <row r="1215" ht="16.5" spans="1:23">
      <c r="A1215" s="46"/>
      <c r="B1215" s="46"/>
      <c r="C1215" s="46"/>
      <c r="D1215" s="46"/>
      <c r="E1215" s="46"/>
      <c r="F1215" s="46"/>
      <c r="G1215" s="46"/>
      <c r="H1215" s="46"/>
      <c r="I1215" s="46"/>
      <c r="J1215" s="46"/>
      <c r="K1215" s="46"/>
      <c r="L1215" s="46"/>
      <c r="M1215" s="46"/>
      <c r="N1215" s="46"/>
      <c r="O1215" s="46"/>
      <c r="P1215" s="46"/>
      <c r="Q1215" s="46"/>
      <c r="R1215" s="46"/>
      <c r="S1215" s="46"/>
      <c r="T1215" s="46"/>
      <c r="U1215" s="46"/>
      <c r="V1215" s="46"/>
      <c r="W1215" s="46"/>
    </row>
    <row r="1216" ht="16.5" spans="1:23">
      <c r="A1216" s="46"/>
      <c r="B1216" s="46"/>
      <c r="C1216" s="4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  <c r="S1216" s="46"/>
      <c r="T1216" s="46"/>
      <c r="U1216" s="46"/>
      <c r="V1216" s="46"/>
      <c r="W1216" s="46"/>
    </row>
    <row r="1217" ht="16.5" spans="1:23">
      <c r="A1217" s="46"/>
      <c r="B1217" s="46"/>
      <c r="C1217" s="46"/>
      <c r="D1217" s="46"/>
      <c r="E1217" s="46"/>
      <c r="F1217" s="46"/>
      <c r="G1217" s="46"/>
      <c r="H1217" s="46"/>
      <c r="I1217" s="46"/>
      <c r="J1217" s="46"/>
      <c r="K1217" s="46"/>
      <c r="L1217" s="46"/>
      <c r="M1217" s="46"/>
      <c r="N1217" s="46"/>
      <c r="O1217" s="46"/>
      <c r="P1217" s="46"/>
      <c r="Q1217" s="46"/>
      <c r="R1217" s="46"/>
      <c r="S1217" s="46"/>
      <c r="T1217" s="46"/>
      <c r="U1217" s="46"/>
      <c r="V1217" s="46"/>
      <c r="W1217" s="46"/>
    </row>
    <row r="1218" ht="16.5" spans="1:23">
      <c r="A1218" s="46"/>
      <c r="B1218" s="46"/>
      <c r="C1218" s="46"/>
      <c r="D1218" s="46"/>
      <c r="E1218" s="46"/>
      <c r="F1218" s="46"/>
      <c r="G1218" s="46"/>
      <c r="H1218" s="46"/>
      <c r="I1218" s="46"/>
      <c r="J1218" s="46"/>
      <c r="K1218" s="46"/>
      <c r="L1218" s="46"/>
      <c r="M1218" s="46"/>
      <c r="N1218" s="46"/>
      <c r="O1218" s="46"/>
      <c r="P1218" s="46"/>
      <c r="Q1218" s="46"/>
      <c r="R1218" s="46"/>
      <c r="S1218" s="46"/>
      <c r="T1218" s="46"/>
      <c r="U1218" s="46"/>
      <c r="V1218" s="46"/>
      <c r="W1218" s="46"/>
    </row>
    <row r="1219" ht="16.5" spans="1:23">
      <c r="A1219" s="46"/>
      <c r="B1219" s="46"/>
      <c r="C1219" s="46"/>
      <c r="D1219" s="46"/>
      <c r="E1219" s="46"/>
      <c r="F1219" s="46"/>
      <c r="G1219" s="46"/>
      <c r="H1219" s="46"/>
      <c r="I1219" s="46"/>
      <c r="J1219" s="46"/>
      <c r="K1219" s="46"/>
      <c r="L1219" s="46"/>
      <c r="M1219" s="46"/>
      <c r="N1219" s="46"/>
      <c r="O1219" s="46"/>
      <c r="P1219" s="46"/>
      <c r="Q1219" s="46"/>
      <c r="R1219" s="46"/>
      <c r="S1219" s="46"/>
      <c r="T1219" s="46"/>
      <c r="U1219" s="46"/>
      <c r="V1219" s="46"/>
      <c r="W1219" s="46"/>
    </row>
    <row r="1220" ht="16.5" spans="1:23">
      <c r="A1220" s="46"/>
      <c r="B1220" s="46"/>
      <c r="C1220" s="4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  <c r="S1220" s="46"/>
      <c r="T1220" s="46"/>
      <c r="U1220" s="46"/>
      <c r="V1220" s="46"/>
      <c r="W1220" s="46"/>
    </row>
    <row r="1221" ht="16.5" spans="1:23">
      <c r="A1221" s="46"/>
      <c r="B1221" s="46"/>
      <c r="C1221" s="46"/>
      <c r="D1221" s="46"/>
      <c r="E1221" s="46"/>
      <c r="F1221" s="46"/>
      <c r="G1221" s="46"/>
      <c r="H1221" s="46"/>
      <c r="I1221" s="46"/>
      <c r="J1221" s="46"/>
      <c r="K1221" s="46"/>
      <c r="L1221" s="46"/>
      <c r="M1221" s="46"/>
      <c r="N1221" s="46"/>
      <c r="O1221" s="46"/>
      <c r="P1221" s="46"/>
      <c r="Q1221" s="46"/>
      <c r="R1221" s="46"/>
      <c r="S1221" s="46"/>
      <c r="T1221" s="46"/>
      <c r="U1221" s="46"/>
      <c r="V1221" s="46"/>
      <c r="W1221" s="46"/>
    </row>
    <row r="1222" ht="16.5" spans="1:23">
      <c r="A1222" s="46"/>
      <c r="B1222" s="46"/>
      <c r="C1222" s="46"/>
      <c r="D1222" s="46"/>
      <c r="E1222" s="46"/>
      <c r="F1222" s="46"/>
      <c r="G1222" s="46"/>
      <c r="H1222" s="46"/>
      <c r="I1222" s="46"/>
      <c r="J1222" s="46"/>
      <c r="K1222" s="46"/>
      <c r="L1222" s="46"/>
      <c r="M1222" s="46"/>
      <c r="N1222" s="46"/>
      <c r="O1222" s="46"/>
      <c r="P1222" s="46"/>
      <c r="Q1222" s="46"/>
      <c r="R1222" s="46"/>
      <c r="S1222" s="46"/>
      <c r="T1222" s="46"/>
      <c r="U1222" s="46"/>
      <c r="V1222" s="46"/>
      <c r="W1222" s="46"/>
    </row>
    <row r="1223" ht="16.5" spans="1:23">
      <c r="A1223" s="46"/>
      <c r="B1223" s="46"/>
      <c r="C1223" s="46"/>
      <c r="D1223" s="46"/>
      <c r="E1223" s="46"/>
      <c r="F1223" s="46"/>
      <c r="G1223" s="46"/>
      <c r="H1223" s="46"/>
      <c r="I1223" s="46"/>
      <c r="J1223" s="46"/>
      <c r="K1223" s="46"/>
      <c r="L1223" s="46"/>
      <c r="M1223" s="46"/>
      <c r="N1223" s="46"/>
      <c r="O1223" s="46"/>
      <c r="P1223" s="46"/>
      <c r="Q1223" s="46"/>
      <c r="R1223" s="46"/>
      <c r="S1223" s="46"/>
      <c r="T1223" s="46"/>
      <c r="U1223" s="46"/>
      <c r="V1223" s="46"/>
      <c r="W1223" s="46"/>
    </row>
    <row r="1224" ht="16.5" spans="1:23">
      <c r="A1224" s="46"/>
      <c r="B1224" s="46"/>
      <c r="C1224" s="4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  <c r="S1224" s="46"/>
      <c r="T1224" s="46"/>
      <c r="U1224" s="46"/>
      <c r="V1224" s="46"/>
      <c r="W1224" s="46"/>
    </row>
    <row r="1225" ht="16.5" spans="1:23">
      <c r="A1225" s="46"/>
      <c r="B1225" s="46"/>
      <c r="C1225" s="46"/>
      <c r="D1225" s="46"/>
      <c r="E1225" s="46"/>
      <c r="F1225" s="46"/>
      <c r="G1225" s="46"/>
      <c r="H1225" s="46"/>
      <c r="I1225" s="46"/>
      <c r="J1225" s="46"/>
      <c r="K1225" s="46"/>
      <c r="L1225" s="46"/>
      <c r="M1225" s="46"/>
      <c r="N1225" s="46"/>
      <c r="O1225" s="46"/>
      <c r="P1225" s="46"/>
      <c r="Q1225" s="46"/>
      <c r="R1225" s="46"/>
      <c r="S1225" s="46"/>
      <c r="T1225" s="46"/>
      <c r="U1225" s="46"/>
      <c r="V1225" s="46"/>
      <c r="W1225" s="46"/>
    </row>
    <row r="1226" ht="16.5" spans="1:23">
      <c r="A1226" s="46"/>
      <c r="B1226" s="46"/>
      <c r="C1226" s="46"/>
      <c r="D1226" s="46"/>
      <c r="E1226" s="46"/>
      <c r="F1226" s="46"/>
      <c r="G1226" s="46"/>
      <c r="H1226" s="46"/>
      <c r="I1226" s="46"/>
      <c r="J1226" s="46"/>
      <c r="K1226" s="46"/>
      <c r="L1226" s="46"/>
      <c r="M1226" s="46"/>
      <c r="N1226" s="46"/>
      <c r="O1226" s="46"/>
      <c r="P1226" s="46"/>
      <c r="Q1226" s="46"/>
      <c r="R1226" s="46"/>
      <c r="S1226" s="46"/>
      <c r="T1226" s="46"/>
      <c r="U1226" s="46"/>
      <c r="V1226" s="46"/>
      <c r="W1226" s="46"/>
    </row>
    <row r="1227" ht="16.5" spans="1:23">
      <c r="A1227" s="46"/>
      <c r="B1227" s="46"/>
      <c r="C1227" s="46"/>
      <c r="D1227" s="46"/>
      <c r="E1227" s="46"/>
      <c r="F1227" s="46"/>
      <c r="G1227" s="46"/>
      <c r="H1227" s="46"/>
      <c r="I1227" s="46"/>
      <c r="J1227" s="46"/>
      <c r="K1227" s="46"/>
      <c r="L1227" s="46"/>
      <c r="M1227" s="46"/>
      <c r="N1227" s="46"/>
      <c r="O1227" s="46"/>
      <c r="P1227" s="46"/>
      <c r="Q1227" s="46"/>
      <c r="R1227" s="46"/>
      <c r="S1227" s="46"/>
      <c r="T1227" s="46"/>
      <c r="U1227" s="46"/>
      <c r="V1227" s="46"/>
      <c r="W1227" s="46"/>
    </row>
    <row r="1228" ht="16.5" spans="1:23">
      <c r="A1228" s="46"/>
      <c r="B1228" s="46"/>
      <c r="C1228" s="4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  <c r="S1228" s="46"/>
      <c r="T1228" s="46"/>
      <c r="U1228" s="46"/>
      <c r="V1228" s="46"/>
      <c r="W1228" s="46"/>
    </row>
    <row r="1229" ht="16.5" spans="1:23">
      <c r="A1229" s="46"/>
      <c r="B1229" s="46"/>
      <c r="C1229" s="46"/>
      <c r="D1229" s="46"/>
      <c r="E1229" s="46"/>
      <c r="F1229" s="46"/>
      <c r="G1229" s="46"/>
      <c r="H1229" s="46"/>
      <c r="I1229" s="46"/>
      <c r="J1229" s="46"/>
      <c r="K1229" s="46"/>
      <c r="L1229" s="46"/>
      <c r="M1229" s="46"/>
      <c r="N1229" s="46"/>
      <c r="O1229" s="46"/>
      <c r="P1229" s="46"/>
      <c r="Q1229" s="46"/>
      <c r="R1229" s="46"/>
      <c r="S1229" s="46"/>
      <c r="T1229" s="46"/>
      <c r="U1229" s="46"/>
      <c r="V1229" s="46"/>
      <c r="W1229" s="46"/>
    </row>
    <row r="1230" ht="16.5" spans="1:23">
      <c r="A1230" s="46"/>
      <c r="B1230" s="46"/>
      <c r="C1230" s="46"/>
      <c r="D1230" s="46"/>
      <c r="E1230" s="46"/>
      <c r="F1230" s="46"/>
      <c r="G1230" s="46"/>
      <c r="H1230" s="46"/>
      <c r="I1230" s="46"/>
      <c r="J1230" s="46"/>
      <c r="K1230" s="46"/>
      <c r="L1230" s="46"/>
      <c r="M1230" s="46"/>
      <c r="N1230" s="46"/>
      <c r="O1230" s="46"/>
      <c r="P1230" s="46"/>
      <c r="Q1230" s="46"/>
      <c r="R1230" s="46"/>
      <c r="S1230" s="46"/>
      <c r="T1230" s="46"/>
      <c r="U1230" s="46"/>
      <c r="V1230" s="46"/>
      <c r="W1230" s="46"/>
    </row>
    <row r="1231" ht="16.5" spans="1:23">
      <c r="A1231" s="46"/>
      <c r="B1231" s="46"/>
      <c r="C1231" s="46"/>
      <c r="D1231" s="46"/>
      <c r="E1231" s="46"/>
      <c r="F1231" s="46"/>
      <c r="G1231" s="46"/>
      <c r="H1231" s="46"/>
      <c r="I1231" s="46"/>
      <c r="J1231" s="46"/>
      <c r="K1231" s="46"/>
      <c r="L1231" s="46"/>
      <c r="M1231" s="46"/>
      <c r="N1231" s="46"/>
      <c r="O1231" s="46"/>
      <c r="P1231" s="46"/>
      <c r="Q1231" s="46"/>
      <c r="R1231" s="46"/>
      <c r="S1231" s="46"/>
      <c r="T1231" s="46"/>
      <c r="U1231" s="46"/>
      <c r="V1231" s="46"/>
      <c r="W1231" s="46"/>
    </row>
    <row r="1232" ht="16.5" spans="1:23">
      <c r="A1232" s="46"/>
      <c r="B1232" s="46"/>
      <c r="C1232" s="4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  <c r="S1232" s="46"/>
      <c r="T1232" s="46"/>
      <c r="U1232" s="46"/>
      <c r="V1232" s="46"/>
      <c r="W1232" s="46"/>
    </row>
    <row r="1233" ht="16.5" spans="1:23">
      <c r="A1233" s="46"/>
      <c r="B1233" s="46"/>
      <c r="C1233" s="46"/>
      <c r="D1233" s="46"/>
      <c r="E1233" s="46"/>
      <c r="F1233" s="46"/>
      <c r="G1233" s="46"/>
      <c r="H1233" s="46"/>
      <c r="I1233" s="46"/>
      <c r="J1233" s="46"/>
      <c r="K1233" s="46"/>
      <c r="L1233" s="46"/>
      <c r="M1233" s="46"/>
      <c r="N1233" s="46"/>
      <c r="O1233" s="46"/>
      <c r="P1233" s="46"/>
      <c r="Q1233" s="46"/>
      <c r="R1233" s="46"/>
      <c r="S1233" s="46"/>
      <c r="T1233" s="46"/>
      <c r="U1233" s="46"/>
      <c r="V1233" s="46"/>
      <c r="W1233" s="46"/>
    </row>
    <row r="1234" ht="16.5" spans="1:23">
      <c r="A1234" s="46"/>
      <c r="B1234" s="46"/>
      <c r="C1234" s="46"/>
      <c r="D1234" s="46"/>
      <c r="E1234" s="46"/>
      <c r="F1234" s="46"/>
      <c r="G1234" s="46"/>
      <c r="H1234" s="46"/>
      <c r="I1234" s="46"/>
      <c r="J1234" s="46"/>
      <c r="K1234" s="46"/>
      <c r="L1234" s="46"/>
      <c r="M1234" s="46"/>
      <c r="N1234" s="46"/>
      <c r="O1234" s="46"/>
      <c r="P1234" s="46"/>
      <c r="Q1234" s="46"/>
      <c r="R1234" s="46"/>
      <c r="S1234" s="46"/>
      <c r="T1234" s="46"/>
      <c r="U1234" s="46"/>
      <c r="V1234" s="46"/>
      <c r="W1234" s="46"/>
    </row>
    <row r="1235" ht="16.5" spans="1:23">
      <c r="A1235" s="46"/>
      <c r="B1235" s="46"/>
      <c r="C1235" s="46"/>
      <c r="D1235" s="46"/>
      <c r="E1235" s="46"/>
      <c r="F1235" s="46"/>
      <c r="G1235" s="46"/>
      <c r="H1235" s="46"/>
      <c r="I1235" s="46"/>
      <c r="J1235" s="46"/>
      <c r="K1235" s="46"/>
      <c r="L1235" s="46"/>
      <c r="M1235" s="46"/>
      <c r="N1235" s="46"/>
      <c r="O1235" s="46"/>
      <c r="P1235" s="46"/>
      <c r="Q1235" s="46"/>
      <c r="R1235" s="46"/>
      <c r="S1235" s="46"/>
      <c r="T1235" s="46"/>
      <c r="U1235" s="46"/>
      <c r="V1235" s="46"/>
      <c r="W1235" s="46"/>
    </row>
    <row r="1236" ht="16.5" spans="1:23">
      <c r="A1236" s="46"/>
      <c r="B1236" s="46"/>
      <c r="C1236" s="4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  <c r="S1236" s="46"/>
      <c r="T1236" s="46"/>
      <c r="U1236" s="46"/>
      <c r="V1236" s="46"/>
      <c r="W1236" s="46"/>
    </row>
    <row r="1237" ht="16.5" spans="1:23">
      <c r="A1237" s="46"/>
      <c r="B1237" s="46"/>
      <c r="C1237" s="46"/>
      <c r="D1237" s="46"/>
      <c r="E1237" s="46"/>
      <c r="F1237" s="46"/>
      <c r="G1237" s="46"/>
      <c r="H1237" s="46"/>
      <c r="I1237" s="46"/>
      <c r="J1237" s="46"/>
      <c r="K1237" s="46"/>
      <c r="L1237" s="46"/>
      <c r="M1237" s="46"/>
      <c r="N1237" s="46"/>
      <c r="O1237" s="46"/>
      <c r="P1237" s="46"/>
      <c r="Q1237" s="46"/>
      <c r="R1237" s="46"/>
      <c r="S1237" s="46"/>
      <c r="T1237" s="46"/>
      <c r="U1237" s="46"/>
      <c r="V1237" s="46"/>
      <c r="W1237" s="46"/>
    </row>
    <row r="1238" ht="16.5" spans="1:23">
      <c r="A1238" s="46"/>
      <c r="B1238" s="46"/>
      <c r="C1238" s="46"/>
      <c r="D1238" s="46"/>
      <c r="E1238" s="46"/>
      <c r="F1238" s="46"/>
      <c r="G1238" s="46"/>
      <c r="H1238" s="46"/>
      <c r="I1238" s="46"/>
      <c r="J1238" s="46"/>
      <c r="K1238" s="46"/>
      <c r="L1238" s="46"/>
      <c r="M1238" s="46"/>
      <c r="N1238" s="46"/>
      <c r="O1238" s="46"/>
      <c r="P1238" s="46"/>
      <c r="Q1238" s="46"/>
      <c r="R1238" s="46"/>
      <c r="S1238" s="46"/>
      <c r="T1238" s="46"/>
      <c r="U1238" s="46"/>
      <c r="V1238" s="46"/>
      <c r="W1238" s="46"/>
    </row>
    <row r="1239" ht="16.5" spans="1:23">
      <c r="A1239" s="46"/>
      <c r="B1239" s="46"/>
      <c r="C1239" s="46"/>
      <c r="D1239" s="46"/>
      <c r="E1239" s="46"/>
      <c r="F1239" s="46"/>
      <c r="G1239" s="46"/>
      <c r="H1239" s="46"/>
      <c r="I1239" s="46"/>
      <c r="J1239" s="46"/>
      <c r="K1239" s="46"/>
      <c r="L1239" s="46"/>
      <c r="M1239" s="46"/>
      <c r="N1239" s="46"/>
      <c r="O1239" s="46"/>
      <c r="P1239" s="46"/>
      <c r="Q1239" s="46"/>
      <c r="R1239" s="46"/>
      <c r="S1239" s="46"/>
      <c r="T1239" s="46"/>
      <c r="U1239" s="46"/>
      <c r="V1239" s="46"/>
      <c r="W1239" s="46"/>
    </row>
    <row r="1240" ht="16.5" spans="1:23">
      <c r="A1240" s="46"/>
      <c r="B1240" s="46"/>
      <c r="C1240" s="4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  <c r="S1240" s="46"/>
      <c r="T1240" s="46"/>
      <c r="U1240" s="46"/>
      <c r="V1240" s="46"/>
      <c r="W1240" s="46"/>
    </row>
    <row r="1241" ht="16.5" spans="1:23">
      <c r="A1241" s="46"/>
      <c r="B1241" s="46"/>
      <c r="C1241" s="46"/>
      <c r="D1241" s="46"/>
      <c r="E1241" s="46"/>
      <c r="F1241" s="46"/>
      <c r="G1241" s="46"/>
      <c r="H1241" s="46"/>
      <c r="I1241" s="46"/>
      <c r="J1241" s="46"/>
      <c r="K1241" s="46"/>
      <c r="L1241" s="46"/>
      <c r="M1241" s="46"/>
      <c r="N1241" s="46"/>
      <c r="O1241" s="46"/>
      <c r="P1241" s="46"/>
      <c r="Q1241" s="46"/>
      <c r="R1241" s="46"/>
      <c r="S1241" s="46"/>
      <c r="T1241" s="46"/>
      <c r="U1241" s="46"/>
      <c r="V1241" s="46"/>
      <c r="W1241" s="46"/>
    </row>
    <row r="1242" ht="16.5" spans="1:23">
      <c r="A1242" s="46"/>
      <c r="B1242" s="46"/>
      <c r="C1242" s="46"/>
      <c r="D1242" s="46"/>
      <c r="E1242" s="46"/>
      <c r="F1242" s="46"/>
      <c r="G1242" s="46"/>
      <c r="H1242" s="46"/>
      <c r="I1242" s="46"/>
      <c r="J1242" s="46"/>
      <c r="K1242" s="46"/>
      <c r="L1242" s="46"/>
      <c r="M1242" s="46"/>
      <c r="N1242" s="46"/>
      <c r="O1242" s="46"/>
      <c r="P1242" s="46"/>
      <c r="Q1242" s="46"/>
      <c r="R1242" s="46"/>
      <c r="S1242" s="46"/>
      <c r="T1242" s="46"/>
      <c r="U1242" s="46"/>
      <c r="V1242" s="46"/>
      <c r="W1242" s="46"/>
    </row>
    <row r="1243" ht="16.5" spans="1:23">
      <c r="A1243" s="46"/>
      <c r="B1243" s="46"/>
      <c r="C1243" s="46"/>
      <c r="D1243" s="46"/>
      <c r="E1243" s="46"/>
      <c r="F1243" s="46"/>
      <c r="G1243" s="46"/>
      <c r="H1243" s="46"/>
      <c r="I1243" s="46"/>
      <c r="J1243" s="46"/>
      <c r="K1243" s="46"/>
      <c r="L1243" s="46"/>
      <c r="M1243" s="46"/>
      <c r="N1243" s="46"/>
      <c r="O1243" s="46"/>
      <c r="P1243" s="46"/>
      <c r="Q1243" s="46"/>
      <c r="R1243" s="46"/>
      <c r="S1243" s="46"/>
      <c r="T1243" s="46"/>
      <c r="U1243" s="46"/>
      <c r="V1243" s="46"/>
      <c r="W1243" s="46"/>
    </row>
    <row r="1244" ht="16.5" spans="1:23">
      <c r="A1244" s="46"/>
      <c r="B1244" s="46"/>
      <c r="C1244" s="4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  <c r="S1244" s="46"/>
      <c r="T1244" s="46"/>
      <c r="U1244" s="46"/>
      <c r="V1244" s="46"/>
      <c r="W1244" s="46"/>
    </row>
    <row r="1245" ht="16.5" spans="1:23">
      <c r="A1245" s="46"/>
      <c r="B1245" s="46"/>
      <c r="C1245" s="46"/>
      <c r="D1245" s="46"/>
      <c r="E1245" s="46"/>
      <c r="F1245" s="46"/>
      <c r="G1245" s="46"/>
      <c r="H1245" s="46"/>
      <c r="I1245" s="46"/>
      <c r="J1245" s="46"/>
      <c r="K1245" s="46"/>
      <c r="L1245" s="46"/>
      <c r="M1245" s="46"/>
      <c r="N1245" s="46"/>
      <c r="O1245" s="46"/>
      <c r="P1245" s="46"/>
      <c r="Q1245" s="46"/>
      <c r="R1245" s="46"/>
      <c r="S1245" s="46"/>
      <c r="T1245" s="46"/>
      <c r="U1245" s="46"/>
      <c r="V1245" s="46"/>
      <c r="W1245" s="46"/>
    </row>
    <row r="1246" ht="16.5" spans="1:23">
      <c r="A1246" s="46"/>
      <c r="B1246" s="46"/>
      <c r="C1246" s="46"/>
      <c r="D1246" s="46"/>
      <c r="E1246" s="46"/>
      <c r="F1246" s="46"/>
      <c r="G1246" s="46"/>
      <c r="H1246" s="46"/>
      <c r="I1246" s="46"/>
      <c r="J1246" s="46"/>
      <c r="K1246" s="46"/>
      <c r="L1246" s="46"/>
      <c r="M1246" s="46"/>
      <c r="N1246" s="46"/>
      <c r="O1246" s="46"/>
      <c r="P1246" s="46"/>
      <c r="Q1246" s="46"/>
      <c r="R1246" s="46"/>
      <c r="S1246" s="46"/>
      <c r="T1246" s="46"/>
      <c r="U1246" s="46"/>
      <c r="V1246" s="46"/>
      <c r="W1246" s="46"/>
    </row>
    <row r="1247" ht="16.5" spans="1:23">
      <c r="A1247" s="46"/>
      <c r="B1247" s="46"/>
      <c r="C1247" s="46"/>
      <c r="D1247" s="46"/>
      <c r="E1247" s="46"/>
      <c r="F1247" s="46"/>
      <c r="G1247" s="46"/>
      <c r="H1247" s="46"/>
      <c r="I1247" s="46"/>
      <c r="J1247" s="46"/>
      <c r="K1247" s="46"/>
      <c r="L1247" s="46"/>
      <c r="M1247" s="46"/>
      <c r="N1247" s="46"/>
      <c r="O1247" s="46"/>
      <c r="P1247" s="46"/>
      <c r="Q1247" s="46"/>
      <c r="R1247" s="46"/>
      <c r="S1247" s="46"/>
      <c r="T1247" s="46"/>
      <c r="U1247" s="46"/>
      <c r="V1247" s="46"/>
      <c r="W1247" s="46"/>
    </row>
    <row r="1248" ht="16.5" spans="1:23">
      <c r="A1248" s="46"/>
      <c r="B1248" s="46"/>
      <c r="C1248" s="4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  <c r="S1248" s="46"/>
      <c r="T1248" s="46"/>
      <c r="U1248" s="46"/>
      <c r="V1248" s="46"/>
      <c r="W1248" s="46"/>
    </row>
    <row r="1249" ht="16.5" spans="1:23">
      <c r="A1249" s="46"/>
      <c r="B1249" s="46"/>
      <c r="C1249" s="46"/>
      <c r="D1249" s="46"/>
      <c r="E1249" s="46"/>
      <c r="F1249" s="46"/>
      <c r="G1249" s="46"/>
      <c r="H1249" s="46"/>
      <c r="I1249" s="46"/>
      <c r="J1249" s="46"/>
      <c r="K1249" s="46"/>
      <c r="L1249" s="46"/>
      <c r="M1249" s="46"/>
      <c r="N1249" s="46"/>
      <c r="O1249" s="46"/>
      <c r="P1249" s="46"/>
      <c r="Q1249" s="46"/>
      <c r="R1249" s="46"/>
      <c r="S1249" s="46"/>
      <c r="T1249" s="46"/>
      <c r="U1249" s="46"/>
      <c r="V1249" s="46"/>
      <c r="W1249" s="46"/>
    </row>
    <row r="1250" ht="16.5" spans="1:23">
      <c r="A1250" s="46"/>
      <c r="B1250" s="46"/>
      <c r="C1250" s="46"/>
      <c r="D1250" s="46"/>
      <c r="E1250" s="46"/>
      <c r="F1250" s="46"/>
      <c r="G1250" s="46"/>
      <c r="H1250" s="46"/>
      <c r="I1250" s="46"/>
      <c r="J1250" s="46"/>
      <c r="K1250" s="46"/>
      <c r="L1250" s="46"/>
      <c r="M1250" s="46"/>
      <c r="N1250" s="46"/>
      <c r="O1250" s="46"/>
      <c r="P1250" s="46"/>
      <c r="Q1250" s="46"/>
      <c r="R1250" s="46"/>
      <c r="S1250" s="46"/>
      <c r="T1250" s="46"/>
      <c r="U1250" s="46"/>
      <c r="V1250" s="46"/>
      <c r="W1250" s="46"/>
    </row>
    <row r="1251" ht="16.5" spans="1:23">
      <c r="A1251" s="46"/>
      <c r="B1251" s="46"/>
      <c r="C1251" s="46"/>
      <c r="D1251" s="46"/>
      <c r="E1251" s="46"/>
      <c r="F1251" s="46"/>
      <c r="G1251" s="46"/>
      <c r="H1251" s="46"/>
      <c r="I1251" s="46"/>
      <c r="J1251" s="46"/>
      <c r="K1251" s="46"/>
      <c r="L1251" s="46"/>
      <c r="M1251" s="46"/>
      <c r="N1251" s="46"/>
      <c r="O1251" s="46"/>
      <c r="P1251" s="46"/>
      <c r="Q1251" s="46"/>
      <c r="R1251" s="46"/>
      <c r="S1251" s="46"/>
      <c r="T1251" s="46"/>
      <c r="U1251" s="46"/>
      <c r="V1251" s="46"/>
      <c r="W1251" s="46"/>
    </row>
    <row r="1252" ht="16.5" spans="1:23">
      <c r="A1252" s="46"/>
      <c r="B1252" s="46"/>
      <c r="C1252" s="4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  <c r="S1252" s="46"/>
      <c r="T1252" s="46"/>
      <c r="U1252" s="46"/>
      <c r="V1252" s="46"/>
      <c r="W1252" s="46"/>
    </row>
    <row r="1253" ht="16.5" spans="1:23">
      <c r="A1253" s="46"/>
      <c r="B1253" s="46"/>
      <c r="C1253" s="46"/>
      <c r="D1253" s="46"/>
      <c r="E1253" s="46"/>
      <c r="F1253" s="46"/>
      <c r="G1253" s="46"/>
      <c r="H1253" s="46"/>
      <c r="I1253" s="46"/>
      <c r="J1253" s="46"/>
      <c r="K1253" s="46"/>
      <c r="L1253" s="46"/>
      <c r="M1253" s="46"/>
      <c r="N1253" s="46"/>
      <c r="O1253" s="46"/>
      <c r="P1253" s="46"/>
      <c r="Q1253" s="46"/>
      <c r="R1253" s="46"/>
      <c r="S1253" s="46"/>
      <c r="T1253" s="46"/>
      <c r="U1253" s="46"/>
      <c r="V1253" s="46"/>
      <c r="W1253" s="46"/>
    </row>
    <row r="1254" ht="16.5" spans="1:23">
      <c r="A1254" s="46"/>
      <c r="B1254" s="46"/>
      <c r="C1254" s="46"/>
      <c r="D1254" s="46"/>
      <c r="E1254" s="46"/>
      <c r="F1254" s="46"/>
      <c r="G1254" s="46"/>
      <c r="H1254" s="46"/>
      <c r="I1254" s="46"/>
      <c r="J1254" s="46"/>
      <c r="K1254" s="46"/>
      <c r="L1254" s="46"/>
      <c r="M1254" s="46"/>
      <c r="N1254" s="46"/>
      <c r="O1254" s="46"/>
      <c r="P1254" s="46"/>
      <c r="Q1254" s="46"/>
      <c r="R1254" s="46"/>
      <c r="S1254" s="46"/>
      <c r="T1254" s="46"/>
      <c r="U1254" s="46"/>
      <c r="V1254" s="46"/>
      <c r="W1254" s="46"/>
    </row>
    <row r="1255" ht="16.5" spans="1:23">
      <c r="A1255" s="46"/>
      <c r="B1255" s="46"/>
      <c r="C1255" s="46"/>
      <c r="D1255" s="46"/>
      <c r="E1255" s="46"/>
      <c r="F1255" s="46"/>
      <c r="G1255" s="46"/>
      <c r="H1255" s="46"/>
      <c r="I1255" s="46"/>
      <c r="J1255" s="46"/>
      <c r="K1255" s="46"/>
      <c r="L1255" s="46"/>
      <c r="M1255" s="46"/>
      <c r="N1255" s="46"/>
      <c r="O1255" s="46"/>
      <c r="P1255" s="46"/>
      <c r="Q1255" s="46"/>
      <c r="R1255" s="46"/>
      <c r="S1255" s="46"/>
      <c r="T1255" s="46"/>
      <c r="U1255" s="46"/>
      <c r="V1255" s="46"/>
      <c r="W1255" s="46"/>
    </row>
    <row r="1256" ht="16.5" spans="1:23">
      <c r="A1256" s="46"/>
      <c r="B1256" s="46"/>
      <c r="C1256" s="4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  <c r="S1256" s="46"/>
      <c r="T1256" s="46"/>
      <c r="U1256" s="46"/>
      <c r="V1256" s="46"/>
      <c r="W1256" s="46"/>
    </row>
    <row r="1257" ht="16.5" spans="1:23">
      <c r="A1257" s="46"/>
      <c r="B1257" s="46"/>
      <c r="C1257" s="46"/>
      <c r="D1257" s="46"/>
      <c r="E1257" s="46"/>
      <c r="F1257" s="46"/>
      <c r="G1257" s="46"/>
      <c r="H1257" s="46"/>
      <c r="I1257" s="46"/>
      <c r="J1257" s="46"/>
      <c r="K1257" s="46"/>
      <c r="L1257" s="46"/>
      <c r="M1257" s="46"/>
      <c r="N1257" s="46"/>
      <c r="O1257" s="46"/>
      <c r="P1257" s="46"/>
      <c r="Q1257" s="46"/>
      <c r="R1257" s="46"/>
      <c r="S1257" s="46"/>
      <c r="T1257" s="46"/>
      <c r="U1257" s="46"/>
      <c r="V1257" s="46"/>
      <c r="W1257" s="46"/>
    </row>
    <row r="1258" ht="16.5" spans="1:23">
      <c r="A1258" s="46"/>
      <c r="B1258" s="46"/>
      <c r="C1258" s="46"/>
      <c r="D1258" s="46"/>
      <c r="E1258" s="46"/>
      <c r="F1258" s="46"/>
      <c r="G1258" s="46"/>
      <c r="H1258" s="46"/>
      <c r="I1258" s="46"/>
      <c r="J1258" s="46"/>
      <c r="K1258" s="46"/>
      <c r="L1258" s="46"/>
      <c r="M1258" s="46"/>
      <c r="N1258" s="46"/>
      <c r="O1258" s="46"/>
      <c r="P1258" s="46"/>
      <c r="Q1258" s="46"/>
      <c r="R1258" s="46"/>
      <c r="S1258" s="46"/>
      <c r="T1258" s="46"/>
      <c r="U1258" s="46"/>
      <c r="V1258" s="46"/>
      <c r="W1258" s="46"/>
    </row>
    <row r="1259" ht="16.5" spans="1:23">
      <c r="A1259" s="46"/>
      <c r="B1259" s="46"/>
      <c r="C1259" s="46"/>
      <c r="D1259" s="46"/>
      <c r="E1259" s="46"/>
      <c r="F1259" s="46"/>
      <c r="G1259" s="46"/>
      <c r="H1259" s="46"/>
      <c r="I1259" s="46"/>
      <c r="J1259" s="46"/>
      <c r="K1259" s="46"/>
      <c r="L1259" s="46"/>
      <c r="M1259" s="46"/>
      <c r="N1259" s="46"/>
      <c r="O1259" s="46"/>
      <c r="P1259" s="46"/>
      <c r="Q1259" s="46"/>
      <c r="R1259" s="46"/>
      <c r="S1259" s="46"/>
      <c r="T1259" s="46"/>
      <c r="U1259" s="46"/>
      <c r="V1259" s="46"/>
      <c r="W1259" s="46"/>
    </row>
    <row r="1260" ht="16.5" spans="1:23">
      <c r="A1260" s="46"/>
      <c r="B1260" s="46"/>
      <c r="C1260" s="46"/>
      <c r="D1260" s="46"/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  <c r="S1260" s="46"/>
      <c r="T1260" s="46"/>
      <c r="U1260" s="46"/>
      <c r="V1260" s="46"/>
      <c r="W1260" s="46"/>
    </row>
    <row r="1261" ht="16.5" spans="1:23">
      <c r="A1261" s="46"/>
      <c r="B1261" s="46"/>
      <c r="C1261" s="46"/>
      <c r="D1261" s="46"/>
      <c r="E1261" s="46"/>
      <c r="F1261" s="46"/>
      <c r="G1261" s="46"/>
      <c r="H1261" s="46"/>
      <c r="I1261" s="46"/>
      <c r="J1261" s="46"/>
      <c r="K1261" s="46"/>
      <c r="L1261" s="46"/>
      <c r="M1261" s="46"/>
      <c r="N1261" s="46"/>
      <c r="O1261" s="46"/>
      <c r="P1261" s="46"/>
      <c r="Q1261" s="46"/>
      <c r="R1261" s="46"/>
      <c r="S1261" s="46"/>
      <c r="T1261" s="46"/>
      <c r="U1261" s="46"/>
      <c r="V1261" s="46"/>
      <c r="W1261" s="46"/>
    </row>
    <row r="1262" ht="16.5" spans="1:23">
      <c r="A1262" s="46"/>
      <c r="B1262" s="46"/>
      <c r="C1262" s="46"/>
      <c r="D1262" s="46"/>
      <c r="E1262" s="46"/>
      <c r="F1262" s="46"/>
      <c r="G1262" s="46"/>
      <c r="H1262" s="46"/>
      <c r="I1262" s="46"/>
      <c r="J1262" s="46"/>
      <c r="K1262" s="46"/>
      <c r="L1262" s="46"/>
      <c r="M1262" s="46"/>
      <c r="N1262" s="46"/>
      <c r="O1262" s="46"/>
      <c r="P1262" s="46"/>
      <c r="Q1262" s="46"/>
      <c r="R1262" s="46"/>
      <c r="S1262" s="46"/>
      <c r="T1262" s="46"/>
      <c r="U1262" s="46"/>
      <c r="V1262" s="46"/>
      <c r="W1262" s="46"/>
    </row>
    <row r="1263" ht="16.5" spans="1:23">
      <c r="A1263" s="46"/>
      <c r="B1263" s="46"/>
      <c r="C1263" s="46"/>
      <c r="D1263" s="46"/>
      <c r="E1263" s="46"/>
      <c r="F1263" s="46"/>
      <c r="G1263" s="46"/>
      <c r="H1263" s="46"/>
      <c r="I1263" s="46"/>
      <c r="J1263" s="46"/>
      <c r="K1263" s="46"/>
      <c r="L1263" s="46"/>
      <c r="M1263" s="46"/>
      <c r="N1263" s="46"/>
      <c r="O1263" s="46"/>
      <c r="P1263" s="46"/>
      <c r="Q1263" s="46"/>
      <c r="R1263" s="46"/>
      <c r="S1263" s="46"/>
      <c r="T1263" s="46"/>
      <c r="U1263" s="46"/>
      <c r="V1263" s="46"/>
      <c r="W1263" s="46"/>
    </row>
    <row r="1264" ht="16.5" spans="1:23">
      <c r="A1264" s="46"/>
      <c r="B1264" s="46"/>
      <c r="C1264" s="4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  <c r="S1264" s="46"/>
      <c r="T1264" s="46"/>
      <c r="U1264" s="46"/>
      <c r="V1264" s="46"/>
      <c r="W1264" s="46"/>
    </row>
    <row r="1265" ht="16.5" spans="1:23">
      <c r="A1265" s="46"/>
      <c r="B1265" s="46"/>
      <c r="C1265" s="46"/>
      <c r="D1265" s="46"/>
      <c r="E1265" s="46"/>
      <c r="F1265" s="46"/>
      <c r="G1265" s="46"/>
      <c r="H1265" s="46"/>
      <c r="I1265" s="46"/>
      <c r="J1265" s="46"/>
      <c r="K1265" s="46"/>
      <c r="L1265" s="46"/>
      <c r="M1265" s="46"/>
      <c r="N1265" s="46"/>
      <c r="O1265" s="46"/>
      <c r="P1265" s="46"/>
      <c r="Q1265" s="46"/>
      <c r="R1265" s="46"/>
      <c r="S1265" s="46"/>
      <c r="T1265" s="46"/>
      <c r="U1265" s="46"/>
      <c r="V1265" s="46"/>
      <c r="W1265" s="46"/>
    </row>
    <row r="1266" ht="16.5" spans="1:23">
      <c r="A1266" s="46"/>
      <c r="B1266" s="46"/>
      <c r="C1266" s="46"/>
      <c r="D1266" s="46"/>
      <c r="E1266" s="46"/>
      <c r="F1266" s="46"/>
      <c r="G1266" s="46"/>
      <c r="H1266" s="46"/>
      <c r="I1266" s="46"/>
      <c r="J1266" s="46"/>
      <c r="K1266" s="46"/>
      <c r="L1266" s="46"/>
      <c r="M1266" s="46"/>
      <c r="N1266" s="46"/>
      <c r="O1266" s="46"/>
      <c r="P1266" s="46"/>
      <c r="Q1266" s="46"/>
      <c r="R1266" s="46"/>
      <c r="S1266" s="46"/>
      <c r="T1266" s="46"/>
      <c r="U1266" s="46"/>
      <c r="V1266" s="46"/>
      <c r="W1266" s="46"/>
    </row>
    <row r="1267" ht="16.5" spans="1:23">
      <c r="A1267" s="46"/>
      <c r="B1267" s="46"/>
      <c r="C1267" s="46"/>
      <c r="D1267" s="46"/>
      <c r="E1267" s="46"/>
      <c r="F1267" s="46"/>
      <c r="G1267" s="46"/>
      <c r="H1267" s="46"/>
      <c r="I1267" s="46"/>
      <c r="J1267" s="46"/>
      <c r="K1267" s="46"/>
      <c r="L1267" s="46"/>
      <c r="M1267" s="46"/>
      <c r="N1267" s="46"/>
      <c r="O1267" s="46"/>
      <c r="P1267" s="46"/>
      <c r="Q1267" s="46"/>
      <c r="R1267" s="46"/>
      <c r="S1267" s="46"/>
      <c r="T1267" s="46"/>
      <c r="U1267" s="46"/>
      <c r="V1267" s="46"/>
      <c r="W1267" s="46"/>
    </row>
    <row r="1268" ht="16.5" spans="1:23">
      <c r="A1268" s="46"/>
      <c r="B1268" s="46"/>
      <c r="C1268" s="46"/>
      <c r="D1268" s="46"/>
      <c r="E1268" s="46"/>
      <c r="F1268" s="46"/>
      <c r="G1268" s="46"/>
      <c r="H1268" s="46"/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  <c r="S1268" s="46"/>
      <c r="T1268" s="46"/>
      <c r="U1268" s="46"/>
      <c r="V1268" s="46"/>
      <c r="W1268" s="46"/>
    </row>
    <row r="1269" ht="16.5" spans="1:23">
      <c r="A1269" s="46"/>
      <c r="B1269" s="46"/>
      <c r="C1269" s="46"/>
      <c r="D1269" s="46"/>
      <c r="E1269" s="46"/>
      <c r="F1269" s="46"/>
      <c r="G1269" s="46"/>
      <c r="H1269" s="46"/>
      <c r="I1269" s="46"/>
      <c r="J1269" s="46"/>
      <c r="K1269" s="46"/>
      <c r="L1269" s="46"/>
      <c r="M1269" s="46"/>
      <c r="N1269" s="46"/>
      <c r="O1269" s="46"/>
      <c r="P1269" s="46"/>
      <c r="Q1269" s="46"/>
      <c r="R1269" s="46"/>
      <c r="S1269" s="46"/>
      <c r="T1269" s="46"/>
      <c r="U1269" s="46"/>
      <c r="V1269" s="46"/>
      <c r="W1269" s="46"/>
    </row>
    <row r="1270" ht="16.5" spans="1:23">
      <c r="A1270" s="46"/>
      <c r="B1270" s="46"/>
      <c r="C1270" s="46"/>
      <c r="D1270" s="46"/>
      <c r="E1270" s="46"/>
      <c r="F1270" s="46"/>
      <c r="G1270" s="46"/>
      <c r="H1270" s="46"/>
      <c r="I1270" s="46"/>
      <c r="J1270" s="46"/>
      <c r="K1270" s="46"/>
      <c r="L1270" s="46"/>
      <c r="M1270" s="46"/>
      <c r="N1270" s="46"/>
      <c r="O1270" s="46"/>
      <c r="P1270" s="46"/>
      <c r="Q1270" s="46"/>
      <c r="R1270" s="46"/>
      <c r="S1270" s="46"/>
      <c r="T1270" s="46"/>
      <c r="U1270" s="46"/>
      <c r="V1270" s="46"/>
      <c r="W1270" s="46"/>
    </row>
    <row r="1271" ht="16.5" spans="1:23">
      <c r="A1271" s="46"/>
      <c r="B1271" s="46"/>
      <c r="C1271" s="46"/>
      <c r="D1271" s="46"/>
      <c r="E1271" s="46"/>
      <c r="F1271" s="46"/>
      <c r="G1271" s="46"/>
      <c r="H1271" s="46"/>
      <c r="I1271" s="46"/>
      <c r="J1271" s="46"/>
      <c r="K1271" s="46"/>
      <c r="L1271" s="46"/>
      <c r="M1271" s="46"/>
      <c r="N1271" s="46"/>
      <c r="O1271" s="46"/>
      <c r="P1271" s="46"/>
      <c r="Q1271" s="46"/>
      <c r="R1271" s="46"/>
      <c r="S1271" s="46"/>
      <c r="T1271" s="46"/>
      <c r="U1271" s="46"/>
      <c r="V1271" s="46"/>
      <c r="W1271" s="46"/>
    </row>
    <row r="1272" ht="16.5" spans="1:23">
      <c r="A1272" s="46"/>
      <c r="B1272" s="46"/>
      <c r="C1272" s="4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  <c r="S1272" s="46"/>
      <c r="T1272" s="46"/>
      <c r="U1272" s="46"/>
      <c r="V1272" s="46"/>
      <c r="W1272" s="46"/>
    </row>
    <row r="1273" ht="16.5" spans="1:23">
      <c r="A1273" s="46"/>
      <c r="B1273" s="46"/>
      <c r="C1273" s="46"/>
      <c r="D1273" s="46"/>
      <c r="E1273" s="46"/>
      <c r="F1273" s="46"/>
      <c r="G1273" s="46"/>
      <c r="H1273" s="46"/>
      <c r="I1273" s="46"/>
      <c r="J1273" s="46"/>
      <c r="K1273" s="46"/>
      <c r="L1273" s="46"/>
      <c r="M1273" s="46"/>
      <c r="N1273" s="46"/>
      <c r="O1273" s="46"/>
      <c r="P1273" s="46"/>
      <c r="Q1273" s="46"/>
      <c r="R1273" s="46"/>
      <c r="S1273" s="46"/>
      <c r="T1273" s="46"/>
      <c r="U1273" s="46"/>
      <c r="V1273" s="46"/>
      <c r="W1273" s="46"/>
    </row>
    <row r="1274" ht="16.5" spans="1:23">
      <c r="A1274" s="46"/>
      <c r="B1274" s="46"/>
      <c r="C1274" s="46"/>
      <c r="D1274" s="46"/>
      <c r="E1274" s="46"/>
      <c r="F1274" s="46"/>
      <c r="G1274" s="46"/>
      <c r="H1274" s="46"/>
      <c r="I1274" s="46"/>
      <c r="J1274" s="46"/>
      <c r="K1274" s="46"/>
      <c r="L1274" s="46"/>
      <c r="M1274" s="46"/>
      <c r="N1274" s="46"/>
      <c r="O1274" s="46"/>
      <c r="P1274" s="46"/>
      <c r="Q1274" s="46"/>
      <c r="R1274" s="46"/>
      <c r="S1274" s="46"/>
      <c r="T1274" s="46"/>
      <c r="U1274" s="46"/>
      <c r="V1274" s="46"/>
      <c r="W1274" s="46"/>
    </row>
    <row r="1275" ht="16.5" spans="1:23">
      <c r="A1275" s="46"/>
      <c r="B1275" s="46"/>
      <c r="C1275" s="46"/>
      <c r="D1275" s="46"/>
      <c r="E1275" s="46"/>
      <c r="F1275" s="46"/>
      <c r="G1275" s="46"/>
      <c r="H1275" s="46"/>
      <c r="I1275" s="46"/>
      <c r="J1275" s="46"/>
      <c r="K1275" s="46"/>
      <c r="L1275" s="46"/>
      <c r="M1275" s="46"/>
      <c r="N1275" s="46"/>
      <c r="O1275" s="46"/>
      <c r="P1275" s="46"/>
      <c r="Q1275" s="46"/>
      <c r="R1275" s="46"/>
      <c r="S1275" s="46"/>
      <c r="T1275" s="46"/>
      <c r="U1275" s="46"/>
      <c r="V1275" s="46"/>
      <c r="W1275" s="46"/>
    </row>
    <row r="1276" ht="16.5" spans="1:23">
      <c r="A1276" s="46"/>
      <c r="B1276" s="46"/>
      <c r="C1276" s="4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  <c r="S1276" s="46"/>
      <c r="T1276" s="46"/>
      <c r="U1276" s="46"/>
      <c r="V1276" s="46"/>
      <c r="W1276" s="46"/>
    </row>
    <row r="1277" ht="16.5" spans="1:23">
      <c r="A1277" s="46"/>
      <c r="B1277" s="46"/>
      <c r="C1277" s="46"/>
      <c r="D1277" s="46"/>
      <c r="E1277" s="46"/>
      <c r="F1277" s="46"/>
      <c r="G1277" s="46"/>
      <c r="H1277" s="46"/>
      <c r="I1277" s="46"/>
      <c r="J1277" s="46"/>
      <c r="K1277" s="46"/>
      <c r="L1277" s="46"/>
      <c r="M1277" s="46"/>
      <c r="N1277" s="46"/>
      <c r="O1277" s="46"/>
      <c r="P1277" s="46"/>
      <c r="Q1277" s="46"/>
      <c r="R1277" s="46"/>
      <c r="S1277" s="46"/>
      <c r="T1277" s="46"/>
      <c r="U1277" s="46"/>
      <c r="V1277" s="46"/>
      <c r="W1277" s="46"/>
    </row>
    <row r="1278" ht="16.5" spans="1:23">
      <c r="A1278" s="46"/>
      <c r="B1278" s="46"/>
      <c r="C1278" s="46"/>
      <c r="D1278" s="46"/>
      <c r="E1278" s="46"/>
      <c r="F1278" s="46"/>
      <c r="G1278" s="46"/>
      <c r="H1278" s="46"/>
      <c r="I1278" s="46"/>
      <c r="J1278" s="46"/>
      <c r="K1278" s="46"/>
      <c r="L1278" s="46"/>
      <c r="M1278" s="46"/>
      <c r="N1278" s="46"/>
      <c r="O1278" s="46"/>
      <c r="P1278" s="46"/>
      <c r="Q1278" s="46"/>
      <c r="R1278" s="46"/>
      <c r="S1278" s="46"/>
      <c r="T1278" s="46"/>
      <c r="U1278" s="46"/>
      <c r="V1278" s="46"/>
      <c r="W1278" s="46"/>
    </row>
    <row r="1279" ht="16.5" spans="1:23">
      <c r="A1279" s="46"/>
      <c r="B1279" s="46"/>
      <c r="C1279" s="46"/>
      <c r="D1279" s="46"/>
      <c r="E1279" s="46"/>
      <c r="F1279" s="46"/>
      <c r="G1279" s="46"/>
      <c r="H1279" s="46"/>
      <c r="I1279" s="46"/>
      <c r="J1279" s="46"/>
      <c r="K1279" s="46"/>
      <c r="L1279" s="46"/>
      <c r="M1279" s="46"/>
      <c r="N1279" s="46"/>
      <c r="O1279" s="46"/>
      <c r="P1279" s="46"/>
      <c r="Q1279" s="46"/>
      <c r="R1279" s="46"/>
      <c r="S1279" s="46"/>
      <c r="T1279" s="46"/>
      <c r="U1279" s="46"/>
      <c r="V1279" s="46"/>
      <c r="W1279" s="46"/>
    </row>
    <row r="1280" ht="16.5" spans="1:23">
      <c r="A1280" s="46"/>
      <c r="B1280" s="46"/>
      <c r="C1280" s="46"/>
      <c r="D1280" s="46"/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  <c r="S1280" s="46"/>
      <c r="T1280" s="46"/>
      <c r="U1280" s="46"/>
      <c r="V1280" s="46"/>
      <c r="W1280" s="46"/>
    </row>
    <row r="1281" ht="16.5" spans="1:23">
      <c r="A1281" s="46"/>
      <c r="B1281" s="46"/>
      <c r="C1281" s="46"/>
      <c r="D1281" s="46"/>
      <c r="E1281" s="46"/>
      <c r="F1281" s="46"/>
      <c r="G1281" s="46"/>
      <c r="H1281" s="46"/>
      <c r="I1281" s="46"/>
      <c r="J1281" s="46"/>
      <c r="K1281" s="46"/>
      <c r="L1281" s="46"/>
      <c r="M1281" s="46"/>
      <c r="N1281" s="46"/>
      <c r="O1281" s="46"/>
      <c r="P1281" s="46"/>
      <c r="Q1281" s="46"/>
      <c r="R1281" s="46"/>
      <c r="S1281" s="46"/>
      <c r="T1281" s="46"/>
      <c r="U1281" s="46"/>
      <c r="V1281" s="46"/>
      <c r="W1281" s="46"/>
    </row>
    <row r="1282" ht="16.5" spans="1:23">
      <c r="A1282" s="46"/>
      <c r="B1282" s="46"/>
      <c r="C1282" s="46"/>
      <c r="D1282" s="46"/>
      <c r="E1282" s="46"/>
      <c r="F1282" s="46"/>
      <c r="G1282" s="46"/>
      <c r="H1282" s="46"/>
      <c r="I1282" s="46"/>
      <c r="J1282" s="46"/>
      <c r="K1282" s="46"/>
      <c r="L1282" s="46"/>
      <c r="M1282" s="46"/>
      <c r="N1282" s="46"/>
      <c r="O1282" s="46"/>
      <c r="P1282" s="46"/>
      <c r="Q1282" s="46"/>
      <c r="R1282" s="46"/>
      <c r="S1282" s="46"/>
      <c r="T1282" s="46"/>
      <c r="U1282" s="46"/>
      <c r="V1282" s="46"/>
      <c r="W1282" s="46"/>
    </row>
    <row r="1283" ht="16.5" spans="1:23">
      <c r="A1283" s="46"/>
      <c r="B1283" s="46"/>
      <c r="C1283" s="46"/>
      <c r="D1283" s="46"/>
      <c r="E1283" s="46"/>
      <c r="F1283" s="46"/>
      <c r="G1283" s="46"/>
      <c r="H1283" s="46"/>
      <c r="I1283" s="46"/>
      <c r="J1283" s="46"/>
      <c r="K1283" s="46"/>
      <c r="L1283" s="46"/>
      <c r="M1283" s="46"/>
      <c r="N1283" s="46"/>
      <c r="O1283" s="46"/>
      <c r="P1283" s="46"/>
      <c r="Q1283" s="46"/>
      <c r="R1283" s="46"/>
      <c r="S1283" s="46"/>
      <c r="T1283" s="46"/>
      <c r="U1283" s="46"/>
      <c r="V1283" s="46"/>
      <c r="W1283" s="46"/>
    </row>
    <row r="1284" ht="16.5" spans="1:23">
      <c r="A1284" s="46"/>
      <c r="B1284" s="46"/>
      <c r="C1284" s="4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  <c r="S1284" s="46"/>
      <c r="T1284" s="46"/>
      <c r="U1284" s="46"/>
      <c r="V1284" s="46"/>
      <c r="W1284" s="46"/>
    </row>
    <row r="1285" ht="16.5" spans="1:23">
      <c r="A1285" s="46"/>
      <c r="B1285" s="46"/>
      <c r="C1285" s="46"/>
      <c r="D1285" s="46"/>
      <c r="E1285" s="46"/>
      <c r="F1285" s="46"/>
      <c r="G1285" s="46"/>
      <c r="H1285" s="46"/>
      <c r="I1285" s="46"/>
      <c r="J1285" s="46"/>
      <c r="K1285" s="46"/>
      <c r="L1285" s="46"/>
      <c r="M1285" s="46"/>
      <c r="N1285" s="46"/>
      <c r="O1285" s="46"/>
      <c r="P1285" s="46"/>
      <c r="Q1285" s="46"/>
      <c r="R1285" s="46"/>
      <c r="S1285" s="46"/>
      <c r="T1285" s="46"/>
      <c r="U1285" s="46"/>
      <c r="V1285" s="46"/>
      <c r="W1285" s="46"/>
    </row>
    <row r="1286" ht="16.5" spans="1:23">
      <c r="A1286" s="46"/>
      <c r="B1286" s="46"/>
      <c r="C1286" s="46"/>
      <c r="D1286" s="46"/>
      <c r="E1286" s="46"/>
      <c r="F1286" s="46"/>
      <c r="G1286" s="46"/>
      <c r="H1286" s="46"/>
      <c r="I1286" s="46"/>
      <c r="J1286" s="46"/>
      <c r="K1286" s="46"/>
      <c r="L1286" s="46"/>
      <c r="M1286" s="46"/>
      <c r="N1286" s="46"/>
      <c r="O1286" s="46"/>
      <c r="P1286" s="46"/>
      <c r="Q1286" s="46"/>
      <c r="R1286" s="46"/>
      <c r="S1286" s="46"/>
      <c r="T1286" s="46"/>
      <c r="U1286" s="46"/>
      <c r="V1286" s="46"/>
      <c r="W1286" s="46"/>
    </row>
    <row r="1287" ht="16.5" spans="1:23">
      <c r="A1287" s="46"/>
      <c r="B1287" s="46"/>
      <c r="C1287" s="46"/>
      <c r="D1287" s="46"/>
      <c r="E1287" s="46"/>
      <c r="F1287" s="46"/>
      <c r="G1287" s="46"/>
      <c r="H1287" s="46"/>
      <c r="I1287" s="46"/>
      <c r="J1287" s="46"/>
      <c r="K1287" s="46"/>
      <c r="L1287" s="46"/>
      <c r="M1287" s="46"/>
      <c r="N1287" s="46"/>
      <c r="O1287" s="46"/>
      <c r="P1287" s="46"/>
      <c r="Q1287" s="46"/>
      <c r="R1287" s="46"/>
      <c r="S1287" s="46"/>
      <c r="T1287" s="46"/>
      <c r="U1287" s="46"/>
      <c r="V1287" s="46"/>
      <c r="W1287" s="46"/>
    </row>
    <row r="1288" ht="16.5" spans="1:23">
      <c r="A1288" s="46"/>
      <c r="B1288" s="46"/>
      <c r="C1288" s="46"/>
      <c r="D1288" s="46"/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  <c r="S1288" s="46"/>
      <c r="T1288" s="46"/>
      <c r="U1288" s="46"/>
      <c r="V1288" s="46"/>
      <c r="W1288" s="46"/>
    </row>
    <row r="1289" ht="16.5" spans="1:23">
      <c r="A1289" s="46"/>
      <c r="B1289" s="46"/>
      <c r="C1289" s="46"/>
      <c r="D1289" s="46"/>
      <c r="E1289" s="46"/>
      <c r="F1289" s="46"/>
      <c r="G1289" s="46"/>
      <c r="H1289" s="46"/>
      <c r="I1289" s="46"/>
      <c r="J1289" s="46"/>
      <c r="K1289" s="46"/>
      <c r="L1289" s="46"/>
      <c r="M1289" s="46"/>
      <c r="N1289" s="46"/>
      <c r="O1289" s="46"/>
      <c r="P1289" s="46"/>
      <c r="Q1289" s="46"/>
      <c r="R1289" s="46"/>
      <c r="S1289" s="46"/>
      <c r="T1289" s="46"/>
      <c r="U1289" s="46"/>
      <c r="V1289" s="46"/>
      <c r="W1289" s="46"/>
    </row>
    <row r="1290" ht="16.5" spans="1:23">
      <c r="A1290" s="46"/>
      <c r="B1290" s="46"/>
      <c r="C1290" s="46"/>
      <c r="D1290" s="46"/>
      <c r="E1290" s="46"/>
      <c r="F1290" s="46"/>
      <c r="G1290" s="46"/>
      <c r="H1290" s="46"/>
      <c r="I1290" s="46"/>
      <c r="J1290" s="46"/>
      <c r="K1290" s="46"/>
      <c r="L1290" s="46"/>
      <c r="M1290" s="46"/>
      <c r="N1290" s="46"/>
      <c r="O1290" s="46"/>
      <c r="P1290" s="46"/>
      <c r="Q1290" s="46"/>
      <c r="R1290" s="46"/>
      <c r="S1290" s="46"/>
      <c r="T1290" s="46"/>
      <c r="U1290" s="46"/>
      <c r="V1290" s="46"/>
      <c r="W1290" s="46"/>
    </row>
    <row r="1291" ht="16.5" spans="1:23">
      <c r="A1291" s="46"/>
      <c r="B1291" s="46"/>
      <c r="C1291" s="46"/>
      <c r="D1291" s="46"/>
      <c r="E1291" s="46"/>
      <c r="F1291" s="46"/>
      <c r="G1291" s="46"/>
      <c r="H1291" s="46"/>
      <c r="I1291" s="46"/>
      <c r="J1291" s="46"/>
      <c r="K1291" s="46"/>
      <c r="L1291" s="46"/>
      <c r="M1291" s="46"/>
      <c r="N1291" s="46"/>
      <c r="O1291" s="46"/>
      <c r="P1291" s="46"/>
      <c r="Q1291" s="46"/>
      <c r="R1291" s="46"/>
      <c r="S1291" s="46"/>
      <c r="T1291" s="46"/>
      <c r="U1291" s="46"/>
      <c r="V1291" s="46"/>
      <c r="W1291" s="46"/>
    </row>
    <row r="1292" ht="16.5" spans="1:23">
      <c r="A1292" s="46"/>
      <c r="B1292" s="46"/>
      <c r="C1292" s="4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  <c r="S1292" s="46"/>
      <c r="T1292" s="46"/>
      <c r="U1292" s="46"/>
      <c r="V1292" s="46"/>
      <c r="W1292" s="46"/>
    </row>
    <row r="1293" ht="16.5" spans="1:23">
      <c r="A1293" s="46"/>
      <c r="B1293" s="46"/>
      <c r="C1293" s="46"/>
      <c r="D1293" s="46"/>
      <c r="E1293" s="46"/>
      <c r="F1293" s="46"/>
      <c r="G1293" s="46"/>
      <c r="H1293" s="46"/>
      <c r="I1293" s="46"/>
      <c r="J1293" s="46"/>
      <c r="K1293" s="46"/>
      <c r="L1293" s="46"/>
      <c r="M1293" s="46"/>
      <c r="N1293" s="46"/>
      <c r="O1293" s="46"/>
      <c r="P1293" s="46"/>
      <c r="Q1293" s="46"/>
      <c r="R1293" s="46"/>
      <c r="S1293" s="46"/>
      <c r="T1293" s="46"/>
      <c r="U1293" s="46"/>
      <c r="V1293" s="46"/>
      <c r="W1293" s="46"/>
    </row>
    <row r="1294" ht="16.5" spans="1:23">
      <c r="A1294" s="46"/>
      <c r="B1294" s="46"/>
      <c r="C1294" s="46"/>
      <c r="D1294" s="46"/>
      <c r="E1294" s="46"/>
      <c r="F1294" s="46"/>
      <c r="G1294" s="46"/>
      <c r="H1294" s="46"/>
      <c r="I1294" s="46"/>
      <c r="J1294" s="46"/>
      <c r="K1294" s="46"/>
      <c r="L1294" s="46"/>
      <c r="M1294" s="46"/>
      <c r="N1294" s="46"/>
      <c r="O1294" s="46"/>
      <c r="P1294" s="46"/>
      <c r="Q1294" s="46"/>
      <c r="R1294" s="46"/>
      <c r="S1294" s="46"/>
      <c r="T1294" s="46"/>
      <c r="U1294" s="46"/>
      <c r="V1294" s="46"/>
      <c r="W1294" s="46"/>
    </row>
    <row r="1295" ht="16.5" spans="1:23">
      <c r="A1295" s="46"/>
      <c r="B1295" s="46"/>
      <c r="C1295" s="46"/>
      <c r="D1295" s="46"/>
      <c r="E1295" s="46"/>
      <c r="F1295" s="46"/>
      <c r="G1295" s="46"/>
      <c r="H1295" s="46"/>
      <c r="I1295" s="46"/>
      <c r="J1295" s="46"/>
      <c r="K1295" s="46"/>
      <c r="L1295" s="46"/>
      <c r="M1295" s="46"/>
      <c r="N1295" s="46"/>
      <c r="O1295" s="46"/>
      <c r="P1295" s="46"/>
      <c r="Q1295" s="46"/>
      <c r="R1295" s="46"/>
      <c r="S1295" s="46"/>
      <c r="T1295" s="46"/>
      <c r="U1295" s="46"/>
      <c r="V1295" s="46"/>
      <c r="W1295" s="46"/>
    </row>
    <row r="1296" ht="16.5" spans="1:23">
      <c r="A1296" s="46"/>
      <c r="B1296" s="46"/>
      <c r="C1296" s="4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  <c r="S1296" s="46"/>
      <c r="T1296" s="46"/>
      <c r="U1296" s="46"/>
      <c r="V1296" s="46"/>
      <c r="W1296" s="46"/>
    </row>
    <row r="1297" ht="16.5" spans="1:23">
      <c r="A1297" s="46"/>
      <c r="B1297" s="46"/>
      <c r="C1297" s="46"/>
      <c r="D1297" s="46"/>
      <c r="E1297" s="46"/>
      <c r="F1297" s="46"/>
      <c r="G1297" s="46"/>
      <c r="H1297" s="46"/>
      <c r="I1297" s="46"/>
      <c r="J1297" s="46"/>
      <c r="K1297" s="46"/>
      <c r="L1297" s="46"/>
      <c r="M1297" s="46"/>
      <c r="N1297" s="46"/>
      <c r="O1297" s="46"/>
      <c r="P1297" s="46"/>
      <c r="Q1297" s="46"/>
      <c r="R1297" s="46"/>
      <c r="S1297" s="46"/>
      <c r="T1297" s="46"/>
      <c r="U1297" s="46"/>
      <c r="V1297" s="46"/>
      <c r="W1297" s="46"/>
    </row>
    <row r="1298" ht="16.5" spans="1:23">
      <c r="A1298" s="46"/>
      <c r="B1298" s="46"/>
      <c r="C1298" s="46"/>
      <c r="D1298" s="46"/>
      <c r="E1298" s="46"/>
      <c r="F1298" s="46"/>
      <c r="G1298" s="46"/>
      <c r="H1298" s="46"/>
      <c r="I1298" s="46"/>
      <c r="J1298" s="46"/>
      <c r="K1298" s="46"/>
      <c r="L1298" s="46"/>
      <c r="M1298" s="46"/>
      <c r="N1298" s="46"/>
      <c r="O1298" s="46"/>
      <c r="P1298" s="46"/>
      <c r="Q1298" s="46"/>
      <c r="R1298" s="46"/>
      <c r="S1298" s="46"/>
      <c r="T1298" s="46"/>
      <c r="U1298" s="46"/>
      <c r="V1298" s="46"/>
      <c r="W1298" s="46"/>
    </row>
    <row r="1299" ht="16.5" spans="1:23">
      <c r="A1299" s="46"/>
      <c r="B1299" s="46"/>
      <c r="C1299" s="46"/>
      <c r="D1299" s="46"/>
      <c r="E1299" s="46"/>
      <c r="F1299" s="46"/>
      <c r="G1299" s="46"/>
      <c r="H1299" s="46"/>
      <c r="I1299" s="46"/>
      <c r="J1299" s="46"/>
      <c r="K1299" s="46"/>
      <c r="L1299" s="46"/>
      <c r="M1299" s="46"/>
      <c r="N1299" s="46"/>
      <c r="O1299" s="46"/>
      <c r="P1299" s="46"/>
      <c r="Q1299" s="46"/>
      <c r="R1299" s="46"/>
      <c r="S1299" s="46"/>
      <c r="T1299" s="46"/>
      <c r="U1299" s="46"/>
      <c r="V1299" s="46"/>
      <c r="W1299" s="46"/>
    </row>
    <row r="1300" ht="16.5" spans="1:23">
      <c r="A1300" s="46"/>
      <c r="B1300" s="46"/>
      <c r="C1300" s="4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  <c r="S1300" s="46"/>
      <c r="T1300" s="46"/>
      <c r="U1300" s="46"/>
      <c r="V1300" s="46"/>
      <c r="W1300" s="46"/>
    </row>
    <row r="1301" ht="16.5" spans="1:23">
      <c r="A1301" s="46"/>
      <c r="B1301" s="46"/>
      <c r="C1301" s="46"/>
      <c r="D1301" s="46"/>
      <c r="E1301" s="46"/>
      <c r="F1301" s="46"/>
      <c r="G1301" s="46"/>
      <c r="H1301" s="46"/>
      <c r="I1301" s="46"/>
      <c r="J1301" s="46"/>
      <c r="K1301" s="46"/>
      <c r="L1301" s="46"/>
      <c r="M1301" s="46"/>
      <c r="N1301" s="46"/>
      <c r="O1301" s="46"/>
      <c r="P1301" s="46"/>
      <c r="Q1301" s="46"/>
      <c r="R1301" s="46"/>
      <c r="S1301" s="46"/>
      <c r="T1301" s="46"/>
      <c r="U1301" s="46"/>
      <c r="V1301" s="46"/>
      <c r="W1301" s="46"/>
    </row>
    <row r="1302" ht="16.5" spans="1:23">
      <c r="A1302" s="46"/>
      <c r="B1302" s="46"/>
      <c r="C1302" s="46"/>
      <c r="D1302" s="46"/>
      <c r="E1302" s="46"/>
      <c r="F1302" s="46"/>
      <c r="G1302" s="46"/>
      <c r="H1302" s="46"/>
      <c r="I1302" s="46"/>
      <c r="J1302" s="46"/>
      <c r="K1302" s="46"/>
      <c r="L1302" s="46"/>
      <c r="M1302" s="46"/>
      <c r="N1302" s="46"/>
      <c r="O1302" s="46"/>
      <c r="P1302" s="46"/>
      <c r="Q1302" s="46"/>
      <c r="R1302" s="46"/>
      <c r="S1302" s="46"/>
      <c r="T1302" s="46"/>
      <c r="U1302" s="46"/>
      <c r="V1302" s="46"/>
      <c r="W1302" s="46"/>
    </row>
    <row r="1303" ht="16.5" spans="1:23">
      <c r="A1303" s="46"/>
      <c r="B1303" s="46"/>
      <c r="C1303" s="46"/>
      <c r="D1303" s="46"/>
      <c r="E1303" s="46"/>
      <c r="F1303" s="46"/>
      <c r="G1303" s="46"/>
      <c r="H1303" s="46"/>
      <c r="I1303" s="46"/>
      <c r="J1303" s="46"/>
      <c r="K1303" s="46"/>
      <c r="L1303" s="46"/>
      <c r="M1303" s="46"/>
      <c r="N1303" s="46"/>
      <c r="O1303" s="46"/>
      <c r="P1303" s="46"/>
      <c r="Q1303" s="46"/>
      <c r="R1303" s="46"/>
      <c r="S1303" s="46"/>
      <c r="T1303" s="46"/>
      <c r="U1303" s="46"/>
      <c r="V1303" s="46"/>
      <c r="W1303" s="46"/>
    </row>
    <row r="1304" ht="16.5" spans="1:23">
      <c r="A1304" s="46"/>
      <c r="B1304" s="46"/>
      <c r="C1304" s="4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  <c r="S1304" s="46"/>
      <c r="T1304" s="46"/>
      <c r="U1304" s="46"/>
      <c r="V1304" s="46"/>
      <c r="W1304" s="46"/>
    </row>
    <row r="1305" ht="16.5" spans="1:23">
      <c r="A1305" s="46"/>
      <c r="B1305" s="46"/>
      <c r="C1305" s="46"/>
      <c r="D1305" s="46"/>
      <c r="E1305" s="46"/>
      <c r="F1305" s="46"/>
      <c r="G1305" s="46"/>
      <c r="H1305" s="46"/>
      <c r="I1305" s="46"/>
      <c r="J1305" s="46"/>
      <c r="K1305" s="46"/>
      <c r="L1305" s="46"/>
      <c r="M1305" s="46"/>
      <c r="N1305" s="46"/>
      <c r="O1305" s="46"/>
      <c r="P1305" s="46"/>
      <c r="Q1305" s="46"/>
      <c r="R1305" s="46"/>
      <c r="S1305" s="46"/>
      <c r="T1305" s="46"/>
      <c r="U1305" s="46"/>
      <c r="V1305" s="46"/>
      <c r="W1305" s="46"/>
    </row>
    <row r="1306" ht="16.5" spans="1:23">
      <c r="A1306" s="46"/>
      <c r="B1306" s="46"/>
      <c r="C1306" s="46"/>
      <c r="D1306" s="46"/>
      <c r="E1306" s="46"/>
      <c r="F1306" s="46"/>
      <c r="G1306" s="46"/>
      <c r="H1306" s="46"/>
      <c r="I1306" s="46"/>
      <c r="J1306" s="46"/>
      <c r="K1306" s="46"/>
      <c r="L1306" s="46"/>
      <c r="M1306" s="46"/>
      <c r="N1306" s="46"/>
      <c r="O1306" s="46"/>
      <c r="P1306" s="46"/>
      <c r="Q1306" s="46"/>
      <c r="R1306" s="46"/>
      <c r="S1306" s="46"/>
      <c r="T1306" s="46"/>
      <c r="U1306" s="46"/>
      <c r="V1306" s="46"/>
      <c r="W1306" s="46"/>
    </row>
    <row r="1307" ht="16.5" spans="1:23">
      <c r="A1307" s="46"/>
      <c r="B1307" s="46"/>
      <c r="C1307" s="46"/>
      <c r="D1307" s="46"/>
      <c r="E1307" s="46"/>
      <c r="F1307" s="46"/>
      <c r="G1307" s="46"/>
      <c r="H1307" s="46"/>
      <c r="I1307" s="46"/>
      <c r="J1307" s="46"/>
      <c r="K1307" s="46"/>
      <c r="L1307" s="46"/>
      <c r="M1307" s="46"/>
      <c r="N1307" s="46"/>
      <c r="O1307" s="46"/>
      <c r="P1307" s="46"/>
      <c r="Q1307" s="46"/>
      <c r="R1307" s="46"/>
      <c r="S1307" s="46"/>
      <c r="T1307" s="46"/>
      <c r="U1307" s="46"/>
      <c r="V1307" s="46"/>
      <c r="W1307" s="46"/>
    </row>
    <row r="1308" ht="16.5" spans="1:23">
      <c r="A1308" s="46"/>
      <c r="B1308" s="46"/>
      <c r="C1308" s="4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  <c r="S1308" s="46"/>
      <c r="T1308" s="46"/>
      <c r="U1308" s="46"/>
      <c r="V1308" s="46"/>
      <c r="W1308" s="46"/>
    </row>
    <row r="1309" ht="16.5" spans="1:23">
      <c r="A1309" s="46"/>
      <c r="B1309" s="46"/>
      <c r="C1309" s="46"/>
      <c r="D1309" s="46"/>
      <c r="E1309" s="46"/>
      <c r="F1309" s="46"/>
      <c r="G1309" s="46"/>
      <c r="H1309" s="46"/>
      <c r="I1309" s="46"/>
      <c r="J1309" s="46"/>
      <c r="K1309" s="46"/>
      <c r="L1309" s="46"/>
      <c r="M1309" s="46"/>
      <c r="N1309" s="46"/>
      <c r="O1309" s="46"/>
      <c r="P1309" s="46"/>
      <c r="Q1309" s="46"/>
      <c r="R1309" s="46"/>
      <c r="S1309" s="46"/>
      <c r="T1309" s="46"/>
      <c r="U1309" s="46"/>
      <c r="V1309" s="46"/>
      <c r="W1309" s="46"/>
    </row>
    <row r="1310" ht="16.5" spans="1:23">
      <c r="A1310" s="46"/>
      <c r="B1310" s="46"/>
      <c r="C1310" s="46"/>
      <c r="D1310" s="46"/>
      <c r="E1310" s="46"/>
      <c r="F1310" s="46"/>
      <c r="G1310" s="46"/>
      <c r="H1310" s="46"/>
      <c r="I1310" s="46"/>
      <c r="J1310" s="46"/>
      <c r="K1310" s="46"/>
      <c r="L1310" s="46"/>
      <c r="M1310" s="46"/>
      <c r="N1310" s="46"/>
      <c r="O1310" s="46"/>
      <c r="P1310" s="46"/>
      <c r="Q1310" s="46"/>
      <c r="R1310" s="46"/>
      <c r="S1310" s="46"/>
      <c r="T1310" s="46"/>
      <c r="U1310" s="46"/>
      <c r="V1310" s="46"/>
      <c r="W1310" s="46"/>
    </row>
    <row r="1311" ht="16.5" spans="1:23">
      <c r="A1311" s="46"/>
      <c r="B1311" s="46"/>
      <c r="C1311" s="46"/>
      <c r="D1311" s="46"/>
      <c r="E1311" s="46"/>
      <c r="F1311" s="46"/>
      <c r="G1311" s="46"/>
      <c r="H1311" s="46"/>
      <c r="I1311" s="46"/>
      <c r="J1311" s="46"/>
      <c r="K1311" s="46"/>
      <c r="L1311" s="46"/>
      <c r="M1311" s="46"/>
      <c r="N1311" s="46"/>
      <c r="O1311" s="46"/>
      <c r="P1311" s="46"/>
      <c r="Q1311" s="46"/>
      <c r="R1311" s="46"/>
      <c r="S1311" s="46"/>
      <c r="T1311" s="46"/>
      <c r="U1311" s="46"/>
      <c r="V1311" s="46"/>
      <c r="W1311" s="46"/>
    </row>
    <row r="1312" ht="16.5" spans="1:23">
      <c r="A1312" s="46"/>
      <c r="B1312" s="46"/>
      <c r="C1312" s="46"/>
      <c r="D1312" s="46"/>
      <c r="E1312" s="46"/>
      <c r="F1312" s="46"/>
      <c r="G1312" s="46"/>
      <c r="H1312" s="46"/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  <c r="S1312" s="46"/>
      <c r="T1312" s="46"/>
      <c r="U1312" s="46"/>
      <c r="V1312" s="46"/>
      <c r="W1312" s="46"/>
    </row>
    <row r="1313" ht="16.5" spans="1:23">
      <c r="A1313" s="46"/>
      <c r="B1313" s="46"/>
      <c r="C1313" s="46"/>
      <c r="D1313" s="46"/>
      <c r="E1313" s="46"/>
      <c r="F1313" s="46"/>
      <c r="G1313" s="46"/>
      <c r="H1313" s="46"/>
      <c r="I1313" s="46"/>
      <c r="J1313" s="46"/>
      <c r="K1313" s="46"/>
      <c r="L1313" s="46"/>
      <c r="M1313" s="46"/>
      <c r="N1313" s="46"/>
      <c r="O1313" s="46"/>
      <c r="P1313" s="46"/>
      <c r="Q1313" s="46"/>
      <c r="R1313" s="46"/>
      <c r="S1313" s="46"/>
      <c r="T1313" s="46"/>
      <c r="U1313" s="46"/>
      <c r="V1313" s="46"/>
      <c r="W1313" s="46"/>
    </row>
    <row r="1314" ht="16.5" spans="1:23">
      <c r="A1314" s="46"/>
      <c r="B1314" s="46"/>
      <c r="C1314" s="46"/>
      <c r="D1314" s="46"/>
      <c r="E1314" s="46"/>
      <c r="F1314" s="46"/>
      <c r="G1314" s="46"/>
      <c r="H1314" s="46"/>
      <c r="I1314" s="46"/>
      <c r="J1314" s="46"/>
      <c r="K1314" s="46"/>
      <c r="L1314" s="46"/>
      <c r="M1314" s="46"/>
      <c r="N1314" s="46"/>
      <c r="O1314" s="46"/>
      <c r="P1314" s="46"/>
      <c r="Q1314" s="46"/>
      <c r="R1314" s="46"/>
      <c r="S1314" s="46"/>
      <c r="T1314" s="46"/>
      <c r="U1314" s="46"/>
      <c r="V1314" s="46"/>
      <c r="W1314" s="46"/>
    </row>
    <row r="1315" ht="16.5" spans="1:23">
      <c r="A1315" s="46"/>
      <c r="B1315" s="46"/>
      <c r="C1315" s="46"/>
      <c r="D1315" s="46"/>
      <c r="E1315" s="46"/>
      <c r="F1315" s="46"/>
      <c r="G1315" s="46"/>
      <c r="H1315" s="46"/>
      <c r="I1315" s="46"/>
      <c r="J1315" s="46"/>
      <c r="K1315" s="46"/>
      <c r="L1315" s="46"/>
      <c r="M1315" s="46"/>
      <c r="N1315" s="46"/>
      <c r="O1315" s="46"/>
      <c r="P1315" s="46"/>
      <c r="Q1315" s="46"/>
      <c r="R1315" s="46"/>
      <c r="S1315" s="46"/>
      <c r="T1315" s="46"/>
      <c r="U1315" s="46"/>
      <c r="V1315" s="46"/>
      <c r="W1315" s="46"/>
    </row>
    <row r="1316" ht="16.5" spans="1:23">
      <c r="A1316" s="46"/>
      <c r="B1316" s="46"/>
      <c r="C1316" s="4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  <c r="S1316" s="46"/>
      <c r="T1316" s="46"/>
      <c r="U1316" s="46"/>
      <c r="V1316" s="46"/>
      <c r="W1316" s="46"/>
    </row>
    <row r="1317" ht="16.5" spans="1:23">
      <c r="A1317" s="46"/>
      <c r="B1317" s="46"/>
      <c r="C1317" s="46"/>
      <c r="D1317" s="46"/>
      <c r="E1317" s="46"/>
      <c r="F1317" s="46"/>
      <c r="G1317" s="46"/>
      <c r="H1317" s="46"/>
      <c r="I1317" s="46"/>
      <c r="J1317" s="46"/>
      <c r="K1317" s="46"/>
      <c r="L1317" s="46"/>
      <c r="M1317" s="46"/>
      <c r="N1317" s="46"/>
      <c r="O1317" s="46"/>
      <c r="P1317" s="46"/>
      <c r="Q1317" s="46"/>
      <c r="R1317" s="46"/>
      <c r="S1317" s="46"/>
      <c r="T1317" s="46"/>
      <c r="U1317" s="46"/>
      <c r="V1317" s="46"/>
      <c r="W1317" s="46"/>
    </row>
    <row r="1318" ht="16.5" spans="1:23">
      <c r="A1318" s="46"/>
      <c r="B1318" s="46"/>
      <c r="C1318" s="46"/>
      <c r="D1318" s="46"/>
      <c r="E1318" s="46"/>
      <c r="F1318" s="46"/>
      <c r="G1318" s="46"/>
      <c r="H1318" s="46"/>
      <c r="I1318" s="46"/>
      <c r="J1318" s="46"/>
      <c r="K1318" s="46"/>
      <c r="L1318" s="46"/>
      <c r="M1318" s="46"/>
      <c r="N1318" s="46"/>
      <c r="O1318" s="46"/>
      <c r="P1318" s="46"/>
      <c r="Q1318" s="46"/>
      <c r="R1318" s="46"/>
      <c r="S1318" s="46"/>
      <c r="T1318" s="46"/>
      <c r="U1318" s="46"/>
      <c r="V1318" s="46"/>
      <c r="W1318" s="46"/>
    </row>
    <row r="1319" ht="16.5" spans="1:23">
      <c r="A1319" s="46"/>
      <c r="B1319" s="46"/>
      <c r="C1319" s="46"/>
      <c r="D1319" s="46"/>
      <c r="E1319" s="46"/>
      <c r="F1319" s="46"/>
      <c r="G1319" s="46"/>
      <c r="H1319" s="46"/>
      <c r="I1319" s="46"/>
      <c r="J1319" s="46"/>
      <c r="K1319" s="46"/>
      <c r="L1319" s="46"/>
      <c r="M1319" s="46"/>
      <c r="N1319" s="46"/>
      <c r="O1319" s="46"/>
      <c r="P1319" s="46"/>
      <c r="Q1319" s="46"/>
      <c r="R1319" s="46"/>
      <c r="S1319" s="46"/>
      <c r="T1319" s="46"/>
      <c r="U1319" s="46"/>
      <c r="V1319" s="46"/>
      <c r="W1319" s="46"/>
    </row>
    <row r="1320" ht="16.5" spans="1:23">
      <c r="A1320" s="46"/>
      <c r="B1320" s="46"/>
      <c r="C1320" s="46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  <c r="S1320" s="46"/>
      <c r="T1320" s="46"/>
      <c r="U1320" s="46"/>
      <c r="V1320" s="46"/>
      <c r="W1320" s="46"/>
    </row>
    <row r="1321" ht="16.5" spans="1:23">
      <c r="A1321" s="46"/>
      <c r="B1321" s="46"/>
      <c r="C1321" s="46"/>
      <c r="D1321" s="46"/>
      <c r="E1321" s="46"/>
      <c r="F1321" s="46"/>
      <c r="G1321" s="46"/>
      <c r="H1321" s="46"/>
      <c r="I1321" s="46"/>
      <c r="J1321" s="46"/>
      <c r="K1321" s="46"/>
      <c r="L1321" s="46"/>
      <c r="M1321" s="46"/>
      <c r="N1321" s="46"/>
      <c r="O1321" s="46"/>
      <c r="P1321" s="46"/>
      <c r="Q1321" s="46"/>
      <c r="R1321" s="46"/>
      <c r="S1321" s="46"/>
      <c r="T1321" s="46"/>
      <c r="U1321" s="46"/>
      <c r="V1321" s="46"/>
      <c r="W1321" s="46"/>
    </row>
    <row r="1322" ht="16.5" spans="1:23">
      <c r="A1322" s="46"/>
      <c r="B1322" s="46"/>
      <c r="C1322" s="46"/>
      <c r="D1322" s="46"/>
      <c r="E1322" s="46"/>
      <c r="F1322" s="46"/>
      <c r="G1322" s="46"/>
      <c r="H1322" s="46"/>
      <c r="I1322" s="46"/>
      <c r="J1322" s="46"/>
      <c r="K1322" s="46"/>
      <c r="L1322" s="46"/>
      <c r="M1322" s="46"/>
      <c r="N1322" s="46"/>
      <c r="O1322" s="46"/>
      <c r="P1322" s="46"/>
      <c r="Q1322" s="46"/>
      <c r="R1322" s="46"/>
      <c r="S1322" s="46"/>
      <c r="T1322" s="46"/>
      <c r="U1322" s="46"/>
      <c r="V1322" s="46"/>
      <c r="W1322" s="46"/>
    </row>
    <row r="1323" ht="16.5" spans="1:23">
      <c r="A1323" s="46"/>
      <c r="B1323" s="46"/>
      <c r="C1323" s="46"/>
      <c r="D1323" s="46"/>
      <c r="E1323" s="46"/>
      <c r="F1323" s="46"/>
      <c r="G1323" s="46"/>
      <c r="H1323" s="46"/>
      <c r="I1323" s="46"/>
      <c r="J1323" s="46"/>
      <c r="K1323" s="46"/>
      <c r="L1323" s="46"/>
      <c r="M1323" s="46"/>
      <c r="N1323" s="46"/>
      <c r="O1323" s="46"/>
      <c r="P1323" s="46"/>
      <c r="Q1323" s="46"/>
      <c r="R1323" s="46"/>
      <c r="S1323" s="46"/>
      <c r="T1323" s="46"/>
      <c r="U1323" s="46"/>
      <c r="V1323" s="46"/>
      <c r="W1323" s="46"/>
    </row>
    <row r="1324" ht="16.5" spans="1:23">
      <c r="A1324" s="46"/>
      <c r="B1324" s="46"/>
      <c r="C1324" s="4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  <c r="S1324" s="46"/>
      <c r="T1324" s="46"/>
      <c r="U1324" s="46"/>
      <c r="V1324" s="46"/>
      <c r="W1324" s="46"/>
    </row>
    <row r="1325" ht="16.5" spans="1:23">
      <c r="A1325" s="46"/>
      <c r="B1325" s="46"/>
      <c r="C1325" s="46"/>
      <c r="D1325" s="46"/>
      <c r="E1325" s="46"/>
      <c r="F1325" s="46"/>
      <c r="G1325" s="46"/>
      <c r="H1325" s="46"/>
      <c r="I1325" s="46"/>
      <c r="J1325" s="46"/>
      <c r="K1325" s="46"/>
      <c r="L1325" s="46"/>
      <c r="M1325" s="46"/>
      <c r="N1325" s="46"/>
      <c r="O1325" s="46"/>
      <c r="P1325" s="46"/>
      <c r="Q1325" s="46"/>
      <c r="R1325" s="46"/>
      <c r="S1325" s="46"/>
      <c r="T1325" s="46"/>
      <c r="U1325" s="46"/>
      <c r="V1325" s="46"/>
      <c r="W1325" s="46"/>
    </row>
    <row r="1326" ht="16.5" spans="1:23">
      <c r="A1326" s="46"/>
      <c r="B1326" s="46"/>
      <c r="C1326" s="46"/>
      <c r="D1326" s="46"/>
      <c r="E1326" s="46"/>
      <c r="F1326" s="46"/>
      <c r="G1326" s="46"/>
      <c r="H1326" s="46"/>
      <c r="I1326" s="46"/>
      <c r="J1326" s="46"/>
      <c r="K1326" s="46"/>
      <c r="L1326" s="46"/>
      <c r="M1326" s="46"/>
      <c r="N1326" s="46"/>
      <c r="O1326" s="46"/>
      <c r="P1326" s="46"/>
      <c r="Q1326" s="46"/>
      <c r="R1326" s="46"/>
      <c r="S1326" s="46"/>
      <c r="T1326" s="46"/>
      <c r="U1326" s="46"/>
      <c r="V1326" s="46"/>
      <c r="W1326" s="46"/>
    </row>
    <row r="1327" ht="16.5" spans="1:23">
      <c r="A1327" s="46"/>
      <c r="B1327" s="46"/>
      <c r="C1327" s="46"/>
      <c r="D1327" s="46"/>
      <c r="E1327" s="46"/>
      <c r="F1327" s="46"/>
      <c r="G1327" s="46"/>
      <c r="H1327" s="46"/>
      <c r="I1327" s="46"/>
      <c r="J1327" s="46"/>
      <c r="K1327" s="46"/>
      <c r="L1327" s="46"/>
      <c r="M1327" s="46"/>
      <c r="N1327" s="46"/>
      <c r="O1327" s="46"/>
      <c r="P1327" s="46"/>
      <c r="Q1327" s="46"/>
      <c r="R1327" s="46"/>
      <c r="S1327" s="46"/>
      <c r="T1327" s="46"/>
      <c r="U1327" s="46"/>
      <c r="V1327" s="46"/>
      <c r="W1327" s="46"/>
    </row>
    <row r="1328" ht="16.5" spans="1:23">
      <c r="A1328" s="46"/>
      <c r="B1328" s="46"/>
      <c r="C1328" s="46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  <c r="S1328" s="46"/>
      <c r="T1328" s="46"/>
      <c r="U1328" s="46"/>
      <c r="V1328" s="46"/>
      <c r="W1328" s="46"/>
    </row>
    <row r="1329" ht="16.5" spans="1:23">
      <c r="A1329" s="46"/>
      <c r="B1329" s="46"/>
      <c r="C1329" s="46"/>
      <c r="D1329" s="46"/>
      <c r="E1329" s="46"/>
      <c r="F1329" s="46"/>
      <c r="G1329" s="46"/>
      <c r="H1329" s="46"/>
      <c r="I1329" s="46"/>
      <c r="J1329" s="46"/>
      <c r="K1329" s="46"/>
      <c r="L1329" s="46"/>
      <c r="M1329" s="46"/>
      <c r="N1329" s="46"/>
      <c r="O1329" s="46"/>
      <c r="P1329" s="46"/>
      <c r="Q1329" s="46"/>
      <c r="R1329" s="46"/>
      <c r="S1329" s="46"/>
      <c r="T1329" s="46"/>
      <c r="U1329" s="46"/>
      <c r="V1329" s="46"/>
      <c r="W1329" s="46"/>
    </row>
    <row r="1330" ht="16.5" spans="1:23">
      <c r="A1330" s="46"/>
      <c r="B1330" s="46"/>
      <c r="C1330" s="46"/>
      <c r="D1330" s="46"/>
      <c r="E1330" s="46"/>
      <c r="F1330" s="46"/>
      <c r="G1330" s="46"/>
      <c r="H1330" s="46"/>
      <c r="I1330" s="46"/>
      <c r="J1330" s="46"/>
      <c r="K1330" s="46"/>
      <c r="L1330" s="46"/>
      <c r="M1330" s="46"/>
      <c r="N1330" s="46"/>
      <c r="O1330" s="46"/>
      <c r="P1330" s="46"/>
      <c r="Q1330" s="46"/>
      <c r="R1330" s="46"/>
      <c r="S1330" s="46"/>
      <c r="T1330" s="46"/>
      <c r="U1330" s="46"/>
      <c r="V1330" s="46"/>
      <c r="W1330" s="46"/>
    </row>
    <row r="1331" ht="16.5" spans="1:23">
      <c r="A1331" s="46"/>
      <c r="B1331" s="46"/>
      <c r="C1331" s="46"/>
      <c r="D1331" s="46"/>
      <c r="E1331" s="46"/>
      <c r="F1331" s="46"/>
      <c r="G1331" s="46"/>
      <c r="H1331" s="46"/>
      <c r="I1331" s="46"/>
      <c r="J1331" s="46"/>
      <c r="K1331" s="46"/>
      <c r="L1331" s="46"/>
      <c r="M1331" s="46"/>
      <c r="N1331" s="46"/>
      <c r="O1331" s="46"/>
      <c r="P1331" s="46"/>
      <c r="Q1331" s="46"/>
      <c r="R1331" s="46"/>
      <c r="S1331" s="46"/>
      <c r="T1331" s="46"/>
      <c r="U1331" s="46"/>
      <c r="V1331" s="46"/>
      <c r="W1331" s="46"/>
    </row>
    <row r="1332" ht="16.5" spans="1:23">
      <c r="A1332" s="46"/>
      <c r="B1332" s="46"/>
      <c r="C1332" s="46"/>
      <c r="D1332" s="46"/>
      <c r="E1332" s="46"/>
      <c r="F1332" s="46"/>
      <c r="G1332" s="46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  <c r="S1332" s="46"/>
      <c r="T1332" s="46"/>
      <c r="U1332" s="46"/>
      <c r="V1332" s="46"/>
      <c r="W1332" s="46"/>
    </row>
    <row r="1333" ht="16.5" spans="1:23">
      <c r="A1333" s="46"/>
      <c r="B1333" s="46"/>
      <c r="C1333" s="46"/>
      <c r="D1333" s="46"/>
      <c r="E1333" s="46"/>
      <c r="F1333" s="46"/>
      <c r="G1333" s="46"/>
      <c r="H1333" s="46"/>
      <c r="I1333" s="46"/>
      <c r="J1333" s="46"/>
      <c r="K1333" s="46"/>
      <c r="L1333" s="46"/>
      <c r="M1333" s="46"/>
      <c r="N1333" s="46"/>
      <c r="O1333" s="46"/>
      <c r="P1333" s="46"/>
      <c r="Q1333" s="46"/>
      <c r="R1333" s="46"/>
      <c r="S1333" s="46"/>
      <c r="T1333" s="46"/>
      <c r="U1333" s="46"/>
      <c r="V1333" s="46"/>
      <c r="W1333" s="46"/>
    </row>
    <row r="1334" ht="16.5" spans="1:23">
      <c r="A1334" s="46"/>
      <c r="B1334" s="46"/>
      <c r="C1334" s="46"/>
      <c r="D1334" s="46"/>
      <c r="E1334" s="46"/>
      <c r="F1334" s="46"/>
      <c r="G1334" s="46"/>
      <c r="H1334" s="46"/>
      <c r="I1334" s="46"/>
      <c r="J1334" s="46"/>
      <c r="K1334" s="46"/>
      <c r="L1334" s="46"/>
      <c r="M1334" s="46"/>
      <c r="N1334" s="46"/>
      <c r="O1334" s="46"/>
      <c r="P1334" s="46"/>
      <c r="Q1334" s="46"/>
      <c r="R1334" s="46"/>
      <c r="S1334" s="46"/>
      <c r="T1334" s="46"/>
      <c r="U1334" s="46"/>
      <c r="V1334" s="46"/>
      <c r="W1334" s="46"/>
    </row>
    <row r="1335" ht="16.5" spans="1:23">
      <c r="A1335" s="46"/>
      <c r="B1335" s="46"/>
      <c r="C1335" s="46"/>
      <c r="D1335" s="46"/>
      <c r="E1335" s="46"/>
      <c r="F1335" s="46"/>
      <c r="G1335" s="46"/>
      <c r="H1335" s="46"/>
      <c r="I1335" s="46"/>
      <c r="J1335" s="46"/>
      <c r="K1335" s="46"/>
      <c r="L1335" s="46"/>
      <c r="M1335" s="46"/>
      <c r="N1335" s="46"/>
      <c r="O1335" s="46"/>
      <c r="P1335" s="46"/>
      <c r="Q1335" s="46"/>
      <c r="R1335" s="46"/>
      <c r="S1335" s="46"/>
      <c r="T1335" s="46"/>
      <c r="U1335" s="46"/>
      <c r="V1335" s="46"/>
      <c r="W1335" s="46"/>
    </row>
    <row r="1336" ht="16.5" spans="1:23">
      <c r="A1336" s="46"/>
      <c r="B1336" s="46"/>
      <c r="C1336" s="46"/>
      <c r="D1336" s="46"/>
      <c r="E1336" s="46"/>
      <c r="F1336" s="46"/>
      <c r="G1336" s="46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  <c r="S1336" s="46"/>
      <c r="T1336" s="46"/>
      <c r="U1336" s="46"/>
      <c r="V1336" s="46"/>
      <c r="W1336" s="46"/>
    </row>
    <row r="1337" ht="16.5" spans="1:23">
      <c r="A1337" s="46"/>
      <c r="B1337" s="46"/>
      <c r="C1337" s="46"/>
      <c r="D1337" s="46"/>
      <c r="E1337" s="46"/>
      <c r="F1337" s="46"/>
      <c r="G1337" s="46"/>
      <c r="H1337" s="46"/>
      <c r="I1337" s="46"/>
      <c r="J1337" s="46"/>
      <c r="K1337" s="46"/>
      <c r="L1337" s="46"/>
      <c r="M1337" s="46"/>
      <c r="N1337" s="46"/>
      <c r="O1337" s="46"/>
      <c r="P1337" s="46"/>
      <c r="Q1337" s="46"/>
      <c r="R1337" s="46"/>
      <c r="S1337" s="46"/>
      <c r="T1337" s="46"/>
      <c r="U1337" s="46"/>
      <c r="V1337" s="46"/>
      <c r="W1337" s="46"/>
    </row>
    <row r="1338" ht="16.5" spans="1:23">
      <c r="A1338" s="46"/>
      <c r="B1338" s="46"/>
      <c r="C1338" s="46"/>
      <c r="D1338" s="46"/>
      <c r="E1338" s="46"/>
      <c r="F1338" s="46"/>
      <c r="G1338" s="46"/>
      <c r="H1338" s="46"/>
      <c r="I1338" s="46"/>
      <c r="J1338" s="46"/>
      <c r="K1338" s="46"/>
      <c r="L1338" s="46"/>
      <c r="M1338" s="46"/>
      <c r="N1338" s="46"/>
      <c r="O1338" s="46"/>
      <c r="P1338" s="46"/>
      <c r="Q1338" s="46"/>
      <c r="R1338" s="46"/>
      <c r="S1338" s="46"/>
      <c r="T1338" s="46"/>
      <c r="U1338" s="46"/>
      <c r="V1338" s="46"/>
      <c r="W1338" s="46"/>
    </row>
    <row r="1339" ht="16.5" spans="1:23">
      <c r="A1339" s="46"/>
      <c r="B1339" s="46"/>
      <c r="C1339" s="46"/>
      <c r="D1339" s="46"/>
      <c r="E1339" s="46"/>
      <c r="F1339" s="46"/>
      <c r="G1339" s="46"/>
      <c r="H1339" s="46"/>
      <c r="I1339" s="46"/>
      <c r="J1339" s="46"/>
      <c r="K1339" s="46"/>
      <c r="L1339" s="46"/>
      <c r="M1339" s="46"/>
      <c r="N1339" s="46"/>
      <c r="O1339" s="46"/>
      <c r="P1339" s="46"/>
      <c r="Q1339" s="46"/>
      <c r="R1339" s="46"/>
      <c r="S1339" s="46"/>
      <c r="T1339" s="46"/>
      <c r="U1339" s="46"/>
      <c r="V1339" s="46"/>
      <c r="W1339" s="46"/>
    </row>
    <row r="1340" ht="16.5" spans="1:23">
      <c r="A1340" s="46"/>
      <c r="B1340" s="46"/>
      <c r="C1340" s="46"/>
      <c r="D1340" s="46"/>
      <c r="E1340" s="46"/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  <c r="S1340" s="46"/>
      <c r="T1340" s="46"/>
      <c r="U1340" s="46"/>
      <c r="V1340" s="46"/>
      <c r="W1340" s="46"/>
    </row>
    <row r="1341" ht="16.5" spans="1:23">
      <c r="A1341" s="46"/>
      <c r="B1341" s="46"/>
      <c r="C1341" s="46"/>
      <c r="D1341" s="46"/>
      <c r="E1341" s="46"/>
      <c r="F1341" s="46"/>
      <c r="G1341" s="46"/>
      <c r="H1341" s="46"/>
      <c r="I1341" s="46"/>
      <c r="J1341" s="46"/>
      <c r="K1341" s="46"/>
      <c r="L1341" s="46"/>
      <c r="M1341" s="46"/>
      <c r="N1341" s="46"/>
      <c r="O1341" s="46"/>
      <c r="P1341" s="46"/>
      <c r="Q1341" s="46"/>
      <c r="R1341" s="46"/>
      <c r="S1341" s="46"/>
      <c r="T1341" s="46"/>
      <c r="U1341" s="46"/>
      <c r="V1341" s="46"/>
      <c r="W1341" s="46"/>
    </row>
    <row r="1342" ht="16.5" spans="1:23">
      <c r="A1342" s="46"/>
      <c r="B1342" s="46"/>
      <c r="C1342" s="46"/>
      <c r="D1342" s="46"/>
      <c r="E1342" s="46"/>
      <c r="F1342" s="46"/>
      <c r="G1342" s="46"/>
      <c r="H1342" s="46"/>
      <c r="I1342" s="46"/>
      <c r="J1342" s="46"/>
      <c r="K1342" s="46"/>
      <c r="L1342" s="46"/>
      <c r="M1342" s="46"/>
      <c r="N1342" s="46"/>
      <c r="O1342" s="46"/>
      <c r="P1342" s="46"/>
      <c r="Q1342" s="46"/>
      <c r="R1342" s="46"/>
      <c r="S1342" s="46"/>
      <c r="T1342" s="46"/>
      <c r="U1342" s="46"/>
      <c r="V1342" s="46"/>
      <c r="W1342" s="46"/>
    </row>
    <row r="1343" ht="16.5" spans="1:23">
      <c r="A1343" s="46"/>
      <c r="B1343" s="46"/>
      <c r="C1343" s="46"/>
      <c r="D1343" s="46"/>
      <c r="E1343" s="46"/>
      <c r="F1343" s="46"/>
      <c r="G1343" s="46"/>
      <c r="H1343" s="46"/>
      <c r="I1343" s="46"/>
      <c r="J1343" s="46"/>
      <c r="K1343" s="46"/>
      <c r="L1343" s="46"/>
      <c r="M1343" s="46"/>
      <c r="N1343" s="46"/>
      <c r="O1343" s="46"/>
      <c r="P1343" s="46"/>
      <c r="Q1343" s="46"/>
      <c r="R1343" s="46"/>
      <c r="S1343" s="46"/>
      <c r="T1343" s="46"/>
      <c r="U1343" s="46"/>
      <c r="V1343" s="46"/>
      <c r="W1343" s="46"/>
    </row>
    <row r="1344" ht="16.5" spans="1:23">
      <c r="A1344" s="46"/>
      <c r="B1344" s="46"/>
      <c r="C1344" s="46"/>
      <c r="D1344" s="46"/>
      <c r="E1344" s="46"/>
      <c r="F1344" s="46"/>
      <c r="G1344" s="46"/>
      <c r="H1344" s="46"/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  <c r="S1344" s="46"/>
      <c r="T1344" s="46"/>
      <c r="U1344" s="46"/>
      <c r="V1344" s="46"/>
      <c r="W1344" s="46"/>
    </row>
    <row r="1345" ht="16.5" spans="1:23">
      <c r="A1345" s="46"/>
      <c r="B1345" s="46"/>
      <c r="C1345" s="46"/>
      <c r="D1345" s="46"/>
      <c r="E1345" s="46"/>
      <c r="F1345" s="46"/>
      <c r="G1345" s="46"/>
      <c r="H1345" s="46"/>
      <c r="I1345" s="46"/>
      <c r="J1345" s="46"/>
      <c r="K1345" s="46"/>
      <c r="L1345" s="46"/>
      <c r="M1345" s="46"/>
      <c r="N1345" s="46"/>
      <c r="O1345" s="46"/>
      <c r="P1345" s="46"/>
      <c r="Q1345" s="46"/>
      <c r="R1345" s="46"/>
      <c r="S1345" s="46"/>
      <c r="T1345" s="46"/>
      <c r="U1345" s="46"/>
      <c r="V1345" s="46"/>
      <c r="W1345" s="46"/>
    </row>
    <row r="1346" ht="16.5" spans="1:23">
      <c r="A1346" s="46"/>
      <c r="B1346" s="46"/>
      <c r="C1346" s="46"/>
      <c r="D1346" s="46"/>
      <c r="E1346" s="46"/>
      <c r="F1346" s="46"/>
      <c r="G1346" s="46"/>
      <c r="H1346" s="46"/>
      <c r="I1346" s="46"/>
      <c r="J1346" s="46"/>
      <c r="K1346" s="46"/>
      <c r="L1346" s="46"/>
      <c r="M1346" s="46"/>
      <c r="N1346" s="46"/>
      <c r="O1346" s="46"/>
      <c r="P1346" s="46"/>
      <c r="Q1346" s="46"/>
      <c r="R1346" s="46"/>
      <c r="S1346" s="46"/>
      <c r="T1346" s="46"/>
      <c r="U1346" s="46"/>
      <c r="V1346" s="46"/>
      <c r="W1346" s="46"/>
    </row>
    <row r="1347" ht="16.5" spans="1:23">
      <c r="A1347" s="46"/>
      <c r="B1347" s="46"/>
      <c r="C1347" s="46"/>
      <c r="D1347" s="46"/>
      <c r="E1347" s="46"/>
      <c r="F1347" s="46"/>
      <c r="G1347" s="46"/>
      <c r="H1347" s="46"/>
      <c r="I1347" s="46"/>
      <c r="J1347" s="46"/>
      <c r="K1347" s="46"/>
      <c r="L1347" s="46"/>
      <c r="M1347" s="46"/>
      <c r="N1347" s="46"/>
      <c r="O1347" s="46"/>
      <c r="P1347" s="46"/>
      <c r="Q1347" s="46"/>
      <c r="R1347" s="46"/>
      <c r="S1347" s="46"/>
      <c r="T1347" s="46"/>
      <c r="U1347" s="46"/>
      <c r="V1347" s="46"/>
      <c r="W1347" s="46"/>
    </row>
    <row r="1348" ht="16.5" spans="1:23">
      <c r="A1348" s="46"/>
      <c r="B1348" s="46"/>
      <c r="C1348" s="46"/>
      <c r="D1348" s="46"/>
      <c r="E1348" s="46"/>
      <c r="F1348" s="46"/>
      <c r="G1348" s="46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  <c r="S1348" s="46"/>
      <c r="T1348" s="46"/>
      <c r="U1348" s="46"/>
      <c r="V1348" s="46"/>
      <c r="W1348" s="46"/>
    </row>
    <row r="1349" ht="16.5" spans="1:23">
      <c r="A1349" s="46"/>
      <c r="B1349" s="46"/>
      <c r="C1349" s="46"/>
      <c r="D1349" s="46"/>
      <c r="E1349" s="46"/>
      <c r="F1349" s="46"/>
      <c r="G1349" s="46"/>
      <c r="H1349" s="46"/>
      <c r="I1349" s="46"/>
      <c r="J1349" s="46"/>
      <c r="K1349" s="46"/>
      <c r="L1349" s="46"/>
      <c r="M1349" s="46"/>
      <c r="N1349" s="46"/>
      <c r="O1349" s="46"/>
      <c r="P1349" s="46"/>
      <c r="Q1349" s="46"/>
      <c r="R1349" s="46"/>
      <c r="S1349" s="46"/>
      <c r="T1349" s="46"/>
      <c r="U1349" s="46"/>
      <c r="V1349" s="46"/>
      <c r="W1349" s="46"/>
    </row>
    <row r="1350" ht="16.5" spans="1:23">
      <c r="A1350" s="46"/>
      <c r="B1350" s="46"/>
      <c r="C1350" s="46"/>
      <c r="D1350" s="46"/>
      <c r="E1350" s="46"/>
      <c r="F1350" s="46"/>
      <c r="G1350" s="46"/>
      <c r="H1350" s="46"/>
      <c r="I1350" s="46"/>
      <c r="J1350" s="46"/>
      <c r="K1350" s="46"/>
      <c r="L1350" s="46"/>
      <c r="M1350" s="46"/>
      <c r="N1350" s="46"/>
      <c r="O1350" s="46"/>
      <c r="P1350" s="46"/>
      <c r="Q1350" s="46"/>
      <c r="R1350" s="46"/>
      <c r="S1350" s="46"/>
      <c r="T1350" s="46"/>
      <c r="U1350" s="46"/>
      <c r="V1350" s="46"/>
      <c r="W1350" s="46"/>
    </row>
    <row r="1351" ht="16.5" spans="1:23">
      <c r="A1351" s="46"/>
      <c r="B1351" s="46"/>
      <c r="C1351" s="46"/>
      <c r="D1351" s="46"/>
      <c r="E1351" s="46"/>
      <c r="F1351" s="46"/>
      <c r="G1351" s="46"/>
      <c r="H1351" s="46"/>
      <c r="I1351" s="46"/>
      <c r="J1351" s="46"/>
      <c r="K1351" s="46"/>
      <c r="L1351" s="46"/>
      <c r="M1351" s="46"/>
      <c r="N1351" s="46"/>
      <c r="O1351" s="46"/>
      <c r="P1351" s="46"/>
      <c r="Q1351" s="46"/>
      <c r="R1351" s="46"/>
      <c r="S1351" s="46"/>
      <c r="T1351" s="46"/>
      <c r="U1351" s="46"/>
      <c r="V1351" s="46"/>
      <c r="W1351" s="46"/>
    </row>
    <row r="1352" ht="16.5" spans="1:23">
      <c r="A1352" s="46"/>
      <c r="B1352" s="46"/>
      <c r="C1352" s="46"/>
      <c r="D1352" s="46"/>
      <c r="E1352" s="46"/>
      <c r="F1352" s="46"/>
      <c r="G1352" s="46"/>
      <c r="H1352" s="46"/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  <c r="S1352" s="46"/>
      <c r="T1352" s="46"/>
      <c r="U1352" s="46"/>
      <c r="V1352" s="46"/>
      <c r="W1352" s="46"/>
    </row>
    <row r="1353" ht="16.5" spans="1:23">
      <c r="A1353" s="46"/>
      <c r="B1353" s="46"/>
      <c r="C1353" s="46"/>
      <c r="D1353" s="46"/>
      <c r="E1353" s="46"/>
      <c r="F1353" s="46"/>
      <c r="G1353" s="46"/>
      <c r="H1353" s="46"/>
      <c r="I1353" s="46"/>
      <c r="J1353" s="46"/>
      <c r="K1353" s="46"/>
      <c r="L1353" s="46"/>
      <c r="M1353" s="46"/>
      <c r="N1353" s="46"/>
      <c r="O1353" s="46"/>
      <c r="P1353" s="46"/>
      <c r="Q1353" s="46"/>
      <c r="R1353" s="46"/>
      <c r="S1353" s="46"/>
      <c r="T1353" s="46"/>
      <c r="U1353" s="46"/>
      <c r="V1353" s="46"/>
      <c r="W1353" s="46"/>
    </row>
    <row r="1354" ht="16.5" spans="1:23">
      <c r="A1354" s="46"/>
      <c r="B1354" s="46"/>
      <c r="C1354" s="46"/>
      <c r="D1354" s="46"/>
      <c r="E1354" s="46"/>
      <c r="F1354" s="46"/>
      <c r="G1354" s="46"/>
      <c r="H1354" s="46"/>
      <c r="I1354" s="46"/>
      <c r="J1354" s="46"/>
      <c r="K1354" s="46"/>
      <c r="L1354" s="46"/>
      <c r="M1354" s="46"/>
      <c r="N1354" s="46"/>
      <c r="O1354" s="46"/>
      <c r="P1354" s="46"/>
      <c r="Q1354" s="46"/>
      <c r="R1354" s="46"/>
      <c r="S1354" s="46"/>
      <c r="T1354" s="46"/>
      <c r="U1354" s="46"/>
      <c r="V1354" s="46"/>
      <c r="W1354" s="46"/>
    </row>
    <row r="1355" ht="16.5" spans="1:23">
      <c r="A1355" s="46"/>
      <c r="B1355" s="46"/>
      <c r="C1355" s="46"/>
      <c r="D1355" s="46"/>
      <c r="E1355" s="46"/>
      <c r="F1355" s="46"/>
      <c r="G1355" s="46"/>
      <c r="H1355" s="46"/>
      <c r="I1355" s="46"/>
      <c r="J1355" s="46"/>
      <c r="K1355" s="46"/>
      <c r="L1355" s="46"/>
      <c r="M1355" s="46"/>
      <c r="N1355" s="46"/>
      <c r="O1355" s="46"/>
      <c r="P1355" s="46"/>
      <c r="Q1355" s="46"/>
      <c r="R1355" s="46"/>
      <c r="S1355" s="46"/>
      <c r="T1355" s="46"/>
      <c r="U1355" s="46"/>
      <c r="V1355" s="46"/>
      <c r="W1355" s="46"/>
    </row>
    <row r="1356" ht="16.5" spans="1:23">
      <c r="A1356" s="46"/>
      <c r="B1356" s="46"/>
      <c r="C1356" s="46"/>
      <c r="D1356" s="46"/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  <c r="S1356" s="46"/>
      <c r="T1356" s="46"/>
      <c r="U1356" s="46"/>
      <c r="V1356" s="46"/>
      <c r="W1356" s="46"/>
    </row>
    <row r="1357" ht="16.5" spans="1:23">
      <c r="A1357" s="46"/>
      <c r="B1357" s="46"/>
      <c r="C1357" s="46"/>
      <c r="D1357" s="46"/>
      <c r="E1357" s="46"/>
      <c r="F1357" s="46"/>
      <c r="G1357" s="46"/>
      <c r="H1357" s="46"/>
      <c r="I1357" s="46"/>
      <c r="J1357" s="46"/>
      <c r="K1357" s="46"/>
      <c r="L1357" s="46"/>
      <c r="M1357" s="46"/>
      <c r="N1357" s="46"/>
      <c r="O1357" s="46"/>
      <c r="P1357" s="46"/>
      <c r="Q1357" s="46"/>
      <c r="R1357" s="46"/>
      <c r="S1357" s="46"/>
      <c r="T1357" s="46"/>
      <c r="U1357" s="46"/>
      <c r="V1357" s="46"/>
      <c r="W1357" s="46"/>
    </row>
    <row r="1358" ht="16.5" spans="1:23">
      <c r="A1358" s="46"/>
      <c r="B1358" s="46"/>
      <c r="C1358" s="46"/>
      <c r="D1358" s="46"/>
      <c r="E1358" s="46"/>
      <c r="F1358" s="46"/>
      <c r="G1358" s="46"/>
      <c r="H1358" s="46"/>
      <c r="I1358" s="46"/>
      <c r="J1358" s="46"/>
      <c r="K1358" s="46"/>
      <c r="L1358" s="46"/>
      <c r="M1358" s="46"/>
      <c r="N1358" s="46"/>
      <c r="O1358" s="46"/>
      <c r="P1358" s="46"/>
      <c r="Q1358" s="46"/>
      <c r="R1358" s="46"/>
      <c r="S1358" s="46"/>
      <c r="T1358" s="46"/>
      <c r="U1358" s="46"/>
      <c r="V1358" s="46"/>
      <c r="W1358" s="46"/>
    </row>
    <row r="1359" ht="16.5" spans="1:23">
      <c r="A1359" s="46"/>
      <c r="B1359" s="46"/>
      <c r="C1359" s="46"/>
      <c r="D1359" s="46"/>
      <c r="E1359" s="46"/>
      <c r="F1359" s="46"/>
      <c r="G1359" s="46"/>
      <c r="H1359" s="46"/>
      <c r="I1359" s="46"/>
      <c r="J1359" s="46"/>
      <c r="K1359" s="46"/>
      <c r="L1359" s="46"/>
      <c r="M1359" s="46"/>
      <c r="N1359" s="46"/>
      <c r="O1359" s="46"/>
      <c r="P1359" s="46"/>
      <c r="Q1359" s="46"/>
      <c r="R1359" s="46"/>
      <c r="S1359" s="46"/>
      <c r="T1359" s="46"/>
      <c r="U1359" s="46"/>
      <c r="V1359" s="46"/>
      <c r="W1359" s="46"/>
    </row>
    <row r="1360" ht="16.5" spans="1:23">
      <c r="A1360" s="46"/>
      <c r="B1360" s="46"/>
      <c r="C1360" s="46"/>
      <c r="D1360" s="46"/>
      <c r="E1360" s="46"/>
      <c r="F1360" s="46"/>
      <c r="G1360" s="46"/>
      <c r="H1360" s="46"/>
      <c r="I1360" s="46"/>
      <c r="J1360" s="46"/>
      <c r="K1360" s="46"/>
      <c r="L1360" s="46"/>
      <c r="M1360" s="46"/>
      <c r="N1360" s="46"/>
      <c r="O1360" s="46"/>
      <c r="P1360" s="46"/>
      <c r="Q1360" s="46"/>
      <c r="R1360" s="46"/>
      <c r="S1360" s="46"/>
      <c r="T1360" s="46"/>
      <c r="U1360" s="46"/>
      <c r="V1360" s="46"/>
      <c r="W1360" s="46"/>
    </row>
    <row r="1361" ht="16.5" spans="1:23">
      <c r="A1361" s="46"/>
      <c r="B1361" s="46"/>
      <c r="C1361" s="46"/>
      <c r="D1361" s="46"/>
      <c r="E1361" s="46"/>
      <c r="F1361" s="46"/>
      <c r="G1361" s="46"/>
      <c r="H1361" s="46"/>
      <c r="I1361" s="46"/>
      <c r="J1361" s="46"/>
      <c r="K1361" s="46"/>
      <c r="L1361" s="46"/>
      <c r="M1361" s="46"/>
      <c r="N1361" s="46"/>
      <c r="O1361" s="46"/>
      <c r="P1361" s="46"/>
      <c r="Q1361" s="46"/>
      <c r="R1361" s="46"/>
      <c r="S1361" s="46"/>
      <c r="T1361" s="46"/>
      <c r="U1361" s="46"/>
      <c r="V1361" s="46"/>
      <c r="W1361" s="46"/>
    </row>
    <row r="1362" ht="16.5" spans="1:23">
      <c r="A1362" s="46"/>
      <c r="B1362" s="46"/>
      <c r="C1362" s="46"/>
      <c r="D1362" s="46"/>
      <c r="E1362" s="46"/>
      <c r="F1362" s="46"/>
      <c r="G1362" s="46"/>
      <c r="H1362" s="46"/>
      <c r="I1362" s="46"/>
      <c r="J1362" s="46"/>
      <c r="K1362" s="46"/>
      <c r="L1362" s="46"/>
      <c r="M1362" s="46"/>
      <c r="N1362" s="46"/>
      <c r="O1362" s="46"/>
      <c r="P1362" s="46"/>
      <c r="Q1362" s="46"/>
      <c r="R1362" s="46"/>
      <c r="S1362" s="46"/>
      <c r="T1362" s="46"/>
      <c r="U1362" s="46"/>
      <c r="V1362" s="46"/>
      <c r="W1362" s="46"/>
    </row>
    <row r="1363" ht="16.5" spans="1:23">
      <c r="A1363" s="46"/>
      <c r="B1363" s="46"/>
      <c r="C1363" s="46"/>
      <c r="D1363" s="46"/>
      <c r="E1363" s="46"/>
      <c r="F1363" s="46"/>
      <c r="G1363" s="46"/>
      <c r="H1363" s="46"/>
      <c r="I1363" s="46"/>
      <c r="J1363" s="46"/>
      <c r="K1363" s="46"/>
      <c r="L1363" s="46"/>
      <c r="M1363" s="46"/>
      <c r="N1363" s="46"/>
      <c r="O1363" s="46"/>
      <c r="P1363" s="46"/>
      <c r="Q1363" s="46"/>
      <c r="R1363" s="46"/>
      <c r="S1363" s="46"/>
      <c r="T1363" s="46"/>
      <c r="U1363" s="46"/>
      <c r="V1363" s="46"/>
      <c r="W1363" s="46"/>
    </row>
    <row r="1364" ht="16.5" spans="1:23">
      <c r="A1364" s="46"/>
      <c r="B1364" s="46"/>
      <c r="C1364" s="46"/>
      <c r="D1364" s="46"/>
      <c r="E1364" s="46"/>
      <c r="F1364" s="46"/>
      <c r="G1364" s="46"/>
      <c r="H1364" s="46"/>
      <c r="I1364" s="46"/>
      <c r="J1364" s="46"/>
      <c r="K1364" s="46"/>
      <c r="L1364" s="46"/>
      <c r="M1364" s="46"/>
      <c r="N1364" s="46"/>
      <c r="O1364" s="46"/>
      <c r="P1364" s="46"/>
      <c r="Q1364" s="46"/>
      <c r="R1364" s="46"/>
      <c r="S1364" s="46"/>
      <c r="T1364" s="46"/>
      <c r="U1364" s="46"/>
      <c r="V1364" s="46"/>
      <c r="W1364" s="46"/>
    </row>
    <row r="1365" ht="16.5" spans="1:23">
      <c r="A1365" s="46"/>
      <c r="B1365" s="46"/>
      <c r="C1365" s="46"/>
      <c r="D1365" s="46"/>
      <c r="E1365" s="46"/>
      <c r="F1365" s="46"/>
      <c r="G1365" s="46"/>
      <c r="H1365" s="46"/>
      <c r="I1365" s="46"/>
      <c r="J1365" s="46"/>
      <c r="K1365" s="46"/>
      <c r="L1365" s="46"/>
      <c r="M1365" s="46"/>
      <c r="N1365" s="46"/>
      <c r="O1365" s="46"/>
      <c r="P1365" s="46"/>
      <c r="Q1365" s="46"/>
      <c r="R1365" s="46"/>
      <c r="S1365" s="46"/>
      <c r="T1365" s="46"/>
      <c r="U1365" s="46"/>
      <c r="V1365" s="46"/>
      <c r="W1365" s="46"/>
    </row>
    <row r="1366" ht="16.5" spans="1:23">
      <c r="A1366" s="46"/>
      <c r="B1366" s="46"/>
      <c r="C1366" s="46"/>
      <c r="D1366" s="46"/>
      <c r="E1366" s="46"/>
      <c r="F1366" s="46"/>
      <c r="G1366" s="46"/>
      <c r="H1366" s="46"/>
      <c r="I1366" s="46"/>
      <c r="J1366" s="46"/>
      <c r="K1366" s="46"/>
      <c r="L1366" s="46"/>
      <c r="M1366" s="46"/>
      <c r="N1366" s="46"/>
      <c r="O1366" s="46"/>
      <c r="P1366" s="46"/>
      <c r="Q1366" s="46"/>
      <c r="R1366" s="46"/>
      <c r="S1366" s="46"/>
      <c r="T1366" s="46"/>
      <c r="U1366" s="46"/>
      <c r="V1366" s="46"/>
      <c r="W1366" s="46"/>
    </row>
    <row r="1367" ht="16.5" spans="1:23">
      <c r="A1367" s="46"/>
      <c r="B1367" s="46"/>
      <c r="C1367" s="46"/>
      <c r="D1367" s="46"/>
      <c r="E1367" s="46"/>
      <c r="F1367" s="46"/>
      <c r="G1367" s="46"/>
      <c r="H1367" s="46"/>
      <c r="I1367" s="46"/>
      <c r="J1367" s="46"/>
      <c r="K1367" s="46"/>
      <c r="L1367" s="46"/>
      <c r="M1367" s="46"/>
      <c r="N1367" s="46"/>
      <c r="O1367" s="46"/>
      <c r="P1367" s="46"/>
      <c r="Q1367" s="46"/>
      <c r="R1367" s="46"/>
      <c r="S1367" s="46"/>
      <c r="T1367" s="46"/>
      <c r="U1367" s="46"/>
      <c r="V1367" s="46"/>
      <c r="W1367" s="46"/>
    </row>
    <row r="1368" ht="16.5" spans="1:23">
      <c r="A1368" s="46"/>
      <c r="B1368" s="46"/>
      <c r="C1368" s="46"/>
      <c r="D1368" s="46"/>
      <c r="E1368" s="46"/>
      <c r="F1368" s="46"/>
      <c r="G1368" s="46"/>
      <c r="H1368" s="46"/>
      <c r="I1368" s="46"/>
      <c r="J1368" s="46"/>
      <c r="K1368" s="46"/>
      <c r="L1368" s="46"/>
      <c r="M1368" s="46"/>
      <c r="N1368" s="46"/>
      <c r="O1368" s="46"/>
      <c r="P1368" s="46"/>
      <c r="Q1368" s="46"/>
      <c r="R1368" s="46"/>
      <c r="S1368" s="46"/>
      <c r="T1368" s="46"/>
      <c r="U1368" s="46"/>
      <c r="V1368" s="46"/>
      <c r="W1368" s="46"/>
    </row>
    <row r="1369" ht="16.5" spans="1:23">
      <c r="A1369" s="46"/>
      <c r="B1369" s="46"/>
      <c r="C1369" s="46"/>
      <c r="D1369" s="46"/>
      <c r="E1369" s="46"/>
      <c r="F1369" s="46"/>
      <c r="G1369" s="46"/>
      <c r="H1369" s="46"/>
      <c r="I1369" s="46"/>
      <c r="J1369" s="46"/>
      <c r="K1369" s="46"/>
      <c r="L1369" s="46"/>
      <c r="M1369" s="46"/>
      <c r="N1369" s="46"/>
      <c r="O1369" s="46"/>
      <c r="P1369" s="46"/>
      <c r="Q1369" s="46"/>
      <c r="R1369" s="46"/>
      <c r="S1369" s="46"/>
      <c r="T1369" s="46"/>
      <c r="U1369" s="46"/>
      <c r="V1369" s="46"/>
      <c r="W1369" s="46"/>
    </row>
    <row r="1370" ht="16.5" spans="1:23">
      <c r="A1370" s="46"/>
      <c r="B1370" s="46"/>
      <c r="C1370" s="46"/>
      <c r="D1370" s="46"/>
      <c r="E1370" s="46"/>
      <c r="F1370" s="46"/>
      <c r="G1370" s="46"/>
      <c r="H1370" s="46"/>
      <c r="I1370" s="46"/>
      <c r="J1370" s="46"/>
      <c r="K1370" s="46"/>
      <c r="L1370" s="46"/>
      <c r="M1370" s="46"/>
      <c r="N1370" s="46"/>
      <c r="O1370" s="46"/>
      <c r="P1370" s="46"/>
      <c r="Q1370" s="46"/>
      <c r="R1370" s="46"/>
      <c r="S1370" s="46"/>
      <c r="T1370" s="46"/>
      <c r="U1370" s="46"/>
      <c r="V1370" s="46"/>
      <c r="W1370" s="46"/>
    </row>
    <row r="1371" ht="16.5" spans="1:23">
      <c r="A1371" s="46"/>
      <c r="B1371" s="46"/>
      <c r="C1371" s="46"/>
      <c r="D1371" s="46"/>
      <c r="E1371" s="46"/>
      <c r="F1371" s="46"/>
      <c r="G1371" s="46"/>
      <c r="H1371" s="46"/>
      <c r="I1371" s="46"/>
      <c r="J1371" s="46"/>
      <c r="K1371" s="46"/>
      <c r="L1371" s="46"/>
      <c r="M1371" s="46"/>
      <c r="N1371" s="46"/>
      <c r="O1371" s="46"/>
      <c r="P1371" s="46"/>
      <c r="Q1371" s="46"/>
      <c r="R1371" s="46"/>
      <c r="S1371" s="46"/>
      <c r="T1371" s="46"/>
      <c r="U1371" s="46"/>
      <c r="V1371" s="46"/>
      <c r="W1371" s="46"/>
    </row>
    <row r="1372" ht="16.5" spans="1:23">
      <c r="A1372" s="46"/>
      <c r="B1372" s="46"/>
      <c r="C1372" s="46"/>
      <c r="D1372" s="46"/>
      <c r="E1372" s="46"/>
      <c r="F1372" s="46"/>
      <c r="G1372" s="46"/>
      <c r="H1372" s="46"/>
      <c r="I1372" s="46"/>
      <c r="J1372" s="46"/>
      <c r="K1372" s="46"/>
      <c r="L1372" s="46"/>
      <c r="M1372" s="46"/>
      <c r="N1372" s="46"/>
      <c r="O1372" s="46"/>
      <c r="P1372" s="46"/>
      <c r="Q1372" s="46"/>
      <c r="R1372" s="46"/>
      <c r="S1372" s="46"/>
      <c r="T1372" s="46"/>
      <c r="U1372" s="46"/>
      <c r="V1372" s="46"/>
      <c r="W1372" s="46"/>
    </row>
    <row r="1373" ht="16.5" spans="1:23">
      <c r="A1373" s="46"/>
      <c r="B1373" s="46"/>
      <c r="C1373" s="46"/>
      <c r="D1373" s="46"/>
      <c r="E1373" s="46"/>
      <c r="F1373" s="46"/>
      <c r="G1373" s="46"/>
      <c r="H1373" s="46"/>
      <c r="I1373" s="46"/>
      <c r="J1373" s="46"/>
      <c r="K1373" s="46"/>
      <c r="L1373" s="46"/>
      <c r="M1373" s="46"/>
      <c r="N1373" s="46"/>
      <c r="O1373" s="46"/>
      <c r="P1373" s="46"/>
      <c r="Q1373" s="46"/>
      <c r="R1373" s="46"/>
      <c r="S1373" s="46"/>
      <c r="T1373" s="46"/>
      <c r="U1373" s="46"/>
      <c r="V1373" s="46"/>
      <c r="W1373" s="46"/>
    </row>
    <row r="1374" ht="16.5" spans="1:23">
      <c r="A1374" s="46"/>
      <c r="B1374" s="46"/>
      <c r="C1374" s="46"/>
      <c r="D1374" s="46"/>
      <c r="E1374" s="46"/>
      <c r="F1374" s="46"/>
      <c r="G1374" s="46"/>
      <c r="H1374" s="46"/>
      <c r="I1374" s="46"/>
      <c r="J1374" s="46"/>
      <c r="K1374" s="46"/>
      <c r="L1374" s="46"/>
      <c r="M1374" s="46"/>
      <c r="N1374" s="46"/>
      <c r="O1374" s="46"/>
      <c r="P1374" s="46"/>
      <c r="Q1374" s="46"/>
      <c r="R1374" s="46"/>
      <c r="S1374" s="46"/>
      <c r="T1374" s="46"/>
      <c r="U1374" s="46"/>
      <c r="V1374" s="46"/>
      <c r="W1374" s="46"/>
    </row>
    <row r="1375" ht="16.5" spans="1:23">
      <c r="A1375" s="46"/>
      <c r="B1375" s="46"/>
      <c r="C1375" s="46"/>
      <c r="D1375" s="46"/>
      <c r="E1375" s="46"/>
      <c r="F1375" s="46"/>
      <c r="G1375" s="46"/>
      <c r="H1375" s="46"/>
      <c r="I1375" s="46"/>
      <c r="J1375" s="46"/>
      <c r="K1375" s="46"/>
      <c r="L1375" s="46"/>
      <c r="M1375" s="46"/>
      <c r="N1375" s="46"/>
      <c r="O1375" s="46"/>
      <c r="P1375" s="46"/>
      <c r="Q1375" s="46"/>
      <c r="R1375" s="46"/>
      <c r="S1375" s="46"/>
      <c r="T1375" s="46"/>
      <c r="U1375" s="46"/>
      <c r="V1375" s="46"/>
      <c r="W1375" s="46"/>
    </row>
    <row r="1376" ht="16.5" spans="1:23">
      <c r="A1376" s="46"/>
      <c r="B1376" s="46"/>
      <c r="C1376" s="46"/>
      <c r="D1376" s="46"/>
      <c r="E1376" s="46"/>
      <c r="F1376" s="46"/>
      <c r="G1376" s="46"/>
      <c r="H1376" s="46"/>
      <c r="I1376" s="46"/>
      <c r="J1376" s="46"/>
      <c r="K1376" s="46"/>
      <c r="L1376" s="46"/>
      <c r="M1376" s="46"/>
      <c r="N1376" s="46"/>
      <c r="O1376" s="46"/>
      <c r="P1376" s="46"/>
      <c r="Q1376" s="46"/>
      <c r="R1376" s="46"/>
      <c r="S1376" s="46"/>
      <c r="T1376" s="46"/>
      <c r="U1376" s="46"/>
      <c r="V1376" s="46"/>
      <c r="W1376" s="46"/>
    </row>
    <row r="1377" ht="16.5" spans="1:23">
      <c r="A1377" s="46"/>
      <c r="B1377" s="46"/>
      <c r="C1377" s="46"/>
      <c r="D1377" s="46"/>
      <c r="E1377" s="46"/>
      <c r="F1377" s="46"/>
      <c r="G1377" s="46"/>
      <c r="H1377" s="46"/>
      <c r="I1377" s="46"/>
      <c r="J1377" s="46"/>
      <c r="K1377" s="46"/>
      <c r="L1377" s="46"/>
      <c r="M1377" s="46"/>
      <c r="N1377" s="46"/>
      <c r="O1377" s="46"/>
      <c r="P1377" s="46"/>
      <c r="Q1377" s="46"/>
      <c r="R1377" s="46"/>
      <c r="S1377" s="46"/>
      <c r="T1377" s="46"/>
      <c r="U1377" s="46"/>
      <c r="V1377" s="46"/>
      <c r="W1377" s="46"/>
    </row>
    <row r="1378" ht="16.5" spans="1:23">
      <c r="A1378" s="46"/>
      <c r="B1378" s="46"/>
      <c r="C1378" s="46"/>
      <c r="D1378" s="46"/>
      <c r="E1378" s="46"/>
      <c r="F1378" s="46"/>
      <c r="G1378" s="46"/>
      <c r="H1378" s="46"/>
      <c r="I1378" s="46"/>
      <c r="J1378" s="46"/>
      <c r="K1378" s="46"/>
      <c r="L1378" s="46"/>
      <c r="M1378" s="46"/>
      <c r="N1378" s="46"/>
      <c r="O1378" s="46"/>
      <c r="P1378" s="46"/>
      <c r="Q1378" s="46"/>
      <c r="R1378" s="46"/>
      <c r="S1378" s="46"/>
      <c r="T1378" s="46"/>
      <c r="U1378" s="46"/>
      <c r="V1378" s="46"/>
      <c r="W1378" s="46"/>
    </row>
    <row r="1379" ht="16.5" spans="1:23">
      <c r="A1379" s="46"/>
      <c r="B1379" s="46"/>
      <c r="C1379" s="46"/>
      <c r="D1379" s="46"/>
      <c r="E1379" s="46"/>
      <c r="F1379" s="46"/>
      <c r="G1379" s="46"/>
      <c r="H1379" s="46"/>
      <c r="I1379" s="46"/>
      <c r="J1379" s="46"/>
      <c r="K1379" s="46"/>
      <c r="L1379" s="46"/>
      <c r="M1379" s="46"/>
      <c r="N1379" s="46"/>
      <c r="O1379" s="46"/>
      <c r="P1379" s="46"/>
      <c r="Q1379" s="46"/>
      <c r="R1379" s="46"/>
      <c r="S1379" s="46"/>
      <c r="T1379" s="46"/>
      <c r="U1379" s="46"/>
      <c r="V1379" s="46"/>
      <c r="W1379" s="46"/>
    </row>
    <row r="1380" ht="16.5" spans="1:23">
      <c r="A1380" s="46"/>
      <c r="B1380" s="46"/>
      <c r="C1380" s="46"/>
      <c r="D1380" s="46"/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  <c r="S1380" s="46"/>
      <c r="T1380" s="46"/>
      <c r="U1380" s="46"/>
      <c r="V1380" s="46"/>
      <c r="W1380" s="46"/>
    </row>
    <row r="1381" ht="16.5" spans="1:23">
      <c r="A1381" s="46"/>
      <c r="B1381" s="46"/>
      <c r="C1381" s="46"/>
      <c r="D1381" s="46"/>
      <c r="E1381" s="46"/>
      <c r="F1381" s="46"/>
      <c r="G1381" s="46"/>
      <c r="H1381" s="46"/>
      <c r="I1381" s="46"/>
      <c r="J1381" s="46"/>
      <c r="K1381" s="46"/>
      <c r="L1381" s="46"/>
      <c r="M1381" s="46"/>
      <c r="N1381" s="46"/>
      <c r="O1381" s="46"/>
      <c r="P1381" s="46"/>
      <c r="Q1381" s="46"/>
      <c r="R1381" s="46"/>
      <c r="S1381" s="46"/>
      <c r="T1381" s="46"/>
      <c r="U1381" s="46"/>
      <c r="V1381" s="46"/>
      <c r="W1381" s="46"/>
    </row>
    <row r="1382" ht="16.5" spans="1:23">
      <c r="A1382" s="46"/>
      <c r="B1382" s="46"/>
      <c r="C1382" s="46"/>
      <c r="D1382" s="46"/>
      <c r="E1382" s="46"/>
      <c r="F1382" s="46"/>
      <c r="G1382" s="46"/>
      <c r="H1382" s="46"/>
      <c r="I1382" s="46"/>
      <c r="J1382" s="46"/>
      <c r="K1382" s="46"/>
      <c r="L1382" s="46"/>
      <c r="M1382" s="46"/>
      <c r="N1382" s="46"/>
      <c r="O1382" s="46"/>
      <c r="P1382" s="46"/>
      <c r="Q1382" s="46"/>
      <c r="R1382" s="46"/>
      <c r="S1382" s="46"/>
      <c r="T1382" s="46"/>
      <c r="U1382" s="46"/>
      <c r="V1382" s="46"/>
      <c r="W1382" s="46"/>
    </row>
    <row r="1383" ht="16.5" spans="1:23">
      <c r="A1383" s="46"/>
      <c r="B1383" s="46"/>
      <c r="C1383" s="46"/>
      <c r="D1383" s="46"/>
      <c r="E1383" s="46"/>
      <c r="F1383" s="46"/>
      <c r="G1383" s="46"/>
      <c r="H1383" s="46"/>
      <c r="I1383" s="46"/>
      <c r="J1383" s="46"/>
      <c r="K1383" s="46"/>
      <c r="L1383" s="46"/>
      <c r="M1383" s="46"/>
      <c r="N1383" s="46"/>
      <c r="O1383" s="46"/>
      <c r="P1383" s="46"/>
      <c r="Q1383" s="46"/>
      <c r="R1383" s="46"/>
      <c r="S1383" s="46"/>
      <c r="T1383" s="46"/>
      <c r="U1383" s="46"/>
      <c r="V1383" s="46"/>
      <c r="W1383" s="46"/>
    </row>
    <row r="1384" ht="16.5" spans="1:23">
      <c r="A1384" s="46"/>
      <c r="B1384" s="46"/>
      <c r="C1384" s="46"/>
      <c r="D1384" s="46"/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  <c r="S1384" s="46"/>
      <c r="T1384" s="46"/>
      <c r="U1384" s="46"/>
      <c r="V1384" s="46"/>
      <c r="W1384" s="46"/>
    </row>
    <row r="1385" ht="16.5" spans="1:23">
      <c r="A1385" s="46"/>
      <c r="B1385" s="46"/>
      <c r="C1385" s="46"/>
      <c r="D1385" s="46"/>
      <c r="E1385" s="46"/>
      <c r="F1385" s="46"/>
      <c r="G1385" s="46"/>
      <c r="H1385" s="46"/>
      <c r="I1385" s="46"/>
      <c r="J1385" s="46"/>
      <c r="K1385" s="46"/>
      <c r="L1385" s="46"/>
      <c r="M1385" s="46"/>
      <c r="N1385" s="46"/>
      <c r="O1385" s="46"/>
      <c r="P1385" s="46"/>
      <c r="Q1385" s="46"/>
      <c r="R1385" s="46"/>
      <c r="S1385" s="46"/>
      <c r="T1385" s="46"/>
      <c r="U1385" s="46"/>
      <c r="V1385" s="46"/>
      <c r="W1385" s="46"/>
    </row>
    <row r="1386" ht="16.5" spans="1:23">
      <c r="A1386" s="46"/>
      <c r="B1386" s="46"/>
      <c r="C1386" s="46"/>
      <c r="D1386" s="46"/>
      <c r="E1386" s="46"/>
      <c r="F1386" s="46"/>
      <c r="G1386" s="46"/>
      <c r="H1386" s="46"/>
      <c r="I1386" s="46"/>
      <c r="J1386" s="46"/>
      <c r="K1386" s="46"/>
      <c r="L1386" s="46"/>
      <c r="M1386" s="46"/>
      <c r="N1386" s="46"/>
      <c r="O1386" s="46"/>
      <c r="P1386" s="46"/>
      <c r="Q1386" s="46"/>
      <c r="R1386" s="46"/>
      <c r="S1386" s="46"/>
      <c r="T1386" s="46"/>
      <c r="U1386" s="46"/>
      <c r="V1386" s="46"/>
      <c r="W1386" s="46"/>
    </row>
    <row r="1387" ht="16.5" spans="1:23">
      <c r="A1387" s="46"/>
      <c r="B1387" s="46"/>
      <c r="C1387" s="46"/>
      <c r="D1387" s="46"/>
      <c r="E1387" s="46"/>
      <c r="F1387" s="46"/>
      <c r="G1387" s="46"/>
      <c r="H1387" s="46"/>
      <c r="I1387" s="46"/>
      <c r="J1387" s="46"/>
      <c r="K1387" s="46"/>
      <c r="L1387" s="46"/>
      <c r="M1387" s="46"/>
      <c r="N1387" s="46"/>
      <c r="O1387" s="46"/>
      <c r="P1387" s="46"/>
      <c r="Q1387" s="46"/>
      <c r="R1387" s="46"/>
      <c r="S1387" s="46"/>
      <c r="T1387" s="46"/>
      <c r="U1387" s="46"/>
      <c r="V1387" s="46"/>
      <c r="W1387" s="46"/>
    </row>
    <row r="1388" ht="16.5" spans="1:23">
      <c r="A1388" s="46"/>
      <c r="B1388" s="46"/>
      <c r="C1388" s="46"/>
      <c r="D1388" s="46"/>
      <c r="E1388" s="46"/>
      <c r="F1388" s="46"/>
      <c r="G1388" s="46"/>
      <c r="H1388" s="46"/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  <c r="S1388" s="46"/>
      <c r="T1388" s="46"/>
      <c r="U1388" s="46"/>
      <c r="V1388" s="46"/>
      <c r="W1388" s="46"/>
    </row>
    <row r="1389" ht="16.5" spans="1:23">
      <c r="A1389" s="46"/>
      <c r="B1389" s="46"/>
      <c r="C1389" s="46"/>
      <c r="D1389" s="46"/>
      <c r="E1389" s="46"/>
      <c r="F1389" s="46"/>
      <c r="G1389" s="46"/>
      <c r="H1389" s="46"/>
      <c r="I1389" s="46"/>
      <c r="J1389" s="46"/>
      <c r="K1389" s="46"/>
      <c r="L1389" s="46"/>
      <c r="M1389" s="46"/>
      <c r="N1389" s="46"/>
      <c r="O1389" s="46"/>
      <c r="P1389" s="46"/>
      <c r="Q1389" s="46"/>
      <c r="R1389" s="46"/>
      <c r="S1389" s="46"/>
      <c r="T1389" s="46"/>
      <c r="U1389" s="46"/>
      <c r="V1389" s="46"/>
      <c r="W1389" s="46"/>
    </row>
    <row r="1390" ht="16.5" spans="1:23">
      <c r="A1390" s="46"/>
      <c r="B1390" s="46"/>
      <c r="C1390" s="46"/>
      <c r="D1390" s="46"/>
      <c r="E1390" s="46"/>
      <c r="F1390" s="46"/>
      <c r="G1390" s="46"/>
      <c r="H1390" s="46"/>
      <c r="I1390" s="46"/>
      <c r="J1390" s="46"/>
      <c r="K1390" s="46"/>
      <c r="L1390" s="46"/>
      <c r="M1390" s="46"/>
      <c r="N1390" s="46"/>
      <c r="O1390" s="46"/>
      <c r="P1390" s="46"/>
      <c r="Q1390" s="46"/>
      <c r="R1390" s="46"/>
      <c r="S1390" s="46"/>
      <c r="T1390" s="46"/>
      <c r="U1390" s="46"/>
      <c r="V1390" s="46"/>
      <c r="W1390" s="46"/>
    </row>
    <row r="1391" ht="16.5" spans="1:23">
      <c r="A1391" s="46"/>
      <c r="B1391" s="46"/>
      <c r="C1391" s="46"/>
      <c r="D1391" s="46"/>
      <c r="E1391" s="46"/>
      <c r="F1391" s="46"/>
      <c r="G1391" s="46"/>
      <c r="H1391" s="46"/>
      <c r="I1391" s="46"/>
      <c r="J1391" s="46"/>
      <c r="K1391" s="46"/>
      <c r="L1391" s="46"/>
      <c r="M1391" s="46"/>
      <c r="N1391" s="46"/>
      <c r="O1391" s="46"/>
      <c r="P1391" s="46"/>
      <c r="Q1391" s="46"/>
      <c r="R1391" s="46"/>
      <c r="S1391" s="46"/>
      <c r="T1391" s="46"/>
      <c r="U1391" s="46"/>
      <c r="V1391" s="46"/>
      <c r="W1391" s="46"/>
    </row>
    <row r="1392" ht="16.5" spans="1:23">
      <c r="A1392" s="46"/>
      <c r="B1392" s="46"/>
      <c r="C1392" s="46"/>
      <c r="D1392" s="46"/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  <c r="P1392" s="46"/>
      <c r="Q1392" s="46"/>
      <c r="R1392" s="46"/>
      <c r="S1392" s="46"/>
      <c r="T1392" s="46"/>
      <c r="U1392" s="46"/>
      <c r="V1392" s="46"/>
      <c r="W1392" s="46"/>
    </row>
    <row r="1393" ht="16.5" spans="1:23">
      <c r="A1393" s="46"/>
      <c r="B1393" s="46"/>
      <c r="C1393" s="46"/>
      <c r="D1393" s="46"/>
      <c r="E1393" s="46"/>
      <c r="F1393" s="46"/>
      <c r="G1393" s="46"/>
      <c r="H1393" s="46"/>
      <c r="I1393" s="46"/>
      <c r="J1393" s="46"/>
      <c r="K1393" s="46"/>
      <c r="L1393" s="46"/>
      <c r="M1393" s="46"/>
      <c r="N1393" s="46"/>
      <c r="O1393" s="46"/>
      <c r="P1393" s="46"/>
      <c r="Q1393" s="46"/>
      <c r="R1393" s="46"/>
      <c r="S1393" s="46"/>
      <c r="T1393" s="46"/>
      <c r="U1393" s="46"/>
      <c r="V1393" s="46"/>
      <c r="W1393" s="46"/>
    </row>
    <row r="1394" ht="16.5" spans="1:23">
      <c r="A1394" s="46"/>
      <c r="B1394" s="46"/>
      <c r="C1394" s="46"/>
      <c r="D1394" s="46"/>
      <c r="E1394" s="46"/>
      <c r="F1394" s="46"/>
      <c r="G1394" s="46"/>
      <c r="H1394" s="46"/>
      <c r="I1394" s="46"/>
      <c r="J1394" s="46"/>
      <c r="K1394" s="46"/>
      <c r="L1394" s="46"/>
      <c r="M1394" s="46"/>
      <c r="N1394" s="46"/>
      <c r="O1394" s="46"/>
      <c r="P1394" s="46"/>
      <c r="Q1394" s="46"/>
      <c r="R1394" s="46"/>
      <c r="S1394" s="46"/>
      <c r="T1394" s="46"/>
      <c r="U1394" s="46"/>
      <c r="V1394" s="46"/>
      <c r="W1394" s="46"/>
    </row>
    <row r="1395" ht="16.5" spans="1:23">
      <c r="A1395" s="46"/>
      <c r="B1395" s="46"/>
      <c r="C1395" s="46"/>
      <c r="D1395" s="46"/>
      <c r="E1395" s="46"/>
      <c r="F1395" s="46"/>
      <c r="G1395" s="46"/>
      <c r="H1395" s="46"/>
      <c r="I1395" s="46"/>
      <c r="J1395" s="46"/>
      <c r="K1395" s="46"/>
      <c r="L1395" s="46"/>
      <c r="M1395" s="46"/>
      <c r="N1395" s="46"/>
      <c r="O1395" s="46"/>
      <c r="P1395" s="46"/>
      <c r="Q1395" s="46"/>
      <c r="R1395" s="46"/>
      <c r="S1395" s="46"/>
      <c r="T1395" s="46"/>
      <c r="U1395" s="46"/>
      <c r="V1395" s="46"/>
      <c r="W1395" s="46"/>
    </row>
    <row r="1396" ht="16.5" spans="1:23">
      <c r="A1396" s="46"/>
      <c r="B1396" s="46"/>
      <c r="C1396" s="46"/>
      <c r="D1396" s="46"/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  <c r="S1396" s="46"/>
      <c r="T1396" s="46"/>
      <c r="U1396" s="46"/>
      <c r="V1396" s="46"/>
      <c r="W1396" s="46"/>
    </row>
    <row r="1397" ht="16.5" spans="1:23">
      <c r="A1397" s="46"/>
      <c r="B1397" s="46"/>
      <c r="C1397" s="46"/>
      <c r="D1397" s="46"/>
      <c r="E1397" s="46"/>
      <c r="F1397" s="46"/>
      <c r="G1397" s="46"/>
      <c r="H1397" s="46"/>
      <c r="I1397" s="46"/>
      <c r="J1397" s="46"/>
      <c r="K1397" s="46"/>
      <c r="L1397" s="46"/>
      <c r="M1397" s="46"/>
      <c r="N1397" s="46"/>
      <c r="O1397" s="46"/>
      <c r="P1397" s="46"/>
      <c r="Q1397" s="46"/>
      <c r="R1397" s="46"/>
      <c r="S1397" s="46"/>
      <c r="T1397" s="46"/>
      <c r="U1397" s="46"/>
      <c r="V1397" s="46"/>
      <c r="W1397" s="46"/>
    </row>
    <row r="1398" ht="16.5" spans="1:23">
      <c r="A1398" s="46"/>
      <c r="B1398" s="46"/>
      <c r="C1398" s="46"/>
      <c r="D1398" s="46"/>
      <c r="E1398" s="46"/>
      <c r="F1398" s="46"/>
      <c r="G1398" s="46"/>
      <c r="H1398" s="46"/>
      <c r="I1398" s="46"/>
      <c r="J1398" s="46"/>
      <c r="K1398" s="46"/>
      <c r="L1398" s="46"/>
      <c r="M1398" s="46"/>
      <c r="N1398" s="46"/>
      <c r="O1398" s="46"/>
      <c r="P1398" s="46"/>
      <c r="Q1398" s="46"/>
      <c r="R1398" s="46"/>
      <c r="S1398" s="46"/>
      <c r="T1398" s="46"/>
      <c r="U1398" s="46"/>
      <c r="V1398" s="46"/>
      <c r="W1398" s="46"/>
    </row>
    <row r="1399" ht="16.5" spans="1:23">
      <c r="A1399" s="46"/>
      <c r="B1399" s="46"/>
      <c r="C1399" s="46"/>
      <c r="D1399" s="46"/>
      <c r="E1399" s="46"/>
      <c r="F1399" s="46"/>
      <c r="G1399" s="46"/>
      <c r="H1399" s="46"/>
      <c r="I1399" s="46"/>
      <c r="J1399" s="46"/>
      <c r="K1399" s="46"/>
      <c r="L1399" s="46"/>
      <c r="M1399" s="46"/>
      <c r="N1399" s="46"/>
      <c r="O1399" s="46"/>
      <c r="P1399" s="46"/>
      <c r="Q1399" s="46"/>
      <c r="R1399" s="46"/>
      <c r="S1399" s="46"/>
      <c r="T1399" s="46"/>
      <c r="U1399" s="46"/>
      <c r="V1399" s="46"/>
      <c r="W1399" s="46"/>
    </row>
    <row r="1400" ht="16.5" spans="1:23">
      <c r="A1400" s="46"/>
      <c r="B1400" s="46"/>
      <c r="C1400" s="46"/>
      <c r="D1400" s="46"/>
      <c r="E1400" s="46"/>
      <c r="F1400" s="46"/>
      <c r="G1400" s="46"/>
      <c r="H1400" s="46"/>
      <c r="I1400" s="46"/>
      <c r="J1400" s="46"/>
      <c r="K1400" s="46"/>
      <c r="L1400" s="46"/>
      <c r="M1400" s="46"/>
      <c r="N1400" s="46"/>
      <c r="O1400" s="46"/>
      <c r="P1400" s="46"/>
      <c r="Q1400" s="46"/>
      <c r="R1400" s="46"/>
      <c r="S1400" s="46"/>
      <c r="T1400" s="46"/>
      <c r="U1400" s="46"/>
      <c r="V1400" s="46"/>
      <c r="W1400" s="46"/>
    </row>
    <row r="1401" ht="16.5" spans="1:23">
      <c r="A1401" s="46"/>
      <c r="B1401" s="46"/>
      <c r="C1401" s="46"/>
      <c r="D1401" s="46"/>
      <c r="E1401" s="46"/>
      <c r="F1401" s="46"/>
      <c r="G1401" s="46"/>
      <c r="H1401" s="46"/>
      <c r="I1401" s="46"/>
      <c r="J1401" s="46"/>
      <c r="K1401" s="46"/>
      <c r="L1401" s="46"/>
      <c r="M1401" s="46"/>
      <c r="N1401" s="46"/>
      <c r="O1401" s="46"/>
      <c r="P1401" s="46"/>
      <c r="Q1401" s="46"/>
      <c r="R1401" s="46"/>
      <c r="S1401" s="46"/>
      <c r="T1401" s="46"/>
      <c r="U1401" s="46"/>
      <c r="V1401" s="46"/>
      <c r="W1401" s="46"/>
    </row>
    <row r="1402" ht="16.5" spans="1:23">
      <c r="A1402" s="46"/>
      <c r="B1402" s="46"/>
      <c r="C1402" s="46"/>
      <c r="D1402" s="46"/>
      <c r="E1402" s="46"/>
      <c r="F1402" s="46"/>
      <c r="G1402" s="46"/>
      <c r="H1402" s="46"/>
      <c r="I1402" s="46"/>
      <c r="J1402" s="46"/>
      <c r="K1402" s="46"/>
      <c r="L1402" s="46"/>
      <c r="M1402" s="46"/>
      <c r="N1402" s="46"/>
      <c r="O1402" s="46"/>
      <c r="P1402" s="46"/>
      <c r="Q1402" s="46"/>
      <c r="R1402" s="46"/>
      <c r="S1402" s="46"/>
      <c r="T1402" s="46"/>
      <c r="U1402" s="46"/>
      <c r="V1402" s="46"/>
      <c r="W1402" s="46"/>
    </row>
    <row r="1403" ht="16.5" spans="1:23">
      <c r="A1403" s="46"/>
      <c r="B1403" s="46"/>
      <c r="C1403" s="46"/>
      <c r="D1403" s="46"/>
      <c r="E1403" s="46"/>
      <c r="F1403" s="46"/>
      <c r="G1403" s="46"/>
      <c r="H1403" s="46"/>
      <c r="I1403" s="46"/>
      <c r="J1403" s="46"/>
      <c r="K1403" s="46"/>
      <c r="L1403" s="46"/>
      <c r="M1403" s="46"/>
      <c r="N1403" s="46"/>
      <c r="O1403" s="46"/>
      <c r="P1403" s="46"/>
      <c r="Q1403" s="46"/>
      <c r="R1403" s="46"/>
      <c r="S1403" s="46"/>
      <c r="T1403" s="46"/>
      <c r="U1403" s="46"/>
      <c r="V1403" s="46"/>
      <c r="W1403" s="46"/>
    </row>
    <row r="1404" ht="16.5" spans="1:23">
      <c r="A1404" s="46"/>
      <c r="B1404" s="46"/>
      <c r="C1404" s="46"/>
      <c r="D1404" s="46"/>
      <c r="E1404" s="46"/>
      <c r="F1404" s="46"/>
      <c r="G1404" s="46"/>
      <c r="H1404" s="46"/>
      <c r="I1404" s="46"/>
      <c r="J1404" s="46"/>
      <c r="K1404" s="46"/>
      <c r="L1404" s="46"/>
      <c r="M1404" s="46"/>
      <c r="N1404" s="46"/>
      <c r="O1404" s="46"/>
      <c r="P1404" s="46"/>
      <c r="Q1404" s="46"/>
      <c r="R1404" s="46"/>
      <c r="S1404" s="46"/>
      <c r="T1404" s="46"/>
      <c r="U1404" s="46"/>
      <c r="V1404" s="46"/>
      <c r="W1404" s="46"/>
    </row>
    <row r="1405" ht="16.5" spans="1:23">
      <c r="A1405" s="46"/>
      <c r="B1405" s="46"/>
      <c r="C1405" s="46"/>
      <c r="D1405" s="46"/>
      <c r="E1405" s="46"/>
      <c r="F1405" s="46"/>
      <c r="G1405" s="46"/>
      <c r="H1405" s="46"/>
      <c r="I1405" s="46"/>
      <c r="J1405" s="46"/>
      <c r="K1405" s="46"/>
      <c r="L1405" s="46"/>
      <c r="M1405" s="46"/>
      <c r="N1405" s="46"/>
      <c r="O1405" s="46"/>
      <c r="P1405" s="46"/>
      <c r="Q1405" s="46"/>
      <c r="R1405" s="46"/>
      <c r="S1405" s="46"/>
      <c r="T1405" s="46"/>
      <c r="U1405" s="46"/>
      <c r="V1405" s="46"/>
      <c r="W1405" s="46"/>
    </row>
    <row r="1406" ht="16.5" spans="1:23">
      <c r="A1406" s="46"/>
      <c r="B1406" s="46"/>
      <c r="C1406" s="46"/>
      <c r="D1406" s="46"/>
      <c r="E1406" s="46"/>
      <c r="F1406" s="46"/>
      <c r="G1406" s="46"/>
      <c r="H1406" s="46"/>
      <c r="I1406" s="46"/>
      <c r="J1406" s="46"/>
      <c r="K1406" s="46"/>
      <c r="L1406" s="46"/>
      <c r="M1406" s="46"/>
      <c r="N1406" s="46"/>
      <c r="O1406" s="46"/>
      <c r="P1406" s="46"/>
      <c r="Q1406" s="46"/>
      <c r="R1406" s="46"/>
      <c r="S1406" s="46"/>
      <c r="T1406" s="46"/>
      <c r="U1406" s="46"/>
      <c r="V1406" s="46"/>
      <c r="W1406" s="46"/>
    </row>
    <row r="1407" ht="16.5" spans="1:23">
      <c r="A1407" s="46"/>
      <c r="B1407" s="46"/>
      <c r="C1407" s="46"/>
      <c r="D1407" s="46"/>
      <c r="E1407" s="46"/>
      <c r="F1407" s="46"/>
      <c r="G1407" s="46"/>
      <c r="H1407" s="46"/>
      <c r="I1407" s="46"/>
      <c r="J1407" s="46"/>
      <c r="K1407" s="46"/>
      <c r="L1407" s="46"/>
      <c r="M1407" s="46"/>
      <c r="N1407" s="46"/>
      <c r="O1407" s="46"/>
      <c r="P1407" s="46"/>
      <c r="Q1407" s="46"/>
      <c r="R1407" s="46"/>
      <c r="S1407" s="46"/>
      <c r="T1407" s="46"/>
      <c r="U1407" s="46"/>
      <c r="V1407" s="46"/>
      <c r="W1407" s="46"/>
    </row>
    <row r="1408" ht="16.5" spans="1:23">
      <c r="A1408" s="46"/>
      <c r="B1408" s="46"/>
      <c r="C1408" s="46"/>
      <c r="D1408" s="46"/>
      <c r="E1408" s="46"/>
      <c r="F1408" s="46"/>
      <c r="G1408" s="46"/>
      <c r="H1408" s="46"/>
      <c r="I1408" s="46"/>
      <c r="J1408" s="46"/>
      <c r="K1408" s="46"/>
      <c r="L1408" s="46"/>
      <c r="M1408" s="46"/>
      <c r="N1408" s="46"/>
      <c r="O1408" s="46"/>
      <c r="P1408" s="46"/>
      <c r="Q1408" s="46"/>
      <c r="R1408" s="46"/>
      <c r="S1408" s="46"/>
      <c r="T1408" s="46"/>
      <c r="U1408" s="46"/>
      <c r="V1408" s="46"/>
      <c r="W1408" s="46"/>
    </row>
    <row r="1409" ht="16.5" spans="1:23">
      <c r="A1409" s="46"/>
      <c r="B1409" s="46"/>
      <c r="C1409" s="46"/>
      <c r="D1409" s="46"/>
      <c r="E1409" s="46"/>
      <c r="F1409" s="46"/>
      <c r="G1409" s="46"/>
      <c r="H1409" s="46"/>
      <c r="I1409" s="46"/>
      <c r="J1409" s="46"/>
      <c r="K1409" s="46"/>
      <c r="L1409" s="46"/>
      <c r="M1409" s="46"/>
      <c r="N1409" s="46"/>
      <c r="O1409" s="46"/>
      <c r="P1409" s="46"/>
      <c r="Q1409" s="46"/>
      <c r="R1409" s="46"/>
      <c r="S1409" s="46"/>
      <c r="T1409" s="46"/>
      <c r="U1409" s="46"/>
      <c r="V1409" s="46"/>
      <c r="W1409" s="46"/>
    </row>
    <row r="1410" ht="16.5" spans="1:23">
      <c r="A1410" s="46"/>
      <c r="B1410" s="46"/>
      <c r="C1410" s="46"/>
      <c r="D1410" s="46"/>
      <c r="E1410" s="46"/>
      <c r="F1410" s="46"/>
      <c r="G1410" s="46"/>
      <c r="H1410" s="46"/>
      <c r="I1410" s="46"/>
      <c r="J1410" s="46"/>
      <c r="K1410" s="46"/>
      <c r="L1410" s="46"/>
      <c r="M1410" s="46"/>
      <c r="N1410" s="46"/>
      <c r="O1410" s="46"/>
      <c r="P1410" s="46"/>
      <c r="Q1410" s="46"/>
      <c r="R1410" s="46"/>
      <c r="S1410" s="46"/>
      <c r="T1410" s="46"/>
      <c r="U1410" s="46"/>
      <c r="V1410" s="46"/>
      <c r="W1410" s="46"/>
    </row>
    <row r="1411" ht="16.5" spans="1:23">
      <c r="A1411" s="46"/>
      <c r="B1411" s="46"/>
      <c r="C1411" s="46"/>
      <c r="D1411" s="46"/>
      <c r="E1411" s="46"/>
      <c r="F1411" s="46"/>
      <c r="G1411" s="46"/>
      <c r="H1411" s="46"/>
      <c r="I1411" s="46"/>
      <c r="J1411" s="46"/>
      <c r="K1411" s="46"/>
      <c r="L1411" s="46"/>
      <c r="M1411" s="46"/>
      <c r="N1411" s="46"/>
      <c r="O1411" s="46"/>
      <c r="P1411" s="46"/>
      <c r="Q1411" s="46"/>
      <c r="R1411" s="46"/>
      <c r="S1411" s="46"/>
      <c r="T1411" s="46"/>
      <c r="U1411" s="46"/>
      <c r="V1411" s="46"/>
      <c r="W1411" s="46"/>
    </row>
    <row r="1412" ht="16.5" spans="1:23">
      <c r="A1412" s="46"/>
      <c r="B1412" s="46"/>
      <c r="C1412" s="46"/>
      <c r="D1412" s="46"/>
      <c r="E1412" s="46"/>
      <c r="F1412" s="46"/>
      <c r="G1412" s="46"/>
      <c r="H1412" s="46"/>
      <c r="I1412" s="46"/>
      <c r="J1412" s="46"/>
      <c r="K1412" s="46"/>
      <c r="L1412" s="46"/>
      <c r="M1412" s="46"/>
      <c r="N1412" s="46"/>
      <c r="O1412" s="46"/>
      <c r="P1412" s="46"/>
      <c r="Q1412" s="46"/>
      <c r="R1412" s="46"/>
      <c r="S1412" s="46"/>
      <c r="T1412" s="46"/>
      <c r="U1412" s="46"/>
      <c r="V1412" s="46"/>
      <c r="W1412" s="46"/>
    </row>
    <row r="1413" ht="16.5" spans="1:23">
      <c r="A1413" s="46"/>
      <c r="B1413" s="46"/>
      <c r="C1413" s="46"/>
      <c r="D1413" s="46"/>
      <c r="E1413" s="46"/>
      <c r="F1413" s="46"/>
      <c r="G1413" s="46"/>
      <c r="H1413" s="46"/>
      <c r="I1413" s="46"/>
      <c r="J1413" s="46"/>
      <c r="K1413" s="46"/>
      <c r="L1413" s="46"/>
      <c r="M1413" s="46"/>
      <c r="N1413" s="46"/>
      <c r="O1413" s="46"/>
      <c r="P1413" s="46"/>
      <c r="Q1413" s="46"/>
      <c r="R1413" s="46"/>
      <c r="S1413" s="46"/>
      <c r="T1413" s="46"/>
      <c r="U1413" s="46"/>
      <c r="V1413" s="46"/>
      <c r="W1413" s="46"/>
    </row>
    <row r="1414" ht="16.5" spans="1:23">
      <c r="A1414" s="46"/>
      <c r="B1414" s="46"/>
      <c r="C1414" s="46"/>
      <c r="D1414" s="46"/>
      <c r="E1414" s="46"/>
      <c r="F1414" s="46"/>
      <c r="G1414" s="46"/>
      <c r="H1414" s="46"/>
      <c r="I1414" s="46"/>
      <c r="J1414" s="46"/>
      <c r="K1414" s="46"/>
      <c r="L1414" s="46"/>
      <c r="M1414" s="46"/>
      <c r="N1414" s="46"/>
      <c r="O1414" s="46"/>
      <c r="P1414" s="46"/>
      <c r="Q1414" s="46"/>
      <c r="R1414" s="46"/>
      <c r="S1414" s="46"/>
      <c r="T1414" s="46"/>
      <c r="U1414" s="46"/>
      <c r="V1414" s="46"/>
      <c r="W1414" s="46"/>
    </row>
    <row r="1415" ht="16.5" spans="1:23">
      <c r="A1415" s="46"/>
      <c r="B1415" s="46"/>
      <c r="C1415" s="46"/>
      <c r="D1415" s="46"/>
      <c r="E1415" s="46"/>
      <c r="F1415" s="46"/>
      <c r="G1415" s="46"/>
      <c r="H1415" s="46"/>
      <c r="I1415" s="46"/>
      <c r="J1415" s="46"/>
      <c r="K1415" s="46"/>
      <c r="L1415" s="46"/>
      <c r="M1415" s="46"/>
      <c r="N1415" s="46"/>
      <c r="O1415" s="46"/>
      <c r="P1415" s="46"/>
      <c r="Q1415" s="46"/>
      <c r="R1415" s="46"/>
      <c r="S1415" s="46"/>
      <c r="T1415" s="46"/>
      <c r="U1415" s="46"/>
      <c r="V1415" s="46"/>
      <c r="W1415" s="46"/>
    </row>
    <row r="1416" ht="16.5" spans="1:23">
      <c r="A1416" s="46"/>
      <c r="B1416" s="46"/>
      <c r="C1416" s="46"/>
      <c r="D1416" s="46"/>
      <c r="E1416" s="46"/>
      <c r="F1416" s="46"/>
      <c r="G1416" s="46"/>
      <c r="H1416" s="46"/>
      <c r="I1416" s="46"/>
      <c r="J1416" s="46"/>
      <c r="K1416" s="46"/>
      <c r="L1416" s="46"/>
      <c r="M1416" s="46"/>
      <c r="N1416" s="46"/>
      <c r="O1416" s="46"/>
      <c r="P1416" s="46"/>
      <c r="Q1416" s="46"/>
      <c r="R1416" s="46"/>
      <c r="S1416" s="46"/>
      <c r="T1416" s="46"/>
      <c r="U1416" s="46"/>
      <c r="V1416" s="46"/>
      <c r="W1416" s="46"/>
    </row>
    <row r="1417" ht="16.5" spans="1:23">
      <c r="A1417" s="46"/>
      <c r="B1417" s="46"/>
      <c r="C1417" s="46"/>
      <c r="D1417" s="46"/>
      <c r="E1417" s="46"/>
      <c r="F1417" s="46"/>
      <c r="G1417" s="46"/>
      <c r="H1417" s="46"/>
      <c r="I1417" s="46"/>
      <c r="J1417" s="46"/>
      <c r="K1417" s="46"/>
      <c r="L1417" s="46"/>
      <c r="M1417" s="46"/>
      <c r="N1417" s="46"/>
      <c r="O1417" s="46"/>
      <c r="P1417" s="46"/>
      <c r="Q1417" s="46"/>
      <c r="R1417" s="46"/>
      <c r="S1417" s="46"/>
      <c r="T1417" s="46"/>
      <c r="U1417" s="46"/>
      <c r="V1417" s="46"/>
      <c r="W1417" s="46"/>
    </row>
    <row r="1418" ht="16.5" spans="1:23">
      <c r="A1418" s="46"/>
      <c r="B1418" s="46"/>
      <c r="C1418" s="46"/>
      <c r="D1418" s="46"/>
      <c r="E1418" s="46"/>
      <c r="F1418" s="46"/>
      <c r="G1418" s="46"/>
      <c r="H1418" s="46"/>
      <c r="I1418" s="46"/>
      <c r="J1418" s="46"/>
      <c r="K1418" s="46"/>
      <c r="L1418" s="46"/>
      <c r="M1418" s="46"/>
      <c r="N1418" s="46"/>
      <c r="O1418" s="46"/>
      <c r="P1418" s="46"/>
      <c r="Q1418" s="46"/>
      <c r="R1418" s="46"/>
      <c r="S1418" s="46"/>
      <c r="T1418" s="46"/>
      <c r="U1418" s="46"/>
      <c r="V1418" s="46"/>
      <c r="W1418" s="46"/>
    </row>
    <row r="1419" ht="16.5" spans="1:23">
      <c r="A1419" s="46"/>
      <c r="B1419" s="46"/>
      <c r="C1419" s="46"/>
      <c r="D1419" s="46"/>
      <c r="E1419" s="46"/>
      <c r="F1419" s="46"/>
      <c r="G1419" s="46"/>
      <c r="H1419" s="46"/>
      <c r="I1419" s="46"/>
      <c r="J1419" s="46"/>
      <c r="K1419" s="46"/>
      <c r="L1419" s="46"/>
      <c r="M1419" s="46"/>
      <c r="N1419" s="46"/>
      <c r="O1419" s="46"/>
      <c r="P1419" s="46"/>
      <c r="Q1419" s="46"/>
      <c r="R1419" s="46"/>
      <c r="S1419" s="46"/>
      <c r="T1419" s="46"/>
      <c r="U1419" s="46"/>
      <c r="V1419" s="46"/>
      <c r="W1419" s="46"/>
    </row>
    <row r="1420" ht="16.5" spans="1:23">
      <c r="A1420" s="46"/>
      <c r="B1420" s="46"/>
      <c r="C1420" s="46"/>
      <c r="D1420" s="46"/>
      <c r="E1420" s="46"/>
      <c r="F1420" s="46"/>
      <c r="G1420" s="46"/>
      <c r="H1420" s="46"/>
      <c r="I1420" s="46"/>
      <c r="J1420" s="46"/>
      <c r="K1420" s="46"/>
      <c r="L1420" s="46"/>
      <c r="M1420" s="46"/>
      <c r="N1420" s="46"/>
      <c r="O1420" s="46"/>
      <c r="P1420" s="46"/>
      <c r="Q1420" s="46"/>
      <c r="R1420" s="46"/>
      <c r="S1420" s="46"/>
      <c r="T1420" s="46"/>
      <c r="U1420" s="46"/>
      <c r="V1420" s="46"/>
      <c r="W1420" s="46"/>
    </row>
    <row r="1421" ht="16.5" spans="1:23">
      <c r="A1421" s="46"/>
      <c r="B1421" s="46"/>
      <c r="C1421" s="46"/>
      <c r="D1421" s="46"/>
      <c r="E1421" s="46"/>
      <c r="F1421" s="46"/>
      <c r="G1421" s="46"/>
      <c r="H1421" s="46"/>
      <c r="I1421" s="46"/>
      <c r="J1421" s="46"/>
      <c r="K1421" s="46"/>
      <c r="L1421" s="46"/>
      <c r="M1421" s="46"/>
      <c r="N1421" s="46"/>
      <c r="O1421" s="46"/>
      <c r="P1421" s="46"/>
      <c r="Q1421" s="46"/>
      <c r="R1421" s="46"/>
      <c r="S1421" s="46"/>
      <c r="T1421" s="46"/>
      <c r="U1421" s="46"/>
      <c r="V1421" s="46"/>
      <c r="W1421" s="46"/>
    </row>
    <row r="1422" ht="16.5" spans="1:23">
      <c r="A1422" s="46"/>
      <c r="B1422" s="46"/>
      <c r="C1422" s="46"/>
      <c r="D1422" s="46"/>
      <c r="E1422" s="46"/>
      <c r="F1422" s="46"/>
      <c r="G1422" s="46"/>
      <c r="H1422" s="46"/>
      <c r="I1422" s="46"/>
      <c r="J1422" s="46"/>
      <c r="K1422" s="46"/>
      <c r="L1422" s="46"/>
      <c r="M1422" s="46"/>
      <c r="N1422" s="46"/>
      <c r="O1422" s="46"/>
      <c r="P1422" s="46"/>
      <c r="Q1422" s="46"/>
      <c r="R1422" s="46"/>
      <c r="S1422" s="46"/>
      <c r="T1422" s="46"/>
      <c r="U1422" s="46"/>
      <c r="V1422" s="46"/>
      <c r="W1422" s="46"/>
    </row>
    <row r="1423" ht="16.5" spans="1:23">
      <c r="A1423" s="46"/>
      <c r="B1423" s="46"/>
      <c r="C1423" s="46"/>
      <c r="D1423" s="46"/>
      <c r="E1423" s="46"/>
      <c r="F1423" s="46"/>
      <c r="G1423" s="46"/>
      <c r="H1423" s="46"/>
      <c r="I1423" s="46"/>
      <c r="J1423" s="46"/>
      <c r="K1423" s="46"/>
      <c r="L1423" s="46"/>
      <c r="M1423" s="46"/>
      <c r="N1423" s="46"/>
      <c r="O1423" s="46"/>
      <c r="P1423" s="46"/>
      <c r="Q1423" s="46"/>
      <c r="R1423" s="46"/>
      <c r="S1423" s="46"/>
      <c r="T1423" s="46"/>
      <c r="U1423" s="46"/>
      <c r="V1423" s="46"/>
      <c r="W1423" s="46"/>
    </row>
    <row r="1424" ht="16.5" spans="1:23">
      <c r="A1424" s="46"/>
      <c r="B1424" s="46"/>
      <c r="C1424" s="46"/>
      <c r="D1424" s="46"/>
      <c r="E1424" s="46"/>
      <c r="F1424" s="46"/>
      <c r="G1424" s="46"/>
      <c r="H1424" s="46"/>
      <c r="I1424" s="46"/>
      <c r="J1424" s="46"/>
      <c r="K1424" s="46"/>
      <c r="L1424" s="46"/>
      <c r="M1424" s="46"/>
      <c r="N1424" s="46"/>
      <c r="O1424" s="46"/>
      <c r="P1424" s="46"/>
      <c r="Q1424" s="46"/>
      <c r="R1424" s="46"/>
      <c r="S1424" s="46"/>
      <c r="T1424" s="46"/>
      <c r="U1424" s="46"/>
      <c r="V1424" s="46"/>
      <c r="W1424" s="46"/>
    </row>
    <row r="1425" ht="16.5" spans="1:23">
      <c r="A1425" s="46"/>
      <c r="B1425" s="46"/>
      <c r="C1425" s="46"/>
      <c r="D1425" s="46"/>
      <c r="E1425" s="46"/>
      <c r="F1425" s="46"/>
      <c r="G1425" s="46"/>
      <c r="H1425" s="46"/>
      <c r="I1425" s="46"/>
      <c r="J1425" s="46"/>
      <c r="K1425" s="46"/>
      <c r="L1425" s="46"/>
      <c r="M1425" s="46"/>
      <c r="N1425" s="46"/>
      <c r="O1425" s="46"/>
      <c r="P1425" s="46"/>
      <c r="Q1425" s="46"/>
      <c r="R1425" s="46"/>
      <c r="S1425" s="46"/>
      <c r="T1425" s="46"/>
      <c r="U1425" s="46"/>
      <c r="V1425" s="46"/>
      <c r="W1425" s="46"/>
    </row>
    <row r="1426" ht="16.5" spans="1:23">
      <c r="A1426" s="46"/>
      <c r="B1426" s="46"/>
      <c r="C1426" s="46"/>
      <c r="D1426" s="46"/>
      <c r="E1426" s="46"/>
      <c r="F1426" s="46"/>
      <c r="G1426" s="46"/>
      <c r="H1426" s="46"/>
      <c r="I1426" s="46"/>
      <c r="J1426" s="46"/>
      <c r="K1426" s="46"/>
      <c r="L1426" s="46"/>
      <c r="M1426" s="46"/>
      <c r="N1426" s="46"/>
      <c r="O1426" s="46"/>
      <c r="P1426" s="46"/>
      <c r="Q1426" s="46"/>
      <c r="R1426" s="46"/>
      <c r="S1426" s="46"/>
      <c r="T1426" s="46"/>
      <c r="U1426" s="46"/>
      <c r="V1426" s="46"/>
      <c r="W1426" s="46"/>
    </row>
    <row r="1427" ht="16.5" spans="1:23">
      <c r="A1427" s="46"/>
      <c r="B1427" s="46"/>
      <c r="C1427" s="46"/>
      <c r="D1427" s="46"/>
      <c r="E1427" s="46"/>
      <c r="F1427" s="46"/>
      <c r="G1427" s="46"/>
      <c r="H1427" s="46"/>
      <c r="I1427" s="46"/>
      <c r="J1427" s="46"/>
      <c r="K1427" s="46"/>
      <c r="L1427" s="46"/>
      <c r="M1427" s="46"/>
      <c r="N1427" s="46"/>
      <c r="O1427" s="46"/>
      <c r="P1427" s="46"/>
      <c r="Q1427" s="46"/>
      <c r="R1427" s="46"/>
      <c r="S1427" s="46"/>
      <c r="T1427" s="46"/>
      <c r="U1427" s="46"/>
      <c r="V1427" s="46"/>
      <c r="W1427" s="46"/>
    </row>
    <row r="1428" ht="16.5" spans="1:23">
      <c r="A1428" s="46"/>
      <c r="B1428" s="46"/>
      <c r="C1428" s="46"/>
      <c r="D1428" s="46"/>
      <c r="E1428" s="46"/>
      <c r="F1428" s="46"/>
      <c r="G1428" s="46"/>
      <c r="H1428" s="46"/>
      <c r="I1428" s="46"/>
      <c r="J1428" s="46"/>
      <c r="K1428" s="46"/>
      <c r="L1428" s="46"/>
      <c r="M1428" s="46"/>
      <c r="N1428" s="46"/>
      <c r="O1428" s="46"/>
      <c r="P1428" s="46"/>
      <c r="Q1428" s="46"/>
      <c r="R1428" s="46"/>
      <c r="S1428" s="46"/>
      <c r="T1428" s="46"/>
      <c r="U1428" s="46"/>
      <c r="V1428" s="46"/>
      <c r="W1428" s="46"/>
    </row>
    <row r="1429" ht="16.5" spans="1:23">
      <c r="A1429" s="46"/>
      <c r="B1429" s="46"/>
      <c r="C1429" s="46"/>
      <c r="D1429" s="46"/>
      <c r="E1429" s="46"/>
      <c r="F1429" s="46"/>
      <c r="G1429" s="46"/>
      <c r="H1429" s="46"/>
      <c r="I1429" s="46"/>
      <c r="J1429" s="46"/>
      <c r="K1429" s="46"/>
      <c r="L1429" s="46"/>
      <c r="M1429" s="46"/>
      <c r="N1429" s="46"/>
      <c r="O1429" s="46"/>
      <c r="P1429" s="46"/>
      <c r="Q1429" s="46"/>
      <c r="R1429" s="46"/>
      <c r="S1429" s="46"/>
      <c r="T1429" s="46"/>
      <c r="U1429" s="46"/>
      <c r="V1429" s="46"/>
      <c r="W1429" s="46"/>
    </row>
    <row r="1430" ht="16.5" spans="1:23">
      <c r="A1430" s="46"/>
      <c r="B1430" s="46"/>
      <c r="C1430" s="46"/>
      <c r="D1430" s="46"/>
      <c r="E1430" s="46"/>
      <c r="F1430" s="46"/>
      <c r="G1430" s="46"/>
      <c r="H1430" s="46"/>
      <c r="I1430" s="46"/>
      <c r="J1430" s="46"/>
      <c r="K1430" s="46"/>
      <c r="L1430" s="46"/>
      <c r="M1430" s="46"/>
      <c r="N1430" s="46"/>
      <c r="O1430" s="46"/>
      <c r="P1430" s="46"/>
      <c r="Q1430" s="46"/>
      <c r="R1430" s="46"/>
      <c r="S1430" s="46"/>
      <c r="T1430" s="46"/>
      <c r="U1430" s="46"/>
      <c r="V1430" s="46"/>
      <c r="W1430" s="46"/>
    </row>
    <row r="1431" ht="16.5" spans="1:23">
      <c r="A1431" s="46"/>
      <c r="B1431" s="46"/>
      <c r="C1431" s="46"/>
      <c r="D1431" s="46"/>
      <c r="E1431" s="46"/>
      <c r="F1431" s="46"/>
      <c r="G1431" s="46"/>
      <c r="H1431" s="46"/>
      <c r="I1431" s="46"/>
      <c r="J1431" s="46"/>
      <c r="K1431" s="46"/>
      <c r="L1431" s="46"/>
      <c r="M1431" s="46"/>
      <c r="N1431" s="46"/>
      <c r="O1431" s="46"/>
      <c r="P1431" s="46"/>
      <c r="Q1431" s="46"/>
      <c r="R1431" s="46"/>
      <c r="S1431" s="46"/>
      <c r="T1431" s="46"/>
      <c r="U1431" s="46"/>
      <c r="V1431" s="46"/>
      <c r="W1431" s="46"/>
    </row>
    <row r="1432" ht="16.5" spans="1:23">
      <c r="A1432" s="46"/>
      <c r="B1432" s="46"/>
      <c r="C1432" s="46"/>
      <c r="D1432" s="46"/>
      <c r="E1432" s="46"/>
      <c r="F1432" s="46"/>
      <c r="G1432" s="46"/>
      <c r="H1432" s="46"/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  <c r="S1432" s="46"/>
      <c r="T1432" s="46"/>
      <c r="U1432" s="46"/>
      <c r="V1432" s="46"/>
      <c r="W1432" s="46"/>
    </row>
    <row r="1433" ht="16.5" spans="1:23">
      <c r="A1433" s="46"/>
      <c r="B1433" s="46"/>
      <c r="C1433" s="46"/>
      <c r="D1433" s="46"/>
      <c r="E1433" s="46"/>
      <c r="F1433" s="46"/>
      <c r="G1433" s="46"/>
      <c r="H1433" s="46"/>
      <c r="I1433" s="46"/>
      <c r="J1433" s="46"/>
      <c r="K1433" s="46"/>
      <c r="L1433" s="46"/>
      <c r="M1433" s="46"/>
      <c r="N1433" s="46"/>
      <c r="O1433" s="46"/>
      <c r="P1433" s="46"/>
      <c r="Q1433" s="46"/>
      <c r="R1433" s="46"/>
      <c r="S1433" s="46"/>
      <c r="T1433" s="46"/>
      <c r="U1433" s="46"/>
      <c r="V1433" s="46"/>
      <c r="W1433" s="46"/>
    </row>
    <row r="1434" ht="16.5" spans="1:23">
      <c r="A1434" s="46"/>
      <c r="B1434" s="46"/>
      <c r="C1434" s="46"/>
      <c r="D1434" s="46"/>
      <c r="E1434" s="46"/>
      <c r="F1434" s="46"/>
      <c r="G1434" s="46"/>
      <c r="H1434" s="46"/>
      <c r="I1434" s="46"/>
      <c r="J1434" s="46"/>
      <c r="K1434" s="46"/>
      <c r="L1434" s="46"/>
      <c r="M1434" s="46"/>
      <c r="N1434" s="46"/>
      <c r="O1434" s="46"/>
      <c r="P1434" s="46"/>
      <c r="Q1434" s="46"/>
      <c r="R1434" s="46"/>
      <c r="S1434" s="46"/>
      <c r="T1434" s="46"/>
      <c r="U1434" s="46"/>
      <c r="V1434" s="46"/>
      <c r="W1434" s="46"/>
    </row>
    <row r="1435" ht="16.5" spans="1:23">
      <c r="A1435" s="46"/>
      <c r="B1435" s="46"/>
      <c r="C1435" s="46"/>
      <c r="D1435" s="46"/>
      <c r="E1435" s="46"/>
      <c r="F1435" s="46"/>
      <c r="G1435" s="46"/>
      <c r="H1435" s="46"/>
      <c r="I1435" s="46"/>
      <c r="J1435" s="46"/>
      <c r="K1435" s="46"/>
      <c r="L1435" s="46"/>
      <c r="M1435" s="46"/>
      <c r="N1435" s="46"/>
      <c r="O1435" s="46"/>
      <c r="P1435" s="46"/>
      <c r="Q1435" s="46"/>
      <c r="R1435" s="46"/>
      <c r="S1435" s="46"/>
      <c r="T1435" s="46"/>
      <c r="U1435" s="46"/>
      <c r="V1435" s="46"/>
      <c r="W1435" s="46"/>
    </row>
    <row r="1436" ht="16.5" spans="1:23">
      <c r="A1436" s="46"/>
      <c r="B1436" s="46"/>
      <c r="C1436" s="46"/>
      <c r="D1436" s="46"/>
      <c r="E1436" s="46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  <c r="P1436" s="46"/>
      <c r="Q1436" s="46"/>
      <c r="R1436" s="46"/>
      <c r="S1436" s="46"/>
      <c r="T1436" s="46"/>
      <c r="U1436" s="46"/>
      <c r="V1436" s="46"/>
      <c r="W1436" s="46"/>
    </row>
    <row r="1437" ht="16.5" spans="1:23">
      <c r="A1437" s="46"/>
      <c r="B1437" s="46"/>
      <c r="C1437" s="46"/>
      <c r="D1437" s="46"/>
      <c r="E1437" s="46"/>
      <c r="F1437" s="46"/>
      <c r="G1437" s="46"/>
      <c r="H1437" s="46"/>
      <c r="I1437" s="46"/>
      <c r="J1437" s="46"/>
      <c r="K1437" s="46"/>
      <c r="L1437" s="46"/>
      <c r="M1437" s="46"/>
      <c r="N1437" s="46"/>
      <c r="O1437" s="46"/>
      <c r="P1437" s="46"/>
      <c r="Q1437" s="46"/>
      <c r="R1437" s="46"/>
      <c r="S1437" s="46"/>
      <c r="T1437" s="46"/>
      <c r="U1437" s="46"/>
      <c r="V1437" s="46"/>
      <c r="W1437" s="46"/>
    </row>
    <row r="1438" ht="16.5" spans="1:23">
      <c r="A1438" s="46"/>
      <c r="B1438" s="46"/>
      <c r="C1438" s="46"/>
      <c r="D1438" s="46"/>
      <c r="E1438" s="46"/>
      <c r="F1438" s="46"/>
      <c r="G1438" s="46"/>
      <c r="H1438" s="46"/>
      <c r="I1438" s="46"/>
      <c r="J1438" s="46"/>
      <c r="K1438" s="46"/>
      <c r="L1438" s="46"/>
      <c r="M1438" s="46"/>
      <c r="N1438" s="46"/>
      <c r="O1438" s="46"/>
      <c r="P1438" s="46"/>
      <c r="Q1438" s="46"/>
      <c r="R1438" s="46"/>
      <c r="S1438" s="46"/>
      <c r="T1438" s="46"/>
      <c r="U1438" s="46"/>
      <c r="V1438" s="46"/>
      <c r="W1438" s="46"/>
    </row>
    <row r="1439" ht="16.5" spans="1:23">
      <c r="A1439" s="46"/>
      <c r="B1439" s="46"/>
      <c r="C1439" s="46"/>
      <c r="D1439" s="46"/>
      <c r="E1439" s="46"/>
      <c r="F1439" s="46"/>
      <c r="G1439" s="46"/>
      <c r="H1439" s="46"/>
      <c r="I1439" s="46"/>
      <c r="J1439" s="46"/>
      <c r="K1439" s="46"/>
      <c r="L1439" s="46"/>
      <c r="M1439" s="46"/>
      <c r="N1439" s="46"/>
      <c r="O1439" s="46"/>
      <c r="P1439" s="46"/>
      <c r="Q1439" s="46"/>
      <c r="R1439" s="46"/>
      <c r="S1439" s="46"/>
      <c r="T1439" s="46"/>
      <c r="U1439" s="46"/>
      <c r="V1439" s="46"/>
      <c r="W1439" s="46"/>
    </row>
    <row r="1440" ht="16.5" spans="1:23">
      <c r="A1440" s="46"/>
      <c r="B1440" s="46"/>
      <c r="C1440" s="46"/>
      <c r="D1440" s="46"/>
      <c r="E1440" s="46"/>
      <c r="F1440" s="46"/>
      <c r="G1440" s="46"/>
      <c r="H1440" s="46"/>
      <c r="I1440" s="46"/>
      <c r="J1440" s="46"/>
      <c r="K1440" s="46"/>
      <c r="L1440" s="46"/>
      <c r="M1440" s="46"/>
      <c r="N1440" s="46"/>
      <c r="O1440" s="46"/>
      <c r="P1440" s="46"/>
      <c r="Q1440" s="46"/>
      <c r="R1440" s="46"/>
      <c r="S1440" s="46"/>
      <c r="T1440" s="46"/>
      <c r="U1440" s="46"/>
      <c r="V1440" s="46"/>
      <c r="W1440" s="46"/>
    </row>
    <row r="1441" ht="16.5" spans="1:23">
      <c r="A1441" s="46"/>
      <c r="B1441" s="46"/>
      <c r="C1441" s="46"/>
      <c r="D1441" s="46"/>
      <c r="E1441" s="46"/>
      <c r="F1441" s="46"/>
      <c r="G1441" s="46"/>
      <c r="H1441" s="46"/>
      <c r="I1441" s="46"/>
      <c r="J1441" s="46"/>
      <c r="K1441" s="46"/>
      <c r="L1441" s="46"/>
      <c r="M1441" s="46"/>
      <c r="N1441" s="46"/>
      <c r="O1441" s="46"/>
      <c r="P1441" s="46"/>
      <c r="Q1441" s="46"/>
      <c r="R1441" s="46"/>
      <c r="S1441" s="46"/>
      <c r="T1441" s="46"/>
      <c r="U1441" s="46"/>
      <c r="V1441" s="46"/>
      <c r="W1441" s="46"/>
    </row>
    <row r="1442" ht="16.5" spans="1:23">
      <c r="A1442" s="46"/>
      <c r="B1442" s="46"/>
      <c r="C1442" s="46"/>
      <c r="D1442" s="46"/>
      <c r="E1442" s="46"/>
      <c r="F1442" s="46"/>
      <c r="G1442" s="46"/>
      <c r="H1442" s="46"/>
      <c r="I1442" s="46"/>
      <c r="J1442" s="46"/>
      <c r="K1442" s="46"/>
      <c r="L1442" s="46"/>
      <c r="M1442" s="46"/>
      <c r="N1442" s="46"/>
      <c r="O1442" s="46"/>
      <c r="P1442" s="46"/>
      <c r="Q1442" s="46"/>
      <c r="R1442" s="46"/>
      <c r="S1442" s="46"/>
      <c r="T1442" s="46"/>
      <c r="U1442" s="46"/>
      <c r="V1442" s="46"/>
      <c r="W1442" s="46"/>
    </row>
    <row r="1443" ht="16.5" spans="1:23">
      <c r="A1443" s="46"/>
      <c r="B1443" s="46"/>
      <c r="C1443" s="46"/>
      <c r="D1443" s="46"/>
      <c r="E1443" s="46"/>
      <c r="F1443" s="46"/>
      <c r="G1443" s="46"/>
      <c r="H1443" s="46"/>
      <c r="I1443" s="46"/>
      <c r="J1443" s="46"/>
      <c r="K1443" s="46"/>
      <c r="L1443" s="46"/>
      <c r="M1443" s="46"/>
      <c r="N1443" s="46"/>
      <c r="O1443" s="46"/>
      <c r="P1443" s="46"/>
      <c r="Q1443" s="46"/>
      <c r="R1443" s="46"/>
      <c r="S1443" s="46"/>
      <c r="T1443" s="46"/>
      <c r="U1443" s="46"/>
      <c r="V1443" s="46"/>
      <c r="W1443" s="46"/>
    </row>
    <row r="1444" ht="16.5" spans="1:23">
      <c r="A1444" s="46"/>
      <c r="B1444" s="46"/>
      <c r="C1444" s="46"/>
      <c r="D1444" s="46"/>
      <c r="E1444" s="46"/>
      <c r="F1444" s="46"/>
      <c r="G1444" s="46"/>
      <c r="H1444" s="46"/>
      <c r="I1444" s="46"/>
      <c r="J1444" s="46"/>
      <c r="K1444" s="46"/>
      <c r="L1444" s="46"/>
      <c r="M1444" s="46"/>
      <c r="N1444" s="46"/>
      <c r="O1444" s="46"/>
      <c r="P1444" s="46"/>
      <c r="Q1444" s="46"/>
      <c r="R1444" s="46"/>
      <c r="S1444" s="46"/>
      <c r="T1444" s="46"/>
      <c r="U1444" s="46"/>
      <c r="V1444" s="46"/>
      <c r="W1444" s="46"/>
    </row>
    <row r="1445" ht="16.5" spans="1:23">
      <c r="A1445" s="46"/>
      <c r="B1445" s="46"/>
      <c r="C1445" s="46"/>
      <c r="D1445" s="46"/>
      <c r="E1445" s="46"/>
      <c r="F1445" s="46"/>
      <c r="G1445" s="46"/>
      <c r="H1445" s="46"/>
      <c r="I1445" s="46"/>
      <c r="J1445" s="46"/>
      <c r="K1445" s="46"/>
      <c r="L1445" s="46"/>
      <c r="M1445" s="46"/>
      <c r="N1445" s="46"/>
      <c r="O1445" s="46"/>
      <c r="P1445" s="46"/>
      <c r="Q1445" s="46"/>
      <c r="R1445" s="46"/>
      <c r="S1445" s="46"/>
      <c r="T1445" s="46"/>
      <c r="U1445" s="46"/>
      <c r="V1445" s="46"/>
      <c r="W1445" s="46"/>
    </row>
    <row r="1446" ht="16.5" spans="1:23">
      <c r="A1446" s="46"/>
      <c r="B1446" s="46"/>
      <c r="C1446" s="46"/>
      <c r="D1446" s="46"/>
      <c r="E1446" s="46"/>
      <c r="F1446" s="46"/>
      <c r="G1446" s="46"/>
      <c r="H1446" s="46"/>
      <c r="I1446" s="46"/>
      <c r="J1446" s="46"/>
      <c r="K1446" s="46"/>
      <c r="L1446" s="46"/>
      <c r="M1446" s="46"/>
      <c r="N1446" s="46"/>
      <c r="O1446" s="46"/>
      <c r="P1446" s="46"/>
      <c r="Q1446" s="46"/>
      <c r="R1446" s="46"/>
      <c r="S1446" s="46"/>
      <c r="T1446" s="46"/>
      <c r="U1446" s="46"/>
      <c r="V1446" s="46"/>
      <c r="W1446" s="46"/>
    </row>
    <row r="1447" ht="16.5" spans="1:23">
      <c r="A1447" s="46"/>
      <c r="B1447" s="46"/>
      <c r="C1447" s="46"/>
      <c r="D1447" s="46"/>
      <c r="E1447" s="46"/>
      <c r="F1447" s="46"/>
      <c r="G1447" s="46"/>
      <c r="H1447" s="46"/>
      <c r="I1447" s="46"/>
      <c r="J1447" s="46"/>
      <c r="K1447" s="46"/>
      <c r="L1447" s="46"/>
      <c r="M1447" s="46"/>
      <c r="N1447" s="46"/>
      <c r="O1447" s="46"/>
      <c r="P1447" s="46"/>
      <c r="Q1447" s="46"/>
      <c r="R1447" s="46"/>
      <c r="S1447" s="46"/>
      <c r="T1447" s="46"/>
      <c r="U1447" s="46"/>
      <c r="V1447" s="46"/>
      <c r="W1447" s="46"/>
    </row>
    <row r="1448" ht="16.5" spans="1:23">
      <c r="A1448" s="46"/>
      <c r="B1448" s="46"/>
      <c r="C1448" s="46"/>
      <c r="D1448" s="46"/>
      <c r="E1448" s="46"/>
      <c r="F1448" s="46"/>
      <c r="G1448" s="46"/>
      <c r="H1448" s="46"/>
      <c r="I1448" s="46"/>
      <c r="J1448" s="46"/>
      <c r="K1448" s="46"/>
      <c r="L1448" s="46"/>
      <c r="M1448" s="46"/>
      <c r="N1448" s="46"/>
      <c r="O1448" s="46"/>
      <c r="P1448" s="46"/>
      <c r="Q1448" s="46"/>
      <c r="R1448" s="46"/>
      <c r="S1448" s="46"/>
      <c r="T1448" s="46"/>
      <c r="U1448" s="46"/>
      <c r="V1448" s="46"/>
      <c r="W1448" s="46"/>
    </row>
    <row r="1449" ht="16.5" spans="1:23">
      <c r="A1449" s="46"/>
      <c r="B1449" s="46"/>
      <c r="C1449" s="46"/>
      <c r="D1449" s="46"/>
      <c r="E1449" s="46"/>
      <c r="F1449" s="46"/>
      <c r="G1449" s="46"/>
      <c r="H1449" s="46"/>
      <c r="I1449" s="46"/>
      <c r="J1449" s="46"/>
      <c r="K1449" s="46"/>
      <c r="L1449" s="46"/>
      <c r="M1449" s="46"/>
      <c r="N1449" s="46"/>
      <c r="O1449" s="46"/>
      <c r="P1449" s="46"/>
      <c r="Q1449" s="46"/>
      <c r="R1449" s="46"/>
      <c r="S1449" s="46"/>
      <c r="T1449" s="46"/>
      <c r="U1449" s="46"/>
      <c r="V1449" s="46"/>
      <c r="W1449" s="46"/>
    </row>
    <row r="1450" ht="16.5" spans="1:23">
      <c r="A1450" s="46"/>
      <c r="B1450" s="46"/>
      <c r="C1450" s="46"/>
      <c r="D1450" s="46"/>
      <c r="E1450" s="46"/>
      <c r="F1450" s="46"/>
      <c r="G1450" s="46"/>
      <c r="H1450" s="46"/>
      <c r="I1450" s="46"/>
      <c r="J1450" s="46"/>
      <c r="K1450" s="46"/>
      <c r="L1450" s="46"/>
      <c r="M1450" s="46"/>
      <c r="N1450" s="46"/>
      <c r="O1450" s="46"/>
      <c r="P1450" s="46"/>
      <c r="Q1450" s="46"/>
      <c r="R1450" s="46"/>
      <c r="S1450" s="46"/>
      <c r="T1450" s="46"/>
      <c r="U1450" s="46"/>
      <c r="V1450" s="46"/>
      <c r="W1450" s="46"/>
    </row>
    <row r="1451" ht="16.5" spans="1:23">
      <c r="A1451" s="46"/>
      <c r="B1451" s="46"/>
      <c r="C1451" s="46"/>
      <c r="D1451" s="46"/>
      <c r="E1451" s="46"/>
      <c r="F1451" s="46"/>
      <c r="G1451" s="46"/>
      <c r="H1451" s="46"/>
      <c r="I1451" s="46"/>
      <c r="J1451" s="46"/>
      <c r="K1451" s="46"/>
      <c r="L1451" s="46"/>
      <c r="M1451" s="46"/>
      <c r="N1451" s="46"/>
      <c r="O1451" s="46"/>
      <c r="P1451" s="46"/>
      <c r="Q1451" s="46"/>
      <c r="R1451" s="46"/>
      <c r="S1451" s="46"/>
      <c r="T1451" s="46"/>
      <c r="U1451" s="46"/>
      <c r="V1451" s="46"/>
      <c r="W1451" s="46"/>
    </row>
    <row r="1452" ht="16.5" spans="1:23">
      <c r="A1452" s="46"/>
      <c r="B1452" s="46"/>
      <c r="C1452" s="46"/>
      <c r="D1452" s="46"/>
      <c r="E1452" s="46"/>
      <c r="F1452" s="46"/>
      <c r="G1452" s="46"/>
      <c r="H1452" s="46"/>
      <c r="I1452" s="46"/>
      <c r="J1452" s="46"/>
      <c r="K1452" s="46"/>
      <c r="L1452" s="46"/>
      <c r="M1452" s="46"/>
      <c r="N1452" s="46"/>
      <c r="O1452" s="46"/>
      <c r="P1452" s="46"/>
      <c r="Q1452" s="46"/>
      <c r="R1452" s="46"/>
      <c r="S1452" s="46"/>
      <c r="T1452" s="46"/>
      <c r="U1452" s="46"/>
      <c r="V1452" s="46"/>
      <c r="W1452" s="46"/>
    </row>
    <row r="1453" ht="16.5" spans="1:23">
      <c r="A1453" s="46"/>
      <c r="B1453" s="46"/>
      <c r="C1453" s="46"/>
      <c r="D1453" s="46"/>
      <c r="E1453" s="46"/>
      <c r="F1453" s="46"/>
      <c r="G1453" s="46"/>
      <c r="H1453" s="46"/>
      <c r="I1453" s="46"/>
      <c r="J1453" s="46"/>
      <c r="K1453" s="46"/>
      <c r="L1453" s="46"/>
      <c r="M1453" s="46"/>
      <c r="N1453" s="46"/>
      <c r="O1453" s="46"/>
      <c r="P1453" s="46"/>
      <c r="Q1453" s="46"/>
      <c r="R1453" s="46"/>
      <c r="S1453" s="46"/>
      <c r="T1453" s="46"/>
      <c r="U1453" s="46"/>
      <c r="V1453" s="46"/>
      <c r="W1453" s="46"/>
    </row>
    <row r="1454" ht="16.5" spans="1:23">
      <c r="A1454" s="46"/>
      <c r="B1454" s="46"/>
      <c r="C1454" s="46"/>
      <c r="D1454" s="46"/>
      <c r="E1454" s="46"/>
      <c r="F1454" s="46"/>
      <c r="G1454" s="46"/>
      <c r="H1454" s="46"/>
      <c r="I1454" s="46"/>
      <c r="J1454" s="46"/>
      <c r="K1454" s="46"/>
      <c r="L1454" s="46"/>
      <c r="M1454" s="46"/>
      <c r="N1454" s="46"/>
      <c r="O1454" s="46"/>
      <c r="P1454" s="46"/>
      <c r="Q1454" s="46"/>
      <c r="R1454" s="46"/>
      <c r="S1454" s="46"/>
      <c r="T1454" s="46"/>
      <c r="U1454" s="46"/>
      <c r="V1454" s="46"/>
      <c r="W1454" s="46"/>
    </row>
    <row r="1455" ht="16.5" spans="1:23">
      <c r="A1455" s="46"/>
      <c r="B1455" s="46"/>
      <c r="C1455" s="46"/>
      <c r="D1455" s="46"/>
      <c r="E1455" s="46"/>
      <c r="F1455" s="46"/>
      <c r="G1455" s="46"/>
      <c r="H1455" s="46"/>
      <c r="I1455" s="46"/>
      <c r="J1455" s="46"/>
      <c r="K1455" s="46"/>
      <c r="L1455" s="46"/>
      <c r="M1455" s="46"/>
      <c r="N1455" s="46"/>
      <c r="O1455" s="46"/>
      <c r="P1455" s="46"/>
      <c r="Q1455" s="46"/>
      <c r="R1455" s="46"/>
      <c r="S1455" s="46"/>
      <c r="T1455" s="46"/>
      <c r="U1455" s="46"/>
      <c r="V1455" s="46"/>
      <c r="W1455" s="46"/>
    </row>
    <row r="1456" ht="16.5" spans="1:23">
      <c r="A1456" s="46"/>
      <c r="B1456" s="46"/>
      <c r="C1456" s="46"/>
      <c r="D1456" s="46"/>
      <c r="E1456" s="46"/>
      <c r="F1456" s="46"/>
      <c r="G1456" s="46"/>
      <c r="H1456" s="46"/>
      <c r="I1456" s="46"/>
      <c r="J1456" s="46"/>
      <c r="K1456" s="46"/>
      <c r="L1456" s="46"/>
      <c r="M1456" s="46"/>
      <c r="N1456" s="46"/>
      <c r="O1456" s="46"/>
      <c r="P1456" s="46"/>
      <c r="Q1456" s="46"/>
      <c r="R1456" s="46"/>
      <c r="S1456" s="46"/>
      <c r="T1456" s="46"/>
      <c r="U1456" s="46"/>
      <c r="V1456" s="46"/>
      <c r="W1456" s="46"/>
    </row>
    <row r="1457" ht="16.5" spans="1:23">
      <c r="A1457" s="46"/>
      <c r="B1457" s="46"/>
      <c r="C1457" s="46"/>
      <c r="D1457" s="46"/>
      <c r="E1457" s="46"/>
      <c r="F1457" s="46"/>
      <c r="G1457" s="46"/>
      <c r="H1457" s="46"/>
      <c r="I1457" s="46"/>
      <c r="J1457" s="46"/>
      <c r="K1457" s="46"/>
      <c r="L1457" s="46"/>
      <c r="M1457" s="46"/>
      <c r="N1457" s="46"/>
      <c r="O1457" s="46"/>
      <c r="P1457" s="46"/>
      <c r="Q1457" s="46"/>
      <c r="R1457" s="46"/>
      <c r="S1457" s="46"/>
      <c r="T1457" s="46"/>
      <c r="U1457" s="46"/>
      <c r="V1457" s="46"/>
      <c r="W1457" s="46"/>
    </row>
    <row r="1458" ht="16.5" spans="1:23">
      <c r="A1458" s="46"/>
      <c r="B1458" s="46"/>
      <c r="C1458" s="46"/>
      <c r="D1458" s="46"/>
      <c r="E1458" s="46"/>
      <c r="F1458" s="46"/>
      <c r="G1458" s="46"/>
      <c r="H1458" s="46"/>
      <c r="I1458" s="46"/>
      <c r="J1458" s="46"/>
      <c r="K1458" s="46"/>
      <c r="L1458" s="46"/>
      <c r="M1458" s="46"/>
      <c r="N1458" s="46"/>
      <c r="O1458" s="46"/>
      <c r="P1458" s="46"/>
      <c r="Q1458" s="46"/>
      <c r="R1458" s="46"/>
      <c r="S1458" s="46"/>
      <c r="T1458" s="46"/>
      <c r="U1458" s="46"/>
      <c r="V1458" s="46"/>
      <c r="W1458" s="46"/>
    </row>
    <row r="1459" ht="16.5" spans="1:23">
      <c r="A1459" s="46"/>
      <c r="B1459" s="46"/>
      <c r="C1459" s="46"/>
      <c r="D1459" s="46"/>
      <c r="E1459" s="46"/>
      <c r="F1459" s="46"/>
      <c r="G1459" s="46"/>
      <c r="H1459" s="46"/>
      <c r="I1459" s="46"/>
      <c r="J1459" s="46"/>
      <c r="K1459" s="46"/>
      <c r="L1459" s="46"/>
      <c r="M1459" s="46"/>
      <c r="N1459" s="46"/>
      <c r="O1459" s="46"/>
      <c r="P1459" s="46"/>
      <c r="Q1459" s="46"/>
      <c r="R1459" s="46"/>
      <c r="S1459" s="46"/>
      <c r="T1459" s="46"/>
      <c r="U1459" s="46"/>
      <c r="V1459" s="46"/>
      <c r="W1459" s="46"/>
    </row>
    <row r="1460" ht="16.5" spans="1:23">
      <c r="A1460" s="46"/>
      <c r="B1460" s="46"/>
      <c r="C1460" s="46"/>
      <c r="D1460" s="46"/>
      <c r="E1460" s="46"/>
      <c r="F1460" s="46"/>
      <c r="G1460" s="46"/>
      <c r="H1460" s="46"/>
      <c r="I1460" s="46"/>
      <c r="J1460" s="46"/>
      <c r="K1460" s="46"/>
      <c r="L1460" s="46"/>
      <c r="M1460" s="46"/>
      <c r="N1460" s="46"/>
      <c r="O1460" s="46"/>
      <c r="P1460" s="46"/>
      <c r="Q1460" s="46"/>
      <c r="R1460" s="46"/>
      <c r="S1460" s="46"/>
      <c r="T1460" s="46"/>
      <c r="U1460" s="46"/>
      <c r="V1460" s="46"/>
      <c r="W1460" s="46"/>
    </row>
    <row r="1461" ht="16.5" spans="1:23">
      <c r="A1461" s="46"/>
      <c r="B1461" s="46"/>
      <c r="C1461" s="46"/>
      <c r="D1461" s="46"/>
      <c r="E1461" s="46"/>
      <c r="F1461" s="46"/>
      <c r="G1461" s="46"/>
      <c r="H1461" s="46"/>
      <c r="I1461" s="46"/>
      <c r="J1461" s="46"/>
      <c r="K1461" s="46"/>
      <c r="L1461" s="46"/>
      <c r="M1461" s="46"/>
      <c r="N1461" s="46"/>
      <c r="O1461" s="46"/>
      <c r="P1461" s="46"/>
      <c r="Q1461" s="46"/>
      <c r="R1461" s="46"/>
      <c r="S1461" s="46"/>
      <c r="T1461" s="46"/>
      <c r="U1461" s="46"/>
      <c r="V1461" s="46"/>
      <c r="W1461" s="46"/>
    </row>
    <row r="1462" ht="16.5" spans="1:23">
      <c r="A1462" s="46"/>
      <c r="B1462" s="46"/>
      <c r="C1462" s="46"/>
      <c r="D1462" s="46"/>
      <c r="E1462" s="46"/>
      <c r="F1462" s="46"/>
      <c r="G1462" s="46"/>
      <c r="H1462" s="46"/>
      <c r="I1462" s="46"/>
      <c r="J1462" s="46"/>
      <c r="K1462" s="46"/>
      <c r="L1462" s="46"/>
      <c r="M1462" s="46"/>
      <c r="N1462" s="46"/>
      <c r="O1462" s="46"/>
      <c r="P1462" s="46"/>
      <c r="Q1462" s="46"/>
      <c r="R1462" s="46"/>
      <c r="S1462" s="46"/>
      <c r="T1462" s="46"/>
      <c r="U1462" s="46"/>
      <c r="V1462" s="46"/>
      <c r="W1462" s="46"/>
    </row>
    <row r="1463" ht="16.5" spans="1:23">
      <c r="A1463" s="46"/>
      <c r="B1463" s="46"/>
      <c r="C1463" s="46"/>
      <c r="D1463" s="46"/>
      <c r="E1463" s="46"/>
      <c r="F1463" s="46"/>
      <c r="G1463" s="46"/>
      <c r="H1463" s="46"/>
      <c r="I1463" s="46"/>
      <c r="J1463" s="46"/>
      <c r="K1463" s="46"/>
      <c r="L1463" s="46"/>
      <c r="M1463" s="46"/>
      <c r="N1463" s="46"/>
      <c r="O1463" s="46"/>
      <c r="P1463" s="46"/>
      <c r="Q1463" s="46"/>
      <c r="R1463" s="46"/>
      <c r="S1463" s="46"/>
      <c r="T1463" s="46"/>
      <c r="U1463" s="46"/>
      <c r="V1463" s="46"/>
      <c r="W1463" s="46"/>
    </row>
    <row r="1464" ht="16.5" spans="1:23">
      <c r="A1464" s="46"/>
      <c r="B1464" s="46"/>
      <c r="C1464" s="46"/>
      <c r="D1464" s="46"/>
      <c r="E1464" s="46"/>
      <c r="F1464" s="46"/>
      <c r="G1464" s="46"/>
      <c r="H1464" s="46"/>
      <c r="I1464" s="46"/>
      <c r="J1464" s="46"/>
      <c r="K1464" s="46"/>
      <c r="L1464" s="46"/>
      <c r="M1464" s="46"/>
      <c r="N1464" s="46"/>
      <c r="O1464" s="46"/>
      <c r="P1464" s="46"/>
      <c r="Q1464" s="46"/>
      <c r="R1464" s="46"/>
      <c r="S1464" s="46"/>
      <c r="T1464" s="46"/>
      <c r="U1464" s="46"/>
      <c r="V1464" s="46"/>
      <c r="W1464" s="46"/>
    </row>
    <row r="1465" ht="16.5" spans="1:23">
      <c r="A1465" s="46"/>
      <c r="B1465" s="46"/>
      <c r="C1465" s="46"/>
      <c r="D1465" s="46"/>
      <c r="E1465" s="46"/>
      <c r="F1465" s="46"/>
      <c r="G1465" s="46"/>
      <c r="H1465" s="46"/>
      <c r="I1465" s="46"/>
      <c r="J1465" s="46"/>
      <c r="K1465" s="46"/>
      <c r="L1465" s="46"/>
      <c r="M1465" s="46"/>
      <c r="N1465" s="46"/>
      <c r="O1465" s="46"/>
      <c r="P1465" s="46"/>
      <c r="Q1465" s="46"/>
      <c r="R1465" s="46"/>
      <c r="S1465" s="46"/>
      <c r="T1465" s="46"/>
      <c r="U1465" s="46"/>
      <c r="V1465" s="46"/>
      <c r="W1465" s="46"/>
    </row>
    <row r="1466" ht="16.5" spans="1:23">
      <c r="A1466" s="46"/>
      <c r="B1466" s="46"/>
      <c r="C1466" s="46"/>
      <c r="D1466" s="46"/>
      <c r="E1466" s="46"/>
      <c r="F1466" s="46"/>
      <c r="G1466" s="46"/>
      <c r="H1466" s="46"/>
      <c r="I1466" s="46"/>
      <c r="J1466" s="46"/>
      <c r="K1466" s="46"/>
      <c r="L1466" s="46"/>
      <c r="M1466" s="46"/>
      <c r="N1466" s="46"/>
      <c r="O1466" s="46"/>
      <c r="P1466" s="46"/>
      <c r="Q1466" s="46"/>
      <c r="R1466" s="46"/>
      <c r="S1466" s="46"/>
      <c r="T1466" s="46"/>
      <c r="U1466" s="46"/>
      <c r="V1466" s="46"/>
      <c r="W1466" s="46"/>
    </row>
    <row r="1467" ht="16.5" spans="1:23">
      <c r="A1467" s="46"/>
      <c r="B1467" s="46"/>
      <c r="C1467" s="46"/>
      <c r="D1467" s="46"/>
      <c r="E1467" s="46"/>
      <c r="F1467" s="46"/>
      <c r="G1467" s="46"/>
      <c r="H1467" s="46"/>
      <c r="I1467" s="46"/>
      <c r="J1467" s="46"/>
      <c r="K1467" s="46"/>
      <c r="L1467" s="46"/>
      <c r="M1467" s="46"/>
      <c r="N1467" s="46"/>
      <c r="O1467" s="46"/>
      <c r="P1467" s="46"/>
      <c r="Q1467" s="46"/>
      <c r="R1467" s="46"/>
      <c r="S1467" s="46"/>
      <c r="T1467" s="46"/>
      <c r="U1467" s="46"/>
      <c r="V1467" s="46"/>
      <c r="W1467" s="46"/>
    </row>
    <row r="1468" ht="16.5" spans="1:23">
      <c r="A1468" s="46"/>
      <c r="B1468" s="46"/>
      <c r="C1468" s="46"/>
      <c r="D1468" s="46"/>
      <c r="E1468" s="46"/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  <c r="P1468" s="46"/>
      <c r="Q1468" s="46"/>
      <c r="R1468" s="46"/>
      <c r="S1468" s="46"/>
      <c r="T1468" s="46"/>
      <c r="U1468" s="46"/>
      <c r="V1468" s="46"/>
      <c r="W1468" s="46"/>
    </row>
    <row r="1469" ht="16.5" spans="1:23">
      <c r="A1469" s="46"/>
      <c r="B1469" s="46"/>
      <c r="C1469" s="46"/>
      <c r="D1469" s="46"/>
      <c r="E1469" s="46"/>
      <c r="F1469" s="46"/>
      <c r="G1469" s="46"/>
      <c r="H1469" s="46"/>
      <c r="I1469" s="46"/>
      <c r="J1469" s="46"/>
      <c r="K1469" s="46"/>
      <c r="L1469" s="46"/>
      <c r="M1469" s="46"/>
      <c r="N1469" s="46"/>
      <c r="O1469" s="46"/>
      <c r="P1469" s="46"/>
      <c r="Q1469" s="46"/>
      <c r="R1469" s="46"/>
      <c r="S1469" s="46"/>
      <c r="T1469" s="46"/>
      <c r="U1469" s="46"/>
      <c r="V1469" s="46"/>
      <c r="W1469" s="46"/>
    </row>
    <row r="1470" ht="16.5" spans="1:23">
      <c r="A1470" s="46"/>
      <c r="B1470" s="46"/>
      <c r="C1470" s="46"/>
      <c r="D1470" s="46"/>
      <c r="E1470" s="46"/>
      <c r="F1470" s="46"/>
      <c r="G1470" s="46"/>
      <c r="H1470" s="46"/>
      <c r="I1470" s="46"/>
      <c r="J1470" s="46"/>
      <c r="K1470" s="46"/>
      <c r="L1470" s="46"/>
      <c r="M1470" s="46"/>
      <c r="N1470" s="46"/>
      <c r="O1470" s="46"/>
      <c r="P1470" s="46"/>
      <c r="Q1470" s="46"/>
      <c r="R1470" s="46"/>
      <c r="S1470" s="46"/>
      <c r="T1470" s="46"/>
      <c r="U1470" s="46"/>
      <c r="V1470" s="46"/>
      <c r="W1470" s="46"/>
    </row>
    <row r="1471" ht="16.5" spans="1:23">
      <c r="A1471" s="46"/>
      <c r="B1471" s="46"/>
      <c r="C1471" s="46"/>
      <c r="D1471" s="46"/>
      <c r="E1471" s="46"/>
      <c r="F1471" s="46"/>
      <c r="G1471" s="46"/>
      <c r="H1471" s="46"/>
      <c r="I1471" s="46"/>
      <c r="J1471" s="46"/>
      <c r="K1471" s="46"/>
      <c r="L1471" s="46"/>
      <c r="M1471" s="46"/>
      <c r="N1471" s="46"/>
      <c r="O1471" s="46"/>
      <c r="P1471" s="46"/>
      <c r="Q1471" s="46"/>
      <c r="R1471" s="46"/>
      <c r="S1471" s="46"/>
      <c r="T1471" s="46"/>
      <c r="U1471" s="46"/>
      <c r="V1471" s="46"/>
      <c r="W1471" s="46"/>
    </row>
    <row r="1472" ht="16.5" spans="1:23">
      <c r="A1472" s="46"/>
      <c r="B1472" s="46"/>
      <c r="C1472" s="46"/>
      <c r="D1472" s="46"/>
      <c r="E1472" s="46"/>
      <c r="F1472" s="46"/>
      <c r="G1472" s="46"/>
      <c r="H1472" s="46"/>
      <c r="I1472" s="46"/>
      <c r="J1472" s="46"/>
      <c r="K1472" s="46"/>
      <c r="L1472" s="46"/>
      <c r="M1472" s="46"/>
      <c r="N1472" s="46"/>
      <c r="O1472" s="46"/>
      <c r="P1472" s="46"/>
      <c r="Q1472" s="46"/>
      <c r="R1472" s="46"/>
      <c r="S1472" s="46"/>
      <c r="T1472" s="46"/>
      <c r="U1472" s="46"/>
      <c r="V1472" s="46"/>
      <c r="W1472" s="46"/>
    </row>
    <row r="1473" ht="16.5" spans="1:23">
      <c r="A1473" s="46"/>
      <c r="B1473" s="46"/>
      <c r="C1473" s="46"/>
      <c r="D1473" s="46"/>
      <c r="E1473" s="46"/>
      <c r="F1473" s="46"/>
      <c r="G1473" s="46"/>
      <c r="H1473" s="46"/>
      <c r="I1473" s="46"/>
      <c r="J1473" s="46"/>
      <c r="K1473" s="46"/>
      <c r="L1473" s="46"/>
      <c r="M1473" s="46"/>
      <c r="N1473" s="46"/>
      <c r="O1473" s="46"/>
      <c r="P1473" s="46"/>
      <c r="Q1473" s="46"/>
      <c r="R1473" s="46"/>
      <c r="S1473" s="46"/>
      <c r="T1473" s="46"/>
      <c r="U1473" s="46"/>
      <c r="V1473" s="46"/>
      <c r="W1473" s="46"/>
    </row>
    <row r="1474" ht="16.5" spans="1:23">
      <c r="A1474" s="46"/>
      <c r="B1474" s="46"/>
      <c r="C1474" s="46"/>
      <c r="D1474" s="46"/>
      <c r="E1474" s="46"/>
      <c r="F1474" s="46"/>
      <c r="G1474" s="46"/>
      <c r="H1474" s="46"/>
      <c r="I1474" s="46"/>
      <c r="J1474" s="46"/>
      <c r="K1474" s="46"/>
      <c r="L1474" s="46"/>
      <c r="M1474" s="46"/>
      <c r="N1474" s="46"/>
      <c r="O1474" s="46"/>
      <c r="P1474" s="46"/>
      <c r="Q1474" s="46"/>
      <c r="R1474" s="46"/>
      <c r="S1474" s="46"/>
      <c r="T1474" s="46"/>
      <c r="U1474" s="46"/>
      <c r="V1474" s="46"/>
      <c r="W1474" s="46"/>
    </row>
    <row r="1475" ht="16.5" spans="1:23">
      <c r="A1475" s="46"/>
      <c r="B1475" s="46"/>
      <c r="C1475" s="46"/>
      <c r="D1475" s="46"/>
      <c r="E1475" s="46"/>
      <c r="F1475" s="46"/>
      <c r="G1475" s="46"/>
      <c r="H1475" s="46"/>
      <c r="I1475" s="46"/>
      <c r="J1475" s="46"/>
      <c r="K1475" s="46"/>
      <c r="L1475" s="46"/>
      <c r="M1475" s="46"/>
      <c r="N1475" s="46"/>
      <c r="O1475" s="46"/>
      <c r="P1475" s="46"/>
      <c r="Q1475" s="46"/>
      <c r="R1475" s="46"/>
      <c r="S1475" s="46"/>
      <c r="T1475" s="46"/>
      <c r="U1475" s="46"/>
      <c r="V1475" s="46"/>
      <c r="W1475" s="46"/>
    </row>
    <row r="1476" ht="16.5" spans="1:23">
      <c r="A1476" s="46"/>
      <c r="B1476" s="46"/>
      <c r="C1476" s="46"/>
      <c r="D1476" s="46"/>
      <c r="E1476" s="46"/>
      <c r="F1476" s="46"/>
      <c r="G1476" s="46"/>
      <c r="H1476" s="46"/>
      <c r="I1476" s="46"/>
      <c r="J1476" s="46"/>
      <c r="K1476" s="46"/>
      <c r="L1476" s="46"/>
      <c r="M1476" s="46"/>
      <c r="N1476" s="46"/>
      <c r="O1476" s="46"/>
      <c r="P1476" s="46"/>
      <c r="Q1476" s="46"/>
      <c r="R1476" s="46"/>
      <c r="S1476" s="46"/>
      <c r="T1476" s="46"/>
      <c r="U1476" s="46"/>
      <c r="V1476" s="46"/>
      <c r="W1476" s="46"/>
    </row>
    <row r="1477" ht="16.5" spans="1:23">
      <c r="A1477" s="46"/>
      <c r="B1477" s="46"/>
      <c r="C1477" s="46"/>
      <c r="D1477" s="46"/>
      <c r="E1477" s="46"/>
      <c r="F1477" s="46"/>
      <c r="G1477" s="46"/>
      <c r="H1477" s="46"/>
      <c r="I1477" s="46"/>
      <c r="J1477" s="46"/>
      <c r="K1477" s="46"/>
      <c r="L1477" s="46"/>
      <c r="M1477" s="46"/>
      <c r="N1477" s="46"/>
      <c r="O1477" s="46"/>
      <c r="P1477" s="46"/>
      <c r="Q1477" s="46"/>
      <c r="R1477" s="46"/>
      <c r="S1477" s="46"/>
      <c r="T1477" s="46"/>
      <c r="U1477" s="46"/>
      <c r="V1477" s="46"/>
      <c r="W1477" s="46"/>
    </row>
    <row r="1478" ht="16.5" spans="1:23">
      <c r="A1478" s="46"/>
      <c r="B1478" s="46"/>
      <c r="C1478" s="46"/>
      <c r="D1478" s="46"/>
      <c r="E1478" s="46"/>
      <c r="F1478" s="46"/>
      <c r="G1478" s="46"/>
      <c r="H1478" s="46"/>
      <c r="I1478" s="46"/>
      <c r="J1478" s="46"/>
      <c r="K1478" s="46"/>
      <c r="L1478" s="46"/>
      <c r="M1478" s="46"/>
      <c r="N1478" s="46"/>
      <c r="O1478" s="46"/>
      <c r="P1478" s="46"/>
      <c r="Q1478" s="46"/>
      <c r="R1478" s="46"/>
      <c r="S1478" s="46"/>
      <c r="T1478" s="46"/>
      <c r="U1478" s="46"/>
      <c r="V1478" s="46"/>
      <c r="W1478" s="46"/>
    </row>
    <row r="1479" ht="16.5" spans="1:23">
      <c r="A1479" s="46"/>
      <c r="B1479" s="46"/>
      <c r="C1479" s="46"/>
      <c r="D1479" s="46"/>
      <c r="E1479" s="46"/>
      <c r="F1479" s="46"/>
      <c r="G1479" s="46"/>
      <c r="H1479" s="46"/>
      <c r="I1479" s="46"/>
      <c r="J1479" s="46"/>
      <c r="K1479" s="46"/>
      <c r="L1479" s="46"/>
      <c r="M1479" s="46"/>
      <c r="N1479" s="46"/>
      <c r="O1479" s="46"/>
      <c r="P1479" s="46"/>
      <c r="Q1479" s="46"/>
      <c r="R1479" s="46"/>
      <c r="S1479" s="46"/>
      <c r="T1479" s="46"/>
      <c r="U1479" s="46"/>
      <c r="V1479" s="46"/>
      <c r="W1479" s="46"/>
    </row>
    <row r="1480" ht="16.5" spans="1:23">
      <c r="A1480" s="46"/>
      <c r="B1480" s="46"/>
      <c r="C1480" s="46"/>
      <c r="D1480" s="46"/>
      <c r="E1480" s="46"/>
      <c r="F1480" s="46"/>
      <c r="G1480" s="46"/>
      <c r="H1480" s="46"/>
      <c r="I1480" s="46"/>
      <c r="J1480" s="46"/>
      <c r="K1480" s="46"/>
      <c r="L1480" s="46"/>
      <c r="M1480" s="46"/>
      <c r="N1480" s="46"/>
      <c r="O1480" s="46"/>
      <c r="P1480" s="46"/>
      <c r="Q1480" s="46"/>
      <c r="R1480" s="46"/>
      <c r="S1480" s="46"/>
      <c r="T1480" s="46"/>
      <c r="U1480" s="46"/>
      <c r="V1480" s="46"/>
      <c r="W1480" s="46"/>
    </row>
    <row r="1481" ht="16.5" spans="1:23">
      <c r="A1481" s="46"/>
      <c r="B1481" s="46"/>
      <c r="C1481" s="46"/>
      <c r="D1481" s="46"/>
      <c r="E1481" s="46"/>
      <c r="F1481" s="46"/>
      <c r="G1481" s="46"/>
      <c r="H1481" s="46"/>
      <c r="I1481" s="46"/>
      <c r="J1481" s="46"/>
      <c r="K1481" s="46"/>
      <c r="L1481" s="46"/>
      <c r="M1481" s="46"/>
      <c r="N1481" s="46"/>
      <c r="O1481" s="46"/>
      <c r="P1481" s="46"/>
      <c r="Q1481" s="46"/>
      <c r="R1481" s="46"/>
      <c r="S1481" s="46"/>
      <c r="T1481" s="46"/>
      <c r="U1481" s="46"/>
      <c r="V1481" s="46"/>
      <c r="W1481" s="46"/>
    </row>
    <row r="1482" ht="16.5" spans="1:23">
      <c r="A1482" s="46"/>
      <c r="B1482" s="46"/>
      <c r="C1482" s="46"/>
      <c r="D1482" s="46"/>
      <c r="E1482" s="46"/>
      <c r="F1482" s="46"/>
      <c r="G1482" s="46"/>
      <c r="H1482" s="46"/>
      <c r="I1482" s="46"/>
      <c r="J1482" s="46"/>
      <c r="K1482" s="46"/>
      <c r="L1482" s="46"/>
      <c r="M1482" s="46"/>
      <c r="N1482" s="46"/>
      <c r="O1482" s="46"/>
      <c r="P1482" s="46"/>
      <c r="Q1482" s="46"/>
      <c r="R1482" s="46"/>
      <c r="S1482" s="46"/>
      <c r="T1482" s="46"/>
      <c r="U1482" s="46"/>
      <c r="V1482" s="46"/>
      <c r="W1482" s="46"/>
    </row>
    <row r="1483" ht="16.5" spans="1:23">
      <c r="A1483" s="46"/>
      <c r="B1483" s="46"/>
      <c r="C1483" s="46"/>
      <c r="D1483" s="46"/>
      <c r="E1483" s="46"/>
      <c r="F1483" s="46"/>
      <c r="G1483" s="46"/>
      <c r="H1483" s="46"/>
      <c r="I1483" s="46"/>
      <c r="J1483" s="46"/>
      <c r="K1483" s="46"/>
      <c r="L1483" s="46"/>
      <c r="M1483" s="46"/>
      <c r="N1483" s="46"/>
      <c r="O1483" s="46"/>
      <c r="P1483" s="46"/>
      <c r="Q1483" s="46"/>
      <c r="R1483" s="46"/>
      <c r="S1483" s="46"/>
      <c r="T1483" s="46"/>
      <c r="U1483" s="46"/>
      <c r="V1483" s="46"/>
      <c r="W1483" s="46"/>
    </row>
    <row r="1484" ht="16.5" spans="1:23">
      <c r="A1484" s="46"/>
      <c r="B1484" s="46"/>
      <c r="C1484" s="46"/>
      <c r="D1484" s="46"/>
      <c r="E1484" s="46"/>
      <c r="F1484" s="46"/>
      <c r="G1484" s="46"/>
      <c r="H1484" s="46"/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  <c r="S1484" s="46"/>
      <c r="T1484" s="46"/>
      <c r="U1484" s="46"/>
      <c r="V1484" s="46"/>
      <c r="W1484" s="46"/>
    </row>
    <row r="1485" ht="16.5" spans="1:23">
      <c r="A1485" s="46"/>
      <c r="B1485" s="46"/>
      <c r="C1485" s="46"/>
      <c r="D1485" s="46"/>
      <c r="E1485" s="46"/>
      <c r="F1485" s="46"/>
      <c r="G1485" s="46"/>
      <c r="H1485" s="46"/>
      <c r="I1485" s="46"/>
      <c r="J1485" s="46"/>
      <c r="K1485" s="46"/>
      <c r="L1485" s="46"/>
      <c r="M1485" s="46"/>
      <c r="N1485" s="46"/>
      <c r="O1485" s="46"/>
      <c r="P1485" s="46"/>
      <c r="Q1485" s="46"/>
      <c r="R1485" s="46"/>
      <c r="S1485" s="46"/>
      <c r="T1485" s="46"/>
      <c r="U1485" s="46"/>
      <c r="V1485" s="46"/>
      <c r="W1485" s="46"/>
    </row>
    <row r="1486" ht="16.5" spans="1:23">
      <c r="A1486" s="46"/>
      <c r="B1486" s="46"/>
      <c r="C1486" s="46"/>
      <c r="D1486" s="46"/>
      <c r="E1486" s="46"/>
      <c r="F1486" s="46"/>
      <c r="G1486" s="46"/>
      <c r="H1486" s="46"/>
      <c r="I1486" s="46"/>
      <c r="J1486" s="46"/>
      <c r="K1486" s="46"/>
      <c r="L1486" s="46"/>
      <c r="M1486" s="46"/>
      <c r="N1486" s="46"/>
      <c r="O1486" s="46"/>
      <c r="P1486" s="46"/>
      <c r="Q1486" s="46"/>
      <c r="R1486" s="46"/>
      <c r="S1486" s="46"/>
      <c r="T1486" s="46"/>
      <c r="U1486" s="46"/>
      <c r="V1486" s="46"/>
      <c r="W1486" s="46"/>
    </row>
    <row r="1487" ht="16.5" spans="1:23">
      <c r="A1487" s="46"/>
      <c r="B1487" s="46"/>
      <c r="C1487" s="46"/>
      <c r="D1487" s="46"/>
      <c r="E1487" s="46"/>
      <c r="F1487" s="46"/>
      <c r="G1487" s="46"/>
      <c r="H1487" s="46"/>
      <c r="I1487" s="46"/>
      <c r="J1487" s="46"/>
      <c r="K1487" s="46"/>
      <c r="L1487" s="46"/>
      <c r="M1487" s="46"/>
      <c r="N1487" s="46"/>
      <c r="O1487" s="46"/>
      <c r="P1487" s="46"/>
      <c r="Q1487" s="46"/>
      <c r="R1487" s="46"/>
      <c r="S1487" s="46"/>
      <c r="T1487" s="46"/>
      <c r="U1487" s="46"/>
      <c r="V1487" s="46"/>
      <c r="W1487" s="46"/>
    </row>
    <row r="1488" ht="16.5" spans="1:23">
      <c r="A1488" s="46"/>
      <c r="B1488" s="46"/>
      <c r="C1488" s="46"/>
      <c r="D1488" s="46"/>
      <c r="E1488" s="46"/>
      <c r="F1488" s="46"/>
      <c r="G1488" s="46"/>
      <c r="H1488" s="46"/>
      <c r="I1488" s="46"/>
      <c r="J1488" s="46"/>
      <c r="K1488" s="46"/>
      <c r="L1488" s="46"/>
      <c r="M1488" s="46"/>
      <c r="N1488" s="46"/>
      <c r="O1488" s="46"/>
      <c r="P1488" s="46"/>
      <c r="Q1488" s="46"/>
      <c r="R1488" s="46"/>
      <c r="S1488" s="46"/>
      <c r="T1488" s="46"/>
      <c r="U1488" s="46"/>
      <c r="V1488" s="46"/>
      <c r="W1488" s="46"/>
    </row>
    <row r="1489" ht="16.5" spans="1:23">
      <c r="A1489" s="46"/>
      <c r="B1489" s="46"/>
      <c r="C1489" s="46"/>
      <c r="D1489" s="46"/>
      <c r="E1489" s="46"/>
      <c r="F1489" s="46"/>
      <c r="G1489" s="46"/>
      <c r="H1489" s="46"/>
      <c r="I1489" s="46"/>
      <c r="J1489" s="46"/>
      <c r="K1489" s="46"/>
      <c r="L1489" s="46"/>
      <c r="M1489" s="46"/>
      <c r="N1489" s="46"/>
      <c r="O1489" s="46"/>
      <c r="P1489" s="46"/>
      <c r="Q1489" s="46"/>
      <c r="R1489" s="46"/>
      <c r="S1489" s="46"/>
      <c r="T1489" s="46"/>
      <c r="U1489" s="46"/>
      <c r="V1489" s="46"/>
      <c r="W1489" s="46"/>
    </row>
    <row r="1490" ht="16.5" spans="1:23">
      <c r="A1490" s="46"/>
      <c r="B1490" s="46"/>
      <c r="C1490" s="46"/>
      <c r="D1490" s="46"/>
      <c r="E1490" s="46"/>
      <c r="F1490" s="46"/>
      <c r="G1490" s="46"/>
      <c r="H1490" s="46"/>
      <c r="I1490" s="46"/>
      <c r="J1490" s="46"/>
      <c r="K1490" s="46"/>
      <c r="L1490" s="46"/>
      <c r="M1490" s="46"/>
      <c r="N1490" s="46"/>
      <c r="O1490" s="46"/>
      <c r="P1490" s="46"/>
      <c r="Q1490" s="46"/>
      <c r="R1490" s="46"/>
      <c r="S1490" s="46"/>
      <c r="T1490" s="46"/>
      <c r="U1490" s="46"/>
      <c r="V1490" s="46"/>
      <c r="W1490" s="46"/>
    </row>
    <row r="1491" ht="16.5" spans="1:23">
      <c r="A1491" s="46"/>
      <c r="B1491" s="46"/>
      <c r="C1491" s="46"/>
      <c r="D1491" s="46"/>
      <c r="E1491" s="46"/>
      <c r="F1491" s="46"/>
      <c r="G1491" s="46"/>
      <c r="H1491" s="46"/>
      <c r="I1491" s="46"/>
      <c r="J1491" s="46"/>
      <c r="K1491" s="46"/>
      <c r="L1491" s="46"/>
      <c r="M1491" s="46"/>
      <c r="N1491" s="46"/>
      <c r="O1491" s="46"/>
      <c r="P1491" s="46"/>
      <c r="Q1491" s="46"/>
      <c r="R1491" s="46"/>
      <c r="S1491" s="46"/>
      <c r="T1491" s="46"/>
      <c r="U1491" s="46"/>
      <c r="V1491" s="46"/>
      <c r="W1491" s="46"/>
    </row>
    <row r="1492" ht="16.5" spans="1:23">
      <c r="A1492" s="46"/>
      <c r="B1492" s="46"/>
      <c r="C1492" s="46"/>
      <c r="D1492" s="46"/>
      <c r="E1492" s="46"/>
      <c r="F1492" s="46"/>
      <c r="G1492" s="46"/>
      <c r="H1492" s="46"/>
      <c r="I1492" s="46"/>
      <c r="J1492" s="46"/>
      <c r="K1492" s="46"/>
      <c r="L1492" s="46"/>
      <c r="M1492" s="46"/>
      <c r="N1492" s="46"/>
      <c r="O1492" s="46"/>
      <c r="P1492" s="46"/>
      <c r="Q1492" s="46"/>
      <c r="R1492" s="46"/>
      <c r="S1492" s="46"/>
      <c r="T1492" s="46"/>
      <c r="U1492" s="46"/>
      <c r="V1492" s="46"/>
      <c r="W1492" s="46"/>
    </row>
    <row r="1493" ht="16.5" spans="1:23">
      <c r="A1493" s="46"/>
      <c r="B1493" s="46"/>
      <c r="C1493" s="46"/>
      <c r="D1493" s="46"/>
      <c r="E1493" s="46"/>
      <c r="F1493" s="46"/>
      <c r="G1493" s="46"/>
      <c r="H1493" s="46"/>
      <c r="I1493" s="46"/>
      <c r="J1493" s="46"/>
      <c r="K1493" s="46"/>
      <c r="L1493" s="46"/>
      <c r="M1493" s="46"/>
      <c r="N1493" s="46"/>
      <c r="O1493" s="46"/>
      <c r="P1493" s="46"/>
      <c r="Q1493" s="46"/>
      <c r="R1493" s="46"/>
      <c r="S1493" s="46"/>
      <c r="T1493" s="46"/>
      <c r="U1493" s="46"/>
      <c r="V1493" s="46"/>
      <c r="W1493" s="46"/>
    </row>
    <row r="1494" ht="16.5" spans="1:23">
      <c r="A1494" s="46"/>
      <c r="B1494" s="46"/>
      <c r="C1494" s="46"/>
      <c r="D1494" s="46"/>
      <c r="E1494" s="46"/>
      <c r="F1494" s="46"/>
      <c r="G1494" s="46"/>
      <c r="H1494" s="46"/>
      <c r="I1494" s="46"/>
      <c r="J1494" s="46"/>
      <c r="K1494" s="46"/>
      <c r="L1494" s="46"/>
      <c r="M1494" s="46"/>
      <c r="N1494" s="46"/>
      <c r="O1494" s="46"/>
      <c r="P1494" s="46"/>
      <c r="Q1494" s="46"/>
      <c r="R1494" s="46"/>
      <c r="S1494" s="46"/>
      <c r="T1494" s="46"/>
      <c r="U1494" s="46"/>
      <c r="V1494" s="46"/>
      <c r="W1494" s="46"/>
    </row>
    <row r="1495" ht="16.5" spans="1:23">
      <c r="A1495" s="46"/>
      <c r="B1495" s="46"/>
      <c r="C1495" s="46"/>
      <c r="D1495" s="46"/>
      <c r="E1495" s="46"/>
      <c r="F1495" s="46"/>
      <c r="G1495" s="46"/>
      <c r="H1495" s="46"/>
      <c r="I1495" s="46"/>
      <c r="J1495" s="46"/>
      <c r="K1495" s="46"/>
      <c r="L1495" s="46"/>
      <c r="M1495" s="46"/>
      <c r="N1495" s="46"/>
      <c r="O1495" s="46"/>
      <c r="P1495" s="46"/>
      <c r="Q1495" s="46"/>
      <c r="R1495" s="46"/>
      <c r="S1495" s="46"/>
      <c r="T1495" s="46"/>
      <c r="U1495" s="46"/>
      <c r="V1495" s="46"/>
      <c r="W1495" s="46"/>
    </row>
    <row r="1496" ht="16.5" spans="1:23">
      <c r="A1496" s="46"/>
      <c r="B1496" s="46"/>
      <c r="C1496" s="46"/>
      <c r="D1496" s="46"/>
      <c r="E1496" s="46"/>
      <c r="F1496" s="46"/>
      <c r="G1496" s="46"/>
      <c r="H1496" s="46"/>
      <c r="I1496" s="46"/>
      <c r="J1496" s="46"/>
      <c r="K1496" s="46"/>
      <c r="L1496" s="46"/>
      <c r="M1496" s="46"/>
      <c r="N1496" s="46"/>
      <c r="O1496" s="46"/>
      <c r="P1496" s="46"/>
      <c r="Q1496" s="46"/>
      <c r="R1496" s="46"/>
      <c r="S1496" s="46"/>
      <c r="T1496" s="46"/>
      <c r="U1496" s="46"/>
      <c r="V1496" s="46"/>
      <c r="W1496" s="46"/>
    </row>
    <row r="1497" ht="16.5" spans="1:23">
      <c r="A1497" s="46"/>
      <c r="B1497" s="46"/>
      <c r="C1497" s="46"/>
      <c r="D1497" s="46"/>
      <c r="E1497" s="46"/>
      <c r="F1497" s="46"/>
      <c r="G1497" s="46"/>
      <c r="H1497" s="46"/>
      <c r="I1497" s="46"/>
      <c r="J1497" s="46"/>
      <c r="K1497" s="46"/>
      <c r="L1497" s="46"/>
      <c r="M1497" s="46"/>
      <c r="N1497" s="46"/>
      <c r="O1497" s="46"/>
      <c r="P1497" s="46"/>
      <c r="Q1497" s="46"/>
      <c r="R1497" s="46"/>
      <c r="S1497" s="46"/>
      <c r="T1497" s="46"/>
      <c r="U1497" s="46"/>
      <c r="V1497" s="46"/>
      <c r="W1497" s="46"/>
    </row>
    <row r="1498" ht="16.5" spans="1:23">
      <c r="A1498" s="46"/>
      <c r="B1498" s="46"/>
      <c r="C1498" s="46"/>
      <c r="D1498" s="46"/>
      <c r="E1498" s="46"/>
      <c r="F1498" s="46"/>
      <c r="G1498" s="46"/>
      <c r="H1498" s="46"/>
      <c r="I1498" s="46"/>
      <c r="J1498" s="46"/>
      <c r="K1498" s="46"/>
      <c r="L1498" s="46"/>
      <c r="M1498" s="46"/>
      <c r="N1498" s="46"/>
      <c r="O1498" s="46"/>
      <c r="P1498" s="46"/>
      <c r="Q1498" s="46"/>
      <c r="R1498" s="46"/>
      <c r="S1498" s="46"/>
      <c r="T1498" s="46"/>
      <c r="U1498" s="46"/>
      <c r="V1498" s="46"/>
      <c r="W1498" s="46"/>
    </row>
    <row r="1499" ht="16.5" spans="1:23">
      <c r="A1499" s="46"/>
      <c r="B1499" s="46"/>
      <c r="C1499" s="46"/>
      <c r="D1499" s="46"/>
      <c r="E1499" s="46"/>
      <c r="F1499" s="46"/>
      <c r="G1499" s="46"/>
      <c r="H1499" s="46"/>
      <c r="I1499" s="46"/>
      <c r="J1499" s="46"/>
      <c r="K1499" s="46"/>
      <c r="L1499" s="46"/>
      <c r="M1499" s="46"/>
      <c r="N1499" s="46"/>
      <c r="O1499" s="46"/>
      <c r="P1499" s="46"/>
      <c r="Q1499" s="46"/>
      <c r="R1499" s="46"/>
      <c r="S1499" s="46"/>
      <c r="T1499" s="46"/>
      <c r="U1499" s="46"/>
      <c r="V1499" s="46"/>
      <c r="W1499" s="46"/>
    </row>
    <row r="1500" ht="16.5" spans="1:23">
      <c r="A1500" s="46"/>
      <c r="B1500" s="46"/>
      <c r="C1500" s="46"/>
      <c r="D1500" s="46"/>
      <c r="E1500" s="46"/>
      <c r="F1500" s="46"/>
      <c r="G1500" s="46"/>
      <c r="H1500" s="46"/>
      <c r="I1500" s="46"/>
      <c r="J1500" s="46"/>
      <c r="K1500" s="46"/>
      <c r="L1500" s="46"/>
      <c r="M1500" s="46"/>
      <c r="N1500" s="46"/>
      <c r="O1500" s="46"/>
      <c r="P1500" s="46"/>
      <c r="Q1500" s="46"/>
      <c r="R1500" s="46"/>
      <c r="S1500" s="46"/>
      <c r="T1500" s="46"/>
      <c r="U1500" s="46"/>
      <c r="V1500" s="46"/>
      <c r="W1500" s="46"/>
    </row>
    <row r="1501" ht="16.5" spans="1:23">
      <c r="A1501" s="46"/>
      <c r="B1501" s="46"/>
      <c r="C1501" s="46"/>
      <c r="D1501" s="46"/>
      <c r="E1501" s="46"/>
      <c r="F1501" s="46"/>
      <c r="G1501" s="46"/>
      <c r="H1501" s="46"/>
      <c r="I1501" s="46"/>
      <c r="J1501" s="46"/>
      <c r="K1501" s="46"/>
      <c r="L1501" s="46"/>
      <c r="M1501" s="46"/>
      <c r="N1501" s="46"/>
      <c r="O1501" s="46"/>
      <c r="P1501" s="46"/>
      <c r="Q1501" s="46"/>
      <c r="R1501" s="46"/>
      <c r="S1501" s="46"/>
      <c r="T1501" s="46"/>
      <c r="U1501" s="46"/>
      <c r="V1501" s="46"/>
      <c r="W1501" s="46"/>
    </row>
    <row r="1502" ht="16.5" spans="1:23">
      <c r="A1502" s="46"/>
      <c r="B1502" s="46"/>
      <c r="C1502" s="46"/>
      <c r="D1502" s="46"/>
      <c r="E1502" s="46"/>
      <c r="F1502" s="46"/>
      <c r="G1502" s="46"/>
      <c r="H1502" s="46"/>
      <c r="I1502" s="46"/>
      <c r="J1502" s="46"/>
      <c r="K1502" s="46"/>
      <c r="L1502" s="46"/>
      <c r="M1502" s="46"/>
      <c r="N1502" s="46"/>
      <c r="O1502" s="46"/>
      <c r="P1502" s="46"/>
      <c r="Q1502" s="46"/>
      <c r="R1502" s="46"/>
      <c r="S1502" s="46"/>
      <c r="T1502" s="46"/>
      <c r="U1502" s="46"/>
      <c r="V1502" s="46"/>
      <c r="W1502" s="46"/>
    </row>
    <row r="1503" ht="16.5" spans="1:23">
      <c r="A1503" s="46"/>
      <c r="B1503" s="46"/>
      <c r="C1503" s="46"/>
      <c r="D1503" s="46"/>
      <c r="E1503" s="46"/>
      <c r="F1503" s="46"/>
      <c r="G1503" s="46"/>
      <c r="H1503" s="46"/>
      <c r="I1503" s="46"/>
      <c r="J1503" s="46"/>
      <c r="K1503" s="46"/>
      <c r="L1503" s="46"/>
      <c r="M1503" s="46"/>
      <c r="N1503" s="46"/>
      <c r="O1503" s="46"/>
      <c r="P1503" s="46"/>
      <c r="Q1503" s="46"/>
      <c r="R1503" s="46"/>
      <c r="S1503" s="46"/>
      <c r="T1503" s="46"/>
      <c r="U1503" s="46"/>
      <c r="V1503" s="46"/>
      <c r="W1503" s="46"/>
    </row>
    <row r="1504" ht="16.5" spans="1:23">
      <c r="A1504" s="46"/>
      <c r="B1504" s="46"/>
      <c r="C1504" s="46"/>
      <c r="D1504" s="46"/>
      <c r="E1504" s="46"/>
      <c r="F1504" s="46"/>
      <c r="G1504" s="46"/>
      <c r="H1504" s="46"/>
      <c r="I1504" s="46"/>
      <c r="J1504" s="46"/>
      <c r="K1504" s="46"/>
      <c r="L1504" s="46"/>
      <c r="M1504" s="46"/>
      <c r="N1504" s="46"/>
      <c r="O1504" s="46"/>
      <c r="P1504" s="46"/>
      <c r="Q1504" s="46"/>
      <c r="R1504" s="46"/>
      <c r="S1504" s="46"/>
      <c r="T1504" s="46"/>
      <c r="U1504" s="46"/>
      <c r="V1504" s="46"/>
      <c r="W1504" s="46"/>
    </row>
    <row r="1505" ht="16.5" spans="1:23">
      <c r="A1505" s="46"/>
      <c r="B1505" s="46"/>
      <c r="C1505" s="46"/>
      <c r="D1505" s="46"/>
      <c r="E1505" s="46"/>
      <c r="F1505" s="46"/>
      <c r="G1505" s="46"/>
      <c r="H1505" s="46"/>
      <c r="I1505" s="46"/>
      <c r="J1505" s="46"/>
      <c r="K1505" s="46"/>
      <c r="L1505" s="46"/>
      <c r="M1505" s="46"/>
      <c r="N1505" s="46"/>
      <c r="O1505" s="46"/>
      <c r="P1505" s="46"/>
      <c r="Q1505" s="46"/>
      <c r="R1505" s="46"/>
      <c r="S1505" s="46"/>
      <c r="T1505" s="46"/>
      <c r="U1505" s="46"/>
      <c r="V1505" s="46"/>
      <c r="W1505" s="46"/>
    </row>
    <row r="1506" ht="16.5" spans="1:23">
      <c r="A1506" s="46"/>
      <c r="B1506" s="46"/>
      <c r="C1506" s="46"/>
      <c r="D1506" s="46"/>
      <c r="E1506" s="46"/>
      <c r="F1506" s="46"/>
      <c r="G1506" s="46"/>
      <c r="H1506" s="46"/>
      <c r="I1506" s="46"/>
      <c r="J1506" s="46"/>
      <c r="K1506" s="46"/>
      <c r="L1506" s="46"/>
      <c r="M1506" s="46"/>
      <c r="N1506" s="46"/>
      <c r="O1506" s="46"/>
      <c r="P1506" s="46"/>
      <c r="Q1506" s="46"/>
      <c r="R1506" s="46"/>
      <c r="S1506" s="46"/>
      <c r="T1506" s="46"/>
      <c r="U1506" s="46"/>
      <c r="V1506" s="46"/>
      <c r="W1506" s="46"/>
    </row>
    <row r="1507" ht="16.5" spans="1:23">
      <c r="A1507" s="46"/>
      <c r="B1507" s="46"/>
      <c r="C1507" s="46"/>
      <c r="D1507" s="46"/>
      <c r="E1507" s="46"/>
      <c r="F1507" s="46"/>
      <c r="G1507" s="46"/>
      <c r="H1507" s="46"/>
      <c r="I1507" s="46"/>
      <c r="J1507" s="46"/>
      <c r="K1507" s="46"/>
      <c r="L1507" s="46"/>
      <c r="M1507" s="46"/>
      <c r="N1507" s="46"/>
      <c r="O1507" s="46"/>
      <c r="P1507" s="46"/>
      <c r="Q1507" s="46"/>
      <c r="R1507" s="46"/>
      <c r="S1507" s="46"/>
      <c r="T1507" s="46"/>
      <c r="U1507" s="46"/>
      <c r="V1507" s="46"/>
      <c r="W1507" s="46"/>
    </row>
    <row r="1508" ht="16.5" spans="1:23">
      <c r="A1508" s="46"/>
      <c r="B1508" s="46"/>
      <c r="C1508" s="46"/>
      <c r="D1508" s="46"/>
      <c r="E1508" s="46"/>
      <c r="F1508" s="46"/>
      <c r="G1508" s="46"/>
      <c r="H1508" s="46"/>
      <c r="I1508" s="46"/>
      <c r="J1508" s="46"/>
      <c r="K1508" s="46"/>
      <c r="L1508" s="46"/>
      <c r="M1508" s="46"/>
      <c r="N1508" s="46"/>
      <c r="O1508" s="46"/>
      <c r="P1508" s="46"/>
      <c r="Q1508" s="46"/>
      <c r="R1508" s="46"/>
      <c r="S1508" s="46"/>
      <c r="T1508" s="46"/>
      <c r="U1508" s="46"/>
      <c r="V1508" s="46"/>
      <c r="W1508" s="46"/>
    </row>
    <row r="1509" ht="16.5" spans="1:23">
      <c r="A1509" s="46"/>
      <c r="B1509" s="46"/>
      <c r="C1509" s="46"/>
      <c r="D1509" s="46"/>
      <c r="E1509" s="46"/>
      <c r="F1509" s="46"/>
      <c r="G1509" s="46"/>
      <c r="H1509" s="46"/>
      <c r="I1509" s="46"/>
      <c r="J1509" s="46"/>
      <c r="K1509" s="46"/>
      <c r="L1509" s="46"/>
      <c r="M1509" s="46"/>
      <c r="N1509" s="46"/>
      <c r="O1509" s="46"/>
      <c r="P1509" s="46"/>
      <c r="Q1509" s="46"/>
      <c r="R1509" s="46"/>
      <c r="S1509" s="46"/>
      <c r="T1509" s="46"/>
      <c r="U1509" s="46"/>
      <c r="V1509" s="46"/>
      <c r="W1509" s="46"/>
    </row>
    <row r="1510" ht="16.5" spans="1:23">
      <c r="A1510" s="46"/>
      <c r="B1510" s="46"/>
      <c r="C1510" s="46"/>
      <c r="D1510" s="46"/>
      <c r="E1510" s="46"/>
      <c r="F1510" s="46"/>
      <c r="G1510" s="46"/>
      <c r="H1510" s="46"/>
      <c r="I1510" s="46"/>
      <c r="J1510" s="46"/>
      <c r="K1510" s="46"/>
      <c r="L1510" s="46"/>
      <c r="M1510" s="46"/>
      <c r="N1510" s="46"/>
      <c r="O1510" s="46"/>
      <c r="P1510" s="46"/>
      <c r="Q1510" s="46"/>
      <c r="R1510" s="46"/>
      <c r="S1510" s="46"/>
      <c r="T1510" s="46"/>
      <c r="U1510" s="46"/>
      <c r="V1510" s="46"/>
      <c r="W1510" s="46"/>
    </row>
    <row r="1511" ht="16.5" spans="1:23">
      <c r="A1511" s="46"/>
      <c r="B1511" s="46"/>
      <c r="C1511" s="46"/>
      <c r="D1511" s="46"/>
      <c r="E1511" s="46"/>
      <c r="F1511" s="46"/>
      <c r="G1511" s="46"/>
      <c r="H1511" s="46"/>
      <c r="I1511" s="46"/>
      <c r="J1511" s="46"/>
      <c r="K1511" s="46"/>
      <c r="L1511" s="46"/>
      <c r="M1511" s="46"/>
      <c r="N1511" s="46"/>
      <c r="O1511" s="46"/>
      <c r="P1511" s="46"/>
      <c r="Q1511" s="46"/>
      <c r="R1511" s="46"/>
      <c r="S1511" s="46"/>
      <c r="T1511" s="46"/>
      <c r="U1511" s="46"/>
      <c r="V1511" s="46"/>
      <c r="W1511" s="46"/>
    </row>
    <row r="1512" ht="16.5" spans="1:23">
      <c r="A1512" s="46"/>
      <c r="B1512" s="46"/>
      <c r="C1512" s="46"/>
      <c r="D1512" s="46"/>
      <c r="E1512" s="46"/>
      <c r="F1512" s="46"/>
      <c r="G1512" s="46"/>
      <c r="H1512" s="46"/>
      <c r="I1512" s="46"/>
      <c r="J1512" s="46"/>
      <c r="K1512" s="46"/>
      <c r="L1512" s="46"/>
      <c r="M1512" s="46"/>
      <c r="N1512" s="46"/>
      <c r="O1512" s="46"/>
      <c r="P1512" s="46"/>
      <c r="Q1512" s="46"/>
      <c r="R1512" s="46"/>
      <c r="S1512" s="46"/>
      <c r="T1512" s="46"/>
      <c r="U1512" s="46"/>
      <c r="V1512" s="46"/>
      <c r="W1512" s="46"/>
    </row>
    <row r="1513" ht="16.5" spans="1:23">
      <c r="A1513" s="46"/>
      <c r="B1513" s="46"/>
      <c r="C1513" s="46"/>
      <c r="D1513" s="46"/>
      <c r="E1513" s="46"/>
      <c r="F1513" s="46"/>
      <c r="G1513" s="46"/>
      <c r="H1513" s="46"/>
      <c r="I1513" s="46"/>
      <c r="J1513" s="46"/>
      <c r="K1513" s="46"/>
      <c r="L1513" s="46"/>
      <c r="M1513" s="46"/>
      <c r="N1513" s="46"/>
      <c r="O1513" s="46"/>
      <c r="P1513" s="46"/>
      <c r="Q1513" s="46"/>
      <c r="R1513" s="46"/>
      <c r="S1513" s="46"/>
      <c r="T1513" s="46"/>
      <c r="U1513" s="46"/>
      <c r="V1513" s="46"/>
      <c r="W1513" s="46"/>
    </row>
    <row r="1514" ht="16.5" spans="1:23">
      <c r="A1514" s="46"/>
      <c r="B1514" s="46"/>
      <c r="C1514" s="46"/>
      <c r="D1514" s="46"/>
      <c r="E1514" s="46"/>
      <c r="F1514" s="46"/>
      <c r="G1514" s="46"/>
      <c r="H1514" s="46"/>
      <c r="I1514" s="46"/>
      <c r="J1514" s="46"/>
      <c r="K1514" s="46"/>
      <c r="L1514" s="46"/>
      <c r="M1514" s="46"/>
      <c r="N1514" s="46"/>
      <c r="O1514" s="46"/>
      <c r="P1514" s="46"/>
      <c r="Q1514" s="46"/>
      <c r="R1514" s="46"/>
      <c r="S1514" s="46"/>
      <c r="T1514" s="46"/>
      <c r="U1514" s="46"/>
      <c r="V1514" s="46"/>
      <c r="W1514" s="46"/>
    </row>
    <row r="1515" ht="16.5" spans="1:23">
      <c r="A1515" s="46"/>
      <c r="B1515" s="46"/>
      <c r="C1515" s="46"/>
      <c r="D1515" s="46"/>
      <c r="E1515" s="46"/>
      <c r="F1515" s="46"/>
      <c r="G1515" s="46"/>
      <c r="H1515" s="46"/>
      <c r="I1515" s="46"/>
      <c r="J1515" s="46"/>
      <c r="K1515" s="46"/>
      <c r="L1515" s="46"/>
      <c r="M1515" s="46"/>
      <c r="N1515" s="46"/>
      <c r="O1515" s="46"/>
      <c r="P1515" s="46"/>
      <c r="Q1515" s="46"/>
      <c r="R1515" s="46"/>
      <c r="S1515" s="46"/>
      <c r="T1515" s="46"/>
      <c r="U1515" s="46"/>
      <c r="V1515" s="46"/>
      <c r="W1515" s="46"/>
    </row>
    <row r="1516" ht="16.5" spans="1:23">
      <c r="A1516" s="46"/>
      <c r="B1516" s="46"/>
      <c r="C1516" s="46"/>
      <c r="D1516" s="46"/>
      <c r="E1516" s="46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  <c r="P1516" s="46"/>
      <c r="Q1516" s="46"/>
      <c r="R1516" s="46"/>
      <c r="S1516" s="46"/>
      <c r="T1516" s="46"/>
      <c r="U1516" s="46"/>
      <c r="V1516" s="46"/>
      <c r="W1516" s="46"/>
    </row>
    <row r="1517" ht="16.5" spans="1:23">
      <c r="A1517" s="46"/>
      <c r="B1517" s="46"/>
      <c r="C1517" s="46"/>
      <c r="D1517" s="46"/>
      <c r="E1517" s="46"/>
      <c r="F1517" s="46"/>
      <c r="G1517" s="46"/>
      <c r="H1517" s="46"/>
      <c r="I1517" s="46"/>
      <c r="J1517" s="46"/>
      <c r="K1517" s="46"/>
      <c r="L1517" s="46"/>
      <c r="M1517" s="46"/>
      <c r="N1517" s="46"/>
      <c r="O1517" s="46"/>
      <c r="P1517" s="46"/>
      <c r="Q1517" s="46"/>
      <c r="R1517" s="46"/>
      <c r="S1517" s="46"/>
      <c r="T1517" s="46"/>
      <c r="U1517" s="46"/>
      <c r="V1517" s="46"/>
      <c r="W1517" s="46"/>
    </row>
    <row r="1518" ht="16.5" spans="1:23">
      <c r="A1518" s="46"/>
      <c r="B1518" s="46"/>
      <c r="C1518" s="46"/>
      <c r="D1518" s="46"/>
      <c r="E1518" s="46"/>
      <c r="F1518" s="46"/>
      <c r="G1518" s="46"/>
      <c r="H1518" s="46"/>
      <c r="I1518" s="46"/>
      <c r="J1518" s="46"/>
      <c r="K1518" s="46"/>
      <c r="L1518" s="46"/>
      <c r="M1518" s="46"/>
      <c r="N1518" s="46"/>
      <c r="O1518" s="46"/>
      <c r="P1518" s="46"/>
      <c r="Q1518" s="46"/>
      <c r="R1518" s="46"/>
      <c r="S1518" s="46"/>
      <c r="T1518" s="46"/>
      <c r="U1518" s="46"/>
      <c r="V1518" s="46"/>
      <c r="W1518" s="46"/>
    </row>
    <row r="1519" ht="16.5" spans="1:23">
      <c r="A1519" s="46"/>
      <c r="B1519" s="46"/>
      <c r="C1519" s="46"/>
      <c r="D1519" s="46"/>
      <c r="E1519" s="46"/>
      <c r="F1519" s="46"/>
      <c r="G1519" s="46"/>
      <c r="H1519" s="46"/>
      <c r="I1519" s="46"/>
      <c r="J1519" s="46"/>
      <c r="K1519" s="46"/>
      <c r="L1519" s="46"/>
      <c r="M1519" s="46"/>
      <c r="N1519" s="46"/>
      <c r="O1519" s="46"/>
      <c r="P1519" s="46"/>
      <c r="Q1519" s="46"/>
      <c r="R1519" s="46"/>
      <c r="S1519" s="46"/>
      <c r="T1519" s="46"/>
      <c r="U1519" s="46"/>
      <c r="V1519" s="46"/>
      <c r="W1519" s="46"/>
    </row>
    <row r="1520" ht="16.5" spans="1:23">
      <c r="A1520" s="46"/>
      <c r="B1520" s="46"/>
      <c r="C1520" s="46"/>
      <c r="D1520" s="46"/>
      <c r="E1520" s="46"/>
      <c r="F1520" s="46"/>
      <c r="G1520" s="46"/>
      <c r="H1520" s="46"/>
      <c r="I1520" s="46"/>
      <c r="J1520" s="46"/>
      <c r="K1520" s="46"/>
      <c r="L1520" s="46"/>
      <c r="M1520" s="46"/>
      <c r="N1520" s="46"/>
      <c r="O1520" s="46"/>
      <c r="P1520" s="46"/>
      <c r="Q1520" s="46"/>
      <c r="R1520" s="46"/>
      <c r="S1520" s="46"/>
      <c r="T1520" s="46"/>
      <c r="U1520" s="46"/>
      <c r="V1520" s="46"/>
      <c r="W1520" s="46"/>
    </row>
    <row r="1521" ht="16.5" spans="1:23">
      <c r="A1521" s="46"/>
      <c r="B1521" s="46"/>
      <c r="C1521" s="46"/>
      <c r="D1521" s="46"/>
      <c r="E1521" s="46"/>
      <c r="F1521" s="46"/>
      <c r="G1521" s="46"/>
      <c r="H1521" s="46"/>
      <c r="I1521" s="46"/>
      <c r="J1521" s="46"/>
      <c r="K1521" s="46"/>
      <c r="L1521" s="46"/>
      <c r="M1521" s="46"/>
      <c r="N1521" s="46"/>
      <c r="O1521" s="46"/>
      <c r="P1521" s="46"/>
      <c r="Q1521" s="46"/>
      <c r="R1521" s="46"/>
      <c r="S1521" s="46"/>
      <c r="T1521" s="46"/>
      <c r="U1521" s="46"/>
      <c r="V1521" s="46"/>
      <c r="W1521" s="46"/>
    </row>
    <row r="1522" ht="16.5" spans="1:23">
      <c r="A1522" s="46"/>
      <c r="B1522" s="46"/>
      <c r="C1522" s="46"/>
      <c r="D1522" s="46"/>
      <c r="E1522" s="46"/>
      <c r="F1522" s="46"/>
      <c r="G1522" s="46"/>
      <c r="H1522" s="46"/>
      <c r="I1522" s="46"/>
      <c r="J1522" s="46"/>
      <c r="K1522" s="46"/>
      <c r="L1522" s="46"/>
      <c r="M1522" s="46"/>
      <c r="N1522" s="46"/>
      <c r="O1522" s="46"/>
      <c r="P1522" s="46"/>
      <c r="Q1522" s="46"/>
      <c r="R1522" s="46"/>
      <c r="S1522" s="46"/>
      <c r="T1522" s="46"/>
      <c r="U1522" s="46"/>
      <c r="V1522" s="46"/>
      <c r="W1522" s="46"/>
    </row>
    <row r="1523" ht="16.5" spans="1:23">
      <c r="A1523" s="46"/>
      <c r="B1523" s="46"/>
      <c r="C1523" s="46"/>
      <c r="D1523" s="46"/>
      <c r="E1523" s="46"/>
      <c r="F1523" s="46"/>
      <c r="G1523" s="46"/>
      <c r="H1523" s="46"/>
      <c r="I1523" s="46"/>
      <c r="J1523" s="46"/>
      <c r="K1523" s="46"/>
      <c r="L1523" s="46"/>
      <c r="M1523" s="46"/>
      <c r="N1523" s="46"/>
      <c r="O1523" s="46"/>
      <c r="P1523" s="46"/>
      <c r="Q1523" s="46"/>
      <c r="R1523" s="46"/>
      <c r="S1523" s="46"/>
      <c r="T1523" s="46"/>
      <c r="U1523" s="46"/>
      <c r="V1523" s="46"/>
      <c r="W1523" s="46"/>
    </row>
    <row r="1524" ht="16.5" spans="1:23">
      <c r="A1524" s="46"/>
      <c r="B1524" s="46"/>
      <c r="C1524" s="46"/>
      <c r="D1524" s="46"/>
      <c r="E1524" s="46"/>
      <c r="F1524" s="46"/>
      <c r="G1524" s="46"/>
      <c r="H1524" s="46"/>
      <c r="I1524" s="46"/>
      <c r="J1524" s="46"/>
      <c r="K1524" s="46"/>
      <c r="L1524" s="46"/>
      <c r="M1524" s="46"/>
      <c r="N1524" s="46"/>
      <c r="O1524" s="46"/>
      <c r="P1524" s="46"/>
      <c r="Q1524" s="46"/>
      <c r="R1524" s="46"/>
      <c r="S1524" s="46"/>
      <c r="T1524" s="46"/>
      <c r="U1524" s="46"/>
      <c r="V1524" s="46"/>
      <c r="W1524" s="46"/>
    </row>
    <row r="1525" ht="16.5" spans="1:23">
      <c r="A1525" s="46"/>
      <c r="B1525" s="46"/>
      <c r="C1525" s="46"/>
      <c r="D1525" s="46"/>
      <c r="E1525" s="46"/>
      <c r="F1525" s="46"/>
      <c r="G1525" s="46"/>
      <c r="H1525" s="46"/>
      <c r="I1525" s="46"/>
      <c r="J1525" s="46"/>
      <c r="K1525" s="46"/>
      <c r="L1525" s="46"/>
      <c r="M1525" s="46"/>
      <c r="N1525" s="46"/>
      <c r="O1525" s="46"/>
      <c r="P1525" s="46"/>
      <c r="Q1525" s="46"/>
      <c r="R1525" s="46"/>
      <c r="S1525" s="46"/>
      <c r="T1525" s="46"/>
      <c r="U1525" s="46"/>
      <c r="V1525" s="46"/>
      <c r="W1525" s="46"/>
    </row>
    <row r="1526" ht="16.5" spans="1:23">
      <c r="A1526" s="46"/>
      <c r="B1526" s="46"/>
      <c r="C1526" s="46"/>
      <c r="D1526" s="46"/>
      <c r="E1526" s="46"/>
      <c r="F1526" s="46"/>
      <c r="G1526" s="46"/>
      <c r="H1526" s="46"/>
      <c r="I1526" s="46"/>
      <c r="J1526" s="46"/>
      <c r="K1526" s="46"/>
      <c r="L1526" s="46"/>
      <c r="M1526" s="46"/>
      <c r="N1526" s="46"/>
      <c r="O1526" s="46"/>
      <c r="P1526" s="46"/>
      <c r="Q1526" s="46"/>
      <c r="R1526" s="46"/>
      <c r="S1526" s="46"/>
      <c r="T1526" s="46"/>
      <c r="U1526" s="46"/>
      <c r="V1526" s="46"/>
      <c r="W1526" s="46"/>
    </row>
    <row r="1527" ht="16.5" spans="1:23">
      <c r="A1527" s="46"/>
      <c r="B1527" s="46"/>
      <c r="C1527" s="46"/>
      <c r="D1527" s="46"/>
      <c r="E1527" s="46"/>
      <c r="F1527" s="46"/>
      <c r="G1527" s="46"/>
      <c r="H1527" s="46"/>
      <c r="I1527" s="46"/>
      <c r="J1527" s="46"/>
      <c r="K1527" s="46"/>
      <c r="L1527" s="46"/>
      <c r="M1527" s="46"/>
      <c r="N1527" s="46"/>
      <c r="O1527" s="46"/>
      <c r="P1527" s="46"/>
      <c r="Q1527" s="46"/>
      <c r="R1527" s="46"/>
      <c r="S1527" s="46"/>
      <c r="T1527" s="46"/>
      <c r="U1527" s="46"/>
      <c r="V1527" s="46"/>
      <c r="W1527" s="46"/>
    </row>
    <row r="1528" ht="16.5" spans="1:23">
      <c r="A1528" s="46"/>
      <c r="B1528" s="46"/>
      <c r="C1528" s="46"/>
      <c r="D1528" s="46"/>
      <c r="E1528" s="46"/>
      <c r="F1528" s="46"/>
      <c r="G1528" s="46"/>
      <c r="H1528" s="46"/>
      <c r="I1528" s="46"/>
      <c r="J1528" s="46"/>
      <c r="K1528" s="46"/>
      <c r="L1528" s="46"/>
      <c r="M1528" s="46"/>
      <c r="N1528" s="46"/>
      <c r="O1528" s="46"/>
      <c r="P1528" s="46"/>
      <c r="Q1528" s="46"/>
      <c r="R1528" s="46"/>
      <c r="S1528" s="46"/>
      <c r="T1528" s="46"/>
      <c r="U1528" s="46"/>
      <c r="V1528" s="46"/>
      <c r="W1528" s="46"/>
    </row>
    <row r="1529" ht="16.5" spans="1:23">
      <c r="A1529" s="46"/>
      <c r="B1529" s="46"/>
      <c r="C1529" s="46"/>
      <c r="D1529" s="46"/>
      <c r="E1529" s="46"/>
      <c r="F1529" s="46"/>
      <c r="G1529" s="46"/>
      <c r="H1529" s="46"/>
      <c r="I1529" s="46"/>
      <c r="J1529" s="46"/>
      <c r="K1529" s="46"/>
      <c r="L1529" s="46"/>
      <c r="M1529" s="46"/>
      <c r="N1529" s="46"/>
      <c r="O1529" s="46"/>
      <c r="P1529" s="46"/>
      <c r="Q1529" s="46"/>
      <c r="R1529" s="46"/>
      <c r="S1529" s="46"/>
      <c r="T1529" s="46"/>
      <c r="U1529" s="46"/>
      <c r="V1529" s="46"/>
      <c r="W1529" s="46"/>
    </row>
    <row r="1530" ht="16.5" spans="1:23">
      <c r="A1530" s="46"/>
      <c r="B1530" s="46"/>
      <c r="C1530" s="46"/>
      <c r="D1530" s="46"/>
      <c r="E1530" s="46"/>
      <c r="F1530" s="46"/>
      <c r="G1530" s="46"/>
      <c r="H1530" s="46"/>
      <c r="I1530" s="46"/>
      <c r="J1530" s="46"/>
      <c r="K1530" s="46"/>
      <c r="L1530" s="46"/>
      <c r="M1530" s="46"/>
      <c r="N1530" s="46"/>
      <c r="O1530" s="46"/>
      <c r="P1530" s="46"/>
      <c r="Q1530" s="46"/>
      <c r="R1530" s="46"/>
      <c r="S1530" s="46"/>
      <c r="T1530" s="46"/>
      <c r="U1530" s="46"/>
      <c r="V1530" s="46"/>
      <c r="W1530" s="46"/>
    </row>
    <row r="1531" ht="16.5" spans="1:23">
      <c r="A1531" s="46"/>
      <c r="B1531" s="46"/>
      <c r="C1531" s="46"/>
      <c r="D1531" s="46"/>
      <c r="E1531" s="46"/>
      <c r="F1531" s="46"/>
      <c r="G1531" s="46"/>
      <c r="H1531" s="46"/>
      <c r="I1531" s="46"/>
      <c r="J1531" s="46"/>
      <c r="K1531" s="46"/>
      <c r="L1531" s="46"/>
      <c r="M1531" s="46"/>
      <c r="N1531" s="46"/>
      <c r="O1531" s="46"/>
      <c r="P1531" s="46"/>
      <c r="Q1531" s="46"/>
      <c r="R1531" s="46"/>
      <c r="S1531" s="46"/>
      <c r="T1531" s="46"/>
      <c r="U1531" s="46"/>
      <c r="V1531" s="46"/>
      <c r="W1531" s="46"/>
    </row>
    <row r="1532" ht="16.5" spans="1:23">
      <c r="A1532" s="46"/>
      <c r="B1532" s="46"/>
      <c r="C1532" s="46"/>
      <c r="D1532" s="46"/>
      <c r="E1532" s="46"/>
      <c r="F1532" s="46"/>
      <c r="G1532" s="46"/>
      <c r="H1532" s="46"/>
      <c r="I1532" s="46"/>
      <c r="J1532" s="46"/>
      <c r="K1532" s="46"/>
      <c r="L1532" s="46"/>
      <c r="M1532" s="46"/>
      <c r="N1532" s="46"/>
      <c r="O1532" s="46"/>
      <c r="P1532" s="46"/>
      <c r="Q1532" s="46"/>
      <c r="R1532" s="46"/>
      <c r="S1532" s="46"/>
      <c r="T1532" s="46"/>
      <c r="U1532" s="46"/>
      <c r="V1532" s="46"/>
      <c r="W1532" s="46"/>
    </row>
    <row r="1533" ht="16.5" spans="1:23">
      <c r="A1533" s="46"/>
      <c r="B1533" s="46"/>
      <c r="C1533" s="46"/>
      <c r="D1533" s="46"/>
      <c r="E1533" s="46"/>
      <c r="F1533" s="46"/>
      <c r="G1533" s="46"/>
      <c r="H1533" s="46"/>
      <c r="I1533" s="46"/>
      <c r="J1533" s="46"/>
      <c r="K1533" s="46"/>
      <c r="L1533" s="46"/>
      <c r="M1533" s="46"/>
      <c r="N1533" s="46"/>
      <c r="O1533" s="46"/>
      <c r="P1533" s="46"/>
      <c r="Q1533" s="46"/>
      <c r="R1533" s="46"/>
      <c r="S1533" s="46"/>
      <c r="T1533" s="46"/>
      <c r="U1533" s="46"/>
      <c r="V1533" s="46"/>
      <c r="W1533" s="46"/>
    </row>
    <row r="1534" ht="16.5" spans="1:23">
      <c r="A1534" s="46"/>
      <c r="B1534" s="46"/>
      <c r="C1534" s="46"/>
      <c r="D1534" s="46"/>
      <c r="E1534" s="46"/>
      <c r="F1534" s="46"/>
      <c r="G1534" s="46"/>
      <c r="H1534" s="46"/>
      <c r="I1534" s="46"/>
      <c r="J1534" s="46"/>
      <c r="K1534" s="46"/>
      <c r="L1534" s="46"/>
      <c r="M1534" s="46"/>
      <c r="N1534" s="46"/>
      <c r="O1534" s="46"/>
      <c r="P1534" s="46"/>
      <c r="Q1534" s="46"/>
      <c r="R1534" s="46"/>
      <c r="S1534" s="46"/>
      <c r="T1534" s="46"/>
      <c r="U1534" s="46"/>
      <c r="V1534" s="46"/>
      <c r="W1534" s="46"/>
    </row>
    <row r="1535" ht="16.5" spans="1:23">
      <c r="A1535" s="46"/>
      <c r="B1535" s="46"/>
      <c r="C1535" s="46"/>
      <c r="D1535" s="46"/>
      <c r="E1535" s="46"/>
      <c r="F1535" s="46"/>
      <c r="G1535" s="46"/>
      <c r="H1535" s="46"/>
      <c r="I1535" s="46"/>
      <c r="J1535" s="46"/>
      <c r="K1535" s="46"/>
      <c r="L1535" s="46"/>
      <c r="M1535" s="46"/>
      <c r="N1535" s="46"/>
      <c r="O1535" s="46"/>
      <c r="P1535" s="46"/>
      <c r="Q1535" s="46"/>
      <c r="R1535" s="46"/>
      <c r="S1535" s="46"/>
      <c r="T1535" s="46"/>
      <c r="U1535" s="46"/>
      <c r="V1535" s="46"/>
      <c r="W1535" s="46"/>
    </row>
    <row r="1536" ht="16.5" spans="1:23">
      <c r="A1536" s="46"/>
      <c r="B1536" s="46"/>
      <c r="C1536" s="46"/>
      <c r="D1536" s="46"/>
      <c r="E1536" s="46"/>
      <c r="F1536" s="46"/>
      <c r="G1536" s="46"/>
      <c r="H1536" s="46"/>
      <c r="I1536" s="46"/>
      <c r="J1536" s="46"/>
      <c r="K1536" s="46"/>
      <c r="L1536" s="46"/>
      <c r="M1536" s="46"/>
      <c r="N1536" s="46"/>
      <c r="O1536" s="46"/>
      <c r="P1536" s="46"/>
      <c r="Q1536" s="46"/>
      <c r="R1536" s="46"/>
      <c r="S1536" s="46"/>
      <c r="T1536" s="46"/>
      <c r="U1536" s="46"/>
      <c r="V1536" s="46"/>
      <c r="W1536" s="46"/>
    </row>
    <row r="1537" ht="16.5" spans="1:23">
      <c r="A1537" s="46"/>
      <c r="B1537" s="46"/>
      <c r="C1537" s="46"/>
      <c r="D1537" s="46"/>
      <c r="E1537" s="46"/>
      <c r="F1537" s="46"/>
      <c r="G1537" s="46"/>
      <c r="H1537" s="46"/>
      <c r="I1537" s="46"/>
      <c r="J1537" s="46"/>
      <c r="K1537" s="46"/>
      <c r="L1537" s="46"/>
      <c r="M1537" s="46"/>
      <c r="N1537" s="46"/>
      <c r="O1537" s="46"/>
      <c r="P1537" s="46"/>
      <c r="Q1537" s="46"/>
      <c r="R1537" s="46"/>
      <c r="S1537" s="46"/>
      <c r="T1537" s="46"/>
      <c r="U1537" s="46"/>
      <c r="V1537" s="46"/>
      <c r="W1537" s="46"/>
    </row>
    <row r="1538" ht="16.5" spans="1:23">
      <c r="A1538" s="46"/>
      <c r="B1538" s="46"/>
      <c r="C1538" s="46"/>
      <c r="D1538" s="46"/>
      <c r="E1538" s="46"/>
      <c r="F1538" s="46"/>
      <c r="G1538" s="46"/>
      <c r="H1538" s="46"/>
      <c r="I1538" s="46"/>
      <c r="J1538" s="46"/>
      <c r="K1538" s="46"/>
      <c r="L1538" s="46"/>
      <c r="M1538" s="46"/>
      <c r="N1538" s="46"/>
      <c r="O1538" s="46"/>
      <c r="P1538" s="46"/>
      <c r="Q1538" s="46"/>
      <c r="R1538" s="46"/>
      <c r="S1538" s="46"/>
      <c r="T1538" s="46"/>
      <c r="U1538" s="46"/>
      <c r="V1538" s="46"/>
      <c r="W1538" s="46"/>
    </row>
    <row r="1539" ht="16.5" spans="1:23">
      <c r="A1539" s="46"/>
      <c r="B1539" s="46"/>
      <c r="C1539" s="46"/>
      <c r="D1539" s="46"/>
      <c r="E1539" s="46"/>
      <c r="F1539" s="46"/>
      <c r="G1539" s="46"/>
      <c r="H1539" s="46"/>
      <c r="I1539" s="46"/>
      <c r="J1539" s="46"/>
      <c r="K1539" s="46"/>
      <c r="L1539" s="46"/>
      <c r="M1539" s="46"/>
      <c r="N1539" s="46"/>
      <c r="O1539" s="46"/>
      <c r="P1539" s="46"/>
      <c r="Q1539" s="46"/>
      <c r="R1539" s="46"/>
      <c r="S1539" s="46"/>
      <c r="T1539" s="46"/>
      <c r="U1539" s="46"/>
      <c r="V1539" s="46"/>
      <c r="W1539" s="46"/>
    </row>
    <row r="1540" ht="16.5" spans="1:23">
      <c r="A1540" s="46"/>
      <c r="B1540" s="46"/>
      <c r="C1540" s="46"/>
      <c r="D1540" s="46"/>
      <c r="E1540" s="46"/>
      <c r="F1540" s="46"/>
      <c r="G1540" s="46"/>
      <c r="H1540" s="46"/>
      <c r="I1540" s="46"/>
      <c r="J1540" s="46"/>
      <c r="K1540" s="46"/>
      <c r="L1540" s="46"/>
      <c r="M1540" s="46"/>
      <c r="N1540" s="46"/>
      <c r="O1540" s="46"/>
      <c r="P1540" s="46"/>
      <c r="Q1540" s="46"/>
      <c r="R1540" s="46"/>
      <c r="S1540" s="46"/>
      <c r="T1540" s="46"/>
      <c r="U1540" s="46"/>
      <c r="V1540" s="46"/>
      <c r="W1540" s="46"/>
    </row>
    <row r="1541" ht="16.5" spans="1:23">
      <c r="A1541" s="46"/>
      <c r="B1541" s="46"/>
      <c r="C1541" s="46"/>
      <c r="D1541" s="46"/>
      <c r="E1541" s="46"/>
      <c r="F1541" s="46"/>
      <c r="G1541" s="46"/>
      <c r="H1541" s="46"/>
      <c r="I1541" s="46"/>
      <c r="J1541" s="46"/>
      <c r="K1541" s="46"/>
      <c r="L1541" s="46"/>
      <c r="M1541" s="46"/>
      <c r="N1541" s="46"/>
      <c r="O1541" s="46"/>
      <c r="P1541" s="46"/>
      <c r="Q1541" s="46"/>
      <c r="R1541" s="46"/>
      <c r="S1541" s="46"/>
      <c r="T1541" s="46"/>
      <c r="U1541" s="46"/>
      <c r="V1541" s="46"/>
      <c r="W1541" s="46"/>
    </row>
    <row r="1542" ht="16.5" spans="1:23">
      <c r="A1542" s="46"/>
      <c r="B1542" s="46"/>
      <c r="C1542" s="46"/>
      <c r="D1542" s="46"/>
      <c r="E1542" s="46"/>
      <c r="F1542" s="46"/>
      <c r="G1542" s="46"/>
      <c r="H1542" s="46"/>
      <c r="I1542" s="46"/>
      <c r="J1542" s="46"/>
      <c r="K1542" s="46"/>
      <c r="L1542" s="46"/>
      <c r="M1542" s="46"/>
      <c r="N1542" s="46"/>
      <c r="O1542" s="46"/>
      <c r="P1542" s="46"/>
      <c r="Q1542" s="46"/>
      <c r="R1542" s="46"/>
      <c r="S1542" s="46"/>
      <c r="T1542" s="46"/>
      <c r="U1542" s="46"/>
      <c r="V1542" s="46"/>
      <c r="W1542" s="46"/>
    </row>
    <row r="1543" ht="16.5" spans="1:23">
      <c r="A1543" s="46"/>
      <c r="B1543" s="46"/>
      <c r="C1543" s="46"/>
      <c r="D1543" s="46"/>
      <c r="E1543" s="46"/>
      <c r="F1543" s="46"/>
      <c r="G1543" s="46"/>
      <c r="H1543" s="46"/>
      <c r="I1543" s="46"/>
      <c r="J1543" s="46"/>
      <c r="K1543" s="46"/>
      <c r="L1543" s="46"/>
      <c r="M1543" s="46"/>
      <c r="N1543" s="46"/>
      <c r="O1543" s="46"/>
      <c r="P1543" s="46"/>
      <c r="Q1543" s="46"/>
      <c r="R1543" s="46"/>
      <c r="S1543" s="46"/>
      <c r="T1543" s="46"/>
      <c r="U1543" s="46"/>
      <c r="V1543" s="46"/>
      <c r="W1543" s="46"/>
    </row>
    <row r="1544" ht="16.5" spans="1:23">
      <c r="A1544" s="46"/>
      <c r="B1544" s="46"/>
      <c r="C1544" s="46"/>
      <c r="D1544" s="46"/>
      <c r="E1544" s="46"/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  <c r="P1544" s="46"/>
      <c r="Q1544" s="46"/>
      <c r="R1544" s="46"/>
      <c r="S1544" s="46"/>
      <c r="T1544" s="46"/>
      <c r="U1544" s="46"/>
      <c r="V1544" s="46"/>
      <c r="W1544" s="46"/>
    </row>
    <row r="1545" ht="16.5" spans="1:23">
      <c r="A1545" s="46"/>
      <c r="B1545" s="46"/>
      <c r="C1545" s="46"/>
      <c r="D1545" s="46"/>
      <c r="E1545" s="46"/>
      <c r="F1545" s="46"/>
      <c r="G1545" s="46"/>
      <c r="H1545" s="46"/>
      <c r="I1545" s="46"/>
      <c r="J1545" s="46"/>
      <c r="K1545" s="46"/>
      <c r="L1545" s="46"/>
      <c r="M1545" s="46"/>
      <c r="N1545" s="46"/>
      <c r="O1545" s="46"/>
      <c r="P1545" s="46"/>
      <c r="Q1545" s="46"/>
      <c r="R1545" s="46"/>
      <c r="S1545" s="46"/>
      <c r="T1545" s="46"/>
      <c r="U1545" s="46"/>
      <c r="V1545" s="46"/>
      <c r="W1545" s="46"/>
    </row>
    <row r="1546" ht="16.5" spans="1:23">
      <c r="A1546" s="46"/>
      <c r="B1546" s="46"/>
      <c r="C1546" s="46"/>
      <c r="D1546" s="46"/>
      <c r="E1546" s="46"/>
      <c r="F1546" s="46"/>
      <c r="G1546" s="46"/>
      <c r="H1546" s="46"/>
      <c r="I1546" s="46"/>
      <c r="J1546" s="46"/>
      <c r="K1546" s="46"/>
      <c r="L1546" s="46"/>
      <c r="M1546" s="46"/>
      <c r="N1546" s="46"/>
      <c r="O1546" s="46"/>
      <c r="P1546" s="46"/>
      <c r="Q1546" s="46"/>
      <c r="R1546" s="46"/>
      <c r="S1546" s="46"/>
      <c r="T1546" s="46"/>
      <c r="U1546" s="46"/>
      <c r="V1546" s="46"/>
      <c r="W1546" s="46"/>
    </row>
    <row r="1547" ht="16.5" spans="1:23">
      <c r="A1547" s="46"/>
      <c r="B1547" s="46"/>
      <c r="C1547" s="46"/>
      <c r="D1547" s="46"/>
      <c r="E1547" s="46"/>
      <c r="F1547" s="46"/>
      <c r="G1547" s="46"/>
      <c r="H1547" s="46"/>
      <c r="I1547" s="46"/>
      <c r="J1547" s="46"/>
      <c r="K1547" s="46"/>
      <c r="L1547" s="46"/>
      <c r="M1547" s="46"/>
      <c r="N1547" s="46"/>
      <c r="O1547" s="46"/>
      <c r="P1547" s="46"/>
      <c r="Q1547" s="46"/>
      <c r="R1547" s="46"/>
      <c r="S1547" s="46"/>
      <c r="T1547" s="46"/>
      <c r="U1547" s="46"/>
      <c r="V1547" s="46"/>
      <c r="W1547" s="46"/>
    </row>
    <row r="1548" ht="16.5" spans="1:23">
      <c r="A1548" s="46"/>
      <c r="B1548" s="46"/>
      <c r="C1548" s="46"/>
      <c r="D1548" s="46"/>
      <c r="E1548" s="46"/>
      <c r="F1548" s="46"/>
      <c r="G1548" s="46"/>
      <c r="H1548" s="46"/>
      <c r="I1548" s="46"/>
      <c r="J1548" s="46"/>
      <c r="K1548" s="46"/>
      <c r="L1548" s="46"/>
      <c r="M1548" s="46"/>
      <c r="N1548" s="46"/>
      <c r="O1548" s="46"/>
      <c r="P1548" s="46"/>
      <c r="Q1548" s="46"/>
      <c r="R1548" s="46"/>
      <c r="S1548" s="46"/>
      <c r="T1548" s="46"/>
      <c r="U1548" s="46"/>
      <c r="V1548" s="46"/>
      <c r="W1548" s="46"/>
    </row>
    <row r="1549" ht="16.5" spans="1:23">
      <c r="A1549" s="46"/>
      <c r="B1549" s="46"/>
      <c r="C1549" s="46"/>
      <c r="D1549" s="46"/>
      <c r="E1549" s="46"/>
      <c r="F1549" s="46"/>
      <c r="G1549" s="46"/>
      <c r="H1549" s="46"/>
      <c r="I1549" s="46"/>
      <c r="J1549" s="46"/>
      <c r="K1549" s="46"/>
      <c r="L1549" s="46"/>
      <c r="M1549" s="46"/>
      <c r="N1549" s="46"/>
      <c r="O1549" s="46"/>
      <c r="P1549" s="46"/>
      <c r="Q1549" s="46"/>
      <c r="R1549" s="46"/>
      <c r="S1549" s="46"/>
      <c r="T1549" s="46"/>
      <c r="U1549" s="46"/>
      <c r="V1549" s="46"/>
      <c r="W1549" s="46"/>
    </row>
    <row r="1550" ht="16.5" spans="1:23">
      <c r="A1550" s="46"/>
      <c r="B1550" s="46"/>
      <c r="C1550" s="46"/>
      <c r="D1550" s="46"/>
      <c r="E1550" s="46"/>
      <c r="F1550" s="46"/>
      <c r="G1550" s="46"/>
      <c r="H1550" s="46"/>
      <c r="I1550" s="46"/>
      <c r="J1550" s="46"/>
      <c r="K1550" s="46"/>
      <c r="L1550" s="46"/>
      <c r="M1550" s="46"/>
      <c r="N1550" s="46"/>
      <c r="O1550" s="46"/>
      <c r="P1550" s="46"/>
      <c r="Q1550" s="46"/>
      <c r="R1550" s="46"/>
      <c r="S1550" s="46"/>
      <c r="T1550" s="46"/>
      <c r="U1550" s="46"/>
      <c r="V1550" s="46"/>
      <c r="W1550" s="46"/>
    </row>
    <row r="1551" ht="16.5" spans="1:23">
      <c r="A1551" s="46"/>
      <c r="B1551" s="46"/>
      <c r="C1551" s="46"/>
      <c r="D1551" s="46"/>
      <c r="E1551" s="46"/>
      <c r="F1551" s="46"/>
      <c r="G1551" s="46"/>
      <c r="H1551" s="46"/>
      <c r="I1551" s="46"/>
      <c r="J1551" s="46"/>
      <c r="K1551" s="46"/>
      <c r="L1551" s="46"/>
      <c r="M1551" s="46"/>
      <c r="N1551" s="46"/>
      <c r="O1551" s="46"/>
      <c r="P1551" s="46"/>
      <c r="Q1551" s="46"/>
      <c r="R1551" s="46"/>
      <c r="S1551" s="46"/>
      <c r="T1551" s="46"/>
      <c r="U1551" s="46"/>
      <c r="V1551" s="46"/>
      <c r="W1551" s="46"/>
    </row>
    <row r="1552" ht="16.5" spans="1:23">
      <c r="A1552" s="46"/>
      <c r="B1552" s="46"/>
      <c r="C1552" s="46"/>
      <c r="D1552" s="46"/>
      <c r="E1552" s="46"/>
      <c r="F1552" s="46"/>
      <c r="G1552" s="46"/>
      <c r="H1552" s="46"/>
      <c r="I1552" s="46"/>
      <c r="J1552" s="46"/>
      <c r="K1552" s="46"/>
      <c r="L1552" s="46"/>
      <c r="M1552" s="46"/>
      <c r="N1552" s="46"/>
      <c r="O1552" s="46"/>
      <c r="P1552" s="46"/>
      <c r="Q1552" s="46"/>
      <c r="R1552" s="46"/>
      <c r="S1552" s="46"/>
      <c r="T1552" s="46"/>
      <c r="U1552" s="46"/>
      <c r="V1552" s="46"/>
      <c r="W1552" s="46"/>
    </row>
    <row r="1553" ht="16.5" spans="1:23">
      <c r="A1553" s="46"/>
      <c r="B1553" s="46"/>
      <c r="C1553" s="46"/>
      <c r="D1553" s="46"/>
      <c r="E1553" s="46"/>
      <c r="F1553" s="46"/>
      <c r="G1553" s="46"/>
      <c r="H1553" s="46"/>
      <c r="I1553" s="46"/>
      <c r="J1553" s="46"/>
      <c r="K1553" s="46"/>
      <c r="L1553" s="46"/>
      <c r="M1553" s="46"/>
      <c r="N1553" s="46"/>
      <c r="O1553" s="46"/>
      <c r="P1553" s="46"/>
      <c r="Q1553" s="46"/>
      <c r="R1553" s="46"/>
      <c r="S1553" s="46"/>
      <c r="T1553" s="46"/>
      <c r="U1553" s="46"/>
      <c r="V1553" s="46"/>
      <c r="W1553" s="46"/>
    </row>
    <row r="1554" ht="16.5" spans="1:23">
      <c r="A1554" s="46"/>
      <c r="B1554" s="46"/>
      <c r="C1554" s="46"/>
      <c r="D1554" s="46"/>
      <c r="E1554" s="46"/>
      <c r="F1554" s="46"/>
      <c r="G1554" s="46"/>
      <c r="H1554" s="46"/>
      <c r="I1554" s="46"/>
      <c r="J1554" s="46"/>
      <c r="K1554" s="46"/>
      <c r="L1554" s="46"/>
      <c r="M1554" s="46"/>
      <c r="N1554" s="46"/>
      <c r="O1554" s="46"/>
      <c r="P1554" s="46"/>
      <c r="Q1554" s="46"/>
      <c r="R1554" s="46"/>
      <c r="S1554" s="46"/>
      <c r="T1554" s="46"/>
      <c r="U1554" s="46"/>
      <c r="V1554" s="46"/>
      <c r="W1554" s="46"/>
    </row>
    <row r="1555" ht="16.5" spans="1:23">
      <c r="A1555" s="46"/>
      <c r="B1555" s="46"/>
      <c r="C1555" s="46"/>
      <c r="D1555" s="46"/>
      <c r="E1555" s="46"/>
      <c r="F1555" s="46"/>
      <c r="G1555" s="46"/>
      <c r="H1555" s="46"/>
      <c r="I1555" s="46"/>
      <c r="J1555" s="46"/>
      <c r="K1555" s="46"/>
      <c r="L1555" s="46"/>
      <c r="M1555" s="46"/>
      <c r="N1555" s="46"/>
      <c r="O1555" s="46"/>
      <c r="P1555" s="46"/>
      <c r="Q1555" s="46"/>
      <c r="R1555" s="46"/>
      <c r="S1555" s="46"/>
      <c r="T1555" s="46"/>
      <c r="U1555" s="46"/>
      <c r="V1555" s="46"/>
      <c r="W1555" s="46"/>
    </row>
    <row r="1556" ht="16.5" spans="1:23">
      <c r="A1556" s="46"/>
      <c r="B1556" s="46"/>
      <c r="C1556" s="46"/>
      <c r="D1556" s="46"/>
      <c r="E1556" s="46"/>
      <c r="F1556" s="46"/>
      <c r="G1556" s="46"/>
      <c r="H1556" s="46"/>
      <c r="I1556" s="46"/>
      <c r="J1556" s="46"/>
      <c r="K1556" s="46"/>
      <c r="L1556" s="46"/>
      <c r="M1556" s="46"/>
      <c r="N1556" s="46"/>
      <c r="O1556" s="46"/>
      <c r="P1556" s="46"/>
      <c r="Q1556" s="46"/>
      <c r="R1556" s="46"/>
      <c r="S1556" s="46"/>
      <c r="T1556" s="46"/>
      <c r="U1556" s="46"/>
      <c r="V1556" s="46"/>
      <c r="W1556" s="46"/>
    </row>
    <row r="1557" ht="16.5" spans="1:23">
      <c r="A1557" s="46"/>
      <c r="B1557" s="46"/>
      <c r="C1557" s="46"/>
      <c r="D1557" s="46"/>
      <c r="E1557" s="46"/>
      <c r="F1557" s="46"/>
      <c r="G1557" s="46"/>
      <c r="H1557" s="46"/>
      <c r="I1557" s="46"/>
      <c r="J1557" s="46"/>
      <c r="K1557" s="46"/>
      <c r="L1557" s="46"/>
      <c r="M1557" s="46"/>
      <c r="N1557" s="46"/>
      <c r="O1557" s="46"/>
      <c r="P1557" s="46"/>
      <c r="Q1557" s="46"/>
      <c r="R1557" s="46"/>
      <c r="S1557" s="46"/>
      <c r="T1557" s="46"/>
      <c r="U1557" s="46"/>
      <c r="V1557" s="46"/>
      <c r="W1557" s="46"/>
    </row>
    <row r="1558" ht="16.5" spans="1:23">
      <c r="A1558" s="46"/>
      <c r="B1558" s="46"/>
      <c r="C1558" s="46"/>
      <c r="D1558" s="46"/>
      <c r="E1558" s="46"/>
      <c r="F1558" s="46"/>
      <c r="G1558" s="46"/>
      <c r="H1558" s="46"/>
      <c r="I1558" s="46"/>
      <c r="J1558" s="46"/>
      <c r="K1558" s="46"/>
      <c r="L1558" s="46"/>
      <c r="M1558" s="46"/>
      <c r="N1558" s="46"/>
      <c r="O1558" s="46"/>
      <c r="P1558" s="46"/>
      <c r="Q1558" s="46"/>
      <c r="R1558" s="46"/>
      <c r="S1558" s="46"/>
      <c r="T1558" s="46"/>
      <c r="U1558" s="46"/>
      <c r="V1558" s="46"/>
      <c r="W1558" s="46"/>
    </row>
    <row r="1559" ht="16.5" spans="1:23">
      <c r="A1559" s="46"/>
      <c r="B1559" s="46"/>
      <c r="C1559" s="46"/>
      <c r="D1559" s="46"/>
      <c r="E1559" s="46"/>
      <c r="F1559" s="46"/>
      <c r="G1559" s="46"/>
      <c r="H1559" s="46"/>
      <c r="I1559" s="46"/>
      <c r="J1559" s="46"/>
      <c r="K1559" s="46"/>
      <c r="L1559" s="46"/>
      <c r="M1559" s="46"/>
      <c r="N1559" s="46"/>
      <c r="O1559" s="46"/>
      <c r="P1559" s="46"/>
      <c r="Q1559" s="46"/>
      <c r="R1559" s="46"/>
      <c r="S1559" s="46"/>
      <c r="T1559" s="46"/>
      <c r="U1559" s="46"/>
      <c r="V1559" s="46"/>
      <c r="W1559" s="46"/>
    </row>
    <row r="1560" ht="16.5" spans="1:23">
      <c r="A1560" s="46"/>
      <c r="B1560" s="46"/>
      <c r="C1560" s="46"/>
      <c r="D1560" s="46"/>
      <c r="E1560" s="46"/>
      <c r="F1560" s="46"/>
      <c r="G1560" s="46"/>
      <c r="H1560" s="46"/>
      <c r="I1560" s="46"/>
      <c r="J1560" s="46"/>
      <c r="K1560" s="46"/>
      <c r="L1560" s="46"/>
      <c r="M1560" s="46"/>
      <c r="N1560" s="46"/>
      <c r="O1560" s="46"/>
      <c r="P1560" s="46"/>
      <c r="Q1560" s="46"/>
      <c r="R1560" s="46"/>
      <c r="S1560" s="46"/>
      <c r="T1560" s="46"/>
      <c r="U1560" s="46"/>
      <c r="V1560" s="46"/>
      <c r="W1560" s="46"/>
    </row>
    <row r="1561" ht="16.5" spans="1:23">
      <c r="A1561" s="46"/>
      <c r="B1561" s="46"/>
      <c r="C1561" s="46"/>
      <c r="D1561" s="46"/>
      <c r="E1561" s="46"/>
      <c r="F1561" s="46"/>
      <c r="G1561" s="46"/>
      <c r="H1561" s="46"/>
      <c r="I1561" s="46"/>
      <c r="J1561" s="46"/>
      <c r="K1561" s="46"/>
      <c r="L1561" s="46"/>
      <c r="M1561" s="46"/>
      <c r="N1561" s="46"/>
      <c r="O1561" s="46"/>
      <c r="P1561" s="46"/>
      <c r="Q1561" s="46"/>
      <c r="R1561" s="46"/>
      <c r="S1561" s="46"/>
      <c r="T1561" s="46"/>
      <c r="U1561" s="46"/>
      <c r="V1561" s="46"/>
      <c r="W1561" s="46"/>
    </row>
    <row r="1562" ht="16.5" spans="1:23">
      <c r="A1562" s="46"/>
      <c r="B1562" s="46"/>
      <c r="C1562" s="46"/>
      <c r="D1562" s="46"/>
      <c r="E1562" s="46"/>
      <c r="F1562" s="46"/>
      <c r="G1562" s="46"/>
      <c r="H1562" s="46"/>
      <c r="I1562" s="46"/>
      <c r="J1562" s="46"/>
      <c r="K1562" s="46"/>
      <c r="L1562" s="46"/>
      <c r="M1562" s="46"/>
      <c r="N1562" s="46"/>
      <c r="O1562" s="46"/>
      <c r="P1562" s="46"/>
      <c r="Q1562" s="46"/>
      <c r="R1562" s="46"/>
      <c r="S1562" s="46"/>
      <c r="T1562" s="46"/>
      <c r="U1562" s="46"/>
      <c r="V1562" s="46"/>
      <c r="W1562" s="46"/>
    </row>
    <row r="1563" ht="16.5" spans="1:23">
      <c r="A1563" s="46"/>
      <c r="B1563" s="46"/>
      <c r="C1563" s="46"/>
      <c r="D1563" s="46"/>
      <c r="E1563" s="46"/>
      <c r="F1563" s="46"/>
      <c r="G1563" s="46"/>
      <c r="H1563" s="46"/>
      <c r="I1563" s="46"/>
      <c r="J1563" s="46"/>
      <c r="K1563" s="46"/>
      <c r="L1563" s="46"/>
      <c r="M1563" s="46"/>
      <c r="N1563" s="46"/>
      <c r="O1563" s="46"/>
      <c r="P1563" s="46"/>
      <c r="Q1563" s="46"/>
      <c r="R1563" s="46"/>
      <c r="S1563" s="46"/>
      <c r="T1563" s="46"/>
      <c r="U1563" s="46"/>
      <c r="V1563" s="46"/>
      <c r="W1563" s="46"/>
    </row>
    <row r="1564" ht="16.5" spans="1:23">
      <c r="A1564" s="46"/>
      <c r="B1564" s="46"/>
      <c r="C1564" s="46"/>
      <c r="D1564" s="46"/>
      <c r="E1564" s="46"/>
      <c r="F1564" s="46"/>
      <c r="G1564" s="46"/>
      <c r="H1564" s="46"/>
      <c r="I1564" s="46"/>
      <c r="J1564" s="46"/>
      <c r="K1564" s="46"/>
      <c r="L1564" s="46"/>
      <c r="M1564" s="46"/>
      <c r="N1564" s="46"/>
      <c r="O1564" s="46"/>
      <c r="P1564" s="46"/>
      <c r="Q1564" s="46"/>
      <c r="R1564" s="46"/>
      <c r="S1564" s="46"/>
      <c r="T1564" s="46"/>
      <c r="U1564" s="46"/>
      <c r="V1564" s="46"/>
      <c r="W1564" s="46"/>
    </row>
    <row r="1565" ht="16.5" spans="1:23">
      <c r="A1565" s="46"/>
      <c r="B1565" s="46"/>
      <c r="C1565" s="46"/>
      <c r="D1565" s="46"/>
      <c r="E1565" s="46"/>
      <c r="F1565" s="46"/>
      <c r="G1565" s="46"/>
      <c r="H1565" s="46"/>
      <c r="I1565" s="46"/>
      <c r="J1565" s="46"/>
      <c r="K1565" s="46"/>
      <c r="L1565" s="46"/>
      <c r="M1565" s="46"/>
      <c r="N1565" s="46"/>
      <c r="O1565" s="46"/>
      <c r="P1565" s="46"/>
      <c r="Q1565" s="46"/>
      <c r="R1565" s="46"/>
      <c r="S1565" s="46"/>
      <c r="T1565" s="46"/>
      <c r="U1565" s="46"/>
      <c r="V1565" s="46"/>
      <c r="W1565" s="46"/>
    </row>
    <row r="1566" ht="16.5" spans="1:23">
      <c r="A1566" s="46"/>
      <c r="B1566" s="46"/>
      <c r="C1566" s="46"/>
      <c r="D1566" s="46"/>
      <c r="E1566" s="46"/>
      <c r="F1566" s="46"/>
      <c r="G1566" s="46"/>
      <c r="H1566" s="46"/>
      <c r="I1566" s="46"/>
      <c r="J1566" s="46"/>
      <c r="K1566" s="46"/>
      <c r="L1566" s="46"/>
      <c r="M1566" s="46"/>
      <c r="N1566" s="46"/>
      <c r="O1566" s="46"/>
      <c r="P1566" s="46"/>
      <c r="Q1566" s="46"/>
      <c r="R1566" s="46"/>
      <c r="S1566" s="46"/>
      <c r="T1566" s="46"/>
      <c r="U1566" s="46"/>
      <c r="V1566" s="46"/>
      <c r="W1566" s="46"/>
    </row>
    <row r="1567" ht="16.5" spans="1:23">
      <c r="A1567" s="46"/>
      <c r="B1567" s="46"/>
      <c r="C1567" s="46"/>
      <c r="D1567" s="46"/>
      <c r="E1567" s="46"/>
      <c r="F1567" s="46"/>
      <c r="G1567" s="46"/>
      <c r="H1567" s="46"/>
      <c r="I1567" s="46"/>
      <c r="J1567" s="46"/>
      <c r="K1567" s="46"/>
      <c r="L1567" s="46"/>
      <c r="M1567" s="46"/>
      <c r="N1567" s="46"/>
      <c r="O1567" s="46"/>
      <c r="P1567" s="46"/>
      <c r="Q1567" s="46"/>
      <c r="R1567" s="46"/>
      <c r="S1567" s="46"/>
      <c r="T1567" s="46"/>
      <c r="U1567" s="46"/>
      <c r="V1567" s="46"/>
      <c r="W1567" s="46"/>
    </row>
    <row r="1568" ht="16.5" spans="1:23">
      <c r="A1568" s="46"/>
      <c r="B1568" s="46"/>
      <c r="C1568" s="46"/>
      <c r="D1568" s="46"/>
      <c r="E1568" s="46"/>
      <c r="F1568" s="46"/>
      <c r="G1568" s="46"/>
      <c r="H1568" s="46"/>
      <c r="I1568" s="46"/>
      <c r="J1568" s="46"/>
      <c r="K1568" s="46"/>
      <c r="L1568" s="46"/>
      <c r="M1568" s="46"/>
      <c r="N1568" s="46"/>
      <c r="O1568" s="46"/>
      <c r="P1568" s="46"/>
      <c r="Q1568" s="46"/>
      <c r="R1568" s="46"/>
      <c r="S1568" s="46"/>
      <c r="T1568" s="46"/>
      <c r="U1568" s="46"/>
      <c r="V1568" s="46"/>
      <c r="W1568" s="46"/>
    </row>
    <row r="1569" ht="16.5" spans="1:23">
      <c r="A1569" s="46"/>
      <c r="B1569" s="46"/>
      <c r="C1569" s="46"/>
      <c r="D1569" s="46"/>
      <c r="E1569" s="46"/>
      <c r="F1569" s="46"/>
      <c r="G1569" s="46"/>
      <c r="H1569" s="46"/>
      <c r="I1569" s="46"/>
      <c r="J1569" s="46"/>
      <c r="K1569" s="46"/>
      <c r="L1569" s="46"/>
      <c r="M1569" s="46"/>
      <c r="N1569" s="46"/>
      <c r="O1569" s="46"/>
      <c r="P1569" s="46"/>
      <c r="Q1569" s="46"/>
      <c r="R1569" s="46"/>
      <c r="S1569" s="46"/>
      <c r="T1569" s="46"/>
      <c r="U1569" s="46"/>
      <c r="V1569" s="46"/>
      <c r="W1569" s="46"/>
    </row>
    <row r="1570" ht="16.5" spans="1:23">
      <c r="A1570" s="46"/>
      <c r="B1570" s="46"/>
      <c r="C1570" s="46"/>
      <c r="D1570" s="46"/>
      <c r="E1570" s="46"/>
      <c r="F1570" s="46"/>
      <c r="G1570" s="46"/>
      <c r="H1570" s="46"/>
      <c r="I1570" s="46"/>
      <c r="J1570" s="46"/>
      <c r="K1570" s="46"/>
      <c r="L1570" s="46"/>
      <c r="M1570" s="46"/>
      <c r="N1570" s="46"/>
      <c r="O1570" s="46"/>
      <c r="P1570" s="46"/>
      <c r="Q1570" s="46"/>
      <c r="R1570" s="46"/>
      <c r="S1570" s="46"/>
      <c r="T1570" s="46"/>
      <c r="U1570" s="46"/>
      <c r="V1570" s="46"/>
      <c r="W1570" s="46"/>
    </row>
    <row r="1571" ht="16.5" spans="1:23">
      <c r="A1571" s="46"/>
      <c r="B1571" s="46"/>
      <c r="C1571" s="46"/>
      <c r="D1571" s="46"/>
      <c r="E1571" s="46"/>
      <c r="F1571" s="46"/>
      <c r="G1571" s="46"/>
      <c r="H1571" s="46"/>
      <c r="I1571" s="46"/>
      <c r="J1571" s="46"/>
      <c r="K1571" s="46"/>
      <c r="L1571" s="46"/>
      <c r="M1571" s="46"/>
      <c r="N1571" s="46"/>
      <c r="O1571" s="46"/>
      <c r="P1571" s="46"/>
      <c r="Q1571" s="46"/>
      <c r="R1571" s="46"/>
      <c r="S1571" s="46"/>
      <c r="T1571" s="46"/>
      <c r="U1571" s="46"/>
      <c r="V1571" s="46"/>
      <c r="W1571" s="46"/>
    </row>
    <row r="1572" ht="16.5" spans="1:23">
      <c r="A1572" s="46"/>
      <c r="B1572" s="46"/>
      <c r="C1572" s="46"/>
      <c r="D1572" s="46"/>
      <c r="E1572" s="46"/>
      <c r="F1572" s="46"/>
      <c r="G1572" s="46"/>
      <c r="H1572" s="46"/>
      <c r="I1572" s="46"/>
      <c r="J1572" s="46"/>
      <c r="K1572" s="46"/>
      <c r="L1572" s="46"/>
      <c r="M1572" s="46"/>
      <c r="N1572" s="46"/>
      <c r="O1572" s="46"/>
      <c r="P1572" s="46"/>
      <c r="Q1572" s="46"/>
      <c r="R1572" s="46"/>
      <c r="S1572" s="46"/>
      <c r="T1572" s="46"/>
      <c r="U1572" s="46"/>
      <c r="V1572" s="46"/>
      <c r="W1572" s="46"/>
    </row>
    <row r="1573" ht="16.5" spans="1:23">
      <c r="A1573" s="46"/>
      <c r="B1573" s="46"/>
      <c r="C1573" s="46"/>
      <c r="D1573" s="46"/>
      <c r="E1573" s="46"/>
      <c r="F1573" s="46"/>
      <c r="G1573" s="46"/>
      <c r="H1573" s="46"/>
      <c r="I1573" s="46"/>
      <c r="J1573" s="46"/>
      <c r="K1573" s="46"/>
      <c r="L1573" s="46"/>
      <c r="M1573" s="46"/>
      <c r="N1573" s="46"/>
      <c r="O1573" s="46"/>
      <c r="P1573" s="46"/>
      <c r="Q1573" s="46"/>
      <c r="R1573" s="46"/>
      <c r="S1573" s="46"/>
      <c r="T1573" s="46"/>
      <c r="U1573" s="46"/>
      <c r="V1573" s="46"/>
      <c r="W1573" s="46"/>
    </row>
    <row r="1574" ht="16.5" spans="1:23">
      <c r="A1574" s="46"/>
      <c r="B1574" s="46"/>
      <c r="C1574" s="46"/>
      <c r="D1574" s="46"/>
      <c r="E1574" s="46"/>
      <c r="F1574" s="46"/>
      <c r="G1574" s="46"/>
      <c r="H1574" s="46"/>
      <c r="I1574" s="46"/>
      <c r="J1574" s="46"/>
      <c r="K1574" s="46"/>
      <c r="L1574" s="46"/>
      <c r="M1574" s="46"/>
      <c r="N1574" s="46"/>
      <c r="O1574" s="46"/>
      <c r="P1574" s="46"/>
      <c r="Q1574" s="46"/>
      <c r="R1574" s="46"/>
      <c r="S1574" s="46"/>
      <c r="T1574" s="46"/>
      <c r="U1574" s="46"/>
      <c r="V1574" s="46"/>
      <c r="W1574" s="46"/>
    </row>
    <row r="1575" ht="16.5" spans="1:23">
      <c r="A1575" s="46"/>
      <c r="B1575" s="46"/>
      <c r="C1575" s="46"/>
      <c r="D1575" s="46"/>
      <c r="E1575" s="46"/>
      <c r="F1575" s="46"/>
      <c r="G1575" s="46"/>
      <c r="H1575" s="46"/>
      <c r="I1575" s="46"/>
      <c r="J1575" s="46"/>
      <c r="K1575" s="46"/>
      <c r="L1575" s="46"/>
      <c r="M1575" s="46"/>
      <c r="N1575" s="46"/>
      <c r="O1575" s="46"/>
      <c r="P1575" s="46"/>
      <c r="Q1575" s="46"/>
      <c r="R1575" s="46"/>
      <c r="S1575" s="46"/>
      <c r="T1575" s="46"/>
      <c r="U1575" s="46"/>
      <c r="V1575" s="46"/>
      <c r="W1575" s="46"/>
    </row>
    <row r="1576" ht="16.5" spans="1:23">
      <c r="A1576" s="46"/>
      <c r="B1576" s="46"/>
      <c r="C1576" s="46"/>
      <c r="D1576" s="46"/>
      <c r="E1576" s="46"/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  <c r="P1576" s="46"/>
      <c r="Q1576" s="46"/>
      <c r="R1576" s="46"/>
      <c r="S1576" s="46"/>
      <c r="T1576" s="46"/>
      <c r="U1576" s="46"/>
      <c r="V1576" s="46"/>
      <c r="W1576" s="46"/>
    </row>
    <row r="1577" ht="16.5" spans="1:23">
      <c r="A1577" s="46"/>
      <c r="B1577" s="46"/>
      <c r="C1577" s="46"/>
      <c r="D1577" s="46"/>
      <c r="E1577" s="46"/>
      <c r="F1577" s="46"/>
      <c r="G1577" s="46"/>
      <c r="H1577" s="46"/>
      <c r="I1577" s="46"/>
      <c r="J1577" s="46"/>
      <c r="K1577" s="46"/>
      <c r="L1577" s="46"/>
      <c r="M1577" s="46"/>
      <c r="N1577" s="46"/>
      <c r="O1577" s="46"/>
      <c r="P1577" s="46"/>
      <c r="Q1577" s="46"/>
      <c r="R1577" s="46"/>
      <c r="S1577" s="46"/>
      <c r="T1577" s="46"/>
      <c r="U1577" s="46"/>
      <c r="V1577" s="46"/>
      <c r="W1577" s="46"/>
    </row>
    <row r="1578" ht="16.5" spans="1:23">
      <c r="A1578" s="46"/>
      <c r="B1578" s="46"/>
      <c r="C1578" s="46"/>
      <c r="D1578" s="46"/>
      <c r="E1578" s="46"/>
      <c r="F1578" s="46"/>
      <c r="G1578" s="46"/>
      <c r="H1578" s="46"/>
      <c r="I1578" s="46"/>
      <c r="J1578" s="46"/>
      <c r="K1578" s="46"/>
      <c r="L1578" s="46"/>
      <c r="M1578" s="46"/>
      <c r="N1578" s="46"/>
      <c r="O1578" s="46"/>
      <c r="P1578" s="46"/>
      <c r="Q1578" s="46"/>
      <c r="R1578" s="46"/>
      <c r="S1578" s="46"/>
      <c r="T1578" s="46"/>
      <c r="U1578" s="46"/>
      <c r="V1578" s="46"/>
      <c r="W1578" s="46"/>
    </row>
    <row r="1579" ht="16.5" spans="1:23">
      <c r="A1579" s="46"/>
      <c r="B1579" s="46"/>
      <c r="C1579" s="46"/>
      <c r="D1579" s="46"/>
      <c r="E1579" s="46"/>
      <c r="F1579" s="46"/>
      <c r="G1579" s="46"/>
      <c r="H1579" s="46"/>
      <c r="I1579" s="46"/>
      <c r="J1579" s="46"/>
      <c r="K1579" s="46"/>
      <c r="L1579" s="46"/>
      <c r="M1579" s="46"/>
      <c r="N1579" s="46"/>
      <c r="O1579" s="46"/>
      <c r="P1579" s="46"/>
      <c r="Q1579" s="46"/>
      <c r="R1579" s="46"/>
      <c r="S1579" s="46"/>
      <c r="T1579" s="46"/>
      <c r="U1579" s="46"/>
      <c r="V1579" s="46"/>
      <c r="W1579" s="46"/>
    </row>
    <row r="1580" ht="16.5" spans="1:23">
      <c r="A1580" s="46"/>
      <c r="B1580" s="46"/>
      <c r="C1580" s="46"/>
      <c r="D1580" s="46"/>
      <c r="E1580" s="46"/>
      <c r="F1580" s="46"/>
      <c r="G1580" s="46"/>
      <c r="H1580" s="46"/>
      <c r="I1580" s="46"/>
      <c r="J1580" s="46"/>
      <c r="K1580" s="46"/>
      <c r="L1580" s="46"/>
      <c r="M1580" s="46"/>
      <c r="N1580" s="46"/>
      <c r="O1580" s="46"/>
      <c r="P1580" s="46"/>
      <c r="Q1580" s="46"/>
      <c r="R1580" s="46"/>
      <c r="S1580" s="46"/>
      <c r="T1580" s="46"/>
      <c r="U1580" s="46"/>
      <c r="V1580" s="46"/>
      <c r="W1580" s="46"/>
    </row>
    <row r="1581" ht="16.5" spans="1:23">
      <c r="A1581" s="46"/>
      <c r="B1581" s="46"/>
      <c r="C1581" s="46"/>
      <c r="D1581" s="46"/>
      <c r="E1581" s="46"/>
      <c r="F1581" s="46"/>
      <c r="G1581" s="46"/>
      <c r="H1581" s="46"/>
      <c r="I1581" s="46"/>
      <c r="J1581" s="46"/>
      <c r="K1581" s="46"/>
      <c r="L1581" s="46"/>
      <c r="M1581" s="46"/>
      <c r="N1581" s="46"/>
      <c r="O1581" s="46"/>
      <c r="P1581" s="46"/>
      <c r="Q1581" s="46"/>
      <c r="R1581" s="46"/>
      <c r="S1581" s="46"/>
      <c r="T1581" s="46"/>
      <c r="U1581" s="46"/>
      <c r="V1581" s="46"/>
      <c r="W1581" s="46"/>
    </row>
    <row r="1582" ht="16.5" spans="1:23">
      <c r="A1582" s="46"/>
      <c r="B1582" s="46"/>
      <c r="C1582" s="46"/>
      <c r="D1582" s="46"/>
      <c r="E1582" s="46"/>
      <c r="F1582" s="46"/>
      <c r="G1582" s="46"/>
      <c r="H1582" s="46"/>
      <c r="I1582" s="46"/>
      <c r="J1582" s="46"/>
      <c r="K1582" s="46"/>
      <c r="L1582" s="46"/>
      <c r="M1582" s="46"/>
      <c r="N1582" s="46"/>
      <c r="O1582" s="46"/>
      <c r="P1582" s="46"/>
      <c r="Q1582" s="46"/>
      <c r="R1582" s="46"/>
      <c r="S1582" s="46"/>
      <c r="T1582" s="46"/>
      <c r="U1582" s="46"/>
      <c r="V1582" s="46"/>
      <c r="W1582" s="46"/>
    </row>
    <row r="1583" ht="16.5" spans="1:23">
      <c r="A1583" s="46"/>
      <c r="B1583" s="46"/>
      <c r="C1583" s="46"/>
      <c r="D1583" s="46"/>
      <c r="E1583" s="46"/>
      <c r="F1583" s="46"/>
      <c r="G1583" s="46"/>
      <c r="H1583" s="46"/>
      <c r="I1583" s="46"/>
      <c r="J1583" s="46"/>
      <c r="K1583" s="46"/>
      <c r="L1583" s="46"/>
      <c r="M1583" s="46"/>
      <c r="N1583" s="46"/>
      <c r="O1583" s="46"/>
      <c r="P1583" s="46"/>
      <c r="Q1583" s="46"/>
      <c r="R1583" s="46"/>
      <c r="S1583" s="46"/>
      <c r="T1583" s="46"/>
      <c r="U1583" s="46"/>
      <c r="V1583" s="46"/>
      <c r="W1583" s="46"/>
    </row>
    <row r="1584" ht="16.5" spans="1:23">
      <c r="A1584" s="46"/>
      <c r="B1584" s="46"/>
      <c r="C1584" s="46"/>
      <c r="D1584" s="46"/>
      <c r="E1584" s="46"/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  <c r="S1584" s="46"/>
      <c r="T1584" s="46"/>
      <c r="U1584" s="46"/>
      <c r="V1584" s="46"/>
      <c r="W1584" s="46"/>
    </row>
    <row r="1585" ht="16.5" spans="1:23">
      <c r="A1585" s="46"/>
      <c r="B1585" s="46"/>
      <c r="C1585" s="46"/>
      <c r="D1585" s="46"/>
      <c r="E1585" s="46"/>
      <c r="F1585" s="46"/>
      <c r="G1585" s="46"/>
      <c r="H1585" s="46"/>
      <c r="I1585" s="46"/>
      <c r="J1585" s="46"/>
      <c r="K1585" s="46"/>
      <c r="L1585" s="46"/>
      <c r="M1585" s="46"/>
      <c r="N1585" s="46"/>
      <c r="O1585" s="46"/>
      <c r="P1585" s="46"/>
      <c r="Q1585" s="46"/>
      <c r="R1585" s="46"/>
      <c r="S1585" s="46"/>
      <c r="T1585" s="46"/>
      <c r="U1585" s="46"/>
      <c r="V1585" s="46"/>
      <c r="W1585" s="46"/>
    </row>
    <row r="1586" ht="16.5" spans="1:23">
      <c r="A1586" s="46"/>
      <c r="B1586" s="46"/>
      <c r="C1586" s="46"/>
      <c r="D1586" s="46"/>
      <c r="E1586" s="46"/>
      <c r="F1586" s="46"/>
      <c r="G1586" s="46"/>
      <c r="H1586" s="46"/>
      <c r="I1586" s="46"/>
      <c r="J1586" s="46"/>
      <c r="K1586" s="46"/>
      <c r="L1586" s="46"/>
      <c r="M1586" s="46"/>
      <c r="N1586" s="46"/>
      <c r="O1586" s="46"/>
      <c r="P1586" s="46"/>
      <c r="Q1586" s="46"/>
      <c r="R1586" s="46"/>
      <c r="S1586" s="46"/>
      <c r="T1586" s="46"/>
      <c r="U1586" s="46"/>
      <c r="V1586" s="46"/>
      <c r="W1586" s="46"/>
    </row>
    <row r="1587" ht="16.5" spans="1:23">
      <c r="A1587" s="46"/>
      <c r="B1587" s="46"/>
      <c r="C1587" s="46"/>
      <c r="D1587" s="46"/>
      <c r="E1587" s="46"/>
      <c r="F1587" s="46"/>
      <c r="G1587" s="46"/>
      <c r="H1587" s="46"/>
      <c r="I1587" s="46"/>
      <c r="J1587" s="46"/>
      <c r="K1587" s="46"/>
      <c r="L1587" s="46"/>
      <c r="M1587" s="46"/>
      <c r="N1587" s="46"/>
      <c r="O1587" s="46"/>
      <c r="P1587" s="46"/>
      <c r="Q1587" s="46"/>
      <c r="R1587" s="46"/>
      <c r="S1587" s="46"/>
      <c r="T1587" s="46"/>
      <c r="U1587" s="46"/>
      <c r="V1587" s="46"/>
      <c r="W1587" s="46"/>
    </row>
    <row r="1588" ht="16.5" spans="1:23">
      <c r="A1588" s="46"/>
      <c r="B1588" s="46"/>
      <c r="C1588" s="46"/>
      <c r="D1588" s="46"/>
      <c r="E1588" s="46"/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  <c r="S1588" s="46"/>
      <c r="T1588" s="46"/>
      <c r="U1588" s="46"/>
      <c r="V1588" s="46"/>
      <c r="W1588" s="46"/>
    </row>
    <row r="1589" ht="16.5" spans="1:23">
      <c r="A1589" s="46"/>
      <c r="B1589" s="46"/>
      <c r="C1589" s="46"/>
      <c r="D1589" s="46"/>
      <c r="E1589" s="46"/>
      <c r="F1589" s="46"/>
      <c r="G1589" s="46"/>
      <c r="H1589" s="46"/>
      <c r="I1589" s="46"/>
      <c r="J1589" s="46"/>
      <c r="K1589" s="46"/>
      <c r="L1589" s="46"/>
      <c r="M1589" s="46"/>
      <c r="N1589" s="46"/>
      <c r="O1589" s="46"/>
      <c r="P1589" s="46"/>
      <c r="Q1589" s="46"/>
      <c r="R1589" s="46"/>
      <c r="S1589" s="46"/>
      <c r="T1589" s="46"/>
      <c r="U1589" s="46"/>
      <c r="V1589" s="46"/>
      <c r="W1589" s="46"/>
    </row>
    <row r="1590" ht="16.5" spans="1:23">
      <c r="A1590" s="46"/>
      <c r="B1590" s="46"/>
      <c r="C1590" s="46"/>
      <c r="D1590" s="46"/>
      <c r="E1590" s="46"/>
      <c r="F1590" s="46"/>
      <c r="G1590" s="46"/>
      <c r="H1590" s="46"/>
      <c r="I1590" s="46"/>
      <c r="J1590" s="46"/>
      <c r="K1590" s="46"/>
      <c r="L1590" s="46"/>
      <c r="M1590" s="46"/>
      <c r="N1590" s="46"/>
      <c r="O1590" s="46"/>
      <c r="P1590" s="46"/>
      <c r="Q1590" s="46"/>
      <c r="R1590" s="46"/>
      <c r="S1590" s="46"/>
      <c r="T1590" s="46"/>
      <c r="U1590" s="46"/>
      <c r="V1590" s="46"/>
      <c r="W1590" s="46"/>
    </row>
    <row r="1591" ht="16.5" spans="1:23">
      <c r="A1591" s="46"/>
      <c r="B1591" s="46"/>
      <c r="C1591" s="46"/>
      <c r="D1591" s="46"/>
      <c r="E1591" s="46"/>
      <c r="F1591" s="46"/>
      <c r="G1591" s="46"/>
      <c r="H1591" s="46"/>
      <c r="I1591" s="46"/>
      <c r="J1591" s="46"/>
      <c r="K1591" s="46"/>
      <c r="L1591" s="46"/>
      <c r="M1591" s="46"/>
      <c r="N1591" s="46"/>
      <c r="O1591" s="46"/>
      <c r="P1591" s="46"/>
      <c r="Q1591" s="46"/>
      <c r="R1591" s="46"/>
      <c r="S1591" s="46"/>
      <c r="T1591" s="46"/>
      <c r="U1591" s="46"/>
      <c r="V1591" s="46"/>
      <c r="W1591" s="46"/>
    </row>
    <row r="1592" ht="16.5" spans="1:23">
      <c r="A1592" s="46"/>
      <c r="B1592" s="46"/>
      <c r="C1592" s="46"/>
      <c r="D1592" s="46"/>
      <c r="E1592" s="46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  <c r="S1592" s="46"/>
      <c r="T1592" s="46"/>
      <c r="U1592" s="46"/>
      <c r="V1592" s="46"/>
      <c r="W1592" s="46"/>
    </row>
    <row r="1593" ht="16.5" spans="1:23">
      <c r="A1593" s="46"/>
      <c r="B1593" s="46"/>
      <c r="C1593" s="46"/>
      <c r="D1593" s="46"/>
      <c r="E1593" s="46"/>
      <c r="F1593" s="46"/>
      <c r="G1593" s="46"/>
      <c r="H1593" s="46"/>
      <c r="I1593" s="46"/>
      <c r="J1593" s="46"/>
      <c r="K1593" s="46"/>
      <c r="L1593" s="46"/>
      <c r="M1593" s="46"/>
      <c r="N1593" s="46"/>
      <c r="O1593" s="46"/>
      <c r="P1593" s="46"/>
      <c r="Q1593" s="46"/>
      <c r="R1593" s="46"/>
      <c r="S1593" s="46"/>
      <c r="T1593" s="46"/>
      <c r="U1593" s="46"/>
      <c r="V1593" s="46"/>
      <c r="W1593" s="46"/>
    </row>
    <row r="1594" ht="16.5" spans="1:23">
      <c r="A1594" s="46"/>
      <c r="B1594" s="46"/>
      <c r="C1594" s="46"/>
      <c r="D1594" s="46"/>
      <c r="E1594" s="46"/>
      <c r="F1594" s="46"/>
      <c r="G1594" s="46"/>
      <c r="H1594" s="46"/>
      <c r="I1594" s="46"/>
      <c r="J1594" s="46"/>
      <c r="K1594" s="46"/>
      <c r="L1594" s="46"/>
      <c r="M1594" s="46"/>
      <c r="N1594" s="46"/>
      <c r="O1594" s="46"/>
      <c r="P1594" s="46"/>
      <c r="Q1594" s="46"/>
      <c r="R1594" s="46"/>
      <c r="S1594" s="46"/>
      <c r="T1594" s="46"/>
      <c r="U1594" s="46"/>
      <c r="V1594" s="46"/>
      <c r="W1594" s="46"/>
    </row>
    <row r="1595" ht="16.5" spans="1:23">
      <c r="A1595" s="46"/>
      <c r="B1595" s="46"/>
      <c r="C1595" s="46"/>
      <c r="D1595" s="46"/>
      <c r="E1595" s="46"/>
      <c r="F1595" s="46"/>
      <c r="G1595" s="46"/>
      <c r="H1595" s="46"/>
      <c r="I1595" s="46"/>
      <c r="J1595" s="46"/>
      <c r="K1595" s="46"/>
      <c r="L1595" s="46"/>
      <c r="M1595" s="46"/>
      <c r="N1595" s="46"/>
      <c r="O1595" s="46"/>
      <c r="P1595" s="46"/>
      <c r="Q1595" s="46"/>
      <c r="R1595" s="46"/>
      <c r="S1595" s="46"/>
      <c r="T1595" s="46"/>
      <c r="U1595" s="46"/>
      <c r="V1595" s="46"/>
      <c r="W1595" s="46"/>
    </row>
    <row r="1596" ht="16.5" spans="1:23">
      <c r="A1596" s="46"/>
      <c r="B1596" s="46"/>
      <c r="C1596" s="46"/>
      <c r="D1596" s="46"/>
      <c r="E1596" s="46"/>
      <c r="F1596" s="46"/>
      <c r="G1596" s="46"/>
      <c r="H1596" s="46"/>
      <c r="I1596" s="46"/>
      <c r="J1596" s="46"/>
      <c r="K1596" s="46"/>
      <c r="L1596" s="46"/>
      <c r="M1596" s="46"/>
      <c r="N1596" s="46"/>
      <c r="O1596" s="46"/>
      <c r="P1596" s="46"/>
      <c r="Q1596" s="46"/>
      <c r="R1596" s="46"/>
      <c r="S1596" s="46"/>
      <c r="T1596" s="46"/>
      <c r="U1596" s="46"/>
      <c r="V1596" s="46"/>
      <c r="W1596" s="46"/>
    </row>
    <row r="1597" ht="16.5" spans="1:23">
      <c r="A1597" s="46"/>
      <c r="B1597" s="46"/>
      <c r="C1597" s="46"/>
      <c r="D1597" s="46"/>
      <c r="E1597" s="46"/>
      <c r="F1597" s="46"/>
      <c r="G1597" s="46"/>
      <c r="H1597" s="46"/>
      <c r="I1597" s="46"/>
      <c r="J1597" s="46"/>
      <c r="K1597" s="46"/>
      <c r="L1597" s="46"/>
      <c r="M1597" s="46"/>
      <c r="N1597" s="46"/>
      <c r="O1597" s="46"/>
      <c r="P1597" s="46"/>
      <c r="Q1597" s="46"/>
      <c r="R1597" s="46"/>
      <c r="S1597" s="46"/>
      <c r="T1597" s="46"/>
      <c r="U1597" s="46"/>
      <c r="V1597" s="46"/>
      <c r="W1597" s="46"/>
    </row>
    <row r="1598" ht="16.5" spans="1:23">
      <c r="A1598" s="46"/>
      <c r="B1598" s="46"/>
      <c r="C1598" s="46"/>
      <c r="D1598" s="46"/>
      <c r="E1598" s="46"/>
      <c r="F1598" s="46"/>
      <c r="G1598" s="46"/>
      <c r="H1598" s="46"/>
      <c r="I1598" s="46"/>
      <c r="J1598" s="46"/>
      <c r="K1598" s="46"/>
      <c r="L1598" s="46"/>
      <c r="M1598" s="46"/>
      <c r="N1598" s="46"/>
      <c r="O1598" s="46"/>
      <c r="P1598" s="46"/>
      <c r="Q1598" s="46"/>
      <c r="R1598" s="46"/>
      <c r="S1598" s="46"/>
      <c r="T1598" s="46"/>
      <c r="U1598" s="46"/>
      <c r="V1598" s="46"/>
      <c r="W1598" s="46"/>
    </row>
    <row r="1599" ht="16.5" spans="1:23">
      <c r="A1599" s="46"/>
      <c r="B1599" s="46"/>
      <c r="C1599" s="46"/>
      <c r="D1599" s="46"/>
      <c r="E1599" s="46"/>
      <c r="F1599" s="46"/>
      <c r="G1599" s="46"/>
      <c r="H1599" s="46"/>
      <c r="I1599" s="46"/>
      <c r="J1599" s="46"/>
      <c r="K1599" s="46"/>
      <c r="L1599" s="46"/>
      <c r="M1599" s="46"/>
      <c r="N1599" s="46"/>
      <c r="O1599" s="46"/>
      <c r="P1599" s="46"/>
      <c r="Q1599" s="46"/>
      <c r="R1599" s="46"/>
      <c r="S1599" s="46"/>
      <c r="T1599" s="46"/>
      <c r="U1599" s="46"/>
      <c r="V1599" s="46"/>
      <c r="W1599" s="46"/>
    </row>
    <row r="1600" ht="16.5" spans="1:23">
      <c r="A1600" s="46"/>
      <c r="B1600" s="46"/>
      <c r="C1600" s="46"/>
      <c r="D1600" s="46"/>
      <c r="E1600" s="46"/>
      <c r="F1600" s="46"/>
      <c r="G1600" s="46"/>
      <c r="H1600" s="46"/>
      <c r="I1600" s="46"/>
      <c r="J1600" s="46"/>
      <c r="K1600" s="46"/>
      <c r="L1600" s="46"/>
      <c r="M1600" s="46"/>
      <c r="N1600" s="46"/>
      <c r="O1600" s="46"/>
      <c r="P1600" s="46"/>
      <c r="Q1600" s="46"/>
      <c r="R1600" s="46"/>
      <c r="S1600" s="46"/>
      <c r="T1600" s="46"/>
      <c r="U1600" s="46"/>
      <c r="V1600" s="46"/>
      <c r="W1600" s="46"/>
    </row>
    <row r="1601" ht="16.5" spans="1:23">
      <c r="A1601" s="46"/>
      <c r="B1601" s="46"/>
      <c r="C1601" s="46"/>
      <c r="D1601" s="46"/>
      <c r="E1601" s="46"/>
      <c r="F1601" s="46"/>
      <c r="G1601" s="46"/>
      <c r="H1601" s="46"/>
      <c r="I1601" s="46"/>
      <c r="J1601" s="46"/>
      <c r="K1601" s="46"/>
      <c r="L1601" s="46"/>
      <c r="M1601" s="46"/>
      <c r="N1601" s="46"/>
      <c r="O1601" s="46"/>
      <c r="P1601" s="46"/>
      <c r="Q1601" s="46"/>
      <c r="R1601" s="46"/>
      <c r="S1601" s="46"/>
      <c r="T1601" s="46"/>
      <c r="U1601" s="46"/>
      <c r="V1601" s="46"/>
      <c r="W1601" s="46"/>
    </row>
    <row r="1602" ht="16.5" spans="1:23">
      <c r="A1602" s="46"/>
      <c r="B1602" s="46"/>
      <c r="C1602" s="46"/>
      <c r="D1602" s="46"/>
      <c r="E1602" s="46"/>
      <c r="F1602" s="46"/>
      <c r="G1602" s="46"/>
      <c r="H1602" s="46"/>
      <c r="I1602" s="46"/>
      <c r="J1602" s="46"/>
      <c r="K1602" s="46"/>
      <c r="L1602" s="46"/>
      <c r="M1602" s="46"/>
      <c r="N1602" s="46"/>
      <c r="O1602" s="46"/>
      <c r="P1602" s="46"/>
      <c r="Q1602" s="46"/>
      <c r="R1602" s="46"/>
      <c r="S1602" s="46"/>
      <c r="T1602" s="46"/>
      <c r="U1602" s="46"/>
      <c r="V1602" s="46"/>
      <c r="W1602" s="46"/>
    </row>
    <row r="1603" ht="16.5" spans="1:23">
      <c r="A1603" s="46"/>
      <c r="B1603" s="46"/>
      <c r="C1603" s="46"/>
      <c r="D1603" s="46"/>
      <c r="E1603" s="46"/>
      <c r="F1603" s="46"/>
      <c r="G1603" s="46"/>
      <c r="H1603" s="46"/>
      <c r="I1603" s="46"/>
      <c r="J1603" s="46"/>
      <c r="K1603" s="46"/>
      <c r="L1603" s="46"/>
      <c r="M1603" s="46"/>
      <c r="N1603" s="46"/>
      <c r="O1603" s="46"/>
      <c r="P1603" s="46"/>
      <c r="Q1603" s="46"/>
      <c r="R1603" s="46"/>
      <c r="S1603" s="46"/>
      <c r="T1603" s="46"/>
      <c r="U1603" s="46"/>
      <c r="V1603" s="46"/>
      <c r="W1603" s="46"/>
    </row>
    <row r="1604" ht="16.5" spans="1:23">
      <c r="A1604" s="46"/>
      <c r="B1604" s="46"/>
      <c r="C1604" s="46"/>
      <c r="D1604" s="46"/>
      <c r="E1604" s="46"/>
      <c r="F1604" s="46"/>
      <c r="G1604" s="46"/>
      <c r="H1604" s="46"/>
      <c r="I1604" s="46"/>
      <c r="J1604" s="46"/>
      <c r="K1604" s="46"/>
      <c r="L1604" s="46"/>
      <c r="M1604" s="46"/>
      <c r="N1604" s="46"/>
      <c r="O1604" s="46"/>
      <c r="P1604" s="46"/>
      <c r="Q1604" s="46"/>
      <c r="R1604" s="46"/>
      <c r="S1604" s="46"/>
      <c r="T1604" s="46"/>
      <c r="U1604" s="46"/>
      <c r="V1604" s="46"/>
      <c r="W1604" s="46"/>
    </row>
    <row r="1605" ht="16.5" spans="1:23">
      <c r="A1605" s="46"/>
      <c r="B1605" s="46"/>
      <c r="C1605" s="46"/>
      <c r="D1605" s="46"/>
      <c r="E1605" s="46"/>
      <c r="F1605" s="46"/>
      <c r="G1605" s="46"/>
      <c r="H1605" s="46"/>
      <c r="I1605" s="46"/>
      <c r="J1605" s="46"/>
      <c r="K1605" s="46"/>
      <c r="L1605" s="46"/>
      <c r="M1605" s="46"/>
      <c r="N1605" s="46"/>
      <c r="O1605" s="46"/>
      <c r="P1605" s="46"/>
      <c r="Q1605" s="46"/>
      <c r="R1605" s="46"/>
      <c r="S1605" s="46"/>
      <c r="T1605" s="46"/>
      <c r="U1605" s="46"/>
      <c r="V1605" s="46"/>
      <c r="W1605" s="46"/>
    </row>
    <row r="1606" ht="16.5" spans="1:23">
      <c r="A1606" s="46"/>
      <c r="B1606" s="46"/>
      <c r="C1606" s="46"/>
      <c r="D1606" s="46"/>
      <c r="E1606" s="46"/>
      <c r="F1606" s="46"/>
      <c r="G1606" s="46"/>
      <c r="H1606" s="46"/>
      <c r="I1606" s="46"/>
      <c r="J1606" s="46"/>
      <c r="K1606" s="46"/>
      <c r="L1606" s="46"/>
      <c r="M1606" s="46"/>
      <c r="N1606" s="46"/>
      <c r="O1606" s="46"/>
      <c r="P1606" s="46"/>
      <c r="Q1606" s="46"/>
      <c r="R1606" s="46"/>
      <c r="S1606" s="46"/>
      <c r="T1606" s="46"/>
      <c r="U1606" s="46"/>
      <c r="V1606" s="46"/>
      <c r="W1606" s="46"/>
    </row>
    <row r="1607" ht="16.5" spans="1:23">
      <c r="A1607" s="46"/>
      <c r="B1607" s="46"/>
      <c r="C1607" s="46"/>
      <c r="D1607" s="46"/>
      <c r="E1607" s="46"/>
      <c r="F1607" s="46"/>
      <c r="G1607" s="46"/>
      <c r="H1607" s="46"/>
      <c r="I1607" s="46"/>
      <c r="J1607" s="46"/>
      <c r="K1607" s="46"/>
      <c r="L1607" s="46"/>
      <c r="M1607" s="46"/>
      <c r="N1607" s="46"/>
      <c r="O1607" s="46"/>
      <c r="P1607" s="46"/>
      <c r="Q1607" s="46"/>
      <c r="R1607" s="46"/>
      <c r="S1607" s="46"/>
      <c r="T1607" s="46"/>
      <c r="U1607" s="46"/>
      <c r="V1607" s="46"/>
      <c r="W1607" s="46"/>
    </row>
    <row r="1608" ht="16.5" spans="1:23">
      <c r="A1608" s="46"/>
      <c r="B1608" s="46"/>
      <c r="C1608" s="46"/>
      <c r="D1608" s="46"/>
      <c r="E1608" s="46"/>
      <c r="F1608" s="46"/>
      <c r="G1608" s="46"/>
      <c r="H1608" s="46"/>
      <c r="I1608" s="46"/>
      <c r="J1608" s="46"/>
      <c r="K1608" s="46"/>
      <c r="L1608" s="46"/>
      <c r="M1608" s="46"/>
      <c r="N1608" s="46"/>
      <c r="O1608" s="46"/>
      <c r="P1608" s="46"/>
      <c r="Q1608" s="46"/>
      <c r="R1608" s="46"/>
      <c r="S1608" s="46"/>
      <c r="T1608" s="46"/>
      <c r="U1608" s="46"/>
      <c r="V1608" s="46"/>
      <c r="W1608" s="46"/>
    </row>
    <row r="1609" ht="16.5" spans="1:23">
      <c r="A1609" s="46"/>
      <c r="B1609" s="46"/>
      <c r="C1609" s="46"/>
      <c r="D1609" s="46"/>
      <c r="E1609" s="46"/>
      <c r="F1609" s="46"/>
      <c r="G1609" s="46"/>
      <c r="H1609" s="46"/>
      <c r="I1609" s="46"/>
      <c r="J1609" s="46"/>
      <c r="K1609" s="46"/>
      <c r="L1609" s="46"/>
      <c r="M1609" s="46"/>
      <c r="N1609" s="46"/>
      <c r="O1609" s="46"/>
      <c r="P1609" s="46"/>
      <c r="Q1609" s="46"/>
      <c r="R1609" s="46"/>
      <c r="S1609" s="46"/>
      <c r="T1609" s="46"/>
      <c r="U1609" s="46"/>
      <c r="V1609" s="46"/>
      <c r="W1609" s="46"/>
    </row>
    <row r="1610" ht="16.5" spans="1:23">
      <c r="A1610" s="46"/>
      <c r="B1610" s="46"/>
      <c r="C1610" s="46"/>
      <c r="D1610" s="46"/>
      <c r="E1610" s="46"/>
      <c r="F1610" s="46"/>
      <c r="G1610" s="46"/>
      <c r="H1610" s="46"/>
      <c r="I1610" s="46"/>
      <c r="J1610" s="46"/>
      <c r="K1610" s="46"/>
      <c r="L1610" s="46"/>
      <c r="M1610" s="46"/>
      <c r="N1610" s="46"/>
      <c r="O1610" s="46"/>
      <c r="P1610" s="46"/>
      <c r="Q1610" s="46"/>
      <c r="R1610" s="46"/>
      <c r="S1610" s="46"/>
      <c r="T1610" s="46"/>
      <c r="U1610" s="46"/>
      <c r="V1610" s="46"/>
      <c r="W1610" s="46"/>
    </row>
    <row r="1611" ht="16.5" spans="1:23">
      <c r="A1611" s="46"/>
      <c r="B1611" s="46"/>
      <c r="C1611" s="46"/>
      <c r="D1611" s="46"/>
      <c r="E1611" s="46"/>
      <c r="F1611" s="46"/>
      <c r="G1611" s="46"/>
      <c r="H1611" s="46"/>
      <c r="I1611" s="46"/>
      <c r="J1611" s="46"/>
      <c r="K1611" s="46"/>
      <c r="L1611" s="46"/>
      <c r="M1611" s="46"/>
      <c r="N1611" s="46"/>
      <c r="O1611" s="46"/>
      <c r="P1611" s="46"/>
      <c r="Q1611" s="46"/>
      <c r="R1611" s="46"/>
      <c r="S1611" s="46"/>
      <c r="T1611" s="46"/>
      <c r="U1611" s="46"/>
      <c r="V1611" s="46"/>
      <c r="W1611" s="46"/>
    </row>
    <row r="1612" ht="16.5" spans="1:23">
      <c r="A1612" s="46"/>
      <c r="B1612" s="46"/>
      <c r="C1612" s="46"/>
      <c r="D1612" s="46"/>
      <c r="E1612" s="46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  <c r="S1612" s="46"/>
      <c r="T1612" s="46"/>
      <c r="U1612" s="46"/>
      <c r="V1612" s="46"/>
      <c r="W1612" s="46"/>
    </row>
    <row r="1613" ht="16.5" spans="1:23">
      <c r="A1613" s="46"/>
      <c r="B1613" s="46"/>
      <c r="C1613" s="46"/>
      <c r="D1613" s="46"/>
      <c r="E1613" s="46"/>
      <c r="F1613" s="46"/>
      <c r="G1613" s="46"/>
      <c r="H1613" s="46"/>
      <c r="I1613" s="46"/>
      <c r="J1613" s="46"/>
      <c r="K1613" s="46"/>
      <c r="L1613" s="46"/>
      <c r="M1613" s="46"/>
      <c r="N1613" s="46"/>
      <c r="O1613" s="46"/>
      <c r="P1613" s="46"/>
      <c r="Q1613" s="46"/>
      <c r="R1613" s="46"/>
      <c r="S1613" s="46"/>
      <c r="T1613" s="46"/>
      <c r="U1613" s="46"/>
      <c r="V1613" s="46"/>
      <c r="W1613" s="46"/>
    </row>
    <row r="1614" ht="16.5" spans="1:23">
      <c r="A1614" s="46"/>
      <c r="B1614" s="46"/>
      <c r="C1614" s="46"/>
      <c r="D1614" s="46"/>
      <c r="E1614" s="46"/>
      <c r="F1614" s="46"/>
      <c r="G1614" s="46"/>
      <c r="H1614" s="46"/>
      <c r="I1614" s="46"/>
      <c r="J1614" s="46"/>
      <c r="K1614" s="46"/>
      <c r="L1614" s="46"/>
      <c r="M1614" s="46"/>
      <c r="N1614" s="46"/>
      <c r="O1614" s="46"/>
      <c r="P1614" s="46"/>
      <c r="Q1614" s="46"/>
      <c r="R1614" s="46"/>
      <c r="S1614" s="46"/>
      <c r="T1614" s="46"/>
      <c r="U1614" s="46"/>
      <c r="V1614" s="46"/>
      <c r="W1614" s="46"/>
    </row>
    <row r="1615" ht="16.5" spans="1:23">
      <c r="A1615" s="46"/>
      <c r="B1615" s="46"/>
      <c r="C1615" s="46"/>
      <c r="D1615" s="46"/>
      <c r="E1615" s="46"/>
      <c r="F1615" s="46"/>
      <c r="G1615" s="46"/>
      <c r="H1615" s="46"/>
      <c r="I1615" s="46"/>
      <c r="J1615" s="46"/>
      <c r="K1615" s="46"/>
      <c r="L1615" s="46"/>
      <c r="M1615" s="46"/>
      <c r="N1615" s="46"/>
      <c r="O1615" s="46"/>
      <c r="P1615" s="46"/>
      <c r="Q1615" s="46"/>
      <c r="R1615" s="46"/>
      <c r="S1615" s="46"/>
      <c r="T1615" s="46"/>
      <c r="U1615" s="46"/>
      <c r="V1615" s="46"/>
      <c r="W1615" s="46"/>
    </row>
    <row r="1616" ht="16.5" spans="1:23">
      <c r="A1616" s="46"/>
      <c r="B1616" s="46"/>
      <c r="C1616" s="46"/>
      <c r="D1616" s="46"/>
      <c r="E1616" s="46"/>
      <c r="F1616" s="46"/>
      <c r="G1616" s="46"/>
      <c r="H1616" s="46"/>
      <c r="I1616" s="46"/>
      <c r="J1616" s="46"/>
      <c r="K1616" s="46"/>
      <c r="L1616" s="46"/>
      <c r="M1616" s="46"/>
      <c r="N1616" s="46"/>
      <c r="O1616" s="46"/>
      <c r="P1616" s="46"/>
      <c r="Q1616" s="46"/>
      <c r="R1616" s="46"/>
      <c r="S1616" s="46"/>
      <c r="T1616" s="46"/>
      <c r="U1616" s="46"/>
      <c r="V1616" s="46"/>
      <c r="W1616" s="46"/>
    </row>
    <row r="1617" ht="16.5" spans="1:23">
      <c r="A1617" s="46"/>
      <c r="B1617" s="46"/>
      <c r="C1617" s="46"/>
      <c r="D1617" s="46"/>
      <c r="E1617" s="46"/>
      <c r="F1617" s="46"/>
      <c r="G1617" s="46"/>
      <c r="H1617" s="46"/>
      <c r="I1617" s="46"/>
      <c r="J1617" s="46"/>
      <c r="K1617" s="46"/>
      <c r="L1617" s="46"/>
      <c r="M1617" s="46"/>
      <c r="N1617" s="46"/>
      <c r="O1617" s="46"/>
      <c r="P1617" s="46"/>
      <c r="Q1617" s="46"/>
      <c r="R1617" s="46"/>
      <c r="S1617" s="46"/>
      <c r="T1617" s="46"/>
      <c r="U1617" s="46"/>
      <c r="V1617" s="46"/>
      <c r="W1617" s="46"/>
    </row>
    <row r="1618" ht="16.5" spans="1:23">
      <c r="A1618" s="46"/>
      <c r="B1618" s="46"/>
      <c r="C1618" s="46"/>
      <c r="D1618" s="46"/>
      <c r="E1618" s="46"/>
      <c r="F1618" s="46"/>
      <c r="G1618" s="46"/>
      <c r="H1618" s="46"/>
      <c r="I1618" s="46"/>
      <c r="J1618" s="46"/>
      <c r="K1618" s="46"/>
      <c r="L1618" s="46"/>
      <c r="M1618" s="46"/>
      <c r="N1618" s="46"/>
      <c r="O1618" s="46"/>
      <c r="P1618" s="46"/>
      <c r="Q1618" s="46"/>
      <c r="R1618" s="46"/>
      <c r="S1618" s="46"/>
      <c r="T1618" s="46"/>
      <c r="U1618" s="46"/>
      <c r="V1618" s="46"/>
      <c r="W1618" s="46"/>
    </row>
    <row r="1619" ht="16.5" spans="1:23">
      <c r="A1619" s="46"/>
      <c r="B1619" s="46"/>
      <c r="C1619" s="46"/>
      <c r="D1619" s="46"/>
      <c r="E1619" s="46"/>
      <c r="F1619" s="46"/>
      <c r="G1619" s="46"/>
      <c r="H1619" s="46"/>
      <c r="I1619" s="46"/>
      <c r="J1619" s="46"/>
      <c r="K1619" s="46"/>
      <c r="L1619" s="46"/>
      <c r="M1619" s="46"/>
      <c r="N1619" s="46"/>
      <c r="O1619" s="46"/>
      <c r="P1619" s="46"/>
      <c r="Q1619" s="46"/>
      <c r="R1619" s="46"/>
      <c r="S1619" s="46"/>
      <c r="T1619" s="46"/>
      <c r="U1619" s="46"/>
      <c r="V1619" s="46"/>
      <c r="W1619" s="46"/>
    </row>
    <row r="1620" ht="16.5" spans="1:23">
      <c r="A1620" s="46"/>
      <c r="B1620" s="46"/>
      <c r="C1620" s="46"/>
      <c r="D1620" s="46"/>
      <c r="E1620" s="46"/>
      <c r="F1620" s="46"/>
      <c r="G1620" s="46"/>
      <c r="H1620" s="46"/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  <c r="S1620" s="46"/>
      <c r="T1620" s="46"/>
      <c r="U1620" s="46"/>
      <c r="V1620" s="46"/>
      <c r="W1620" s="46"/>
    </row>
    <row r="1621" ht="16.5" spans="1:23">
      <c r="A1621" s="46"/>
      <c r="B1621" s="46"/>
      <c r="C1621" s="46"/>
      <c r="D1621" s="46"/>
      <c r="E1621" s="46"/>
      <c r="F1621" s="46"/>
      <c r="G1621" s="46"/>
      <c r="H1621" s="46"/>
      <c r="I1621" s="46"/>
      <c r="J1621" s="46"/>
      <c r="K1621" s="46"/>
      <c r="L1621" s="46"/>
      <c r="M1621" s="46"/>
      <c r="N1621" s="46"/>
      <c r="O1621" s="46"/>
      <c r="P1621" s="46"/>
      <c r="Q1621" s="46"/>
      <c r="R1621" s="46"/>
      <c r="S1621" s="46"/>
      <c r="T1621" s="46"/>
      <c r="U1621" s="46"/>
      <c r="V1621" s="46"/>
      <c r="W1621" s="46"/>
    </row>
    <row r="1622" ht="16.5" spans="1:23">
      <c r="A1622" s="46"/>
      <c r="B1622" s="46"/>
      <c r="C1622" s="46"/>
      <c r="D1622" s="46"/>
      <c r="E1622" s="46"/>
      <c r="F1622" s="46"/>
      <c r="G1622" s="46"/>
      <c r="H1622" s="46"/>
      <c r="I1622" s="46"/>
      <c r="J1622" s="46"/>
      <c r="K1622" s="46"/>
      <c r="L1622" s="46"/>
      <c r="M1622" s="46"/>
      <c r="N1622" s="46"/>
      <c r="O1622" s="46"/>
      <c r="P1622" s="46"/>
      <c r="Q1622" s="46"/>
      <c r="R1622" s="46"/>
      <c r="S1622" s="46"/>
      <c r="T1622" s="46"/>
      <c r="U1622" s="46"/>
      <c r="V1622" s="46"/>
      <c r="W1622" s="46"/>
    </row>
    <row r="1623" ht="16.5" spans="1:23">
      <c r="A1623" s="46"/>
      <c r="B1623" s="46"/>
      <c r="C1623" s="46"/>
      <c r="D1623" s="46"/>
      <c r="E1623" s="46"/>
      <c r="F1623" s="46"/>
      <c r="G1623" s="46"/>
      <c r="H1623" s="46"/>
      <c r="I1623" s="46"/>
      <c r="J1623" s="46"/>
      <c r="K1623" s="46"/>
      <c r="L1623" s="46"/>
      <c r="M1623" s="46"/>
      <c r="N1623" s="46"/>
      <c r="O1623" s="46"/>
      <c r="P1623" s="46"/>
      <c r="Q1623" s="46"/>
      <c r="R1623" s="46"/>
      <c r="S1623" s="46"/>
      <c r="T1623" s="46"/>
      <c r="U1623" s="46"/>
      <c r="V1623" s="46"/>
      <c r="W1623" s="46"/>
    </row>
    <row r="1624" ht="16.5" spans="1:23">
      <c r="A1624" s="46"/>
      <c r="B1624" s="46"/>
      <c r="C1624" s="46"/>
      <c r="D1624" s="46"/>
      <c r="E1624" s="46"/>
      <c r="F1624" s="46"/>
      <c r="G1624" s="46"/>
      <c r="H1624" s="46"/>
      <c r="I1624" s="46"/>
      <c r="J1624" s="46"/>
      <c r="K1624" s="46"/>
      <c r="L1624" s="46"/>
      <c r="M1624" s="46"/>
      <c r="N1624" s="46"/>
      <c r="O1624" s="46"/>
      <c r="P1624" s="46"/>
      <c r="Q1624" s="46"/>
      <c r="R1624" s="46"/>
      <c r="S1624" s="46"/>
      <c r="T1624" s="46"/>
      <c r="U1624" s="46"/>
      <c r="V1624" s="46"/>
      <c r="W1624" s="46"/>
    </row>
    <row r="1625" ht="16.5" spans="1:23">
      <c r="A1625" s="46"/>
      <c r="B1625" s="46"/>
      <c r="C1625" s="46"/>
      <c r="D1625" s="46"/>
      <c r="E1625" s="46"/>
      <c r="F1625" s="46"/>
      <c r="G1625" s="46"/>
      <c r="H1625" s="46"/>
      <c r="I1625" s="46"/>
      <c r="J1625" s="46"/>
      <c r="K1625" s="46"/>
      <c r="L1625" s="46"/>
      <c r="M1625" s="46"/>
      <c r="N1625" s="46"/>
      <c r="O1625" s="46"/>
      <c r="P1625" s="46"/>
      <c r="Q1625" s="46"/>
      <c r="R1625" s="46"/>
      <c r="S1625" s="46"/>
      <c r="T1625" s="46"/>
      <c r="U1625" s="46"/>
      <c r="V1625" s="46"/>
      <c r="W1625" s="46"/>
    </row>
    <row r="1626" ht="16.5" spans="1:23">
      <c r="A1626" s="46"/>
      <c r="B1626" s="46"/>
      <c r="C1626" s="46"/>
      <c r="D1626" s="46"/>
      <c r="E1626" s="46"/>
      <c r="F1626" s="46"/>
      <c r="G1626" s="46"/>
      <c r="H1626" s="46"/>
      <c r="I1626" s="46"/>
      <c r="J1626" s="46"/>
      <c r="K1626" s="46"/>
      <c r="L1626" s="46"/>
      <c r="M1626" s="46"/>
      <c r="N1626" s="46"/>
      <c r="O1626" s="46"/>
      <c r="P1626" s="46"/>
      <c r="Q1626" s="46"/>
      <c r="R1626" s="46"/>
      <c r="S1626" s="46"/>
      <c r="T1626" s="46"/>
      <c r="U1626" s="46"/>
      <c r="V1626" s="46"/>
      <c r="W1626" s="46"/>
    </row>
    <row r="1627" ht="16.5" spans="1:23">
      <c r="A1627" s="46"/>
      <c r="B1627" s="46"/>
      <c r="C1627" s="46"/>
      <c r="D1627" s="46"/>
      <c r="E1627" s="46"/>
      <c r="F1627" s="46"/>
      <c r="G1627" s="46"/>
      <c r="H1627" s="46"/>
      <c r="I1627" s="46"/>
      <c r="J1627" s="46"/>
      <c r="K1627" s="46"/>
      <c r="L1627" s="46"/>
      <c r="M1627" s="46"/>
      <c r="N1627" s="46"/>
      <c r="O1627" s="46"/>
      <c r="P1627" s="46"/>
      <c r="Q1627" s="46"/>
      <c r="R1627" s="46"/>
      <c r="S1627" s="46"/>
      <c r="T1627" s="46"/>
      <c r="U1627" s="46"/>
      <c r="V1627" s="46"/>
      <c r="W1627" s="46"/>
    </row>
    <row r="1628" ht="16.5" spans="1:23">
      <c r="A1628" s="46"/>
      <c r="B1628" s="46"/>
      <c r="C1628" s="46"/>
      <c r="D1628" s="46"/>
      <c r="E1628" s="46"/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  <c r="P1628" s="46"/>
      <c r="Q1628" s="46"/>
      <c r="R1628" s="46"/>
      <c r="S1628" s="46"/>
      <c r="T1628" s="46"/>
      <c r="U1628" s="46"/>
      <c r="V1628" s="46"/>
      <c r="W1628" s="46"/>
    </row>
    <row r="1629" ht="16.5" spans="1:23">
      <c r="A1629" s="46"/>
      <c r="B1629" s="46"/>
      <c r="C1629" s="46"/>
      <c r="D1629" s="46"/>
      <c r="E1629" s="46"/>
      <c r="F1629" s="46"/>
      <c r="G1629" s="46"/>
      <c r="H1629" s="46"/>
      <c r="I1629" s="46"/>
      <c r="J1629" s="46"/>
      <c r="K1629" s="46"/>
      <c r="L1629" s="46"/>
      <c r="M1629" s="46"/>
      <c r="N1629" s="46"/>
      <c r="O1629" s="46"/>
      <c r="P1629" s="46"/>
      <c r="Q1629" s="46"/>
      <c r="R1629" s="46"/>
      <c r="S1629" s="46"/>
      <c r="T1629" s="46"/>
      <c r="U1629" s="46"/>
      <c r="V1629" s="46"/>
      <c r="W1629" s="46"/>
    </row>
    <row r="1630" ht="16.5" spans="1:23">
      <c r="A1630" s="46"/>
      <c r="B1630" s="46"/>
      <c r="C1630" s="46"/>
      <c r="D1630" s="46"/>
      <c r="E1630" s="46"/>
      <c r="F1630" s="46"/>
      <c r="G1630" s="46"/>
      <c r="H1630" s="46"/>
      <c r="I1630" s="46"/>
      <c r="J1630" s="46"/>
      <c r="K1630" s="46"/>
      <c r="L1630" s="46"/>
      <c r="M1630" s="46"/>
      <c r="N1630" s="46"/>
      <c r="O1630" s="46"/>
      <c r="P1630" s="46"/>
      <c r="Q1630" s="46"/>
      <c r="R1630" s="46"/>
      <c r="S1630" s="46"/>
      <c r="T1630" s="46"/>
      <c r="U1630" s="46"/>
      <c r="V1630" s="46"/>
      <c r="W1630" s="46"/>
    </row>
    <row r="1631" ht="16.5" spans="1:23">
      <c r="A1631" s="46"/>
      <c r="B1631" s="46"/>
      <c r="C1631" s="46"/>
      <c r="D1631" s="46"/>
      <c r="E1631" s="46"/>
      <c r="F1631" s="46"/>
      <c r="G1631" s="46"/>
      <c r="H1631" s="46"/>
      <c r="I1631" s="46"/>
      <c r="J1631" s="46"/>
      <c r="K1631" s="46"/>
      <c r="L1631" s="46"/>
      <c r="M1631" s="46"/>
      <c r="N1631" s="46"/>
      <c r="O1631" s="46"/>
      <c r="P1631" s="46"/>
      <c r="Q1631" s="46"/>
      <c r="R1631" s="46"/>
      <c r="S1631" s="46"/>
      <c r="T1631" s="46"/>
      <c r="U1631" s="46"/>
      <c r="V1631" s="46"/>
      <c r="W1631" s="46"/>
    </row>
    <row r="1632" ht="16.5" spans="1:23">
      <c r="A1632" s="46"/>
      <c r="B1632" s="46"/>
      <c r="C1632" s="46"/>
      <c r="D1632" s="46"/>
      <c r="E1632" s="46"/>
      <c r="F1632" s="46"/>
      <c r="G1632" s="46"/>
      <c r="H1632" s="46"/>
      <c r="I1632" s="46"/>
      <c r="J1632" s="46"/>
      <c r="K1632" s="46"/>
      <c r="L1632" s="46"/>
      <c r="M1632" s="46"/>
      <c r="N1632" s="46"/>
      <c r="O1632" s="46"/>
      <c r="P1632" s="46"/>
      <c r="Q1632" s="46"/>
      <c r="R1632" s="46"/>
      <c r="S1632" s="46"/>
      <c r="T1632" s="46"/>
      <c r="U1632" s="46"/>
      <c r="V1632" s="46"/>
      <c r="W1632" s="46"/>
    </row>
    <row r="1633" ht="16.5" spans="1:23">
      <c r="A1633" s="46"/>
      <c r="B1633" s="46"/>
      <c r="C1633" s="46"/>
      <c r="D1633" s="46"/>
      <c r="E1633" s="46"/>
      <c r="F1633" s="46"/>
      <c r="G1633" s="46"/>
      <c r="H1633" s="46"/>
      <c r="I1633" s="46"/>
      <c r="J1633" s="46"/>
      <c r="K1633" s="46"/>
      <c r="L1633" s="46"/>
      <c r="M1633" s="46"/>
      <c r="N1633" s="46"/>
      <c r="O1633" s="46"/>
      <c r="P1633" s="46"/>
      <c r="Q1633" s="46"/>
      <c r="R1633" s="46"/>
      <c r="S1633" s="46"/>
      <c r="T1633" s="46"/>
      <c r="U1633" s="46"/>
      <c r="V1633" s="46"/>
      <c r="W1633" s="46"/>
    </row>
    <row r="1634" ht="16.5" spans="1:23">
      <c r="A1634" s="46"/>
      <c r="B1634" s="46"/>
      <c r="C1634" s="46"/>
      <c r="D1634" s="46"/>
      <c r="E1634" s="46"/>
      <c r="F1634" s="46"/>
      <c r="G1634" s="46"/>
      <c r="H1634" s="46"/>
      <c r="I1634" s="46"/>
      <c r="J1634" s="46"/>
      <c r="K1634" s="46"/>
      <c r="L1634" s="46"/>
      <c r="M1634" s="46"/>
      <c r="N1634" s="46"/>
      <c r="O1634" s="46"/>
      <c r="P1634" s="46"/>
      <c r="Q1634" s="46"/>
      <c r="R1634" s="46"/>
      <c r="S1634" s="46"/>
      <c r="T1634" s="46"/>
      <c r="U1634" s="46"/>
      <c r="V1634" s="46"/>
      <c r="W1634" s="46"/>
    </row>
    <row r="1635" ht="16.5" spans="1:23">
      <c r="A1635" s="46"/>
      <c r="B1635" s="46"/>
      <c r="C1635" s="46"/>
      <c r="D1635" s="46"/>
      <c r="E1635" s="46"/>
      <c r="F1635" s="46"/>
      <c r="G1635" s="46"/>
      <c r="H1635" s="46"/>
      <c r="I1635" s="46"/>
      <c r="J1635" s="46"/>
      <c r="K1635" s="46"/>
      <c r="L1635" s="46"/>
      <c r="M1635" s="46"/>
      <c r="N1635" s="46"/>
      <c r="O1635" s="46"/>
      <c r="P1635" s="46"/>
      <c r="Q1635" s="46"/>
      <c r="R1635" s="46"/>
      <c r="S1635" s="46"/>
      <c r="T1635" s="46"/>
      <c r="U1635" s="46"/>
      <c r="V1635" s="46"/>
      <c r="W1635" s="46"/>
    </row>
    <row r="1636" ht="16.5" spans="1:23">
      <c r="A1636" s="46"/>
      <c r="B1636" s="46"/>
      <c r="C1636" s="46"/>
      <c r="D1636" s="46"/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  <c r="S1636" s="46"/>
      <c r="T1636" s="46"/>
      <c r="U1636" s="46"/>
      <c r="V1636" s="46"/>
      <c r="W1636" s="46"/>
    </row>
    <row r="1637" ht="16.5" spans="1:23">
      <c r="A1637" s="46"/>
      <c r="B1637" s="46"/>
      <c r="C1637" s="46"/>
      <c r="D1637" s="46"/>
      <c r="E1637" s="46"/>
      <c r="F1637" s="46"/>
      <c r="G1637" s="46"/>
      <c r="H1637" s="46"/>
      <c r="I1637" s="46"/>
      <c r="J1637" s="46"/>
      <c r="K1637" s="46"/>
      <c r="L1637" s="46"/>
      <c r="M1637" s="46"/>
      <c r="N1637" s="46"/>
      <c r="O1637" s="46"/>
      <c r="P1637" s="46"/>
      <c r="Q1637" s="46"/>
      <c r="R1637" s="46"/>
      <c r="S1637" s="46"/>
      <c r="T1637" s="46"/>
      <c r="U1637" s="46"/>
      <c r="V1637" s="46"/>
      <c r="W1637" s="46"/>
    </row>
    <row r="1638" ht="16.5" spans="1:23">
      <c r="A1638" s="46"/>
      <c r="B1638" s="46"/>
      <c r="C1638" s="46"/>
      <c r="D1638" s="46"/>
      <c r="E1638" s="46"/>
      <c r="F1638" s="46"/>
      <c r="G1638" s="46"/>
      <c r="H1638" s="46"/>
      <c r="I1638" s="46"/>
      <c r="J1638" s="46"/>
      <c r="K1638" s="46"/>
      <c r="L1638" s="46"/>
      <c r="M1638" s="46"/>
      <c r="N1638" s="46"/>
      <c r="O1638" s="46"/>
      <c r="P1638" s="46"/>
      <c r="Q1638" s="46"/>
      <c r="R1638" s="46"/>
      <c r="S1638" s="46"/>
      <c r="T1638" s="46"/>
      <c r="U1638" s="46"/>
      <c r="V1638" s="46"/>
      <c r="W1638" s="46"/>
    </row>
    <row r="1639" ht="16.5" spans="1:23">
      <c r="A1639" s="46"/>
      <c r="B1639" s="46"/>
      <c r="C1639" s="46"/>
      <c r="D1639" s="46"/>
      <c r="E1639" s="46"/>
      <c r="F1639" s="46"/>
      <c r="G1639" s="46"/>
      <c r="H1639" s="46"/>
      <c r="I1639" s="46"/>
      <c r="J1639" s="46"/>
      <c r="K1639" s="46"/>
      <c r="L1639" s="46"/>
      <c r="M1639" s="46"/>
      <c r="N1639" s="46"/>
      <c r="O1639" s="46"/>
      <c r="P1639" s="46"/>
      <c r="Q1639" s="46"/>
      <c r="R1639" s="46"/>
      <c r="S1639" s="46"/>
      <c r="T1639" s="46"/>
      <c r="U1639" s="46"/>
      <c r="V1639" s="46"/>
      <c r="W1639" s="46"/>
    </row>
    <row r="1640" ht="16.5" spans="1:23">
      <c r="A1640" s="46"/>
      <c r="B1640" s="46"/>
      <c r="C1640" s="46"/>
      <c r="D1640" s="46"/>
      <c r="E1640" s="46"/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  <c r="S1640" s="46"/>
      <c r="T1640" s="46"/>
      <c r="U1640" s="46"/>
      <c r="V1640" s="46"/>
      <c r="W1640" s="46"/>
    </row>
    <row r="1641" ht="16.5" spans="1:23">
      <c r="A1641" s="46"/>
      <c r="B1641" s="46"/>
      <c r="C1641" s="46"/>
      <c r="D1641" s="46"/>
      <c r="E1641" s="46"/>
      <c r="F1641" s="46"/>
      <c r="G1641" s="46"/>
      <c r="H1641" s="46"/>
      <c r="I1641" s="46"/>
      <c r="J1641" s="46"/>
      <c r="K1641" s="46"/>
      <c r="L1641" s="46"/>
      <c r="M1641" s="46"/>
      <c r="N1641" s="46"/>
      <c r="O1641" s="46"/>
      <c r="P1641" s="46"/>
      <c r="Q1641" s="46"/>
      <c r="R1641" s="46"/>
      <c r="S1641" s="46"/>
      <c r="T1641" s="46"/>
      <c r="U1641" s="46"/>
      <c r="V1641" s="46"/>
      <c r="W1641" s="46"/>
    </row>
    <row r="1642" ht="16.5" spans="1:23">
      <c r="A1642" s="46"/>
      <c r="B1642" s="46"/>
      <c r="C1642" s="46"/>
      <c r="D1642" s="46"/>
      <c r="E1642" s="46"/>
      <c r="F1642" s="46"/>
      <c r="G1642" s="46"/>
      <c r="H1642" s="46"/>
      <c r="I1642" s="46"/>
      <c r="J1642" s="46"/>
      <c r="K1642" s="46"/>
      <c r="L1642" s="46"/>
      <c r="M1642" s="46"/>
      <c r="N1642" s="46"/>
      <c r="O1642" s="46"/>
      <c r="P1642" s="46"/>
      <c r="Q1642" s="46"/>
      <c r="R1642" s="46"/>
      <c r="S1642" s="46"/>
      <c r="T1642" s="46"/>
      <c r="U1642" s="46"/>
      <c r="V1642" s="46"/>
      <c r="W1642" s="46"/>
    </row>
    <row r="1643" ht="16.5" spans="1:23">
      <c r="A1643" s="46"/>
      <c r="B1643" s="46"/>
      <c r="C1643" s="46"/>
      <c r="D1643" s="46"/>
      <c r="E1643" s="46"/>
      <c r="F1643" s="46"/>
      <c r="G1643" s="46"/>
      <c r="H1643" s="46"/>
      <c r="I1643" s="46"/>
      <c r="J1643" s="46"/>
      <c r="K1643" s="46"/>
      <c r="L1643" s="46"/>
      <c r="M1643" s="46"/>
      <c r="N1643" s="46"/>
      <c r="O1643" s="46"/>
      <c r="P1643" s="46"/>
      <c r="Q1643" s="46"/>
      <c r="R1643" s="46"/>
      <c r="S1643" s="46"/>
      <c r="T1643" s="46"/>
      <c r="U1643" s="46"/>
      <c r="V1643" s="46"/>
      <c r="W1643" s="46"/>
    </row>
    <row r="1644" ht="16.5" spans="1:23">
      <c r="A1644" s="46"/>
      <c r="B1644" s="46"/>
      <c r="C1644" s="46"/>
      <c r="D1644" s="46"/>
      <c r="E1644" s="46"/>
      <c r="F1644" s="46"/>
      <c r="G1644" s="46"/>
      <c r="H1644" s="46"/>
      <c r="I1644" s="46"/>
      <c r="J1644" s="46"/>
      <c r="K1644" s="46"/>
      <c r="L1644" s="46"/>
      <c r="M1644" s="46"/>
      <c r="N1644" s="46"/>
      <c r="O1644" s="46"/>
      <c r="P1644" s="46"/>
      <c r="Q1644" s="46"/>
      <c r="R1644" s="46"/>
      <c r="S1644" s="46"/>
      <c r="T1644" s="46"/>
      <c r="U1644" s="46"/>
      <c r="V1644" s="46"/>
      <c r="W1644" s="46"/>
    </row>
    <row r="1645" ht="16.5" spans="1:23">
      <c r="A1645" s="46"/>
      <c r="B1645" s="46"/>
      <c r="C1645" s="46"/>
      <c r="D1645" s="46"/>
      <c r="E1645" s="46"/>
      <c r="F1645" s="46"/>
      <c r="G1645" s="46"/>
      <c r="H1645" s="46"/>
      <c r="I1645" s="46"/>
      <c r="J1645" s="46"/>
      <c r="K1645" s="46"/>
      <c r="L1645" s="46"/>
      <c r="M1645" s="46"/>
      <c r="N1645" s="46"/>
      <c r="O1645" s="46"/>
      <c r="P1645" s="46"/>
      <c r="Q1645" s="46"/>
      <c r="R1645" s="46"/>
      <c r="S1645" s="46"/>
      <c r="T1645" s="46"/>
      <c r="U1645" s="46"/>
      <c r="V1645" s="46"/>
      <c r="W1645" s="46"/>
    </row>
    <row r="1646" ht="16.5" spans="1:23">
      <c r="A1646" s="46"/>
      <c r="B1646" s="46"/>
      <c r="C1646" s="46"/>
      <c r="D1646" s="46"/>
      <c r="E1646" s="46"/>
      <c r="F1646" s="46"/>
      <c r="G1646" s="46"/>
      <c r="H1646" s="46"/>
      <c r="I1646" s="46"/>
      <c r="J1646" s="46"/>
      <c r="K1646" s="46"/>
      <c r="L1646" s="46"/>
      <c r="M1646" s="46"/>
      <c r="N1646" s="46"/>
      <c r="O1646" s="46"/>
      <c r="P1646" s="46"/>
      <c r="Q1646" s="46"/>
      <c r="R1646" s="46"/>
      <c r="S1646" s="46"/>
      <c r="T1646" s="46"/>
      <c r="U1646" s="46"/>
      <c r="V1646" s="46"/>
      <c r="W1646" s="46"/>
    </row>
    <row r="1647" ht="16.5" spans="1:23">
      <c r="A1647" s="46"/>
      <c r="B1647" s="46"/>
      <c r="C1647" s="46"/>
      <c r="D1647" s="46"/>
      <c r="E1647" s="46"/>
      <c r="F1647" s="46"/>
      <c r="G1647" s="46"/>
      <c r="H1647" s="46"/>
      <c r="I1647" s="46"/>
      <c r="J1647" s="46"/>
      <c r="K1647" s="46"/>
      <c r="L1647" s="46"/>
      <c r="M1647" s="46"/>
      <c r="N1647" s="46"/>
      <c r="O1647" s="46"/>
      <c r="P1647" s="46"/>
      <c r="Q1647" s="46"/>
      <c r="R1647" s="46"/>
      <c r="S1647" s="46"/>
      <c r="T1647" s="46"/>
      <c r="U1647" s="46"/>
      <c r="V1647" s="46"/>
      <c r="W1647" s="46"/>
    </row>
    <row r="1648" ht="16.5" spans="1:23">
      <c r="A1648" s="46"/>
      <c r="B1648" s="46"/>
      <c r="C1648" s="46"/>
      <c r="D1648" s="46"/>
      <c r="E1648" s="46"/>
      <c r="F1648" s="46"/>
      <c r="G1648" s="46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R1648" s="46"/>
      <c r="S1648" s="46"/>
      <c r="T1648" s="46"/>
      <c r="U1648" s="46"/>
      <c r="V1648" s="46"/>
      <c r="W1648" s="46"/>
    </row>
    <row r="1649" ht="16.5" spans="1:23">
      <c r="A1649" s="46"/>
      <c r="B1649" s="46"/>
      <c r="C1649" s="46"/>
      <c r="D1649" s="46"/>
      <c r="E1649" s="46"/>
      <c r="F1649" s="46"/>
      <c r="G1649" s="46"/>
      <c r="H1649" s="46"/>
      <c r="I1649" s="46"/>
      <c r="J1649" s="46"/>
      <c r="K1649" s="46"/>
      <c r="L1649" s="46"/>
      <c r="M1649" s="46"/>
      <c r="N1649" s="46"/>
      <c r="O1649" s="46"/>
      <c r="P1649" s="46"/>
      <c r="Q1649" s="46"/>
      <c r="R1649" s="46"/>
      <c r="S1649" s="46"/>
      <c r="T1649" s="46"/>
      <c r="U1649" s="46"/>
      <c r="V1649" s="46"/>
      <c r="W1649" s="46"/>
    </row>
    <row r="1650" ht="16.5" spans="1:23">
      <c r="A1650" s="46"/>
      <c r="B1650" s="46"/>
      <c r="C1650" s="46"/>
      <c r="D1650" s="46"/>
      <c r="E1650" s="46"/>
      <c r="F1650" s="46"/>
      <c r="G1650" s="46"/>
      <c r="H1650" s="46"/>
      <c r="I1650" s="46"/>
      <c r="J1650" s="46"/>
      <c r="K1650" s="46"/>
      <c r="L1650" s="46"/>
      <c r="M1650" s="46"/>
      <c r="N1650" s="46"/>
      <c r="O1650" s="46"/>
      <c r="P1650" s="46"/>
      <c r="Q1650" s="46"/>
      <c r="R1650" s="46"/>
      <c r="S1650" s="46"/>
      <c r="T1650" s="46"/>
      <c r="U1650" s="46"/>
      <c r="V1650" s="46"/>
      <c r="W1650" s="46"/>
    </row>
    <row r="1651" ht="16.5" spans="1:23">
      <c r="A1651" s="46"/>
      <c r="B1651" s="46"/>
      <c r="C1651" s="46"/>
      <c r="D1651" s="46"/>
      <c r="E1651" s="46"/>
      <c r="F1651" s="46"/>
      <c r="G1651" s="46"/>
      <c r="H1651" s="46"/>
      <c r="I1651" s="46"/>
      <c r="J1651" s="46"/>
      <c r="K1651" s="46"/>
      <c r="L1651" s="46"/>
      <c r="M1651" s="46"/>
      <c r="N1651" s="46"/>
      <c r="O1651" s="46"/>
      <c r="P1651" s="46"/>
      <c r="Q1651" s="46"/>
      <c r="R1651" s="46"/>
      <c r="S1651" s="46"/>
      <c r="T1651" s="46"/>
      <c r="U1651" s="46"/>
      <c r="V1651" s="46"/>
      <c r="W1651" s="46"/>
    </row>
    <row r="1652" ht="16.5" spans="1:23">
      <c r="A1652" s="46"/>
      <c r="B1652" s="46"/>
      <c r="C1652" s="46"/>
      <c r="D1652" s="46"/>
      <c r="E1652" s="46"/>
      <c r="F1652" s="46"/>
      <c r="G1652" s="46"/>
      <c r="H1652" s="46"/>
      <c r="I1652" s="46"/>
      <c r="J1652" s="46"/>
      <c r="K1652" s="46"/>
      <c r="L1652" s="46"/>
      <c r="M1652" s="46"/>
      <c r="N1652" s="46"/>
      <c r="O1652" s="46"/>
      <c r="P1652" s="46"/>
      <c r="Q1652" s="46"/>
      <c r="R1652" s="46"/>
      <c r="S1652" s="46"/>
      <c r="T1652" s="46"/>
      <c r="U1652" s="46"/>
      <c r="V1652" s="46"/>
      <c r="W1652" s="46"/>
    </row>
    <row r="1653" ht="16.5" spans="1:23">
      <c r="A1653" s="46"/>
      <c r="B1653" s="46"/>
      <c r="C1653" s="46"/>
      <c r="D1653" s="46"/>
      <c r="E1653" s="46"/>
      <c r="F1653" s="46"/>
      <c r="G1653" s="46"/>
      <c r="H1653" s="46"/>
      <c r="I1653" s="46"/>
      <c r="J1653" s="46"/>
      <c r="K1653" s="46"/>
      <c r="L1653" s="46"/>
      <c r="M1653" s="46"/>
      <c r="N1653" s="46"/>
      <c r="O1653" s="46"/>
      <c r="P1653" s="46"/>
      <c r="Q1653" s="46"/>
      <c r="R1653" s="46"/>
      <c r="S1653" s="46"/>
      <c r="T1653" s="46"/>
      <c r="U1653" s="46"/>
      <c r="V1653" s="46"/>
      <c r="W1653" s="46"/>
    </row>
    <row r="1654" ht="16.5" spans="1:23">
      <c r="A1654" s="46"/>
      <c r="B1654" s="46"/>
      <c r="C1654" s="46"/>
      <c r="D1654" s="46"/>
      <c r="E1654" s="46"/>
      <c r="F1654" s="46"/>
      <c r="G1654" s="46"/>
      <c r="H1654" s="46"/>
      <c r="I1654" s="46"/>
      <c r="J1654" s="46"/>
      <c r="K1654" s="46"/>
      <c r="L1654" s="46"/>
      <c r="M1654" s="46"/>
      <c r="N1654" s="46"/>
      <c r="O1654" s="46"/>
      <c r="P1654" s="46"/>
      <c r="Q1654" s="46"/>
      <c r="R1654" s="46"/>
      <c r="S1654" s="46"/>
      <c r="T1654" s="46"/>
      <c r="U1654" s="46"/>
      <c r="V1654" s="46"/>
      <c r="W1654" s="46"/>
    </row>
    <row r="1655" ht="16.5" spans="1:23">
      <c r="A1655" s="46"/>
      <c r="B1655" s="46"/>
      <c r="C1655" s="46"/>
      <c r="D1655" s="46"/>
      <c r="E1655" s="46"/>
      <c r="F1655" s="46"/>
      <c r="G1655" s="46"/>
      <c r="H1655" s="46"/>
      <c r="I1655" s="46"/>
      <c r="J1655" s="46"/>
      <c r="K1655" s="46"/>
      <c r="L1655" s="46"/>
      <c r="M1655" s="46"/>
      <c r="N1655" s="46"/>
      <c r="O1655" s="46"/>
      <c r="P1655" s="46"/>
      <c r="Q1655" s="46"/>
      <c r="R1655" s="46"/>
      <c r="S1655" s="46"/>
      <c r="T1655" s="46"/>
      <c r="U1655" s="46"/>
      <c r="V1655" s="46"/>
      <c r="W1655" s="46"/>
    </row>
    <row r="1656" ht="16.5" spans="1:23">
      <c r="A1656" s="46"/>
      <c r="B1656" s="46"/>
      <c r="C1656" s="46"/>
      <c r="D1656" s="46"/>
      <c r="E1656" s="46"/>
      <c r="F1656" s="46"/>
      <c r="G1656" s="46"/>
      <c r="H1656" s="46"/>
      <c r="I1656" s="46"/>
      <c r="J1656" s="46"/>
      <c r="K1656" s="46"/>
      <c r="L1656" s="46"/>
      <c r="M1656" s="46"/>
      <c r="N1656" s="46"/>
      <c r="O1656" s="46"/>
      <c r="P1656" s="46"/>
      <c r="Q1656" s="46"/>
      <c r="R1656" s="46"/>
      <c r="S1656" s="46"/>
      <c r="T1656" s="46"/>
      <c r="U1656" s="46"/>
      <c r="V1656" s="46"/>
      <c r="W1656" s="46"/>
    </row>
    <row r="1657" ht="16.5" spans="1:23">
      <c r="A1657" s="46"/>
      <c r="B1657" s="46"/>
      <c r="C1657" s="46"/>
      <c r="D1657" s="46"/>
      <c r="E1657" s="46"/>
      <c r="F1657" s="46"/>
      <c r="G1657" s="46"/>
      <c r="H1657" s="46"/>
      <c r="I1657" s="46"/>
      <c r="J1657" s="46"/>
      <c r="K1657" s="46"/>
      <c r="L1657" s="46"/>
      <c r="M1657" s="46"/>
      <c r="N1657" s="46"/>
      <c r="O1657" s="46"/>
      <c r="P1657" s="46"/>
      <c r="Q1657" s="46"/>
      <c r="R1657" s="46"/>
      <c r="S1657" s="46"/>
      <c r="T1657" s="46"/>
      <c r="U1657" s="46"/>
      <c r="V1657" s="46"/>
      <c r="W1657" s="46"/>
    </row>
    <row r="1658" ht="16.5" spans="1:23">
      <c r="A1658" s="46"/>
      <c r="B1658" s="46"/>
      <c r="C1658" s="46"/>
      <c r="D1658" s="46"/>
      <c r="E1658" s="46"/>
      <c r="F1658" s="46"/>
      <c r="G1658" s="46"/>
      <c r="H1658" s="46"/>
      <c r="I1658" s="46"/>
      <c r="J1658" s="46"/>
      <c r="K1658" s="46"/>
      <c r="L1658" s="46"/>
      <c r="M1658" s="46"/>
      <c r="N1658" s="46"/>
      <c r="O1658" s="46"/>
      <c r="P1658" s="46"/>
      <c r="Q1658" s="46"/>
      <c r="R1658" s="46"/>
      <c r="S1658" s="46"/>
      <c r="T1658" s="46"/>
      <c r="U1658" s="46"/>
      <c r="V1658" s="46"/>
      <c r="W1658" s="46"/>
    </row>
    <row r="1659" ht="16.5" spans="1:23">
      <c r="A1659" s="46"/>
      <c r="B1659" s="46"/>
      <c r="C1659" s="46"/>
      <c r="D1659" s="46"/>
      <c r="E1659" s="46"/>
      <c r="F1659" s="46"/>
      <c r="G1659" s="46"/>
      <c r="H1659" s="46"/>
      <c r="I1659" s="46"/>
      <c r="J1659" s="46"/>
      <c r="K1659" s="46"/>
      <c r="L1659" s="46"/>
      <c r="M1659" s="46"/>
      <c r="N1659" s="46"/>
      <c r="O1659" s="46"/>
      <c r="P1659" s="46"/>
      <c r="Q1659" s="46"/>
      <c r="R1659" s="46"/>
      <c r="S1659" s="46"/>
      <c r="T1659" s="46"/>
      <c r="U1659" s="46"/>
      <c r="V1659" s="46"/>
      <c r="W1659" s="46"/>
    </row>
    <row r="1660" ht="16.5" spans="1:23">
      <c r="A1660" s="46"/>
      <c r="B1660" s="46"/>
      <c r="C1660" s="46"/>
      <c r="D1660" s="46"/>
      <c r="E1660" s="46"/>
      <c r="F1660" s="46"/>
      <c r="G1660" s="46"/>
      <c r="H1660" s="46"/>
      <c r="I1660" s="46"/>
      <c r="J1660" s="46"/>
      <c r="K1660" s="46"/>
      <c r="L1660" s="46"/>
      <c r="M1660" s="46"/>
      <c r="N1660" s="46"/>
      <c r="O1660" s="46"/>
      <c r="P1660" s="46"/>
      <c r="Q1660" s="46"/>
      <c r="R1660" s="46"/>
      <c r="S1660" s="46"/>
      <c r="T1660" s="46"/>
      <c r="U1660" s="46"/>
      <c r="V1660" s="46"/>
      <c r="W1660" s="46"/>
    </row>
    <row r="1661" ht="16.5" spans="1:23">
      <c r="A1661" s="46"/>
      <c r="B1661" s="46"/>
      <c r="C1661" s="46"/>
      <c r="D1661" s="46"/>
      <c r="E1661" s="46"/>
      <c r="F1661" s="46"/>
      <c r="G1661" s="46"/>
      <c r="H1661" s="46"/>
      <c r="I1661" s="46"/>
      <c r="J1661" s="46"/>
      <c r="K1661" s="46"/>
      <c r="L1661" s="46"/>
      <c r="M1661" s="46"/>
      <c r="N1661" s="46"/>
      <c r="O1661" s="46"/>
      <c r="P1661" s="46"/>
      <c r="Q1661" s="46"/>
      <c r="R1661" s="46"/>
      <c r="S1661" s="46"/>
      <c r="T1661" s="46"/>
      <c r="U1661" s="46"/>
      <c r="V1661" s="46"/>
      <c r="W1661" s="46"/>
    </row>
    <row r="1662" ht="16.5" spans="1:23">
      <c r="A1662" s="46"/>
      <c r="B1662" s="46"/>
      <c r="C1662" s="46"/>
      <c r="D1662" s="46"/>
      <c r="E1662" s="46"/>
      <c r="F1662" s="46"/>
      <c r="G1662" s="46"/>
      <c r="H1662" s="46"/>
      <c r="I1662" s="46"/>
      <c r="J1662" s="46"/>
      <c r="K1662" s="46"/>
      <c r="L1662" s="46"/>
      <c r="M1662" s="46"/>
      <c r="N1662" s="46"/>
      <c r="O1662" s="46"/>
      <c r="P1662" s="46"/>
      <c r="Q1662" s="46"/>
      <c r="R1662" s="46"/>
      <c r="S1662" s="46"/>
      <c r="T1662" s="46"/>
      <c r="U1662" s="46"/>
      <c r="V1662" s="46"/>
      <c r="W1662" s="46"/>
    </row>
    <row r="1663" ht="16.5" spans="1:23">
      <c r="A1663" s="46"/>
      <c r="B1663" s="46"/>
      <c r="C1663" s="46"/>
      <c r="D1663" s="46"/>
      <c r="E1663" s="46"/>
      <c r="F1663" s="46"/>
      <c r="G1663" s="46"/>
      <c r="H1663" s="46"/>
      <c r="I1663" s="46"/>
      <c r="J1663" s="46"/>
      <c r="K1663" s="46"/>
      <c r="L1663" s="46"/>
      <c r="M1663" s="46"/>
      <c r="N1663" s="46"/>
      <c r="O1663" s="46"/>
      <c r="P1663" s="46"/>
      <c r="Q1663" s="46"/>
      <c r="R1663" s="46"/>
      <c r="S1663" s="46"/>
      <c r="T1663" s="46"/>
      <c r="U1663" s="46"/>
      <c r="V1663" s="46"/>
      <c r="W1663" s="46"/>
    </row>
    <row r="1664" ht="16.5" spans="1:23">
      <c r="A1664" s="46"/>
      <c r="B1664" s="46"/>
      <c r="C1664" s="46"/>
      <c r="D1664" s="46"/>
      <c r="E1664" s="46"/>
      <c r="F1664" s="46"/>
      <c r="G1664" s="46"/>
      <c r="H1664" s="46"/>
      <c r="I1664" s="46"/>
      <c r="J1664" s="46"/>
      <c r="K1664" s="46"/>
      <c r="L1664" s="46"/>
      <c r="M1664" s="46"/>
      <c r="N1664" s="46"/>
      <c r="O1664" s="46"/>
      <c r="P1664" s="46"/>
      <c r="Q1664" s="46"/>
      <c r="R1664" s="46"/>
      <c r="S1664" s="46"/>
      <c r="T1664" s="46"/>
      <c r="U1664" s="46"/>
      <c r="V1664" s="46"/>
      <c r="W1664" s="46"/>
    </row>
    <row r="1665" ht="16.5" spans="1:23">
      <c r="A1665" s="46"/>
      <c r="B1665" s="46"/>
      <c r="C1665" s="46"/>
      <c r="D1665" s="46"/>
      <c r="E1665" s="46"/>
      <c r="F1665" s="46"/>
      <c r="G1665" s="46"/>
      <c r="H1665" s="46"/>
      <c r="I1665" s="46"/>
      <c r="J1665" s="46"/>
      <c r="K1665" s="46"/>
      <c r="L1665" s="46"/>
      <c r="M1665" s="46"/>
      <c r="N1665" s="46"/>
      <c r="O1665" s="46"/>
      <c r="P1665" s="46"/>
      <c r="Q1665" s="46"/>
      <c r="R1665" s="46"/>
      <c r="S1665" s="46"/>
      <c r="T1665" s="46"/>
      <c r="U1665" s="46"/>
      <c r="V1665" s="46"/>
      <c r="W1665" s="46"/>
    </row>
    <row r="1666" ht="16.5" spans="1:23">
      <c r="A1666" s="46"/>
      <c r="B1666" s="46"/>
      <c r="C1666" s="46"/>
      <c r="D1666" s="46"/>
      <c r="E1666" s="46"/>
      <c r="F1666" s="46"/>
      <c r="G1666" s="46"/>
      <c r="H1666" s="46"/>
      <c r="I1666" s="46"/>
      <c r="J1666" s="46"/>
      <c r="K1666" s="46"/>
      <c r="L1666" s="46"/>
      <c r="M1666" s="46"/>
      <c r="N1666" s="46"/>
      <c r="O1666" s="46"/>
      <c r="P1666" s="46"/>
      <c r="Q1666" s="46"/>
      <c r="R1666" s="46"/>
      <c r="S1666" s="46"/>
      <c r="T1666" s="46"/>
      <c r="U1666" s="46"/>
      <c r="V1666" s="46"/>
      <c r="W1666" s="46"/>
    </row>
    <row r="1667" ht="16.5" spans="1:23">
      <c r="A1667" s="46"/>
      <c r="B1667" s="46"/>
      <c r="C1667" s="46"/>
      <c r="D1667" s="46"/>
      <c r="E1667" s="46"/>
      <c r="F1667" s="46"/>
      <c r="G1667" s="46"/>
      <c r="H1667" s="46"/>
      <c r="I1667" s="46"/>
      <c r="J1667" s="46"/>
      <c r="K1667" s="46"/>
      <c r="L1667" s="46"/>
      <c r="M1667" s="46"/>
      <c r="N1667" s="46"/>
      <c r="O1667" s="46"/>
      <c r="P1667" s="46"/>
      <c r="Q1667" s="46"/>
      <c r="R1667" s="46"/>
      <c r="S1667" s="46"/>
      <c r="T1667" s="46"/>
      <c r="U1667" s="46"/>
      <c r="V1667" s="46"/>
      <c r="W1667" s="46"/>
    </row>
    <row r="1668" ht="16.5" spans="1:23">
      <c r="A1668" s="46"/>
      <c r="B1668" s="46"/>
      <c r="C1668" s="46"/>
      <c r="D1668" s="46"/>
      <c r="E1668" s="46"/>
      <c r="F1668" s="46"/>
      <c r="G1668" s="46"/>
      <c r="H1668" s="46"/>
      <c r="I1668" s="46"/>
      <c r="J1668" s="46"/>
      <c r="K1668" s="46"/>
      <c r="L1668" s="46"/>
      <c r="M1668" s="46"/>
      <c r="N1668" s="46"/>
      <c r="O1668" s="46"/>
      <c r="P1668" s="46"/>
      <c r="Q1668" s="46"/>
      <c r="R1668" s="46"/>
      <c r="S1668" s="46"/>
      <c r="T1668" s="46"/>
      <c r="U1668" s="46"/>
      <c r="V1668" s="46"/>
      <c r="W1668" s="46"/>
    </row>
    <row r="1669" ht="16.5" spans="1:23">
      <c r="A1669" s="46"/>
      <c r="B1669" s="46"/>
      <c r="C1669" s="46"/>
      <c r="D1669" s="46"/>
      <c r="E1669" s="46"/>
      <c r="F1669" s="46"/>
      <c r="G1669" s="46"/>
      <c r="H1669" s="46"/>
      <c r="I1669" s="46"/>
      <c r="J1669" s="46"/>
      <c r="K1669" s="46"/>
      <c r="L1669" s="46"/>
      <c r="M1669" s="46"/>
      <c r="N1669" s="46"/>
      <c r="O1669" s="46"/>
      <c r="P1669" s="46"/>
      <c r="Q1669" s="46"/>
      <c r="R1669" s="46"/>
      <c r="S1669" s="46"/>
      <c r="T1669" s="46"/>
      <c r="U1669" s="46"/>
      <c r="V1669" s="46"/>
      <c r="W1669" s="46"/>
    </row>
    <row r="1670" ht="16.5" spans="1:23">
      <c r="A1670" s="46"/>
      <c r="B1670" s="46"/>
      <c r="C1670" s="46"/>
      <c r="D1670" s="46"/>
      <c r="E1670" s="46"/>
      <c r="F1670" s="46"/>
      <c r="G1670" s="46"/>
      <c r="H1670" s="46"/>
      <c r="I1670" s="46"/>
      <c r="J1670" s="46"/>
      <c r="K1670" s="46"/>
      <c r="L1670" s="46"/>
      <c r="M1670" s="46"/>
      <c r="N1670" s="46"/>
      <c r="O1670" s="46"/>
      <c r="P1670" s="46"/>
      <c r="Q1670" s="46"/>
      <c r="R1670" s="46"/>
      <c r="S1670" s="46"/>
      <c r="T1670" s="46"/>
      <c r="U1670" s="46"/>
      <c r="V1670" s="46"/>
      <c r="W1670" s="46"/>
    </row>
    <row r="1671" ht="16.5" spans="1:23">
      <c r="A1671" s="46"/>
      <c r="B1671" s="46"/>
      <c r="C1671" s="46"/>
      <c r="D1671" s="46"/>
      <c r="E1671" s="46"/>
      <c r="F1671" s="46"/>
      <c r="G1671" s="46"/>
      <c r="H1671" s="46"/>
      <c r="I1671" s="46"/>
      <c r="J1671" s="46"/>
      <c r="K1671" s="46"/>
      <c r="L1671" s="46"/>
      <c r="M1671" s="46"/>
      <c r="N1671" s="46"/>
      <c r="O1671" s="46"/>
      <c r="P1671" s="46"/>
      <c r="Q1671" s="46"/>
      <c r="R1671" s="46"/>
      <c r="S1671" s="46"/>
      <c r="T1671" s="46"/>
      <c r="U1671" s="46"/>
      <c r="V1671" s="46"/>
      <c r="W1671" s="46"/>
    </row>
    <row r="1672" ht="16.5" spans="1:23">
      <c r="A1672" s="46"/>
      <c r="B1672" s="46"/>
      <c r="C1672" s="46"/>
      <c r="D1672" s="46"/>
      <c r="E1672" s="46"/>
      <c r="F1672" s="46"/>
      <c r="G1672" s="46"/>
      <c r="H1672" s="46"/>
      <c r="I1672" s="46"/>
      <c r="J1672" s="46"/>
      <c r="K1672" s="46"/>
      <c r="L1672" s="46"/>
      <c r="M1672" s="46"/>
      <c r="N1672" s="46"/>
      <c r="O1672" s="46"/>
      <c r="P1672" s="46"/>
      <c r="Q1672" s="46"/>
      <c r="R1672" s="46"/>
      <c r="S1672" s="46"/>
      <c r="T1672" s="46"/>
      <c r="U1672" s="46"/>
      <c r="V1672" s="46"/>
      <c r="W1672" s="46"/>
    </row>
    <row r="1673" ht="16.5" spans="1:23">
      <c r="A1673" s="46"/>
      <c r="B1673" s="46"/>
      <c r="C1673" s="46"/>
      <c r="D1673" s="46"/>
      <c r="E1673" s="46"/>
      <c r="F1673" s="46"/>
      <c r="G1673" s="46"/>
      <c r="H1673" s="46"/>
      <c r="I1673" s="46"/>
      <c r="J1673" s="46"/>
      <c r="K1673" s="46"/>
      <c r="L1673" s="46"/>
      <c r="M1673" s="46"/>
      <c r="N1673" s="46"/>
      <c r="O1673" s="46"/>
      <c r="P1673" s="46"/>
      <c r="Q1673" s="46"/>
      <c r="R1673" s="46"/>
      <c r="S1673" s="46"/>
      <c r="T1673" s="46"/>
      <c r="U1673" s="46"/>
      <c r="V1673" s="46"/>
      <c r="W1673" s="46"/>
    </row>
    <row r="1674" ht="16.5" spans="1:23">
      <c r="A1674" s="46"/>
      <c r="B1674" s="46"/>
      <c r="C1674" s="46"/>
      <c r="D1674" s="46"/>
      <c r="E1674" s="46"/>
      <c r="F1674" s="46"/>
      <c r="G1674" s="46"/>
      <c r="H1674" s="46"/>
      <c r="I1674" s="46"/>
      <c r="J1674" s="46"/>
      <c r="K1674" s="46"/>
      <c r="L1674" s="46"/>
      <c r="M1674" s="46"/>
      <c r="N1674" s="46"/>
      <c r="O1674" s="46"/>
      <c r="P1674" s="46"/>
      <c r="Q1674" s="46"/>
      <c r="R1674" s="46"/>
      <c r="S1674" s="46"/>
      <c r="T1674" s="46"/>
      <c r="U1674" s="46"/>
      <c r="V1674" s="46"/>
      <c r="W1674" s="46"/>
    </row>
    <row r="1675" ht="16.5" spans="1:23">
      <c r="A1675" s="46"/>
      <c r="B1675" s="46"/>
      <c r="C1675" s="46"/>
      <c r="D1675" s="46"/>
      <c r="E1675" s="46"/>
      <c r="F1675" s="46"/>
      <c r="G1675" s="46"/>
      <c r="H1675" s="46"/>
      <c r="I1675" s="46"/>
      <c r="J1675" s="46"/>
      <c r="K1675" s="46"/>
      <c r="L1675" s="46"/>
      <c r="M1675" s="46"/>
      <c r="N1675" s="46"/>
      <c r="O1675" s="46"/>
      <c r="P1675" s="46"/>
      <c r="Q1675" s="46"/>
      <c r="R1675" s="46"/>
      <c r="S1675" s="46"/>
      <c r="T1675" s="46"/>
      <c r="U1675" s="46"/>
      <c r="V1675" s="46"/>
      <c r="W1675" s="46"/>
    </row>
    <row r="1676" ht="16.5" spans="1:23">
      <c r="A1676" s="46"/>
      <c r="B1676" s="46"/>
      <c r="C1676" s="46"/>
      <c r="D1676" s="46"/>
      <c r="E1676" s="46"/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  <c r="P1676" s="46"/>
      <c r="Q1676" s="46"/>
      <c r="R1676" s="46"/>
      <c r="S1676" s="46"/>
      <c r="T1676" s="46"/>
      <c r="U1676" s="46"/>
      <c r="V1676" s="46"/>
      <c r="W1676" s="46"/>
    </row>
    <row r="1677" ht="16.5" spans="1:23">
      <c r="A1677" s="46"/>
      <c r="B1677" s="46"/>
      <c r="C1677" s="46"/>
      <c r="D1677" s="46"/>
      <c r="E1677" s="46"/>
      <c r="F1677" s="46"/>
      <c r="G1677" s="46"/>
      <c r="H1677" s="46"/>
      <c r="I1677" s="46"/>
      <c r="J1677" s="46"/>
      <c r="K1677" s="46"/>
      <c r="L1677" s="46"/>
      <c r="M1677" s="46"/>
      <c r="N1677" s="46"/>
      <c r="O1677" s="46"/>
      <c r="P1677" s="46"/>
      <c r="Q1677" s="46"/>
      <c r="R1677" s="46"/>
      <c r="S1677" s="46"/>
      <c r="T1677" s="46"/>
      <c r="U1677" s="46"/>
      <c r="V1677" s="46"/>
      <c r="W1677" s="46"/>
    </row>
    <row r="1678" ht="16.5" spans="1:23">
      <c r="A1678" s="46"/>
      <c r="B1678" s="46"/>
      <c r="C1678" s="46"/>
      <c r="D1678" s="46"/>
      <c r="E1678" s="46"/>
      <c r="F1678" s="46"/>
      <c r="G1678" s="46"/>
      <c r="H1678" s="46"/>
      <c r="I1678" s="46"/>
      <c r="J1678" s="46"/>
      <c r="K1678" s="46"/>
      <c r="L1678" s="46"/>
      <c r="M1678" s="46"/>
      <c r="N1678" s="46"/>
      <c r="O1678" s="46"/>
      <c r="P1678" s="46"/>
      <c r="Q1678" s="46"/>
      <c r="R1678" s="46"/>
      <c r="S1678" s="46"/>
      <c r="T1678" s="46"/>
      <c r="U1678" s="46"/>
      <c r="V1678" s="46"/>
      <c r="W1678" s="46"/>
    </row>
    <row r="1679" ht="16.5" spans="1:23">
      <c r="A1679" s="46"/>
      <c r="B1679" s="46"/>
      <c r="C1679" s="46"/>
      <c r="D1679" s="46"/>
      <c r="E1679" s="46"/>
      <c r="F1679" s="46"/>
      <c r="G1679" s="46"/>
      <c r="H1679" s="46"/>
      <c r="I1679" s="46"/>
      <c r="J1679" s="46"/>
      <c r="K1679" s="46"/>
      <c r="L1679" s="46"/>
      <c r="M1679" s="46"/>
      <c r="N1679" s="46"/>
      <c r="O1679" s="46"/>
      <c r="P1679" s="46"/>
      <c r="Q1679" s="46"/>
      <c r="R1679" s="46"/>
      <c r="S1679" s="46"/>
      <c r="T1679" s="46"/>
      <c r="U1679" s="46"/>
      <c r="V1679" s="46"/>
      <c r="W1679" s="46"/>
    </row>
    <row r="1680" ht="16.5" spans="1:23">
      <c r="A1680" s="46"/>
      <c r="B1680" s="46"/>
      <c r="C1680" s="46"/>
      <c r="D1680" s="46"/>
      <c r="E1680" s="46"/>
      <c r="F1680" s="46"/>
      <c r="G1680" s="46"/>
      <c r="H1680" s="46"/>
      <c r="I1680" s="46"/>
      <c r="J1680" s="46"/>
      <c r="K1680" s="46"/>
      <c r="L1680" s="46"/>
      <c r="M1680" s="46"/>
      <c r="N1680" s="46"/>
      <c r="O1680" s="46"/>
      <c r="P1680" s="46"/>
      <c r="Q1680" s="46"/>
      <c r="R1680" s="46"/>
      <c r="S1680" s="46"/>
      <c r="T1680" s="46"/>
      <c r="U1680" s="46"/>
      <c r="V1680" s="46"/>
      <c r="W1680" s="46"/>
    </row>
    <row r="1681" ht="16.5" spans="1:23">
      <c r="A1681" s="46"/>
      <c r="B1681" s="46"/>
      <c r="C1681" s="46"/>
      <c r="D1681" s="46"/>
      <c r="E1681" s="46"/>
      <c r="F1681" s="46"/>
      <c r="G1681" s="46"/>
      <c r="H1681" s="46"/>
      <c r="I1681" s="46"/>
      <c r="J1681" s="46"/>
      <c r="K1681" s="46"/>
      <c r="L1681" s="46"/>
      <c r="M1681" s="46"/>
      <c r="N1681" s="46"/>
      <c r="O1681" s="46"/>
      <c r="P1681" s="46"/>
      <c r="Q1681" s="46"/>
      <c r="R1681" s="46"/>
      <c r="S1681" s="46"/>
      <c r="T1681" s="46"/>
      <c r="U1681" s="46"/>
      <c r="V1681" s="46"/>
      <c r="W1681" s="46"/>
    </row>
    <row r="1682" ht="16.5" spans="1:23">
      <c r="A1682" s="46"/>
      <c r="B1682" s="46"/>
      <c r="C1682" s="46"/>
      <c r="D1682" s="46"/>
      <c r="E1682" s="46"/>
      <c r="F1682" s="46"/>
      <c r="G1682" s="46"/>
      <c r="H1682" s="46"/>
      <c r="I1682" s="46"/>
      <c r="J1682" s="46"/>
      <c r="K1682" s="46"/>
      <c r="L1682" s="46"/>
      <c r="M1682" s="46"/>
      <c r="N1682" s="46"/>
      <c r="O1682" s="46"/>
      <c r="P1682" s="46"/>
      <c r="Q1682" s="46"/>
      <c r="R1682" s="46"/>
      <c r="S1682" s="46"/>
      <c r="T1682" s="46"/>
      <c r="U1682" s="46"/>
      <c r="V1682" s="46"/>
      <c r="W1682" s="46"/>
    </row>
    <row r="1683" ht="16.5" spans="1:23">
      <c r="A1683" s="46"/>
      <c r="B1683" s="46"/>
      <c r="C1683" s="46"/>
      <c r="D1683" s="46"/>
      <c r="E1683" s="46"/>
      <c r="F1683" s="46"/>
      <c r="G1683" s="46"/>
      <c r="H1683" s="46"/>
      <c r="I1683" s="46"/>
      <c r="J1683" s="46"/>
      <c r="K1683" s="46"/>
      <c r="L1683" s="46"/>
      <c r="M1683" s="46"/>
      <c r="N1683" s="46"/>
      <c r="O1683" s="46"/>
      <c r="P1683" s="46"/>
      <c r="Q1683" s="46"/>
      <c r="R1683" s="46"/>
      <c r="S1683" s="46"/>
      <c r="T1683" s="46"/>
      <c r="U1683" s="46"/>
      <c r="V1683" s="46"/>
      <c r="W1683" s="46"/>
    </row>
    <row r="1684" ht="16.5" spans="1:23">
      <c r="A1684" s="46"/>
      <c r="B1684" s="46"/>
      <c r="C1684" s="46"/>
      <c r="D1684" s="46"/>
      <c r="E1684" s="46"/>
      <c r="F1684" s="46"/>
      <c r="G1684" s="46"/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  <c r="S1684" s="46"/>
      <c r="T1684" s="46"/>
      <c r="U1684" s="46"/>
      <c r="V1684" s="46"/>
      <c r="W1684" s="46"/>
    </row>
    <row r="1685" ht="16.5" spans="1:23">
      <c r="A1685" s="46"/>
      <c r="B1685" s="46"/>
      <c r="C1685" s="46"/>
      <c r="D1685" s="46"/>
      <c r="E1685" s="46"/>
      <c r="F1685" s="46"/>
      <c r="G1685" s="46"/>
      <c r="H1685" s="46"/>
      <c r="I1685" s="46"/>
      <c r="J1685" s="46"/>
      <c r="K1685" s="46"/>
      <c r="L1685" s="46"/>
      <c r="M1685" s="46"/>
      <c r="N1685" s="46"/>
      <c r="O1685" s="46"/>
      <c r="P1685" s="46"/>
      <c r="Q1685" s="46"/>
      <c r="R1685" s="46"/>
      <c r="S1685" s="46"/>
      <c r="T1685" s="46"/>
      <c r="U1685" s="46"/>
      <c r="V1685" s="46"/>
      <c r="W1685" s="46"/>
    </row>
    <row r="1686" ht="16.5" spans="1:23">
      <c r="A1686" s="46"/>
      <c r="B1686" s="46"/>
      <c r="C1686" s="46"/>
      <c r="D1686" s="46"/>
      <c r="E1686" s="46"/>
      <c r="F1686" s="46"/>
      <c r="G1686" s="46"/>
      <c r="H1686" s="46"/>
      <c r="I1686" s="46"/>
      <c r="J1686" s="46"/>
      <c r="K1686" s="46"/>
      <c r="L1686" s="46"/>
      <c r="M1686" s="46"/>
      <c r="N1686" s="46"/>
      <c r="O1686" s="46"/>
      <c r="P1686" s="46"/>
      <c r="Q1686" s="46"/>
      <c r="R1686" s="46"/>
      <c r="S1686" s="46"/>
      <c r="T1686" s="46"/>
      <c r="U1686" s="46"/>
      <c r="V1686" s="46"/>
      <c r="W1686" s="46"/>
    </row>
    <row r="1687" ht="16.5" spans="1:23">
      <c r="A1687" s="46"/>
      <c r="B1687" s="46"/>
      <c r="C1687" s="46"/>
      <c r="D1687" s="46"/>
      <c r="E1687" s="46"/>
      <c r="F1687" s="46"/>
      <c r="G1687" s="46"/>
      <c r="H1687" s="46"/>
      <c r="I1687" s="46"/>
      <c r="J1687" s="46"/>
      <c r="K1687" s="46"/>
      <c r="L1687" s="46"/>
      <c r="M1687" s="46"/>
      <c r="N1687" s="46"/>
      <c r="O1687" s="46"/>
      <c r="P1687" s="46"/>
      <c r="Q1687" s="46"/>
      <c r="R1687" s="46"/>
      <c r="S1687" s="46"/>
      <c r="T1687" s="46"/>
      <c r="U1687" s="46"/>
      <c r="V1687" s="46"/>
      <c r="W1687" s="46"/>
    </row>
    <row r="1688" ht="16.5" spans="1:23">
      <c r="A1688" s="46"/>
      <c r="B1688" s="46"/>
      <c r="C1688" s="46"/>
      <c r="D1688" s="46"/>
      <c r="E1688" s="46"/>
      <c r="F1688" s="46"/>
      <c r="G1688" s="46"/>
      <c r="H1688" s="46"/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  <c r="S1688" s="46"/>
      <c r="T1688" s="46"/>
      <c r="U1688" s="46"/>
      <c r="V1688" s="46"/>
      <c r="W1688" s="46"/>
    </row>
    <row r="1689" ht="16.5" spans="1:23">
      <c r="A1689" s="46"/>
      <c r="B1689" s="46"/>
      <c r="C1689" s="46"/>
      <c r="D1689" s="46"/>
      <c r="E1689" s="46"/>
      <c r="F1689" s="46"/>
      <c r="G1689" s="46"/>
      <c r="H1689" s="46"/>
      <c r="I1689" s="46"/>
      <c r="J1689" s="46"/>
      <c r="K1689" s="46"/>
      <c r="L1689" s="46"/>
      <c r="M1689" s="46"/>
      <c r="N1689" s="46"/>
      <c r="O1689" s="46"/>
      <c r="P1689" s="46"/>
      <c r="Q1689" s="46"/>
      <c r="R1689" s="46"/>
      <c r="S1689" s="46"/>
      <c r="T1689" s="46"/>
      <c r="U1689" s="46"/>
      <c r="V1689" s="46"/>
      <c r="W1689" s="46"/>
    </row>
    <row r="1690" ht="16.5" spans="1:23">
      <c r="A1690" s="46"/>
      <c r="B1690" s="46"/>
      <c r="C1690" s="46"/>
      <c r="D1690" s="46"/>
      <c r="E1690" s="46"/>
      <c r="F1690" s="46"/>
      <c r="G1690" s="46"/>
      <c r="H1690" s="46"/>
      <c r="I1690" s="46"/>
      <c r="J1690" s="46"/>
      <c r="K1690" s="46"/>
      <c r="L1690" s="46"/>
      <c r="M1690" s="46"/>
      <c r="N1690" s="46"/>
      <c r="O1690" s="46"/>
      <c r="P1690" s="46"/>
      <c r="Q1690" s="46"/>
      <c r="R1690" s="46"/>
      <c r="S1690" s="46"/>
      <c r="T1690" s="46"/>
      <c r="U1690" s="46"/>
      <c r="V1690" s="46"/>
      <c r="W1690" s="46"/>
    </row>
    <row r="1691" ht="16.5" spans="1:23">
      <c r="A1691" s="46"/>
      <c r="B1691" s="46"/>
      <c r="C1691" s="46"/>
      <c r="D1691" s="46"/>
      <c r="E1691" s="46"/>
      <c r="F1691" s="46"/>
      <c r="G1691" s="46"/>
      <c r="H1691" s="46"/>
      <c r="I1691" s="46"/>
      <c r="J1691" s="46"/>
      <c r="K1691" s="46"/>
      <c r="L1691" s="46"/>
      <c r="M1691" s="46"/>
      <c r="N1691" s="46"/>
      <c r="O1691" s="46"/>
      <c r="P1691" s="46"/>
      <c r="Q1691" s="46"/>
      <c r="R1691" s="46"/>
      <c r="S1691" s="46"/>
      <c r="T1691" s="46"/>
      <c r="U1691" s="46"/>
      <c r="V1691" s="46"/>
      <c r="W1691" s="46"/>
    </row>
    <row r="1692" ht="16.5" spans="1:23">
      <c r="A1692" s="46"/>
      <c r="B1692" s="46"/>
      <c r="C1692" s="46"/>
      <c r="D1692" s="46"/>
      <c r="E1692" s="46"/>
      <c r="F1692" s="46"/>
      <c r="G1692" s="46"/>
      <c r="H1692" s="46"/>
      <c r="I1692" s="46"/>
      <c r="J1692" s="46"/>
      <c r="K1692" s="46"/>
      <c r="L1692" s="46"/>
      <c r="M1692" s="46"/>
      <c r="N1692" s="46"/>
      <c r="O1692" s="46"/>
      <c r="P1692" s="46"/>
      <c r="Q1692" s="46"/>
      <c r="R1692" s="46"/>
      <c r="S1692" s="46"/>
      <c r="T1692" s="46"/>
      <c r="U1692" s="46"/>
      <c r="V1692" s="46"/>
      <c r="W1692" s="46"/>
    </row>
    <row r="1693" ht="16.5" spans="1:23">
      <c r="A1693" s="46"/>
      <c r="B1693" s="46"/>
      <c r="C1693" s="46"/>
      <c r="D1693" s="46"/>
      <c r="E1693" s="46"/>
      <c r="F1693" s="46"/>
      <c r="G1693" s="46"/>
      <c r="H1693" s="46"/>
      <c r="I1693" s="46"/>
      <c r="J1693" s="46"/>
      <c r="K1693" s="46"/>
      <c r="L1693" s="46"/>
      <c r="M1693" s="46"/>
      <c r="N1693" s="46"/>
      <c r="O1693" s="46"/>
      <c r="P1693" s="46"/>
      <c r="Q1693" s="46"/>
      <c r="R1693" s="46"/>
      <c r="S1693" s="46"/>
      <c r="T1693" s="46"/>
      <c r="U1693" s="46"/>
      <c r="V1693" s="46"/>
      <c r="W1693" s="46"/>
    </row>
    <row r="1694" ht="16.5" spans="1:23">
      <c r="A1694" s="46"/>
      <c r="B1694" s="46"/>
      <c r="C1694" s="46"/>
      <c r="D1694" s="46"/>
      <c r="E1694" s="46"/>
      <c r="F1694" s="46"/>
      <c r="G1694" s="46"/>
      <c r="H1694" s="46"/>
      <c r="I1694" s="46"/>
      <c r="J1694" s="46"/>
      <c r="K1694" s="46"/>
      <c r="L1694" s="46"/>
      <c r="M1694" s="46"/>
      <c r="N1694" s="46"/>
      <c r="O1694" s="46"/>
      <c r="P1694" s="46"/>
      <c r="Q1694" s="46"/>
      <c r="R1694" s="46"/>
      <c r="S1694" s="46"/>
      <c r="T1694" s="46"/>
      <c r="U1694" s="46"/>
      <c r="V1694" s="46"/>
      <c r="W1694" s="46"/>
    </row>
    <row r="1695" ht="16.5" spans="1:23">
      <c r="A1695" s="46"/>
      <c r="B1695" s="46"/>
      <c r="C1695" s="46"/>
      <c r="D1695" s="46"/>
      <c r="E1695" s="46"/>
      <c r="F1695" s="46"/>
      <c r="G1695" s="46"/>
      <c r="H1695" s="46"/>
      <c r="I1695" s="46"/>
      <c r="J1695" s="46"/>
      <c r="K1695" s="46"/>
      <c r="L1695" s="46"/>
      <c r="M1695" s="46"/>
      <c r="N1695" s="46"/>
      <c r="O1695" s="46"/>
      <c r="P1695" s="46"/>
      <c r="Q1695" s="46"/>
      <c r="R1695" s="46"/>
      <c r="S1695" s="46"/>
      <c r="T1695" s="46"/>
      <c r="U1695" s="46"/>
      <c r="V1695" s="46"/>
      <c r="W1695" s="46"/>
    </row>
    <row r="1696" ht="16.5" spans="1:23">
      <c r="A1696" s="46"/>
      <c r="B1696" s="46"/>
      <c r="C1696" s="46"/>
      <c r="D1696" s="46"/>
      <c r="E1696" s="46"/>
      <c r="F1696" s="46"/>
      <c r="G1696" s="46"/>
      <c r="H1696" s="46"/>
      <c r="I1696" s="46"/>
      <c r="J1696" s="46"/>
      <c r="K1696" s="46"/>
      <c r="L1696" s="46"/>
      <c r="M1696" s="46"/>
      <c r="N1696" s="46"/>
      <c r="O1696" s="46"/>
      <c r="P1696" s="46"/>
      <c r="Q1696" s="46"/>
      <c r="R1696" s="46"/>
      <c r="S1696" s="46"/>
      <c r="T1696" s="46"/>
      <c r="U1696" s="46"/>
      <c r="V1696" s="46"/>
      <c r="W1696" s="46"/>
    </row>
    <row r="1697" ht="16.5" spans="1:23">
      <c r="A1697" s="46"/>
      <c r="B1697" s="46"/>
      <c r="C1697" s="46"/>
      <c r="D1697" s="46"/>
      <c r="E1697" s="46"/>
      <c r="F1697" s="46"/>
      <c r="G1697" s="46"/>
      <c r="H1697" s="46"/>
      <c r="I1697" s="46"/>
      <c r="J1697" s="46"/>
      <c r="K1697" s="46"/>
      <c r="L1697" s="46"/>
      <c r="M1697" s="46"/>
      <c r="N1697" s="46"/>
      <c r="O1697" s="46"/>
      <c r="P1697" s="46"/>
      <c r="Q1697" s="46"/>
      <c r="R1697" s="46"/>
      <c r="S1697" s="46"/>
      <c r="T1697" s="46"/>
      <c r="U1697" s="46"/>
      <c r="V1697" s="46"/>
      <c r="W1697" s="46"/>
    </row>
    <row r="1698" ht="16.5" spans="1:23">
      <c r="A1698" s="46"/>
      <c r="B1698" s="46"/>
      <c r="C1698" s="46"/>
      <c r="D1698" s="46"/>
      <c r="E1698" s="46"/>
      <c r="F1698" s="46"/>
      <c r="G1698" s="46"/>
      <c r="H1698" s="46"/>
      <c r="I1698" s="46"/>
      <c r="J1698" s="46"/>
      <c r="K1698" s="46"/>
      <c r="L1698" s="46"/>
      <c r="M1698" s="46"/>
      <c r="N1698" s="46"/>
      <c r="O1698" s="46"/>
      <c r="P1698" s="46"/>
      <c r="Q1698" s="46"/>
      <c r="R1698" s="46"/>
      <c r="S1698" s="46"/>
      <c r="T1698" s="46"/>
      <c r="U1698" s="46"/>
      <c r="V1698" s="46"/>
      <c r="W1698" s="46"/>
    </row>
    <row r="1699" ht="16.5" spans="1:23">
      <c r="A1699" s="46"/>
      <c r="B1699" s="46"/>
      <c r="C1699" s="46"/>
      <c r="D1699" s="46"/>
      <c r="E1699" s="46"/>
      <c r="F1699" s="46"/>
      <c r="G1699" s="46"/>
      <c r="H1699" s="46"/>
      <c r="I1699" s="46"/>
      <c r="J1699" s="46"/>
      <c r="K1699" s="46"/>
      <c r="L1699" s="46"/>
      <c r="M1699" s="46"/>
      <c r="N1699" s="46"/>
      <c r="O1699" s="46"/>
      <c r="P1699" s="46"/>
      <c r="Q1699" s="46"/>
      <c r="R1699" s="46"/>
      <c r="S1699" s="46"/>
      <c r="T1699" s="46"/>
      <c r="U1699" s="46"/>
      <c r="V1699" s="46"/>
      <c r="W1699" s="46"/>
    </row>
    <row r="1700" ht="16.5" spans="1:23">
      <c r="A1700" s="46"/>
      <c r="B1700" s="46"/>
      <c r="C1700" s="46"/>
      <c r="D1700" s="46"/>
      <c r="E1700" s="46"/>
      <c r="F1700" s="46"/>
      <c r="G1700" s="46"/>
      <c r="H1700" s="46"/>
      <c r="I1700" s="46"/>
      <c r="J1700" s="46"/>
      <c r="K1700" s="46"/>
      <c r="L1700" s="46"/>
      <c r="M1700" s="46"/>
      <c r="N1700" s="46"/>
      <c r="O1700" s="46"/>
      <c r="P1700" s="46"/>
      <c r="Q1700" s="46"/>
      <c r="R1700" s="46"/>
      <c r="S1700" s="46"/>
      <c r="T1700" s="46"/>
      <c r="U1700" s="46"/>
      <c r="V1700" s="46"/>
      <c r="W1700" s="46"/>
    </row>
    <row r="1701" ht="16.5" spans="1:23">
      <c r="A1701" s="46"/>
      <c r="B1701" s="46"/>
      <c r="C1701" s="46"/>
      <c r="D1701" s="46"/>
      <c r="E1701" s="46"/>
      <c r="F1701" s="46"/>
      <c r="G1701" s="46"/>
      <c r="H1701" s="46"/>
      <c r="I1701" s="46"/>
      <c r="J1701" s="46"/>
      <c r="K1701" s="46"/>
      <c r="L1701" s="46"/>
      <c r="M1701" s="46"/>
      <c r="N1701" s="46"/>
      <c r="O1701" s="46"/>
      <c r="P1701" s="46"/>
      <c r="Q1701" s="46"/>
      <c r="R1701" s="46"/>
      <c r="S1701" s="46"/>
      <c r="T1701" s="46"/>
      <c r="U1701" s="46"/>
      <c r="V1701" s="46"/>
      <c r="W1701" s="46"/>
    </row>
    <row r="1702" ht="16.5" spans="1:23">
      <c r="A1702" s="46"/>
      <c r="B1702" s="46"/>
      <c r="C1702" s="46"/>
      <c r="D1702" s="46"/>
      <c r="E1702" s="46"/>
      <c r="F1702" s="46"/>
      <c r="G1702" s="46"/>
      <c r="H1702" s="46"/>
      <c r="I1702" s="46"/>
      <c r="J1702" s="46"/>
      <c r="K1702" s="46"/>
      <c r="L1702" s="46"/>
      <c r="M1702" s="46"/>
      <c r="N1702" s="46"/>
      <c r="O1702" s="46"/>
      <c r="P1702" s="46"/>
      <c r="Q1702" s="46"/>
      <c r="R1702" s="46"/>
      <c r="S1702" s="46"/>
      <c r="T1702" s="46"/>
      <c r="U1702" s="46"/>
      <c r="V1702" s="46"/>
      <c r="W1702" s="46"/>
    </row>
    <row r="1703" ht="16.5" spans="1:23">
      <c r="A1703" s="46"/>
      <c r="B1703" s="46"/>
      <c r="C1703" s="46"/>
      <c r="D1703" s="46"/>
      <c r="E1703" s="46"/>
      <c r="F1703" s="46"/>
      <c r="G1703" s="46"/>
      <c r="H1703" s="46"/>
      <c r="I1703" s="46"/>
      <c r="J1703" s="46"/>
      <c r="K1703" s="46"/>
      <c r="L1703" s="46"/>
      <c r="M1703" s="46"/>
      <c r="N1703" s="46"/>
      <c r="O1703" s="46"/>
      <c r="P1703" s="46"/>
      <c r="Q1703" s="46"/>
      <c r="R1703" s="46"/>
      <c r="S1703" s="46"/>
      <c r="T1703" s="46"/>
      <c r="U1703" s="46"/>
      <c r="V1703" s="46"/>
      <c r="W1703" s="46"/>
    </row>
    <row r="1704" ht="16.5" spans="1:23">
      <c r="A1704" s="46"/>
      <c r="B1704" s="46"/>
      <c r="C1704" s="46"/>
      <c r="D1704" s="46"/>
      <c r="E1704" s="46"/>
      <c r="F1704" s="46"/>
      <c r="G1704" s="46"/>
      <c r="H1704" s="46"/>
      <c r="I1704" s="46"/>
      <c r="J1704" s="46"/>
      <c r="K1704" s="46"/>
      <c r="L1704" s="46"/>
      <c r="M1704" s="46"/>
      <c r="N1704" s="46"/>
      <c r="O1704" s="46"/>
      <c r="P1704" s="46"/>
      <c r="Q1704" s="46"/>
      <c r="R1704" s="46"/>
      <c r="S1704" s="46"/>
      <c r="T1704" s="46"/>
      <c r="U1704" s="46"/>
      <c r="V1704" s="46"/>
      <c r="W1704" s="46"/>
    </row>
    <row r="1705" ht="16.5" spans="1:23">
      <c r="A1705" s="46"/>
      <c r="B1705" s="46"/>
      <c r="C1705" s="46"/>
      <c r="D1705" s="46"/>
      <c r="E1705" s="46"/>
      <c r="F1705" s="46"/>
      <c r="G1705" s="46"/>
      <c r="H1705" s="46"/>
      <c r="I1705" s="46"/>
      <c r="J1705" s="46"/>
      <c r="K1705" s="46"/>
      <c r="L1705" s="46"/>
      <c r="M1705" s="46"/>
      <c r="N1705" s="46"/>
      <c r="O1705" s="46"/>
      <c r="P1705" s="46"/>
      <c r="Q1705" s="46"/>
      <c r="R1705" s="46"/>
      <c r="S1705" s="46"/>
      <c r="T1705" s="46"/>
      <c r="U1705" s="46"/>
      <c r="V1705" s="46"/>
      <c r="W1705" s="46"/>
    </row>
    <row r="1706" ht="16.5" spans="1:23">
      <c r="A1706" s="46"/>
      <c r="B1706" s="46"/>
      <c r="C1706" s="46"/>
      <c r="D1706" s="46"/>
      <c r="E1706" s="46"/>
      <c r="F1706" s="46"/>
      <c r="G1706" s="46"/>
      <c r="H1706" s="46"/>
      <c r="I1706" s="46"/>
      <c r="J1706" s="46"/>
      <c r="K1706" s="46"/>
      <c r="L1706" s="46"/>
      <c r="M1706" s="46"/>
      <c r="N1706" s="46"/>
      <c r="O1706" s="46"/>
      <c r="P1706" s="46"/>
      <c r="Q1706" s="46"/>
      <c r="R1706" s="46"/>
      <c r="S1706" s="46"/>
      <c r="T1706" s="46"/>
      <c r="U1706" s="46"/>
      <c r="V1706" s="46"/>
      <c r="W1706" s="46"/>
    </row>
    <row r="1707" ht="16.5" spans="1:23">
      <c r="A1707" s="46"/>
      <c r="B1707" s="46"/>
      <c r="C1707" s="46"/>
      <c r="D1707" s="46"/>
      <c r="E1707" s="46"/>
      <c r="F1707" s="46"/>
      <c r="G1707" s="46"/>
      <c r="H1707" s="46"/>
      <c r="I1707" s="46"/>
      <c r="J1707" s="46"/>
      <c r="K1707" s="46"/>
      <c r="L1707" s="46"/>
      <c r="M1707" s="46"/>
      <c r="N1707" s="46"/>
      <c r="O1707" s="46"/>
      <c r="P1707" s="46"/>
      <c r="Q1707" s="46"/>
      <c r="R1707" s="46"/>
      <c r="S1707" s="46"/>
      <c r="T1707" s="46"/>
      <c r="U1707" s="46"/>
      <c r="V1707" s="46"/>
      <c r="W1707" s="46"/>
    </row>
    <row r="1708" ht="16.5" spans="1:23">
      <c r="A1708" s="46"/>
      <c r="B1708" s="46"/>
      <c r="C1708" s="46"/>
      <c r="D1708" s="46"/>
      <c r="E1708" s="46"/>
      <c r="F1708" s="46"/>
      <c r="G1708" s="46"/>
      <c r="H1708" s="46"/>
      <c r="I1708" s="46"/>
      <c r="J1708" s="46"/>
      <c r="K1708" s="46"/>
      <c r="L1708" s="46"/>
      <c r="M1708" s="46"/>
      <c r="N1708" s="46"/>
      <c r="O1708" s="46"/>
      <c r="P1708" s="46"/>
      <c r="Q1708" s="46"/>
      <c r="R1708" s="46"/>
      <c r="S1708" s="46"/>
      <c r="T1708" s="46"/>
      <c r="U1708" s="46"/>
      <c r="V1708" s="46"/>
      <c r="W1708" s="46"/>
    </row>
    <row r="1709" ht="16.5" spans="1:23">
      <c r="A1709" s="46"/>
      <c r="B1709" s="46"/>
      <c r="C1709" s="46"/>
      <c r="D1709" s="46"/>
      <c r="E1709" s="46"/>
      <c r="F1709" s="46"/>
      <c r="G1709" s="46"/>
      <c r="H1709" s="46"/>
      <c r="I1709" s="46"/>
      <c r="J1709" s="46"/>
      <c r="K1709" s="46"/>
      <c r="L1709" s="46"/>
      <c r="M1709" s="46"/>
      <c r="N1709" s="46"/>
      <c r="O1709" s="46"/>
      <c r="P1709" s="46"/>
      <c r="Q1709" s="46"/>
      <c r="R1709" s="46"/>
      <c r="S1709" s="46"/>
      <c r="T1709" s="46"/>
      <c r="U1709" s="46"/>
      <c r="V1709" s="46"/>
      <c r="W1709" s="46"/>
    </row>
    <row r="1710" ht="16.5" spans="1:23">
      <c r="A1710" s="46"/>
      <c r="B1710" s="46"/>
      <c r="C1710" s="46"/>
      <c r="D1710" s="46"/>
      <c r="E1710" s="46"/>
      <c r="F1710" s="46"/>
      <c r="G1710" s="46"/>
      <c r="H1710" s="46"/>
      <c r="I1710" s="46"/>
      <c r="J1710" s="46"/>
      <c r="K1710" s="46"/>
      <c r="L1710" s="46"/>
      <c r="M1710" s="46"/>
      <c r="N1710" s="46"/>
      <c r="O1710" s="46"/>
      <c r="P1710" s="46"/>
      <c r="Q1710" s="46"/>
      <c r="R1710" s="46"/>
      <c r="S1710" s="46"/>
      <c r="T1710" s="46"/>
      <c r="U1710" s="46"/>
      <c r="V1710" s="46"/>
      <c r="W1710" s="46"/>
    </row>
    <row r="1711" ht="16.5" spans="1:23">
      <c r="A1711" s="46"/>
      <c r="B1711" s="46"/>
      <c r="C1711" s="46"/>
      <c r="D1711" s="46"/>
      <c r="E1711" s="46"/>
      <c r="F1711" s="46"/>
      <c r="G1711" s="46"/>
      <c r="H1711" s="46"/>
      <c r="I1711" s="46"/>
      <c r="J1711" s="46"/>
      <c r="K1711" s="46"/>
      <c r="L1711" s="46"/>
      <c r="M1711" s="46"/>
      <c r="N1711" s="46"/>
      <c r="O1711" s="46"/>
      <c r="P1711" s="46"/>
      <c r="Q1711" s="46"/>
      <c r="R1711" s="46"/>
      <c r="S1711" s="46"/>
      <c r="T1711" s="46"/>
      <c r="U1711" s="46"/>
      <c r="V1711" s="46"/>
      <c r="W1711" s="46"/>
    </row>
    <row r="1712" ht="16.5" spans="1:23">
      <c r="A1712" s="46"/>
      <c r="B1712" s="46"/>
      <c r="C1712" s="46"/>
      <c r="D1712" s="46"/>
      <c r="E1712" s="46"/>
      <c r="F1712" s="46"/>
      <c r="G1712" s="46"/>
      <c r="H1712" s="46"/>
      <c r="I1712" s="46"/>
      <c r="J1712" s="46"/>
      <c r="K1712" s="46"/>
      <c r="L1712" s="46"/>
      <c r="M1712" s="46"/>
      <c r="N1712" s="46"/>
      <c r="O1712" s="46"/>
      <c r="P1712" s="46"/>
      <c r="Q1712" s="46"/>
      <c r="R1712" s="46"/>
      <c r="S1712" s="46"/>
      <c r="T1712" s="46"/>
      <c r="U1712" s="46"/>
      <c r="V1712" s="46"/>
      <c r="W1712" s="46"/>
    </row>
    <row r="1713" ht="16.5" spans="1:23">
      <c r="A1713" s="46"/>
      <c r="B1713" s="46"/>
      <c r="C1713" s="46"/>
      <c r="D1713" s="46"/>
      <c r="E1713" s="46"/>
      <c r="F1713" s="46"/>
      <c r="G1713" s="46"/>
      <c r="H1713" s="46"/>
      <c r="I1713" s="46"/>
      <c r="J1713" s="46"/>
      <c r="K1713" s="46"/>
      <c r="L1713" s="46"/>
      <c r="M1713" s="46"/>
      <c r="N1713" s="46"/>
      <c r="O1713" s="46"/>
      <c r="P1713" s="46"/>
      <c r="Q1713" s="46"/>
      <c r="R1713" s="46"/>
      <c r="S1713" s="46"/>
      <c r="T1713" s="46"/>
      <c r="U1713" s="46"/>
      <c r="V1713" s="46"/>
      <c r="W1713" s="46"/>
    </row>
    <row r="1714" ht="16.5" spans="1:23">
      <c r="A1714" s="46"/>
      <c r="B1714" s="46"/>
      <c r="C1714" s="46"/>
      <c r="D1714" s="46"/>
      <c r="E1714" s="46"/>
      <c r="F1714" s="46"/>
      <c r="G1714" s="46"/>
      <c r="H1714" s="46"/>
      <c r="I1714" s="46"/>
      <c r="J1714" s="46"/>
      <c r="K1714" s="46"/>
      <c r="L1714" s="46"/>
      <c r="M1714" s="46"/>
      <c r="N1714" s="46"/>
      <c r="O1714" s="46"/>
      <c r="P1714" s="46"/>
      <c r="Q1714" s="46"/>
      <c r="R1714" s="46"/>
      <c r="S1714" s="46"/>
      <c r="T1714" s="46"/>
      <c r="U1714" s="46"/>
      <c r="V1714" s="46"/>
      <c r="W1714" s="46"/>
    </row>
    <row r="1715" ht="16.5" spans="1:23">
      <c r="A1715" s="46"/>
      <c r="B1715" s="46"/>
      <c r="C1715" s="46"/>
      <c r="D1715" s="46"/>
      <c r="E1715" s="46"/>
      <c r="F1715" s="46"/>
      <c r="G1715" s="46"/>
      <c r="H1715" s="46"/>
      <c r="I1715" s="46"/>
      <c r="J1715" s="46"/>
      <c r="K1715" s="46"/>
      <c r="L1715" s="46"/>
      <c r="M1715" s="46"/>
      <c r="N1715" s="46"/>
      <c r="O1715" s="46"/>
      <c r="P1715" s="46"/>
      <c r="Q1715" s="46"/>
      <c r="R1715" s="46"/>
      <c r="S1715" s="46"/>
      <c r="T1715" s="46"/>
      <c r="U1715" s="46"/>
      <c r="V1715" s="46"/>
      <c r="W1715" s="46"/>
    </row>
    <row r="1716" ht="16.5" spans="1:23">
      <c r="A1716" s="46"/>
      <c r="B1716" s="46"/>
      <c r="C1716" s="46"/>
      <c r="D1716" s="46"/>
      <c r="E1716" s="46"/>
      <c r="F1716" s="46"/>
      <c r="G1716" s="46"/>
      <c r="H1716" s="46"/>
      <c r="I1716" s="46"/>
      <c r="J1716" s="46"/>
      <c r="K1716" s="46"/>
      <c r="L1716" s="46"/>
      <c r="M1716" s="46"/>
      <c r="N1716" s="46"/>
      <c r="O1716" s="46"/>
      <c r="P1716" s="46"/>
      <c r="Q1716" s="46"/>
      <c r="R1716" s="46"/>
      <c r="S1716" s="46"/>
      <c r="T1716" s="46"/>
      <c r="U1716" s="46"/>
      <c r="V1716" s="46"/>
      <c r="W1716" s="46"/>
    </row>
    <row r="1717" ht="16.5" spans="1:23">
      <c r="A1717" s="46"/>
      <c r="B1717" s="46"/>
      <c r="C1717" s="46"/>
      <c r="D1717" s="46"/>
      <c r="E1717" s="46"/>
      <c r="F1717" s="46"/>
      <c r="G1717" s="46"/>
      <c r="H1717" s="46"/>
      <c r="I1717" s="46"/>
      <c r="J1717" s="46"/>
      <c r="K1717" s="46"/>
      <c r="L1717" s="46"/>
      <c r="M1717" s="46"/>
      <c r="N1717" s="46"/>
      <c r="O1717" s="46"/>
      <c r="P1717" s="46"/>
      <c r="Q1717" s="46"/>
      <c r="R1717" s="46"/>
      <c r="S1717" s="46"/>
      <c r="T1717" s="46"/>
      <c r="U1717" s="46"/>
      <c r="V1717" s="46"/>
      <c r="W1717" s="46"/>
    </row>
    <row r="1718" ht="16.5" spans="1:23">
      <c r="A1718" s="46"/>
      <c r="B1718" s="46"/>
      <c r="C1718" s="46"/>
      <c r="D1718" s="46"/>
      <c r="E1718" s="46"/>
      <c r="F1718" s="46"/>
      <c r="G1718" s="46"/>
      <c r="H1718" s="46"/>
      <c r="I1718" s="46"/>
      <c r="J1718" s="46"/>
      <c r="K1718" s="46"/>
      <c r="L1718" s="46"/>
      <c r="M1718" s="46"/>
      <c r="N1718" s="46"/>
      <c r="O1718" s="46"/>
      <c r="P1718" s="46"/>
      <c r="Q1718" s="46"/>
      <c r="R1718" s="46"/>
      <c r="S1718" s="46"/>
      <c r="T1718" s="46"/>
      <c r="U1718" s="46"/>
      <c r="V1718" s="46"/>
      <c r="W1718" s="46"/>
    </row>
    <row r="1719" ht="16.5" spans="1:23">
      <c r="A1719" s="46"/>
      <c r="B1719" s="46"/>
      <c r="C1719" s="46"/>
      <c r="D1719" s="46"/>
      <c r="E1719" s="46"/>
      <c r="F1719" s="46"/>
      <c r="G1719" s="46"/>
      <c r="H1719" s="46"/>
      <c r="I1719" s="46"/>
      <c r="J1719" s="46"/>
      <c r="K1719" s="46"/>
      <c r="L1719" s="46"/>
      <c r="M1719" s="46"/>
      <c r="N1719" s="46"/>
      <c r="O1719" s="46"/>
      <c r="P1719" s="46"/>
      <c r="Q1719" s="46"/>
      <c r="R1719" s="46"/>
      <c r="S1719" s="46"/>
      <c r="T1719" s="46"/>
      <c r="U1719" s="46"/>
      <c r="V1719" s="46"/>
      <c r="W1719" s="46"/>
    </row>
    <row r="1720" ht="16.5" spans="1:23">
      <c r="A1720" s="46"/>
      <c r="B1720" s="46"/>
      <c r="C1720" s="46"/>
      <c r="D1720" s="46"/>
      <c r="E1720" s="46"/>
      <c r="F1720" s="46"/>
      <c r="G1720" s="46"/>
      <c r="H1720" s="46"/>
      <c r="I1720" s="46"/>
      <c r="J1720" s="46"/>
      <c r="K1720" s="46"/>
      <c r="L1720" s="46"/>
      <c r="M1720" s="46"/>
      <c r="N1720" s="46"/>
      <c r="O1720" s="46"/>
      <c r="P1720" s="46"/>
      <c r="Q1720" s="46"/>
      <c r="R1720" s="46"/>
      <c r="S1720" s="46"/>
      <c r="T1720" s="46"/>
      <c r="U1720" s="46"/>
      <c r="V1720" s="46"/>
      <c r="W1720" s="46"/>
    </row>
    <row r="1721" ht="16.5" spans="1:23">
      <c r="A1721" s="46"/>
      <c r="B1721" s="46"/>
      <c r="C1721" s="46"/>
      <c r="D1721" s="46"/>
      <c r="E1721" s="46"/>
      <c r="F1721" s="46"/>
      <c r="G1721" s="46"/>
      <c r="H1721" s="46"/>
      <c r="I1721" s="46"/>
      <c r="J1721" s="46"/>
      <c r="K1721" s="46"/>
      <c r="L1721" s="46"/>
      <c r="M1721" s="46"/>
      <c r="N1721" s="46"/>
      <c r="O1721" s="46"/>
      <c r="P1721" s="46"/>
      <c r="Q1721" s="46"/>
      <c r="R1721" s="46"/>
      <c r="S1721" s="46"/>
      <c r="T1721" s="46"/>
      <c r="U1721" s="46"/>
      <c r="V1721" s="46"/>
      <c r="W1721" s="46"/>
    </row>
    <row r="1722" ht="16.5" spans="1:23">
      <c r="A1722" s="46"/>
      <c r="B1722" s="46"/>
      <c r="C1722" s="46"/>
      <c r="D1722" s="46"/>
      <c r="E1722" s="46"/>
      <c r="F1722" s="46"/>
      <c r="G1722" s="46"/>
      <c r="H1722" s="46"/>
      <c r="I1722" s="46"/>
      <c r="J1722" s="46"/>
      <c r="K1722" s="46"/>
      <c r="L1722" s="46"/>
      <c r="M1722" s="46"/>
      <c r="N1722" s="46"/>
      <c r="O1722" s="46"/>
      <c r="P1722" s="46"/>
      <c r="Q1722" s="46"/>
      <c r="R1722" s="46"/>
      <c r="S1722" s="46"/>
      <c r="T1722" s="46"/>
      <c r="U1722" s="46"/>
      <c r="V1722" s="46"/>
      <c r="W1722" s="46"/>
    </row>
    <row r="1723" ht="16.5" spans="1:23">
      <c r="A1723" s="46"/>
      <c r="B1723" s="46"/>
      <c r="C1723" s="46"/>
      <c r="D1723" s="46"/>
      <c r="E1723" s="46"/>
      <c r="F1723" s="46"/>
      <c r="G1723" s="46"/>
      <c r="H1723" s="46"/>
      <c r="I1723" s="46"/>
      <c r="J1723" s="46"/>
      <c r="K1723" s="46"/>
      <c r="L1723" s="46"/>
      <c r="M1723" s="46"/>
      <c r="N1723" s="46"/>
      <c r="O1723" s="46"/>
      <c r="P1723" s="46"/>
      <c r="Q1723" s="46"/>
      <c r="R1723" s="46"/>
      <c r="S1723" s="46"/>
      <c r="T1723" s="46"/>
      <c r="U1723" s="46"/>
      <c r="V1723" s="46"/>
      <c r="W1723" s="46"/>
    </row>
    <row r="1724" ht="16.5" spans="1:23">
      <c r="A1724" s="46"/>
      <c r="B1724" s="46"/>
      <c r="C1724" s="46"/>
      <c r="D1724" s="46"/>
      <c r="E1724" s="46"/>
      <c r="F1724" s="46"/>
      <c r="G1724" s="46"/>
      <c r="H1724" s="46"/>
      <c r="I1724" s="46"/>
      <c r="J1724" s="46"/>
      <c r="K1724" s="46"/>
      <c r="L1724" s="46"/>
      <c r="M1724" s="46"/>
      <c r="N1724" s="46"/>
      <c r="O1724" s="46"/>
      <c r="P1724" s="46"/>
      <c r="Q1724" s="46"/>
      <c r="R1724" s="46"/>
      <c r="S1724" s="46"/>
      <c r="T1724" s="46"/>
      <c r="U1724" s="46"/>
      <c r="V1724" s="46"/>
      <c r="W1724" s="46"/>
    </row>
    <row r="1725" ht="16.5" spans="1:23">
      <c r="A1725" s="46"/>
      <c r="B1725" s="46"/>
      <c r="C1725" s="46"/>
      <c r="D1725" s="46"/>
      <c r="E1725" s="46"/>
      <c r="F1725" s="46"/>
      <c r="G1725" s="46"/>
      <c r="H1725" s="46"/>
      <c r="I1725" s="46"/>
      <c r="J1725" s="46"/>
      <c r="K1725" s="46"/>
      <c r="L1725" s="46"/>
      <c r="M1725" s="46"/>
      <c r="N1725" s="46"/>
      <c r="O1725" s="46"/>
      <c r="P1725" s="46"/>
      <c r="Q1725" s="46"/>
      <c r="R1725" s="46"/>
      <c r="S1725" s="46"/>
      <c r="T1725" s="46"/>
      <c r="U1725" s="46"/>
      <c r="V1725" s="46"/>
      <c r="W1725" s="46"/>
    </row>
    <row r="1726" ht="16.5" spans="1:23">
      <c r="A1726" s="46"/>
      <c r="B1726" s="46"/>
      <c r="C1726" s="46"/>
      <c r="D1726" s="46"/>
      <c r="E1726" s="46"/>
      <c r="F1726" s="46"/>
      <c r="G1726" s="46"/>
      <c r="H1726" s="46"/>
      <c r="I1726" s="46"/>
      <c r="J1726" s="46"/>
      <c r="K1726" s="46"/>
      <c r="L1726" s="46"/>
      <c r="M1726" s="46"/>
      <c r="N1726" s="46"/>
      <c r="O1726" s="46"/>
      <c r="P1726" s="46"/>
      <c r="Q1726" s="46"/>
      <c r="R1726" s="46"/>
      <c r="S1726" s="46"/>
      <c r="T1726" s="46"/>
      <c r="U1726" s="46"/>
      <c r="V1726" s="46"/>
      <c r="W1726" s="46"/>
    </row>
    <row r="1727" ht="16.5" spans="1:23">
      <c r="A1727" s="46"/>
      <c r="B1727" s="46"/>
      <c r="C1727" s="46"/>
      <c r="D1727" s="46"/>
      <c r="E1727" s="46"/>
      <c r="F1727" s="46"/>
      <c r="G1727" s="46"/>
      <c r="H1727" s="46"/>
      <c r="I1727" s="46"/>
      <c r="J1727" s="46"/>
      <c r="K1727" s="46"/>
      <c r="L1727" s="46"/>
      <c r="M1727" s="46"/>
      <c r="N1727" s="46"/>
      <c r="O1727" s="46"/>
      <c r="P1727" s="46"/>
      <c r="Q1727" s="46"/>
      <c r="R1727" s="46"/>
      <c r="S1727" s="46"/>
      <c r="T1727" s="46"/>
      <c r="U1727" s="46"/>
      <c r="V1727" s="46"/>
      <c r="W1727" s="46"/>
    </row>
    <row r="1728" ht="16.5" spans="1:23">
      <c r="A1728" s="46"/>
      <c r="B1728" s="46"/>
      <c r="C1728" s="46"/>
      <c r="D1728" s="46"/>
      <c r="E1728" s="46"/>
      <c r="F1728" s="46"/>
      <c r="G1728" s="46"/>
      <c r="H1728" s="46"/>
      <c r="I1728" s="46"/>
      <c r="J1728" s="46"/>
      <c r="K1728" s="46"/>
      <c r="L1728" s="46"/>
      <c r="M1728" s="46"/>
      <c r="N1728" s="46"/>
      <c r="O1728" s="46"/>
      <c r="P1728" s="46"/>
      <c r="Q1728" s="46"/>
      <c r="R1728" s="46"/>
      <c r="S1728" s="46"/>
      <c r="T1728" s="46"/>
      <c r="U1728" s="46"/>
      <c r="V1728" s="46"/>
      <c r="W1728" s="46"/>
    </row>
    <row r="1729" ht="16.5" spans="1:23">
      <c r="A1729" s="46"/>
      <c r="B1729" s="46"/>
      <c r="C1729" s="46"/>
      <c r="D1729" s="46"/>
      <c r="E1729" s="46"/>
      <c r="F1729" s="46"/>
      <c r="G1729" s="46"/>
      <c r="H1729" s="46"/>
      <c r="I1729" s="46"/>
      <c r="J1729" s="46"/>
      <c r="K1729" s="46"/>
      <c r="L1729" s="46"/>
      <c r="M1729" s="46"/>
      <c r="N1729" s="46"/>
      <c r="O1729" s="46"/>
      <c r="P1729" s="46"/>
      <c r="Q1729" s="46"/>
      <c r="R1729" s="46"/>
      <c r="S1729" s="46"/>
      <c r="T1729" s="46"/>
      <c r="U1729" s="46"/>
      <c r="V1729" s="46"/>
      <c r="W1729" s="46"/>
    </row>
    <row r="1730" ht="16.5" spans="1:23">
      <c r="A1730" s="46"/>
      <c r="B1730" s="46"/>
      <c r="C1730" s="46"/>
      <c r="D1730" s="46"/>
      <c r="E1730" s="46"/>
      <c r="F1730" s="46"/>
      <c r="G1730" s="46"/>
      <c r="H1730" s="46"/>
      <c r="I1730" s="46"/>
      <c r="J1730" s="46"/>
      <c r="K1730" s="46"/>
      <c r="L1730" s="46"/>
      <c r="M1730" s="46"/>
      <c r="N1730" s="46"/>
      <c r="O1730" s="46"/>
      <c r="P1730" s="46"/>
      <c r="Q1730" s="46"/>
      <c r="R1730" s="46"/>
      <c r="S1730" s="46"/>
      <c r="T1730" s="46"/>
      <c r="U1730" s="46"/>
      <c r="V1730" s="46"/>
      <c r="W1730" s="46"/>
    </row>
    <row r="1731" ht="16.5" spans="1:23">
      <c r="A1731" s="46"/>
      <c r="B1731" s="46"/>
      <c r="C1731" s="46"/>
      <c r="D1731" s="46"/>
      <c r="E1731" s="46"/>
      <c r="F1731" s="46"/>
      <c r="G1731" s="46"/>
      <c r="H1731" s="46"/>
      <c r="I1731" s="46"/>
      <c r="J1731" s="46"/>
      <c r="K1731" s="46"/>
      <c r="L1731" s="46"/>
      <c r="M1731" s="46"/>
      <c r="N1731" s="46"/>
      <c r="O1731" s="46"/>
      <c r="P1731" s="46"/>
      <c r="Q1731" s="46"/>
      <c r="R1731" s="46"/>
      <c r="S1731" s="46"/>
      <c r="T1731" s="46"/>
      <c r="U1731" s="46"/>
      <c r="V1731" s="46"/>
      <c r="W1731" s="46"/>
    </row>
    <row r="1732" ht="16.5" spans="1:23">
      <c r="A1732" s="46"/>
      <c r="B1732" s="46"/>
      <c r="C1732" s="46"/>
      <c r="D1732" s="46"/>
      <c r="E1732" s="46"/>
      <c r="F1732" s="46"/>
      <c r="G1732" s="46"/>
      <c r="H1732" s="46"/>
      <c r="I1732" s="46"/>
      <c r="J1732" s="46"/>
      <c r="K1732" s="46"/>
      <c r="L1732" s="46"/>
      <c r="M1732" s="46"/>
      <c r="N1732" s="46"/>
      <c r="O1732" s="46"/>
      <c r="P1732" s="46"/>
      <c r="Q1732" s="46"/>
      <c r="R1732" s="46"/>
      <c r="S1732" s="46"/>
      <c r="T1732" s="46"/>
      <c r="U1732" s="46"/>
      <c r="V1732" s="46"/>
      <c r="W1732" s="46"/>
    </row>
    <row r="1733" ht="16.5" spans="1:23">
      <c r="A1733" s="46"/>
      <c r="B1733" s="46"/>
      <c r="C1733" s="46"/>
      <c r="D1733" s="46"/>
      <c r="E1733" s="46"/>
      <c r="F1733" s="46"/>
      <c r="G1733" s="46"/>
      <c r="H1733" s="46"/>
      <c r="I1733" s="46"/>
      <c r="J1733" s="46"/>
      <c r="K1733" s="46"/>
      <c r="L1733" s="46"/>
      <c r="M1733" s="46"/>
      <c r="N1733" s="46"/>
      <c r="O1733" s="46"/>
      <c r="P1733" s="46"/>
      <c r="Q1733" s="46"/>
      <c r="R1733" s="46"/>
      <c r="S1733" s="46"/>
      <c r="T1733" s="46"/>
      <c r="U1733" s="46"/>
      <c r="V1733" s="46"/>
      <c r="W1733" s="46"/>
    </row>
    <row r="1734" ht="16.5" spans="1:23">
      <c r="A1734" s="46"/>
      <c r="B1734" s="46"/>
      <c r="C1734" s="46"/>
      <c r="D1734" s="46"/>
      <c r="E1734" s="46"/>
      <c r="F1734" s="46"/>
      <c r="G1734" s="46"/>
      <c r="H1734" s="46"/>
      <c r="I1734" s="46"/>
      <c r="J1734" s="46"/>
      <c r="K1734" s="46"/>
      <c r="L1734" s="46"/>
      <c r="M1734" s="46"/>
      <c r="N1734" s="46"/>
      <c r="O1734" s="46"/>
      <c r="P1734" s="46"/>
      <c r="Q1734" s="46"/>
      <c r="R1734" s="46"/>
      <c r="S1734" s="46"/>
      <c r="T1734" s="46"/>
      <c r="U1734" s="46"/>
      <c r="V1734" s="46"/>
      <c r="W1734" s="46"/>
    </row>
    <row r="1735" ht="16.5" spans="1:23">
      <c r="A1735" s="46"/>
      <c r="B1735" s="46"/>
      <c r="C1735" s="46"/>
      <c r="D1735" s="46"/>
      <c r="E1735" s="46"/>
      <c r="F1735" s="46"/>
      <c r="G1735" s="46"/>
      <c r="H1735" s="46"/>
      <c r="I1735" s="46"/>
      <c r="J1735" s="46"/>
      <c r="K1735" s="46"/>
      <c r="L1735" s="46"/>
      <c r="M1735" s="46"/>
      <c r="N1735" s="46"/>
      <c r="O1735" s="46"/>
      <c r="P1735" s="46"/>
      <c r="Q1735" s="46"/>
      <c r="R1735" s="46"/>
      <c r="S1735" s="46"/>
      <c r="T1735" s="46"/>
      <c r="U1735" s="46"/>
      <c r="V1735" s="46"/>
      <c r="W1735" s="46"/>
    </row>
    <row r="1736" ht="16.5" spans="1:23">
      <c r="A1736" s="46"/>
      <c r="B1736" s="46"/>
      <c r="C1736" s="46"/>
      <c r="D1736" s="46"/>
      <c r="E1736" s="46"/>
      <c r="F1736" s="46"/>
      <c r="G1736" s="46"/>
      <c r="H1736" s="46"/>
      <c r="I1736" s="46"/>
      <c r="J1736" s="46"/>
      <c r="K1736" s="46"/>
      <c r="L1736" s="46"/>
      <c r="M1736" s="46"/>
      <c r="N1736" s="46"/>
      <c r="O1736" s="46"/>
      <c r="P1736" s="46"/>
      <c r="Q1736" s="46"/>
      <c r="R1736" s="46"/>
      <c r="S1736" s="46"/>
      <c r="T1736" s="46"/>
      <c r="U1736" s="46"/>
      <c r="V1736" s="46"/>
      <c r="W1736" s="46"/>
    </row>
    <row r="1737" ht="16.5" spans="1:23">
      <c r="A1737" s="46"/>
      <c r="B1737" s="46"/>
      <c r="C1737" s="46"/>
      <c r="D1737" s="46"/>
      <c r="E1737" s="46"/>
      <c r="F1737" s="46"/>
      <c r="G1737" s="46"/>
      <c r="H1737" s="46"/>
      <c r="I1737" s="46"/>
      <c r="J1737" s="46"/>
      <c r="K1737" s="46"/>
      <c r="L1737" s="46"/>
      <c r="M1737" s="46"/>
      <c r="N1737" s="46"/>
      <c r="O1737" s="46"/>
      <c r="P1737" s="46"/>
      <c r="Q1737" s="46"/>
      <c r="R1737" s="46"/>
      <c r="S1737" s="46"/>
      <c r="T1737" s="46"/>
      <c r="U1737" s="46"/>
      <c r="V1737" s="46"/>
      <c r="W1737" s="46"/>
    </row>
    <row r="1738" ht="16.5" spans="1:23">
      <c r="A1738" s="46"/>
      <c r="B1738" s="46"/>
      <c r="C1738" s="46"/>
      <c r="D1738" s="46"/>
      <c r="E1738" s="46"/>
      <c r="F1738" s="46"/>
      <c r="G1738" s="46"/>
      <c r="H1738" s="46"/>
      <c r="I1738" s="46"/>
      <c r="J1738" s="46"/>
      <c r="K1738" s="46"/>
      <c r="L1738" s="46"/>
      <c r="M1738" s="46"/>
      <c r="N1738" s="46"/>
      <c r="O1738" s="46"/>
      <c r="P1738" s="46"/>
      <c r="Q1738" s="46"/>
      <c r="R1738" s="46"/>
      <c r="S1738" s="46"/>
      <c r="T1738" s="46"/>
      <c r="U1738" s="46"/>
      <c r="V1738" s="46"/>
      <c r="W1738" s="46"/>
    </row>
    <row r="1739" ht="16.5" spans="1:23">
      <c r="A1739" s="46"/>
      <c r="B1739" s="46"/>
      <c r="C1739" s="46"/>
      <c r="D1739" s="46"/>
      <c r="E1739" s="46"/>
      <c r="F1739" s="46"/>
      <c r="G1739" s="46"/>
      <c r="H1739" s="46"/>
      <c r="I1739" s="46"/>
      <c r="J1739" s="46"/>
      <c r="K1739" s="46"/>
      <c r="L1739" s="46"/>
      <c r="M1739" s="46"/>
      <c r="N1739" s="46"/>
      <c r="O1739" s="46"/>
      <c r="P1739" s="46"/>
      <c r="Q1739" s="46"/>
      <c r="R1739" s="46"/>
      <c r="S1739" s="46"/>
      <c r="T1739" s="46"/>
      <c r="U1739" s="46"/>
      <c r="V1739" s="46"/>
      <c r="W1739" s="46"/>
    </row>
    <row r="1740" ht="16.5" spans="1:23">
      <c r="A1740" s="46"/>
      <c r="B1740" s="46"/>
      <c r="C1740" s="46"/>
      <c r="D1740" s="46"/>
      <c r="E1740" s="46"/>
      <c r="F1740" s="46"/>
      <c r="G1740" s="46"/>
      <c r="H1740" s="46"/>
      <c r="I1740" s="46"/>
      <c r="J1740" s="46"/>
      <c r="K1740" s="46"/>
      <c r="L1740" s="46"/>
      <c r="M1740" s="46"/>
      <c r="N1740" s="46"/>
      <c r="O1740" s="46"/>
      <c r="P1740" s="46"/>
      <c r="Q1740" s="46"/>
      <c r="R1740" s="46"/>
      <c r="S1740" s="46"/>
      <c r="T1740" s="46"/>
      <c r="U1740" s="46"/>
      <c r="V1740" s="46"/>
      <c r="W1740" s="46"/>
    </row>
    <row r="1741" ht="16.5" spans="1:23">
      <c r="A1741" s="46"/>
      <c r="B1741" s="46"/>
      <c r="C1741" s="46"/>
      <c r="D1741" s="46"/>
      <c r="E1741" s="46"/>
      <c r="F1741" s="46"/>
      <c r="G1741" s="46"/>
      <c r="H1741" s="46"/>
      <c r="I1741" s="46"/>
      <c r="J1741" s="46"/>
      <c r="K1741" s="46"/>
      <c r="L1741" s="46"/>
      <c r="M1741" s="46"/>
      <c r="N1741" s="46"/>
      <c r="O1741" s="46"/>
      <c r="P1741" s="46"/>
      <c r="Q1741" s="46"/>
      <c r="R1741" s="46"/>
      <c r="S1741" s="46"/>
      <c r="T1741" s="46"/>
      <c r="U1741" s="46"/>
      <c r="V1741" s="46"/>
      <c r="W1741" s="46"/>
    </row>
    <row r="1742" ht="16.5" spans="1:23">
      <c r="A1742" s="46"/>
      <c r="B1742" s="46"/>
      <c r="C1742" s="46"/>
      <c r="D1742" s="46"/>
      <c r="E1742" s="46"/>
      <c r="F1742" s="46"/>
      <c r="G1742" s="46"/>
      <c r="H1742" s="46"/>
      <c r="I1742" s="46"/>
      <c r="J1742" s="46"/>
      <c r="K1742" s="46"/>
      <c r="L1742" s="46"/>
      <c r="M1742" s="46"/>
      <c r="N1742" s="46"/>
      <c r="O1742" s="46"/>
      <c r="P1742" s="46"/>
      <c r="Q1742" s="46"/>
      <c r="R1742" s="46"/>
      <c r="S1742" s="46"/>
      <c r="T1742" s="46"/>
      <c r="U1742" s="46"/>
      <c r="V1742" s="46"/>
      <c r="W1742" s="46"/>
    </row>
    <row r="1743" ht="16.5" spans="1:23">
      <c r="A1743" s="46"/>
      <c r="B1743" s="46"/>
      <c r="C1743" s="46"/>
      <c r="D1743" s="46"/>
      <c r="E1743" s="46"/>
      <c r="F1743" s="46"/>
      <c r="G1743" s="46"/>
      <c r="H1743" s="46"/>
      <c r="I1743" s="46"/>
      <c r="J1743" s="46"/>
      <c r="K1743" s="46"/>
      <c r="L1743" s="46"/>
      <c r="M1743" s="46"/>
      <c r="N1743" s="46"/>
      <c r="O1743" s="46"/>
      <c r="P1743" s="46"/>
      <c r="Q1743" s="46"/>
      <c r="R1743" s="46"/>
      <c r="S1743" s="46"/>
      <c r="T1743" s="46"/>
      <c r="U1743" s="46"/>
      <c r="V1743" s="46"/>
      <c r="W1743" s="46"/>
    </row>
    <row r="1744" ht="16.5" spans="1:23">
      <c r="A1744" s="46"/>
      <c r="B1744" s="46"/>
      <c r="C1744" s="46"/>
      <c r="D1744" s="46"/>
      <c r="E1744" s="46"/>
      <c r="F1744" s="46"/>
      <c r="G1744" s="46"/>
      <c r="H1744" s="46"/>
      <c r="I1744" s="46"/>
      <c r="J1744" s="46"/>
      <c r="K1744" s="46"/>
      <c r="L1744" s="46"/>
      <c r="M1744" s="46"/>
      <c r="N1744" s="46"/>
      <c r="O1744" s="46"/>
      <c r="P1744" s="46"/>
      <c r="Q1744" s="46"/>
      <c r="R1744" s="46"/>
      <c r="S1744" s="46"/>
      <c r="T1744" s="46"/>
      <c r="U1744" s="46"/>
      <c r="V1744" s="46"/>
      <c r="W1744" s="46"/>
    </row>
    <row r="1745" ht="16.5" spans="1:23">
      <c r="A1745" s="46"/>
      <c r="B1745" s="46"/>
      <c r="C1745" s="46"/>
      <c r="D1745" s="46"/>
      <c r="E1745" s="46"/>
      <c r="F1745" s="46"/>
      <c r="G1745" s="46"/>
      <c r="H1745" s="46"/>
      <c r="I1745" s="46"/>
      <c r="J1745" s="46"/>
      <c r="K1745" s="46"/>
      <c r="L1745" s="46"/>
      <c r="M1745" s="46"/>
      <c r="N1745" s="46"/>
      <c r="O1745" s="46"/>
      <c r="P1745" s="46"/>
      <c r="Q1745" s="46"/>
      <c r="R1745" s="46"/>
      <c r="S1745" s="46"/>
      <c r="T1745" s="46"/>
      <c r="U1745" s="46"/>
      <c r="V1745" s="46"/>
      <c r="W1745" s="46"/>
    </row>
    <row r="1746" ht="16.5" spans="1:23">
      <c r="A1746" s="46"/>
      <c r="B1746" s="46"/>
      <c r="C1746" s="46"/>
      <c r="D1746" s="46"/>
      <c r="E1746" s="46"/>
      <c r="F1746" s="46"/>
      <c r="G1746" s="46"/>
      <c r="H1746" s="46"/>
      <c r="I1746" s="46"/>
      <c r="J1746" s="46"/>
      <c r="K1746" s="46"/>
      <c r="L1746" s="46"/>
      <c r="M1746" s="46"/>
      <c r="N1746" s="46"/>
      <c r="O1746" s="46"/>
      <c r="P1746" s="46"/>
      <c r="Q1746" s="46"/>
      <c r="R1746" s="46"/>
      <c r="S1746" s="46"/>
      <c r="T1746" s="46"/>
      <c r="U1746" s="46"/>
      <c r="V1746" s="46"/>
      <c r="W1746" s="46"/>
    </row>
    <row r="1747" ht="16.5" spans="1:23">
      <c r="A1747" s="46"/>
      <c r="B1747" s="46"/>
      <c r="C1747" s="46"/>
      <c r="D1747" s="46"/>
      <c r="E1747" s="46"/>
      <c r="F1747" s="46"/>
      <c r="G1747" s="46"/>
      <c r="H1747" s="46"/>
      <c r="I1747" s="46"/>
      <c r="J1747" s="46"/>
      <c r="K1747" s="46"/>
      <c r="L1747" s="46"/>
      <c r="M1747" s="46"/>
      <c r="N1747" s="46"/>
      <c r="O1747" s="46"/>
      <c r="P1747" s="46"/>
      <c r="Q1747" s="46"/>
      <c r="R1747" s="46"/>
      <c r="S1747" s="46"/>
      <c r="T1747" s="46"/>
      <c r="U1747" s="46"/>
      <c r="V1747" s="46"/>
      <c r="W1747" s="46"/>
    </row>
    <row r="1748" ht="16.5" spans="1:23">
      <c r="A1748" s="46"/>
      <c r="B1748" s="46"/>
      <c r="C1748" s="46"/>
      <c r="D1748" s="46"/>
      <c r="E1748" s="46"/>
      <c r="F1748" s="46"/>
      <c r="G1748" s="46"/>
      <c r="H1748" s="46"/>
      <c r="I1748" s="46"/>
      <c r="J1748" s="46"/>
      <c r="K1748" s="46"/>
      <c r="L1748" s="46"/>
      <c r="M1748" s="46"/>
      <c r="N1748" s="46"/>
      <c r="O1748" s="46"/>
      <c r="P1748" s="46"/>
      <c r="Q1748" s="46"/>
      <c r="R1748" s="46"/>
      <c r="S1748" s="46"/>
      <c r="T1748" s="46"/>
      <c r="U1748" s="46"/>
      <c r="V1748" s="46"/>
      <c r="W1748" s="46"/>
    </row>
    <row r="1749" ht="16.5" spans="1:23">
      <c r="A1749" s="46"/>
      <c r="B1749" s="46"/>
      <c r="C1749" s="46"/>
      <c r="D1749" s="46"/>
      <c r="E1749" s="46"/>
      <c r="F1749" s="46"/>
      <c r="G1749" s="46"/>
      <c r="H1749" s="46"/>
      <c r="I1749" s="46"/>
      <c r="J1749" s="46"/>
      <c r="K1749" s="46"/>
      <c r="L1749" s="46"/>
      <c r="M1749" s="46"/>
      <c r="N1749" s="46"/>
      <c r="O1749" s="46"/>
      <c r="P1749" s="46"/>
      <c r="Q1749" s="46"/>
      <c r="R1749" s="46"/>
      <c r="S1749" s="46"/>
      <c r="T1749" s="46"/>
      <c r="U1749" s="46"/>
      <c r="V1749" s="46"/>
      <c r="W1749" s="46"/>
    </row>
    <row r="1750" ht="16.5" spans="1:23">
      <c r="A1750" s="46"/>
      <c r="B1750" s="46"/>
      <c r="C1750" s="46"/>
      <c r="D1750" s="46"/>
      <c r="E1750" s="46"/>
      <c r="F1750" s="46"/>
      <c r="G1750" s="46"/>
      <c r="H1750" s="46"/>
      <c r="I1750" s="46"/>
      <c r="J1750" s="46"/>
      <c r="K1750" s="46"/>
      <c r="L1750" s="46"/>
      <c r="M1750" s="46"/>
      <c r="N1750" s="46"/>
      <c r="O1750" s="46"/>
      <c r="P1750" s="46"/>
      <c r="Q1750" s="46"/>
      <c r="R1750" s="46"/>
      <c r="S1750" s="46"/>
      <c r="T1750" s="46"/>
      <c r="U1750" s="46"/>
      <c r="V1750" s="46"/>
      <c r="W1750" s="46"/>
    </row>
    <row r="1751" ht="16.5" spans="1:23">
      <c r="A1751" s="46"/>
      <c r="B1751" s="46"/>
      <c r="C1751" s="46"/>
      <c r="D1751" s="46"/>
      <c r="E1751" s="46"/>
      <c r="F1751" s="46"/>
      <c r="G1751" s="46"/>
      <c r="H1751" s="46"/>
      <c r="I1751" s="46"/>
      <c r="J1751" s="46"/>
      <c r="K1751" s="46"/>
      <c r="L1751" s="46"/>
      <c r="M1751" s="46"/>
      <c r="N1751" s="46"/>
      <c r="O1751" s="46"/>
      <c r="P1751" s="46"/>
      <c r="Q1751" s="46"/>
      <c r="R1751" s="46"/>
      <c r="S1751" s="46"/>
      <c r="T1751" s="46"/>
      <c r="U1751" s="46"/>
      <c r="V1751" s="46"/>
      <c r="W1751" s="46"/>
    </row>
    <row r="1752" ht="16.5" spans="1:23">
      <c r="A1752" s="46"/>
      <c r="B1752" s="46"/>
      <c r="C1752" s="46"/>
      <c r="D1752" s="46"/>
      <c r="E1752" s="46"/>
      <c r="F1752" s="46"/>
      <c r="G1752" s="46"/>
      <c r="H1752" s="46"/>
      <c r="I1752" s="46"/>
      <c r="J1752" s="46"/>
      <c r="K1752" s="46"/>
      <c r="L1752" s="46"/>
      <c r="M1752" s="46"/>
      <c r="N1752" s="46"/>
      <c r="O1752" s="46"/>
      <c r="P1752" s="46"/>
      <c r="Q1752" s="46"/>
      <c r="R1752" s="46"/>
      <c r="S1752" s="46"/>
      <c r="T1752" s="46"/>
      <c r="U1752" s="46"/>
      <c r="V1752" s="46"/>
      <c r="W1752" s="46"/>
    </row>
    <row r="1753" ht="16.5" spans="1:23">
      <c r="A1753" s="46"/>
      <c r="B1753" s="46"/>
      <c r="C1753" s="46"/>
      <c r="D1753" s="46"/>
      <c r="E1753" s="46"/>
      <c r="F1753" s="46"/>
      <c r="G1753" s="46"/>
      <c r="H1753" s="46"/>
      <c r="I1753" s="46"/>
      <c r="J1753" s="46"/>
      <c r="K1753" s="46"/>
      <c r="L1753" s="46"/>
      <c r="M1753" s="46"/>
      <c r="N1753" s="46"/>
      <c r="O1753" s="46"/>
      <c r="P1753" s="46"/>
      <c r="Q1753" s="46"/>
      <c r="R1753" s="46"/>
      <c r="S1753" s="46"/>
      <c r="T1753" s="46"/>
      <c r="U1753" s="46"/>
      <c r="V1753" s="46"/>
      <c r="W1753" s="46"/>
    </row>
    <row r="1754" ht="16.5" spans="1:23">
      <c r="A1754" s="46"/>
      <c r="B1754" s="46"/>
      <c r="C1754" s="46"/>
      <c r="D1754" s="46"/>
      <c r="E1754" s="46"/>
      <c r="F1754" s="46"/>
      <c r="G1754" s="46"/>
      <c r="H1754" s="46"/>
      <c r="I1754" s="46"/>
      <c r="J1754" s="46"/>
      <c r="K1754" s="46"/>
      <c r="L1754" s="46"/>
      <c r="M1754" s="46"/>
      <c r="N1754" s="46"/>
      <c r="O1754" s="46"/>
      <c r="P1754" s="46"/>
      <c r="Q1754" s="46"/>
      <c r="R1754" s="46"/>
      <c r="S1754" s="46"/>
      <c r="T1754" s="46"/>
      <c r="U1754" s="46"/>
      <c r="V1754" s="46"/>
      <c r="W1754" s="46"/>
    </row>
    <row r="1755" ht="16.5" spans="1:23">
      <c r="A1755" s="46"/>
      <c r="B1755" s="46"/>
      <c r="C1755" s="46"/>
      <c r="D1755" s="46"/>
      <c r="E1755" s="46"/>
      <c r="F1755" s="46"/>
      <c r="G1755" s="46"/>
      <c r="H1755" s="46"/>
      <c r="I1755" s="46"/>
      <c r="J1755" s="46"/>
      <c r="K1755" s="46"/>
      <c r="L1755" s="46"/>
      <c r="M1755" s="46"/>
      <c r="N1755" s="46"/>
      <c r="O1755" s="46"/>
      <c r="P1755" s="46"/>
      <c r="Q1755" s="46"/>
      <c r="R1755" s="46"/>
      <c r="S1755" s="46"/>
      <c r="T1755" s="46"/>
      <c r="U1755" s="46"/>
      <c r="V1755" s="46"/>
      <c r="W1755" s="46"/>
    </row>
    <row r="1756" ht="16.5" spans="1:23">
      <c r="A1756" s="46"/>
      <c r="B1756" s="46"/>
      <c r="C1756" s="46"/>
      <c r="D1756" s="46"/>
      <c r="E1756" s="46"/>
      <c r="F1756" s="46"/>
      <c r="G1756" s="46"/>
      <c r="H1756" s="46"/>
      <c r="I1756" s="46"/>
      <c r="J1756" s="46"/>
      <c r="K1756" s="46"/>
      <c r="L1756" s="46"/>
      <c r="M1756" s="46"/>
      <c r="N1756" s="46"/>
      <c r="O1756" s="46"/>
      <c r="P1756" s="46"/>
      <c r="Q1756" s="46"/>
      <c r="R1756" s="46"/>
      <c r="S1756" s="46"/>
      <c r="T1756" s="46"/>
      <c r="U1756" s="46"/>
      <c r="V1756" s="46"/>
      <c r="W1756" s="46"/>
    </row>
    <row r="1757" ht="16.5" spans="1:23">
      <c r="A1757" s="46"/>
      <c r="B1757" s="46"/>
      <c r="C1757" s="46"/>
      <c r="D1757" s="46"/>
      <c r="E1757" s="46"/>
      <c r="F1757" s="46"/>
      <c r="G1757" s="46"/>
      <c r="H1757" s="46"/>
      <c r="I1757" s="46"/>
      <c r="J1757" s="46"/>
      <c r="K1757" s="46"/>
      <c r="L1757" s="46"/>
      <c r="M1757" s="46"/>
      <c r="N1757" s="46"/>
      <c r="O1757" s="46"/>
      <c r="P1757" s="46"/>
      <c r="Q1757" s="46"/>
      <c r="R1757" s="46"/>
      <c r="S1757" s="46"/>
      <c r="T1757" s="46"/>
      <c r="U1757" s="46"/>
      <c r="V1757" s="46"/>
      <c r="W1757" s="46"/>
    </row>
    <row r="1758" ht="16.5" spans="1:23">
      <c r="A1758" s="46"/>
      <c r="B1758" s="46"/>
      <c r="C1758" s="46"/>
      <c r="D1758" s="46"/>
      <c r="E1758" s="46"/>
      <c r="F1758" s="46"/>
      <c r="G1758" s="46"/>
      <c r="H1758" s="46"/>
      <c r="I1758" s="46"/>
      <c r="J1758" s="46"/>
      <c r="K1758" s="46"/>
      <c r="L1758" s="46"/>
      <c r="M1758" s="46"/>
      <c r="N1758" s="46"/>
      <c r="O1758" s="46"/>
      <c r="P1758" s="46"/>
      <c r="Q1758" s="46"/>
      <c r="R1758" s="46"/>
      <c r="S1758" s="46"/>
      <c r="T1758" s="46"/>
      <c r="U1758" s="46"/>
      <c r="V1758" s="46"/>
      <c r="W1758" s="46"/>
    </row>
    <row r="1759" ht="16.5" spans="1:23">
      <c r="A1759" s="46"/>
      <c r="B1759" s="46"/>
      <c r="C1759" s="46"/>
      <c r="D1759" s="46"/>
      <c r="E1759" s="46"/>
      <c r="F1759" s="46"/>
      <c r="G1759" s="46"/>
      <c r="H1759" s="46"/>
      <c r="I1759" s="46"/>
      <c r="J1759" s="46"/>
      <c r="K1759" s="46"/>
      <c r="L1759" s="46"/>
      <c r="M1759" s="46"/>
      <c r="N1759" s="46"/>
      <c r="O1759" s="46"/>
      <c r="P1759" s="46"/>
      <c r="Q1759" s="46"/>
      <c r="R1759" s="46"/>
      <c r="S1759" s="46"/>
      <c r="T1759" s="46"/>
      <c r="U1759" s="46"/>
      <c r="V1759" s="46"/>
      <c r="W1759" s="46"/>
    </row>
    <row r="1760" ht="16.5" spans="1:23">
      <c r="A1760" s="46"/>
      <c r="B1760" s="46"/>
      <c r="C1760" s="46"/>
      <c r="D1760" s="46"/>
      <c r="E1760" s="46"/>
      <c r="F1760" s="46"/>
      <c r="G1760" s="46"/>
      <c r="H1760" s="46"/>
      <c r="I1760" s="46"/>
      <c r="J1760" s="46"/>
      <c r="K1760" s="46"/>
      <c r="L1760" s="46"/>
      <c r="M1760" s="46"/>
      <c r="N1760" s="46"/>
      <c r="O1760" s="46"/>
      <c r="P1760" s="46"/>
      <c r="Q1760" s="46"/>
      <c r="R1760" s="46"/>
      <c r="S1760" s="46"/>
      <c r="T1760" s="46"/>
      <c r="U1760" s="46"/>
      <c r="V1760" s="46"/>
      <c r="W1760" s="46"/>
    </row>
    <row r="1761" ht="16.5" spans="1:23">
      <c r="A1761" s="46"/>
      <c r="B1761" s="46"/>
      <c r="C1761" s="46"/>
      <c r="D1761" s="46"/>
      <c r="E1761" s="46"/>
      <c r="F1761" s="46"/>
      <c r="G1761" s="46"/>
      <c r="H1761" s="46"/>
      <c r="I1761" s="46"/>
      <c r="J1761" s="46"/>
      <c r="K1761" s="46"/>
      <c r="L1761" s="46"/>
      <c r="M1761" s="46"/>
      <c r="N1761" s="46"/>
      <c r="O1761" s="46"/>
      <c r="P1761" s="46"/>
      <c r="Q1761" s="46"/>
      <c r="R1761" s="46"/>
      <c r="S1761" s="46"/>
      <c r="T1761" s="46"/>
      <c r="U1761" s="46"/>
      <c r="V1761" s="46"/>
      <c r="W1761" s="46"/>
    </row>
    <row r="1762" ht="16.5" spans="1:23">
      <c r="A1762" s="46"/>
      <c r="B1762" s="46"/>
      <c r="C1762" s="46"/>
      <c r="D1762" s="46"/>
      <c r="E1762" s="46"/>
      <c r="F1762" s="46"/>
      <c r="G1762" s="46"/>
      <c r="H1762" s="46"/>
      <c r="I1762" s="46"/>
      <c r="J1762" s="46"/>
      <c r="K1762" s="46"/>
      <c r="L1762" s="46"/>
      <c r="M1762" s="46"/>
      <c r="N1762" s="46"/>
      <c r="O1762" s="46"/>
      <c r="P1762" s="46"/>
      <c r="Q1762" s="46"/>
      <c r="R1762" s="46"/>
      <c r="S1762" s="46"/>
      <c r="T1762" s="46"/>
      <c r="U1762" s="46"/>
      <c r="V1762" s="46"/>
      <c r="W1762" s="46"/>
    </row>
    <row r="1763" ht="16.5" spans="1:23">
      <c r="A1763" s="46"/>
      <c r="B1763" s="46"/>
      <c r="C1763" s="46"/>
      <c r="D1763" s="46"/>
      <c r="E1763" s="46"/>
      <c r="F1763" s="46"/>
      <c r="G1763" s="46"/>
      <c r="H1763" s="46"/>
      <c r="I1763" s="46"/>
      <c r="J1763" s="46"/>
      <c r="K1763" s="46"/>
      <c r="L1763" s="46"/>
      <c r="M1763" s="46"/>
      <c r="N1763" s="46"/>
      <c r="O1763" s="46"/>
      <c r="P1763" s="46"/>
      <c r="Q1763" s="46"/>
      <c r="R1763" s="46"/>
      <c r="S1763" s="46"/>
      <c r="T1763" s="46"/>
      <c r="U1763" s="46"/>
      <c r="V1763" s="46"/>
      <c r="W1763" s="46"/>
    </row>
    <row r="1764" ht="16.5" spans="1:23">
      <c r="A1764" s="46"/>
      <c r="B1764" s="46"/>
      <c r="C1764" s="46"/>
      <c r="D1764" s="46"/>
      <c r="E1764" s="46"/>
      <c r="F1764" s="46"/>
      <c r="G1764" s="46"/>
      <c r="H1764" s="46"/>
      <c r="I1764" s="46"/>
      <c r="J1764" s="46"/>
      <c r="K1764" s="46"/>
      <c r="L1764" s="46"/>
      <c r="M1764" s="46"/>
      <c r="N1764" s="46"/>
      <c r="O1764" s="46"/>
      <c r="P1764" s="46"/>
      <c r="Q1764" s="46"/>
      <c r="R1764" s="46"/>
      <c r="S1764" s="46"/>
      <c r="T1764" s="46"/>
      <c r="U1764" s="46"/>
      <c r="V1764" s="46"/>
      <c r="W1764" s="46"/>
    </row>
    <row r="1765" ht="16.5" spans="1:23">
      <c r="A1765" s="46"/>
      <c r="B1765" s="46"/>
      <c r="C1765" s="46"/>
      <c r="D1765" s="46"/>
      <c r="E1765" s="46"/>
      <c r="F1765" s="46"/>
      <c r="G1765" s="46"/>
      <c r="H1765" s="46"/>
      <c r="I1765" s="46"/>
      <c r="J1765" s="46"/>
      <c r="K1765" s="46"/>
      <c r="L1765" s="46"/>
      <c r="M1765" s="46"/>
      <c r="N1765" s="46"/>
      <c r="O1765" s="46"/>
      <c r="P1765" s="46"/>
      <c r="Q1765" s="46"/>
      <c r="R1765" s="46"/>
      <c r="S1765" s="46"/>
      <c r="T1765" s="46"/>
      <c r="U1765" s="46"/>
      <c r="V1765" s="46"/>
      <c r="W1765" s="46"/>
    </row>
    <row r="1766" ht="16.5" spans="1:23">
      <c r="A1766" s="46"/>
      <c r="B1766" s="46"/>
      <c r="C1766" s="46"/>
      <c r="D1766" s="46"/>
      <c r="E1766" s="46"/>
      <c r="F1766" s="46"/>
      <c r="G1766" s="46"/>
      <c r="H1766" s="46"/>
      <c r="I1766" s="46"/>
      <c r="J1766" s="46"/>
      <c r="K1766" s="46"/>
      <c r="L1766" s="46"/>
      <c r="M1766" s="46"/>
      <c r="N1766" s="46"/>
      <c r="O1766" s="46"/>
      <c r="P1766" s="46"/>
      <c r="Q1766" s="46"/>
      <c r="R1766" s="46"/>
      <c r="S1766" s="46"/>
      <c r="T1766" s="46"/>
      <c r="U1766" s="46"/>
      <c r="V1766" s="46"/>
      <c r="W1766" s="46"/>
    </row>
    <row r="1767" ht="16.5" spans="1:23">
      <c r="A1767" s="46"/>
      <c r="B1767" s="46"/>
      <c r="C1767" s="46"/>
      <c r="D1767" s="46"/>
      <c r="E1767" s="46"/>
      <c r="F1767" s="46"/>
      <c r="G1767" s="46"/>
      <c r="H1767" s="46"/>
      <c r="I1767" s="46"/>
      <c r="J1767" s="46"/>
      <c r="K1767" s="46"/>
      <c r="L1767" s="46"/>
      <c r="M1767" s="46"/>
      <c r="N1767" s="46"/>
      <c r="O1767" s="46"/>
      <c r="P1767" s="46"/>
      <c r="Q1767" s="46"/>
      <c r="R1767" s="46"/>
      <c r="S1767" s="46"/>
      <c r="T1767" s="46"/>
      <c r="U1767" s="46"/>
      <c r="V1767" s="46"/>
      <c r="W1767" s="46"/>
    </row>
    <row r="1768" ht="16.5" spans="1:23">
      <c r="A1768" s="46"/>
      <c r="B1768" s="46"/>
      <c r="C1768" s="46"/>
      <c r="D1768" s="46"/>
      <c r="E1768" s="46"/>
      <c r="F1768" s="46"/>
      <c r="G1768" s="46"/>
      <c r="H1768" s="46"/>
      <c r="I1768" s="46"/>
      <c r="J1768" s="46"/>
      <c r="K1768" s="46"/>
      <c r="L1768" s="46"/>
      <c r="M1768" s="46"/>
      <c r="N1768" s="46"/>
      <c r="O1768" s="46"/>
      <c r="P1768" s="46"/>
      <c r="Q1768" s="46"/>
      <c r="R1768" s="46"/>
      <c r="S1768" s="46"/>
      <c r="T1768" s="46"/>
      <c r="U1768" s="46"/>
      <c r="V1768" s="46"/>
      <c r="W1768" s="46"/>
    </row>
    <row r="1769" ht="16.5" spans="1:23">
      <c r="A1769" s="46"/>
      <c r="B1769" s="46"/>
      <c r="C1769" s="46"/>
      <c r="D1769" s="46"/>
      <c r="E1769" s="46"/>
      <c r="F1769" s="46"/>
      <c r="G1769" s="46"/>
      <c r="H1769" s="46"/>
      <c r="I1769" s="46"/>
      <c r="J1769" s="46"/>
      <c r="K1769" s="46"/>
      <c r="L1769" s="46"/>
      <c r="M1769" s="46"/>
      <c r="N1769" s="46"/>
      <c r="O1769" s="46"/>
      <c r="P1769" s="46"/>
      <c r="Q1769" s="46"/>
      <c r="R1769" s="46"/>
      <c r="S1769" s="46"/>
      <c r="T1769" s="46"/>
      <c r="U1769" s="46"/>
      <c r="V1769" s="46"/>
      <c r="W1769" s="46"/>
    </row>
    <row r="1770" ht="16.5" spans="1:23">
      <c r="A1770" s="46"/>
      <c r="B1770" s="46"/>
      <c r="C1770" s="46"/>
      <c r="D1770" s="46"/>
      <c r="E1770" s="46"/>
      <c r="F1770" s="46"/>
      <c r="G1770" s="46"/>
      <c r="H1770" s="46"/>
      <c r="I1770" s="46"/>
      <c r="J1770" s="46"/>
      <c r="K1770" s="46"/>
      <c r="L1770" s="46"/>
      <c r="M1770" s="46"/>
      <c r="N1770" s="46"/>
      <c r="O1770" s="46"/>
      <c r="P1770" s="46"/>
      <c r="Q1770" s="46"/>
      <c r="R1770" s="46"/>
      <c r="S1770" s="46"/>
      <c r="T1770" s="46"/>
      <c r="U1770" s="46"/>
      <c r="V1770" s="46"/>
      <c r="W1770" s="46"/>
    </row>
    <row r="1771" ht="16.5" spans="1:23">
      <c r="A1771" s="46"/>
      <c r="B1771" s="46"/>
      <c r="C1771" s="46"/>
      <c r="D1771" s="46"/>
      <c r="E1771" s="46"/>
      <c r="F1771" s="46"/>
      <c r="G1771" s="46"/>
      <c r="H1771" s="46"/>
      <c r="I1771" s="46"/>
      <c r="J1771" s="46"/>
      <c r="K1771" s="46"/>
      <c r="L1771" s="46"/>
      <c r="M1771" s="46"/>
      <c r="N1771" s="46"/>
      <c r="O1771" s="46"/>
      <c r="P1771" s="46"/>
      <c r="Q1771" s="46"/>
      <c r="R1771" s="46"/>
      <c r="S1771" s="46"/>
      <c r="T1771" s="46"/>
      <c r="U1771" s="46"/>
      <c r="V1771" s="46"/>
      <c r="W1771" s="46"/>
    </row>
    <row r="1772" ht="16.5" spans="1:23">
      <c r="A1772" s="46"/>
      <c r="B1772" s="46"/>
      <c r="C1772" s="46"/>
      <c r="D1772" s="46"/>
      <c r="E1772" s="46"/>
      <c r="F1772" s="46"/>
      <c r="G1772" s="46"/>
      <c r="H1772" s="46"/>
      <c r="I1772" s="46"/>
      <c r="J1772" s="46"/>
      <c r="K1772" s="46"/>
      <c r="L1772" s="46"/>
      <c r="M1772" s="46"/>
      <c r="N1772" s="46"/>
      <c r="O1772" s="46"/>
      <c r="P1772" s="46"/>
      <c r="Q1772" s="46"/>
      <c r="R1772" s="46"/>
      <c r="S1772" s="46"/>
      <c r="T1772" s="46"/>
      <c r="U1772" s="46"/>
      <c r="V1772" s="46"/>
      <c r="W1772" s="46"/>
    </row>
    <row r="1773" ht="16.5" spans="1:23">
      <c r="A1773" s="46"/>
      <c r="B1773" s="46"/>
      <c r="C1773" s="46"/>
      <c r="D1773" s="46"/>
      <c r="E1773" s="46"/>
      <c r="F1773" s="46"/>
      <c r="G1773" s="46"/>
      <c r="H1773" s="46"/>
      <c r="I1773" s="46"/>
      <c r="J1773" s="46"/>
      <c r="K1773" s="46"/>
      <c r="L1773" s="46"/>
      <c r="M1773" s="46"/>
      <c r="N1773" s="46"/>
      <c r="O1773" s="46"/>
      <c r="P1773" s="46"/>
      <c r="Q1773" s="46"/>
      <c r="R1773" s="46"/>
      <c r="S1773" s="46"/>
      <c r="T1773" s="46"/>
      <c r="U1773" s="46"/>
      <c r="V1773" s="46"/>
      <c r="W1773" s="46"/>
    </row>
    <row r="1774" ht="16.5" spans="1:23">
      <c r="A1774" s="46"/>
      <c r="B1774" s="46"/>
      <c r="C1774" s="46"/>
      <c r="D1774" s="46"/>
      <c r="E1774" s="46"/>
      <c r="F1774" s="46"/>
      <c r="G1774" s="46"/>
      <c r="H1774" s="46"/>
      <c r="I1774" s="46"/>
      <c r="J1774" s="46"/>
      <c r="K1774" s="46"/>
      <c r="L1774" s="46"/>
      <c r="M1774" s="46"/>
      <c r="N1774" s="46"/>
      <c r="O1774" s="46"/>
      <c r="P1774" s="46"/>
      <c r="Q1774" s="46"/>
      <c r="R1774" s="46"/>
      <c r="S1774" s="46"/>
      <c r="T1774" s="46"/>
      <c r="U1774" s="46"/>
      <c r="V1774" s="46"/>
      <c r="W1774" s="46"/>
    </row>
    <row r="1775" ht="16.5" spans="1:23">
      <c r="A1775" s="46"/>
      <c r="B1775" s="46"/>
      <c r="C1775" s="46"/>
      <c r="D1775" s="46"/>
      <c r="E1775" s="46"/>
      <c r="F1775" s="46"/>
      <c r="G1775" s="46"/>
      <c r="H1775" s="46"/>
      <c r="I1775" s="46"/>
      <c r="J1775" s="46"/>
      <c r="K1775" s="46"/>
      <c r="L1775" s="46"/>
      <c r="M1775" s="46"/>
      <c r="N1775" s="46"/>
      <c r="O1775" s="46"/>
      <c r="P1775" s="46"/>
      <c r="Q1775" s="46"/>
      <c r="R1775" s="46"/>
      <c r="S1775" s="46"/>
      <c r="T1775" s="46"/>
      <c r="U1775" s="46"/>
      <c r="V1775" s="46"/>
      <c r="W1775" s="46"/>
    </row>
    <row r="1776" ht="16.5" spans="1:23">
      <c r="A1776" s="46"/>
      <c r="B1776" s="46"/>
      <c r="C1776" s="46"/>
      <c r="D1776" s="46"/>
      <c r="E1776" s="46"/>
      <c r="F1776" s="46"/>
      <c r="G1776" s="46"/>
      <c r="H1776" s="46"/>
      <c r="I1776" s="46"/>
      <c r="J1776" s="46"/>
      <c r="K1776" s="46"/>
      <c r="L1776" s="46"/>
      <c r="M1776" s="46"/>
      <c r="N1776" s="46"/>
      <c r="O1776" s="46"/>
      <c r="P1776" s="46"/>
      <c r="Q1776" s="46"/>
      <c r="R1776" s="46"/>
      <c r="S1776" s="46"/>
      <c r="T1776" s="46"/>
      <c r="U1776" s="46"/>
      <c r="V1776" s="46"/>
      <c r="W1776" s="46"/>
    </row>
    <row r="1777" ht="16.5" spans="1:23">
      <c r="A1777" s="46"/>
      <c r="B1777" s="46"/>
      <c r="C1777" s="46"/>
      <c r="D1777" s="46"/>
      <c r="E1777" s="46"/>
      <c r="F1777" s="46"/>
      <c r="G1777" s="46"/>
      <c r="H1777" s="46"/>
      <c r="I1777" s="46"/>
      <c r="J1777" s="46"/>
      <c r="K1777" s="46"/>
      <c r="L1777" s="46"/>
      <c r="M1777" s="46"/>
      <c r="N1777" s="46"/>
      <c r="O1777" s="46"/>
      <c r="P1777" s="46"/>
      <c r="Q1777" s="46"/>
      <c r="R1777" s="46"/>
      <c r="S1777" s="46"/>
      <c r="T1777" s="46"/>
      <c r="U1777" s="46"/>
      <c r="V1777" s="46"/>
      <c r="W1777" s="46"/>
    </row>
    <row r="1778" ht="16.5" spans="1:23">
      <c r="A1778" s="46"/>
      <c r="B1778" s="46"/>
      <c r="C1778" s="46"/>
      <c r="D1778" s="46"/>
      <c r="E1778" s="46"/>
      <c r="F1778" s="46"/>
      <c r="G1778" s="46"/>
      <c r="H1778" s="46"/>
      <c r="I1778" s="46"/>
      <c r="J1778" s="46"/>
      <c r="K1778" s="46"/>
      <c r="L1778" s="46"/>
      <c r="M1778" s="46"/>
      <c r="N1778" s="46"/>
      <c r="O1778" s="46"/>
      <c r="P1778" s="46"/>
      <c r="Q1778" s="46"/>
      <c r="R1778" s="46"/>
      <c r="S1778" s="46"/>
      <c r="T1778" s="46"/>
      <c r="U1778" s="46"/>
      <c r="V1778" s="46"/>
      <c r="W1778" s="46"/>
    </row>
    <row r="1779" ht="16.5" spans="1:23">
      <c r="A1779" s="46"/>
      <c r="B1779" s="46"/>
      <c r="C1779" s="46"/>
      <c r="D1779" s="46"/>
      <c r="E1779" s="46"/>
      <c r="F1779" s="46"/>
      <c r="G1779" s="46"/>
      <c r="H1779" s="46"/>
      <c r="I1779" s="46"/>
      <c r="J1779" s="46"/>
      <c r="K1779" s="46"/>
      <c r="L1779" s="46"/>
      <c r="M1779" s="46"/>
      <c r="N1779" s="46"/>
      <c r="O1779" s="46"/>
      <c r="P1779" s="46"/>
      <c r="Q1779" s="46"/>
      <c r="R1779" s="46"/>
      <c r="S1779" s="46"/>
      <c r="T1779" s="46"/>
      <c r="U1779" s="46"/>
      <c r="V1779" s="46"/>
      <c r="W1779" s="46"/>
    </row>
    <row r="1780" ht="16.5" spans="1:23">
      <c r="A1780" s="46"/>
      <c r="B1780" s="46"/>
      <c r="C1780" s="46"/>
      <c r="D1780" s="46"/>
      <c r="E1780" s="46"/>
      <c r="F1780" s="46"/>
      <c r="G1780" s="46"/>
      <c r="H1780" s="46"/>
      <c r="I1780" s="46"/>
      <c r="J1780" s="46"/>
      <c r="K1780" s="46"/>
      <c r="L1780" s="46"/>
      <c r="M1780" s="46"/>
      <c r="N1780" s="46"/>
      <c r="O1780" s="46"/>
      <c r="P1780" s="46"/>
      <c r="Q1780" s="46"/>
      <c r="R1780" s="46"/>
      <c r="S1780" s="46"/>
      <c r="T1780" s="46"/>
      <c r="U1780" s="46"/>
      <c r="V1780" s="46"/>
      <c r="W1780" s="46"/>
    </row>
    <row r="1781" ht="16.5" spans="1:23">
      <c r="A1781" s="46"/>
      <c r="B1781" s="46"/>
      <c r="C1781" s="46"/>
      <c r="D1781" s="46"/>
      <c r="E1781" s="46"/>
      <c r="F1781" s="46"/>
      <c r="G1781" s="46"/>
      <c r="H1781" s="46"/>
      <c r="I1781" s="46"/>
      <c r="J1781" s="46"/>
      <c r="K1781" s="46"/>
      <c r="L1781" s="46"/>
      <c r="M1781" s="46"/>
      <c r="N1781" s="46"/>
      <c r="O1781" s="46"/>
      <c r="P1781" s="46"/>
      <c r="Q1781" s="46"/>
      <c r="R1781" s="46"/>
      <c r="S1781" s="46"/>
      <c r="T1781" s="46"/>
      <c r="U1781" s="46"/>
      <c r="V1781" s="46"/>
      <c r="W1781" s="46"/>
    </row>
    <row r="1782" ht="16.5" spans="1:23">
      <c r="A1782" s="46"/>
      <c r="B1782" s="46"/>
      <c r="C1782" s="46"/>
      <c r="D1782" s="46"/>
      <c r="E1782" s="46"/>
      <c r="F1782" s="46"/>
      <c r="G1782" s="46"/>
      <c r="H1782" s="46"/>
      <c r="I1782" s="46"/>
      <c r="J1782" s="46"/>
      <c r="K1782" s="46"/>
      <c r="L1782" s="46"/>
      <c r="M1782" s="46"/>
      <c r="N1782" s="46"/>
      <c r="O1782" s="46"/>
      <c r="P1782" s="46"/>
      <c r="Q1782" s="46"/>
      <c r="R1782" s="46"/>
      <c r="S1782" s="46"/>
      <c r="T1782" s="46"/>
      <c r="U1782" s="46"/>
      <c r="V1782" s="46"/>
      <c r="W1782" s="46"/>
    </row>
    <row r="1783" ht="16.5" spans="1:23">
      <c r="A1783" s="46"/>
      <c r="B1783" s="46"/>
      <c r="C1783" s="46"/>
      <c r="D1783" s="46"/>
      <c r="E1783" s="46"/>
      <c r="F1783" s="46"/>
      <c r="G1783" s="46"/>
      <c r="H1783" s="46"/>
      <c r="I1783" s="46"/>
      <c r="J1783" s="46"/>
      <c r="K1783" s="46"/>
      <c r="L1783" s="46"/>
      <c r="M1783" s="46"/>
      <c r="N1783" s="46"/>
      <c r="O1783" s="46"/>
      <c r="P1783" s="46"/>
      <c r="Q1783" s="46"/>
      <c r="R1783" s="46"/>
      <c r="S1783" s="46"/>
      <c r="T1783" s="46"/>
      <c r="U1783" s="46"/>
      <c r="V1783" s="46"/>
      <c r="W1783" s="46"/>
    </row>
    <row r="1784" ht="16.5" spans="1:23">
      <c r="A1784" s="46"/>
      <c r="B1784" s="46"/>
      <c r="C1784" s="46"/>
      <c r="D1784" s="46"/>
      <c r="E1784" s="46"/>
      <c r="F1784" s="46"/>
      <c r="G1784" s="46"/>
      <c r="H1784" s="46"/>
      <c r="I1784" s="46"/>
      <c r="J1784" s="46"/>
      <c r="K1784" s="46"/>
      <c r="L1784" s="46"/>
      <c r="M1784" s="46"/>
      <c r="N1784" s="46"/>
      <c r="O1784" s="46"/>
      <c r="P1784" s="46"/>
      <c r="Q1784" s="46"/>
      <c r="R1784" s="46"/>
      <c r="S1784" s="46"/>
      <c r="T1784" s="46"/>
      <c r="U1784" s="46"/>
      <c r="V1784" s="46"/>
      <c r="W1784" s="46"/>
    </row>
    <row r="1785" ht="16.5" spans="1:23">
      <c r="A1785" s="46"/>
      <c r="B1785" s="46"/>
      <c r="C1785" s="46"/>
      <c r="D1785" s="46"/>
      <c r="E1785" s="46"/>
      <c r="F1785" s="46"/>
      <c r="G1785" s="46"/>
      <c r="H1785" s="46"/>
      <c r="I1785" s="46"/>
      <c r="J1785" s="46"/>
      <c r="K1785" s="46"/>
      <c r="L1785" s="46"/>
      <c r="M1785" s="46"/>
      <c r="N1785" s="46"/>
      <c r="O1785" s="46"/>
      <c r="P1785" s="46"/>
      <c r="Q1785" s="46"/>
      <c r="R1785" s="46"/>
      <c r="S1785" s="46"/>
      <c r="T1785" s="46"/>
      <c r="U1785" s="46"/>
      <c r="V1785" s="46"/>
      <c r="W1785" s="46"/>
    </row>
    <row r="1786" ht="16.5" spans="1:23">
      <c r="A1786" s="46"/>
      <c r="B1786" s="46"/>
      <c r="C1786" s="46"/>
      <c r="D1786" s="46"/>
      <c r="E1786" s="46"/>
      <c r="F1786" s="46"/>
      <c r="G1786" s="46"/>
      <c r="H1786" s="46"/>
      <c r="I1786" s="46"/>
      <c r="J1786" s="46"/>
      <c r="K1786" s="46"/>
      <c r="L1786" s="46"/>
      <c r="M1786" s="46"/>
      <c r="N1786" s="46"/>
      <c r="O1786" s="46"/>
      <c r="P1786" s="46"/>
      <c r="Q1786" s="46"/>
      <c r="R1786" s="46"/>
      <c r="S1786" s="46"/>
      <c r="T1786" s="46"/>
      <c r="U1786" s="46"/>
      <c r="V1786" s="46"/>
      <c r="W1786" s="46"/>
    </row>
    <row r="1787" ht="16.5" spans="1:23">
      <c r="A1787" s="46"/>
      <c r="B1787" s="46"/>
      <c r="C1787" s="46"/>
      <c r="D1787" s="46"/>
      <c r="E1787" s="46"/>
      <c r="F1787" s="46"/>
      <c r="G1787" s="46"/>
      <c r="H1787" s="46"/>
      <c r="I1787" s="46"/>
      <c r="J1787" s="46"/>
      <c r="K1787" s="46"/>
      <c r="L1787" s="46"/>
      <c r="M1787" s="46"/>
      <c r="N1787" s="46"/>
      <c r="O1787" s="46"/>
      <c r="P1787" s="46"/>
      <c r="Q1787" s="46"/>
      <c r="R1787" s="46"/>
      <c r="S1787" s="46"/>
      <c r="T1787" s="46"/>
      <c r="U1787" s="46"/>
      <c r="V1787" s="46"/>
      <c r="W1787" s="46"/>
    </row>
    <row r="1788" ht="16.5" spans="1:23">
      <c r="A1788" s="46"/>
      <c r="B1788" s="46"/>
      <c r="C1788" s="46"/>
      <c r="D1788" s="46"/>
      <c r="E1788" s="46"/>
      <c r="F1788" s="46"/>
      <c r="G1788" s="46"/>
      <c r="H1788" s="46"/>
      <c r="I1788" s="46"/>
      <c r="J1788" s="46"/>
      <c r="K1788" s="46"/>
      <c r="L1788" s="46"/>
      <c r="M1788" s="46"/>
      <c r="N1788" s="46"/>
      <c r="O1788" s="46"/>
      <c r="P1788" s="46"/>
      <c r="Q1788" s="46"/>
      <c r="R1788" s="46"/>
      <c r="S1788" s="46"/>
      <c r="T1788" s="46"/>
      <c r="U1788" s="46"/>
      <c r="V1788" s="46"/>
      <c r="W1788" s="46"/>
    </row>
    <row r="1789" ht="16.5" spans="1:23">
      <c r="A1789" s="46"/>
      <c r="B1789" s="46"/>
      <c r="C1789" s="46"/>
      <c r="D1789" s="46"/>
      <c r="E1789" s="46"/>
      <c r="F1789" s="46"/>
      <c r="G1789" s="46"/>
      <c r="H1789" s="46"/>
      <c r="I1789" s="46"/>
      <c r="J1789" s="46"/>
      <c r="K1789" s="46"/>
      <c r="L1789" s="46"/>
      <c r="M1789" s="46"/>
      <c r="N1789" s="46"/>
      <c r="O1789" s="46"/>
      <c r="P1789" s="46"/>
      <c r="Q1789" s="46"/>
      <c r="R1789" s="46"/>
      <c r="S1789" s="46"/>
      <c r="T1789" s="46"/>
      <c r="U1789" s="46"/>
      <c r="V1789" s="46"/>
      <c r="W1789" s="46"/>
    </row>
    <row r="1790" ht="16.5" spans="1:23">
      <c r="A1790" s="46"/>
      <c r="B1790" s="46"/>
      <c r="C1790" s="46"/>
      <c r="D1790" s="46"/>
      <c r="E1790" s="46"/>
      <c r="F1790" s="46"/>
      <c r="G1790" s="46"/>
      <c r="H1790" s="46"/>
      <c r="I1790" s="46"/>
      <c r="J1790" s="46"/>
      <c r="K1790" s="46"/>
      <c r="L1790" s="46"/>
      <c r="M1790" s="46"/>
      <c r="N1790" s="46"/>
      <c r="O1790" s="46"/>
      <c r="P1790" s="46"/>
      <c r="Q1790" s="46"/>
      <c r="R1790" s="46"/>
      <c r="S1790" s="46"/>
      <c r="T1790" s="46"/>
      <c r="U1790" s="46"/>
      <c r="V1790" s="46"/>
      <c r="W1790" s="46"/>
    </row>
    <row r="1791" ht="16.5" spans="1:23">
      <c r="A1791" s="46"/>
      <c r="B1791" s="46"/>
      <c r="C1791" s="46"/>
      <c r="D1791" s="46"/>
      <c r="E1791" s="46"/>
      <c r="F1791" s="46"/>
      <c r="G1791" s="46"/>
      <c r="H1791" s="46"/>
      <c r="I1791" s="46"/>
      <c r="J1791" s="46"/>
      <c r="K1791" s="46"/>
      <c r="L1791" s="46"/>
      <c r="M1791" s="46"/>
      <c r="N1791" s="46"/>
      <c r="O1791" s="46"/>
      <c r="P1791" s="46"/>
      <c r="Q1791" s="46"/>
      <c r="R1791" s="46"/>
      <c r="S1791" s="46"/>
      <c r="T1791" s="46"/>
      <c r="U1791" s="46"/>
      <c r="V1791" s="46"/>
      <c r="W1791" s="46"/>
    </row>
    <row r="1792" ht="16.5" spans="1:23">
      <c r="A1792" s="46"/>
      <c r="B1792" s="46"/>
      <c r="C1792" s="46"/>
      <c r="D1792" s="46"/>
      <c r="E1792" s="46"/>
      <c r="F1792" s="46"/>
      <c r="G1792" s="46"/>
      <c r="H1792" s="46"/>
      <c r="I1792" s="46"/>
      <c r="J1792" s="46"/>
      <c r="K1792" s="46"/>
      <c r="L1792" s="46"/>
      <c r="M1792" s="46"/>
      <c r="N1792" s="46"/>
      <c r="O1792" s="46"/>
      <c r="P1792" s="46"/>
      <c r="Q1792" s="46"/>
      <c r="R1792" s="46"/>
      <c r="S1792" s="46"/>
      <c r="T1792" s="46"/>
      <c r="U1792" s="46"/>
      <c r="V1792" s="46"/>
      <c r="W1792" s="46"/>
    </row>
    <row r="1793" ht="16.5" spans="1:23">
      <c r="A1793" s="46"/>
      <c r="B1793" s="46"/>
      <c r="C1793" s="46"/>
      <c r="D1793" s="46"/>
      <c r="E1793" s="46"/>
      <c r="F1793" s="46"/>
      <c r="G1793" s="46"/>
      <c r="H1793" s="46"/>
      <c r="I1793" s="46"/>
      <c r="J1793" s="46"/>
      <c r="K1793" s="46"/>
      <c r="L1793" s="46"/>
      <c r="M1793" s="46"/>
      <c r="N1793" s="46"/>
      <c r="O1793" s="46"/>
      <c r="P1793" s="46"/>
      <c r="Q1793" s="46"/>
      <c r="R1793" s="46"/>
      <c r="S1793" s="46"/>
      <c r="T1793" s="46"/>
      <c r="U1793" s="46"/>
      <c r="V1793" s="46"/>
      <c r="W1793" s="46"/>
    </row>
    <row r="1794" ht="16.5" spans="1:23">
      <c r="A1794" s="46"/>
      <c r="B1794" s="46"/>
      <c r="C1794" s="46"/>
      <c r="D1794" s="46"/>
      <c r="E1794" s="46"/>
      <c r="F1794" s="46"/>
      <c r="G1794" s="46"/>
      <c r="H1794" s="46"/>
      <c r="I1794" s="46"/>
      <c r="J1794" s="46"/>
      <c r="K1794" s="46"/>
      <c r="L1794" s="46"/>
      <c r="M1794" s="46"/>
      <c r="N1794" s="46"/>
      <c r="O1794" s="46"/>
      <c r="P1794" s="46"/>
      <c r="Q1794" s="46"/>
      <c r="R1794" s="46"/>
      <c r="S1794" s="46"/>
      <c r="T1794" s="46"/>
      <c r="U1794" s="46"/>
      <c r="V1794" s="46"/>
      <c r="W1794" s="46"/>
    </row>
    <row r="1795" ht="16.5" spans="1:23">
      <c r="A1795" s="46"/>
      <c r="B1795" s="46"/>
      <c r="C1795" s="46"/>
      <c r="D1795" s="46"/>
      <c r="E1795" s="46"/>
      <c r="F1795" s="46"/>
      <c r="G1795" s="46"/>
      <c r="H1795" s="46"/>
      <c r="I1795" s="46"/>
      <c r="J1795" s="46"/>
      <c r="K1795" s="46"/>
      <c r="L1795" s="46"/>
      <c r="M1795" s="46"/>
      <c r="N1795" s="46"/>
      <c r="O1795" s="46"/>
      <c r="P1795" s="46"/>
      <c r="Q1795" s="46"/>
      <c r="R1795" s="46"/>
      <c r="S1795" s="46"/>
      <c r="T1795" s="46"/>
      <c r="U1795" s="46"/>
      <c r="V1795" s="46"/>
      <c r="W1795" s="46"/>
    </row>
    <row r="1796" ht="16.5" spans="1:23">
      <c r="A1796" s="46"/>
      <c r="B1796" s="46"/>
      <c r="C1796" s="46"/>
      <c r="D1796" s="46"/>
      <c r="E1796" s="46"/>
      <c r="F1796" s="46"/>
      <c r="G1796" s="46"/>
      <c r="H1796" s="46"/>
      <c r="I1796" s="46"/>
      <c r="J1796" s="46"/>
      <c r="K1796" s="46"/>
      <c r="L1796" s="46"/>
      <c r="M1796" s="46"/>
      <c r="N1796" s="46"/>
      <c r="O1796" s="46"/>
      <c r="P1796" s="46"/>
      <c r="Q1796" s="46"/>
      <c r="R1796" s="46"/>
      <c r="S1796" s="46"/>
      <c r="T1796" s="46"/>
      <c r="U1796" s="46"/>
      <c r="V1796" s="46"/>
      <c r="W1796" s="46"/>
    </row>
    <row r="1797" ht="16.5" spans="1:23">
      <c r="A1797" s="46"/>
      <c r="B1797" s="46"/>
      <c r="C1797" s="46"/>
      <c r="D1797" s="46"/>
      <c r="E1797" s="46"/>
      <c r="F1797" s="46"/>
      <c r="G1797" s="46"/>
      <c r="H1797" s="46"/>
      <c r="I1797" s="46"/>
      <c r="J1797" s="46"/>
      <c r="K1797" s="46"/>
      <c r="L1797" s="46"/>
      <c r="M1797" s="46"/>
      <c r="N1797" s="46"/>
      <c r="O1797" s="46"/>
      <c r="P1797" s="46"/>
      <c r="Q1797" s="46"/>
      <c r="R1797" s="46"/>
      <c r="S1797" s="46"/>
      <c r="T1797" s="46"/>
      <c r="U1797" s="46"/>
      <c r="V1797" s="46"/>
      <c r="W1797" s="46"/>
    </row>
    <row r="1798" ht="16.5" spans="1:23">
      <c r="A1798" s="46"/>
      <c r="B1798" s="46"/>
      <c r="C1798" s="46"/>
      <c r="D1798" s="46"/>
      <c r="E1798" s="46"/>
      <c r="F1798" s="46"/>
      <c r="G1798" s="46"/>
      <c r="H1798" s="46"/>
      <c r="I1798" s="46"/>
      <c r="J1798" s="46"/>
      <c r="K1798" s="46"/>
      <c r="L1798" s="46"/>
      <c r="M1798" s="46"/>
      <c r="N1798" s="46"/>
      <c r="O1798" s="46"/>
      <c r="P1798" s="46"/>
      <c r="Q1798" s="46"/>
      <c r="R1798" s="46"/>
      <c r="S1798" s="46"/>
      <c r="T1798" s="46"/>
      <c r="U1798" s="46"/>
      <c r="V1798" s="46"/>
      <c r="W1798" s="46"/>
    </row>
    <row r="1799" ht="16.5" spans="1:23">
      <c r="A1799" s="46"/>
      <c r="B1799" s="46"/>
      <c r="C1799" s="46"/>
      <c r="D1799" s="46"/>
      <c r="E1799" s="46"/>
      <c r="F1799" s="46"/>
      <c r="G1799" s="46"/>
      <c r="H1799" s="46"/>
      <c r="I1799" s="46"/>
      <c r="J1799" s="46"/>
      <c r="K1799" s="46"/>
      <c r="L1799" s="46"/>
      <c r="M1799" s="46"/>
      <c r="N1799" s="46"/>
      <c r="O1799" s="46"/>
      <c r="P1799" s="46"/>
      <c r="Q1799" s="46"/>
      <c r="R1799" s="46"/>
      <c r="S1799" s="46"/>
      <c r="T1799" s="46"/>
      <c r="U1799" s="46"/>
      <c r="V1799" s="46"/>
      <c r="W1799" s="46"/>
    </row>
    <row r="1800" ht="16.5" spans="1:23">
      <c r="A1800" s="46"/>
      <c r="B1800" s="46"/>
      <c r="C1800" s="46"/>
      <c r="D1800" s="46"/>
      <c r="E1800" s="46"/>
      <c r="F1800" s="46"/>
      <c r="G1800" s="46"/>
      <c r="H1800" s="46"/>
      <c r="I1800" s="46"/>
      <c r="J1800" s="46"/>
      <c r="K1800" s="46"/>
      <c r="L1800" s="46"/>
      <c r="M1800" s="46"/>
      <c r="N1800" s="46"/>
      <c r="O1800" s="46"/>
      <c r="P1800" s="46"/>
      <c r="Q1800" s="46"/>
      <c r="R1800" s="46"/>
      <c r="S1800" s="46"/>
      <c r="T1800" s="46"/>
      <c r="U1800" s="46"/>
      <c r="V1800" s="46"/>
      <c r="W1800" s="46"/>
    </row>
    <row r="1801" ht="16.5" spans="1:23">
      <c r="A1801" s="46"/>
      <c r="B1801" s="46"/>
      <c r="C1801" s="46"/>
      <c r="D1801" s="46"/>
      <c r="E1801" s="46"/>
      <c r="F1801" s="46"/>
      <c r="G1801" s="46"/>
      <c r="H1801" s="46"/>
      <c r="I1801" s="46"/>
      <c r="J1801" s="46"/>
      <c r="K1801" s="46"/>
      <c r="L1801" s="46"/>
      <c r="M1801" s="46"/>
      <c r="N1801" s="46"/>
      <c r="O1801" s="46"/>
      <c r="P1801" s="46"/>
      <c r="Q1801" s="46"/>
      <c r="R1801" s="46"/>
      <c r="S1801" s="46"/>
      <c r="T1801" s="46"/>
      <c r="U1801" s="46"/>
      <c r="V1801" s="46"/>
      <c r="W1801" s="46"/>
    </row>
    <row r="1802" ht="16.5" spans="1:23">
      <c r="A1802" s="46"/>
      <c r="B1802" s="46"/>
      <c r="C1802" s="46"/>
      <c r="D1802" s="46"/>
      <c r="E1802" s="46"/>
      <c r="F1802" s="46"/>
      <c r="G1802" s="46"/>
      <c r="H1802" s="46"/>
      <c r="I1802" s="46"/>
      <c r="J1802" s="46"/>
      <c r="K1802" s="46"/>
      <c r="L1802" s="46"/>
      <c r="M1802" s="46"/>
      <c r="N1802" s="46"/>
      <c r="O1802" s="46"/>
      <c r="P1802" s="46"/>
      <c r="Q1802" s="46"/>
      <c r="R1802" s="46"/>
      <c r="S1802" s="46"/>
      <c r="T1802" s="46"/>
      <c r="U1802" s="46"/>
      <c r="V1802" s="46"/>
      <c r="W1802" s="46"/>
    </row>
    <row r="1803" ht="16.5" spans="1:23">
      <c r="A1803" s="46"/>
      <c r="B1803" s="46"/>
      <c r="C1803" s="46"/>
      <c r="D1803" s="46"/>
      <c r="E1803" s="46"/>
      <c r="F1803" s="46"/>
      <c r="G1803" s="46"/>
      <c r="H1803" s="46"/>
      <c r="I1803" s="46"/>
      <c r="J1803" s="46"/>
      <c r="K1803" s="46"/>
      <c r="L1803" s="46"/>
      <c r="M1803" s="46"/>
      <c r="N1803" s="46"/>
      <c r="O1803" s="46"/>
      <c r="P1803" s="46"/>
      <c r="Q1803" s="46"/>
      <c r="R1803" s="46"/>
      <c r="S1803" s="46"/>
      <c r="T1803" s="46"/>
      <c r="U1803" s="46"/>
      <c r="V1803" s="46"/>
      <c r="W1803" s="46"/>
    </row>
    <row r="1804" ht="16.5" spans="1:23">
      <c r="A1804" s="46"/>
      <c r="B1804" s="46"/>
      <c r="C1804" s="46"/>
      <c r="D1804" s="46"/>
      <c r="E1804" s="46"/>
      <c r="F1804" s="46"/>
      <c r="G1804" s="46"/>
      <c r="H1804" s="46"/>
      <c r="I1804" s="46"/>
      <c r="J1804" s="46"/>
      <c r="K1804" s="46"/>
      <c r="L1804" s="46"/>
      <c r="M1804" s="46"/>
      <c r="N1804" s="46"/>
      <c r="O1804" s="46"/>
      <c r="P1804" s="46"/>
      <c r="Q1804" s="46"/>
      <c r="R1804" s="46"/>
      <c r="S1804" s="46"/>
      <c r="T1804" s="46"/>
      <c r="U1804" s="46"/>
      <c r="V1804" s="46"/>
      <c r="W1804" s="46"/>
    </row>
    <row r="1805" ht="16.5" spans="1:23">
      <c r="A1805" s="46"/>
      <c r="B1805" s="46"/>
      <c r="C1805" s="46"/>
      <c r="D1805" s="46"/>
      <c r="E1805" s="46"/>
      <c r="F1805" s="46"/>
      <c r="G1805" s="46"/>
      <c r="H1805" s="46"/>
      <c r="I1805" s="46"/>
      <c r="J1805" s="46"/>
      <c r="K1805" s="46"/>
      <c r="L1805" s="46"/>
      <c r="M1805" s="46"/>
      <c r="N1805" s="46"/>
      <c r="O1805" s="46"/>
      <c r="P1805" s="46"/>
      <c r="Q1805" s="46"/>
      <c r="R1805" s="46"/>
      <c r="S1805" s="46"/>
      <c r="T1805" s="46"/>
      <c r="U1805" s="46"/>
      <c r="V1805" s="46"/>
      <c r="W1805" s="46"/>
    </row>
    <row r="1806" ht="16.5" spans="1:23">
      <c r="A1806" s="46"/>
      <c r="B1806" s="46"/>
      <c r="C1806" s="46"/>
      <c r="D1806" s="46"/>
      <c r="E1806" s="46"/>
      <c r="F1806" s="46"/>
      <c r="G1806" s="46"/>
      <c r="H1806" s="46"/>
      <c r="I1806" s="46"/>
      <c r="J1806" s="46"/>
      <c r="K1806" s="46"/>
      <c r="L1806" s="46"/>
      <c r="M1806" s="46"/>
      <c r="N1806" s="46"/>
      <c r="O1806" s="46"/>
      <c r="P1806" s="46"/>
      <c r="Q1806" s="46"/>
      <c r="R1806" s="46"/>
      <c r="S1806" s="46"/>
      <c r="T1806" s="46"/>
      <c r="U1806" s="46"/>
      <c r="V1806" s="46"/>
      <c r="W1806" s="46"/>
    </row>
    <row r="1807" ht="16.5" spans="1:23">
      <c r="A1807" s="46"/>
      <c r="B1807" s="46"/>
      <c r="C1807" s="46"/>
      <c r="D1807" s="46"/>
      <c r="E1807" s="46"/>
      <c r="F1807" s="46"/>
      <c r="G1807" s="46"/>
      <c r="H1807" s="46"/>
      <c r="I1807" s="46"/>
      <c r="J1807" s="46"/>
      <c r="K1807" s="46"/>
      <c r="L1807" s="46"/>
      <c r="M1807" s="46"/>
      <c r="N1807" s="46"/>
      <c r="O1807" s="46"/>
      <c r="P1807" s="46"/>
      <c r="Q1807" s="46"/>
      <c r="R1807" s="46"/>
      <c r="S1807" s="46"/>
      <c r="T1807" s="46"/>
      <c r="U1807" s="46"/>
      <c r="V1807" s="46"/>
      <c r="W1807" s="46"/>
    </row>
    <row r="1808" ht="16.5" spans="1:23">
      <c r="A1808" s="46"/>
      <c r="B1808" s="46"/>
      <c r="C1808" s="46"/>
      <c r="D1808" s="46"/>
      <c r="E1808" s="46"/>
      <c r="F1808" s="46"/>
      <c r="G1808" s="46"/>
      <c r="H1808" s="46"/>
      <c r="I1808" s="46"/>
      <c r="J1808" s="46"/>
      <c r="K1808" s="46"/>
      <c r="L1808" s="46"/>
      <c r="M1808" s="46"/>
      <c r="N1808" s="46"/>
      <c r="O1808" s="46"/>
      <c r="P1808" s="46"/>
      <c r="Q1808" s="46"/>
      <c r="R1808" s="46"/>
      <c r="S1808" s="46"/>
      <c r="T1808" s="46"/>
      <c r="U1808" s="46"/>
      <c r="V1808" s="46"/>
      <c r="W1808" s="46"/>
    </row>
    <row r="1809" ht="16.5" spans="1:23">
      <c r="A1809" s="46"/>
      <c r="B1809" s="46"/>
      <c r="C1809" s="46"/>
      <c r="D1809" s="46"/>
      <c r="E1809" s="46"/>
      <c r="F1809" s="46"/>
      <c r="G1809" s="46"/>
      <c r="H1809" s="46"/>
      <c r="I1809" s="46"/>
      <c r="J1809" s="46"/>
      <c r="K1809" s="46"/>
      <c r="L1809" s="46"/>
      <c r="M1809" s="46"/>
      <c r="N1809" s="46"/>
      <c r="O1809" s="46"/>
      <c r="P1809" s="46"/>
      <c r="Q1809" s="46"/>
      <c r="R1809" s="46"/>
      <c r="S1809" s="46"/>
      <c r="T1809" s="46"/>
      <c r="U1809" s="46"/>
      <c r="V1809" s="46"/>
      <c r="W1809" s="46"/>
    </row>
    <row r="1810" ht="16.5" spans="1:23">
      <c r="A1810" s="46"/>
      <c r="B1810" s="46"/>
      <c r="C1810" s="46"/>
      <c r="D1810" s="46"/>
      <c r="E1810" s="46"/>
      <c r="F1810" s="46"/>
      <c r="G1810" s="46"/>
      <c r="H1810" s="46"/>
      <c r="I1810" s="46"/>
      <c r="J1810" s="46"/>
      <c r="K1810" s="46"/>
      <c r="L1810" s="46"/>
      <c r="M1810" s="46"/>
      <c r="N1810" s="46"/>
      <c r="O1810" s="46"/>
      <c r="P1810" s="46"/>
      <c r="Q1810" s="46"/>
      <c r="R1810" s="46"/>
      <c r="S1810" s="46"/>
      <c r="T1810" s="46"/>
      <c r="U1810" s="46"/>
      <c r="V1810" s="46"/>
      <c r="W1810" s="46"/>
    </row>
    <row r="1811" ht="16.5" spans="1:23">
      <c r="A1811" s="46"/>
      <c r="B1811" s="46"/>
      <c r="C1811" s="46"/>
      <c r="D1811" s="46"/>
      <c r="E1811" s="46"/>
      <c r="F1811" s="46"/>
      <c r="G1811" s="46"/>
      <c r="H1811" s="46"/>
      <c r="I1811" s="46"/>
      <c r="J1811" s="46"/>
      <c r="K1811" s="46"/>
      <c r="L1811" s="46"/>
      <c r="M1811" s="46"/>
      <c r="N1811" s="46"/>
      <c r="O1811" s="46"/>
      <c r="P1811" s="46"/>
      <c r="Q1811" s="46"/>
      <c r="R1811" s="46"/>
      <c r="S1811" s="46"/>
      <c r="T1811" s="46"/>
      <c r="U1811" s="46"/>
      <c r="V1811" s="46"/>
      <c r="W1811" s="46"/>
    </row>
    <row r="1812" ht="16.5" spans="1:23">
      <c r="A1812" s="46"/>
      <c r="B1812" s="46"/>
      <c r="C1812" s="46"/>
      <c r="D1812" s="46"/>
      <c r="E1812" s="46"/>
      <c r="F1812" s="46"/>
      <c r="G1812" s="46"/>
      <c r="H1812" s="46"/>
      <c r="I1812" s="46"/>
      <c r="J1812" s="46"/>
      <c r="K1812" s="46"/>
      <c r="L1812" s="46"/>
      <c r="M1812" s="46"/>
      <c r="N1812" s="46"/>
      <c r="O1812" s="46"/>
      <c r="P1812" s="46"/>
      <c r="Q1812" s="46"/>
      <c r="R1812" s="46"/>
      <c r="S1812" s="46"/>
      <c r="T1812" s="46"/>
      <c r="U1812" s="46"/>
      <c r="V1812" s="46"/>
      <c r="W1812" s="46"/>
    </row>
    <row r="1813" ht="16.5" spans="1:23">
      <c r="A1813" s="46"/>
      <c r="B1813" s="46"/>
      <c r="C1813" s="46"/>
      <c r="D1813" s="46"/>
      <c r="E1813" s="46"/>
      <c r="F1813" s="46"/>
      <c r="G1813" s="46"/>
      <c r="H1813" s="46"/>
      <c r="I1813" s="46"/>
      <c r="J1813" s="46"/>
      <c r="K1813" s="46"/>
      <c r="L1813" s="46"/>
      <c r="M1813" s="46"/>
      <c r="N1813" s="46"/>
      <c r="O1813" s="46"/>
      <c r="P1813" s="46"/>
      <c r="Q1813" s="46"/>
      <c r="R1813" s="46"/>
      <c r="S1813" s="46"/>
      <c r="T1813" s="46"/>
      <c r="U1813" s="46"/>
      <c r="V1813" s="46"/>
      <c r="W1813" s="46"/>
    </row>
    <row r="1814" ht="16.5" spans="1:23">
      <c r="A1814" s="46"/>
      <c r="B1814" s="46"/>
      <c r="C1814" s="46"/>
      <c r="D1814" s="46"/>
      <c r="E1814" s="46"/>
      <c r="F1814" s="46"/>
      <c r="G1814" s="46"/>
      <c r="H1814" s="46"/>
      <c r="I1814" s="46"/>
      <c r="J1814" s="46"/>
      <c r="K1814" s="46"/>
      <c r="L1814" s="46"/>
      <c r="M1814" s="46"/>
      <c r="N1814" s="46"/>
      <c r="O1814" s="46"/>
      <c r="P1814" s="46"/>
      <c r="Q1814" s="46"/>
      <c r="R1814" s="46"/>
      <c r="S1814" s="46"/>
      <c r="T1814" s="46"/>
      <c r="U1814" s="46"/>
      <c r="V1814" s="46"/>
      <c r="W1814" s="46"/>
    </row>
    <row r="1815" ht="16.5" spans="1:23">
      <c r="A1815" s="46"/>
      <c r="B1815" s="46"/>
      <c r="C1815" s="46"/>
      <c r="D1815" s="46"/>
      <c r="E1815" s="46"/>
      <c r="F1815" s="46"/>
      <c r="G1815" s="46"/>
      <c r="H1815" s="46"/>
      <c r="I1815" s="46"/>
      <c r="J1815" s="46"/>
      <c r="K1815" s="46"/>
      <c r="L1815" s="46"/>
      <c r="M1815" s="46"/>
      <c r="N1815" s="46"/>
      <c r="O1815" s="46"/>
      <c r="P1815" s="46"/>
      <c r="Q1815" s="46"/>
      <c r="R1815" s="46"/>
      <c r="S1815" s="46"/>
      <c r="T1815" s="46"/>
      <c r="U1815" s="46"/>
      <c r="V1815" s="46"/>
      <c r="W1815" s="46"/>
    </row>
    <row r="1816" ht="16.5" spans="1:23">
      <c r="A1816" s="46"/>
      <c r="B1816" s="46"/>
      <c r="C1816" s="46"/>
      <c r="D1816" s="46"/>
      <c r="E1816" s="46"/>
      <c r="F1816" s="46"/>
      <c r="G1816" s="46"/>
      <c r="H1816" s="46"/>
      <c r="I1816" s="46"/>
      <c r="J1816" s="46"/>
      <c r="K1816" s="46"/>
      <c r="L1816" s="46"/>
      <c r="M1816" s="46"/>
      <c r="N1816" s="46"/>
      <c r="O1816" s="46"/>
      <c r="P1816" s="46"/>
      <c r="Q1816" s="46"/>
      <c r="R1816" s="46"/>
      <c r="S1816" s="46"/>
      <c r="T1816" s="46"/>
      <c r="U1816" s="46"/>
      <c r="V1816" s="46"/>
      <c r="W1816" s="46"/>
    </row>
    <row r="1817" ht="16.5" spans="1:23">
      <c r="A1817" s="46"/>
      <c r="B1817" s="46"/>
      <c r="C1817" s="46"/>
      <c r="D1817" s="46"/>
      <c r="E1817" s="46"/>
      <c r="F1817" s="46"/>
      <c r="G1817" s="46"/>
      <c r="H1817" s="46"/>
      <c r="I1817" s="46"/>
      <c r="J1817" s="46"/>
      <c r="K1817" s="46"/>
      <c r="L1817" s="46"/>
      <c r="M1817" s="46"/>
      <c r="N1817" s="46"/>
      <c r="O1817" s="46"/>
      <c r="P1817" s="46"/>
      <c r="Q1817" s="46"/>
      <c r="R1817" s="46"/>
      <c r="S1817" s="46"/>
      <c r="T1817" s="46"/>
      <c r="U1817" s="46"/>
      <c r="V1817" s="46"/>
      <c r="W1817" s="46"/>
    </row>
    <row r="1818" ht="16.5" spans="1:23">
      <c r="A1818" s="46"/>
      <c r="B1818" s="46"/>
      <c r="C1818" s="46"/>
      <c r="D1818" s="46"/>
      <c r="E1818" s="46"/>
      <c r="F1818" s="46"/>
      <c r="G1818" s="46"/>
      <c r="H1818" s="46"/>
      <c r="I1818" s="46"/>
      <c r="J1818" s="46"/>
      <c r="K1818" s="46"/>
      <c r="L1818" s="46"/>
      <c r="M1818" s="46"/>
      <c r="N1818" s="46"/>
      <c r="O1818" s="46"/>
      <c r="P1818" s="46"/>
      <c r="Q1818" s="46"/>
      <c r="R1818" s="46"/>
      <c r="S1818" s="46"/>
      <c r="T1818" s="46"/>
      <c r="U1818" s="46"/>
      <c r="V1818" s="46"/>
      <c r="W1818" s="46"/>
    </row>
    <row r="1819" ht="16.5" spans="1:23">
      <c r="A1819" s="46"/>
      <c r="B1819" s="46"/>
      <c r="C1819" s="46"/>
      <c r="D1819" s="46"/>
      <c r="E1819" s="46"/>
      <c r="F1819" s="46"/>
      <c r="G1819" s="46"/>
      <c r="H1819" s="46"/>
      <c r="I1819" s="46"/>
      <c r="J1819" s="46"/>
      <c r="K1819" s="46"/>
      <c r="L1819" s="46"/>
      <c r="M1819" s="46"/>
      <c r="N1819" s="46"/>
      <c r="O1819" s="46"/>
      <c r="P1819" s="46"/>
      <c r="Q1819" s="46"/>
      <c r="R1819" s="46"/>
      <c r="S1819" s="46"/>
      <c r="T1819" s="46"/>
      <c r="U1819" s="46"/>
      <c r="V1819" s="46"/>
      <c r="W1819" s="46"/>
    </row>
    <row r="1820" ht="16.5" spans="1:23">
      <c r="A1820" s="46"/>
      <c r="B1820" s="46"/>
      <c r="C1820" s="46"/>
      <c r="D1820" s="46"/>
      <c r="E1820" s="46"/>
      <c r="F1820" s="46"/>
      <c r="G1820" s="46"/>
      <c r="H1820" s="46"/>
      <c r="I1820" s="46"/>
      <c r="J1820" s="46"/>
      <c r="K1820" s="46"/>
      <c r="L1820" s="46"/>
      <c r="M1820" s="46"/>
      <c r="N1820" s="46"/>
      <c r="O1820" s="46"/>
      <c r="P1820" s="46"/>
      <c r="Q1820" s="46"/>
      <c r="R1820" s="46"/>
      <c r="S1820" s="46"/>
      <c r="T1820" s="46"/>
      <c r="U1820" s="46"/>
      <c r="V1820" s="46"/>
      <c r="W1820" s="46"/>
    </row>
    <row r="1821" ht="16.5" spans="1:23">
      <c r="A1821" s="46"/>
      <c r="B1821" s="46"/>
      <c r="C1821" s="46"/>
      <c r="D1821" s="46"/>
      <c r="E1821" s="46"/>
      <c r="F1821" s="46"/>
      <c r="G1821" s="46"/>
      <c r="H1821" s="46"/>
      <c r="I1821" s="46"/>
      <c r="J1821" s="46"/>
      <c r="K1821" s="46"/>
      <c r="L1821" s="46"/>
      <c r="M1821" s="46"/>
      <c r="N1821" s="46"/>
      <c r="O1821" s="46"/>
      <c r="P1821" s="46"/>
      <c r="Q1821" s="46"/>
      <c r="R1821" s="46"/>
      <c r="S1821" s="46"/>
      <c r="T1821" s="46"/>
      <c r="U1821" s="46"/>
      <c r="V1821" s="46"/>
      <c r="W1821" s="46"/>
    </row>
    <row r="1822" ht="16.5" spans="1:23">
      <c r="A1822" s="46"/>
      <c r="B1822" s="46"/>
      <c r="C1822" s="46"/>
      <c r="D1822" s="46"/>
      <c r="E1822" s="46"/>
      <c r="F1822" s="46"/>
      <c r="G1822" s="46"/>
      <c r="H1822" s="46"/>
      <c r="I1822" s="46"/>
      <c r="J1822" s="46"/>
      <c r="K1822" s="46"/>
      <c r="L1822" s="46"/>
      <c r="M1822" s="46"/>
      <c r="N1822" s="46"/>
      <c r="O1822" s="46"/>
      <c r="P1822" s="46"/>
      <c r="Q1822" s="46"/>
      <c r="R1822" s="46"/>
      <c r="S1822" s="46"/>
      <c r="T1822" s="46"/>
      <c r="U1822" s="46"/>
      <c r="V1822" s="46"/>
      <c r="W1822" s="46"/>
    </row>
    <row r="1823" ht="16.5" spans="1:23">
      <c r="A1823" s="46"/>
      <c r="B1823" s="46"/>
      <c r="C1823" s="46"/>
      <c r="D1823" s="46"/>
      <c r="E1823" s="46"/>
      <c r="F1823" s="46"/>
      <c r="G1823" s="46"/>
      <c r="H1823" s="46"/>
      <c r="I1823" s="46"/>
      <c r="J1823" s="46"/>
      <c r="K1823" s="46"/>
      <c r="L1823" s="46"/>
      <c r="M1823" s="46"/>
      <c r="N1823" s="46"/>
      <c r="O1823" s="46"/>
      <c r="P1823" s="46"/>
      <c r="Q1823" s="46"/>
      <c r="R1823" s="46"/>
      <c r="S1823" s="46"/>
      <c r="T1823" s="46"/>
      <c r="U1823" s="46"/>
      <c r="V1823" s="46"/>
      <c r="W1823" s="46"/>
    </row>
    <row r="1824" ht="16.5" spans="1:23">
      <c r="A1824" s="46"/>
      <c r="B1824" s="46"/>
      <c r="C1824" s="46"/>
      <c r="D1824" s="46"/>
      <c r="E1824" s="46"/>
      <c r="F1824" s="46"/>
      <c r="G1824" s="46"/>
      <c r="H1824" s="46"/>
      <c r="I1824" s="46"/>
      <c r="J1824" s="46"/>
      <c r="K1824" s="46"/>
      <c r="L1824" s="46"/>
      <c r="M1824" s="46"/>
      <c r="N1824" s="46"/>
      <c r="O1824" s="46"/>
      <c r="P1824" s="46"/>
      <c r="Q1824" s="46"/>
      <c r="R1824" s="46"/>
      <c r="S1824" s="46"/>
      <c r="T1824" s="46"/>
      <c r="U1824" s="46"/>
      <c r="V1824" s="46"/>
      <c r="W1824" s="46"/>
    </row>
    <row r="1825" ht="16.5" spans="1:23">
      <c r="A1825" s="46"/>
      <c r="B1825" s="46"/>
      <c r="C1825" s="46"/>
      <c r="D1825" s="46"/>
      <c r="E1825" s="46"/>
      <c r="F1825" s="46"/>
      <c r="G1825" s="46"/>
      <c r="H1825" s="46"/>
      <c r="I1825" s="46"/>
      <c r="J1825" s="46"/>
      <c r="K1825" s="46"/>
      <c r="L1825" s="46"/>
      <c r="M1825" s="46"/>
      <c r="N1825" s="46"/>
      <c r="O1825" s="46"/>
      <c r="P1825" s="46"/>
      <c r="Q1825" s="46"/>
      <c r="R1825" s="46"/>
      <c r="S1825" s="46"/>
      <c r="T1825" s="46"/>
      <c r="U1825" s="46"/>
      <c r="V1825" s="46"/>
      <c r="W1825" s="46"/>
    </row>
    <row r="1826" ht="16.5" spans="1:23">
      <c r="A1826" s="46"/>
      <c r="B1826" s="46"/>
      <c r="C1826" s="46"/>
      <c r="D1826" s="46"/>
      <c r="E1826" s="46"/>
      <c r="F1826" s="46"/>
      <c r="G1826" s="46"/>
      <c r="H1826" s="46"/>
      <c r="I1826" s="46"/>
      <c r="J1826" s="46"/>
      <c r="K1826" s="46"/>
      <c r="L1826" s="46"/>
      <c r="M1826" s="46"/>
      <c r="N1826" s="46"/>
      <c r="O1826" s="46"/>
      <c r="P1826" s="46"/>
      <c r="Q1826" s="46"/>
      <c r="R1826" s="46"/>
      <c r="S1826" s="46"/>
      <c r="T1826" s="46"/>
      <c r="U1826" s="46"/>
      <c r="V1826" s="46"/>
      <c r="W1826" s="46"/>
    </row>
    <row r="1827" ht="16.5" spans="1:23">
      <c r="A1827" s="46"/>
      <c r="B1827" s="46"/>
      <c r="C1827" s="46"/>
      <c r="D1827" s="46"/>
      <c r="E1827" s="46"/>
      <c r="F1827" s="46"/>
      <c r="G1827" s="46"/>
      <c r="H1827" s="46"/>
      <c r="I1827" s="46"/>
      <c r="J1827" s="46"/>
      <c r="K1827" s="46"/>
      <c r="L1827" s="46"/>
      <c r="M1827" s="46"/>
      <c r="N1827" s="46"/>
      <c r="O1827" s="46"/>
      <c r="P1827" s="46"/>
      <c r="Q1827" s="46"/>
      <c r="R1827" s="46"/>
      <c r="S1827" s="46"/>
      <c r="T1827" s="46"/>
      <c r="U1827" s="46"/>
      <c r="V1827" s="46"/>
      <c r="W1827" s="46"/>
    </row>
    <row r="1828" ht="16.5" spans="1:23">
      <c r="A1828" s="46"/>
      <c r="B1828" s="46"/>
      <c r="C1828" s="46"/>
      <c r="D1828" s="46"/>
      <c r="E1828" s="46"/>
      <c r="F1828" s="46"/>
      <c r="G1828" s="46"/>
      <c r="H1828" s="46"/>
      <c r="I1828" s="46"/>
      <c r="J1828" s="46"/>
      <c r="K1828" s="46"/>
      <c r="L1828" s="46"/>
      <c r="M1828" s="46"/>
      <c r="N1828" s="46"/>
      <c r="O1828" s="46"/>
      <c r="P1828" s="46"/>
      <c r="Q1828" s="46"/>
      <c r="R1828" s="46"/>
      <c r="S1828" s="46"/>
      <c r="T1828" s="46"/>
      <c r="U1828" s="46"/>
      <c r="V1828" s="46"/>
      <c r="W1828" s="46"/>
    </row>
    <row r="1829" ht="16.5" spans="1:23">
      <c r="A1829" s="46"/>
      <c r="B1829" s="46"/>
      <c r="C1829" s="46"/>
      <c r="D1829" s="46"/>
      <c r="E1829" s="46"/>
      <c r="F1829" s="46"/>
      <c r="G1829" s="46"/>
      <c r="H1829" s="46"/>
      <c r="I1829" s="46"/>
      <c r="J1829" s="46"/>
      <c r="K1829" s="46"/>
      <c r="L1829" s="46"/>
      <c r="M1829" s="46"/>
      <c r="N1829" s="46"/>
      <c r="O1829" s="46"/>
      <c r="P1829" s="46"/>
      <c r="Q1829" s="46"/>
      <c r="R1829" s="46"/>
      <c r="S1829" s="46"/>
      <c r="T1829" s="46"/>
      <c r="U1829" s="46"/>
      <c r="V1829" s="46"/>
      <c r="W1829" s="46"/>
    </row>
    <row r="1830" ht="16.5" spans="1:23">
      <c r="A1830" s="46"/>
      <c r="B1830" s="46"/>
      <c r="C1830" s="46"/>
      <c r="D1830" s="46"/>
      <c r="E1830" s="46"/>
      <c r="F1830" s="46"/>
      <c r="G1830" s="46"/>
      <c r="H1830" s="46"/>
      <c r="I1830" s="46"/>
      <c r="J1830" s="46"/>
      <c r="K1830" s="46"/>
      <c r="L1830" s="46"/>
      <c r="M1830" s="46"/>
      <c r="N1830" s="46"/>
      <c r="O1830" s="46"/>
      <c r="P1830" s="46"/>
      <c r="Q1830" s="46"/>
      <c r="R1830" s="46"/>
      <c r="S1830" s="46"/>
      <c r="T1830" s="46"/>
      <c r="U1830" s="46"/>
      <c r="V1830" s="46"/>
      <c r="W1830" s="46"/>
    </row>
    <row r="1831" ht="16.5" spans="1:23">
      <c r="A1831" s="46"/>
      <c r="B1831" s="46"/>
      <c r="C1831" s="46"/>
      <c r="D1831" s="46"/>
      <c r="E1831" s="46"/>
      <c r="F1831" s="46"/>
      <c r="G1831" s="46"/>
      <c r="H1831" s="46"/>
      <c r="I1831" s="46"/>
      <c r="J1831" s="46"/>
      <c r="K1831" s="46"/>
      <c r="L1831" s="46"/>
      <c r="M1831" s="46"/>
      <c r="N1831" s="46"/>
      <c r="O1831" s="46"/>
      <c r="P1831" s="46"/>
      <c r="Q1831" s="46"/>
      <c r="R1831" s="46"/>
      <c r="S1831" s="46"/>
      <c r="T1831" s="46"/>
      <c r="U1831" s="46"/>
      <c r="V1831" s="46"/>
      <c r="W1831" s="46"/>
    </row>
    <row r="1832" ht="16.5" spans="1:23">
      <c r="A1832" s="46"/>
      <c r="B1832" s="46"/>
      <c r="C1832" s="46"/>
      <c r="D1832" s="46"/>
      <c r="E1832" s="46"/>
      <c r="F1832" s="46"/>
      <c r="G1832" s="46"/>
      <c r="H1832" s="46"/>
      <c r="I1832" s="46"/>
      <c r="J1832" s="46"/>
      <c r="K1832" s="46"/>
      <c r="L1832" s="46"/>
      <c r="M1832" s="46"/>
      <c r="N1832" s="46"/>
      <c r="O1832" s="46"/>
      <c r="P1832" s="46"/>
      <c r="Q1832" s="46"/>
      <c r="R1832" s="46"/>
      <c r="S1832" s="46"/>
      <c r="T1832" s="46"/>
      <c r="U1832" s="46"/>
      <c r="V1832" s="46"/>
      <c r="W1832" s="46"/>
    </row>
    <row r="1833" ht="16.5" spans="1:23">
      <c r="A1833" s="46"/>
      <c r="B1833" s="46"/>
      <c r="C1833" s="46"/>
      <c r="D1833" s="46"/>
      <c r="E1833" s="46"/>
      <c r="F1833" s="46"/>
      <c r="G1833" s="46"/>
      <c r="H1833" s="46"/>
      <c r="I1833" s="46"/>
      <c r="J1833" s="46"/>
      <c r="K1833" s="46"/>
      <c r="L1833" s="46"/>
      <c r="M1833" s="46"/>
      <c r="N1833" s="46"/>
      <c r="O1833" s="46"/>
      <c r="P1833" s="46"/>
      <c r="Q1833" s="46"/>
      <c r="R1833" s="46"/>
      <c r="S1833" s="46"/>
      <c r="T1833" s="46"/>
      <c r="U1833" s="46"/>
      <c r="V1833" s="46"/>
      <c r="W1833" s="46"/>
    </row>
    <row r="1834" ht="16.5" spans="1:23">
      <c r="A1834" s="46"/>
      <c r="B1834" s="46"/>
      <c r="C1834" s="46"/>
      <c r="D1834" s="46"/>
      <c r="E1834" s="46"/>
      <c r="F1834" s="46"/>
      <c r="G1834" s="46"/>
      <c r="H1834" s="46"/>
      <c r="I1834" s="46"/>
      <c r="J1834" s="46"/>
      <c r="K1834" s="46"/>
      <c r="L1834" s="46"/>
      <c r="M1834" s="46"/>
      <c r="N1834" s="46"/>
      <c r="O1834" s="46"/>
      <c r="P1834" s="46"/>
      <c r="Q1834" s="46"/>
      <c r="R1834" s="46"/>
      <c r="S1834" s="46"/>
      <c r="T1834" s="46"/>
      <c r="U1834" s="46"/>
      <c r="V1834" s="46"/>
      <c r="W1834" s="46"/>
    </row>
    <row r="1835" ht="16.5" spans="1:23">
      <c r="A1835" s="46"/>
      <c r="B1835" s="46"/>
      <c r="C1835" s="46"/>
      <c r="D1835" s="46"/>
      <c r="E1835" s="46"/>
      <c r="F1835" s="46"/>
      <c r="G1835" s="46"/>
      <c r="H1835" s="46"/>
      <c r="I1835" s="46"/>
      <c r="J1835" s="46"/>
      <c r="K1835" s="46"/>
      <c r="L1835" s="46"/>
      <c r="M1835" s="46"/>
      <c r="N1835" s="46"/>
      <c r="O1835" s="46"/>
      <c r="P1835" s="46"/>
      <c r="Q1835" s="46"/>
      <c r="R1835" s="46"/>
      <c r="S1835" s="46"/>
      <c r="T1835" s="46"/>
      <c r="U1835" s="46"/>
      <c r="V1835" s="46"/>
      <c r="W1835" s="46"/>
    </row>
    <row r="1836" ht="16.5" spans="1:23">
      <c r="A1836" s="46"/>
      <c r="B1836" s="46"/>
      <c r="C1836" s="46"/>
      <c r="D1836" s="46"/>
      <c r="E1836" s="46"/>
      <c r="F1836" s="46"/>
      <c r="G1836" s="46"/>
      <c r="H1836" s="46"/>
      <c r="I1836" s="46"/>
      <c r="J1836" s="46"/>
      <c r="K1836" s="46"/>
      <c r="L1836" s="46"/>
      <c r="M1836" s="46"/>
      <c r="N1836" s="46"/>
      <c r="O1836" s="46"/>
      <c r="P1836" s="46"/>
      <c r="Q1836" s="46"/>
      <c r="R1836" s="46"/>
      <c r="S1836" s="46"/>
      <c r="T1836" s="46"/>
      <c r="U1836" s="46"/>
      <c r="V1836" s="46"/>
      <c r="W1836" s="46"/>
    </row>
    <row r="1837" ht="16.5" spans="1:23">
      <c r="A1837" s="46"/>
      <c r="B1837" s="46"/>
      <c r="C1837" s="46"/>
      <c r="D1837" s="46"/>
      <c r="E1837" s="46"/>
      <c r="F1837" s="46"/>
      <c r="G1837" s="46"/>
      <c r="H1837" s="46"/>
      <c r="I1837" s="46"/>
      <c r="J1837" s="46"/>
      <c r="K1837" s="46"/>
      <c r="L1837" s="46"/>
      <c r="M1837" s="46"/>
      <c r="N1837" s="46"/>
      <c r="O1837" s="46"/>
      <c r="P1837" s="46"/>
      <c r="Q1837" s="46"/>
      <c r="R1837" s="46"/>
      <c r="S1837" s="46"/>
      <c r="T1837" s="46"/>
      <c r="U1837" s="46"/>
      <c r="V1837" s="46"/>
      <c r="W1837" s="46"/>
    </row>
    <row r="1838" ht="16.5" spans="1:23">
      <c r="A1838" s="46"/>
      <c r="B1838" s="46"/>
      <c r="C1838" s="46"/>
      <c r="D1838" s="46"/>
      <c r="E1838" s="46"/>
      <c r="F1838" s="46"/>
      <c r="G1838" s="46"/>
      <c r="H1838" s="46"/>
      <c r="I1838" s="46"/>
      <c r="J1838" s="46"/>
      <c r="K1838" s="46"/>
      <c r="L1838" s="46"/>
      <c r="M1838" s="46"/>
      <c r="N1838" s="46"/>
      <c r="O1838" s="46"/>
      <c r="P1838" s="46"/>
      <c r="Q1838" s="46"/>
      <c r="R1838" s="46"/>
      <c r="S1838" s="46"/>
      <c r="T1838" s="46"/>
      <c r="U1838" s="46"/>
      <c r="V1838" s="46"/>
      <c r="W1838" s="46"/>
    </row>
    <row r="1839" ht="16.5" spans="1:23">
      <c r="A1839" s="46"/>
      <c r="B1839" s="46"/>
      <c r="C1839" s="46"/>
      <c r="D1839" s="46"/>
      <c r="E1839" s="46"/>
      <c r="F1839" s="46"/>
      <c r="G1839" s="46"/>
      <c r="H1839" s="46"/>
      <c r="I1839" s="46"/>
      <c r="J1839" s="46"/>
      <c r="K1839" s="46"/>
      <c r="L1839" s="46"/>
      <c r="M1839" s="46"/>
      <c r="N1839" s="46"/>
      <c r="O1839" s="46"/>
      <c r="P1839" s="46"/>
      <c r="Q1839" s="46"/>
      <c r="R1839" s="46"/>
      <c r="S1839" s="46"/>
      <c r="T1839" s="46"/>
      <c r="U1839" s="46"/>
      <c r="V1839" s="46"/>
      <c r="W1839" s="46"/>
    </row>
    <row r="1840" ht="16.5" spans="1:23">
      <c r="A1840" s="46"/>
      <c r="B1840" s="46"/>
      <c r="C1840" s="46"/>
      <c r="D1840" s="46"/>
      <c r="E1840" s="46"/>
      <c r="F1840" s="46"/>
      <c r="G1840" s="46"/>
      <c r="H1840" s="46"/>
      <c r="I1840" s="46"/>
      <c r="J1840" s="46"/>
      <c r="K1840" s="46"/>
      <c r="L1840" s="46"/>
      <c r="M1840" s="46"/>
      <c r="N1840" s="46"/>
      <c r="O1840" s="46"/>
      <c r="P1840" s="46"/>
      <c r="Q1840" s="46"/>
      <c r="R1840" s="46"/>
      <c r="S1840" s="46"/>
      <c r="T1840" s="46"/>
      <c r="U1840" s="46"/>
      <c r="V1840" s="46"/>
      <c r="W1840" s="46"/>
    </row>
    <row r="1841" ht="16.5" spans="1:23">
      <c r="A1841" s="46"/>
      <c r="B1841" s="46"/>
      <c r="C1841" s="46"/>
      <c r="D1841" s="46"/>
      <c r="E1841" s="46"/>
      <c r="F1841" s="46"/>
      <c r="G1841" s="46"/>
      <c r="H1841" s="46"/>
      <c r="I1841" s="46"/>
      <c r="J1841" s="46"/>
      <c r="K1841" s="46"/>
      <c r="L1841" s="46"/>
      <c r="M1841" s="46"/>
      <c r="N1841" s="46"/>
      <c r="O1841" s="46"/>
      <c r="P1841" s="46"/>
      <c r="Q1841" s="46"/>
      <c r="R1841" s="46"/>
      <c r="S1841" s="46"/>
      <c r="T1841" s="46"/>
      <c r="U1841" s="46"/>
      <c r="V1841" s="46"/>
      <c r="W1841" s="46"/>
    </row>
    <row r="1842" ht="16.5" spans="1:23">
      <c r="A1842" s="46"/>
      <c r="B1842" s="46"/>
      <c r="C1842" s="46"/>
      <c r="D1842" s="46"/>
      <c r="E1842" s="46"/>
      <c r="F1842" s="46"/>
      <c r="G1842" s="46"/>
      <c r="H1842" s="46"/>
      <c r="I1842" s="46"/>
      <c r="J1842" s="46"/>
      <c r="K1842" s="46"/>
      <c r="L1842" s="46"/>
      <c r="M1842" s="46"/>
      <c r="N1842" s="46"/>
      <c r="O1842" s="46"/>
      <c r="P1842" s="46"/>
      <c r="Q1842" s="46"/>
      <c r="R1842" s="46"/>
      <c r="S1842" s="46"/>
      <c r="T1842" s="46"/>
      <c r="U1842" s="46"/>
      <c r="V1842" s="46"/>
      <c r="W1842" s="46"/>
    </row>
    <row r="1843" ht="16.5" spans="1:23">
      <c r="A1843" s="46"/>
      <c r="B1843" s="46"/>
      <c r="C1843" s="46"/>
      <c r="D1843" s="46"/>
      <c r="E1843" s="46"/>
      <c r="F1843" s="46"/>
      <c r="G1843" s="46"/>
      <c r="H1843" s="46"/>
      <c r="I1843" s="46"/>
      <c r="J1843" s="46"/>
      <c r="K1843" s="46"/>
      <c r="L1843" s="46"/>
      <c r="M1843" s="46"/>
      <c r="N1843" s="46"/>
      <c r="O1843" s="46"/>
      <c r="P1843" s="46"/>
      <c r="Q1843" s="46"/>
      <c r="R1843" s="46"/>
      <c r="S1843" s="46"/>
      <c r="T1843" s="46"/>
      <c r="U1843" s="46"/>
      <c r="V1843" s="46"/>
      <c r="W1843" s="46"/>
    </row>
    <row r="1844" ht="16.5" spans="1:23">
      <c r="A1844" s="46"/>
      <c r="B1844" s="46"/>
      <c r="C1844" s="46"/>
      <c r="D1844" s="46"/>
      <c r="E1844" s="46"/>
      <c r="F1844" s="46"/>
      <c r="G1844" s="46"/>
      <c r="H1844" s="46"/>
      <c r="I1844" s="46"/>
      <c r="J1844" s="46"/>
      <c r="K1844" s="46"/>
      <c r="L1844" s="46"/>
      <c r="M1844" s="46"/>
      <c r="N1844" s="46"/>
      <c r="O1844" s="46"/>
      <c r="P1844" s="46"/>
      <c r="Q1844" s="46"/>
      <c r="R1844" s="46"/>
      <c r="S1844" s="46"/>
      <c r="T1844" s="46"/>
      <c r="U1844" s="46"/>
      <c r="V1844" s="46"/>
      <c r="W1844" s="46"/>
    </row>
    <row r="1845" ht="16.5" spans="1:23">
      <c r="A1845" s="46"/>
      <c r="B1845" s="46"/>
      <c r="C1845" s="46"/>
      <c r="D1845" s="46"/>
      <c r="E1845" s="46"/>
      <c r="F1845" s="46"/>
      <c r="G1845" s="46"/>
      <c r="H1845" s="46"/>
      <c r="I1845" s="46"/>
      <c r="J1845" s="46"/>
      <c r="K1845" s="46"/>
      <c r="L1845" s="46"/>
      <c r="M1845" s="46"/>
      <c r="N1845" s="46"/>
      <c r="O1845" s="46"/>
      <c r="P1845" s="46"/>
      <c r="Q1845" s="46"/>
      <c r="R1845" s="46"/>
      <c r="S1845" s="46"/>
      <c r="T1845" s="46"/>
      <c r="U1845" s="46"/>
      <c r="V1845" s="46"/>
      <c r="W1845" s="46"/>
    </row>
    <row r="1846" ht="16.5" spans="1:23">
      <c r="A1846" s="46"/>
      <c r="B1846" s="46"/>
      <c r="C1846" s="46"/>
      <c r="D1846" s="46"/>
      <c r="E1846" s="46"/>
      <c r="F1846" s="46"/>
      <c r="G1846" s="46"/>
      <c r="H1846" s="46"/>
      <c r="I1846" s="46"/>
      <c r="J1846" s="46"/>
      <c r="K1846" s="46"/>
      <c r="L1846" s="46"/>
      <c r="M1846" s="46"/>
      <c r="N1846" s="46"/>
      <c r="O1846" s="46"/>
      <c r="P1846" s="46"/>
      <c r="Q1846" s="46"/>
      <c r="R1846" s="46"/>
      <c r="S1846" s="46"/>
      <c r="T1846" s="46"/>
      <c r="U1846" s="46"/>
      <c r="V1846" s="46"/>
      <c r="W1846" s="46"/>
    </row>
    <row r="1847" ht="16.5" spans="1:23">
      <c r="A1847" s="46"/>
      <c r="B1847" s="46"/>
      <c r="C1847" s="46"/>
      <c r="D1847" s="46"/>
      <c r="E1847" s="46"/>
      <c r="F1847" s="46"/>
      <c r="G1847" s="46"/>
      <c r="H1847" s="46"/>
      <c r="I1847" s="46"/>
      <c r="J1847" s="46"/>
      <c r="K1847" s="46"/>
      <c r="L1847" s="46"/>
      <c r="M1847" s="46"/>
      <c r="N1847" s="46"/>
      <c r="O1847" s="46"/>
      <c r="P1847" s="46"/>
      <c r="Q1847" s="46"/>
      <c r="R1847" s="46"/>
      <c r="S1847" s="46"/>
      <c r="T1847" s="46"/>
      <c r="U1847" s="46"/>
      <c r="V1847" s="46"/>
      <c r="W1847" s="46"/>
    </row>
    <row r="1848" ht="16.5" spans="1:23">
      <c r="A1848" s="46"/>
      <c r="B1848" s="46"/>
      <c r="C1848" s="46"/>
      <c r="D1848" s="46"/>
      <c r="E1848" s="46"/>
      <c r="F1848" s="46"/>
      <c r="G1848" s="46"/>
      <c r="H1848" s="46"/>
      <c r="I1848" s="46"/>
      <c r="J1848" s="46"/>
      <c r="K1848" s="46"/>
      <c r="L1848" s="46"/>
      <c r="M1848" s="46"/>
      <c r="N1848" s="46"/>
      <c r="O1848" s="46"/>
      <c r="P1848" s="46"/>
      <c r="Q1848" s="46"/>
      <c r="R1848" s="46"/>
      <c r="S1848" s="46"/>
      <c r="T1848" s="46"/>
      <c r="U1848" s="46"/>
      <c r="V1848" s="46"/>
      <c r="W1848" s="46"/>
    </row>
    <row r="1849" ht="16.5" spans="1:23">
      <c r="A1849" s="46"/>
      <c r="B1849" s="46"/>
      <c r="C1849" s="46"/>
      <c r="D1849" s="46"/>
      <c r="E1849" s="46"/>
      <c r="F1849" s="46"/>
      <c r="G1849" s="46"/>
      <c r="H1849" s="46"/>
      <c r="I1849" s="46"/>
      <c r="J1849" s="46"/>
      <c r="K1849" s="46"/>
      <c r="L1849" s="46"/>
      <c r="M1849" s="46"/>
      <c r="N1849" s="46"/>
      <c r="O1849" s="46"/>
      <c r="P1849" s="46"/>
      <c r="Q1849" s="46"/>
      <c r="R1849" s="46"/>
      <c r="S1849" s="46"/>
      <c r="T1849" s="46"/>
      <c r="U1849" s="46"/>
      <c r="V1849" s="46"/>
      <c r="W1849" s="46"/>
    </row>
    <row r="1850" ht="16.5" spans="1:23">
      <c r="A1850" s="46"/>
      <c r="B1850" s="46"/>
      <c r="C1850" s="46"/>
      <c r="D1850" s="46"/>
      <c r="E1850" s="46"/>
      <c r="F1850" s="46"/>
      <c r="G1850" s="46"/>
      <c r="H1850" s="46"/>
      <c r="I1850" s="46"/>
      <c r="J1850" s="46"/>
      <c r="K1850" s="46"/>
      <c r="L1850" s="46"/>
      <c r="M1850" s="46"/>
      <c r="N1850" s="46"/>
      <c r="O1850" s="46"/>
      <c r="P1850" s="46"/>
      <c r="Q1850" s="46"/>
      <c r="R1850" s="46"/>
      <c r="S1850" s="46"/>
      <c r="T1850" s="46"/>
      <c r="U1850" s="46"/>
      <c r="V1850" s="46"/>
      <c r="W1850" s="46"/>
    </row>
    <row r="1851" ht="16.5" spans="1:23">
      <c r="A1851" s="46"/>
      <c r="B1851" s="46"/>
      <c r="C1851" s="46"/>
      <c r="D1851" s="46"/>
      <c r="E1851" s="46"/>
      <c r="F1851" s="46"/>
      <c r="G1851" s="46"/>
      <c r="H1851" s="46"/>
      <c r="I1851" s="46"/>
      <c r="J1851" s="46"/>
      <c r="K1851" s="46"/>
      <c r="L1851" s="46"/>
      <c r="M1851" s="46"/>
      <c r="N1851" s="46"/>
      <c r="O1851" s="46"/>
      <c r="P1851" s="46"/>
      <c r="Q1851" s="46"/>
      <c r="R1851" s="46"/>
      <c r="S1851" s="46"/>
      <c r="T1851" s="46"/>
      <c r="U1851" s="46"/>
      <c r="V1851" s="46"/>
      <c r="W1851" s="46"/>
    </row>
    <row r="1852" ht="16.5" spans="1:23">
      <c r="A1852" s="46"/>
      <c r="B1852" s="46"/>
      <c r="C1852" s="46"/>
      <c r="D1852" s="46"/>
      <c r="E1852" s="46"/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  <c r="P1852" s="46"/>
      <c r="Q1852" s="46"/>
      <c r="R1852" s="46"/>
      <c r="S1852" s="46"/>
      <c r="T1852" s="46"/>
      <c r="U1852" s="46"/>
      <c r="V1852" s="46"/>
      <c r="W1852" s="46"/>
    </row>
    <row r="1853" ht="16.5" spans="1:23">
      <c r="A1853" s="46"/>
      <c r="B1853" s="46"/>
      <c r="C1853" s="46"/>
      <c r="D1853" s="46"/>
      <c r="E1853" s="46"/>
      <c r="F1853" s="46"/>
      <c r="G1853" s="46"/>
      <c r="H1853" s="46"/>
      <c r="I1853" s="46"/>
      <c r="J1853" s="46"/>
      <c r="K1853" s="46"/>
      <c r="L1853" s="46"/>
      <c r="M1853" s="46"/>
      <c r="N1853" s="46"/>
      <c r="O1853" s="46"/>
      <c r="P1853" s="46"/>
      <c r="Q1853" s="46"/>
      <c r="R1853" s="46"/>
      <c r="S1853" s="46"/>
      <c r="T1853" s="46"/>
      <c r="U1853" s="46"/>
      <c r="V1853" s="46"/>
      <c r="W1853" s="46"/>
    </row>
    <row r="1854" ht="16.5" spans="1:23">
      <c r="A1854" s="46"/>
      <c r="B1854" s="46"/>
      <c r="C1854" s="46"/>
      <c r="D1854" s="46"/>
      <c r="E1854" s="46"/>
      <c r="F1854" s="46"/>
      <c r="G1854" s="46"/>
      <c r="H1854" s="46"/>
      <c r="I1854" s="46"/>
      <c r="J1854" s="46"/>
      <c r="K1854" s="46"/>
      <c r="L1854" s="46"/>
      <c r="M1854" s="46"/>
      <c r="N1854" s="46"/>
      <c r="O1854" s="46"/>
      <c r="P1854" s="46"/>
      <c r="Q1854" s="46"/>
      <c r="R1854" s="46"/>
      <c r="S1854" s="46"/>
      <c r="T1854" s="46"/>
      <c r="U1854" s="46"/>
      <c r="V1854" s="46"/>
      <c r="W1854" s="46"/>
    </row>
    <row r="1855" ht="16.5" spans="1:23">
      <c r="A1855" s="46"/>
      <c r="B1855" s="46"/>
      <c r="C1855" s="46"/>
      <c r="D1855" s="46"/>
      <c r="E1855" s="46"/>
      <c r="F1855" s="46"/>
      <c r="G1855" s="46"/>
      <c r="H1855" s="46"/>
      <c r="I1855" s="46"/>
      <c r="J1855" s="46"/>
      <c r="K1855" s="46"/>
      <c r="L1855" s="46"/>
      <c r="M1855" s="46"/>
      <c r="N1855" s="46"/>
      <c r="O1855" s="46"/>
      <c r="P1855" s="46"/>
      <c r="Q1855" s="46"/>
      <c r="R1855" s="46"/>
      <c r="S1855" s="46"/>
      <c r="T1855" s="46"/>
      <c r="U1855" s="46"/>
      <c r="V1855" s="46"/>
      <c r="W1855" s="46"/>
    </row>
    <row r="1856" ht="16.5" spans="1:23">
      <c r="A1856" s="46"/>
      <c r="B1856" s="46"/>
      <c r="C1856" s="46"/>
      <c r="D1856" s="46"/>
      <c r="E1856" s="46"/>
      <c r="F1856" s="46"/>
      <c r="G1856" s="46"/>
      <c r="H1856" s="46"/>
      <c r="I1856" s="46"/>
      <c r="J1856" s="46"/>
      <c r="K1856" s="46"/>
      <c r="L1856" s="46"/>
      <c r="M1856" s="46"/>
      <c r="N1856" s="46"/>
      <c r="O1856" s="46"/>
      <c r="P1856" s="46"/>
      <c r="Q1856" s="46"/>
      <c r="R1856" s="46"/>
      <c r="S1856" s="46"/>
      <c r="T1856" s="46"/>
      <c r="U1856" s="46"/>
      <c r="V1856" s="46"/>
      <c r="W1856" s="46"/>
    </row>
    <row r="1857" ht="16.5" spans="1:23">
      <c r="A1857" s="46"/>
      <c r="B1857" s="46"/>
      <c r="C1857" s="46"/>
      <c r="D1857" s="46"/>
      <c r="E1857" s="46"/>
      <c r="F1857" s="46"/>
      <c r="G1857" s="46"/>
      <c r="H1857" s="46"/>
      <c r="I1857" s="46"/>
      <c r="J1857" s="46"/>
      <c r="K1857" s="46"/>
      <c r="L1857" s="46"/>
      <c r="M1857" s="46"/>
      <c r="N1857" s="46"/>
      <c r="O1857" s="46"/>
      <c r="P1857" s="46"/>
      <c r="Q1857" s="46"/>
      <c r="R1857" s="46"/>
      <c r="S1857" s="46"/>
      <c r="T1857" s="46"/>
      <c r="U1857" s="46"/>
      <c r="V1857" s="46"/>
      <c r="W1857" s="46"/>
    </row>
    <row r="1858" ht="16.5" spans="1:23">
      <c r="A1858" s="46"/>
      <c r="B1858" s="46"/>
      <c r="C1858" s="46"/>
      <c r="D1858" s="46"/>
      <c r="E1858" s="46"/>
      <c r="F1858" s="46"/>
      <c r="G1858" s="46"/>
      <c r="H1858" s="46"/>
      <c r="I1858" s="46"/>
      <c r="J1858" s="46"/>
      <c r="K1858" s="46"/>
      <c r="L1858" s="46"/>
      <c r="M1858" s="46"/>
      <c r="N1858" s="46"/>
      <c r="O1858" s="46"/>
      <c r="P1858" s="46"/>
      <c r="Q1858" s="46"/>
      <c r="R1858" s="46"/>
      <c r="S1858" s="46"/>
      <c r="T1858" s="46"/>
      <c r="U1858" s="46"/>
      <c r="V1858" s="46"/>
      <c r="W1858" s="46"/>
    </row>
    <row r="1859" ht="16.5" spans="1:23">
      <c r="A1859" s="46"/>
      <c r="B1859" s="46"/>
      <c r="C1859" s="46"/>
      <c r="D1859" s="46"/>
      <c r="E1859" s="46"/>
      <c r="F1859" s="46"/>
      <c r="G1859" s="46"/>
      <c r="H1859" s="46"/>
      <c r="I1859" s="46"/>
      <c r="J1859" s="46"/>
      <c r="K1859" s="46"/>
      <c r="L1859" s="46"/>
      <c r="M1859" s="46"/>
      <c r="N1859" s="46"/>
      <c r="O1859" s="46"/>
      <c r="P1859" s="46"/>
      <c r="Q1859" s="46"/>
      <c r="R1859" s="46"/>
      <c r="S1859" s="46"/>
      <c r="T1859" s="46"/>
      <c r="U1859" s="46"/>
      <c r="V1859" s="46"/>
      <c r="W1859" s="46"/>
    </row>
    <row r="1860" ht="16.5" spans="1:23">
      <c r="A1860" s="46"/>
      <c r="B1860" s="46"/>
      <c r="C1860" s="46"/>
      <c r="D1860" s="46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  <c r="P1860" s="46"/>
      <c r="Q1860" s="46"/>
      <c r="R1860" s="46"/>
      <c r="S1860" s="46"/>
      <c r="T1860" s="46"/>
      <c r="U1860" s="46"/>
      <c r="V1860" s="46"/>
      <c r="W1860" s="46"/>
    </row>
    <row r="1861" ht="16.5" spans="1:23">
      <c r="A1861" s="46"/>
      <c r="B1861" s="46"/>
      <c r="C1861" s="46"/>
      <c r="D1861" s="46"/>
      <c r="E1861" s="46"/>
      <c r="F1861" s="46"/>
      <c r="G1861" s="46"/>
      <c r="H1861" s="46"/>
      <c r="I1861" s="46"/>
      <c r="J1861" s="46"/>
      <c r="K1861" s="46"/>
      <c r="L1861" s="46"/>
      <c r="M1861" s="46"/>
      <c r="N1861" s="46"/>
      <c r="O1861" s="46"/>
      <c r="P1861" s="46"/>
      <c r="Q1861" s="46"/>
      <c r="R1861" s="46"/>
      <c r="S1861" s="46"/>
      <c r="T1861" s="46"/>
      <c r="U1861" s="46"/>
      <c r="V1861" s="46"/>
      <c r="W1861" s="46"/>
    </row>
    <row r="1862" ht="16.5" spans="1:23">
      <c r="A1862" s="46"/>
      <c r="B1862" s="46"/>
      <c r="C1862" s="46"/>
      <c r="D1862" s="46"/>
      <c r="E1862" s="46"/>
      <c r="F1862" s="46"/>
      <c r="G1862" s="46"/>
      <c r="H1862" s="46"/>
      <c r="I1862" s="46"/>
      <c r="J1862" s="46"/>
      <c r="K1862" s="46"/>
      <c r="L1862" s="46"/>
      <c r="M1862" s="46"/>
      <c r="N1862" s="46"/>
      <c r="O1862" s="46"/>
      <c r="P1862" s="46"/>
      <c r="Q1862" s="46"/>
      <c r="R1862" s="46"/>
      <c r="S1862" s="46"/>
      <c r="T1862" s="46"/>
      <c r="U1862" s="46"/>
      <c r="V1862" s="46"/>
      <c r="W1862" s="46"/>
    </row>
    <row r="1863" ht="16.5" spans="1:23">
      <c r="A1863" s="46"/>
      <c r="B1863" s="46"/>
      <c r="C1863" s="46"/>
      <c r="D1863" s="46"/>
      <c r="E1863" s="46"/>
      <c r="F1863" s="46"/>
      <c r="G1863" s="46"/>
      <c r="H1863" s="46"/>
      <c r="I1863" s="46"/>
      <c r="J1863" s="46"/>
      <c r="K1863" s="46"/>
      <c r="L1863" s="46"/>
      <c r="M1863" s="46"/>
      <c r="N1863" s="46"/>
      <c r="O1863" s="46"/>
      <c r="P1863" s="46"/>
      <c r="Q1863" s="46"/>
      <c r="R1863" s="46"/>
      <c r="S1863" s="46"/>
      <c r="T1863" s="46"/>
      <c r="U1863" s="46"/>
      <c r="V1863" s="46"/>
      <c r="W1863" s="46"/>
    </row>
    <row r="1864" ht="16.5" spans="1:23">
      <c r="A1864" s="46"/>
      <c r="B1864" s="46"/>
      <c r="C1864" s="46"/>
      <c r="D1864" s="46"/>
      <c r="E1864" s="46"/>
      <c r="F1864" s="46"/>
      <c r="G1864" s="46"/>
      <c r="H1864" s="46"/>
      <c r="I1864" s="46"/>
      <c r="J1864" s="46"/>
      <c r="K1864" s="46"/>
      <c r="L1864" s="46"/>
      <c r="M1864" s="46"/>
      <c r="N1864" s="46"/>
      <c r="O1864" s="46"/>
      <c r="P1864" s="46"/>
      <c r="Q1864" s="46"/>
      <c r="R1864" s="46"/>
      <c r="S1864" s="46"/>
      <c r="T1864" s="46"/>
      <c r="U1864" s="46"/>
      <c r="V1864" s="46"/>
      <c r="W1864" s="46"/>
    </row>
    <row r="1865" ht="16.5" spans="1:23">
      <c r="A1865" s="46"/>
      <c r="B1865" s="46"/>
      <c r="C1865" s="46"/>
      <c r="D1865" s="46"/>
      <c r="E1865" s="46"/>
      <c r="F1865" s="46"/>
      <c r="G1865" s="46"/>
      <c r="H1865" s="46"/>
      <c r="I1865" s="46"/>
      <c r="J1865" s="46"/>
      <c r="K1865" s="46"/>
      <c r="L1865" s="46"/>
      <c r="M1865" s="46"/>
      <c r="N1865" s="46"/>
      <c r="O1865" s="46"/>
      <c r="P1865" s="46"/>
      <c r="Q1865" s="46"/>
      <c r="R1865" s="46"/>
      <c r="S1865" s="46"/>
      <c r="T1865" s="46"/>
      <c r="U1865" s="46"/>
      <c r="V1865" s="46"/>
      <c r="W1865" s="46"/>
    </row>
    <row r="1866" ht="16.5" spans="1:23">
      <c r="A1866" s="46"/>
      <c r="B1866" s="46"/>
      <c r="C1866" s="46"/>
      <c r="D1866" s="46"/>
      <c r="E1866" s="46"/>
      <c r="F1866" s="46"/>
      <c r="G1866" s="46"/>
      <c r="H1866" s="46"/>
      <c r="I1866" s="46"/>
      <c r="J1866" s="46"/>
      <c r="K1866" s="46"/>
      <c r="L1866" s="46"/>
      <c r="M1866" s="46"/>
      <c r="N1866" s="46"/>
      <c r="O1866" s="46"/>
      <c r="P1866" s="46"/>
      <c r="Q1866" s="46"/>
      <c r="R1866" s="46"/>
      <c r="S1866" s="46"/>
      <c r="T1866" s="46"/>
      <c r="U1866" s="46"/>
      <c r="V1866" s="46"/>
      <c r="W1866" s="46"/>
    </row>
    <row r="1867" ht="16.5" spans="1:23">
      <c r="A1867" s="46"/>
      <c r="B1867" s="46"/>
      <c r="C1867" s="46"/>
      <c r="D1867" s="46"/>
      <c r="E1867" s="46"/>
      <c r="F1867" s="46"/>
      <c r="G1867" s="46"/>
      <c r="H1867" s="46"/>
      <c r="I1867" s="46"/>
      <c r="J1867" s="46"/>
      <c r="K1867" s="46"/>
      <c r="L1867" s="46"/>
      <c r="M1867" s="46"/>
      <c r="N1867" s="46"/>
      <c r="O1867" s="46"/>
      <c r="P1867" s="46"/>
      <c r="Q1867" s="46"/>
      <c r="R1867" s="46"/>
      <c r="S1867" s="46"/>
      <c r="T1867" s="46"/>
      <c r="U1867" s="46"/>
      <c r="V1867" s="46"/>
      <c r="W1867" s="46"/>
    </row>
    <row r="1868" ht="16.5" spans="1:23">
      <c r="A1868" s="46"/>
      <c r="B1868" s="46"/>
      <c r="C1868" s="46"/>
      <c r="D1868" s="46"/>
      <c r="E1868" s="46"/>
      <c r="F1868" s="46"/>
      <c r="G1868" s="46"/>
      <c r="H1868" s="46"/>
      <c r="I1868" s="46"/>
      <c r="J1868" s="46"/>
      <c r="K1868" s="46"/>
      <c r="L1868" s="46"/>
      <c r="M1868" s="46"/>
      <c r="N1868" s="46"/>
      <c r="O1868" s="46"/>
      <c r="P1868" s="46"/>
      <c r="Q1868" s="46"/>
      <c r="R1868" s="46"/>
      <c r="S1868" s="46"/>
      <c r="T1868" s="46"/>
      <c r="U1868" s="46"/>
      <c r="V1868" s="46"/>
      <c r="W1868" s="46"/>
    </row>
    <row r="1869" ht="16.5" spans="1:23">
      <c r="A1869" s="46"/>
      <c r="B1869" s="46"/>
      <c r="C1869" s="46"/>
      <c r="D1869" s="46"/>
      <c r="E1869" s="46"/>
      <c r="F1869" s="46"/>
      <c r="G1869" s="46"/>
      <c r="H1869" s="46"/>
      <c r="I1869" s="46"/>
      <c r="J1869" s="46"/>
      <c r="K1869" s="46"/>
      <c r="L1869" s="46"/>
      <c r="M1869" s="46"/>
      <c r="N1869" s="46"/>
      <c r="O1869" s="46"/>
      <c r="P1869" s="46"/>
      <c r="Q1869" s="46"/>
      <c r="R1869" s="46"/>
      <c r="S1869" s="46"/>
      <c r="T1869" s="46"/>
      <c r="U1869" s="46"/>
      <c r="V1869" s="46"/>
      <c r="W1869" s="46"/>
    </row>
    <row r="1870" ht="16.5" spans="1:23">
      <c r="A1870" s="46"/>
      <c r="B1870" s="46"/>
      <c r="C1870" s="46"/>
      <c r="D1870" s="46"/>
      <c r="E1870" s="46"/>
      <c r="F1870" s="46"/>
      <c r="G1870" s="46"/>
      <c r="H1870" s="46"/>
      <c r="I1870" s="46"/>
      <c r="J1870" s="46"/>
      <c r="K1870" s="46"/>
      <c r="L1870" s="46"/>
      <c r="M1870" s="46"/>
      <c r="N1870" s="46"/>
      <c r="O1870" s="46"/>
      <c r="P1870" s="46"/>
      <c r="Q1870" s="46"/>
      <c r="R1870" s="46"/>
      <c r="S1870" s="46"/>
      <c r="T1870" s="46"/>
      <c r="U1870" s="46"/>
      <c r="V1870" s="46"/>
      <c r="W1870" s="46"/>
    </row>
    <row r="1871" ht="16.5" spans="1:23">
      <c r="A1871" s="46"/>
      <c r="B1871" s="46"/>
      <c r="C1871" s="46"/>
      <c r="D1871" s="46"/>
      <c r="E1871" s="46"/>
      <c r="F1871" s="46"/>
      <c r="G1871" s="46"/>
      <c r="H1871" s="46"/>
      <c r="I1871" s="46"/>
      <c r="J1871" s="46"/>
      <c r="K1871" s="46"/>
      <c r="L1871" s="46"/>
      <c r="M1871" s="46"/>
      <c r="N1871" s="46"/>
      <c r="O1871" s="46"/>
      <c r="P1871" s="46"/>
      <c r="Q1871" s="46"/>
      <c r="R1871" s="46"/>
      <c r="S1871" s="46"/>
      <c r="T1871" s="46"/>
      <c r="U1871" s="46"/>
      <c r="V1871" s="46"/>
      <c r="W1871" s="46"/>
    </row>
    <row r="1872" ht="16.5" spans="1:23">
      <c r="A1872" s="46"/>
      <c r="B1872" s="46"/>
      <c r="C1872" s="46"/>
      <c r="D1872" s="46"/>
      <c r="E1872" s="46"/>
      <c r="F1872" s="46"/>
      <c r="G1872" s="46"/>
      <c r="H1872" s="46"/>
      <c r="I1872" s="46"/>
      <c r="J1872" s="46"/>
      <c r="K1872" s="46"/>
      <c r="L1872" s="46"/>
      <c r="M1872" s="46"/>
      <c r="N1872" s="46"/>
      <c r="O1872" s="46"/>
      <c r="P1872" s="46"/>
      <c r="Q1872" s="46"/>
      <c r="R1872" s="46"/>
      <c r="S1872" s="46"/>
      <c r="T1872" s="46"/>
      <c r="U1872" s="46"/>
      <c r="V1872" s="46"/>
      <c r="W1872" s="46"/>
    </row>
    <row r="1873" ht="16.5" spans="1:23">
      <c r="A1873" s="46"/>
      <c r="B1873" s="46"/>
      <c r="C1873" s="46"/>
      <c r="D1873" s="46"/>
      <c r="E1873" s="46"/>
      <c r="F1873" s="46"/>
      <c r="G1873" s="46"/>
      <c r="H1873" s="46"/>
      <c r="I1873" s="46"/>
      <c r="J1873" s="46"/>
      <c r="K1873" s="46"/>
      <c r="L1873" s="46"/>
      <c r="M1873" s="46"/>
      <c r="N1873" s="46"/>
      <c r="O1873" s="46"/>
      <c r="P1873" s="46"/>
      <c r="Q1873" s="46"/>
      <c r="R1873" s="46"/>
      <c r="S1873" s="46"/>
      <c r="T1873" s="46"/>
      <c r="U1873" s="46"/>
      <c r="V1873" s="46"/>
      <c r="W1873" s="46"/>
    </row>
    <row r="1874" ht="16.5" spans="1:23">
      <c r="A1874" s="46"/>
      <c r="B1874" s="46"/>
      <c r="C1874" s="46"/>
      <c r="D1874" s="46"/>
      <c r="E1874" s="46"/>
      <c r="F1874" s="46"/>
      <c r="G1874" s="46"/>
      <c r="H1874" s="46"/>
      <c r="I1874" s="46"/>
      <c r="J1874" s="46"/>
      <c r="K1874" s="46"/>
      <c r="L1874" s="46"/>
      <c r="M1874" s="46"/>
      <c r="N1874" s="46"/>
      <c r="O1874" s="46"/>
      <c r="P1874" s="46"/>
      <c r="Q1874" s="46"/>
      <c r="R1874" s="46"/>
      <c r="S1874" s="46"/>
      <c r="T1874" s="46"/>
      <c r="U1874" s="46"/>
      <c r="V1874" s="46"/>
      <c r="W1874" s="46"/>
    </row>
    <row r="1875" ht="16.5" spans="1:23">
      <c r="A1875" s="46"/>
      <c r="B1875" s="46"/>
      <c r="C1875" s="46"/>
      <c r="D1875" s="46"/>
      <c r="E1875" s="46"/>
      <c r="F1875" s="46"/>
      <c r="G1875" s="46"/>
      <c r="H1875" s="46"/>
      <c r="I1875" s="46"/>
      <c r="J1875" s="46"/>
      <c r="K1875" s="46"/>
      <c r="L1875" s="46"/>
      <c r="M1875" s="46"/>
      <c r="N1875" s="46"/>
      <c r="O1875" s="46"/>
      <c r="P1875" s="46"/>
      <c r="Q1875" s="46"/>
      <c r="R1875" s="46"/>
      <c r="S1875" s="46"/>
      <c r="T1875" s="46"/>
      <c r="U1875" s="46"/>
      <c r="V1875" s="46"/>
      <c r="W1875" s="46"/>
    </row>
    <row r="1876" ht="16.5" spans="1:23">
      <c r="A1876" s="46"/>
      <c r="B1876" s="46"/>
      <c r="C1876" s="46"/>
      <c r="D1876" s="46"/>
      <c r="E1876" s="46"/>
      <c r="F1876" s="46"/>
      <c r="G1876" s="46"/>
      <c r="H1876" s="46"/>
      <c r="I1876" s="46"/>
      <c r="J1876" s="46"/>
      <c r="K1876" s="46"/>
      <c r="L1876" s="46"/>
      <c r="M1876" s="46"/>
      <c r="N1876" s="46"/>
      <c r="O1876" s="46"/>
      <c r="P1876" s="46"/>
      <c r="Q1876" s="46"/>
      <c r="R1876" s="46"/>
      <c r="S1876" s="46"/>
      <c r="T1876" s="46"/>
      <c r="U1876" s="46"/>
      <c r="V1876" s="46"/>
      <c r="W1876" s="46"/>
    </row>
    <row r="1877" ht="16.5" spans="1:23">
      <c r="A1877" s="46"/>
      <c r="B1877" s="46"/>
      <c r="C1877" s="46"/>
      <c r="D1877" s="46"/>
      <c r="E1877" s="46"/>
      <c r="F1877" s="46"/>
      <c r="G1877" s="46"/>
      <c r="H1877" s="46"/>
      <c r="I1877" s="46"/>
      <c r="J1877" s="46"/>
      <c r="K1877" s="46"/>
      <c r="L1877" s="46"/>
      <c r="M1877" s="46"/>
      <c r="N1877" s="46"/>
      <c r="O1877" s="46"/>
      <c r="P1877" s="46"/>
      <c r="Q1877" s="46"/>
      <c r="R1877" s="46"/>
      <c r="S1877" s="46"/>
      <c r="T1877" s="46"/>
      <c r="U1877" s="46"/>
      <c r="V1877" s="46"/>
      <c r="W1877" s="46"/>
    </row>
    <row r="1878" ht="16.5" spans="1:23">
      <c r="A1878" s="46"/>
      <c r="B1878" s="46"/>
      <c r="C1878" s="46"/>
      <c r="D1878" s="46"/>
      <c r="E1878" s="46"/>
      <c r="F1878" s="46"/>
      <c r="G1878" s="46"/>
      <c r="H1878" s="46"/>
      <c r="I1878" s="46"/>
      <c r="J1878" s="46"/>
      <c r="K1878" s="46"/>
      <c r="L1878" s="46"/>
      <c r="M1878" s="46"/>
      <c r="N1878" s="46"/>
      <c r="O1878" s="46"/>
      <c r="P1878" s="46"/>
      <c r="Q1878" s="46"/>
      <c r="R1878" s="46"/>
      <c r="S1878" s="46"/>
      <c r="T1878" s="46"/>
      <c r="U1878" s="46"/>
      <c r="V1878" s="46"/>
      <c r="W1878" s="46"/>
    </row>
    <row r="1879" ht="16.5" spans="1:23">
      <c r="A1879" s="46"/>
      <c r="B1879" s="46"/>
      <c r="C1879" s="46"/>
      <c r="D1879" s="46"/>
      <c r="E1879" s="46"/>
      <c r="F1879" s="46"/>
      <c r="G1879" s="46"/>
      <c r="H1879" s="46"/>
      <c r="I1879" s="46"/>
      <c r="J1879" s="46"/>
      <c r="K1879" s="46"/>
      <c r="L1879" s="46"/>
      <c r="M1879" s="46"/>
      <c r="N1879" s="46"/>
      <c r="O1879" s="46"/>
      <c r="P1879" s="46"/>
      <c r="Q1879" s="46"/>
      <c r="R1879" s="46"/>
      <c r="S1879" s="46"/>
      <c r="T1879" s="46"/>
      <c r="U1879" s="46"/>
      <c r="V1879" s="46"/>
      <c r="W1879" s="46"/>
    </row>
    <row r="1880" ht="16.5" spans="1:23">
      <c r="A1880" s="46"/>
      <c r="B1880" s="46"/>
      <c r="C1880" s="46"/>
      <c r="D1880" s="46"/>
      <c r="E1880" s="46"/>
      <c r="F1880" s="46"/>
      <c r="G1880" s="46"/>
      <c r="H1880" s="46"/>
      <c r="I1880" s="46"/>
      <c r="J1880" s="46"/>
      <c r="K1880" s="46"/>
      <c r="L1880" s="46"/>
      <c r="M1880" s="46"/>
      <c r="N1880" s="46"/>
      <c r="O1880" s="46"/>
      <c r="P1880" s="46"/>
      <c r="Q1880" s="46"/>
      <c r="R1880" s="46"/>
      <c r="S1880" s="46"/>
      <c r="T1880" s="46"/>
      <c r="U1880" s="46"/>
      <c r="V1880" s="46"/>
      <c r="W1880" s="46"/>
    </row>
    <row r="1881" ht="16.5" spans="1:23">
      <c r="A1881" s="46"/>
      <c r="B1881" s="46"/>
      <c r="C1881" s="46"/>
      <c r="D1881" s="46"/>
      <c r="E1881" s="46"/>
      <c r="F1881" s="46"/>
      <c r="G1881" s="46"/>
      <c r="H1881" s="46"/>
      <c r="I1881" s="46"/>
      <c r="J1881" s="46"/>
      <c r="K1881" s="46"/>
      <c r="L1881" s="46"/>
      <c r="M1881" s="46"/>
      <c r="N1881" s="46"/>
      <c r="O1881" s="46"/>
      <c r="P1881" s="46"/>
      <c r="Q1881" s="46"/>
      <c r="R1881" s="46"/>
      <c r="S1881" s="46"/>
      <c r="T1881" s="46"/>
      <c r="U1881" s="46"/>
      <c r="V1881" s="46"/>
      <c r="W1881" s="46"/>
    </row>
    <row r="1882" ht="16.5" spans="1:23">
      <c r="A1882" s="46"/>
      <c r="B1882" s="46"/>
      <c r="C1882" s="46"/>
      <c r="D1882" s="46"/>
      <c r="E1882" s="46"/>
      <c r="F1882" s="46"/>
      <c r="G1882" s="46"/>
      <c r="H1882" s="46"/>
      <c r="I1882" s="46"/>
      <c r="J1882" s="46"/>
      <c r="K1882" s="46"/>
      <c r="L1882" s="46"/>
      <c r="M1882" s="46"/>
      <c r="N1882" s="46"/>
      <c r="O1882" s="46"/>
      <c r="P1882" s="46"/>
      <c r="Q1882" s="46"/>
      <c r="R1882" s="46"/>
      <c r="S1882" s="46"/>
      <c r="T1882" s="46"/>
      <c r="U1882" s="46"/>
      <c r="V1882" s="46"/>
      <c r="W1882" s="46"/>
    </row>
    <row r="1883" ht="16.5" spans="1:23">
      <c r="A1883" s="46"/>
      <c r="B1883" s="46"/>
      <c r="C1883" s="46"/>
      <c r="D1883" s="46"/>
      <c r="E1883" s="46"/>
      <c r="F1883" s="46"/>
      <c r="G1883" s="46"/>
      <c r="H1883" s="46"/>
      <c r="I1883" s="46"/>
      <c r="J1883" s="46"/>
      <c r="K1883" s="46"/>
      <c r="L1883" s="46"/>
      <c r="M1883" s="46"/>
      <c r="N1883" s="46"/>
      <c r="O1883" s="46"/>
      <c r="P1883" s="46"/>
      <c r="Q1883" s="46"/>
      <c r="R1883" s="46"/>
      <c r="S1883" s="46"/>
      <c r="T1883" s="46"/>
      <c r="U1883" s="46"/>
      <c r="V1883" s="46"/>
      <c r="W1883" s="46"/>
    </row>
    <row r="1884" ht="16.5" spans="1:23">
      <c r="A1884" s="46"/>
      <c r="B1884" s="46"/>
      <c r="C1884" s="46"/>
      <c r="D1884" s="46"/>
      <c r="E1884" s="46"/>
      <c r="F1884" s="46"/>
      <c r="G1884" s="46"/>
      <c r="H1884" s="46"/>
      <c r="I1884" s="46"/>
      <c r="J1884" s="46"/>
      <c r="K1884" s="46"/>
      <c r="L1884" s="46"/>
      <c r="M1884" s="46"/>
      <c r="N1884" s="46"/>
      <c r="O1884" s="46"/>
      <c r="P1884" s="46"/>
      <c r="Q1884" s="46"/>
      <c r="R1884" s="46"/>
      <c r="S1884" s="46"/>
      <c r="T1884" s="46"/>
      <c r="U1884" s="46"/>
      <c r="V1884" s="46"/>
      <c r="W1884" s="46"/>
    </row>
    <row r="1885" ht="16.5" spans="1:23">
      <c r="A1885" s="46"/>
      <c r="B1885" s="46"/>
      <c r="C1885" s="46"/>
      <c r="D1885" s="46"/>
      <c r="E1885" s="46"/>
      <c r="F1885" s="46"/>
      <c r="G1885" s="46"/>
      <c r="H1885" s="46"/>
      <c r="I1885" s="46"/>
      <c r="J1885" s="46"/>
      <c r="K1885" s="46"/>
      <c r="L1885" s="46"/>
      <c r="M1885" s="46"/>
      <c r="N1885" s="46"/>
      <c r="O1885" s="46"/>
      <c r="P1885" s="46"/>
      <c r="Q1885" s="46"/>
      <c r="R1885" s="46"/>
      <c r="S1885" s="46"/>
      <c r="T1885" s="46"/>
      <c r="U1885" s="46"/>
      <c r="V1885" s="46"/>
      <c r="W1885" s="46"/>
    </row>
    <row r="1886" ht="16.5" spans="1:23">
      <c r="A1886" s="46"/>
      <c r="B1886" s="46"/>
      <c r="C1886" s="46"/>
      <c r="D1886" s="46"/>
      <c r="E1886" s="46"/>
      <c r="F1886" s="46"/>
      <c r="G1886" s="46"/>
      <c r="H1886" s="46"/>
      <c r="I1886" s="46"/>
      <c r="J1886" s="46"/>
      <c r="K1886" s="46"/>
      <c r="L1886" s="46"/>
      <c r="M1886" s="46"/>
      <c r="N1886" s="46"/>
      <c r="O1886" s="46"/>
      <c r="P1886" s="46"/>
      <c r="Q1886" s="46"/>
      <c r="R1886" s="46"/>
      <c r="S1886" s="46"/>
      <c r="T1886" s="46"/>
      <c r="U1886" s="46"/>
      <c r="V1886" s="46"/>
      <c r="W1886" s="46"/>
    </row>
    <row r="1887" ht="16.5" spans="1:23">
      <c r="A1887" s="46"/>
      <c r="B1887" s="46"/>
      <c r="C1887" s="46"/>
      <c r="D1887" s="46"/>
      <c r="E1887" s="46"/>
      <c r="F1887" s="46"/>
      <c r="G1887" s="46"/>
      <c r="H1887" s="46"/>
      <c r="I1887" s="46"/>
      <c r="J1887" s="46"/>
      <c r="K1887" s="46"/>
      <c r="L1887" s="46"/>
      <c r="M1887" s="46"/>
      <c r="N1887" s="46"/>
      <c r="O1887" s="46"/>
      <c r="P1887" s="46"/>
      <c r="Q1887" s="46"/>
      <c r="R1887" s="46"/>
      <c r="S1887" s="46"/>
      <c r="T1887" s="46"/>
      <c r="U1887" s="46"/>
      <c r="V1887" s="46"/>
      <c r="W1887" s="46"/>
    </row>
    <row r="1888" ht="16.5" spans="1:23">
      <c r="A1888" s="46"/>
      <c r="B1888" s="46"/>
      <c r="C1888" s="46"/>
      <c r="D1888" s="46"/>
      <c r="E1888" s="46"/>
      <c r="F1888" s="46"/>
      <c r="G1888" s="46"/>
      <c r="H1888" s="46"/>
      <c r="I1888" s="46"/>
      <c r="J1888" s="46"/>
      <c r="K1888" s="46"/>
      <c r="L1888" s="46"/>
      <c r="M1888" s="46"/>
      <c r="N1888" s="46"/>
      <c r="O1888" s="46"/>
      <c r="P1888" s="46"/>
      <c r="Q1888" s="46"/>
      <c r="R1888" s="46"/>
      <c r="S1888" s="46"/>
      <c r="T1888" s="46"/>
      <c r="U1888" s="46"/>
      <c r="V1888" s="46"/>
      <c r="W1888" s="46"/>
    </row>
    <row r="1889" ht="16.5" spans="1:23">
      <c r="A1889" s="46"/>
      <c r="B1889" s="46"/>
      <c r="C1889" s="46"/>
      <c r="D1889" s="46"/>
      <c r="E1889" s="46"/>
      <c r="F1889" s="46"/>
      <c r="G1889" s="46"/>
      <c r="H1889" s="46"/>
      <c r="I1889" s="46"/>
      <c r="J1889" s="46"/>
      <c r="K1889" s="46"/>
      <c r="L1889" s="46"/>
      <c r="M1889" s="46"/>
      <c r="N1889" s="46"/>
      <c r="O1889" s="46"/>
      <c r="P1889" s="46"/>
      <c r="Q1889" s="46"/>
      <c r="R1889" s="46"/>
      <c r="S1889" s="46"/>
      <c r="T1889" s="46"/>
      <c r="U1889" s="46"/>
      <c r="V1889" s="46"/>
      <c r="W1889" s="46"/>
    </row>
    <row r="1890" ht="16.5" spans="1:23">
      <c r="A1890" s="46"/>
      <c r="B1890" s="46"/>
      <c r="C1890" s="46"/>
      <c r="D1890" s="46"/>
      <c r="E1890" s="46"/>
      <c r="F1890" s="46"/>
      <c r="G1890" s="46"/>
      <c r="H1890" s="46"/>
      <c r="I1890" s="46"/>
      <c r="J1890" s="46"/>
      <c r="K1890" s="46"/>
      <c r="L1890" s="46"/>
      <c r="M1890" s="46"/>
      <c r="N1890" s="46"/>
      <c r="O1890" s="46"/>
      <c r="P1890" s="46"/>
      <c r="Q1890" s="46"/>
      <c r="R1890" s="46"/>
      <c r="S1890" s="46"/>
      <c r="T1890" s="46"/>
      <c r="U1890" s="46"/>
      <c r="V1890" s="46"/>
      <c r="W1890" s="46"/>
    </row>
    <row r="1891" ht="16.5" spans="1:23">
      <c r="A1891" s="46"/>
      <c r="B1891" s="46"/>
      <c r="C1891" s="46"/>
      <c r="D1891" s="46"/>
      <c r="E1891" s="46"/>
      <c r="F1891" s="46"/>
      <c r="G1891" s="46"/>
      <c r="H1891" s="46"/>
      <c r="I1891" s="46"/>
      <c r="J1891" s="46"/>
      <c r="K1891" s="46"/>
      <c r="L1891" s="46"/>
      <c r="M1891" s="46"/>
      <c r="N1891" s="46"/>
      <c r="O1891" s="46"/>
      <c r="P1891" s="46"/>
      <c r="Q1891" s="46"/>
      <c r="R1891" s="46"/>
      <c r="S1891" s="46"/>
      <c r="T1891" s="46"/>
      <c r="U1891" s="46"/>
      <c r="V1891" s="46"/>
      <c r="W1891" s="46"/>
    </row>
    <row r="1892" ht="16.5" spans="1:23">
      <c r="A1892" s="46"/>
      <c r="B1892" s="46"/>
      <c r="C1892" s="46"/>
      <c r="D1892" s="46"/>
      <c r="E1892" s="46"/>
      <c r="F1892" s="46"/>
      <c r="G1892" s="46"/>
      <c r="H1892" s="46"/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  <c r="S1892" s="46"/>
      <c r="T1892" s="46"/>
      <c r="U1892" s="46"/>
      <c r="V1892" s="46"/>
      <c r="W1892" s="46"/>
    </row>
    <row r="1893" ht="16.5" spans="1:23">
      <c r="A1893" s="46"/>
      <c r="B1893" s="46"/>
      <c r="C1893" s="46"/>
      <c r="D1893" s="46"/>
      <c r="E1893" s="46"/>
      <c r="F1893" s="46"/>
      <c r="G1893" s="46"/>
      <c r="H1893" s="46"/>
      <c r="I1893" s="46"/>
      <c r="J1893" s="46"/>
      <c r="K1893" s="46"/>
      <c r="L1893" s="46"/>
      <c r="M1893" s="46"/>
      <c r="N1893" s="46"/>
      <c r="O1893" s="46"/>
      <c r="P1893" s="46"/>
      <c r="Q1893" s="46"/>
      <c r="R1893" s="46"/>
      <c r="S1893" s="46"/>
      <c r="T1893" s="46"/>
      <c r="U1893" s="46"/>
      <c r="V1893" s="46"/>
      <c r="W1893" s="46"/>
    </row>
    <row r="1894" ht="16.5" spans="1:23">
      <c r="A1894" s="46"/>
      <c r="B1894" s="46"/>
      <c r="C1894" s="46"/>
      <c r="D1894" s="46"/>
      <c r="E1894" s="46"/>
      <c r="F1894" s="46"/>
      <c r="G1894" s="46"/>
      <c r="H1894" s="46"/>
      <c r="I1894" s="46"/>
      <c r="J1894" s="46"/>
      <c r="K1894" s="46"/>
      <c r="L1894" s="46"/>
      <c r="M1894" s="46"/>
      <c r="N1894" s="46"/>
      <c r="O1894" s="46"/>
      <c r="P1894" s="46"/>
      <c r="Q1894" s="46"/>
      <c r="R1894" s="46"/>
      <c r="S1894" s="46"/>
      <c r="T1894" s="46"/>
      <c r="U1894" s="46"/>
      <c r="V1894" s="46"/>
      <c r="W1894" s="46"/>
    </row>
    <row r="1895" ht="16.5" spans="1:23">
      <c r="A1895" s="46"/>
      <c r="B1895" s="46"/>
      <c r="C1895" s="46"/>
      <c r="D1895" s="46"/>
      <c r="E1895" s="46"/>
      <c r="F1895" s="46"/>
      <c r="G1895" s="46"/>
      <c r="H1895" s="46"/>
      <c r="I1895" s="46"/>
      <c r="J1895" s="46"/>
      <c r="K1895" s="46"/>
      <c r="L1895" s="46"/>
      <c r="M1895" s="46"/>
      <c r="N1895" s="46"/>
      <c r="O1895" s="46"/>
      <c r="P1895" s="46"/>
      <c r="Q1895" s="46"/>
      <c r="R1895" s="46"/>
      <c r="S1895" s="46"/>
      <c r="T1895" s="46"/>
      <c r="U1895" s="46"/>
      <c r="V1895" s="46"/>
      <c r="W1895" s="46"/>
    </row>
    <row r="1896" ht="16.5" spans="1:23">
      <c r="A1896" s="46"/>
      <c r="B1896" s="46"/>
      <c r="C1896" s="46"/>
      <c r="D1896" s="46"/>
      <c r="E1896" s="46"/>
      <c r="F1896" s="46"/>
      <c r="G1896" s="46"/>
      <c r="H1896" s="46"/>
      <c r="I1896" s="46"/>
      <c r="J1896" s="46"/>
      <c r="K1896" s="46"/>
      <c r="L1896" s="46"/>
      <c r="M1896" s="46"/>
      <c r="N1896" s="46"/>
      <c r="O1896" s="46"/>
      <c r="P1896" s="46"/>
      <c r="Q1896" s="46"/>
      <c r="R1896" s="46"/>
      <c r="S1896" s="46"/>
      <c r="T1896" s="46"/>
      <c r="U1896" s="46"/>
      <c r="V1896" s="46"/>
      <c r="W1896" s="46"/>
    </row>
    <row r="1897" ht="16.5" spans="1:23">
      <c r="A1897" s="46"/>
      <c r="B1897" s="46"/>
      <c r="C1897" s="46"/>
      <c r="D1897" s="46"/>
      <c r="E1897" s="46"/>
      <c r="F1897" s="46"/>
      <c r="G1897" s="46"/>
      <c r="H1897" s="46"/>
      <c r="I1897" s="46"/>
      <c r="J1897" s="46"/>
      <c r="K1897" s="46"/>
      <c r="L1897" s="46"/>
      <c r="M1897" s="46"/>
      <c r="N1897" s="46"/>
      <c r="O1897" s="46"/>
      <c r="P1897" s="46"/>
      <c r="Q1897" s="46"/>
      <c r="R1897" s="46"/>
      <c r="S1897" s="46"/>
      <c r="T1897" s="46"/>
      <c r="U1897" s="46"/>
      <c r="V1897" s="46"/>
      <c r="W1897" s="46"/>
    </row>
    <row r="1898" ht="16.5" spans="1:23">
      <c r="A1898" s="46"/>
      <c r="B1898" s="46"/>
      <c r="C1898" s="46"/>
      <c r="D1898" s="46"/>
      <c r="E1898" s="46"/>
      <c r="F1898" s="46"/>
      <c r="G1898" s="46"/>
      <c r="H1898" s="46"/>
      <c r="I1898" s="46"/>
      <c r="J1898" s="46"/>
      <c r="K1898" s="46"/>
      <c r="L1898" s="46"/>
      <c r="M1898" s="46"/>
      <c r="N1898" s="46"/>
      <c r="O1898" s="46"/>
      <c r="P1898" s="46"/>
      <c r="Q1898" s="46"/>
      <c r="R1898" s="46"/>
      <c r="S1898" s="46"/>
      <c r="T1898" s="46"/>
      <c r="U1898" s="46"/>
      <c r="V1898" s="46"/>
      <c r="W1898" s="46"/>
    </row>
    <row r="1899" ht="16.5" spans="1:23">
      <c r="A1899" s="46"/>
      <c r="B1899" s="46"/>
      <c r="C1899" s="46"/>
      <c r="D1899" s="46"/>
      <c r="E1899" s="46"/>
      <c r="F1899" s="46"/>
      <c r="G1899" s="46"/>
      <c r="H1899" s="46"/>
      <c r="I1899" s="46"/>
      <c r="J1899" s="46"/>
      <c r="K1899" s="46"/>
      <c r="L1899" s="46"/>
      <c r="M1899" s="46"/>
      <c r="N1899" s="46"/>
      <c r="O1899" s="46"/>
      <c r="P1899" s="46"/>
      <c r="Q1899" s="46"/>
      <c r="R1899" s="46"/>
      <c r="S1899" s="46"/>
      <c r="T1899" s="46"/>
      <c r="U1899" s="46"/>
      <c r="V1899" s="46"/>
      <c r="W1899" s="46"/>
    </row>
    <row r="1900" ht="16.5" spans="1:23">
      <c r="A1900" s="46"/>
      <c r="B1900" s="46"/>
      <c r="C1900" s="46"/>
      <c r="D1900" s="46"/>
      <c r="E1900" s="46"/>
      <c r="F1900" s="46"/>
      <c r="G1900" s="46"/>
      <c r="H1900" s="46"/>
      <c r="I1900" s="46"/>
      <c r="J1900" s="46"/>
      <c r="K1900" s="46"/>
      <c r="L1900" s="46"/>
      <c r="M1900" s="46"/>
      <c r="N1900" s="46"/>
      <c r="O1900" s="46"/>
      <c r="P1900" s="46"/>
      <c r="Q1900" s="46"/>
      <c r="R1900" s="46"/>
      <c r="S1900" s="46"/>
      <c r="T1900" s="46"/>
      <c r="U1900" s="46"/>
      <c r="V1900" s="46"/>
      <c r="W1900" s="46"/>
    </row>
    <row r="1901" ht="16.5" spans="1:23">
      <c r="A1901" s="46"/>
      <c r="B1901" s="46"/>
      <c r="C1901" s="46"/>
      <c r="D1901" s="46"/>
      <c r="E1901" s="46"/>
      <c r="F1901" s="46"/>
      <c r="G1901" s="46"/>
      <c r="H1901" s="46"/>
      <c r="I1901" s="46"/>
      <c r="J1901" s="46"/>
      <c r="K1901" s="46"/>
      <c r="L1901" s="46"/>
      <c r="M1901" s="46"/>
      <c r="N1901" s="46"/>
      <c r="O1901" s="46"/>
      <c r="P1901" s="46"/>
      <c r="Q1901" s="46"/>
      <c r="R1901" s="46"/>
      <c r="S1901" s="46"/>
      <c r="T1901" s="46"/>
      <c r="U1901" s="46"/>
      <c r="V1901" s="46"/>
      <c r="W1901" s="46"/>
    </row>
    <row r="1902" ht="16.5" spans="1:23">
      <c r="A1902" s="46"/>
      <c r="B1902" s="46"/>
      <c r="C1902" s="46"/>
      <c r="D1902" s="46"/>
      <c r="E1902" s="46"/>
      <c r="F1902" s="46"/>
      <c r="G1902" s="46"/>
      <c r="H1902" s="46"/>
      <c r="I1902" s="46"/>
      <c r="J1902" s="46"/>
      <c r="K1902" s="46"/>
      <c r="L1902" s="46"/>
      <c r="M1902" s="46"/>
      <c r="N1902" s="46"/>
      <c r="O1902" s="46"/>
      <c r="P1902" s="46"/>
      <c r="Q1902" s="46"/>
      <c r="R1902" s="46"/>
      <c r="S1902" s="46"/>
      <c r="T1902" s="46"/>
      <c r="U1902" s="46"/>
      <c r="V1902" s="46"/>
      <c r="W1902" s="46"/>
    </row>
    <row r="1903" ht="16.5" spans="1:23">
      <c r="A1903" s="46"/>
      <c r="B1903" s="46"/>
      <c r="C1903" s="46"/>
      <c r="D1903" s="46"/>
      <c r="E1903" s="46"/>
      <c r="F1903" s="46"/>
      <c r="G1903" s="46"/>
      <c r="H1903" s="46"/>
      <c r="I1903" s="46"/>
      <c r="J1903" s="46"/>
      <c r="K1903" s="46"/>
      <c r="L1903" s="46"/>
      <c r="M1903" s="46"/>
      <c r="N1903" s="46"/>
      <c r="O1903" s="46"/>
      <c r="P1903" s="46"/>
      <c r="Q1903" s="46"/>
      <c r="R1903" s="46"/>
      <c r="S1903" s="46"/>
      <c r="T1903" s="46"/>
      <c r="U1903" s="46"/>
      <c r="V1903" s="46"/>
      <c r="W1903" s="46"/>
    </row>
    <row r="1904" ht="16.5" spans="1:23">
      <c r="A1904" s="46"/>
      <c r="B1904" s="46"/>
      <c r="C1904" s="46"/>
      <c r="D1904" s="46"/>
      <c r="E1904" s="46"/>
      <c r="F1904" s="46"/>
      <c r="G1904" s="46"/>
      <c r="H1904" s="46"/>
      <c r="I1904" s="46"/>
      <c r="J1904" s="46"/>
      <c r="K1904" s="46"/>
      <c r="L1904" s="46"/>
      <c r="M1904" s="46"/>
      <c r="N1904" s="46"/>
      <c r="O1904" s="46"/>
      <c r="P1904" s="46"/>
      <c r="Q1904" s="46"/>
      <c r="R1904" s="46"/>
      <c r="S1904" s="46"/>
      <c r="T1904" s="46"/>
      <c r="U1904" s="46"/>
      <c r="V1904" s="46"/>
      <c r="W1904" s="46"/>
    </row>
    <row r="1905" ht="16.5" spans="1:23">
      <c r="A1905" s="46"/>
      <c r="B1905" s="46"/>
      <c r="C1905" s="46"/>
      <c r="D1905" s="46"/>
      <c r="E1905" s="46"/>
      <c r="F1905" s="46"/>
      <c r="G1905" s="46"/>
      <c r="H1905" s="46"/>
      <c r="I1905" s="46"/>
      <c r="J1905" s="46"/>
      <c r="K1905" s="46"/>
      <c r="L1905" s="46"/>
      <c r="M1905" s="46"/>
      <c r="N1905" s="46"/>
      <c r="O1905" s="46"/>
      <c r="P1905" s="46"/>
      <c r="Q1905" s="46"/>
      <c r="R1905" s="46"/>
      <c r="S1905" s="46"/>
      <c r="T1905" s="46"/>
      <c r="U1905" s="46"/>
      <c r="V1905" s="46"/>
      <c r="W1905" s="46"/>
    </row>
    <row r="1906" ht="16.5" spans="1:23">
      <c r="A1906" s="46"/>
      <c r="B1906" s="46"/>
      <c r="C1906" s="46"/>
      <c r="D1906" s="46"/>
      <c r="E1906" s="46"/>
      <c r="F1906" s="46"/>
      <c r="G1906" s="46"/>
      <c r="H1906" s="46"/>
      <c r="I1906" s="46"/>
      <c r="J1906" s="46"/>
      <c r="K1906" s="46"/>
      <c r="L1906" s="46"/>
      <c r="M1906" s="46"/>
      <c r="N1906" s="46"/>
      <c r="O1906" s="46"/>
      <c r="P1906" s="46"/>
      <c r="Q1906" s="46"/>
      <c r="R1906" s="46"/>
      <c r="S1906" s="46"/>
      <c r="T1906" s="46"/>
      <c r="U1906" s="46"/>
      <c r="V1906" s="46"/>
      <c r="W1906" s="46"/>
    </row>
    <row r="1907" ht="16.5" spans="1:23">
      <c r="A1907" s="46"/>
      <c r="B1907" s="46"/>
      <c r="C1907" s="46"/>
      <c r="D1907" s="46"/>
      <c r="E1907" s="46"/>
      <c r="F1907" s="46"/>
      <c r="G1907" s="46"/>
      <c r="H1907" s="46"/>
      <c r="I1907" s="46"/>
      <c r="J1907" s="46"/>
      <c r="K1907" s="46"/>
      <c r="L1907" s="46"/>
      <c r="M1907" s="46"/>
      <c r="N1907" s="46"/>
      <c r="O1907" s="46"/>
      <c r="P1907" s="46"/>
      <c r="Q1907" s="46"/>
      <c r="R1907" s="46"/>
      <c r="S1907" s="46"/>
      <c r="T1907" s="46"/>
      <c r="U1907" s="46"/>
      <c r="V1907" s="46"/>
      <c r="W1907" s="46"/>
    </row>
    <row r="1908" ht="16.5" spans="1:23">
      <c r="A1908" s="46"/>
      <c r="B1908" s="46"/>
      <c r="C1908" s="46"/>
      <c r="D1908" s="46"/>
      <c r="E1908" s="46"/>
      <c r="F1908" s="46"/>
      <c r="G1908" s="46"/>
      <c r="H1908" s="46"/>
      <c r="I1908" s="46"/>
      <c r="J1908" s="46"/>
      <c r="K1908" s="46"/>
      <c r="L1908" s="46"/>
      <c r="M1908" s="46"/>
      <c r="N1908" s="46"/>
      <c r="O1908" s="46"/>
      <c r="P1908" s="46"/>
      <c r="Q1908" s="46"/>
      <c r="R1908" s="46"/>
      <c r="S1908" s="46"/>
      <c r="T1908" s="46"/>
      <c r="U1908" s="46"/>
      <c r="V1908" s="46"/>
      <c r="W1908" s="46"/>
    </row>
    <row r="1909" ht="16.5" spans="1:23">
      <c r="A1909" s="46"/>
      <c r="B1909" s="46"/>
      <c r="C1909" s="46"/>
      <c r="D1909" s="46"/>
      <c r="E1909" s="46"/>
      <c r="F1909" s="46"/>
      <c r="G1909" s="46"/>
      <c r="H1909" s="46"/>
      <c r="I1909" s="46"/>
      <c r="J1909" s="46"/>
      <c r="K1909" s="46"/>
      <c r="L1909" s="46"/>
      <c r="M1909" s="46"/>
      <c r="N1909" s="46"/>
      <c r="O1909" s="46"/>
      <c r="P1909" s="46"/>
      <c r="Q1909" s="46"/>
      <c r="R1909" s="46"/>
      <c r="S1909" s="46"/>
      <c r="T1909" s="46"/>
      <c r="U1909" s="46"/>
      <c r="V1909" s="46"/>
      <c r="W1909" s="46"/>
    </row>
    <row r="1910" ht="16.5" spans="1:23">
      <c r="A1910" s="46"/>
      <c r="B1910" s="46"/>
      <c r="C1910" s="46"/>
      <c r="D1910" s="46"/>
      <c r="E1910" s="46"/>
      <c r="F1910" s="46"/>
      <c r="G1910" s="46"/>
      <c r="H1910" s="46"/>
      <c r="I1910" s="46"/>
      <c r="J1910" s="46"/>
      <c r="K1910" s="46"/>
      <c r="L1910" s="46"/>
      <c r="M1910" s="46"/>
      <c r="N1910" s="46"/>
      <c r="O1910" s="46"/>
      <c r="P1910" s="46"/>
      <c r="Q1910" s="46"/>
      <c r="R1910" s="46"/>
      <c r="S1910" s="46"/>
      <c r="T1910" s="46"/>
      <c r="U1910" s="46"/>
      <c r="V1910" s="46"/>
      <c r="W1910" s="46"/>
    </row>
    <row r="1911" ht="16.5" spans="1:23">
      <c r="A1911" s="46"/>
      <c r="B1911" s="46"/>
      <c r="C1911" s="46"/>
      <c r="D1911" s="46"/>
      <c r="E1911" s="46"/>
      <c r="F1911" s="46"/>
      <c r="G1911" s="46"/>
      <c r="H1911" s="46"/>
      <c r="I1911" s="46"/>
      <c r="J1911" s="46"/>
      <c r="K1911" s="46"/>
      <c r="L1911" s="46"/>
      <c r="M1911" s="46"/>
      <c r="N1911" s="46"/>
      <c r="O1911" s="46"/>
      <c r="P1911" s="46"/>
      <c r="Q1911" s="46"/>
      <c r="R1911" s="46"/>
      <c r="S1911" s="46"/>
      <c r="T1911" s="46"/>
      <c r="U1911" s="46"/>
      <c r="V1911" s="46"/>
      <c r="W1911" s="46"/>
    </row>
    <row r="1912" ht="16.5" spans="1:23">
      <c r="A1912" s="46"/>
      <c r="B1912" s="46"/>
      <c r="C1912" s="46"/>
      <c r="D1912" s="46"/>
      <c r="E1912" s="46"/>
      <c r="F1912" s="46"/>
      <c r="G1912" s="46"/>
      <c r="H1912" s="46"/>
      <c r="I1912" s="46"/>
      <c r="J1912" s="46"/>
      <c r="K1912" s="46"/>
      <c r="L1912" s="46"/>
      <c r="M1912" s="46"/>
      <c r="N1912" s="46"/>
      <c r="O1912" s="46"/>
      <c r="P1912" s="46"/>
      <c r="Q1912" s="46"/>
      <c r="R1912" s="46"/>
      <c r="S1912" s="46"/>
      <c r="T1912" s="46"/>
      <c r="U1912" s="46"/>
      <c r="V1912" s="46"/>
      <c r="W1912" s="46"/>
    </row>
    <row r="1913" ht="16.5" spans="1:23">
      <c r="A1913" s="46"/>
      <c r="B1913" s="46"/>
      <c r="C1913" s="46"/>
      <c r="D1913" s="46"/>
      <c r="E1913" s="46"/>
      <c r="F1913" s="46"/>
      <c r="G1913" s="46"/>
      <c r="H1913" s="46"/>
      <c r="I1913" s="46"/>
      <c r="J1913" s="46"/>
      <c r="K1913" s="46"/>
      <c r="L1913" s="46"/>
      <c r="M1913" s="46"/>
      <c r="N1913" s="46"/>
      <c r="O1913" s="46"/>
      <c r="P1913" s="46"/>
      <c r="Q1913" s="46"/>
      <c r="R1913" s="46"/>
      <c r="S1913" s="46"/>
      <c r="T1913" s="46"/>
      <c r="U1913" s="46"/>
      <c r="V1913" s="46"/>
      <c r="W1913" s="46"/>
    </row>
    <row r="1914" ht="16.5" spans="1:23">
      <c r="A1914" s="46"/>
      <c r="B1914" s="46"/>
      <c r="C1914" s="46"/>
      <c r="D1914" s="46"/>
      <c r="E1914" s="46"/>
      <c r="F1914" s="46"/>
      <c r="G1914" s="46"/>
      <c r="H1914" s="46"/>
      <c r="I1914" s="46"/>
      <c r="J1914" s="46"/>
      <c r="K1914" s="46"/>
      <c r="L1914" s="46"/>
      <c r="M1914" s="46"/>
      <c r="N1914" s="46"/>
      <c r="O1914" s="46"/>
      <c r="P1914" s="46"/>
      <c r="Q1914" s="46"/>
      <c r="R1914" s="46"/>
      <c r="S1914" s="46"/>
      <c r="T1914" s="46"/>
      <c r="U1914" s="46"/>
      <c r="V1914" s="46"/>
      <c r="W1914" s="46"/>
    </row>
    <row r="1915" ht="16.5" spans="1:23">
      <c r="A1915" s="46"/>
      <c r="B1915" s="46"/>
      <c r="C1915" s="46"/>
      <c r="D1915" s="46"/>
      <c r="E1915" s="46"/>
      <c r="F1915" s="46"/>
      <c r="G1915" s="46"/>
      <c r="H1915" s="46"/>
      <c r="I1915" s="46"/>
      <c r="J1915" s="46"/>
      <c r="K1915" s="46"/>
      <c r="L1915" s="46"/>
      <c r="M1915" s="46"/>
      <c r="N1915" s="46"/>
      <c r="O1915" s="46"/>
      <c r="P1915" s="46"/>
      <c r="Q1915" s="46"/>
      <c r="R1915" s="46"/>
      <c r="S1915" s="46"/>
      <c r="T1915" s="46"/>
      <c r="U1915" s="46"/>
      <c r="V1915" s="46"/>
      <c r="W1915" s="46"/>
    </row>
    <row r="1916" ht="16.5" spans="1:23">
      <c r="A1916" s="46"/>
      <c r="B1916" s="46"/>
      <c r="C1916" s="46"/>
      <c r="D1916" s="46"/>
      <c r="E1916" s="46"/>
      <c r="F1916" s="46"/>
      <c r="G1916" s="46"/>
      <c r="H1916" s="46"/>
      <c r="I1916" s="46"/>
      <c r="J1916" s="46"/>
      <c r="K1916" s="46"/>
      <c r="L1916" s="46"/>
      <c r="M1916" s="46"/>
      <c r="N1916" s="46"/>
      <c r="O1916" s="46"/>
      <c r="P1916" s="46"/>
      <c r="Q1916" s="46"/>
      <c r="R1916" s="46"/>
      <c r="S1916" s="46"/>
      <c r="T1916" s="46"/>
      <c r="U1916" s="46"/>
      <c r="V1916" s="46"/>
      <c r="W1916" s="46"/>
    </row>
    <row r="1917" ht="16.5" spans="1:23">
      <c r="A1917" s="46"/>
      <c r="B1917" s="46"/>
      <c r="C1917" s="46"/>
      <c r="D1917" s="46"/>
      <c r="E1917" s="46"/>
      <c r="F1917" s="46"/>
      <c r="G1917" s="46"/>
      <c r="H1917" s="46"/>
      <c r="I1917" s="46"/>
      <c r="J1917" s="46"/>
      <c r="K1917" s="46"/>
      <c r="L1917" s="46"/>
      <c r="M1917" s="46"/>
      <c r="N1917" s="46"/>
      <c r="O1917" s="46"/>
      <c r="P1917" s="46"/>
      <c r="Q1917" s="46"/>
      <c r="R1917" s="46"/>
      <c r="S1917" s="46"/>
      <c r="T1917" s="46"/>
      <c r="U1917" s="46"/>
      <c r="V1917" s="46"/>
      <c r="W1917" s="46"/>
    </row>
    <row r="1918" ht="16.5" spans="1:23">
      <c r="A1918" s="46"/>
      <c r="B1918" s="46"/>
      <c r="C1918" s="46"/>
      <c r="D1918" s="46"/>
      <c r="E1918" s="46"/>
      <c r="F1918" s="46"/>
      <c r="G1918" s="46"/>
      <c r="H1918" s="46"/>
      <c r="I1918" s="46"/>
      <c r="J1918" s="46"/>
      <c r="K1918" s="46"/>
      <c r="L1918" s="46"/>
      <c r="M1918" s="46"/>
      <c r="N1918" s="46"/>
      <c r="O1918" s="46"/>
      <c r="P1918" s="46"/>
      <c r="Q1918" s="46"/>
      <c r="R1918" s="46"/>
      <c r="S1918" s="46"/>
      <c r="T1918" s="46"/>
      <c r="U1918" s="46"/>
      <c r="V1918" s="46"/>
      <c r="W1918" s="46"/>
    </row>
    <row r="1919" ht="16.5" spans="1:23">
      <c r="A1919" s="46"/>
      <c r="B1919" s="46"/>
      <c r="C1919" s="46"/>
      <c r="D1919" s="46"/>
      <c r="E1919" s="46"/>
      <c r="F1919" s="46"/>
      <c r="G1919" s="46"/>
      <c r="H1919" s="46"/>
      <c r="I1919" s="46"/>
      <c r="J1919" s="46"/>
      <c r="K1919" s="46"/>
      <c r="L1919" s="46"/>
      <c r="M1919" s="46"/>
      <c r="N1919" s="46"/>
      <c r="O1919" s="46"/>
      <c r="P1919" s="46"/>
      <c r="Q1919" s="46"/>
      <c r="R1919" s="46"/>
      <c r="S1919" s="46"/>
      <c r="T1919" s="46"/>
      <c r="U1919" s="46"/>
      <c r="V1919" s="46"/>
      <c r="W1919" s="46"/>
    </row>
    <row r="1920" ht="16.5" spans="1:23">
      <c r="A1920" s="46"/>
      <c r="B1920" s="46"/>
      <c r="C1920" s="46"/>
      <c r="D1920" s="46"/>
      <c r="E1920" s="46"/>
      <c r="F1920" s="46"/>
      <c r="G1920" s="46"/>
      <c r="H1920" s="46"/>
      <c r="I1920" s="46"/>
      <c r="J1920" s="46"/>
      <c r="K1920" s="46"/>
      <c r="L1920" s="46"/>
      <c r="M1920" s="46"/>
      <c r="N1920" s="46"/>
      <c r="O1920" s="46"/>
      <c r="P1920" s="46"/>
      <c r="Q1920" s="46"/>
      <c r="R1920" s="46"/>
      <c r="S1920" s="46"/>
      <c r="T1920" s="46"/>
      <c r="U1920" s="46"/>
      <c r="V1920" s="46"/>
      <c r="W1920" s="46"/>
    </row>
    <row r="1921" ht="16.5" spans="1:23">
      <c r="A1921" s="46"/>
      <c r="B1921" s="46"/>
      <c r="C1921" s="46"/>
      <c r="D1921" s="46"/>
      <c r="E1921" s="46"/>
      <c r="F1921" s="46"/>
      <c r="G1921" s="46"/>
      <c r="H1921" s="46"/>
      <c r="I1921" s="46"/>
      <c r="J1921" s="46"/>
      <c r="K1921" s="46"/>
      <c r="L1921" s="46"/>
      <c r="M1921" s="46"/>
      <c r="N1921" s="46"/>
      <c r="O1921" s="46"/>
      <c r="P1921" s="46"/>
      <c r="Q1921" s="46"/>
      <c r="R1921" s="46"/>
      <c r="S1921" s="46"/>
      <c r="T1921" s="46"/>
      <c r="U1921" s="46"/>
      <c r="V1921" s="46"/>
      <c r="W1921" s="46"/>
    </row>
    <row r="1922" ht="16.5" spans="1:23">
      <c r="A1922" s="46"/>
      <c r="B1922" s="46"/>
      <c r="C1922" s="46"/>
      <c r="D1922" s="46"/>
      <c r="E1922" s="46"/>
      <c r="F1922" s="46"/>
      <c r="G1922" s="46"/>
      <c r="H1922" s="46"/>
      <c r="I1922" s="46"/>
      <c r="J1922" s="46"/>
      <c r="K1922" s="46"/>
      <c r="L1922" s="46"/>
      <c r="M1922" s="46"/>
      <c r="N1922" s="46"/>
      <c r="O1922" s="46"/>
      <c r="P1922" s="46"/>
      <c r="Q1922" s="46"/>
      <c r="R1922" s="46"/>
      <c r="S1922" s="46"/>
      <c r="T1922" s="46"/>
      <c r="U1922" s="46"/>
      <c r="V1922" s="46"/>
      <c r="W1922" s="46"/>
    </row>
    <row r="1923" ht="16.5" spans="1:23">
      <c r="A1923" s="46"/>
      <c r="B1923" s="46"/>
      <c r="C1923" s="46"/>
      <c r="D1923" s="46"/>
      <c r="E1923" s="46"/>
      <c r="F1923" s="46"/>
      <c r="G1923" s="46"/>
      <c r="H1923" s="46"/>
      <c r="I1923" s="46"/>
      <c r="J1923" s="46"/>
      <c r="K1923" s="46"/>
      <c r="L1923" s="46"/>
      <c r="M1923" s="46"/>
      <c r="N1923" s="46"/>
      <c r="O1923" s="46"/>
      <c r="P1923" s="46"/>
      <c r="Q1923" s="46"/>
      <c r="R1923" s="46"/>
      <c r="S1923" s="46"/>
      <c r="T1923" s="46"/>
      <c r="U1923" s="46"/>
      <c r="V1923" s="46"/>
      <c r="W1923" s="46"/>
    </row>
    <row r="1924" ht="16.5" spans="1:23">
      <c r="A1924" s="46"/>
      <c r="B1924" s="46"/>
      <c r="C1924" s="46"/>
      <c r="D1924" s="46"/>
      <c r="E1924" s="46"/>
      <c r="F1924" s="46"/>
      <c r="G1924" s="46"/>
      <c r="H1924" s="46"/>
      <c r="I1924" s="46"/>
      <c r="J1924" s="46"/>
      <c r="K1924" s="46"/>
      <c r="L1924" s="46"/>
      <c r="M1924" s="46"/>
      <c r="N1924" s="46"/>
      <c r="O1924" s="46"/>
      <c r="P1924" s="46"/>
      <c r="Q1924" s="46"/>
      <c r="R1924" s="46"/>
      <c r="S1924" s="46"/>
      <c r="T1924" s="46"/>
      <c r="U1924" s="46"/>
      <c r="V1924" s="46"/>
      <c r="W1924" s="46"/>
    </row>
    <row r="1925" ht="16.5" spans="1:23">
      <c r="A1925" s="46"/>
      <c r="B1925" s="46"/>
      <c r="C1925" s="46"/>
      <c r="D1925" s="46"/>
      <c r="E1925" s="46"/>
      <c r="F1925" s="46"/>
      <c r="G1925" s="46"/>
      <c r="H1925" s="46"/>
      <c r="I1925" s="46"/>
      <c r="J1925" s="46"/>
      <c r="K1925" s="46"/>
      <c r="L1925" s="46"/>
      <c r="M1925" s="46"/>
      <c r="N1925" s="46"/>
      <c r="O1925" s="46"/>
      <c r="P1925" s="46"/>
      <c r="Q1925" s="46"/>
      <c r="R1925" s="46"/>
      <c r="S1925" s="46"/>
      <c r="T1925" s="46"/>
      <c r="U1925" s="46"/>
      <c r="V1925" s="46"/>
      <c r="W1925" s="46"/>
    </row>
    <row r="1926" ht="16.5" spans="1:23">
      <c r="A1926" s="46"/>
      <c r="B1926" s="46"/>
      <c r="C1926" s="46"/>
      <c r="D1926" s="46"/>
      <c r="E1926" s="46"/>
      <c r="F1926" s="46"/>
      <c r="G1926" s="46"/>
      <c r="H1926" s="46"/>
      <c r="I1926" s="46"/>
      <c r="J1926" s="46"/>
      <c r="K1926" s="46"/>
      <c r="L1926" s="46"/>
      <c r="M1926" s="46"/>
      <c r="N1926" s="46"/>
      <c r="O1926" s="46"/>
      <c r="P1926" s="46"/>
      <c r="Q1926" s="46"/>
      <c r="R1926" s="46"/>
      <c r="S1926" s="46"/>
      <c r="T1926" s="46"/>
      <c r="U1926" s="46"/>
      <c r="V1926" s="46"/>
      <c r="W1926" s="46"/>
    </row>
    <row r="1927" ht="16.5" spans="1:23">
      <c r="A1927" s="46"/>
      <c r="B1927" s="46"/>
      <c r="C1927" s="46"/>
      <c r="D1927" s="46"/>
      <c r="E1927" s="46"/>
      <c r="F1927" s="46"/>
      <c r="G1927" s="46"/>
      <c r="H1927" s="46"/>
      <c r="I1927" s="46"/>
      <c r="J1927" s="46"/>
      <c r="K1927" s="46"/>
      <c r="L1927" s="46"/>
      <c r="M1927" s="46"/>
      <c r="N1927" s="46"/>
      <c r="O1927" s="46"/>
      <c r="P1927" s="46"/>
      <c r="Q1927" s="46"/>
      <c r="R1927" s="46"/>
      <c r="S1927" s="46"/>
      <c r="T1927" s="46"/>
      <c r="U1927" s="46"/>
      <c r="V1927" s="46"/>
      <c r="W1927" s="46"/>
    </row>
    <row r="1928" ht="16.5" spans="1:23">
      <c r="A1928" s="46"/>
      <c r="B1928" s="46"/>
      <c r="C1928" s="46"/>
      <c r="D1928" s="46"/>
      <c r="E1928" s="46"/>
      <c r="F1928" s="46"/>
      <c r="G1928" s="46"/>
      <c r="H1928" s="46"/>
      <c r="I1928" s="46"/>
      <c r="J1928" s="46"/>
      <c r="K1928" s="46"/>
      <c r="L1928" s="46"/>
      <c r="M1928" s="46"/>
      <c r="N1928" s="46"/>
      <c r="O1928" s="46"/>
      <c r="P1928" s="46"/>
      <c r="Q1928" s="46"/>
      <c r="R1928" s="46"/>
      <c r="S1928" s="46"/>
      <c r="T1928" s="46"/>
      <c r="U1928" s="46"/>
      <c r="V1928" s="46"/>
      <c r="W1928" s="46"/>
    </row>
    <row r="1929" ht="16.5" spans="1:23">
      <c r="A1929" s="46"/>
      <c r="B1929" s="46"/>
      <c r="C1929" s="46"/>
      <c r="D1929" s="46"/>
      <c r="E1929" s="46"/>
      <c r="F1929" s="46"/>
      <c r="G1929" s="46"/>
      <c r="H1929" s="46"/>
      <c r="I1929" s="46"/>
      <c r="J1929" s="46"/>
      <c r="K1929" s="46"/>
      <c r="L1929" s="46"/>
      <c r="M1929" s="46"/>
      <c r="N1929" s="46"/>
      <c r="O1929" s="46"/>
      <c r="P1929" s="46"/>
      <c r="Q1929" s="46"/>
      <c r="R1929" s="46"/>
      <c r="S1929" s="46"/>
      <c r="T1929" s="46"/>
      <c r="U1929" s="46"/>
      <c r="V1929" s="46"/>
      <c r="W1929" s="46"/>
    </row>
    <row r="1930" ht="16.5" spans="1:23">
      <c r="A1930" s="46"/>
      <c r="B1930" s="46"/>
      <c r="C1930" s="46"/>
      <c r="D1930" s="46"/>
      <c r="E1930" s="46"/>
      <c r="F1930" s="46"/>
      <c r="G1930" s="46"/>
      <c r="H1930" s="46"/>
      <c r="I1930" s="46"/>
      <c r="J1930" s="46"/>
      <c r="K1930" s="46"/>
      <c r="L1930" s="46"/>
      <c r="M1930" s="46"/>
      <c r="N1930" s="46"/>
      <c r="O1930" s="46"/>
      <c r="P1930" s="46"/>
      <c r="Q1930" s="46"/>
      <c r="R1930" s="46"/>
      <c r="S1930" s="46"/>
      <c r="T1930" s="46"/>
      <c r="U1930" s="46"/>
      <c r="V1930" s="46"/>
      <c r="W1930" s="46"/>
    </row>
    <row r="1931" ht="16.5" spans="1:23">
      <c r="A1931" s="46"/>
      <c r="B1931" s="46"/>
      <c r="C1931" s="46"/>
      <c r="D1931" s="46"/>
      <c r="E1931" s="46"/>
      <c r="F1931" s="46"/>
      <c r="G1931" s="46"/>
      <c r="H1931" s="46"/>
      <c r="I1931" s="46"/>
      <c r="J1931" s="46"/>
      <c r="K1931" s="46"/>
      <c r="L1931" s="46"/>
      <c r="M1931" s="46"/>
      <c r="N1931" s="46"/>
      <c r="O1931" s="46"/>
      <c r="P1931" s="46"/>
      <c r="Q1931" s="46"/>
      <c r="R1931" s="46"/>
      <c r="S1931" s="46"/>
      <c r="T1931" s="46"/>
      <c r="U1931" s="46"/>
      <c r="V1931" s="46"/>
      <c r="W1931" s="46"/>
    </row>
    <row r="1932" ht="16.5" spans="1:23">
      <c r="A1932" s="46"/>
      <c r="B1932" s="46"/>
      <c r="C1932" s="46"/>
      <c r="D1932" s="46"/>
      <c r="E1932" s="46"/>
      <c r="F1932" s="46"/>
      <c r="G1932" s="46"/>
      <c r="H1932" s="46"/>
      <c r="I1932" s="46"/>
      <c r="J1932" s="46"/>
      <c r="K1932" s="46"/>
      <c r="L1932" s="46"/>
      <c r="M1932" s="46"/>
      <c r="N1932" s="46"/>
      <c r="O1932" s="46"/>
      <c r="P1932" s="46"/>
      <c r="Q1932" s="46"/>
      <c r="R1932" s="46"/>
      <c r="S1932" s="46"/>
      <c r="T1932" s="46"/>
      <c r="U1932" s="46"/>
      <c r="V1932" s="46"/>
      <c r="W1932" s="46"/>
    </row>
    <row r="1933" ht="16.5" spans="1:23">
      <c r="A1933" s="46"/>
      <c r="B1933" s="46"/>
      <c r="C1933" s="46"/>
      <c r="D1933" s="46"/>
      <c r="E1933" s="46"/>
      <c r="F1933" s="46"/>
      <c r="G1933" s="46"/>
      <c r="H1933" s="46"/>
      <c r="I1933" s="46"/>
      <c r="J1933" s="46"/>
      <c r="K1933" s="46"/>
      <c r="L1933" s="46"/>
      <c r="M1933" s="46"/>
      <c r="N1933" s="46"/>
      <c r="O1933" s="46"/>
      <c r="P1933" s="46"/>
      <c r="Q1933" s="46"/>
      <c r="R1933" s="46"/>
      <c r="S1933" s="46"/>
      <c r="T1933" s="46"/>
      <c r="U1933" s="46"/>
      <c r="V1933" s="46"/>
      <c r="W1933" s="46"/>
    </row>
    <row r="1934" ht="16.5" spans="1:23">
      <c r="A1934" s="46"/>
      <c r="B1934" s="46"/>
      <c r="C1934" s="46"/>
      <c r="D1934" s="46"/>
      <c r="E1934" s="46"/>
      <c r="F1934" s="46"/>
      <c r="G1934" s="46"/>
      <c r="H1934" s="46"/>
      <c r="I1934" s="46"/>
      <c r="J1934" s="46"/>
      <c r="K1934" s="46"/>
      <c r="L1934" s="46"/>
      <c r="M1934" s="46"/>
      <c r="N1934" s="46"/>
      <c r="O1934" s="46"/>
      <c r="P1934" s="46"/>
      <c r="Q1934" s="46"/>
      <c r="R1934" s="46"/>
      <c r="S1934" s="46"/>
      <c r="T1934" s="46"/>
      <c r="U1934" s="46"/>
      <c r="V1934" s="46"/>
      <c r="W1934" s="46"/>
    </row>
    <row r="1935" ht="16.5" spans="1:23">
      <c r="A1935" s="46"/>
      <c r="B1935" s="46"/>
      <c r="C1935" s="46"/>
      <c r="D1935" s="46"/>
      <c r="E1935" s="46"/>
      <c r="F1935" s="46"/>
      <c r="G1935" s="46"/>
      <c r="H1935" s="46"/>
      <c r="I1935" s="46"/>
      <c r="J1935" s="46"/>
      <c r="K1935" s="46"/>
      <c r="L1935" s="46"/>
      <c r="M1935" s="46"/>
      <c r="N1935" s="46"/>
      <c r="O1935" s="46"/>
      <c r="P1935" s="46"/>
      <c r="Q1935" s="46"/>
      <c r="R1935" s="46"/>
      <c r="S1935" s="46"/>
      <c r="T1935" s="46"/>
      <c r="U1935" s="46"/>
      <c r="V1935" s="46"/>
      <c r="W1935" s="46"/>
    </row>
    <row r="1936" ht="16.5" spans="1:23">
      <c r="A1936" s="46"/>
      <c r="B1936" s="46"/>
      <c r="C1936" s="46"/>
      <c r="D1936" s="46"/>
      <c r="E1936" s="46"/>
      <c r="F1936" s="46"/>
      <c r="G1936" s="46"/>
      <c r="H1936" s="46"/>
      <c r="I1936" s="46"/>
      <c r="J1936" s="46"/>
      <c r="K1936" s="46"/>
      <c r="L1936" s="46"/>
      <c r="M1936" s="46"/>
      <c r="N1936" s="46"/>
      <c r="O1936" s="46"/>
      <c r="P1936" s="46"/>
      <c r="Q1936" s="46"/>
      <c r="R1936" s="46"/>
      <c r="S1936" s="46"/>
      <c r="T1936" s="46"/>
      <c r="U1936" s="46"/>
      <c r="V1936" s="46"/>
      <c r="W1936" s="46"/>
    </row>
    <row r="1937" ht="16.5" spans="1:23">
      <c r="A1937" s="46"/>
      <c r="B1937" s="46"/>
      <c r="C1937" s="46"/>
      <c r="D1937" s="46"/>
      <c r="E1937" s="46"/>
      <c r="F1937" s="46"/>
      <c r="G1937" s="46"/>
      <c r="H1937" s="46"/>
      <c r="I1937" s="46"/>
      <c r="J1937" s="46"/>
      <c r="K1937" s="46"/>
      <c r="L1937" s="46"/>
      <c r="M1937" s="46"/>
      <c r="N1937" s="46"/>
      <c r="O1937" s="46"/>
      <c r="P1937" s="46"/>
      <c r="Q1937" s="46"/>
      <c r="R1937" s="46"/>
      <c r="S1937" s="46"/>
      <c r="T1937" s="46"/>
      <c r="U1937" s="46"/>
      <c r="V1937" s="46"/>
      <c r="W1937" s="46"/>
    </row>
    <row r="1938" ht="16.5" spans="1:23">
      <c r="A1938" s="46"/>
      <c r="B1938" s="46"/>
      <c r="C1938" s="46"/>
      <c r="D1938" s="46"/>
      <c r="E1938" s="46"/>
      <c r="F1938" s="46"/>
      <c r="G1938" s="46"/>
      <c r="H1938" s="46"/>
      <c r="I1938" s="46"/>
      <c r="J1938" s="46"/>
      <c r="K1938" s="46"/>
      <c r="L1938" s="46"/>
      <c r="M1938" s="46"/>
      <c r="N1938" s="46"/>
      <c r="O1938" s="46"/>
      <c r="P1938" s="46"/>
      <c r="Q1938" s="46"/>
      <c r="R1938" s="46"/>
      <c r="S1938" s="46"/>
      <c r="T1938" s="46"/>
      <c r="U1938" s="46"/>
      <c r="V1938" s="46"/>
      <c r="W1938" s="46"/>
    </row>
    <row r="1939" ht="16.5" spans="1:23">
      <c r="A1939" s="46"/>
      <c r="B1939" s="46"/>
      <c r="C1939" s="46"/>
      <c r="D1939" s="46"/>
      <c r="E1939" s="46"/>
      <c r="F1939" s="46"/>
      <c r="G1939" s="46"/>
      <c r="H1939" s="46"/>
      <c r="I1939" s="46"/>
      <c r="J1939" s="46"/>
      <c r="K1939" s="46"/>
      <c r="L1939" s="46"/>
      <c r="M1939" s="46"/>
      <c r="N1939" s="46"/>
      <c r="O1939" s="46"/>
      <c r="P1939" s="46"/>
      <c r="Q1939" s="46"/>
      <c r="R1939" s="46"/>
      <c r="S1939" s="46"/>
      <c r="T1939" s="46"/>
      <c r="U1939" s="46"/>
      <c r="V1939" s="46"/>
      <c r="W1939" s="46"/>
    </row>
    <row r="1940" ht="16.5" spans="1:23">
      <c r="A1940" s="46"/>
      <c r="B1940" s="46"/>
      <c r="C1940" s="46"/>
      <c r="D1940" s="46"/>
      <c r="E1940" s="46"/>
      <c r="F1940" s="46"/>
      <c r="G1940" s="46"/>
      <c r="H1940" s="46"/>
      <c r="I1940" s="46"/>
      <c r="J1940" s="46"/>
      <c r="K1940" s="46"/>
      <c r="L1940" s="46"/>
      <c r="M1940" s="46"/>
      <c r="N1940" s="46"/>
      <c r="O1940" s="46"/>
      <c r="P1940" s="46"/>
      <c r="Q1940" s="46"/>
      <c r="R1940" s="46"/>
      <c r="S1940" s="46"/>
      <c r="T1940" s="46"/>
      <c r="U1940" s="46"/>
      <c r="V1940" s="46"/>
      <c r="W1940" s="46"/>
    </row>
    <row r="1941" ht="16.5" spans="1:23">
      <c r="A1941" s="46"/>
      <c r="B1941" s="46"/>
      <c r="C1941" s="46"/>
      <c r="D1941" s="46"/>
      <c r="E1941" s="46"/>
      <c r="F1941" s="46"/>
      <c r="G1941" s="46"/>
      <c r="H1941" s="46"/>
      <c r="I1941" s="46"/>
      <c r="J1941" s="46"/>
      <c r="K1941" s="46"/>
      <c r="L1941" s="46"/>
      <c r="M1941" s="46"/>
      <c r="N1941" s="46"/>
      <c r="O1941" s="46"/>
      <c r="P1941" s="46"/>
      <c r="Q1941" s="46"/>
      <c r="R1941" s="46"/>
      <c r="S1941" s="46"/>
      <c r="T1941" s="46"/>
      <c r="U1941" s="46"/>
      <c r="V1941" s="46"/>
      <c r="W1941" s="46"/>
    </row>
    <row r="1942" ht="16.5" spans="1:23">
      <c r="A1942" s="46"/>
      <c r="B1942" s="46"/>
      <c r="C1942" s="46"/>
      <c r="D1942" s="46"/>
      <c r="E1942" s="46"/>
      <c r="F1942" s="46"/>
      <c r="G1942" s="46"/>
      <c r="H1942" s="46"/>
      <c r="I1942" s="46"/>
      <c r="J1942" s="46"/>
      <c r="K1942" s="46"/>
      <c r="L1942" s="46"/>
      <c r="M1942" s="46"/>
      <c r="N1942" s="46"/>
      <c r="O1942" s="46"/>
      <c r="P1942" s="46"/>
      <c r="Q1942" s="46"/>
      <c r="R1942" s="46"/>
      <c r="S1942" s="46"/>
      <c r="T1942" s="46"/>
      <c r="U1942" s="46"/>
      <c r="V1942" s="46"/>
      <c r="W1942" s="46"/>
    </row>
    <row r="1943" ht="16.5" spans="1:23">
      <c r="A1943" s="46"/>
      <c r="B1943" s="46"/>
      <c r="C1943" s="46"/>
      <c r="D1943" s="46"/>
      <c r="E1943" s="46"/>
      <c r="F1943" s="46"/>
      <c r="G1943" s="46"/>
      <c r="H1943" s="46"/>
      <c r="I1943" s="46"/>
      <c r="J1943" s="46"/>
      <c r="K1943" s="46"/>
      <c r="L1943" s="46"/>
      <c r="M1943" s="46"/>
      <c r="N1943" s="46"/>
      <c r="O1943" s="46"/>
      <c r="P1943" s="46"/>
      <c r="Q1943" s="46"/>
      <c r="R1943" s="46"/>
      <c r="S1943" s="46"/>
      <c r="T1943" s="46"/>
      <c r="U1943" s="46"/>
      <c r="V1943" s="46"/>
      <c r="W1943" s="46"/>
    </row>
    <row r="1944" ht="16.5" spans="1:23">
      <c r="A1944" s="46"/>
      <c r="B1944" s="46"/>
      <c r="C1944" s="46"/>
      <c r="D1944" s="46"/>
      <c r="E1944" s="46"/>
      <c r="F1944" s="46"/>
      <c r="G1944" s="46"/>
      <c r="H1944" s="46"/>
      <c r="I1944" s="46"/>
      <c r="J1944" s="46"/>
      <c r="K1944" s="46"/>
      <c r="L1944" s="46"/>
      <c r="M1944" s="46"/>
      <c r="N1944" s="46"/>
      <c r="O1944" s="46"/>
      <c r="P1944" s="46"/>
      <c r="Q1944" s="46"/>
      <c r="R1944" s="46"/>
      <c r="S1944" s="46"/>
      <c r="T1944" s="46"/>
      <c r="U1944" s="46"/>
      <c r="V1944" s="46"/>
      <c r="W1944" s="46"/>
    </row>
    <row r="1945" ht="16.5" spans="1:23">
      <c r="A1945" s="46"/>
      <c r="B1945" s="46"/>
      <c r="C1945" s="46"/>
      <c r="D1945" s="46"/>
      <c r="E1945" s="46"/>
      <c r="F1945" s="46"/>
      <c r="G1945" s="46"/>
      <c r="H1945" s="46"/>
      <c r="I1945" s="46"/>
      <c r="J1945" s="46"/>
      <c r="K1945" s="46"/>
      <c r="L1945" s="46"/>
      <c r="M1945" s="46"/>
      <c r="N1945" s="46"/>
      <c r="O1945" s="46"/>
      <c r="P1945" s="46"/>
      <c r="Q1945" s="46"/>
      <c r="R1945" s="46"/>
      <c r="S1945" s="46"/>
      <c r="T1945" s="46"/>
      <c r="U1945" s="46"/>
      <c r="V1945" s="46"/>
      <c r="W1945" s="46"/>
    </row>
    <row r="1946" ht="16.5" spans="1:23">
      <c r="A1946" s="46"/>
      <c r="B1946" s="46"/>
      <c r="C1946" s="46"/>
      <c r="D1946" s="46"/>
      <c r="E1946" s="46"/>
      <c r="F1946" s="46"/>
      <c r="G1946" s="46"/>
      <c r="H1946" s="46"/>
      <c r="I1946" s="46"/>
      <c r="J1946" s="46"/>
      <c r="K1946" s="46"/>
      <c r="L1946" s="46"/>
      <c r="M1946" s="46"/>
      <c r="N1946" s="46"/>
      <c r="O1946" s="46"/>
      <c r="P1946" s="46"/>
      <c r="Q1946" s="46"/>
      <c r="R1946" s="46"/>
      <c r="S1946" s="46"/>
      <c r="T1946" s="46"/>
      <c r="U1946" s="46"/>
      <c r="V1946" s="46"/>
      <c r="W1946" s="46"/>
    </row>
    <row r="1947" ht="16.5" spans="1:23">
      <c r="A1947" s="46"/>
      <c r="B1947" s="46"/>
      <c r="C1947" s="46"/>
      <c r="D1947" s="46"/>
      <c r="E1947" s="46"/>
      <c r="F1947" s="46"/>
      <c r="G1947" s="46"/>
      <c r="H1947" s="46"/>
      <c r="I1947" s="46"/>
      <c r="J1947" s="46"/>
      <c r="K1947" s="46"/>
      <c r="L1947" s="46"/>
      <c r="M1947" s="46"/>
      <c r="N1947" s="46"/>
      <c r="O1947" s="46"/>
      <c r="P1947" s="46"/>
      <c r="Q1947" s="46"/>
      <c r="R1947" s="46"/>
      <c r="S1947" s="46"/>
      <c r="T1947" s="46"/>
      <c r="U1947" s="46"/>
      <c r="V1947" s="46"/>
      <c r="W1947" s="46"/>
    </row>
    <row r="1948" ht="16.5" spans="1:23">
      <c r="A1948" s="46"/>
      <c r="B1948" s="46"/>
      <c r="C1948" s="46"/>
      <c r="D1948" s="46"/>
      <c r="E1948" s="46"/>
      <c r="F1948" s="46"/>
      <c r="G1948" s="46"/>
      <c r="H1948" s="46"/>
      <c r="I1948" s="46"/>
      <c r="J1948" s="46"/>
      <c r="K1948" s="46"/>
      <c r="L1948" s="46"/>
      <c r="M1948" s="46"/>
      <c r="N1948" s="46"/>
      <c r="O1948" s="46"/>
      <c r="P1948" s="46"/>
      <c r="Q1948" s="46"/>
      <c r="R1948" s="46"/>
      <c r="S1948" s="46"/>
      <c r="T1948" s="46"/>
      <c r="U1948" s="46"/>
      <c r="V1948" s="46"/>
      <c r="W1948" s="46"/>
    </row>
    <row r="1949" ht="16.5" spans="1:23">
      <c r="A1949" s="46"/>
      <c r="B1949" s="46"/>
      <c r="C1949" s="46"/>
      <c r="D1949" s="46"/>
      <c r="E1949" s="46"/>
      <c r="F1949" s="46"/>
      <c r="G1949" s="46"/>
      <c r="H1949" s="46"/>
      <c r="I1949" s="46"/>
      <c r="J1949" s="46"/>
      <c r="K1949" s="46"/>
      <c r="L1949" s="46"/>
      <c r="M1949" s="46"/>
      <c r="N1949" s="46"/>
      <c r="O1949" s="46"/>
      <c r="P1949" s="46"/>
      <c r="Q1949" s="46"/>
      <c r="R1949" s="46"/>
      <c r="S1949" s="46"/>
      <c r="T1949" s="46"/>
      <c r="U1949" s="46"/>
      <c r="V1949" s="46"/>
      <c r="W1949" s="46"/>
    </row>
    <row r="1950" ht="16.5" spans="1:23">
      <c r="A1950" s="46"/>
      <c r="B1950" s="46"/>
      <c r="C1950" s="46"/>
      <c r="D1950" s="46"/>
      <c r="E1950" s="46"/>
      <c r="F1950" s="46"/>
      <c r="G1950" s="46"/>
      <c r="H1950" s="46"/>
      <c r="I1950" s="46"/>
      <c r="J1950" s="46"/>
      <c r="K1950" s="46"/>
      <c r="L1950" s="46"/>
      <c r="M1950" s="46"/>
      <c r="N1950" s="46"/>
      <c r="O1950" s="46"/>
      <c r="P1950" s="46"/>
      <c r="Q1950" s="46"/>
      <c r="R1950" s="46"/>
      <c r="S1950" s="46"/>
      <c r="T1950" s="46"/>
      <c r="U1950" s="46"/>
      <c r="V1950" s="46"/>
      <c r="W1950" s="46"/>
    </row>
    <row r="1951" ht="16.5" spans="1:23">
      <c r="A1951" s="46"/>
      <c r="B1951" s="46"/>
      <c r="C1951" s="46"/>
      <c r="D1951" s="46"/>
      <c r="E1951" s="46"/>
      <c r="F1951" s="46"/>
      <c r="G1951" s="46"/>
      <c r="H1951" s="46"/>
      <c r="I1951" s="46"/>
      <c r="J1951" s="46"/>
      <c r="K1951" s="46"/>
      <c r="L1951" s="46"/>
      <c r="M1951" s="46"/>
      <c r="N1951" s="46"/>
      <c r="O1951" s="46"/>
      <c r="P1951" s="46"/>
      <c r="Q1951" s="46"/>
      <c r="R1951" s="46"/>
      <c r="S1951" s="46"/>
      <c r="T1951" s="46"/>
      <c r="U1951" s="46"/>
      <c r="V1951" s="46"/>
      <c r="W1951" s="46"/>
    </row>
    <row r="1952" ht="16.5" spans="1:23">
      <c r="A1952" s="46"/>
      <c r="B1952" s="46"/>
      <c r="C1952" s="46"/>
      <c r="D1952" s="46"/>
      <c r="E1952" s="46"/>
      <c r="F1952" s="46"/>
      <c r="G1952" s="46"/>
      <c r="H1952" s="46"/>
      <c r="I1952" s="46"/>
      <c r="J1952" s="46"/>
      <c r="K1952" s="46"/>
      <c r="L1952" s="46"/>
      <c r="M1952" s="46"/>
      <c r="N1952" s="46"/>
      <c r="O1952" s="46"/>
      <c r="P1952" s="46"/>
      <c r="Q1952" s="46"/>
      <c r="R1952" s="46"/>
      <c r="S1952" s="46"/>
      <c r="T1952" s="46"/>
      <c r="U1952" s="46"/>
      <c r="V1952" s="46"/>
      <c r="W1952" s="46"/>
    </row>
    <row r="1953" ht="16.5" spans="1:23">
      <c r="A1953" s="46"/>
      <c r="B1953" s="46"/>
      <c r="C1953" s="46"/>
      <c r="D1953" s="46"/>
      <c r="E1953" s="46"/>
      <c r="F1953" s="46"/>
      <c r="G1953" s="46"/>
      <c r="H1953" s="46"/>
      <c r="I1953" s="46"/>
      <c r="J1953" s="46"/>
      <c r="K1953" s="46"/>
      <c r="L1953" s="46"/>
      <c r="M1953" s="46"/>
      <c r="N1953" s="46"/>
      <c r="O1953" s="46"/>
      <c r="P1953" s="46"/>
      <c r="Q1953" s="46"/>
      <c r="R1953" s="46"/>
      <c r="S1953" s="46"/>
      <c r="T1953" s="46"/>
      <c r="U1953" s="46"/>
      <c r="V1953" s="46"/>
      <c r="W1953" s="46"/>
    </row>
    <row r="1954" ht="16.5" spans="1:23">
      <c r="A1954" s="46"/>
      <c r="B1954" s="46"/>
      <c r="C1954" s="46"/>
      <c r="D1954" s="46"/>
      <c r="E1954" s="46"/>
      <c r="F1954" s="46"/>
      <c r="G1954" s="46"/>
      <c r="H1954" s="46"/>
      <c r="I1954" s="46"/>
      <c r="J1954" s="46"/>
      <c r="K1954" s="46"/>
      <c r="L1954" s="46"/>
      <c r="M1954" s="46"/>
      <c r="N1954" s="46"/>
      <c r="O1954" s="46"/>
      <c r="P1954" s="46"/>
      <c r="Q1954" s="46"/>
      <c r="R1954" s="46"/>
      <c r="S1954" s="46"/>
      <c r="T1954" s="46"/>
      <c r="U1954" s="46"/>
      <c r="V1954" s="46"/>
      <c r="W1954" s="46"/>
    </row>
    <row r="1955" ht="16.5" spans="1:23">
      <c r="A1955" s="46"/>
      <c r="B1955" s="46"/>
      <c r="C1955" s="46"/>
      <c r="D1955" s="46"/>
      <c r="E1955" s="46"/>
      <c r="F1955" s="46"/>
      <c r="G1955" s="46"/>
      <c r="H1955" s="46"/>
      <c r="I1955" s="46"/>
      <c r="J1955" s="46"/>
      <c r="K1955" s="46"/>
      <c r="L1955" s="46"/>
      <c r="M1955" s="46"/>
      <c r="N1955" s="46"/>
      <c r="O1955" s="46"/>
      <c r="P1955" s="46"/>
      <c r="Q1955" s="46"/>
      <c r="R1955" s="46"/>
      <c r="S1955" s="46"/>
      <c r="T1955" s="46"/>
      <c r="U1955" s="46"/>
      <c r="V1955" s="46"/>
      <c r="W1955" s="46"/>
    </row>
    <row r="1956" ht="16.5" spans="1:23">
      <c r="A1956" s="46"/>
      <c r="B1956" s="46"/>
      <c r="C1956" s="46"/>
      <c r="D1956" s="46"/>
      <c r="E1956" s="46"/>
      <c r="F1956" s="46"/>
      <c r="G1956" s="46"/>
      <c r="H1956" s="46"/>
      <c r="I1956" s="46"/>
      <c r="J1956" s="46"/>
      <c r="K1956" s="46"/>
      <c r="L1956" s="46"/>
      <c r="M1956" s="46"/>
      <c r="N1956" s="46"/>
      <c r="O1956" s="46"/>
      <c r="P1956" s="46"/>
      <c r="Q1956" s="46"/>
      <c r="R1956" s="46"/>
      <c r="S1956" s="46"/>
      <c r="T1956" s="46"/>
      <c r="U1956" s="46"/>
      <c r="V1956" s="46"/>
      <c r="W1956" s="46"/>
    </row>
    <row r="1957" ht="16.5" spans="1:23">
      <c r="A1957" s="46"/>
      <c r="B1957" s="46"/>
      <c r="C1957" s="46"/>
      <c r="D1957" s="46"/>
      <c r="E1957" s="46"/>
      <c r="F1957" s="46"/>
      <c r="G1957" s="46"/>
      <c r="H1957" s="46"/>
      <c r="I1957" s="46"/>
      <c r="J1957" s="46"/>
      <c r="K1957" s="46"/>
      <c r="L1957" s="46"/>
      <c r="M1957" s="46"/>
      <c r="N1957" s="46"/>
      <c r="O1957" s="46"/>
      <c r="P1957" s="46"/>
      <c r="Q1957" s="46"/>
      <c r="R1957" s="46"/>
      <c r="S1957" s="46"/>
      <c r="T1957" s="46"/>
      <c r="U1957" s="46"/>
      <c r="V1957" s="46"/>
      <c r="W1957" s="46"/>
    </row>
    <row r="1958" ht="16.5" spans="1:23">
      <c r="A1958" s="46"/>
      <c r="B1958" s="46"/>
      <c r="C1958" s="46"/>
      <c r="D1958" s="46"/>
      <c r="E1958" s="46"/>
      <c r="F1958" s="46"/>
      <c r="G1958" s="46"/>
      <c r="H1958" s="46"/>
      <c r="I1958" s="46"/>
      <c r="J1958" s="46"/>
      <c r="K1958" s="46"/>
      <c r="L1958" s="46"/>
      <c r="M1958" s="46"/>
      <c r="N1958" s="46"/>
      <c r="O1958" s="46"/>
      <c r="P1958" s="46"/>
      <c r="Q1958" s="46"/>
      <c r="R1958" s="46"/>
      <c r="S1958" s="46"/>
      <c r="T1958" s="46"/>
      <c r="U1958" s="46"/>
      <c r="V1958" s="46"/>
      <c r="W1958" s="46"/>
    </row>
    <row r="1959" ht="16.5" spans="1:23">
      <c r="A1959" s="46"/>
      <c r="B1959" s="46"/>
      <c r="C1959" s="46"/>
      <c r="D1959" s="46"/>
      <c r="E1959" s="46"/>
      <c r="F1959" s="46"/>
      <c r="G1959" s="46"/>
      <c r="H1959" s="46"/>
      <c r="I1959" s="46"/>
      <c r="J1959" s="46"/>
      <c r="K1959" s="46"/>
      <c r="L1959" s="46"/>
      <c r="M1959" s="46"/>
      <c r="N1959" s="46"/>
      <c r="O1959" s="46"/>
      <c r="P1959" s="46"/>
      <c r="Q1959" s="46"/>
      <c r="R1959" s="46"/>
      <c r="S1959" s="46"/>
      <c r="T1959" s="46"/>
      <c r="U1959" s="46"/>
      <c r="V1959" s="46"/>
      <c r="W1959" s="46"/>
    </row>
    <row r="1960" ht="16.5" spans="1:23">
      <c r="A1960" s="46"/>
      <c r="B1960" s="46"/>
      <c r="C1960" s="46"/>
      <c r="D1960" s="46"/>
      <c r="E1960" s="46"/>
      <c r="F1960" s="46"/>
      <c r="G1960" s="46"/>
      <c r="H1960" s="46"/>
      <c r="I1960" s="46"/>
      <c r="J1960" s="46"/>
      <c r="K1960" s="46"/>
      <c r="L1960" s="46"/>
      <c r="M1960" s="46"/>
      <c r="N1960" s="46"/>
      <c r="O1960" s="46"/>
      <c r="P1960" s="46"/>
      <c r="Q1960" s="46"/>
      <c r="R1960" s="46"/>
      <c r="S1960" s="46"/>
      <c r="T1960" s="46"/>
      <c r="U1960" s="46"/>
      <c r="V1960" s="46"/>
      <c r="W1960" s="46"/>
    </row>
    <row r="1961" ht="16.5" spans="1:23">
      <c r="A1961" s="46"/>
      <c r="B1961" s="46"/>
      <c r="C1961" s="46"/>
      <c r="D1961" s="46"/>
      <c r="E1961" s="46"/>
      <c r="F1961" s="46"/>
      <c r="G1961" s="46"/>
      <c r="H1961" s="46"/>
      <c r="I1961" s="46"/>
      <c r="J1961" s="46"/>
      <c r="K1961" s="46"/>
      <c r="L1961" s="46"/>
      <c r="M1961" s="46"/>
      <c r="N1961" s="46"/>
      <c r="O1961" s="46"/>
      <c r="P1961" s="46"/>
      <c r="Q1961" s="46"/>
      <c r="R1961" s="46"/>
      <c r="S1961" s="46"/>
      <c r="T1961" s="46"/>
      <c r="U1961" s="46"/>
      <c r="V1961" s="46"/>
      <c r="W1961" s="46"/>
    </row>
    <row r="1962" ht="16.5" spans="1:23">
      <c r="A1962" s="46"/>
      <c r="B1962" s="46"/>
      <c r="C1962" s="46"/>
      <c r="D1962" s="46"/>
      <c r="E1962" s="46"/>
      <c r="F1962" s="46"/>
      <c r="G1962" s="46"/>
      <c r="H1962" s="46"/>
      <c r="I1962" s="46"/>
      <c r="J1962" s="46"/>
      <c r="K1962" s="46"/>
      <c r="L1962" s="46"/>
      <c r="M1962" s="46"/>
      <c r="N1962" s="46"/>
      <c r="O1962" s="46"/>
      <c r="P1962" s="46"/>
      <c r="Q1962" s="46"/>
      <c r="R1962" s="46"/>
      <c r="S1962" s="46"/>
      <c r="T1962" s="46"/>
      <c r="U1962" s="46"/>
      <c r="V1962" s="46"/>
      <c r="W1962" s="46"/>
    </row>
    <row r="1963" ht="16.5" spans="1:23">
      <c r="A1963" s="46"/>
      <c r="B1963" s="46"/>
      <c r="C1963" s="46"/>
      <c r="D1963" s="46"/>
      <c r="E1963" s="46"/>
      <c r="F1963" s="46"/>
      <c r="G1963" s="46"/>
      <c r="H1963" s="46"/>
      <c r="I1963" s="46"/>
      <c r="J1963" s="46"/>
      <c r="K1963" s="46"/>
      <c r="L1963" s="46"/>
      <c r="M1963" s="46"/>
      <c r="N1963" s="46"/>
      <c r="O1963" s="46"/>
      <c r="P1963" s="46"/>
      <c r="Q1963" s="46"/>
      <c r="R1963" s="46"/>
      <c r="S1963" s="46"/>
      <c r="T1963" s="46"/>
      <c r="U1963" s="46"/>
      <c r="V1963" s="46"/>
      <c r="W1963" s="46"/>
    </row>
    <row r="1964" ht="16.5" spans="1:23">
      <c r="A1964" s="46"/>
      <c r="B1964" s="46"/>
      <c r="C1964" s="46"/>
      <c r="D1964" s="46"/>
      <c r="E1964" s="46"/>
      <c r="F1964" s="46"/>
      <c r="G1964" s="46"/>
      <c r="H1964" s="46"/>
      <c r="I1964" s="46"/>
      <c r="J1964" s="46"/>
      <c r="K1964" s="46"/>
      <c r="L1964" s="46"/>
      <c r="M1964" s="46"/>
      <c r="N1964" s="46"/>
      <c r="O1964" s="46"/>
      <c r="P1964" s="46"/>
      <c r="Q1964" s="46"/>
      <c r="R1964" s="46"/>
      <c r="S1964" s="46"/>
      <c r="T1964" s="46"/>
      <c r="U1964" s="46"/>
      <c r="V1964" s="46"/>
      <c r="W1964" s="46"/>
    </row>
    <row r="1965" ht="16.5" spans="1:23">
      <c r="A1965" s="46"/>
      <c r="B1965" s="46"/>
      <c r="C1965" s="46"/>
      <c r="D1965" s="46"/>
      <c r="E1965" s="46"/>
      <c r="F1965" s="46"/>
      <c r="G1965" s="46"/>
      <c r="H1965" s="46"/>
      <c r="I1965" s="46"/>
      <c r="J1965" s="46"/>
      <c r="K1965" s="46"/>
      <c r="L1965" s="46"/>
      <c r="M1965" s="46"/>
      <c r="N1965" s="46"/>
      <c r="O1965" s="46"/>
      <c r="P1965" s="46"/>
      <c r="Q1965" s="46"/>
      <c r="R1965" s="46"/>
      <c r="S1965" s="46"/>
      <c r="T1965" s="46"/>
      <c r="U1965" s="46"/>
      <c r="V1965" s="46"/>
      <c r="W1965" s="46"/>
    </row>
    <row r="1966" ht="16.5" spans="1:23">
      <c r="A1966" s="46"/>
      <c r="B1966" s="46"/>
      <c r="C1966" s="46"/>
      <c r="D1966" s="46"/>
      <c r="E1966" s="46"/>
      <c r="F1966" s="46"/>
      <c r="G1966" s="46"/>
      <c r="H1966" s="46"/>
      <c r="I1966" s="46"/>
      <c r="J1966" s="46"/>
      <c r="K1966" s="46"/>
      <c r="L1966" s="46"/>
      <c r="M1966" s="46"/>
      <c r="N1966" s="46"/>
      <c r="O1966" s="46"/>
      <c r="P1966" s="46"/>
      <c r="Q1966" s="46"/>
      <c r="R1966" s="46"/>
      <c r="S1966" s="46"/>
      <c r="T1966" s="46"/>
      <c r="U1966" s="46"/>
      <c r="V1966" s="46"/>
      <c r="W1966" s="46"/>
    </row>
    <row r="1967" ht="16.5" spans="1:23">
      <c r="A1967" s="46"/>
      <c r="B1967" s="46"/>
      <c r="C1967" s="46"/>
      <c r="D1967" s="46"/>
      <c r="E1967" s="46"/>
      <c r="F1967" s="46"/>
      <c r="G1967" s="46"/>
      <c r="H1967" s="46"/>
      <c r="I1967" s="46"/>
      <c r="J1967" s="46"/>
      <c r="K1967" s="46"/>
      <c r="L1967" s="46"/>
      <c r="M1967" s="46"/>
      <c r="N1967" s="46"/>
      <c r="O1967" s="46"/>
      <c r="P1967" s="46"/>
      <c r="Q1967" s="46"/>
      <c r="R1967" s="46"/>
      <c r="S1967" s="46"/>
      <c r="T1967" s="46"/>
      <c r="U1967" s="46"/>
      <c r="V1967" s="46"/>
      <c r="W1967" s="46"/>
    </row>
    <row r="1968" ht="16.5" spans="1:23">
      <c r="A1968" s="46"/>
      <c r="B1968" s="46"/>
      <c r="C1968" s="46"/>
      <c r="D1968" s="46"/>
      <c r="E1968" s="46"/>
      <c r="F1968" s="46"/>
      <c r="G1968" s="46"/>
      <c r="H1968" s="46"/>
      <c r="I1968" s="46"/>
      <c r="J1968" s="46"/>
      <c r="K1968" s="46"/>
      <c r="L1968" s="46"/>
      <c r="M1968" s="46"/>
      <c r="N1968" s="46"/>
      <c r="O1968" s="46"/>
      <c r="P1968" s="46"/>
      <c r="Q1968" s="46"/>
      <c r="R1968" s="46"/>
      <c r="S1968" s="46"/>
      <c r="T1968" s="46"/>
      <c r="U1968" s="46"/>
      <c r="V1968" s="46"/>
      <c r="W1968" s="46"/>
    </row>
    <row r="1969" ht="16.5" spans="1:23">
      <c r="A1969" s="46"/>
      <c r="B1969" s="46"/>
      <c r="C1969" s="46"/>
      <c r="D1969" s="46"/>
      <c r="E1969" s="46"/>
      <c r="F1969" s="46"/>
      <c r="G1969" s="46"/>
      <c r="H1969" s="46"/>
      <c r="I1969" s="46"/>
      <c r="J1969" s="46"/>
      <c r="K1969" s="46"/>
      <c r="L1969" s="46"/>
      <c r="M1969" s="46"/>
      <c r="N1969" s="46"/>
      <c r="O1969" s="46"/>
      <c r="P1969" s="46"/>
      <c r="Q1969" s="46"/>
      <c r="R1969" s="46"/>
      <c r="S1969" s="46"/>
      <c r="T1969" s="46"/>
      <c r="U1969" s="46"/>
      <c r="V1969" s="46"/>
      <c r="W1969" s="46"/>
    </row>
    <row r="1970" ht="16.5" spans="1:23">
      <c r="A1970" s="46"/>
      <c r="B1970" s="46"/>
      <c r="C1970" s="46"/>
      <c r="D1970" s="46"/>
      <c r="E1970" s="46"/>
      <c r="F1970" s="46"/>
      <c r="G1970" s="46"/>
      <c r="H1970" s="46"/>
      <c r="I1970" s="46"/>
      <c r="J1970" s="46"/>
      <c r="K1970" s="46"/>
      <c r="L1970" s="46"/>
      <c r="M1970" s="46"/>
      <c r="N1970" s="46"/>
      <c r="O1970" s="46"/>
      <c r="P1970" s="46"/>
      <c r="Q1970" s="46"/>
      <c r="R1970" s="46"/>
      <c r="S1970" s="46"/>
      <c r="T1970" s="46"/>
      <c r="U1970" s="46"/>
      <c r="V1970" s="46"/>
      <c r="W1970" s="46"/>
    </row>
    <row r="1971" ht="16.5" spans="1:23">
      <c r="A1971" s="46"/>
      <c r="B1971" s="46"/>
      <c r="C1971" s="46"/>
      <c r="D1971" s="46"/>
      <c r="E1971" s="46"/>
      <c r="F1971" s="46"/>
      <c r="G1971" s="46"/>
      <c r="H1971" s="46"/>
      <c r="I1971" s="46"/>
      <c r="J1971" s="46"/>
      <c r="K1971" s="46"/>
      <c r="L1971" s="46"/>
      <c r="M1971" s="46"/>
      <c r="N1971" s="46"/>
      <c r="O1971" s="46"/>
      <c r="P1971" s="46"/>
      <c r="Q1971" s="46"/>
      <c r="R1971" s="46"/>
      <c r="S1971" s="46"/>
      <c r="T1971" s="46"/>
      <c r="U1971" s="46"/>
      <c r="V1971" s="46"/>
      <c r="W1971" s="46"/>
    </row>
    <row r="1972" ht="16.5" spans="1:23">
      <c r="A1972" s="46"/>
      <c r="B1972" s="46"/>
      <c r="C1972" s="46"/>
      <c r="D1972" s="46"/>
      <c r="E1972" s="46"/>
      <c r="F1972" s="46"/>
      <c r="G1972" s="46"/>
      <c r="H1972" s="46"/>
      <c r="I1972" s="46"/>
      <c r="J1972" s="46"/>
      <c r="K1972" s="46"/>
      <c r="L1972" s="46"/>
      <c r="M1972" s="46"/>
      <c r="N1972" s="46"/>
      <c r="O1972" s="46"/>
      <c r="P1972" s="46"/>
      <c r="Q1972" s="46"/>
      <c r="R1972" s="46"/>
      <c r="S1972" s="46"/>
      <c r="T1972" s="46"/>
      <c r="U1972" s="46"/>
      <c r="V1972" s="46"/>
      <c r="W1972" s="46"/>
    </row>
    <row r="1973" ht="16.5" spans="1:23">
      <c r="A1973" s="46"/>
      <c r="B1973" s="46"/>
      <c r="C1973" s="46"/>
      <c r="D1973" s="46"/>
      <c r="E1973" s="46"/>
      <c r="F1973" s="46"/>
      <c r="G1973" s="46"/>
      <c r="H1973" s="46"/>
      <c r="I1973" s="46"/>
      <c r="J1973" s="46"/>
      <c r="K1973" s="46"/>
      <c r="L1973" s="46"/>
      <c r="M1973" s="46"/>
      <c r="N1973" s="46"/>
      <c r="O1973" s="46"/>
      <c r="P1973" s="46"/>
      <c r="Q1973" s="46"/>
      <c r="R1973" s="46"/>
      <c r="S1973" s="46"/>
      <c r="T1973" s="46"/>
      <c r="U1973" s="46"/>
      <c r="V1973" s="46"/>
      <c r="W1973" s="46"/>
    </row>
    <row r="1974" ht="16.5" spans="1:23">
      <c r="A1974" s="46"/>
      <c r="B1974" s="46"/>
      <c r="C1974" s="46"/>
      <c r="D1974" s="46"/>
      <c r="E1974" s="46"/>
      <c r="F1974" s="46"/>
      <c r="G1974" s="46"/>
      <c r="H1974" s="46"/>
      <c r="I1974" s="46"/>
      <c r="J1974" s="46"/>
      <c r="K1974" s="46"/>
      <c r="L1974" s="46"/>
      <c r="M1974" s="46"/>
      <c r="N1974" s="46"/>
      <c r="O1974" s="46"/>
      <c r="P1974" s="46"/>
      <c r="Q1974" s="46"/>
      <c r="R1974" s="46"/>
      <c r="S1974" s="46"/>
      <c r="T1974" s="46"/>
      <c r="U1974" s="46"/>
      <c r="V1974" s="46"/>
      <c r="W1974" s="46"/>
    </row>
    <row r="1975" ht="16.5" spans="1:23">
      <c r="A1975" s="46"/>
      <c r="B1975" s="46"/>
      <c r="C1975" s="46"/>
      <c r="D1975" s="46"/>
      <c r="E1975" s="46"/>
      <c r="F1975" s="46"/>
      <c r="G1975" s="46"/>
      <c r="H1975" s="46"/>
      <c r="I1975" s="46"/>
      <c r="J1975" s="46"/>
      <c r="K1975" s="46"/>
      <c r="L1975" s="46"/>
      <c r="M1975" s="46"/>
      <c r="N1975" s="46"/>
      <c r="O1975" s="46"/>
      <c r="P1975" s="46"/>
      <c r="Q1975" s="46"/>
      <c r="R1975" s="46"/>
      <c r="S1975" s="46"/>
      <c r="T1975" s="46"/>
      <c r="U1975" s="46"/>
      <c r="V1975" s="46"/>
      <c r="W1975" s="46"/>
    </row>
    <row r="1976" ht="16.5" spans="1:23">
      <c r="A1976" s="46"/>
      <c r="B1976" s="46"/>
      <c r="C1976" s="46"/>
      <c r="D1976" s="46"/>
      <c r="E1976" s="46"/>
      <c r="F1976" s="46"/>
      <c r="G1976" s="46"/>
      <c r="H1976" s="46"/>
      <c r="I1976" s="46"/>
      <c r="J1976" s="46"/>
      <c r="K1976" s="46"/>
      <c r="L1976" s="46"/>
      <c r="M1976" s="46"/>
      <c r="N1976" s="46"/>
      <c r="O1976" s="46"/>
      <c r="P1976" s="46"/>
      <c r="Q1976" s="46"/>
      <c r="R1976" s="46"/>
      <c r="S1976" s="46"/>
      <c r="T1976" s="46"/>
      <c r="U1976" s="46"/>
      <c r="V1976" s="46"/>
      <c r="W1976" s="46"/>
    </row>
    <row r="1977" ht="16.5" spans="1:23">
      <c r="A1977" s="46"/>
      <c r="B1977" s="46"/>
      <c r="C1977" s="46"/>
      <c r="D1977" s="46"/>
      <c r="E1977" s="46"/>
      <c r="F1977" s="46"/>
      <c r="G1977" s="46"/>
      <c r="H1977" s="46"/>
      <c r="I1977" s="46"/>
      <c r="J1977" s="46"/>
      <c r="K1977" s="46"/>
      <c r="L1977" s="46"/>
      <c r="M1977" s="46"/>
      <c r="N1977" s="46"/>
      <c r="O1977" s="46"/>
      <c r="P1977" s="46"/>
      <c r="Q1977" s="46"/>
      <c r="R1977" s="46"/>
      <c r="S1977" s="46"/>
      <c r="T1977" s="46"/>
      <c r="U1977" s="46"/>
      <c r="V1977" s="46"/>
      <c r="W1977" s="46"/>
    </row>
    <row r="1978" ht="16.5" spans="1:23">
      <c r="A1978" s="46"/>
      <c r="B1978" s="46"/>
      <c r="C1978" s="46"/>
      <c r="D1978" s="46"/>
      <c r="E1978" s="46"/>
      <c r="F1978" s="46"/>
      <c r="G1978" s="46"/>
      <c r="H1978" s="46"/>
      <c r="I1978" s="46"/>
      <c r="J1978" s="46"/>
      <c r="K1978" s="46"/>
      <c r="L1978" s="46"/>
      <c r="M1978" s="46"/>
      <c r="N1978" s="46"/>
      <c r="O1978" s="46"/>
      <c r="P1978" s="46"/>
      <c r="Q1978" s="46"/>
      <c r="R1978" s="46"/>
      <c r="S1978" s="46"/>
      <c r="T1978" s="46"/>
      <c r="U1978" s="46"/>
      <c r="V1978" s="46"/>
      <c r="W1978" s="46"/>
    </row>
    <row r="1979" ht="16.5" spans="1:23">
      <c r="A1979" s="46"/>
      <c r="B1979" s="46"/>
      <c r="C1979" s="46"/>
      <c r="D1979" s="46"/>
      <c r="E1979" s="46"/>
      <c r="F1979" s="46"/>
      <c r="G1979" s="46"/>
      <c r="H1979" s="46"/>
      <c r="I1979" s="46"/>
      <c r="J1979" s="46"/>
      <c r="K1979" s="46"/>
      <c r="L1979" s="46"/>
      <c r="M1979" s="46"/>
      <c r="N1979" s="46"/>
      <c r="O1979" s="46"/>
      <c r="P1979" s="46"/>
      <c r="Q1979" s="46"/>
      <c r="R1979" s="46"/>
      <c r="S1979" s="46"/>
      <c r="T1979" s="46"/>
      <c r="U1979" s="46"/>
      <c r="V1979" s="46"/>
      <c r="W1979" s="46"/>
    </row>
    <row r="1980" ht="16.5" spans="1:23">
      <c r="A1980" s="46"/>
      <c r="B1980" s="46"/>
      <c r="C1980" s="46"/>
      <c r="D1980" s="46"/>
      <c r="E1980" s="46"/>
      <c r="F1980" s="46"/>
      <c r="G1980" s="46"/>
      <c r="H1980" s="46"/>
      <c r="I1980" s="46"/>
      <c r="J1980" s="46"/>
      <c r="K1980" s="46"/>
      <c r="L1980" s="46"/>
      <c r="M1980" s="46"/>
      <c r="N1980" s="46"/>
      <c r="O1980" s="46"/>
      <c r="P1980" s="46"/>
      <c r="Q1980" s="46"/>
      <c r="R1980" s="46"/>
      <c r="S1980" s="46"/>
      <c r="T1980" s="46"/>
      <c r="U1980" s="46"/>
      <c r="V1980" s="46"/>
      <c r="W1980" s="46"/>
    </row>
    <row r="1981" ht="16.5" spans="1:23">
      <c r="A1981" s="46"/>
      <c r="B1981" s="46"/>
      <c r="C1981" s="46"/>
      <c r="D1981" s="46"/>
      <c r="E1981" s="46"/>
      <c r="F1981" s="46"/>
      <c r="G1981" s="46"/>
      <c r="H1981" s="46"/>
      <c r="I1981" s="46"/>
      <c r="J1981" s="46"/>
      <c r="K1981" s="46"/>
      <c r="L1981" s="46"/>
      <c r="M1981" s="46"/>
      <c r="N1981" s="46"/>
      <c r="O1981" s="46"/>
      <c r="P1981" s="46"/>
      <c r="Q1981" s="46"/>
      <c r="R1981" s="46"/>
      <c r="S1981" s="46"/>
      <c r="T1981" s="46"/>
      <c r="U1981" s="46"/>
      <c r="V1981" s="46"/>
      <c r="W1981" s="46"/>
    </row>
    <row r="1982" ht="16.5" spans="1:23">
      <c r="A1982" s="46"/>
      <c r="B1982" s="46"/>
      <c r="C1982" s="46"/>
      <c r="D1982" s="46"/>
      <c r="E1982" s="46"/>
      <c r="F1982" s="46"/>
      <c r="G1982" s="46"/>
      <c r="H1982" s="46"/>
      <c r="I1982" s="46"/>
      <c r="J1982" s="46"/>
      <c r="K1982" s="46"/>
      <c r="L1982" s="46"/>
      <c r="M1982" s="46"/>
      <c r="N1982" s="46"/>
      <c r="O1982" s="46"/>
      <c r="P1982" s="46"/>
      <c r="Q1982" s="46"/>
      <c r="R1982" s="46"/>
      <c r="S1982" s="46"/>
      <c r="T1982" s="46"/>
      <c r="U1982" s="46"/>
      <c r="V1982" s="46"/>
      <c r="W1982" s="46"/>
    </row>
    <row r="1983" ht="16.5" spans="1:23">
      <c r="A1983" s="46"/>
      <c r="B1983" s="46"/>
      <c r="C1983" s="46"/>
      <c r="D1983" s="46"/>
      <c r="E1983" s="46"/>
      <c r="F1983" s="46"/>
      <c r="G1983" s="46"/>
      <c r="H1983" s="46"/>
      <c r="I1983" s="46"/>
      <c r="J1983" s="46"/>
      <c r="K1983" s="46"/>
      <c r="L1983" s="46"/>
      <c r="M1983" s="46"/>
      <c r="N1983" s="46"/>
      <c r="O1983" s="46"/>
      <c r="P1983" s="46"/>
      <c r="Q1983" s="46"/>
      <c r="R1983" s="46"/>
      <c r="S1983" s="46"/>
      <c r="T1983" s="46"/>
      <c r="U1983" s="46"/>
      <c r="V1983" s="46"/>
      <c r="W1983" s="46"/>
    </row>
    <row r="1984" ht="16.5" spans="1:23">
      <c r="A1984" s="46"/>
      <c r="B1984" s="46"/>
      <c r="C1984" s="46"/>
      <c r="D1984" s="46"/>
      <c r="E1984" s="46"/>
      <c r="F1984" s="46"/>
      <c r="G1984" s="46"/>
      <c r="H1984" s="46"/>
      <c r="I1984" s="46"/>
      <c r="J1984" s="46"/>
      <c r="K1984" s="46"/>
      <c r="L1984" s="46"/>
      <c r="M1984" s="46"/>
      <c r="N1984" s="46"/>
      <c r="O1984" s="46"/>
      <c r="P1984" s="46"/>
      <c r="Q1984" s="46"/>
      <c r="R1984" s="46"/>
      <c r="S1984" s="46"/>
      <c r="T1984" s="46"/>
      <c r="U1984" s="46"/>
      <c r="V1984" s="46"/>
      <c r="W1984" s="46"/>
    </row>
    <row r="1985" ht="16.5" spans="1:23">
      <c r="A1985" s="46"/>
      <c r="B1985" s="46"/>
      <c r="C1985" s="46"/>
      <c r="D1985" s="46"/>
      <c r="E1985" s="46"/>
      <c r="F1985" s="46"/>
      <c r="G1985" s="46"/>
      <c r="H1985" s="46"/>
      <c r="I1985" s="46"/>
      <c r="J1985" s="46"/>
      <c r="K1985" s="46"/>
      <c r="L1985" s="46"/>
      <c r="M1985" s="46"/>
      <c r="N1985" s="46"/>
      <c r="O1985" s="46"/>
      <c r="P1985" s="46"/>
      <c r="Q1985" s="46"/>
      <c r="R1985" s="46"/>
      <c r="S1985" s="46"/>
      <c r="T1985" s="46"/>
      <c r="U1985" s="46"/>
      <c r="V1985" s="46"/>
      <c r="W1985" s="46"/>
    </row>
    <row r="1986" ht="16.5" spans="1:23">
      <c r="A1986" s="46"/>
      <c r="B1986" s="46"/>
      <c r="C1986" s="46"/>
      <c r="D1986" s="46"/>
      <c r="E1986" s="46"/>
      <c r="F1986" s="46"/>
      <c r="G1986" s="46"/>
      <c r="H1986" s="46"/>
      <c r="I1986" s="46"/>
      <c r="J1986" s="46"/>
      <c r="K1986" s="46"/>
      <c r="L1986" s="46"/>
      <c r="M1986" s="46"/>
      <c r="N1986" s="46"/>
      <c r="O1986" s="46"/>
      <c r="P1986" s="46"/>
      <c r="Q1986" s="46"/>
      <c r="R1986" s="46"/>
      <c r="S1986" s="46"/>
      <c r="T1986" s="46"/>
      <c r="U1986" s="46"/>
      <c r="V1986" s="46"/>
      <c r="W1986" s="46"/>
    </row>
    <row r="1987" ht="16.5" spans="1:23">
      <c r="A1987" s="46"/>
      <c r="B1987" s="46"/>
      <c r="C1987" s="46"/>
      <c r="D1987" s="46"/>
      <c r="E1987" s="46"/>
      <c r="F1987" s="46"/>
      <c r="G1987" s="46"/>
      <c r="H1987" s="46"/>
      <c r="I1987" s="46"/>
      <c r="J1987" s="46"/>
      <c r="K1987" s="46"/>
      <c r="L1987" s="46"/>
      <c r="M1987" s="46"/>
      <c r="N1987" s="46"/>
      <c r="O1987" s="46"/>
      <c r="P1987" s="46"/>
      <c r="Q1987" s="46"/>
      <c r="R1987" s="46"/>
      <c r="S1987" s="46"/>
      <c r="T1987" s="46"/>
      <c r="U1987" s="46"/>
      <c r="V1987" s="46"/>
      <c r="W1987" s="46"/>
    </row>
    <row r="1988" ht="16.5" spans="1:23">
      <c r="A1988" s="46"/>
      <c r="B1988" s="46"/>
      <c r="C1988" s="46"/>
      <c r="D1988" s="46"/>
      <c r="E1988" s="46"/>
      <c r="F1988" s="46"/>
      <c r="G1988" s="46"/>
      <c r="H1988" s="46"/>
      <c r="I1988" s="46"/>
      <c r="J1988" s="46"/>
      <c r="K1988" s="46"/>
      <c r="L1988" s="46"/>
      <c r="M1988" s="46"/>
      <c r="N1988" s="46"/>
      <c r="O1988" s="46"/>
      <c r="P1988" s="46"/>
      <c r="Q1988" s="46"/>
      <c r="R1988" s="46"/>
      <c r="S1988" s="46"/>
      <c r="T1988" s="46"/>
      <c r="U1988" s="46"/>
      <c r="V1988" s="46"/>
      <c r="W1988" s="46"/>
    </row>
    <row r="1989" ht="16.5" spans="1:23">
      <c r="A1989" s="46"/>
      <c r="B1989" s="46"/>
      <c r="C1989" s="46"/>
      <c r="D1989" s="46"/>
      <c r="E1989" s="46"/>
      <c r="F1989" s="46"/>
      <c r="G1989" s="46"/>
      <c r="H1989" s="46"/>
      <c r="I1989" s="46"/>
      <c r="J1989" s="46"/>
      <c r="K1989" s="46"/>
      <c r="L1989" s="46"/>
      <c r="M1989" s="46"/>
      <c r="N1989" s="46"/>
      <c r="O1989" s="46"/>
      <c r="P1989" s="46"/>
      <c r="Q1989" s="46"/>
      <c r="R1989" s="46"/>
      <c r="S1989" s="46"/>
      <c r="T1989" s="46"/>
      <c r="U1989" s="46"/>
      <c r="V1989" s="46"/>
      <c r="W1989" s="46"/>
    </row>
    <row r="1990" ht="16.5" spans="1:23">
      <c r="A1990" s="46"/>
      <c r="B1990" s="46"/>
      <c r="C1990" s="46"/>
      <c r="D1990" s="46"/>
      <c r="E1990" s="46"/>
      <c r="F1990" s="46"/>
      <c r="G1990" s="46"/>
      <c r="H1990" s="46"/>
      <c r="I1990" s="46"/>
      <c r="J1990" s="46"/>
      <c r="K1990" s="46"/>
      <c r="L1990" s="46"/>
      <c r="M1990" s="46"/>
      <c r="N1990" s="46"/>
      <c r="O1990" s="46"/>
      <c r="P1990" s="46"/>
      <c r="Q1990" s="46"/>
      <c r="R1990" s="46"/>
      <c r="S1990" s="46"/>
      <c r="T1990" s="46"/>
      <c r="U1990" s="46"/>
      <c r="V1990" s="46"/>
      <c r="W1990" s="46"/>
    </row>
    <row r="1991" ht="16.5" spans="1:23">
      <c r="A1991" s="46"/>
      <c r="B1991" s="46"/>
      <c r="C1991" s="46"/>
      <c r="D1991" s="46"/>
      <c r="E1991" s="46"/>
      <c r="F1991" s="46"/>
      <c r="G1991" s="46"/>
      <c r="H1991" s="46"/>
      <c r="I1991" s="46"/>
      <c r="J1991" s="46"/>
      <c r="K1991" s="46"/>
      <c r="L1991" s="46"/>
      <c r="M1991" s="46"/>
      <c r="N1991" s="46"/>
      <c r="O1991" s="46"/>
      <c r="P1991" s="46"/>
      <c r="Q1991" s="46"/>
      <c r="R1991" s="46"/>
      <c r="S1991" s="46"/>
      <c r="T1991" s="46"/>
      <c r="U1991" s="46"/>
      <c r="V1991" s="46"/>
      <c r="W1991" s="46"/>
    </row>
    <row r="1992" ht="16.5" spans="1:23">
      <c r="A1992" s="46"/>
      <c r="B1992" s="46"/>
      <c r="C1992" s="46"/>
      <c r="D1992" s="46"/>
      <c r="E1992" s="46"/>
      <c r="F1992" s="46"/>
      <c r="G1992" s="46"/>
      <c r="H1992" s="46"/>
      <c r="I1992" s="46"/>
      <c r="J1992" s="46"/>
      <c r="K1992" s="46"/>
      <c r="L1992" s="46"/>
      <c r="M1992" s="46"/>
      <c r="N1992" s="46"/>
      <c r="O1992" s="46"/>
      <c r="P1992" s="46"/>
      <c r="Q1992" s="46"/>
      <c r="R1992" s="46"/>
      <c r="S1992" s="46"/>
      <c r="T1992" s="46"/>
      <c r="U1992" s="46"/>
      <c r="V1992" s="46"/>
      <c r="W1992" s="46"/>
    </row>
    <row r="1993" ht="16.5" spans="1:23">
      <c r="A1993" s="46"/>
      <c r="B1993" s="46"/>
      <c r="C1993" s="46"/>
      <c r="D1993" s="46"/>
      <c r="E1993" s="46"/>
      <c r="F1993" s="46"/>
      <c r="G1993" s="46"/>
      <c r="H1993" s="46"/>
      <c r="I1993" s="46"/>
      <c r="J1993" s="46"/>
      <c r="K1993" s="46"/>
      <c r="L1993" s="46"/>
      <c r="M1993" s="46"/>
      <c r="N1993" s="46"/>
      <c r="O1993" s="46"/>
      <c r="P1993" s="46"/>
      <c r="Q1993" s="46"/>
      <c r="R1993" s="46"/>
      <c r="S1993" s="46"/>
      <c r="T1993" s="46"/>
      <c r="U1993" s="46"/>
      <c r="V1993" s="46"/>
      <c r="W1993" s="46"/>
    </row>
    <row r="1994" ht="16.5" spans="1:23">
      <c r="A1994" s="46"/>
      <c r="B1994" s="46"/>
      <c r="C1994" s="46"/>
      <c r="D1994" s="46"/>
      <c r="E1994" s="46"/>
      <c r="F1994" s="46"/>
      <c r="G1994" s="46"/>
      <c r="H1994" s="46"/>
      <c r="I1994" s="46"/>
      <c r="J1994" s="46"/>
      <c r="K1994" s="46"/>
      <c r="L1994" s="46"/>
      <c r="M1994" s="46"/>
      <c r="N1994" s="46"/>
      <c r="O1994" s="46"/>
      <c r="P1994" s="46"/>
      <c r="Q1994" s="46"/>
      <c r="R1994" s="46"/>
      <c r="S1994" s="46"/>
      <c r="T1994" s="46"/>
      <c r="U1994" s="46"/>
      <c r="V1994" s="46"/>
      <c r="W1994" s="46"/>
    </row>
    <row r="1995" ht="16.5" spans="1:23">
      <c r="A1995" s="46"/>
      <c r="B1995" s="46"/>
      <c r="C1995" s="46"/>
      <c r="D1995" s="46"/>
      <c r="E1995" s="46"/>
      <c r="F1995" s="46"/>
      <c r="G1995" s="46"/>
      <c r="H1995" s="46"/>
      <c r="I1995" s="46"/>
      <c r="J1995" s="46"/>
      <c r="K1995" s="46"/>
      <c r="L1995" s="46"/>
      <c r="M1995" s="46"/>
      <c r="N1995" s="46"/>
      <c r="O1995" s="46"/>
      <c r="P1995" s="46"/>
      <c r="Q1995" s="46"/>
      <c r="R1995" s="46"/>
      <c r="S1995" s="46"/>
      <c r="T1995" s="46"/>
      <c r="U1995" s="46"/>
      <c r="V1995" s="46"/>
      <c r="W1995" s="46"/>
    </row>
    <row r="1996" ht="16.5" spans="1:23">
      <c r="A1996" s="46"/>
      <c r="B1996" s="46"/>
      <c r="C1996" s="46"/>
      <c r="D1996" s="46"/>
      <c r="E1996" s="46"/>
      <c r="F1996" s="46"/>
      <c r="G1996" s="46"/>
      <c r="H1996" s="46"/>
      <c r="I1996" s="46"/>
      <c r="J1996" s="46"/>
      <c r="K1996" s="46"/>
      <c r="L1996" s="46"/>
      <c r="M1996" s="46"/>
      <c r="N1996" s="46"/>
      <c r="O1996" s="46"/>
      <c r="P1996" s="46"/>
      <c r="Q1996" s="46"/>
      <c r="R1996" s="46"/>
      <c r="S1996" s="46"/>
      <c r="T1996" s="46"/>
      <c r="U1996" s="46"/>
      <c r="V1996" s="46"/>
      <c r="W1996" s="46"/>
    </row>
    <row r="1997" ht="16.5" spans="1:23">
      <c r="A1997" s="46"/>
      <c r="B1997" s="46"/>
      <c r="C1997" s="46"/>
      <c r="D1997" s="46"/>
      <c r="E1997" s="46"/>
      <c r="F1997" s="46"/>
      <c r="G1997" s="46"/>
      <c r="H1997" s="46"/>
      <c r="I1997" s="46"/>
      <c r="J1997" s="46"/>
      <c r="K1997" s="46"/>
      <c r="L1997" s="46"/>
      <c r="M1997" s="46"/>
      <c r="N1997" s="46"/>
      <c r="O1997" s="46"/>
      <c r="P1997" s="46"/>
      <c r="Q1997" s="46"/>
      <c r="R1997" s="46"/>
      <c r="S1997" s="46"/>
      <c r="T1997" s="46"/>
      <c r="U1997" s="46"/>
      <c r="V1997" s="46"/>
      <c r="W1997" s="46"/>
    </row>
    <row r="1998" ht="16.5" spans="1:23">
      <c r="A1998" s="46"/>
      <c r="B1998" s="46"/>
      <c r="C1998" s="46"/>
      <c r="D1998" s="46"/>
      <c r="E1998" s="46"/>
      <c r="F1998" s="46"/>
      <c r="G1998" s="46"/>
      <c r="H1998" s="46"/>
      <c r="I1998" s="46"/>
      <c r="J1998" s="46"/>
      <c r="K1998" s="46"/>
      <c r="L1998" s="46"/>
      <c r="M1998" s="46"/>
      <c r="N1998" s="46"/>
      <c r="O1998" s="46"/>
      <c r="P1998" s="46"/>
      <c r="Q1998" s="46"/>
      <c r="R1998" s="46"/>
      <c r="S1998" s="46"/>
      <c r="T1998" s="46"/>
      <c r="U1998" s="46"/>
      <c r="V1998" s="46"/>
      <c r="W1998" s="46"/>
    </row>
    <row r="1999" ht="16.5" spans="1:23">
      <c r="A1999" s="46"/>
      <c r="B1999" s="46"/>
      <c r="C1999" s="46"/>
      <c r="D1999" s="46"/>
      <c r="E1999" s="46"/>
      <c r="F1999" s="46"/>
      <c r="G1999" s="46"/>
      <c r="H1999" s="46"/>
      <c r="I1999" s="46"/>
      <c r="J1999" s="46"/>
      <c r="K1999" s="46"/>
      <c r="L1999" s="46"/>
      <c r="M1999" s="46"/>
      <c r="N1999" s="46"/>
      <c r="O1999" s="46"/>
      <c r="P1999" s="46"/>
      <c r="Q1999" s="46"/>
      <c r="R1999" s="46"/>
      <c r="S1999" s="46"/>
      <c r="T1999" s="46"/>
      <c r="U1999" s="46"/>
      <c r="V1999" s="46"/>
      <c r="W1999" s="46"/>
    </row>
    <row r="2000" ht="16.5" spans="1:23">
      <c r="A2000" s="46"/>
      <c r="B2000" s="46"/>
      <c r="C2000" s="46"/>
      <c r="D2000" s="46"/>
      <c r="E2000" s="46"/>
      <c r="F2000" s="46"/>
      <c r="G2000" s="46"/>
      <c r="H2000" s="46"/>
      <c r="I2000" s="46"/>
      <c r="J2000" s="46"/>
      <c r="K2000" s="46"/>
      <c r="L2000" s="46"/>
      <c r="M2000" s="46"/>
      <c r="N2000" s="46"/>
      <c r="O2000" s="46"/>
      <c r="P2000" s="46"/>
      <c r="Q2000" s="46"/>
      <c r="R2000" s="46"/>
      <c r="S2000" s="46"/>
      <c r="T2000" s="46"/>
      <c r="U2000" s="46"/>
      <c r="V2000" s="46"/>
      <c r="W2000" s="46"/>
    </row>
    <row r="2001" ht="16.5" spans="1:23">
      <c r="A2001" s="46"/>
      <c r="B2001" s="46"/>
      <c r="C2001" s="46"/>
      <c r="D2001" s="46"/>
      <c r="E2001" s="46"/>
      <c r="F2001" s="46"/>
      <c r="G2001" s="46"/>
      <c r="H2001" s="46"/>
      <c r="I2001" s="46"/>
      <c r="J2001" s="46"/>
      <c r="K2001" s="46"/>
      <c r="L2001" s="46"/>
      <c r="M2001" s="46"/>
      <c r="N2001" s="46"/>
      <c r="O2001" s="46"/>
      <c r="P2001" s="46"/>
      <c r="Q2001" s="46"/>
      <c r="R2001" s="46"/>
      <c r="S2001" s="46"/>
      <c r="T2001" s="46"/>
      <c r="U2001" s="46"/>
      <c r="V2001" s="46"/>
      <c r="W2001" s="46"/>
    </row>
    <row r="2002" ht="16.5" spans="1:23">
      <c r="A2002" s="46"/>
      <c r="B2002" s="46"/>
      <c r="C2002" s="46"/>
      <c r="D2002" s="46"/>
      <c r="E2002" s="46"/>
      <c r="F2002" s="46"/>
      <c r="G2002" s="46"/>
      <c r="H2002" s="46"/>
      <c r="I2002" s="46"/>
      <c r="J2002" s="46"/>
      <c r="K2002" s="46"/>
      <c r="L2002" s="46"/>
      <c r="M2002" s="46"/>
      <c r="N2002" s="46"/>
      <c r="O2002" s="46"/>
      <c r="P2002" s="46"/>
      <c r="Q2002" s="46"/>
      <c r="R2002" s="46"/>
      <c r="S2002" s="46"/>
      <c r="T2002" s="46"/>
      <c r="U2002" s="46"/>
      <c r="V2002" s="46"/>
      <c r="W2002" s="46"/>
    </row>
    <row r="2003" ht="16.5" spans="1:23">
      <c r="A2003" s="46"/>
      <c r="B2003" s="46"/>
      <c r="C2003" s="46"/>
      <c r="D2003" s="46"/>
      <c r="E2003" s="46"/>
      <c r="F2003" s="46"/>
      <c r="G2003" s="46"/>
      <c r="H2003" s="46"/>
      <c r="I2003" s="46"/>
      <c r="J2003" s="46"/>
      <c r="K2003" s="46"/>
      <c r="L2003" s="46"/>
      <c r="M2003" s="46"/>
      <c r="N2003" s="46"/>
      <c r="O2003" s="46"/>
      <c r="P2003" s="46"/>
      <c r="Q2003" s="46"/>
      <c r="R2003" s="46"/>
      <c r="S2003" s="46"/>
      <c r="T2003" s="46"/>
      <c r="U2003" s="46"/>
      <c r="V2003" s="46"/>
      <c r="W2003" s="46"/>
    </row>
    <row r="2004" ht="16.5" spans="1:23">
      <c r="A2004" s="46"/>
      <c r="B2004" s="46"/>
      <c r="C2004" s="46"/>
      <c r="D2004" s="46"/>
      <c r="E2004" s="46"/>
      <c r="F2004" s="46"/>
      <c r="G2004" s="46"/>
      <c r="H2004" s="46"/>
      <c r="I2004" s="46"/>
      <c r="J2004" s="46"/>
      <c r="K2004" s="46"/>
      <c r="L2004" s="46"/>
      <c r="M2004" s="46"/>
      <c r="N2004" s="46"/>
      <c r="O2004" s="46"/>
      <c r="P2004" s="46"/>
      <c r="Q2004" s="46"/>
      <c r="R2004" s="46"/>
      <c r="S2004" s="46"/>
      <c r="T2004" s="46"/>
      <c r="U2004" s="46"/>
      <c r="V2004" s="46"/>
      <c r="W2004" s="46"/>
    </row>
    <row r="2005" ht="16.5" spans="1:23">
      <c r="A2005" s="46"/>
      <c r="B2005" s="46"/>
      <c r="C2005" s="46"/>
      <c r="D2005" s="46"/>
      <c r="E2005" s="46"/>
      <c r="F2005" s="46"/>
      <c r="G2005" s="46"/>
      <c r="H2005" s="46"/>
      <c r="I2005" s="46"/>
      <c r="J2005" s="46"/>
      <c r="K2005" s="46"/>
      <c r="L2005" s="46"/>
      <c r="M2005" s="46"/>
      <c r="N2005" s="46"/>
      <c r="O2005" s="46"/>
      <c r="P2005" s="46"/>
      <c r="Q2005" s="46"/>
      <c r="R2005" s="46"/>
      <c r="S2005" s="46"/>
      <c r="T2005" s="46"/>
      <c r="U2005" s="46"/>
      <c r="V2005" s="46"/>
      <c r="W2005" s="46"/>
    </row>
    <row r="2006" ht="16.5" spans="1:23">
      <c r="A2006" s="46"/>
      <c r="B2006" s="46"/>
      <c r="C2006" s="46"/>
      <c r="D2006" s="46"/>
      <c r="E2006" s="46"/>
      <c r="F2006" s="46"/>
      <c r="G2006" s="46"/>
      <c r="H2006" s="46"/>
      <c r="I2006" s="46"/>
      <c r="J2006" s="46"/>
      <c r="K2006" s="46"/>
      <c r="L2006" s="46"/>
      <c r="M2006" s="46"/>
      <c r="N2006" s="46"/>
      <c r="O2006" s="46"/>
      <c r="P2006" s="46"/>
      <c r="Q2006" s="46"/>
      <c r="R2006" s="46"/>
      <c r="S2006" s="46"/>
      <c r="T2006" s="46"/>
      <c r="U2006" s="46"/>
      <c r="V2006" s="46"/>
      <c r="W2006" s="46"/>
    </row>
    <row r="2007" ht="16.5" spans="1:23">
      <c r="A2007" s="46"/>
      <c r="B2007" s="46"/>
      <c r="C2007" s="46"/>
      <c r="D2007" s="46"/>
      <c r="E2007" s="46"/>
      <c r="F2007" s="46"/>
      <c r="G2007" s="46"/>
      <c r="H2007" s="46"/>
      <c r="I2007" s="46"/>
      <c r="J2007" s="46"/>
      <c r="K2007" s="46"/>
      <c r="L2007" s="46"/>
      <c r="M2007" s="46"/>
      <c r="N2007" s="46"/>
      <c r="O2007" s="46"/>
      <c r="P2007" s="46"/>
      <c r="Q2007" s="46"/>
      <c r="R2007" s="46"/>
      <c r="S2007" s="46"/>
      <c r="T2007" s="46"/>
      <c r="U2007" s="46"/>
      <c r="V2007" s="46"/>
      <c r="W2007" s="46"/>
    </row>
    <row r="2008" ht="16.5" spans="1:23">
      <c r="A2008" s="46"/>
      <c r="B2008" s="46"/>
      <c r="C2008" s="46"/>
      <c r="D2008" s="46"/>
      <c r="E2008" s="46"/>
      <c r="F2008" s="46"/>
      <c r="G2008" s="46"/>
      <c r="H2008" s="46"/>
      <c r="I2008" s="46"/>
      <c r="J2008" s="46"/>
      <c r="K2008" s="46"/>
      <c r="L2008" s="46"/>
      <c r="M2008" s="46"/>
      <c r="N2008" s="46"/>
      <c r="O2008" s="46"/>
      <c r="P2008" s="46"/>
      <c r="Q2008" s="46"/>
      <c r="R2008" s="46"/>
      <c r="S2008" s="46"/>
      <c r="T2008" s="46"/>
      <c r="U2008" s="46"/>
      <c r="V2008" s="46"/>
      <c r="W2008" s="46"/>
    </row>
    <row r="2009" ht="16.5" spans="1:23">
      <c r="A2009" s="46"/>
      <c r="B2009" s="46"/>
      <c r="C2009" s="46"/>
      <c r="D2009" s="46"/>
      <c r="E2009" s="46"/>
      <c r="F2009" s="46"/>
      <c r="G2009" s="46"/>
      <c r="H2009" s="46"/>
      <c r="I2009" s="46"/>
      <c r="J2009" s="46"/>
      <c r="K2009" s="46"/>
      <c r="L2009" s="46"/>
      <c r="M2009" s="46"/>
      <c r="N2009" s="46"/>
      <c r="O2009" s="46"/>
      <c r="P2009" s="46"/>
      <c r="Q2009" s="46"/>
      <c r="R2009" s="46"/>
      <c r="S2009" s="46"/>
      <c r="T2009" s="46"/>
      <c r="U2009" s="46"/>
      <c r="V2009" s="46"/>
      <c r="W2009" s="46"/>
    </row>
    <row r="2010" ht="16.5" spans="1:23">
      <c r="A2010" s="46"/>
      <c r="B2010" s="46"/>
      <c r="C2010" s="46"/>
      <c r="D2010" s="46"/>
      <c r="E2010" s="46"/>
      <c r="F2010" s="46"/>
      <c r="G2010" s="46"/>
      <c r="H2010" s="46"/>
      <c r="I2010" s="46"/>
      <c r="J2010" s="46"/>
      <c r="K2010" s="46"/>
      <c r="L2010" s="46"/>
      <c r="M2010" s="46"/>
      <c r="N2010" s="46"/>
      <c r="O2010" s="46"/>
      <c r="P2010" s="46"/>
      <c r="Q2010" s="46"/>
      <c r="R2010" s="46"/>
      <c r="S2010" s="46"/>
      <c r="T2010" s="46"/>
      <c r="U2010" s="46"/>
      <c r="V2010" s="46"/>
      <c r="W2010" s="46"/>
    </row>
    <row r="2011" ht="16.5" spans="1:23">
      <c r="A2011" s="46"/>
      <c r="B2011" s="46"/>
      <c r="C2011" s="46"/>
      <c r="D2011" s="46"/>
      <c r="E2011" s="46"/>
      <c r="F2011" s="46"/>
      <c r="G2011" s="46"/>
      <c r="H2011" s="46"/>
      <c r="I2011" s="46"/>
      <c r="J2011" s="46"/>
      <c r="K2011" s="46"/>
      <c r="L2011" s="46"/>
      <c r="M2011" s="46"/>
      <c r="N2011" s="46"/>
      <c r="O2011" s="46"/>
      <c r="P2011" s="46"/>
      <c r="Q2011" s="46"/>
      <c r="R2011" s="46"/>
      <c r="S2011" s="46"/>
      <c r="T2011" s="46"/>
      <c r="U2011" s="46"/>
      <c r="V2011" s="46"/>
      <c r="W2011" s="46"/>
    </row>
    <row r="2012" ht="16.5" spans="1:23">
      <c r="A2012" s="46"/>
      <c r="B2012" s="46"/>
      <c r="C2012" s="46"/>
      <c r="D2012" s="46"/>
      <c r="E2012" s="46"/>
      <c r="F2012" s="46"/>
      <c r="G2012" s="46"/>
      <c r="H2012" s="46"/>
      <c r="I2012" s="46"/>
      <c r="J2012" s="46"/>
      <c r="K2012" s="46"/>
      <c r="L2012" s="46"/>
      <c r="M2012" s="46"/>
      <c r="N2012" s="46"/>
      <c r="O2012" s="46"/>
      <c r="P2012" s="46"/>
      <c r="Q2012" s="46"/>
      <c r="R2012" s="46"/>
      <c r="S2012" s="46"/>
      <c r="T2012" s="46"/>
      <c r="U2012" s="46"/>
      <c r="V2012" s="46"/>
      <c r="W2012" s="46"/>
    </row>
    <row r="2013" ht="16.5" spans="1:23">
      <c r="A2013" s="46"/>
      <c r="B2013" s="46"/>
      <c r="C2013" s="46"/>
      <c r="D2013" s="46"/>
      <c r="E2013" s="46"/>
      <c r="F2013" s="46"/>
      <c r="G2013" s="46"/>
      <c r="H2013" s="46"/>
      <c r="I2013" s="46"/>
      <c r="J2013" s="46"/>
      <c r="K2013" s="46"/>
      <c r="L2013" s="46"/>
      <c r="M2013" s="46"/>
      <c r="N2013" s="46"/>
      <c r="O2013" s="46"/>
      <c r="P2013" s="46"/>
      <c r="Q2013" s="46"/>
      <c r="R2013" s="46"/>
      <c r="S2013" s="46"/>
      <c r="T2013" s="46"/>
      <c r="U2013" s="46"/>
      <c r="V2013" s="46"/>
      <c r="W2013" s="46"/>
    </row>
    <row r="2014" ht="16.5" spans="1:23">
      <c r="A2014" s="46"/>
      <c r="B2014" s="46"/>
      <c r="C2014" s="46"/>
      <c r="D2014" s="46"/>
      <c r="E2014" s="46"/>
      <c r="F2014" s="46"/>
      <c r="G2014" s="46"/>
      <c r="H2014" s="46"/>
      <c r="I2014" s="46"/>
      <c r="J2014" s="46"/>
      <c r="K2014" s="46"/>
      <c r="L2014" s="46"/>
      <c r="M2014" s="46"/>
      <c r="N2014" s="46"/>
      <c r="O2014" s="46"/>
      <c r="P2014" s="46"/>
      <c r="Q2014" s="46"/>
      <c r="R2014" s="46"/>
      <c r="S2014" s="46"/>
      <c r="T2014" s="46"/>
      <c r="U2014" s="46"/>
      <c r="V2014" s="46"/>
      <c r="W2014" s="46"/>
    </row>
    <row r="2015" ht="16.5" spans="1:23">
      <c r="A2015" s="46"/>
      <c r="B2015" s="46"/>
      <c r="C2015" s="46"/>
      <c r="D2015" s="46"/>
      <c r="E2015" s="46"/>
      <c r="F2015" s="46"/>
      <c r="G2015" s="46"/>
      <c r="H2015" s="46"/>
      <c r="I2015" s="46"/>
      <c r="J2015" s="46"/>
      <c r="K2015" s="46"/>
      <c r="L2015" s="46"/>
      <c r="M2015" s="46"/>
      <c r="N2015" s="46"/>
      <c r="O2015" s="46"/>
      <c r="P2015" s="46"/>
      <c r="Q2015" s="46"/>
      <c r="R2015" s="46"/>
      <c r="S2015" s="46"/>
      <c r="T2015" s="46"/>
      <c r="U2015" s="46"/>
      <c r="V2015" s="46"/>
      <c r="W2015" s="46"/>
    </row>
    <row r="2016" ht="16.5" spans="1:23">
      <c r="A2016" s="46"/>
      <c r="B2016" s="46"/>
      <c r="C2016" s="46"/>
      <c r="D2016" s="46"/>
      <c r="E2016" s="46"/>
      <c r="F2016" s="46"/>
      <c r="G2016" s="46"/>
      <c r="H2016" s="46"/>
      <c r="I2016" s="46"/>
      <c r="J2016" s="46"/>
      <c r="K2016" s="46"/>
      <c r="L2016" s="46"/>
      <c r="M2016" s="46"/>
      <c r="N2016" s="46"/>
      <c r="O2016" s="46"/>
      <c r="P2016" s="46"/>
      <c r="Q2016" s="46"/>
      <c r="R2016" s="46"/>
      <c r="S2016" s="46"/>
      <c r="T2016" s="46"/>
      <c r="U2016" s="46"/>
      <c r="V2016" s="46"/>
      <c r="W2016" s="46"/>
    </row>
    <row r="2017" ht="16.5" spans="1:23">
      <c r="A2017" s="46"/>
      <c r="B2017" s="46"/>
      <c r="C2017" s="46"/>
      <c r="D2017" s="46"/>
      <c r="E2017" s="46"/>
      <c r="F2017" s="46"/>
      <c r="G2017" s="46"/>
      <c r="H2017" s="46"/>
      <c r="I2017" s="46"/>
      <c r="J2017" s="46"/>
      <c r="K2017" s="46"/>
      <c r="L2017" s="46"/>
      <c r="M2017" s="46"/>
      <c r="N2017" s="46"/>
      <c r="O2017" s="46"/>
      <c r="P2017" s="46"/>
      <c r="Q2017" s="46"/>
      <c r="R2017" s="46"/>
      <c r="S2017" s="46"/>
      <c r="T2017" s="46"/>
      <c r="U2017" s="46"/>
      <c r="V2017" s="46"/>
      <c r="W2017" s="46"/>
    </row>
    <row r="2018" ht="16.5" spans="1:23">
      <c r="A2018" s="46"/>
      <c r="B2018" s="46"/>
      <c r="C2018" s="46"/>
      <c r="D2018" s="46"/>
      <c r="E2018" s="46"/>
      <c r="F2018" s="46"/>
      <c r="G2018" s="46"/>
      <c r="H2018" s="46"/>
      <c r="I2018" s="46"/>
      <c r="J2018" s="46"/>
      <c r="K2018" s="46"/>
      <c r="L2018" s="46"/>
      <c r="M2018" s="46"/>
      <c r="N2018" s="46"/>
      <c r="O2018" s="46"/>
      <c r="P2018" s="46"/>
      <c r="Q2018" s="46"/>
      <c r="R2018" s="46"/>
      <c r="S2018" s="46"/>
      <c r="T2018" s="46"/>
      <c r="U2018" s="46"/>
      <c r="V2018" s="46"/>
      <c r="W2018" s="46"/>
    </row>
    <row r="2019" ht="16.5" spans="1:23">
      <c r="A2019" s="46"/>
      <c r="B2019" s="46"/>
      <c r="C2019" s="46"/>
      <c r="D2019" s="46"/>
      <c r="E2019" s="46"/>
      <c r="F2019" s="46"/>
      <c r="G2019" s="46"/>
      <c r="H2019" s="46"/>
      <c r="I2019" s="46"/>
      <c r="J2019" s="46"/>
      <c r="K2019" s="46"/>
      <c r="L2019" s="46"/>
      <c r="M2019" s="46"/>
      <c r="N2019" s="46"/>
      <c r="O2019" s="46"/>
      <c r="P2019" s="46"/>
      <c r="Q2019" s="46"/>
      <c r="R2019" s="46"/>
      <c r="S2019" s="46"/>
      <c r="T2019" s="46"/>
      <c r="U2019" s="46"/>
      <c r="V2019" s="46"/>
      <c r="W2019" s="46"/>
    </row>
    <row r="2020" ht="16.5" spans="1:23">
      <c r="A2020" s="46"/>
      <c r="B2020" s="46"/>
      <c r="C2020" s="46"/>
      <c r="D2020" s="46"/>
      <c r="E2020" s="46"/>
      <c r="F2020" s="46"/>
      <c r="G2020" s="46"/>
      <c r="H2020" s="46"/>
      <c r="I2020" s="46"/>
      <c r="J2020" s="46"/>
      <c r="K2020" s="46"/>
      <c r="L2020" s="46"/>
      <c r="M2020" s="46"/>
      <c r="N2020" s="46"/>
      <c r="O2020" s="46"/>
      <c r="P2020" s="46"/>
      <c r="Q2020" s="46"/>
      <c r="R2020" s="46"/>
      <c r="S2020" s="46"/>
      <c r="T2020" s="46"/>
      <c r="U2020" s="46"/>
      <c r="V2020" s="46"/>
      <c r="W2020" s="46"/>
    </row>
    <row r="2021" ht="16.5" spans="1:23">
      <c r="A2021" s="46"/>
      <c r="B2021" s="46"/>
      <c r="C2021" s="46"/>
      <c r="D2021" s="46"/>
      <c r="E2021" s="46"/>
      <c r="F2021" s="46"/>
      <c r="G2021" s="46"/>
      <c r="H2021" s="46"/>
      <c r="I2021" s="46"/>
      <c r="J2021" s="46"/>
      <c r="K2021" s="46"/>
      <c r="L2021" s="46"/>
      <c r="M2021" s="46"/>
      <c r="N2021" s="46"/>
      <c r="O2021" s="46"/>
      <c r="P2021" s="46"/>
      <c r="Q2021" s="46"/>
      <c r="R2021" s="46"/>
      <c r="S2021" s="46"/>
      <c r="T2021" s="46"/>
      <c r="U2021" s="46"/>
      <c r="V2021" s="46"/>
      <c r="W2021" s="46"/>
    </row>
    <row r="2022" ht="16.5" spans="1:23">
      <c r="A2022" s="46"/>
      <c r="B2022" s="46"/>
      <c r="C2022" s="46"/>
      <c r="D2022" s="46"/>
      <c r="E2022" s="46"/>
      <c r="F2022" s="46"/>
      <c r="G2022" s="46"/>
      <c r="H2022" s="46"/>
      <c r="I2022" s="46"/>
      <c r="J2022" s="46"/>
      <c r="K2022" s="46"/>
      <c r="L2022" s="46"/>
      <c r="M2022" s="46"/>
      <c r="N2022" s="46"/>
      <c r="O2022" s="46"/>
      <c r="P2022" s="46"/>
      <c r="Q2022" s="46"/>
      <c r="R2022" s="46"/>
      <c r="S2022" s="46"/>
      <c r="T2022" s="46"/>
      <c r="U2022" s="46"/>
      <c r="V2022" s="46"/>
      <c r="W2022" s="46"/>
    </row>
    <row r="2023" ht="16.5" spans="1:23">
      <c r="A2023" s="46"/>
      <c r="B2023" s="46"/>
      <c r="C2023" s="46"/>
      <c r="D2023" s="46"/>
      <c r="E2023" s="46"/>
      <c r="F2023" s="46"/>
      <c r="G2023" s="46"/>
      <c r="H2023" s="46"/>
      <c r="I2023" s="46"/>
      <c r="J2023" s="46"/>
      <c r="K2023" s="46"/>
      <c r="L2023" s="46"/>
      <c r="M2023" s="46"/>
      <c r="N2023" s="46"/>
      <c r="O2023" s="46"/>
      <c r="P2023" s="46"/>
      <c r="Q2023" s="46"/>
      <c r="R2023" s="46"/>
      <c r="S2023" s="46"/>
      <c r="T2023" s="46"/>
      <c r="U2023" s="46"/>
      <c r="V2023" s="46"/>
      <c r="W2023" s="46"/>
    </row>
    <row r="2024" ht="16.5" spans="1:23">
      <c r="A2024" s="46"/>
      <c r="B2024" s="46"/>
      <c r="C2024" s="46"/>
      <c r="D2024" s="46"/>
      <c r="E2024" s="46"/>
      <c r="F2024" s="46"/>
      <c r="G2024" s="46"/>
      <c r="H2024" s="46"/>
      <c r="I2024" s="46"/>
      <c r="J2024" s="46"/>
      <c r="K2024" s="46"/>
      <c r="L2024" s="46"/>
      <c r="M2024" s="46"/>
      <c r="N2024" s="46"/>
      <c r="O2024" s="46"/>
      <c r="P2024" s="46"/>
      <c r="Q2024" s="46"/>
      <c r="R2024" s="46"/>
      <c r="S2024" s="46"/>
      <c r="T2024" s="46"/>
      <c r="U2024" s="46"/>
      <c r="V2024" s="46"/>
      <c r="W2024" s="46"/>
    </row>
    <row r="2025" ht="16.5" spans="1:23">
      <c r="A2025" s="46"/>
      <c r="B2025" s="46"/>
      <c r="C2025" s="46"/>
      <c r="D2025" s="46"/>
      <c r="E2025" s="46"/>
      <c r="F2025" s="46"/>
      <c r="G2025" s="46"/>
      <c r="H2025" s="46"/>
      <c r="I2025" s="46"/>
      <c r="J2025" s="46"/>
      <c r="K2025" s="46"/>
      <c r="L2025" s="46"/>
      <c r="M2025" s="46"/>
      <c r="N2025" s="46"/>
      <c r="O2025" s="46"/>
      <c r="P2025" s="46"/>
      <c r="Q2025" s="46"/>
      <c r="R2025" s="46"/>
      <c r="S2025" s="46"/>
      <c r="T2025" s="46"/>
      <c r="U2025" s="46"/>
      <c r="V2025" s="46"/>
      <c r="W2025" s="46"/>
    </row>
    <row r="2026" ht="16.5" spans="1:23">
      <c r="A2026" s="46"/>
      <c r="B2026" s="46"/>
      <c r="C2026" s="46"/>
      <c r="D2026" s="46"/>
      <c r="E2026" s="46"/>
      <c r="F2026" s="46"/>
      <c r="G2026" s="46"/>
      <c r="H2026" s="46"/>
      <c r="I2026" s="46"/>
      <c r="J2026" s="46"/>
      <c r="K2026" s="46"/>
      <c r="L2026" s="46"/>
      <c r="M2026" s="46"/>
      <c r="N2026" s="46"/>
      <c r="O2026" s="46"/>
      <c r="P2026" s="46"/>
      <c r="Q2026" s="46"/>
      <c r="R2026" s="46"/>
      <c r="S2026" s="46"/>
      <c r="T2026" s="46"/>
      <c r="U2026" s="46"/>
      <c r="V2026" s="46"/>
      <c r="W2026" s="46"/>
    </row>
    <row r="2027" ht="16.5" spans="1:23">
      <c r="A2027" s="46"/>
      <c r="B2027" s="46"/>
      <c r="C2027" s="46"/>
      <c r="D2027" s="46"/>
      <c r="E2027" s="46"/>
      <c r="F2027" s="46"/>
      <c r="G2027" s="46"/>
      <c r="H2027" s="46"/>
      <c r="I2027" s="46"/>
      <c r="J2027" s="46"/>
      <c r="K2027" s="46"/>
      <c r="L2027" s="46"/>
      <c r="M2027" s="46"/>
      <c r="N2027" s="46"/>
      <c r="O2027" s="46"/>
      <c r="P2027" s="46"/>
      <c r="Q2027" s="46"/>
      <c r="R2027" s="46"/>
      <c r="S2027" s="46"/>
      <c r="T2027" s="46"/>
      <c r="U2027" s="46"/>
      <c r="V2027" s="46"/>
      <c r="W2027" s="46"/>
    </row>
    <row r="2028" ht="16.5" spans="1:23">
      <c r="A2028" s="46"/>
      <c r="B2028" s="46"/>
      <c r="C2028" s="46"/>
      <c r="D2028" s="46"/>
      <c r="E2028" s="46"/>
      <c r="F2028" s="46"/>
      <c r="G2028" s="46"/>
      <c r="H2028" s="46"/>
      <c r="I2028" s="46"/>
      <c r="J2028" s="46"/>
      <c r="K2028" s="46"/>
      <c r="L2028" s="46"/>
      <c r="M2028" s="46"/>
      <c r="N2028" s="46"/>
      <c r="O2028" s="46"/>
      <c r="P2028" s="46"/>
      <c r="Q2028" s="46"/>
      <c r="R2028" s="46"/>
      <c r="S2028" s="46"/>
      <c r="T2028" s="46"/>
      <c r="U2028" s="46"/>
      <c r="V2028" s="46"/>
      <c r="W2028" s="46"/>
    </row>
    <row r="2029" ht="16.5" spans="1:23">
      <c r="A2029" s="46"/>
      <c r="B2029" s="46"/>
      <c r="C2029" s="46"/>
      <c r="D2029" s="46"/>
      <c r="E2029" s="46"/>
      <c r="F2029" s="46"/>
      <c r="G2029" s="46"/>
      <c r="H2029" s="46"/>
      <c r="I2029" s="46"/>
      <c r="J2029" s="46"/>
      <c r="K2029" s="46"/>
      <c r="L2029" s="46"/>
      <c r="M2029" s="46"/>
      <c r="N2029" s="46"/>
      <c r="O2029" s="46"/>
      <c r="P2029" s="46"/>
      <c r="Q2029" s="46"/>
      <c r="R2029" s="46"/>
      <c r="S2029" s="46"/>
      <c r="T2029" s="46"/>
      <c r="U2029" s="46"/>
      <c r="V2029" s="46"/>
      <c r="W2029" s="46"/>
    </row>
    <row r="2030" ht="16.5" spans="1:23">
      <c r="A2030" s="46"/>
      <c r="B2030" s="46"/>
      <c r="C2030" s="46"/>
      <c r="D2030" s="46"/>
      <c r="E2030" s="46"/>
      <c r="F2030" s="46"/>
      <c r="G2030" s="46"/>
      <c r="H2030" s="46"/>
      <c r="I2030" s="46"/>
      <c r="J2030" s="46"/>
      <c r="K2030" s="46"/>
      <c r="L2030" s="46"/>
      <c r="M2030" s="46"/>
      <c r="N2030" s="46"/>
      <c r="O2030" s="46"/>
      <c r="P2030" s="46"/>
      <c r="Q2030" s="46"/>
      <c r="R2030" s="46"/>
      <c r="S2030" s="46"/>
      <c r="T2030" s="46"/>
      <c r="U2030" s="46"/>
      <c r="V2030" s="46"/>
      <c r="W2030" s="46"/>
    </row>
    <row r="2031" ht="16.5" spans="1:23">
      <c r="A2031" s="46"/>
      <c r="B2031" s="46"/>
      <c r="C2031" s="46"/>
      <c r="D2031" s="46"/>
      <c r="E2031" s="46"/>
      <c r="F2031" s="46"/>
      <c r="G2031" s="46"/>
      <c r="H2031" s="46"/>
      <c r="I2031" s="46"/>
      <c r="J2031" s="46"/>
      <c r="K2031" s="46"/>
      <c r="L2031" s="46"/>
      <c r="M2031" s="46"/>
      <c r="N2031" s="46"/>
      <c r="O2031" s="46"/>
      <c r="P2031" s="46"/>
      <c r="Q2031" s="46"/>
      <c r="R2031" s="46"/>
      <c r="S2031" s="46"/>
      <c r="T2031" s="46"/>
      <c r="U2031" s="46"/>
      <c r="V2031" s="46"/>
      <c r="W2031" s="46"/>
    </row>
    <row r="2032" ht="16.5" spans="1:23">
      <c r="A2032" s="46"/>
      <c r="B2032" s="46"/>
      <c r="C2032" s="46"/>
      <c r="D2032" s="46"/>
      <c r="E2032" s="46"/>
      <c r="F2032" s="46"/>
      <c r="G2032" s="46"/>
      <c r="H2032" s="46"/>
      <c r="I2032" s="46"/>
      <c r="J2032" s="46"/>
      <c r="K2032" s="46"/>
      <c r="L2032" s="46"/>
      <c r="M2032" s="46"/>
      <c r="N2032" s="46"/>
      <c r="O2032" s="46"/>
      <c r="P2032" s="46"/>
      <c r="Q2032" s="46"/>
      <c r="R2032" s="46"/>
      <c r="S2032" s="46"/>
      <c r="T2032" s="46"/>
      <c r="U2032" s="46"/>
      <c r="V2032" s="46"/>
      <c r="W2032" s="46"/>
    </row>
    <row r="2033" ht="16.5" spans="1:23">
      <c r="A2033" s="46"/>
      <c r="B2033" s="46"/>
      <c r="C2033" s="46"/>
      <c r="D2033" s="46"/>
      <c r="E2033" s="46"/>
      <c r="F2033" s="46"/>
      <c r="G2033" s="46"/>
      <c r="H2033" s="46"/>
      <c r="I2033" s="46"/>
      <c r="J2033" s="46"/>
      <c r="K2033" s="46"/>
      <c r="L2033" s="46"/>
      <c r="M2033" s="46"/>
      <c r="N2033" s="46"/>
      <c r="O2033" s="46"/>
      <c r="P2033" s="46"/>
      <c r="Q2033" s="46"/>
      <c r="R2033" s="46"/>
      <c r="S2033" s="46"/>
      <c r="T2033" s="46"/>
      <c r="U2033" s="46"/>
      <c r="V2033" s="46"/>
      <c r="W2033" s="46"/>
    </row>
    <row r="2034" ht="16.5" spans="1:23">
      <c r="A2034" s="46"/>
      <c r="B2034" s="46"/>
      <c r="C2034" s="46"/>
      <c r="D2034" s="46"/>
      <c r="E2034" s="46"/>
      <c r="F2034" s="46"/>
      <c r="G2034" s="46"/>
      <c r="H2034" s="46"/>
      <c r="I2034" s="46"/>
      <c r="J2034" s="46"/>
      <c r="K2034" s="46"/>
      <c r="L2034" s="46"/>
      <c r="M2034" s="46"/>
      <c r="N2034" s="46"/>
      <c r="O2034" s="46"/>
      <c r="P2034" s="46"/>
      <c r="Q2034" s="46"/>
      <c r="R2034" s="46"/>
      <c r="S2034" s="46"/>
      <c r="T2034" s="46"/>
      <c r="U2034" s="46"/>
      <c r="V2034" s="46"/>
      <c r="W2034" s="46"/>
    </row>
    <row r="2035" ht="16.5" spans="1:23">
      <c r="A2035" s="46"/>
      <c r="B2035" s="46"/>
      <c r="C2035" s="46"/>
      <c r="D2035" s="46"/>
      <c r="E2035" s="46"/>
      <c r="F2035" s="46"/>
      <c r="G2035" s="46"/>
      <c r="H2035" s="46"/>
      <c r="I2035" s="46"/>
      <c r="J2035" s="46"/>
      <c r="K2035" s="46"/>
      <c r="L2035" s="46"/>
      <c r="M2035" s="46"/>
      <c r="N2035" s="46"/>
      <c r="O2035" s="46"/>
      <c r="P2035" s="46"/>
      <c r="Q2035" s="46"/>
      <c r="R2035" s="46"/>
      <c r="S2035" s="46"/>
      <c r="T2035" s="46"/>
      <c r="U2035" s="46"/>
      <c r="V2035" s="46"/>
      <c r="W2035" s="46"/>
    </row>
    <row r="2036" ht="16.5" spans="1:23">
      <c r="A2036" s="46"/>
      <c r="B2036" s="46"/>
      <c r="C2036" s="46"/>
      <c r="D2036" s="46"/>
      <c r="E2036" s="46"/>
      <c r="F2036" s="46"/>
      <c r="G2036" s="46"/>
      <c r="H2036" s="46"/>
      <c r="I2036" s="46"/>
      <c r="J2036" s="46"/>
      <c r="K2036" s="46"/>
      <c r="L2036" s="46"/>
      <c r="M2036" s="46"/>
      <c r="N2036" s="46"/>
      <c r="O2036" s="46"/>
      <c r="P2036" s="46"/>
      <c r="Q2036" s="46"/>
      <c r="R2036" s="46"/>
      <c r="S2036" s="46"/>
      <c r="T2036" s="46"/>
      <c r="U2036" s="46"/>
      <c r="V2036" s="46"/>
      <c r="W2036" s="46"/>
    </row>
    <row r="2037" ht="16.5" spans="1:23">
      <c r="A2037" s="46"/>
      <c r="B2037" s="46"/>
      <c r="C2037" s="46"/>
      <c r="D2037" s="46"/>
      <c r="E2037" s="46"/>
      <c r="F2037" s="46"/>
      <c r="G2037" s="46"/>
      <c r="H2037" s="46"/>
      <c r="I2037" s="46"/>
      <c r="J2037" s="46"/>
      <c r="K2037" s="46"/>
      <c r="L2037" s="46"/>
      <c r="M2037" s="46"/>
      <c r="N2037" s="46"/>
      <c r="O2037" s="46"/>
      <c r="P2037" s="46"/>
      <c r="Q2037" s="46"/>
      <c r="R2037" s="46"/>
      <c r="S2037" s="46"/>
      <c r="T2037" s="46"/>
      <c r="U2037" s="46"/>
      <c r="V2037" s="46"/>
      <c r="W2037" s="46"/>
    </row>
    <row r="2038" ht="16.5" spans="1:23">
      <c r="A2038" s="46"/>
      <c r="B2038" s="46"/>
      <c r="C2038" s="46"/>
      <c r="D2038" s="46"/>
      <c r="E2038" s="46"/>
      <c r="F2038" s="46"/>
      <c r="G2038" s="46"/>
      <c r="H2038" s="46"/>
      <c r="I2038" s="46"/>
      <c r="J2038" s="46"/>
      <c r="K2038" s="46"/>
      <c r="L2038" s="46"/>
      <c r="M2038" s="46"/>
      <c r="N2038" s="46"/>
      <c r="O2038" s="46"/>
      <c r="P2038" s="46"/>
      <c r="Q2038" s="46"/>
      <c r="R2038" s="46"/>
      <c r="S2038" s="46"/>
      <c r="T2038" s="46"/>
      <c r="U2038" s="46"/>
      <c r="V2038" s="46"/>
      <c r="W2038" s="46"/>
    </row>
    <row r="2039" ht="16.5" spans="1:23">
      <c r="A2039" s="46"/>
      <c r="B2039" s="46"/>
      <c r="C2039" s="46"/>
      <c r="D2039" s="46"/>
      <c r="E2039" s="46"/>
      <c r="F2039" s="46"/>
      <c r="G2039" s="46"/>
      <c r="H2039" s="46"/>
      <c r="I2039" s="46"/>
      <c r="J2039" s="46"/>
      <c r="K2039" s="46"/>
      <c r="L2039" s="46"/>
      <c r="M2039" s="46"/>
      <c r="N2039" s="46"/>
      <c r="O2039" s="46"/>
      <c r="P2039" s="46"/>
      <c r="Q2039" s="46"/>
      <c r="R2039" s="46"/>
      <c r="S2039" s="46"/>
      <c r="T2039" s="46"/>
      <c r="U2039" s="46"/>
      <c r="V2039" s="46"/>
      <c r="W2039" s="46"/>
    </row>
    <row r="2040" ht="16.5" spans="1:23">
      <c r="A2040" s="46"/>
      <c r="B2040" s="46"/>
      <c r="C2040" s="46"/>
      <c r="D2040" s="46"/>
      <c r="E2040" s="46"/>
      <c r="F2040" s="46"/>
      <c r="G2040" s="46"/>
      <c r="H2040" s="46"/>
      <c r="I2040" s="46"/>
      <c r="J2040" s="46"/>
      <c r="K2040" s="46"/>
      <c r="L2040" s="46"/>
      <c r="M2040" s="46"/>
      <c r="N2040" s="46"/>
      <c r="O2040" s="46"/>
      <c r="P2040" s="46"/>
      <c r="Q2040" s="46"/>
      <c r="R2040" s="46"/>
      <c r="S2040" s="46"/>
      <c r="T2040" s="46"/>
      <c r="U2040" s="46"/>
      <c r="V2040" s="46"/>
      <c r="W2040" s="46"/>
    </row>
    <row r="2041" ht="16.5" spans="1:23">
      <c r="A2041" s="46"/>
      <c r="B2041" s="46"/>
      <c r="C2041" s="46"/>
      <c r="D2041" s="46"/>
      <c r="E2041" s="46"/>
      <c r="F2041" s="46"/>
      <c r="G2041" s="46"/>
      <c r="H2041" s="46"/>
      <c r="I2041" s="46"/>
      <c r="J2041" s="46"/>
      <c r="K2041" s="46"/>
      <c r="L2041" s="46"/>
      <c r="M2041" s="46"/>
      <c r="N2041" s="46"/>
      <c r="O2041" s="46"/>
      <c r="P2041" s="46"/>
      <c r="Q2041" s="46"/>
      <c r="R2041" s="46"/>
      <c r="S2041" s="46"/>
      <c r="T2041" s="46"/>
      <c r="U2041" s="46"/>
      <c r="V2041" s="46"/>
      <c r="W2041" s="46"/>
    </row>
    <row r="2042" ht="16.5" spans="1:23">
      <c r="A2042" s="46"/>
      <c r="B2042" s="46"/>
      <c r="C2042" s="46"/>
      <c r="D2042" s="46"/>
      <c r="E2042" s="46"/>
      <c r="F2042" s="46"/>
      <c r="G2042" s="46"/>
      <c r="H2042" s="46"/>
      <c r="I2042" s="46"/>
      <c r="J2042" s="46"/>
      <c r="K2042" s="46"/>
      <c r="L2042" s="46"/>
      <c r="M2042" s="46"/>
      <c r="N2042" s="46"/>
      <c r="O2042" s="46"/>
      <c r="P2042" s="46"/>
      <c r="Q2042" s="46"/>
      <c r="R2042" s="46"/>
      <c r="S2042" s="46"/>
      <c r="T2042" s="46"/>
      <c r="U2042" s="46"/>
      <c r="V2042" s="46"/>
      <c r="W2042" s="46"/>
    </row>
    <row r="2043" ht="16.5" spans="1:23">
      <c r="A2043" s="46"/>
      <c r="B2043" s="46"/>
      <c r="C2043" s="46"/>
      <c r="D2043" s="46"/>
      <c r="E2043" s="46"/>
      <c r="F2043" s="46"/>
      <c r="G2043" s="46"/>
      <c r="H2043" s="46"/>
      <c r="I2043" s="46"/>
      <c r="J2043" s="46"/>
      <c r="K2043" s="46"/>
      <c r="L2043" s="46"/>
      <c r="M2043" s="46"/>
      <c r="N2043" s="46"/>
      <c r="O2043" s="46"/>
      <c r="P2043" s="46"/>
      <c r="Q2043" s="46"/>
      <c r="R2043" s="46"/>
      <c r="S2043" s="46"/>
      <c r="T2043" s="46"/>
      <c r="U2043" s="46"/>
      <c r="V2043" s="46"/>
      <c r="W2043" s="46"/>
    </row>
    <row r="2044" ht="16.5" spans="1:23">
      <c r="A2044" s="46"/>
      <c r="B2044" s="46"/>
      <c r="C2044" s="46"/>
      <c r="D2044" s="46"/>
      <c r="E2044" s="46"/>
      <c r="F2044" s="46"/>
      <c r="G2044" s="46"/>
      <c r="H2044" s="46"/>
      <c r="I2044" s="46"/>
      <c r="J2044" s="46"/>
      <c r="K2044" s="46"/>
      <c r="L2044" s="46"/>
      <c r="M2044" s="46"/>
      <c r="N2044" s="46"/>
      <c r="O2044" s="46"/>
      <c r="P2044" s="46"/>
      <c r="Q2044" s="46"/>
      <c r="R2044" s="46"/>
      <c r="S2044" s="46"/>
      <c r="T2044" s="46"/>
      <c r="U2044" s="46"/>
      <c r="V2044" s="46"/>
      <c r="W2044" s="46"/>
    </row>
    <row r="2045" ht="16.5" spans="1:23">
      <c r="A2045" s="46"/>
      <c r="B2045" s="46"/>
      <c r="C2045" s="46"/>
      <c r="D2045" s="46"/>
      <c r="E2045" s="46"/>
      <c r="F2045" s="46"/>
      <c r="G2045" s="46"/>
      <c r="H2045" s="46"/>
      <c r="I2045" s="46"/>
      <c r="J2045" s="46"/>
      <c r="K2045" s="46"/>
      <c r="L2045" s="46"/>
      <c r="M2045" s="46"/>
      <c r="N2045" s="46"/>
      <c r="O2045" s="46"/>
      <c r="P2045" s="46"/>
      <c r="Q2045" s="46"/>
      <c r="R2045" s="46"/>
      <c r="S2045" s="46"/>
      <c r="T2045" s="46"/>
      <c r="U2045" s="46"/>
      <c r="V2045" s="46"/>
      <c r="W2045" s="46"/>
    </row>
    <row r="2046" ht="16.5" spans="1:23">
      <c r="A2046" s="46"/>
      <c r="B2046" s="46"/>
      <c r="C2046" s="46"/>
      <c r="D2046" s="46"/>
      <c r="E2046" s="46"/>
      <c r="F2046" s="46"/>
      <c r="G2046" s="46"/>
      <c r="H2046" s="46"/>
      <c r="I2046" s="46"/>
      <c r="J2046" s="46"/>
      <c r="K2046" s="46"/>
      <c r="L2046" s="46"/>
      <c r="M2046" s="46"/>
      <c r="N2046" s="46"/>
      <c r="O2046" s="46"/>
      <c r="P2046" s="46"/>
      <c r="Q2046" s="46"/>
      <c r="R2046" s="46"/>
      <c r="S2046" s="46"/>
      <c r="T2046" s="46"/>
      <c r="U2046" s="46"/>
      <c r="V2046" s="46"/>
      <c r="W2046" s="46"/>
    </row>
    <row r="2047" ht="16.5" spans="1:23">
      <c r="A2047" s="46"/>
      <c r="B2047" s="46"/>
      <c r="C2047" s="46"/>
      <c r="D2047" s="46"/>
      <c r="E2047" s="46"/>
      <c r="F2047" s="46"/>
      <c r="G2047" s="46"/>
      <c r="H2047" s="46"/>
      <c r="I2047" s="46"/>
      <c r="J2047" s="46"/>
      <c r="K2047" s="46"/>
      <c r="L2047" s="46"/>
      <c r="M2047" s="46"/>
      <c r="N2047" s="46"/>
      <c r="O2047" s="46"/>
      <c r="P2047" s="46"/>
      <c r="Q2047" s="46"/>
      <c r="R2047" s="46"/>
      <c r="S2047" s="46"/>
      <c r="T2047" s="46"/>
      <c r="U2047" s="46"/>
      <c r="V2047" s="46"/>
      <c r="W2047" s="46"/>
    </row>
    <row r="2048" ht="16.5" spans="1:23">
      <c r="A2048" s="46"/>
      <c r="B2048" s="46"/>
      <c r="C2048" s="46"/>
      <c r="D2048" s="46"/>
      <c r="E2048" s="46"/>
      <c r="F2048" s="46"/>
      <c r="G2048" s="46"/>
      <c r="H2048" s="46"/>
      <c r="I2048" s="46"/>
      <c r="J2048" s="46"/>
      <c r="K2048" s="46"/>
      <c r="L2048" s="46"/>
      <c r="M2048" s="46"/>
      <c r="N2048" s="46"/>
      <c r="O2048" s="46"/>
      <c r="P2048" s="46"/>
      <c r="Q2048" s="46"/>
      <c r="R2048" s="46"/>
      <c r="S2048" s="46"/>
      <c r="T2048" s="46"/>
      <c r="U2048" s="46"/>
      <c r="V2048" s="46"/>
      <c r="W2048" s="46"/>
    </row>
    <row r="2049" ht="16.5" spans="1:23">
      <c r="A2049" s="46"/>
      <c r="B2049" s="46"/>
      <c r="C2049" s="46"/>
      <c r="D2049" s="46"/>
      <c r="E2049" s="46"/>
      <c r="F2049" s="46"/>
      <c r="G2049" s="46"/>
      <c r="H2049" s="46"/>
      <c r="I2049" s="46"/>
      <c r="J2049" s="46"/>
      <c r="K2049" s="46"/>
      <c r="L2049" s="46"/>
      <c r="M2049" s="46"/>
      <c r="N2049" s="46"/>
      <c r="O2049" s="46"/>
      <c r="P2049" s="46"/>
      <c r="Q2049" s="46"/>
      <c r="R2049" s="46"/>
      <c r="S2049" s="46"/>
      <c r="T2049" s="46"/>
      <c r="U2049" s="46"/>
      <c r="V2049" s="46"/>
      <c r="W2049" s="46"/>
    </row>
    <row r="2050" ht="16.5" spans="1:23">
      <c r="A2050" s="46"/>
      <c r="B2050" s="46"/>
      <c r="C2050" s="46"/>
      <c r="D2050" s="46"/>
      <c r="E2050" s="46"/>
      <c r="F2050" s="46"/>
      <c r="G2050" s="46"/>
      <c r="H2050" s="46"/>
      <c r="I2050" s="46"/>
      <c r="J2050" s="46"/>
      <c r="K2050" s="46"/>
      <c r="L2050" s="46"/>
      <c r="M2050" s="46"/>
      <c r="N2050" s="46"/>
      <c r="O2050" s="46"/>
      <c r="P2050" s="46"/>
      <c r="Q2050" s="46"/>
      <c r="R2050" s="46"/>
      <c r="S2050" s="46"/>
      <c r="T2050" s="46"/>
      <c r="U2050" s="46"/>
      <c r="V2050" s="46"/>
      <c r="W2050" s="46"/>
    </row>
    <row r="2051" ht="16.5" spans="1:23">
      <c r="A2051" s="46"/>
      <c r="B2051" s="46"/>
      <c r="C2051" s="46"/>
      <c r="D2051" s="46"/>
      <c r="E2051" s="46"/>
      <c r="F2051" s="46"/>
      <c r="G2051" s="46"/>
      <c r="H2051" s="46"/>
      <c r="I2051" s="46"/>
      <c r="J2051" s="46"/>
      <c r="K2051" s="46"/>
      <c r="L2051" s="46"/>
      <c r="M2051" s="46"/>
      <c r="N2051" s="46"/>
      <c r="O2051" s="46"/>
      <c r="P2051" s="46"/>
      <c r="Q2051" s="46"/>
      <c r="R2051" s="46"/>
      <c r="S2051" s="46"/>
      <c r="T2051" s="46"/>
      <c r="U2051" s="46"/>
      <c r="V2051" s="46"/>
      <c r="W2051" s="46"/>
    </row>
    <row r="2052" ht="16.5" spans="1:23">
      <c r="A2052" s="46"/>
      <c r="B2052" s="46"/>
      <c r="C2052" s="46"/>
      <c r="D2052" s="46"/>
      <c r="E2052" s="46"/>
      <c r="F2052" s="46"/>
      <c r="G2052" s="46"/>
      <c r="H2052" s="46"/>
      <c r="I2052" s="46"/>
      <c r="J2052" s="46"/>
      <c r="K2052" s="46"/>
      <c r="L2052" s="46"/>
      <c r="M2052" s="46"/>
      <c r="N2052" s="46"/>
      <c r="O2052" s="46"/>
      <c r="P2052" s="46"/>
      <c r="Q2052" s="46"/>
      <c r="R2052" s="46"/>
      <c r="S2052" s="46"/>
      <c r="T2052" s="46"/>
      <c r="U2052" s="46"/>
      <c r="V2052" s="46"/>
      <c r="W2052" s="46"/>
    </row>
    <row r="2053" ht="16.5" spans="1:23">
      <c r="A2053" s="46"/>
      <c r="B2053" s="46"/>
      <c r="C2053" s="46"/>
      <c r="D2053" s="46"/>
      <c r="E2053" s="46"/>
      <c r="F2053" s="46"/>
      <c r="G2053" s="46"/>
      <c r="H2053" s="46"/>
      <c r="I2053" s="46"/>
      <c r="J2053" s="46"/>
      <c r="K2053" s="46"/>
      <c r="L2053" s="46"/>
      <c r="M2053" s="46"/>
      <c r="N2053" s="46"/>
      <c r="O2053" s="46"/>
      <c r="P2053" s="46"/>
      <c r="Q2053" s="46"/>
      <c r="R2053" s="46"/>
      <c r="S2053" s="46"/>
      <c r="T2053" s="46"/>
      <c r="U2053" s="46"/>
      <c r="V2053" s="46"/>
      <c r="W2053" s="46"/>
    </row>
    <row r="2054" ht="16.5" spans="1:23">
      <c r="A2054" s="46"/>
      <c r="B2054" s="46"/>
      <c r="C2054" s="46"/>
      <c r="D2054" s="46"/>
      <c r="E2054" s="46"/>
      <c r="F2054" s="46"/>
      <c r="G2054" s="46"/>
      <c r="H2054" s="46"/>
      <c r="I2054" s="46"/>
      <c r="J2054" s="46"/>
      <c r="K2054" s="46"/>
      <c r="L2054" s="46"/>
      <c r="M2054" s="46"/>
      <c r="N2054" s="46"/>
      <c r="O2054" s="46"/>
      <c r="P2054" s="46"/>
      <c r="Q2054" s="46"/>
      <c r="R2054" s="46"/>
      <c r="S2054" s="46"/>
      <c r="T2054" s="46"/>
      <c r="U2054" s="46"/>
      <c r="V2054" s="46"/>
      <c r="W2054" s="46"/>
    </row>
    <row r="2055" ht="16.5" spans="1:23">
      <c r="A2055" s="46"/>
      <c r="B2055" s="46"/>
      <c r="C2055" s="46"/>
      <c r="D2055" s="46"/>
      <c r="E2055" s="46"/>
      <c r="F2055" s="46"/>
      <c r="G2055" s="46"/>
      <c r="H2055" s="46"/>
      <c r="I2055" s="46"/>
      <c r="J2055" s="46"/>
      <c r="K2055" s="46"/>
      <c r="L2055" s="46"/>
      <c r="M2055" s="46"/>
      <c r="N2055" s="46"/>
      <c r="O2055" s="46"/>
      <c r="P2055" s="46"/>
      <c r="Q2055" s="46"/>
      <c r="R2055" s="46"/>
      <c r="S2055" s="46"/>
      <c r="T2055" s="46"/>
      <c r="U2055" s="46"/>
      <c r="V2055" s="46"/>
      <c r="W2055" s="46"/>
    </row>
    <row r="2056" ht="16.5" spans="1:23">
      <c r="A2056" s="46"/>
      <c r="B2056" s="46"/>
      <c r="C2056" s="46"/>
      <c r="D2056" s="46"/>
      <c r="E2056" s="46"/>
      <c r="F2056" s="46"/>
      <c r="G2056" s="46"/>
      <c r="H2056" s="46"/>
      <c r="I2056" s="46"/>
      <c r="J2056" s="46"/>
      <c r="K2056" s="46"/>
      <c r="L2056" s="46"/>
      <c r="M2056" s="46"/>
      <c r="N2056" s="46"/>
      <c r="O2056" s="46"/>
      <c r="P2056" s="46"/>
      <c r="Q2056" s="46"/>
      <c r="R2056" s="46"/>
      <c r="S2056" s="46"/>
      <c r="T2056" s="46"/>
      <c r="U2056" s="46"/>
      <c r="V2056" s="46"/>
      <c r="W2056" s="46"/>
    </row>
    <row r="2057" ht="16.5" spans="1:23">
      <c r="A2057" s="46"/>
      <c r="B2057" s="46"/>
      <c r="C2057" s="46"/>
      <c r="D2057" s="46"/>
      <c r="E2057" s="46"/>
      <c r="F2057" s="46"/>
      <c r="G2057" s="46"/>
      <c r="H2057" s="46"/>
      <c r="I2057" s="46"/>
      <c r="J2057" s="46"/>
      <c r="K2057" s="46"/>
      <c r="L2057" s="46"/>
      <c r="M2057" s="46"/>
      <c r="N2057" s="46"/>
      <c r="O2057" s="46"/>
      <c r="P2057" s="46"/>
      <c r="Q2057" s="46"/>
      <c r="R2057" s="46"/>
      <c r="S2057" s="46"/>
      <c r="T2057" s="46"/>
      <c r="U2057" s="46"/>
      <c r="V2057" s="46"/>
      <c r="W2057" s="46"/>
    </row>
    <row r="2058" ht="16.5" spans="1:23">
      <c r="A2058" s="46"/>
      <c r="B2058" s="46"/>
      <c r="C2058" s="46"/>
      <c r="D2058" s="46"/>
      <c r="E2058" s="46"/>
      <c r="F2058" s="46"/>
      <c r="G2058" s="46"/>
      <c r="H2058" s="46"/>
      <c r="I2058" s="46"/>
      <c r="J2058" s="46"/>
      <c r="K2058" s="46"/>
      <c r="L2058" s="46"/>
      <c r="M2058" s="46"/>
      <c r="N2058" s="46"/>
      <c r="O2058" s="46"/>
      <c r="P2058" s="46"/>
      <c r="Q2058" s="46"/>
      <c r="R2058" s="46"/>
      <c r="S2058" s="46"/>
      <c r="T2058" s="46"/>
      <c r="U2058" s="46"/>
      <c r="V2058" s="46"/>
      <c r="W2058" s="46"/>
    </row>
    <row r="2059" ht="16.5" spans="1:23">
      <c r="A2059" s="46"/>
      <c r="B2059" s="46"/>
      <c r="C2059" s="46"/>
      <c r="D2059" s="46"/>
      <c r="E2059" s="46"/>
      <c r="F2059" s="46"/>
      <c r="G2059" s="46"/>
      <c r="H2059" s="46"/>
      <c r="I2059" s="46"/>
      <c r="J2059" s="46"/>
      <c r="K2059" s="46"/>
      <c r="L2059" s="46"/>
      <c r="M2059" s="46"/>
      <c r="N2059" s="46"/>
      <c r="O2059" s="46"/>
      <c r="P2059" s="46"/>
      <c r="Q2059" s="46"/>
      <c r="R2059" s="46"/>
      <c r="S2059" s="46"/>
      <c r="T2059" s="46"/>
      <c r="U2059" s="46"/>
      <c r="V2059" s="46"/>
      <c r="W2059" s="46"/>
    </row>
    <row r="2060" ht="16.5" spans="1:23">
      <c r="A2060" s="46"/>
      <c r="B2060" s="46"/>
      <c r="C2060" s="46"/>
      <c r="D2060" s="46"/>
      <c r="E2060" s="46"/>
      <c r="F2060" s="46"/>
      <c r="G2060" s="46"/>
      <c r="H2060" s="46"/>
      <c r="I2060" s="46"/>
      <c r="J2060" s="46"/>
      <c r="K2060" s="46"/>
      <c r="L2060" s="46"/>
      <c r="M2060" s="46"/>
      <c r="N2060" s="46"/>
      <c r="O2060" s="46"/>
      <c r="P2060" s="46"/>
      <c r="Q2060" s="46"/>
      <c r="R2060" s="46"/>
      <c r="S2060" s="46"/>
      <c r="T2060" s="46"/>
      <c r="U2060" s="46"/>
      <c r="V2060" s="46"/>
      <c r="W2060" s="46"/>
    </row>
    <row r="2061" ht="16.5" spans="1:23">
      <c r="A2061" s="46"/>
      <c r="B2061" s="46"/>
      <c r="C2061" s="46"/>
      <c r="D2061" s="46"/>
      <c r="E2061" s="46"/>
      <c r="F2061" s="46"/>
      <c r="G2061" s="46"/>
      <c r="H2061" s="46"/>
      <c r="I2061" s="46"/>
      <c r="J2061" s="46"/>
      <c r="K2061" s="46"/>
      <c r="L2061" s="46"/>
      <c r="M2061" s="46"/>
      <c r="N2061" s="46"/>
      <c r="O2061" s="46"/>
      <c r="P2061" s="46"/>
      <c r="Q2061" s="46"/>
      <c r="R2061" s="46"/>
      <c r="S2061" s="46"/>
      <c r="T2061" s="46"/>
      <c r="U2061" s="46"/>
      <c r="V2061" s="46"/>
      <c r="W2061" s="46"/>
    </row>
    <row r="2062" ht="16.5" spans="1:23">
      <c r="A2062" s="46"/>
      <c r="B2062" s="46"/>
      <c r="C2062" s="46"/>
      <c r="D2062" s="46"/>
      <c r="E2062" s="46"/>
      <c r="F2062" s="46"/>
      <c r="G2062" s="46"/>
      <c r="H2062" s="46"/>
      <c r="I2062" s="46"/>
      <c r="J2062" s="46"/>
      <c r="K2062" s="46"/>
      <c r="L2062" s="46"/>
      <c r="M2062" s="46"/>
      <c r="N2062" s="46"/>
      <c r="O2062" s="46"/>
      <c r="P2062" s="46"/>
      <c r="Q2062" s="46"/>
      <c r="R2062" s="46"/>
      <c r="S2062" s="46"/>
      <c r="T2062" s="46"/>
      <c r="U2062" s="46"/>
      <c r="V2062" s="46"/>
      <c r="W2062" s="46"/>
    </row>
    <row r="2063" ht="16.5" spans="1:23">
      <c r="A2063" s="46"/>
      <c r="B2063" s="46"/>
      <c r="C2063" s="46"/>
      <c r="D2063" s="46"/>
      <c r="E2063" s="46"/>
      <c r="F2063" s="46"/>
      <c r="G2063" s="46"/>
      <c r="H2063" s="46"/>
      <c r="I2063" s="46"/>
      <c r="J2063" s="46"/>
      <c r="K2063" s="46"/>
      <c r="L2063" s="46"/>
      <c r="M2063" s="46"/>
      <c r="N2063" s="46"/>
      <c r="O2063" s="46"/>
      <c r="P2063" s="46"/>
      <c r="Q2063" s="46"/>
      <c r="R2063" s="46"/>
      <c r="S2063" s="46"/>
      <c r="T2063" s="46"/>
      <c r="U2063" s="46"/>
      <c r="V2063" s="46"/>
      <c r="W2063" s="46"/>
    </row>
    <row r="2064" ht="16.5" spans="1:23">
      <c r="A2064" s="46"/>
      <c r="B2064" s="46"/>
      <c r="C2064" s="46"/>
      <c r="D2064" s="46"/>
      <c r="E2064" s="46"/>
      <c r="F2064" s="46"/>
      <c r="G2064" s="46"/>
      <c r="H2064" s="46"/>
      <c r="I2064" s="46"/>
      <c r="J2064" s="46"/>
      <c r="K2064" s="46"/>
      <c r="L2064" s="46"/>
      <c r="M2064" s="46"/>
      <c r="N2064" s="46"/>
      <c r="O2064" s="46"/>
      <c r="P2064" s="46"/>
      <c r="Q2064" s="46"/>
      <c r="R2064" s="46"/>
      <c r="S2064" s="46"/>
      <c r="T2064" s="46"/>
      <c r="U2064" s="46"/>
      <c r="V2064" s="46"/>
      <c r="W2064" s="46"/>
    </row>
    <row r="2065" ht="16.5" spans="1:23">
      <c r="A2065" s="46"/>
      <c r="B2065" s="46"/>
      <c r="C2065" s="46"/>
      <c r="D2065" s="46"/>
      <c r="E2065" s="46"/>
      <c r="F2065" s="46"/>
      <c r="G2065" s="46"/>
      <c r="H2065" s="46"/>
      <c r="I2065" s="46"/>
      <c r="J2065" s="46"/>
      <c r="K2065" s="46"/>
      <c r="L2065" s="46"/>
      <c r="M2065" s="46"/>
      <c r="N2065" s="46"/>
      <c r="O2065" s="46"/>
      <c r="P2065" s="46"/>
      <c r="Q2065" s="46"/>
      <c r="R2065" s="46"/>
      <c r="S2065" s="46"/>
      <c r="T2065" s="46"/>
      <c r="U2065" s="46"/>
      <c r="V2065" s="46"/>
      <c r="W2065" s="46"/>
    </row>
    <row r="2066" ht="16.5" spans="1:23">
      <c r="A2066" s="46"/>
      <c r="B2066" s="46"/>
      <c r="C2066" s="46"/>
      <c r="D2066" s="46"/>
      <c r="E2066" s="46"/>
      <c r="F2066" s="46"/>
      <c r="G2066" s="46"/>
      <c r="H2066" s="46"/>
      <c r="I2066" s="46"/>
      <c r="J2066" s="46"/>
      <c r="K2066" s="46"/>
      <c r="L2066" s="46"/>
      <c r="M2066" s="46"/>
      <c r="N2066" s="46"/>
      <c r="O2066" s="46"/>
      <c r="P2066" s="46"/>
      <c r="Q2066" s="46"/>
      <c r="R2066" s="46"/>
      <c r="S2066" s="46"/>
      <c r="T2066" s="46"/>
      <c r="U2066" s="46"/>
      <c r="V2066" s="46"/>
      <c r="W2066" s="46"/>
    </row>
    <row r="2067" ht="16.5" spans="1:23">
      <c r="A2067" s="46"/>
      <c r="B2067" s="46"/>
      <c r="C2067" s="46"/>
      <c r="D2067" s="46"/>
      <c r="E2067" s="46"/>
      <c r="F2067" s="46"/>
      <c r="G2067" s="46"/>
      <c r="H2067" s="46"/>
      <c r="I2067" s="46"/>
      <c r="J2067" s="46"/>
      <c r="K2067" s="46"/>
      <c r="L2067" s="46"/>
      <c r="M2067" s="46"/>
      <c r="N2067" s="46"/>
      <c r="O2067" s="46"/>
      <c r="P2067" s="46"/>
      <c r="Q2067" s="46"/>
      <c r="R2067" s="46"/>
      <c r="S2067" s="46"/>
      <c r="T2067" s="46"/>
      <c r="U2067" s="46"/>
      <c r="V2067" s="46"/>
      <c r="W2067" s="46"/>
    </row>
    <row r="2068" ht="16.5" spans="1:23">
      <c r="A2068" s="46"/>
      <c r="B2068" s="46"/>
      <c r="C2068" s="46"/>
      <c r="D2068" s="46"/>
      <c r="E2068" s="46"/>
      <c r="F2068" s="46"/>
      <c r="G2068" s="46"/>
      <c r="H2068" s="46"/>
      <c r="I2068" s="46"/>
      <c r="J2068" s="46"/>
      <c r="K2068" s="46"/>
      <c r="L2068" s="46"/>
      <c r="M2068" s="46"/>
      <c r="N2068" s="46"/>
      <c r="O2068" s="46"/>
      <c r="P2068" s="46"/>
      <c r="Q2068" s="46"/>
      <c r="R2068" s="46"/>
      <c r="S2068" s="46"/>
      <c r="T2068" s="46"/>
      <c r="U2068" s="46"/>
      <c r="V2068" s="46"/>
      <c r="W2068" s="46"/>
    </row>
    <row r="2069" ht="16.5" spans="1:23">
      <c r="A2069" s="46"/>
      <c r="B2069" s="46"/>
      <c r="C2069" s="46"/>
      <c r="D2069" s="46"/>
      <c r="E2069" s="46"/>
      <c r="F2069" s="46"/>
      <c r="G2069" s="46"/>
      <c r="H2069" s="46"/>
      <c r="I2069" s="46"/>
      <c r="J2069" s="46"/>
      <c r="K2069" s="46"/>
      <c r="L2069" s="46"/>
      <c r="M2069" s="46"/>
      <c r="N2069" s="46"/>
      <c r="O2069" s="46"/>
      <c r="P2069" s="46"/>
      <c r="Q2069" s="46"/>
      <c r="R2069" s="46"/>
      <c r="S2069" s="46"/>
      <c r="T2069" s="46"/>
      <c r="U2069" s="46"/>
      <c r="V2069" s="46"/>
      <c r="W2069" s="46"/>
    </row>
    <row r="2070" ht="16.5" spans="1:23">
      <c r="A2070" s="46"/>
      <c r="B2070" s="46"/>
      <c r="C2070" s="46"/>
      <c r="D2070" s="46"/>
      <c r="E2070" s="46"/>
      <c r="F2070" s="46"/>
      <c r="G2070" s="46"/>
      <c r="H2070" s="46"/>
      <c r="I2070" s="46"/>
      <c r="J2070" s="46"/>
      <c r="K2070" s="46"/>
      <c r="L2070" s="46"/>
      <c r="M2070" s="46"/>
      <c r="N2070" s="46"/>
      <c r="O2070" s="46"/>
      <c r="P2070" s="46"/>
      <c r="Q2070" s="46"/>
      <c r="R2070" s="46"/>
      <c r="S2070" s="46"/>
      <c r="T2070" s="46"/>
      <c r="U2070" s="46"/>
      <c r="V2070" s="46"/>
      <c r="W2070" s="46"/>
    </row>
    <row r="2071" ht="16.5" spans="1:23">
      <c r="A2071" s="46"/>
      <c r="B2071" s="46"/>
      <c r="C2071" s="46"/>
      <c r="D2071" s="46"/>
      <c r="E2071" s="46"/>
      <c r="F2071" s="46"/>
      <c r="G2071" s="46"/>
      <c r="H2071" s="46"/>
      <c r="I2071" s="46"/>
      <c r="J2071" s="46"/>
      <c r="K2071" s="46"/>
      <c r="L2071" s="46"/>
      <c r="M2071" s="46"/>
      <c r="N2071" s="46"/>
      <c r="O2071" s="46"/>
      <c r="P2071" s="46"/>
      <c r="Q2071" s="46"/>
      <c r="R2071" s="46"/>
      <c r="S2071" s="46"/>
      <c r="T2071" s="46"/>
      <c r="U2071" s="46"/>
      <c r="V2071" s="46"/>
      <c r="W2071" s="46"/>
    </row>
    <row r="2072" ht="16.5" spans="1:23">
      <c r="A2072" s="46"/>
      <c r="B2072" s="46"/>
      <c r="C2072" s="46"/>
      <c r="D2072" s="46"/>
      <c r="E2072" s="46"/>
      <c r="F2072" s="46"/>
      <c r="G2072" s="46"/>
      <c r="H2072" s="46"/>
      <c r="I2072" s="46"/>
      <c r="J2072" s="46"/>
      <c r="K2072" s="46"/>
      <c r="L2072" s="46"/>
      <c r="M2072" s="46"/>
      <c r="N2072" s="46"/>
      <c r="O2072" s="46"/>
      <c r="P2072" s="46"/>
      <c r="Q2072" s="46"/>
      <c r="R2072" s="46"/>
      <c r="S2072" s="46"/>
      <c r="T2072" s="46"/>
      <c r="U2072" s="46"/>
      <c r="V2072" s="46"/>
      <c r="W2072" s="46"/>
    </row>
    <row r="2073" ht="16.5" spans="1:23">
      <c r="A2073" s="46"/>
      <c r="B2073" s="46"/>
      <c r="C2073" s="46"/>
      <c r="D2073" s="46"/>
      <c r="E2073" s="46"/>
      <c r="F2073" s="46"/>
      <c r="G2073" s="46"/>
      <c r="H2073" s="46"/>
      <c r="I2073" s="46"/>
      <c r="J2073" s="46"/>
      <c r="K2073" s="46"/>
      <c r="L2073" s="46"/>
      <c r="M2073" s="46"/>
      <c r="N2073" s="46"/>
      <c r="O2073" s="46"/>
      <c r="P2073" s="46"/>
      <c r="Q2073" s="46"/>
      <c r="R2073" s="46"/>
      <c r="S2073" s="46"/>
      <c r="T2073" s="46"/>
      <c r="U2073" s="46"/>
      <c r="V2073" s="46"/>
      <c r="W2073" s="46"/>
    </row>
    <row r="2074" ht="16.5" spans="1:23">
      <c r="A2074" s="46"/>
      <c r="B2074" s="46"/>
      <c r="C2074" s="46"/>
      <c r="D2074" s="46"/>
      <c r="E2074" s="46"/>
      <c r="F2074" s="46"/>
      <c r="G2074" s="46"/>
      <c r="H2074" s="46"/>
      <c r="I2074" s="46"/>
      <c r="J2074" s="46"/>
      <c r="K2074" s="46"/>
      <c r="L2074" s="46"/>
      <c r="M2074" s="46"/>
      <c r="N2074" s="46"/>
      <c r="O2074" s="46"/>
      <c r="P2074" s="46"/>
      <c r="Q2074" s="46"/>
      <c r="R2074" s="46"/>
      <c r="S2074" s="46"/>
      <c r="T2074" s="46"/>
      <c r="U2074" s="46"/>
      <c r="V2074" s="46"/>
      <c r="W2074" s="46"/>
    </row>
    <row r="2075" ht="16.5" spans="1:23">
      <c r="A2075" s="46"/>
      <c r="B2075" s="46"/>
      <c r="C2075" s="46"/>
      <c r="D2075" s="46"/>
      <c r="E2075" s="46"/>
      <c r="F2075" s="46"/>
      <c r="G2075" s="46"/>
      <c r="H2075" s="46"/>
      <c r="I2075" s="46"/>
      <c r="J2075" s="46"/>
      <c r="K2075" s="46"/>
      <c r="L2075" s="46"/>
      <c r="M2075" s="46"/>
      <c r="N2075" s="46"/>
      <c r="O2075" s="46"/>
      <c r="P2075" s="46"/>
      <c r="Q2075" s="46"/>
      <c r="R2075" s="46"/>
      <c r="S2075" s="46"/>
      <c r="T2075" s="46"/>
      <c r="U2075" s="46"/>
      <c r="V2075" s="46"/>
      <c r="W2075" s="46"/>
    </row>
    <row r="2076" ht="16.5" spans="1:23">
      <c r="A2076" s="46"/>
      <c r="B2076" s="46"/>
      <c r="C2076" s="46"/>
      <c r="D2076" s="46"/>
      <c r="E2076" s="46"/>
      <c r="F2076" s="46"/>
      <c r="G2076" s="46"/>
      <c r="H2076" s="46"/>
      <c r="I2076" s="46"/>
      <c r="J2076" s="46"/>
      <c r="K2076" s="46"/>
      <c r="L2076" s="46"/>
      <c r="M2076" s="46"/>
      <c r="N2076" s="46"/>
      <c r="O2076" s="46"/>
      <c r="P2076" s="46"/>
      <c r="Q2076" s="46"/>
      <c r="R2076" s="46"/>
      <c r="S2076" s="46"/>
      <c r="T2076" s="46"/>
      <c r="U2076" s="46"/>
      <c r="V2076" s="46"/>
      <c r="W2076" s="46"/>
    </row>
    <row r="2077" ht="16.5" spans="1:23">
      <c r="A2077" s="46"/>
      <c r="B2077" s="46"/>
      <c r="C2077" s="46"/>
      <c r="D2077" s="46"/>
      <c r="E2077" s="46"/>
      <c r="F2077" s="46"/>
      <c r="G2077" s="46"/>
      <c r="H2077" s="46"/>
      <c r="I2077" s="46"/>
      <c r="J2077" s="46"/>
      <c r="K2077" s="46"/>
      <c r="L2077" s="46"/>
      <c r="M2077" s="46"/>
      <c r="N2077" s="46"/>
      <c r="O2077" s="46"/>
      <c r="P2077" s="46"/>
      <c r="Q2077" s="46"/>
      <c r="R2077" s="46"/>
      <c r="S2077" s="46"/>
      <c r="T2077" s="46"/>
      <c r="U2077" s="46"/>
      <c r="V2077" s="46"/>
      <c r="W2077" s="46"/>
    </row>
    <row r="2078" ht="16.5" spans="1:23">
      <c r="A2078" s="46"/>
      <c r="B2078" s="46"/>
      <c r="C2078" s="46"/>
      <c r="D2078" s="46"/>
      <c r="E2078" s="46"/>
      <c r="F2078" s="46"/>
      <c r="G2078" s="46"/>
      <c r="H2078" s="46"/>
      <c r="I2078" s="46"/>
      <c r="J2078" s="46"/>
      <c r="K2078" s="46"/>
      <c r="L2078" s="46"/>
      <c r="M2078" s="46"/>
      <c r="N2078" s="46"/>
      <c r="O2078" s="46"/>
      <c r="P2078" s="46"/>
      <c r="Q2078" s="46"/>
      <c r="R2078" s="46"/>
      <c r="S2078" s="46"/>
      <c r="T2078" s="46"/>
      <c r="U2078" s="46"/>
      <c r="V2078" s="46"/>
      <c r="W2078" s="46"/>
    </row>
    <row r="2079" ht="16.5" spans="1:23">
      <c r="A2079" s="46"/>
      <c r="B2079" s="46"/>
      <c r="C2079" s="46"/>
      <c r="D2079" s="46"/>
      <c r="E2079" s="46"/>
      <c r="F2079" s="46"/>
      <c r="G2079" s="46"/>
      <c r="H2079" s="46"/>
      <c r="I2079" s="46"/>
      <c r="J2079" s="46"/>
      <c r="K2079" s="46"/>
      <c r="L2079" s="46"/>
      <c r="M2079" s="46"/>
      <c r="N2079" s="46"/>
      <c r="O2079" s="46"/>
      <c r="P2079" s="46"/>
      <c r="Q2079" s="46"/>
      <c r="R2079" s="46"/>
      <c r="S2079" s="46"/>
      <c r="T2079" s="46"/>
      <c r="U2079" s="46"/>
      <c r="V2079" s="46"/>
      <c r="W2079" s="46"/>
    </row>
    <row r="2080" ht="16.5" spans="1:23">
      <c r="A2080" s="46"/>
      <c r="B2080" s="46"/>
      <c r="C2080" s="46"/>
      <c r="D2080" s="46"/>
      <c r="E2080" s="46"/>
      <c r="F2080" s="46"/>
      <c r="G2080" s="46"/>
      <c r="H2080" s="46"/>
      <c r="I2080" s="46"/>
      <c r="J2080" s="46"/>
      <c r="K2080" s="46"/>
      <c r="L2080" s="46"/>
      <c r="M2080" s="46"/>
      <c r="N2080" s="46"/>
      <c r="O2080" s="46"/>
      <c r="P2080" s="46"/>
      <c r="Q2080" s="46"/>
      <c r="R2080" s="46"/>
      <c r="S2080" s="46"/>
      <c r="T2080" s="46"/>
      <c r="U2080" s="46"/>
      <c r="V2080" s="46"/>
      <c r="W2080" s="46"/>
    </row>
    <row r="2081" ht="16.5" spans="1:23">
      <c r="A2081" s="46"/>
      <c r="B2081" s="46"/>
      <c r="C2081" s="46"/>
      <c r="D2081" s="46"/>
      <c r="E2081" s="46"/>
      <c r="F2081" s="46"/>
      <c r="G2081" s="46"/>
      <c r="H2081" s="46"/>
      <c r="I2081" s="46"/>
      <c r="J2081" s="46"/>
      <c r="K2081" s="46"/>
      <c r="L2081" s="46"/>
      <c r="M2081" s="46"/>
      <c r="N2081" s="46"/>
      <c r="O2081" s="46"/>
      <c r="P2081" s="46"/>
      <c r="Q2081" s="46"/>
      <c r="R2081" s="46"/>
      <c r="S2081" s="46"/>
      <c r="T2081" s="46"/>
      <c r="U2081" s="46"/>
      <c r="V2081" s="46"/>
      <c r="W2081" s="46"/>
    </row>
    <row r="2082" ht="16.5" spans="1:23">
      <c r="A2082" s="46"/>
      <c r="B2082" s="46"/>
      <c r="C2082" s="46"/>
      <c r="D2082" s="46"/>
      <c r="E2082" s="46"/>
      <c r="F2082" s="46"/>
      <c r="G2082" s="46"/>
      <c r="H2082" s="46"/>
      <c r="I2082" s="46"/>
      <c r="J2082" s="46"/>
      <c r="K2082" s="46"/>
      <c r="L2082" s="46"/>
      <c r="M2082" s="46"/>
      <c r="N2082" s="46"/>
      <c r="O2082" s="46"/>
      <c r="P2082" s="46"/>
      <c r="Q2082" s="46"/>
      <c r="R2082" s="46"/>
      <c r="S2082" s="46"/>
      <c r="T2082" s="46"/>
      <c r="U2082" s="46"/>
      <c r="V2082" s="46"/>
      <c r="W2082" s="46"/>
    </row>
    <row r="2083" ht="16.5" spans="1:23">
      <c r="A2083" s="46"/>
      <c r="B2083" s="46"/>
      <c r="C2083" s="46"/>
      <c r="D2083" s="46"/>
      <c r="E2083" s="46"/>
      <c r="F2083" s="46"/>
      <c r="G2083" s="46"/>
      <c r="H2083" s="46"/>
      <c r="I2083" s="46"/>
      <c r="J2083" s="46"/>
      <c r="K2083" s="46"/>
      <c r="L2083" s="46"/>
      <c r="M2083" s="46"/>
      <c r="N2083" s="46"/>
      <c r="O2083" s="46"/>
      <c r="P2083" s="46"/>
      <c r="Q2083" s="46"/>
      <c r="R2083" s="46"/>
      <c r="S2083" s="46"/>
      <c r="T2083" s="46"/>
      <c r="U2083" s="46"/>
      <c r="V2083" s="46"/>
      <c r="W2083" s="46"/>
    </row>
    <row r="2084" ht="16.5" spans="1:23">
      <c r="A2084" s="46"/>
      <c r="B2084" s="46"/>
      <c r="C2084" s="46"/>
      <c r="D2084" s="46"/>
      <c r="E2084" s="46"/>
      <c r="F2084" s="46"/>
      <c r="G2084" s="46"/>
      <c r="H2084" s="46"/>
      <c r="I2084" s="46"/>
      <c r="J2084" s="46"/>
      <c r="K2084" s="46"/>
      <c r="L2084" s="46"/>
      <c r="M2084" s="46"/>
      <c r="N2084" s="46"/>
      <c r="O2084" s="46"/>
      <c r="P2084" s="46"/>
      <c r="Q2084" s="46"/>
      <c r="R2084" s="46"/>
      <c r="S2084" s="46"/>
      <c r="T2084" s="46"/>
      <c r="U2084" s="46"/>
      <c r="V2084" s="46"/>
      <c r="W2084" s="46"/>
    </row>
    <row r="2085" ht="16.5" spans="1:23">
      <c r="A2085" s="46"/>
      <c r="B2085" s="46"/>
      <c r="C2085" s="46"/>
      <c r="D2085" s="46"/>
      <c r="E2085" s="46"/>
      <c r="F2085" s="46"/>
      <c r="G2085" s="46"/>
      <c r="H2085" s="46"/>
      <c r="I2085" s="46"/>
      <c r="J2085" s="46"/>
      <c r="K2085" s="46"/>
      <c r="L2085" s="46"/>
      <c r="M2085" s="46"/>
      <c r="N2085" s="46"/>
      <c r="O2085" s="46"/>
      <c r="P2085" s="46"/>
      <c r="Q2085" s="46"/>
      <c r="R2085" s="46"/>
      <c r="S2085" s="46"/>
      <c r="T2085" s="46"/>
      <c r="U2085" s="46"/>
      <c r="V2085" s="46"/>
      <c r="W2085" s="46"/>
    </row>
    <row r="2086" ht="16.5" spans="1:23">
      <c r="A2086" s="46"/>
      <c r="B2086" s="46"/>
      <c r="C2086" s="46"/>
      <c r="D2086" s="46"/>
      <c r="E2086" s="46"/>
      <c r="F2086" s="46"/>
      <c r="G2086" s="46"/>
      <c r="H2086" s="46"/>
      <c r="I2086" s="46"/>
      <c r="J2086" s="46"/>
      <c r="K2086" s="46"/>
      <c r="L2086" s="46"/>
      <c r="M2086" s="46"/>
      <c r="N2086" s="46"/>
      <c r="O2086" s="46"/>
      <c r="P2086" s="46"/>
      <c r="Q2086" s="46"/>
      <c r="R2086" s="46"/>
      <c r="S2086" s="46"/>
      <c r="T2086" s="46"/>
      <c r="U2086" s="46"/>
      <c r="V2086" s="46"/>
      <c r="W2086" s="46"/>
    </row>
    <row r="2087" ht="16.5" spans="1:23">
      <c r="A2087" s="46"/>
      <c r="B2087" s="46"/>
      <c r="C2087" s="46"/>
      <c r="D2087" s="46"/>
      <c r="E2087" s="46"/>
      <c r="F2087" s="46"/>
      <c r="G2087" s="46"/>
      <c r="H2087" s="46"/>
      <c r="I2087" s="46"/>
      <c r="J2087" s="46"/>
      <c r="K2087" s="46"/>
      <c r="L2087" s="46"/>
      <c r="M2087" s="46"/>
      <c r="N2087" s="46"/>
      <c r="O2087" s="46"/>
      <c r="P2087" s="46"/>
      <c r="Q2087" s="46"/>
      <c r="R2087" s="46"/>
      <c r="S2087" s="46"/>
      <c r="T2087" s="46"/>
      <c r="U2087" s="46"/>
      <c r="V2087" s="46"/>
      <c r="W2087" s="46"/>
    </row>
    <row r="2088" ht="16.5" spans="1:23">
      <c r="A2088" s="46"/>
      <c r="B2088" s="46"/>
      <c r="C2088" s="46"/>
      <c r="D2088" s="46"/>
      <c r="E2088" s="46"/>
      <c r="F2088" s="46"/>
      <c r="G2088" s="46"/>
      <c r="H2088" s="46"/>
      <c r="I2088" s="46"/>
      <c r="J2088" s="46"/>
      <c r="K2088" s="46"/>
      <c r="L2088" s="46"/>
      <c r="M2088" s="46"/>
      <c r="N2088" s="46"/>
      <c r="O2088" s="46"/>
      <c r="P2088" s="46"/>
      <c r="Q2088" s="46"/>
      <c r="R2088" s="46"/>
      <c r="S2088" s="46"/>
      <c r="T2088" s="46"/>
      <c r="U2088" s="46"/>
      <c r="V2088" s="46"/>
      <c r="W2088" s="46"/>
    </row>
    <row r="2089" ht="16.5" spans="1:23">
      <c r="A2089" s="46"/>
      <c r="B2089" s="46"/>
      <c r="C2089" s="46"/>
      <c r="D2089" s="46"/>
      <c r="E2089" s="46"/>
      <c r="F2089" s="46"/>
      <c r="G2089" s="46"/>
      <c r="H2089" s="46"/>
      <c r="I2089" s="46"/>
      <c r="J2089" s="46"/>
      <c r="K2089" s="46"/>
      <c r="L2089" s="46"/>
      <c r="M2089" s="46"/>
      <c r="N2089" s="46"/>
      <c r="O2089" s="46"/>
      <c r="P2089" s="46"/>
      <c r="Q2089" s="46"/>
      <c r="R2089" s="46"/>
      <c r="S2089" s="46"/>
      <c r="T2089" s="46"/>
      <c r="U2089" s="46"/>
      <c r="V2089" s="46"/>
      <c r="W2089" s="46"/>
    </row>
    <row r="2090" ht="16.5" spans="1:23">
      <c r="A2090" s="46"/>
      <c r="B2090" s="46"/>
      <c r="C2090" s="46"/>
      <c r="D2090" s="46"/>
      <c r="E2090" s="46"/>
      <c r="F2090" s="46"/>
      <c r="G2090" s="46"/>
      <c r="H2090" s="46"/>
      <c r="I2090" s="46"/>
      <c r="J2090" s="46"/>
      <c r="K2090" s="46"/>
      <c r="L2090" s="46"/>
      <c r="M2090" s="46"/>
      <c r="N2090" s="46"/>
      <c r="O2090" s="46"/>
      <c r="P2090" s="46"/>
      <c r="Q2090" s="46"/>
      <c r="R2090" s="46"/>
      <c r="S2090" s="46"/>
      <c r="T2090" s="46"/>
      <c r="U2090" s="46"/>
      <c r="V2090" s="46"/>
      <c r="W2090" s="46"/>
    </row>
    <row r="2091" ht="16.5" spans="1:23">
      <c r="A2091" s="46"/>
      <c r="B2091" s="46"/>
      <c r="C2091" s="46"/>
      <c r="D2091" s="46"/>
      <c r="E2091" s="46"/>
      <c r="F2091" s="46"/>
      <c r="G2091" s="46"/>
      <c r="H2091" s="46"/>
      <c r="I2091" s="46"/>
      <c r="J2091" s="46"/>
      <c r="K2091" s="46"/>
      <c r="L2091" s="46"/>
      <c r="M2091" s="46"/>
      <c r="N2091" s="46"/>
      <c r="O2091" s="46"/>
      <c r="P2091" s="46"/>
      <c r="Q2091" s="46"/>
      <c r="R2091" s="46"/>
      <c r="S2091" s="46"/>
      <c r="T2091" s="46"/>
      <c r="U2091" s="46"/>
      <c r="V2091" s="46"/>
      <c r="W2091" s="46"/>
    </row>
    <row r="2092" ht="16.5" spans="1:23">
      <c r="A2092" s="46"/>
      <c r="B2092" s="46"/>
      <c r="C2092" s="46"/>
      <c r="D2092" s="46"/>
      <c r="E2092" s="46"/>
      <c r="F2092" s="46"/>
      <c r="G2092" s="46"/>
      <c r="H2092" s="46"/>
      <c r="I2092" s="46"/>
      <c r="J2092" s="46"/>
      <c r="K2092" s="46"/>
      <c r="L2092" s="46"/>
      <c r="M2092" s="46"/>
      <c r="N2092" s="46"/>
      <c r="O2092" s="46"/>
      <c r="P2092" s="46"/>
      <c r="Q2092" s="46"/>
      <c r="R2092" s="46"/>
      <c r="S2092" s="46"/>
      <c r="T2092" s="46"/>
      <c r="U2092" s="46"/>
      <c r="V2092" s="46"/>
      <c r="W2092" s="46"/>
    </row>
    <row r="2093" ht="16.5" spans="1:23">
      <c r="A2093" s="46"/>
      <c r="B2093" s="46"/>
      <c r="C2093" s="46"/>
      <c r="D2093" s="46"/>
      <c r="E2093" s="46"/>
      <c r="F2093" s="46"/>
      <c r="G2093" s="46"/>
      <c r="H2093" s="46"/>
      <c r="I2093" s="46"/>
      <c r="J2093" s="46"/>
      <c r="K2093" s="46"/>
      <c r="L2093" s="46"/>
      <c r="M2093" s="46"/>
      <c r="N2093" s="46"/>
      <c r="O2093" s="46"/>
      <c r="P2093" s="46"/>
      <c r="Q2093" s="46"/>
      <c r="R2093" s="46"/>
      <c r="S2093" s="46"/>
      <c r="T2093" s="46"/>
      <c r="U2093" s="46"/>
      <c r="V2093" s="46"/>
      <c r="W2093" s="46"/>
    </row>
    <row r="2094" ht="16.5" spans="1:23">
      <c r="A2094" s="46"/>
      <c r="B2094" s="46"/>
      <c r="C2094" s="46"/>
      <c r="D2094" s="46"/>
      <c r="E2094" s="46"/>
      <c r="F2094" s="46"/>
      <c r="G2094" s="46"/>
      <c r="H2094" s="46"/>
      <c r="I2094" s="46"/>
      <c r="J2094" s="46"/>
      <c r="K2094" s="46"/>
      <c r="L2094" s="46"/>
      <c r="M2094" s="46"/>
      <c r="N2094" s="46"/>
      <c r="O2094" s="46"/>
      <c r="P2094" s="46"/>
      <c r="Q2094" s="46"/>
      <c r="R2094" s="46"/>
      <c r="S2094" s="46"/>
      <c r="T2094" s="46"/>
      <c r="U2094" s="46"/>
      <c r="V2094" s="46"/>
      <c r="W2094" s="46"/>
    </row>
    <row r="2095" ht="16.5" spans="1:23">
      <c r="A2095" s="46"/>
      <c r="B2095" s="46"/>
      <c r="C2095" s="46"/>
      <c r="D2095" s="46"/>
      <c r="E2095" s="46"/>
      <c r="F2095" s="46"/>
      <c r="G2095" s="46"/>
      <c r="H2095" s="46"/>
      <c r="I2095" s="46"/>
      <c r="J2095" s="46"/>
      <c r="K2095" s="46"/>
      <c r="L2095" s="46"/>
      <c r="M2095" s="46"/>
      <c r="N2095" s="46"/>
      <c r="O2095" s="46"/>
      <c r="P2095" s="46"/>
      <c r="Q2095" s="46"/>
      <c r="R2095" s="46"/>
      <c r="S2095" s="46"/>
      <c r="T2095" s="46"/>
      <c r="U2095" s="46"/>
      <c r="V2095" s="46"/>
      <c r="W2095" s="46"/>
    </row>
    <row r="2096" ht="16.5" spans="1:23">
      <c r="A2096" s="46"/>
      <c r="B2096" s="46"/>
      <c r="C2096" s="46"/>
      <c r="D2096" s="46"/>
      <c r="E2096" s="46"/>
      <c r="F2096" s="46"/>
      <c r="G2096" s="46"/>
      <c r="H2096" s="46"/>
      <c r="I2096" s="46"/>
      <c r="J2096" s="46"/>
      <c r="K2096" s="46"/>
      <c r="L2096" s="46"/>
      <c r="M2096" s="46"/>
      <c r="N2096" s="46"/>
      <c r="O2096" s="46"/>
      <c r="P2096" s="46"/>
      <c r="Q2096" s="46"/>
      <c r="R2096" s="46"/>
      <c r="S2096" s="46"/>
      <c r="T2096" s="46"/>
      <c r="U2096" s="46"/>
      <c r="V2096" s="46"/>
      <c r="W2096" s="46"/>
    </row>
    <row r="2097" ht="16.5" spans="1:23">
      <c r="A2097" s="46"/>
      <c r="B2097" s="46"/>
      <c r="C2097" s="46"/>
      <c r="D2097" s="46"/>
      <c r="E2097" s="46"/>
      <c r="F2097" s="46"/>
      <c r="G2097" s="46"/>
      <c r="H2097" s="46"/>
      <c r="I2097" s="46"/>
      <c r="J2097" s="46"/>
      <c r="K2097" s="46"/>
      <c r="L2097" s="46"/>
      <c r="M2097" s="46"/>
      <c r="N2097" s="46"/>
      <c r="O2097" s="46"/>
      <c r="P2097" s="46"/>
      <c r="Q2097" s="46"/>
      <c r="R2097" s="46"/>
      <c r="S2097" s="46"/>
      <c r="T2097" s="46"/>
      <c r="U2097" s="46"/>
      <c r="V2097" s="46"/>
      <c r="W2097" s="46"/>
    </row>
    <row r="2098" ht="16.5" spans="1:23">
      <c r="A2098" s="46"/>
      <c r="B2098" s="46"/>
      <c r="C2098" s="46"/>
      <c r="D2098" s="46"/>
      <c r="E2098" s="46"/>
      <c r="F2098" s="46"/>
      <c r="G2098" s="46"/>
      <c r="H2098" s="46"/>
      <c r="I2098" s="46"/>
      <c r="J2098" s="46"/>
      <c r="K2098" s="46"/>
      <c r="L2098" s="46"/>
      <c r="M2098" s="46"/>
      <c r="N2098" s="46"/>
      <c r="O2098" s="46"/>
      <c r="P2098" s="46"/>
      <c r="Q2098" s="46"/>
      <c r="R2098" s="46"/>
      <c r="S2098" s="46"/>
      <c r="T2098" s="46"/>
      <c r="U2098" s="46"/>
      <c r="V2098" s="46"/>
      <c r="W2098" s="46"/>
    </row>
    <row r="2099" ht="16.5" spans="1:23">
      <c r="A2099" s="46"/>
      <c r="B2099" s="46"/>
      <c r="C2099" s="46"/>
      <c r="D2099" s="46"/>
      <c r="E2099" s="46"/>
      <c r="F2099" s="46"/>
      <c r="G2099" s="46"/>
      <c r="H2099" s="46"/>
      <c r="I2099" s="46"/>
      <c r="J2099" s="46"/>
      <c r="K2099" s="46"/>
      <c r="L2099" s="46"/>
      <c r="M2099" s="46"/>
      <c r="N2099" s="46"/>
      <c r="O2099" s="46"/>
      <c r="P2099" s="46"/>
      <c r="Q2099" s="46"/>
      <c r="R2099" s="46"/>
      <c r="S2099" s="46"/>
      <c r="T2099" s="46"/>
      <c r="U2099" s="46"/>
      <c r="V2099" s="46"/>
      <c r="W2099" s="46"/>
    </row>
    <row r="2100" ht="16.5" spans="1:23">
      <c r="A2100" s="46"/>
      <c r="B2100" s="46"/>
      <c r="C2100" s="46"/>
      <c r="D2100" s="46"/>
      <c r="E2100" s="46"/>
      <c r="F2100" s="46"/>
      <c r="G2100" s="46"/>
      <c r="H2100" s="46"/>
      <c r="I2100" s="46"/>
      <c r="J2100" s="46"/>
      <c r="K2100" s="46"/>
      <c r="L2100" s="46"/>
      <c r="M2100" s="46"/>
      <c r="N2100" s="46"/>
      <c r="O2100" s="46"/>
      <c r="P2100" s="46"/>
      <c r="Q2100" s="46"/>
      <c r="R2100" s="46"/>
      <c r="S2100" s="46"/>
      <c r="T2100" s="46"/>
      <c r="U2100" s="46"/>
      <c r="V2100" s="46"/>
      <c r="W2100" s="46"/>
    </row>
    <row r="2101" ht="16.5" spans="1:23">
      <c r="A2101" s="46"/>
      <c r="B2101" s="46"/>
      <c r="C2101" s="46"/>
      <c r="D2101" s="46"/>
      <c r="E2101" s="46"/>
      <c r="F2101" s="46"/>
      <c r="G2101" s="46"/>
      <c r="H2101" s="46"/>
      <c r="I2101" s="46"/>
      <c r="J2101" s="46"/>
      <c r="K2101" s="46"/>
      <c r="L2101" s="46"/>
      <c r="M2101" s="46"/>
      <c r="N2101" s="46"/>
      <c r="O2101" s="46"/>
      <c r="P2101" s="46"/>
      <c r="Q2101" s="46"/>
      <c r="R2101" s="46"/>
      <c r="S2101" s="46"/>
      <c r="T2101" s="46"/>
      <c r="U2101" s="46"/>
      <c r="V2101" s="46"/>
      <c r="W2101" s="46"/>
    </row>
    <row r="2102" ht="16.5" spans="1:23">
      <c r="A2102" s="46"/>
      <c r="B2102" s="46"/>
      <c r="C2102" s="46"/>
      <c r="D2102" s="46"/>
      <c r="E2102" s="46"/>
      <c r="F2102" s="46"/>
      <c r="G2102" s="46"/>
      <c r="H2102" s="46"/>
      <c r="I2102" s="46"/>
      <c r="J2102" s="46"/>
      <c r="K2102" s="46"/>
      <c r="L2102" s="46"/>
      <c r="M2102" s="46"/>
      <c r="N2102" s="46"/>
      <c r="O2102" s="46"/>
      <c r="P2102" s="46"/>
      <c r="Q2102" s="46"/>
      <c r="R2102" s="46"/>
      <c r="S2102" s="46"/>
      <c r="T2102" s="46"/>
      <c r="U2102" s="46"/>
      <c r="V2102" s="46"/>
      <c r="W2102" s="46"/>
    </row>
    <row r="2103" ht="16.5" spans="1:23">
      <c r="A2103" s="46"/>
      <c r="B2103" s="46"/>
      <c r="C2103" s="46"/>
      <c r="D2103" s="46"/>
      <c r="E2103" s="46"/>
      <c r="F2103" s="46"/>
      <c r="G2103" s="46"/>
      <c r="H2103" s="46"/>
      <c r="I2103" s="46"/>
      <c r="J2103" s="46"/>
      <c r="K2103" s="46"/>
      <c r="L2103" s="46"/>
      <c r="M2103" s="46"/>
      <c r="N2103" s="46"/>
      <c r="O2103" s="46"/>
      <c r="P2103" s="46"/>
      <c r="Q2103" s="46"/>
      <c r="R2103" s="46"/>
      <c r="S2103" s="46"/>
      <c r="T2103" s="46"/>
      <c r="U2103" s="46"/>
      <c r="V2103" s="46"/>
      <c r="W2103" s="46"/>
    </row>
    <row r="2104" ht="16.5" spans="1:23">
      <c r="A2104" s="46"/>
      <c r="B2104" s="46"/>
      <c r="C2104" s="46"/>
      <c r="D2104" s="46"/>
      <c r="E2104" s="46"/>
      <c r="F2104" s="46"/>
      <c r="G2104" s="46"/>
      <c r="H2104" s="46"/>
      <c r="I2104" s="46"/>
      <c r="J2104" s="46"/>
      <c r="K2104" s="46"/>
      <c r="L2104" s="46"/>
      <c r="M2104" s="46"/>
      <c r="N2104" s="46"/>
      <c r="O2104" s="46"/>
      <c r="P2104" s="46"/>
      <c r="Q2104" s="46"/>
      <c r="R2104" s="46"/>
      <c r="S2104" s="46"/>
      <c r="T2104" s="46"/>
      <c r="U2104" s="46"/>
      <c r="V2104" s="46"/>
      <c r="W2104" s="46"/>
    </row>
    <row r="2105" ht="16.5" spans="1:23">
      <c r="A2105" s="46"/>
      <c r="B2105" s="46"/>
      <c r="C2105" s="46"/>
      <c r="D2105" s="46"/>
      <c r="E2105" s="46"/>
      <c r="F2105" s="46"/>
      <c r="G2105" s="46"/>
      <c r="H2105" s="46"/>
      <c r="I2105" s="46"/>
      <c r="J2105" s="46"/>
      <c r="K2105" s="46"/>
      <c r="L2105" s="46"/>
      <c r="M2105" s="46"/>
      <c r="N2105" s="46"/>
      <c r="O2105" s="46"/>
      <c r="P2105" s="46"/>
      <c r="Q2105" s="46"/>
      <c r="R2105" s="46"/>
      <c r="S2105" s="46"/>
      <c r="T2105" s="46"/>
      <c r="U2105" s="46"/>
      <c r="V2105" s="46"/>
      <c r="W2105" s="46"/>
    </row>
    <row r="2106" ht="16.5" spans="1:23">
      <c r="A2106" s="46"/>
      <c r="B2106" s="46"/>
      <c r="C2106" s="46"/>
      <c r="D2106" s="46"/>
      <c r="E2106" s="46"/>
      <c r="F2106" s="46"/>
      <c r="G2106" s="46"/>
      <c r="H2106" s="46"/>
      <c r="I2106" s="46"/>
      <c r="J2106" s="46"/>
      <c r="K2106" s="46"/>
      <c r="L2106" s="46"/>
      <c r="M2106" s="46"/>
      <c r="N2106" s="46"/>
      <c r="O2106" s="46"/>
      <c r="P2106" s="46"/>
      <c r="Q2106" s="46"/>
      <c r="R2106" s="46"/>
      <c r="S2106" s="46"/>
      <c r="T2106" s="46"/>
      <c r="U2106" s="46"/>
      <c r="V2106" s="46"/>
      <c r="W2106" s="46"/>
    </row>
    <row r="2107" ht="16.5" spans="1:23">
      <c r="A2107" s="46"/>
      <c r="B2107" s="46"/>
      <c r="C2107" s="46"/>
      <c r="D2107" s="46"/>
      <c r="E2107" s="46"/>
      <c r="F2107" s="46"/>
      <c r="G2107" s="46"/>
      <c r="H2107" s="46"/>
      <c r="I2107" s="46"/>
      <c r="J2107" s="46"/>
      <c r="K2107" s="46"/>
      <c r="L2107" s="46"/>
      <c r="M2107" s="46"/>
      <c r="N2107" s="46"/>
      <c r="O2107" s="46"/>
      <c r="P2107" s="46"/>
      <c r="Q2107" s="46"/>
      <c r="R2107" s="46"/>
      <c r="S2107" s="46"/>
      <c r="T2107" s="46"/>
      <c r="U2107" s="46"/>
      <c r="V2107" s="46"/>
      <c r="W2107" s="46"/>
    </row>
    <row r="2108" ht="16.5" spans="1:23">
      <c r="A2108" s="46"/>
      <c r="B2108" s="46"/>
      <c r="C2108" s="46"/>
      <c r="D2108" s="46"/>
      <c r="E2108" s="46"/>
      <c r="F2108" s="46"/>
      <c r="G2108" s="46"/>
      <c r="H2108" s="46"/>
      <c r="I2108" s="46"/>
      <c r="J2108" s="46"/>
      <c r="K2108" s="46"/>
      <c r="L2108" s="46"/>
      <c r="M2108" s="46"/>
      <c r="N2108" s="46"/>
      <c r="O2108" s="46"/>
      <c r="P2108" s="46"/>
      <c r="Q2108" s="46"/>
      <c r="R2108" s="46"/>
      <c r="S2108" s="46"/>
      <c r="T2108" s="46"/>
      <c r="U2108" s="46"/>
      <c r="V2108" s="46"/>
      <c r="W2108" s="46"/>
    </row>
    <row r="2109" ht="16.5" spans="1:23">
      <c r="A2109" s="46"/>
      <c r="B2109" s="46"/>
      <c r="C2109" s="46"/>
      <c r="D2109" s="46"/>
      <c r="E2109" s="46"/>
      <c r="F2109" s="46"/>
      <c r="G2109" s="46"/>
      <c r="H2109" s="46"/>
      <c r="I2109" s="46"/>
      <c r="J2109" s="46"/>
      <c r="K2109" s="46"/>
      <c r="L2109" s="46"/>
      <c r="M2109" s="46"/>
      <c r="N2109" s="46"/>
      <c r="O2109" s="46"/>
      <c r="P2109" s="46"/>
      <c r="Q2109" s="46"/>
      <c r="R2109" s="46"/>
      <c r="S2109" s="46"/>
      <c r="T2109" s="46"/>
      <c r="U2109" s="46"/>
      <c r="V2109" s="46"/>
      <c r="W2109" s="46"/>
    </row>
    <row r="2110" ht="16.5" spans="1:23">
      <c r="A2110" s="46"/>
      <c r="B2110" s="46"/>
      <c r="C2110" s="46"/>
      <c r="D2110" s="46"/>
      <c r="E2110" s="46"/>
      <c r="F2110" s="46"/>
      <c r="G2110" s="46"/>
      <c r="H2110" s="46"/>
      <c r="I2110" s="46"/>
      <c r="J2110" s="46"/>
      <c r="K2110" s="46"/>
      <c r="L2110" s="46"/>
      <c r="M2110" s="46"/>
      <c r="N2110" s="46"/>
      <c r="O2110" s="46"/>
      <c r="P2110" s="46"/>
      <c r="Q2110" s="46"/>
      <c r="R2110" s="46"/>
      <c r="S2110" s="46"/>
      <c r="T2110" s="46"/>
      <c r="U2110" s="46"/>
      <c r="V2110" s="46"/>
      <c r="W2110" s="46"/>
    </row>
    <row r="2111" ht="16.5" spans="1:23">
      <c r="A2111" s="46"/>
      <c r="B2111" s="46"/>
      <c r="C2111" s="46"/>
      <c r="D2111" s="46"/>
      <c r="E2111" s="46"/>
      <c r="F2111" s="46"/>
      <c r="G2111" s="46"/>
      <c r="H2111" s="46"/>
      <c r="I2111" s="46"/>
      <c r="J2111" s="46"/>
      <c r="K2111" s="46"/>
      <c r="L2111" s="46"/>
      <c r="M2111" s="46"/>
      <c r="N2111" s="46"/>
      <c r="O2111" s="46"/>
      <c r="P2111" s="46"/>
      <c r="Q2111" s="46"/>
      <c r="R2111" s="46"/>
      <c r="S2111" s="46"/>
      <c r="T2111" s="46"/>
      <c r="U2111" s="46"/>
      <c r="V2111" s="46"/>
      <c r="W2111" s="46"/>
    </row>
    <row r="2112" ht="16.5" spans="1:23">
      <c r="A2112" s="46"/>
      <c r="B2112" s="46"/>
      <c r="C2112" s="46"/>
      <c r="D2112" s="46"/>
      <c r="E2112" s="46"/>
      <c r="F2112" s="46"/>
      <c r="G2112" s="46"/>
      <c r="H2112" s="46"/>
      <c r="I2112" s="46"/>
      <c r="J2112" s="46"/>
      <c r="K2112" s="46"/>
      <c r="L2112" s="46"/>
      <c r="M2112" s="46"/>
      <c r="N2112" s="46"/>
      <c r="O2112" s="46"/>
      <c r="P2112" s="46"/>
      <c r="Q2112" s="46"/>
      <c r="R2112" s="46"/>
      <c r="S2112" s="46"/>
      <c r="T2112" s="46"/>
      <c r="U2112" s="46"/>
      <c r="V2112" s="46"/>
      <c r="W2112" s="46"/>
    </row>
    <row r="2113" ht="16.5" spans="1:23">
      <c r="A2113" s="46"/>
      <c r="B2113" s="46"/>
      <c r="C2113" s="46"/>
      <c r="D2113" s="46"/>
      <c r="E2113" s="46"/>
      <c r="F2113" s="46"/>
      <c r="G2113" s="46"/>
      <c r="H2113" s="46"/>
      <c r="I2113" s="46"/>
      <c r="J2113" s="46"/>
      <c r="K2113" s="46"/>
      <c r="L2113" s="46"/>
      <c r="M2113" s="46"/>
      <c r="N2113" s="46"/>
      <c r="O2113" s="46"/>
      <c r="P2113" s="46"/>
      <c r="Q2113" s="46"/>
      <c r="R2113" s="46"/>
      <c r="S2113" s="46"/>
      <c r="T2113" s="46"/>
      <c r="U2113" s="46"/>
      <c r="V2113" s="46"/>
      <c r="W2113" s="46"/>
    </row>
    <row r="2114" ht="16.5" spans="1:23">
      <c r="A2114" s="46"/>
      <c r="B2114" s="46"/>
      <c r="C2114" s="46"/>
      <c r="D2114" s="46"/>
      <c r="E2114" s="46"/>
      <c r="F2114" s="46"/>
      <c r="G2114" s="46"/>
      <c r="H2114" s="46"/>
      <c r="I2114" s="46"/>
      <c r="J2114" s="46"/>
      <c r="K2114" s="46"/>
      <c r="L2114" s="46"/>
      <c r="M2114" s="46"/>
      <c r="N2114" s="46"/>
      <c r="O2114" s="46"/>
      <c r="P2114" s="46"/>
      <c r="Q2114" s="46"/>
      <c r="R2114" s="46"/>
      <c r="S2114" s="46"/>
      <c r="T2114" s="46"/>
      <c r="U2114" s="46"/>
      <c r="V2114" s="46"/>
      <c r="W2114" s="46"/>
    </row>
    <row r="2115" ht="16.5" spans="1:23">
      <c r="A2115" s="46"/>
      <c r="B2115" s="46"/>
      <c r="C2115" s="46"/>
      <c r="D2115" s="46"/>
      <c r="E2115" s="46"/>
      <c r="F2115" s="46"/>
      <c r="G2115" s="46"/>
      <c r="H2115" s="46"/>
      <c r="I2115" s="46"/>
      <c r="J2115" s="46"/>
      <c r="K2115" s="46"/>
      <c r="L2115" s="46"/>
      <c r="M2115" s="46"/>
      <c r="N2115" s="46"/>
      <c r="O2115" s="46"/>
      <c r="P2115" s="46"/>
      <c r="Q2115" s="46"/>
      <c r="R2115" s="46"/>
      <c r="S2115" s="46"/>
      <c r="T2115" s="46"/>
      <c r="U2115" s="46"/>
      <c r="V2115" s="46"/>
      <c r="W2115" s="46"/>
    </row>
    <row r="2116" ht="16.5" spans="1:23">
      <c r="A2116" s="46"/>
      <c r="B2116" s="46"/>
      <c r="C2116" s="46"/>
      <c r="D2116" s="46"/>
      <c r="E2116" s="46"/>
      <c r="F2116" s="46"/>
      <c r="G2116" s="46"/>
      <c r="H2116" s="46"/>
      <c r="I2116" s="46"/>
      <c r="J2116" s="46"/>
      <c r="K2116" s="46"/>
      <c r="L2116" s="46"/>
      <c r="M2116" s="46"/>
      <c r="N2116" s="46"/>
      <c r="O2116" s="46"/>
      <c r="P2116" s="46"/>
      <c r="Q2116" s="46"/>
      <c r="R2116" s="46"/>
      <c r="S2116" s="46"/>
      <c r="T2116" s="46"/>
      <c r="U2116" s="46"/>
      <c r="V2116" s="46"/>
      <c r="W2116" s="46"/>
    </row>
    <row r="2117" ht="16.5" spans="1:23">
      <c r="A2117" s="46"/>
      <c r="B2117" s="46"/>
      <c r="C2117" s="46"/>
      <c r="D2117" s="46"/>
      <c r="E2117" s="46"/>
      <c r="F2117" s="46"/>
      <c r="G2117" s="46"/>
      <c r="H2117" s="46"/>
      <c r="I2117" s="46"/>
      <c r="J2117" s="46"/>
      <c r="K2117" s="46"/>
      <c r="L2117" s="46"/>
      <c r="M2117" s="46"/>
      <c r="N2117" s="46"/>
      <c r="O2117" s="46"/>
      <c r="P2117" s="46"/>
      <c r="Q2117" s="46"/>
      <c r="R2117" s="46"/>
      <c r="S2117" s="46"/>
      <c r="T2117" s="46"/>
      <c r="U2117" s="46"/>
      <c r="V2117" s="46"/>
      <c r="W2117" s="46"/>
    </row>
    <row r="2118" ht="16.5" spans="1:23">
      <c r="A2118" s="46"/>
      <c r="B2118" s="46"/>
      <c r="C2118" s="46"/>
      <c r="D2118" s="46"/>
      <c r="E2118" s="46"/>
      <c r="F2118" s="46"/>
      <c r="G2118" s="46"/>
      <c r="H2118" s="46"/>
      <c r="I2118" s="46"/>
      <c r="J2118" s="46"/>
      <c r="K2118" s="46"/>
      <c r="L2118" s="46"/>
      <c r="M2118" s="46"/>
      <c r="N2118" s="46"/>
      <c r="O2118" s="46"/>
      <c r="P2118" s="46"/>
      <c r="Q2118" s="46"/>
      <c r="R2118" s="46"/>
      <c r="S2118" s="46"/>
      <c r="T2118" s="46"/>
      <c r="U2118" s="46"/>
      <c r="V2118" s="46"/>
      <c r="W2118" s="46"/>
    </row>
    <row r="2119" ht="16.5" spans="1:23">
      <c r="A2119" s="46"/>
      <c r="B2119" s="46"/>
      <c r="C2119" s="46"/>
      <c r="D2119" s="46"/>
      <c r="E2119" s="46"/>
      <c r="F2119" s="46"/>
      <c r="G2119" s="46"/>
      <c r="H2119" s="46"/>
      <c r="I2119" s="46"/>
      <c r="J2119" s="46"/>
      <c r="K2119" s="46"/>
      <c r="L2119" s="46"/>
      <c r="M2119" s="46"/>
      <c r="N2119" s="46"/>
      <c r="O2119" s="46"/>
      <c r="P2119" s="46"/>
      <c r="Q2119" s="46"/>
      <c r="R2119" s="46"/>
      <c r="S2119" s="46"/>
      <c r="T2119" s="46"/>
      <c r="U2119" s="46"/>
      <c r="V2119" s="46"/>
      <c r="W2119" s="46"/>
    </row>
    <row r="2120" ht="16.5" spans="1:23">
      <c r="A2120" s="46"/>
      <c r="B2120" s="46"/>
      <c r="C2120" s="46"/>
      <c r="D2120" s="46"/>
      <c r="E2120" s="46"/>
      <c r="F2120" s="46"/>
      <c r="G2120" s="46"/>
      <c r="H2120" s="46"/>
      <c r="I2120" s="46"/>
      <c r="J2120" s="46"/>
      <c r="K2120" s="46"/>
      <c r="L2120" s="46"/>
      <c r="M2120" s="46"/>
      <c r="N2120" s="46"/>
      <c r="O2120" s="46"/>
      <c r="P2120" s="46"/>
      <c r="Q2120" s="46"/>
      <c r="R2120" s="46"/>
      <c r="S2120" s="46"/>
      <c r="T2120" s="46"/>
      <c r="U2120" s="46"/>
      <c r="V2120" s="46"/>
      <c r="W2120" s="46"/>
    </row>
    <row r="2121" ht="16.5" spans="1:23">
      <c r="A2121" s="46"/>
      <c r="B2121" s="46"/>
      <c r="C2121" s="46"/>
      <c r="D2121" s="46"/>
      <c r="E2121" s="46"/>
      <c r="F2121" s="46"/>
      <c r="G2121" s="46"/>
      <c r="H2121" s="46"/>
      <c r="I2121" s="46"/>
      <c r="J2121" s="46"/>
      <c r="K2121" s="46"/>
      <c r="L2121" s="46"/>
      <c r="M2121" s="46"/>
      <c r="N2121" s="46"/>
      <c r="O2121" s="46"/>
      <c r="P2121" s="46"/>
      <c r="Q2121" s="46"/>
      <c r="R2121" s="46"/>
      <c r="S2121" s="46"/>
      <c r="T2121" s="46"/>
      <c r="U2121" s="46"/>
      <c r="V2121" s="46"/>
      <c r="W2121" s="46"/>
    </row>
    <row r="2122" ht="16.5" spans="1:23">
      <c r="A2122" s="46"/>
      <c r="B2122" s="46"/>
      <c r="C2122" s="46"/>
      <c r="D2122" s="46"/>
      <c r="E2122" s="46"/>
      <c r="F2122" s="46"/>
      <c r="G2122" s="46"/>
      <c r="H2122" s="46"/>
      <c r="I2122" s="46"/>
      <c r="J2122" s="46"/>
      <c r="K2122" s="46"/>
      <c r="L2122" s="46"/>
      <c r="M2122" s="46"/>
      <c r="N2122" s="46"/>
      <c r="O2122" s="46"/>
      <c r="P2122" s="46"/>
      <c r="Q2122" s="46"/>
      <c r="R2122" s="46"/>
      <c r="S2122" s="46"/>
      <c r="T2122" s="46"/>
      <c r="U2122" s="46"/>
      <c r="V2122" s="46"/>
      <c r="W2122" s="46"/>
    </row>
    <row r="2123" ht="16.5" spans="1:23">
      <c r="A2123" s="46"/>
      <c r="B2123" s="46"/>
      <c r="C2123" s="46"/>
      <c r="D2123" s="46"/>
      <c r="E2123" s="46"/>
      <c r="F2123" s="46"/>
      <c r="G2123" s="46"/>
      <c r="H2123" s="46"/>
      <c r="I2123" s="46"/>
      <c r="J2123" s="46"/>
      <c r="K2123" s="46"/>
      <c r="L2123" s="46"/>
      <c r="M2123" s="46"/>
      <c r="N2123" s="46"/>
      <c r="O2123" s="46"/>
      <c r="P2123" s="46"/>
      <c r="Q2123" s="46"/>
      <c r="R2123" s="46"/>
      <c r="S2123" s="46"/>
      <c r="T2123" s="46"/>
      <c r="U2123" s="46"/>
      <c r="V2123" s="46"/>
      <c r="W2123" s="46"/>
    </row>
    <row r="2124" ht="16.5" spans="1:23">
      <c r="A2124" s="46"/>
      <c r="B2124" s="46"/>
      <c r="C2124" s="46"/>
      <c r="D2124" s="46"/>
      <c r="E2124" s="46"/>
      <c r="F2124" s="46"/>
      <c r="G2124" s="46"/>
      <c r="H2124" s="46"/>
      <c r="I2124" s="46"/>
      <c r="J2124" s="46"/>
      <c r="K2124" s="46"/>
      <c r="L2124" s="46"/>
      <c r="M2124" s="46"/>
      <c r="N2124" s="46"/>
      <c r="O2124" s="46"/>
      <c r="P2124" s="46"/>
      <c r="Q2124" s="46"/>
      <c r="R2124" s="46"/>
      <c r="S2124" s="46"/>
      <c r="T2124" s="46"/>
      <c r="U2124" s="46"/>
      <c r="V2124" s="46"/>
      <c r="W2124" s="46"/>
    </row>
    <row r="2125" ht="16.5" spans="1:23">
      <c r="A2125" s="46"/>
      <c r="B2125" s="46"/>
      <c r="C2125" s="46"/>
      <c r="D2125" s="46"/>
      <c r="E2125" s="46"/>
      <c r="F2125" s="46"/>
      <c r="G2125" s="46"/>
      <c r="H2125" s="46"/>
      <c r="I2125" s="46"/>
      <c r="J2125" s="46"/>
      <c r="K2125" s="46"/>
      <c r="L2125" s="46"/>
      <c r="M2125" s="46"/>
      <c r="N2125" s="46"/>
      <c r="O2125" s="46"/>
      <c r="P2125" s="46"/>
      <c r="Q2125" s="46"/>
      <c r="R2125" s="46"/>
      <c r="S2125" s="46"/>
      <c r="T2125" s="46"/>
      <c r="U2125" s="46"/>
      <c r="V2125" s="46"/>
      <c r="W2125" s="46"/>
    </row>
    <row r="2126" ht="16.5" spans="1:23">
      <c r="A2126" s="46"/>
      <c r="B2126" s="46"/>
      <c r="C2126" s="46"/>
      <c r="D2126" s="46"/>
      <c r="E2126" s="46"/>
      <c r="F2126" s="46"/>
      <c r="G2126" s="46"/>
      <c r="H2126" s="46"/>
      <c r="I2126" s="46"/>
      <c r="J2126" s="46"/>
      <c r="K2126" s="46"/>
      <c r="L2126" s="46"/>
      <c r="M2126" s="46"/>
      <c r="N2126" s="46"/>
      <c r="O2126" s="46"/>
      <c r="P2126" s="46"/>
      <c r="Q2126" s="46"/>
      <c r="R2126" s="46"/>
      <c r="S2126" s="46"/>
      <c r="T2126" s="46"/>
      <c r="U2126" s="46"/>
      <c r="V2126" s="46"/>
      <c r="W2126" s="46"/>
    </row>
    <row r="2127" ht="16.5" spans="1:23">
      <c r="A2127" s="46"/>
      <c r="B2127" s="46"/>
      <c r="C2127" s="46"/>
      <c r="D2127" s="46"/>
      <c r="E2127" s="46"/>
      <c r="F2127" s="46"/>
      <c r="G2127" s="46"/>
      <c r="H2127" s="46"/>
      <c r="I2127" s="46"/>
      <c r="J2127" s="46"/>
      <c r="K2127" s="46"/>
      <c r="L2127" s="46"/>
      <c r="M2127" s="46"/>
      <c r="N2127" s="46"/>
      <c r="O2127" s="46"/>
      <c r="P2127" s="46"/>
      <c r="Q2127" s="46"/>
      <c r="R2127" s="46"/>
      <c r="S2127" s="46"/>
      <c r="T2127" s="46"/>
      <c r="U2127" s="46"/>
      <c r="V2127" s="46"/>
      <c r="W2127" s="46"/>
    </row>
    <row r="2128" ht="16.5" spans="1:23">
      <c r="A2128" s="46"/>
      <c r="B2128" s="46"/>
      <c r="C2128" s="46"/>
      <c r="D2128" s="46"/>
      <c r="E2128" s="46"/>
      <c r="F2128" s="46"/>
      <c r="G2128" s="46"/>
      <c r="H2128" s="46"/>
      <c r="I2128" s="46"/>
      <c r="J2128" s="46"/>
      <c r="K2128" s="46"/>
      <c r="L2128" s="46"/>
      <c r="M2128" s="46"/>
      <c r="N2128" s="46"/>
      <c r="O2128" s="46"/>
      <c r="P2128" s="46"/>
      <c r="Q2128" s="46"/>
      <c r="R2128" s="46"/>
      <c r="S2128" s="46"/>
      <c r="T2128" s="46"/>
      <c r="U2128" s="46"/>
      <c r="V2128" s="46"/>
      <c r="W2128" s="46"/>
    </row>
    <row r="2129" ht="16.5" spans="1:23">
      <c r="A2129" s="46"/>
      <c r="B2129" s="46"/>
      <c r="C2129" s="46"/>
      <c r="D2129" s="46"/>
      <c r="E2129" s="46"/>
      <c r="F2129" s="46"/>
      <c r="G2129" s="46"/>
      <c r="H2129" s="46"/>
      <c r="I2129" s="46"/>
      <c r="J2129" s="46"/>
      <c r="K2129" s="46"/>
      <c r="L2129" s="46"/>
      <c r="M2129" s="46"/>
      <c r="N2129" s="46"/>
      <c r="O2129" s="46"/>
      <c r="P2129" s="46"/>
      <c r="Q2129" s="46"/>
      <c r="R2129" s="46"/>
      <c r="S2129" s="46"/>
      <c r="T2129" s="46"/>
      <c r="U2129" s="46"/>
      <c r="V2129" s="46"/>
      <c r="W2129" s="46"/>
    </row>
    <row r="2130" ht="16.5" spans="1:23">
      <c r="A2130" s="46"/>
      <c r="B2130" s="46"/>
      <c r="C2130" s="46"/>
      <c r="D2130" s="46"/>
      <c r="E2130" s="46"/>
      <c r="F2130" s="46"/>
      <c r="G2130" s="46"/>
      <c r="H2130" s="46"/>
      <c r="I2130" s="46"/>
      <c r="J2130" s="46"/>
      <c r="K2130" s="46"/>
      <c r="L2130" s="46"/>
      <c r="M2130" s="46"/>
      <c r="N2130" s="46"/>
      <c r="O2130" s="46"/>
      <c r="P2130" s="46"/>
      <c r="Q2130" s="46"/>
      <c r="R2130" s="46"/>
      <c r="S2130" s="46"/>
      <c r="T2130" s="46"/>
      <c r="U2130" s="46"/>
      <c r="V2130" s="46"/>
      <c r="W2130" s="46"/>
    </row>
    <row r="2131" ht="16.5" spans="1:23">
      <c r="A2131" s="46"/>
      <c r="B2131" s="46"/>
      <c r="C2131" s="46"/>
      <c r="D2131" s="46"/>
      <c r="E2131" s="46"/>
      <c r="F2131" s="46"/>
      <c r="G2131" s="46"/>
      <c r="H2131" s="46"/>
      <c r="I2131" s="46"/>
      <c r="J2131" s="46"/>
      <c r="K2131" s="46"/>
      <c r="L2131" s="46"/>
      <c r="M2131" s="46"/>
      <c r="N2131" s="46"/>
      <c r="O2131" s="46"/>
      <c r="P2131" s="46"/>
      <c r="Q2131" s="46"/>
      <c r="R2131" s="46"/>
      <c r="S2131" s="46"/>
      <c r="T2131" s="46"/>
      <c r="U2131" s="46"/>
      <c r="V2131" s="46"/>
      <c r="W2131" s="46"/>
    </row>
    <row r="2132" ht="16.5" spans="1:23">
      <c r="A2132" s="46"/>
      <c r="B2132" s="46"/>
      <c r="C2132" s="46"/>
      <c r="D2132" s="46"/>
      <c r="E2132" s="46"/>
      <c r="F2132" s="46"/>
      <c r="G2132" s="46"/>
      <c r="H2132" s="46"/>
      <c r="I2132" s="46"/>
      <c r="J2132" s="46"/>
      <c r="K2132" s="46"/>
      <c r="L2132" s="46"/>
      <c r="M2132" s="46"/>
      <c r="N2132" s="46"/>
      <c r="O2132" s="46"/>
      <c r="P2132" s="46"/>
      <c r="Q2132" s="46"/>
      <c r="R2132" s="46"/>
      <c r="S2132" s="46"/>
      <c r="T2132" s="46"/>
      <c r="U2132" s="46"/>
      <c r="V2132" s="46"/>
      <c r="W2132" s="46"/>
    </row>
    <row r="2133" ht="16.5" spans="1:23">
      <c r="A2133" s="46"/>
      <c r="B2133" s="46"/>
      <c r="C2133" s="46"/>
      <c r="D2133" s="46"/>
      <c r="E2133" s="46"/>
      <c r="F2133" s="46"/>
      <c r="G2133" s="46"/>
      <c r="H2133" s="46"/>
      <c r="I2133" s="46"/>
      <c r="J2133" s="46"/>
      <c r="K2133" s="46"/>
      <c r="L2133" s="46"/>
      <c r="M2133" s="46"/>
      <c r="N2133" s="46"/>
      <c r="O2133" s="46"/>
      <c r="P2133" s="46"/>
      <c r="Q2133" s="46"/>
      <c r="R2133" s="46"/>
      <c r="S2133" s="46"/>
      <c r="T2133" s="46"/>
      <c r="U2133" s="46"/>
      <c r="V2133" s="46"/>
      <c r="W2133" s="46"/>
    </row>
    <row r="2134" ht="16.5" spans="1:23">
      <c r="A2134" s="46"/>
      <c r="B2134" s="46"/>
      <c r="C2134" s="46"/>
      <c r="D2134" s="46"/>
      <c r="E2134" s="46"/>
      <c r="F2134" s="46"/>
      <c r="G2134" s="46"/>
      <c r="H2134" s="46"/>
      <c r="I2134" s="46"/>
      <c r="J2134" s="46"/>
      <c r="K2134" s="46"/>
      <c r="L2134" s="46"/>
      <c r="M2134" s="46"/>
      <c r="N2134" s="46"/>
      <c r="O2134" s="46"/>
      <c r="P2134" s="46"/>
      <c r="Q2134" s="46"/>
      <c r="R2134" s="46"/>
      <c r="S2134" s="46"/>
      <c r="T2134" s="46"/>
      <c r="U2134" s="46"/>
      <c r="V2134" s="46"/>
      <c r="W2134" s="46"/>
    </row>
    <row r="2135" ht="16.5" spans="1:23">
      <c r="A2135" s="46"/>
      <c r="B2135" s="46"/>
      <c r="C2135" s="46"/>
      <c r="D2135" s="46"/>
      <c r="E2135" s="46"/>
      <c r="F2135" s="46"/>
      <c r="G2135" s="46"/>
      <c r="H2135" s="46"/>
      <c r="I2135" s="46"/>
      <c r="J2135" s="46"/>
      <c r="K2135" s="46"/>
      <c r="L2135" s="46"/>
      <c r="M2135" s="46"/>
      <c r="N2135" s="46"/>
      <c r="O2135" s="46"/>
      <c r="P2135" s="46"/>
      <c r="Q2135" s="46"/>
      <c r="R2135" s="46"/>
      <c r="S2135" s="46"/>
      <c r="T2135" s="46"/>
      <c r="U2135" s="46"/>
      <c r="V2135" s="46"/>
      <c r="W2135" s="46"/>
    </row>
    <row r="2136" ht="16.5" spans="1:23">
      <c r="A2136" s="46"/>
      <c r="B2136" s="46"/>
      <c r="C2136" s="46"/>
      <c r="D2136" s="46"/>
      <c r="E2136" s="46"/>
      <c r="F2136" s="46"/>
      <c r="G2136" s="46"/>
      <c r="H2136" s="46"/>
      <c r="I2136" s="46"/>
      <c r="J2136" s="46"/>
      <c r="K2136" s="46"/>
      <c r="L2136" s="46"/>
      <c r="M2136" s="46"/>
      <c r="N2136" s="46"/>
      <c r="O2136" s="46"/>
      <c r="P2136" s="46"/>
      <c r="Q2136" s="46"/>
      <c r="R2136" s="46"/>
      <c r="S2136" s="46"/>
      <c r="T2136" s="46"/>
      <c r="U2136" s="46"/>
      <c r="V2136" s="46"/>
      <c r="W2136" s="46"/>
    </row>
    <row r="2137" ht="16.5" spans="1:23">
      <c r="A2137" s="46"/>
      <c r="B2137" s="46"/>
      <c r="C2137" s="46"/>
      <c r="D2137" s="46"/>
      <c r="E2137" s="46"/>
      <c r="F2137" s="46"/>
      <c r="G2137" s="46"/>
      <c r="H2137" s="46"/>
      <c r="I2137" s="46"/>
      <c r="J2137" s="46"/>
      <c r="K2137" s="46"/>
      <c r="L2137" s="46"/>
      <c r="M2137" s="46"/>
      <c r="N2137" s="46"/>
      <c r="O2137" s="46"/>
      <c r="P2137" s="46"/>
      <c r="Q2137" s="46"/>
      <c r="R2137" s="46"/>
      <c r="S2137" s="46"/>
      <c r="T2137" s="46"/>
      <c r="U2137" s="46"/>
      <c r="V2137" s="46"/>
      <c r="W2137" s="46"/>
    </row>
    <row r="2138" ht="16.5" spans="1:23">
      <c r="A2138" s="46"/>
      <c r="B2138" s="46"/>
      <c r="C2138" s="46"/>
      <c r="D2138" s="46"/>
      <c r="E2138" s="46"/>
      <c r="F2138" s="46"/>
      <c r="G2138" s="46"/>
      <c r="H2138" s="46"/>
      <c r="I2138" s="46"/>
      <c r="J2138" s="46"/>
      <c r="K2138" s="46"/>
      <c r="L2138" s="46"/>
      <c r="M2138" s="46"/>
      <c r="N2138" s="46"/>
      <c r="O2138" s="46"/>
      <c r="P2138" s="46"/>
      <c r="Q2138" s="46"/>
      <c r="R2138" s="46"/>
      <c r="S2138" s="46"/>
      <c r="T2138" s="46"/>
      <c r="U2138" s="46"/>
      <c r="V2138" s="46"/>
      <c r="W2138" s="46"/>
    </row>
    <row r="2139" ht="16.5" spans="1:23">
      <c r="A2139" s="46"/>
      <c r="B2139" s="46"/>
      <c r="C2139" s="46"/>
      <c r="D2139" s="46"/>
      <c r="E2139" s="46"/>
      <c r="F2139" s="46"/>
      <c r="G2139" s="46"/>
      <c r="H2139" s="46"/>
      <c r="I2139" s="46"/>
      <c r="J2139" s="46"/>
      <c r="K2139" s="46"/>
      <c r="L2139" s="46"/>
      <c r="M2139" s="46"/>
      <c r="N2139" s="46"/>
      <c r="O2139" s="46"/>
      <c r="P2139" s="46"/>
      <c r="Q2139" s="46"/>
      <c r="R2139" s="46"/>
      <c r="S2139" s="46"/>
      <c r="T2139" s="46"/>
      <c r="U2139" s="46"/>
      <c r="V2139" s="46"/>
      <c r="W2139" s="46"/>
    </row>
    <row r="2140" ht="16.5" spans="1:23">
      <c r="A2140" s="46"/>
      <c r="B2140" s="46"/>
      <c r="C2140" s="46"/>
      <c r="D2140" s="46"/>
      <c r="E2140" s="46"/>
      <c r="F2140" s="46"/>
      <c r="G2140" s="46"/>
      <c r="H2140" s="46"/>
      <c r="I2140" s="46"/>
      <c r="J2140" s="46"/>
      <c r="K2140" s="46"/>
      <c r="L2140" s="46"/>
      <c r="M2140" s="46"/>
      <c r="N2140" s="46"/>
      <c r="O2140" s="46"/>
      <c r="P2140" s="46"/>
      <c r="Q2140" s="46"/>
      <c r="R2140" s="46"/>
      <c r="S2140" s="46"/>
      <c r="T2140" s="46"/>
      <c r="U2140" s="46"/>
      <c r="V2140" s="46"/>
      <c r="W2140" s="46"/>
    </row>
    <row r="2141" ht="16.5" spans="1:23">
      <c r="A2141" s="46"/>
      <c r="B2141" s="46"/>
      <c r="C2141" s="46"/>
      <c r="D2141" s="46"/>
      <c r="E2141" s="46"/>
      <c r="F2141" s="46"/>
      <c r="G2141" s="46"/>
      <c r="H2141" s="46"/>
      <c r="I2141" s="46"/>
      <c r="J2141" s="46"/>
      <c r="K2141" s="46"/>
      <c r="L2141" s="46"/>
      <c r="M2141" s="46"/>
      <c r="N2141" s="46"/>
      <c r="O2141" s="46"/>
      <c r="P2141" s="46"/>
      <c r="Q2141" s="46"/>
      <c r="R2141" s="46"/>
      <c r="S2141" s="46"/>
      <c r="T2141" s="46"/>
      <c r="U2141" s="46"/>
      <c r="V2141" s="46"/>
      <c r="W2141" s="46"/>
    </row>
    <row r="2142" ht="16.5" spans="1:23">
      <c r="A2142" s="46"/>
      <c r="B2142" s="46"/>
      <c r="C2142" s="46"/>
      <c r="D2142" s="46"/>
      <c r="E2142" s="46"/>
      <c r="F2142" s="46"/>
      <c r="G2142" s="46"/>
      <c r="H2142" s="46"/>
      <c r="I2142" s="46"/>
      <c r="J2142" s="46"/>
      <c r="K2142" s="46"/>
      <c r="L2142" s="46"/>
      <c r="M2142" s="46"/>
      <c r="N2142" s="46"/>
      <c r="O2142" s="46"/>
      <c r="P2142" s="46"/>
      <c r="Q2142" s="46"/>
      <c r="R2142" s="46"/>
      <c r="S2142" s="46"/>
      <c r="T2142" s="46"/>
      <c r="U2142" s="46"/>
      <c r="V2142" s="46"/>
      <c r="W2142" s="46"/>
    </row>
    <row r="2143" ht="16.5" spans="1:23">
      <c r="A2143" s="46"/>
      <c r="B2143" s="46"/>
      <c r="C2143" s="46"/>
      <c r="D2143" s="46"/>
      <c r="E2143" s="46"/>
      <c r="F2143" s="46"/>
      <c r="G2143" s="46"/>
      <c r="H2143" s="46"/>
      <c r="I2143" s="46"/>
      <c r="J2143" s="46"/>
      <c r="K2143" s="46"/>
      <c r="L2143" s="46"/>
      <c r="M2143" s="46"/>
      <c r="N2143" s="46"/>
      <c r="O2143" s="46"/>
      <c r="P2143" s="46"/>
      <c r="Q2143" s="46"/>
      <c r="R2143" s="46"/>
      <c r="S2143" s="46"/>
      <c r="T2143" s="46"/>
      <c r="U2143" s="46"/>
      <c r="V2143" s="46"/>
      <c r="W2143" s="46"/>
    </row>
    <row r="2144" ht="16.5" spans="1:23">
      <c r="A2144" s="46"/>
      <c r="B2144" s="46"/>
      <c r="C2144" s="46"/>
      <c r="D2144" s="46"/>
      <c r="E2144" s="46"/>
      <c r="F2144" s="46"/>
      <c r="G2144" s="46"/>
      <c r="H2144" s="46"/>
      <c r="I2144" s="46"/>
      <c r="J2144" s="46"/>
      <c r="K2144" s="46"/>
      <c r="L2144" s="46"/>
      <c r="M2144" s="46"/>
      <c r="N2144" s="46"/>
      <c r="O2144" s="46"/>
      <c r="P2144" s="46"/>
      <c r="Q2144" s="46"/>
      <c r="R2144" s="46"/>
      <c r="S2144" s="46"/>
      <c r="T2144" s="46"/>
      <c r="U2144" s="46"/>
      <c r="V2144" s="46"/>
      <c r="W2144" s="46"/>
    </row>
    <row r="2145" ht="16.5" spans="1:23">
      <c r="A2145" s="46"/>
      <c r="B2145" s="46"/>
      <c r="C2145" s="46"/>
      <c r="D2145" s="46"/>
      <c r="E2145" s="46"/>
      <c r="F2145" s="46"/>
      <c r="G2145" s="46"/>
      <c r="H2145" s="46"/>
      <c r="I2145" s="46"/>
      <c r="J2145" s="46"/>
      <c r="K2145" s="46"/>
      <c r="L2145" s="46"/>
      <c r="M2145" s="46"/>
      <c r="N2145" s="46"/>
      <c r="O2145" s="46"/>
      <c r="P2145" s="46"/>
      <c r="Q2145" s="46"/>
      <c r="R2145" s="46"/>
      <c r="S2145" s="46"/>
      <c r="T2145" s="46"/>
      <c r="U2145" s="46"/>
      <c r="V2145" s="46"/>
      <c r="W2145" s="46"/>
    </row>
    <row r="2146" ht="16.5" spans="1:23">
      <c r="A2146" s="46"/>
      <c r="B2146" s="46"/>
      <c r="C2146" s="46"/>
      <c r="D2146" s="46"/>
      <c r="E2146" s="46"/>
      <c r="F2146" s="46"/>
      <c r="G2146" s="46"/>
      <c r="H2146" s="46"/>
      <c r="I2146" s="46"/>
      <c r="J2146" s="46"/>
      <c r="K2146" s="46"/>
      <c r="L2146" s="46"/>
      <c r="M2146" s="46"/>
      <c r="N2146" s="46"/>
      <c r="O2146" s="46"/>
      <c r="P2146" s="46"/>
      <c r="Q2146" s="46"/>
      <c r="R2146" s="46"/>
      <c r="S2146" s="46"/>
      <c r="T2146" s="46"/>
      <c r="U2146" s="46"/>
      <c r="V2146" s="46"/>
      <c r="W2146" s="46"/>
    </row>
    <row r="2147" ht="16.5" spans="1:23">
      <c r="A2147" s="46"/>
      <c r="B2147" s="46"/>
      <c r="C2147" s="46"/>
      <c r="D2147" s="46"/>
      <c r="E2147" s="46"/>
      <c r="F2147" s="46"/>
      <c r="G2147" s="46"/>
      <c r="H2147" s="46"/>
      <c r="I2147" s="46"/>
      <c r="J2147" s="46"/>
      <c r="K2147" s="46"/>
      <c r="L2147" s="46"/>
      <c r="M2147" s="46"/>
      <c r="N2147" s="46"/>
      <c r="O2147" s="46"/>
      <c r="P2147" s="46"/>
      <c r="Q2147" s="46"/>
      <c r="R2147" s="46"/>
      <c r="S2147" s="46"/>
      <c r="T2147" s="46"/>
      <c r="U2147" s="46"/>
      <c r="V2147" s="46"/>
      <c r="W2147" s="46"/>
    </row>
    <row r="2148" ht="16.5" spans="1:23">
      <c r="A2148" s="46"/>
      <c r="B2148" s="46"/>
      <c r="C2148" s="46"/>
      <c r="D2148" s="46"/>
      <c r="E2148" s="46"/>
      <c r="F2148" s="46"/>
      <c r="G2148" s="46"/>
      <c r="H2148" s="46"/>
      <c r="I2148" s="46"/>
      <c r="J2148" s="46"/>
      <c r="K2148" s="46"/>
      <c r="L2148" s="46"/>
      <c r="M2148" s="46"/>
      <c r="N2148" s="46"/>
      <c r="O2148" s="46"/>
      <c r="P2148" s="46"/>
      <c r="Q2148" s="46"/>
      <c r="R2148" s="46"/>
      <c r="S2148" s="46"/>
      <c r="T2148" s="46"/>
      <c r="U2148" s="46"/>
      <c r="V2148" s="46"/>
      <c r="W2148" s="46"/>
    </row>
    <row r="2149" ht="16.5" spans="1:23">
      <c r="A2149" s="46"/>
      <c r="B2149" s="46"/>
      <c r="C2149" s="46"/>
      <c r="D2149" s="46"/>
      <c r="E2149" s="46"/>
      <c r="F2149" s="46"/>
      <c r="G2149" s="46"/>
      <c r="H2149" s="46"/>
      <c r="I2149" s="46"/>
      <c r="J2149" s="46"/>
      <c r="K2149" s="46"/>
      <c r="L2149" s="46"/>
      <c r="M2149" s="46"/>
      <c r="N2149" s="46"/>
      <c r="O2149" s="46"/>
      <c r="P2149" s="46"/>
      <c r="Q2149" s="46"/>
      <c r="R2149" s="46"/>
      <c r="S2149" s="46"/>
      <c r="T2149" s="46"/>
      <c r="U2149" s="46"/>
      <c r="V2149" s="46"/>
      <c r="W2149" s="46"/>
    </row>
    <row r="2150" ht="16.5" spans="1:23">
      <c r="A2150" s="46"/>
      <c r="B2150" s="46"/>
      <c r="C2150" s="46"/>
      <c r="D2150" s="46"/>
      <c r="E2150" s="46"/>
      <c r="F2150" s="46"/>
      <c r="G2150" s="46"/>
      <c r="H2150" s="46"/>
      <c r="I2150" s="46"/>
      <c r="J2150" s="46"/>
      <c r="K2150" s="46"/>
      <c r="L2150" s="46"/>
      <c r="M2150" s="46"/>
      <c r="N2150" s="46"/>
      <c r="O2150" s="46"/>
      <c r="P2150" s="46"/>
      <c r="Q2150" s="46"/>
      <c r="R2150" s="46"/>
      <c r="S2150" s="46"/>
      <c r="T2150" s="46"/>
      <c r="U2150" s="46"/>
      <c r="V2150" s="46"/>
      <c r="W2150" s="46"/>
    </row>
    <row r="2151" ht="16.5" spans="1:23">
      <c r="A2151" s="46"/>
      <c r="B2151" s="46"/>
      <c r="C2151" s="46"/>
      <c r="D2151" s="46"/>
      <c r="E2151" s="46"/>
      <c r="F2151" s="46"/>
      <c r="G2151" s="46"/>
      <c r="H2151" s="46"/>
      <c r="I2151" s="46"/>
      <c r="J2151" s="46"/>
      <c r="K2151" s="46"/>
      <c r="L2151" s="46"/>
      <c r="M2151" s="46"/>
      <c r="N2151" s="46"/>
      <c r="O2151" s="46"/>
      <c r="P2151" s="46"/>
      <c r="Q2151" s="46"/>
      <c r="R2151" s="46"/>
      <c r="S2151" s="46"/>
      <c r="T2151" s="46"/>
      <c r="U2151" s="46"/>
      <c r="V2151" s="46"/>
      <c r="W2151" s="46"/>
    </row>
    <row r="2152" ht="16.5" spans="1:23">
      <c r="A2152" s="46"/>
      <c r="B2152" s="46"/>
      <c r="C2152" s="46"/>
      <c r="D2152" s="46"/>
      <c r="E2152" s="46"/>
      <c r="F2152" s="46"/>
      <c r="G2152" s="46"/>
      <c r="H2152" s="46"/>
      <c r="I2152" s="46"/>
      <c r="J2152" s="46"/>
      <c r="K2152" s="46"/>
      <c r="L2152" s="46"/>
      <c r="M2152" s="46"/>
      <c r="N2152" s="46"/>
      <c r="O2152" s="46"/>
      <c r="P2152" s="46"/>
      <c r="Q2152" s="46"/>
      <c r="R2152" s="46"/>
      <c r="S2152" s="46"/>
      <c r="T2152" s="46"/>
      <c r="U2152" s="46"/>
      <c r="V2152" s="46"/>
      <c r="W2152" s="46"/>
    </row>
    <row r="2153" ht="16.5" spans="1:23">
      <c r="A2153" s="46"/>
      <c r="B2153" s="46"/>
      <c r="C2153" s="46"/>
      <c r="D2153" s="46"/>
      <c r="E2153" s="46"/>
      <c r="F2153" s="46"/>
      <c r="G2153" s="46"/>
      <c r="H2153" s="46"/>
      <c r="I2153" s="46"/>
      <c r="J2153" s="46"/>
      <c r="K2153" s="46"/>
      <c r="L2153" s="46"/>
      <c r="M2153" s="46"/>
      <c r="N2153" s="46"/>
      <c r="O2153" s="46"/>
      <c r="P2153" s="46"/>
      <c r="Q2153" s="46"/>
      <c r="R2153" s="46"/>
      <c r="S2153" s="46"/>
      <c r="T2153" s="46"/>
      <c r="U2153" s="46"/>
      <c r="V2153" s="46"/>
      <c r="W2153" s="46"/>
    </row>
    <row r="2154" ht="16.5" spans="1:23">
      <c r="A2154" s="46"/>
      <c r="B2154" s="46"/>
      <c r="C2154" s="46"/>
      <c r="D2154" s="46"/>
      <c r="E2154" s="46"/>
      <c r="F2154" s="46"/>
      <c r="G2154" s="46"/>
      <c r="H2154" s="46"/>
      <c r="I2154" s="46"/>
      <c r="J2154" s="46"/>
      <c r="K2154" s="46"/>
      <c r="L2154" s="46"/>
      <c r="M2154" s="46"/>
      <c r="N2154" s="46"/>
      <c r="O2154" s="46"/>
      <c r="P2154" s="46"/>
      <c r="Q2154" s="46"/>
      <c r="R2154" s="46"/>
      <c r="S2154" s="46"/>
      <c r="T2154" s="46"/>
      <c r="U2154" s="46"/>
      <c r="V2154" s="46"/>
      <c r="W2154" s="46"/>
    </row>
    <row r="2155" ht="16.5" spans="1:23">
      <c r="A2155" s="46"/>
      <c r="B2155" s="46"/>
      <c r="C2155" s="46"/>
      <c r="D2155" s="46"/>
      <c r="E2155" s="46"/>
      <c r="F2155" s="46"/>
      <c r="G2155" s="46"/>
      <c r="H2155" s="46"/>
      <c r="I2155" s="46"/>
      <c r="J2155" s="46"/>
      <c r="K2155" s="46"/>
      <c r="L2155" s="46"/>
      <c r="M2155" s="46"/>
      <c r="N2155" s="46"/>
      <c r="O2155" s="46"/>
      <c r="P2155" s="46"/>
      <c r="Q2155" s="46"/>
      <c r="R2155" s="46"/>
      <c r="S2155" s="46"/>
      <c r="T2155" s="46"/>
      <c r="U2155" s="46"/>
      <c r="V2155" s="46"/>
      <c r="W2155" s="46"/>
    </row>
    <row r="2156" ht="16.5" spans="1:23">
      <c r="A2156" s="46"/>
      <c r="B2156" s="46"/>
      <c r="C2156" s="46"/>
      <c r="D2156" s="46"/>
      <c r="E2156" s="46"/>
      <c r="F2156" s="46"/>
      <c r="G2156" s="46"/>
      <c r="H2156" s="46"/>
      <c r="I2156" s="46"/>
      <c r="J2156" s="46"/>
      <c r="K2156" s="46"/>
      <c r="L2156" s="46"/>
      <c r="M2156" s="46"/>
      <c r="N2156" s="46"/>
      <c r="O2156" s="46"/>
      <c r="P2156" s="46"/>
      <c r="Q2156" s="46"/>
      <c r="R2156" s="46"/>
      <c r="S2156" s="46"/>
      <c r="T2156" s="46"/>
      <c r="U2156" s="46"/>
      <c r="V2156" s="46"/>
      <c r="W2156" s="46"/>
    </row>
    <row r="2157" ht="16.5" spans="1:23">
      <c r="A2157" s="46"/>
      <c r="B2157" s="46"/>
      <c r="C2157" s="46"/>
      <c r="D2157" s="46"/>
      <c r="E2157" s="46"/>
      <c r="F2157" s="46"/>
      <c r="G2157" s="46"/>
      <c r="H2157" s="46"/>
      <c r="I2157" s="46"/>
      <c r="J2157" s="46"/>
      <c r="K2157" s="46"/>
      <c r="L2157" s="46"/>
      <c r="M2157" s="46"/>
      <c r="N2157" s="46"/>
      <c r="O2157" s="46"/>
      <c r="P2157" s="46"/>
      <c r="Q2157" s="46"/>
      <c r="R2157" s="46"/>
      <c r="S2157" s="46"/>
      <c r="T2157" s="46"/>
      <c r="U2157" s="46"/>
      <c r="V2157" s="46"/>
      <c r="W2157" s="46"/>
    </row>
    <row r="2158" ht="16.5" spans="1:23">
      <c r="A2158" s="46"/>
      <c r="B2158" s="46"/>
      <c r="C2158" s="46"/>
      <c r="D2158" s="46"/>
      <c r="E2158" s="46"/>
      <c r="F2158" s="46"/>
      <c r="G2158" s="46"/>
      <c r="H2158" s="46"/>
      <c r="I2158" s="46"/>
      <c r="J2158" s="46"/>
      <c r="K2158" s="46"/>
      <c r="L2158" s="46"/>
      <c r="M2158" s="46"/>
      <c r="N2158" s="46"/>
      <c r="O2158" s="46"/>
      <c r="P2158" s="46"/>
      <c r="Q2158" s="46"/>
      <c r="R2158" s="46"/>
      <c r="S2158" s="46"/>
      <c r="T2158" s="46"/>
      <c r="U2158" s="46"/>
      <c r="V2158" s="46"/>
      <c r="W2158" s="46"/>
    </row>
    <row r="2159" ht="16.5" spans="1:23">
      <c r="A2159" s="46"/>
      <c r="B2159" s="46"/>
      <c r="C2159" s="46"/>
      <c r="D2159" s="46"/>
      <c r="E2159" s="46"/>
      <c r="F2159" s="46"/>
      <c r="G2159" s="46"/>
      <c r="H2159" s="46"/>
      <c r="I2159" s="46"/>
      <c r="J2159" s="46"/>
      <c r="K2159" s="46"/>
      <c r="L2159" s="46"/>
      <c r="M2159" s="46"/>
      <c r="N2159" s="46"/>
      <c r="O2159" s="46"/>
      <c r="P2159" s="46"/>
      <c r="Q2159" s="46"/>
      <c r="R2159" s="46"/>
      <c r="S2159" s="46"/>
      <c r="T2159" s="46"/>
      <c r="U2159" s="46"/>
      <c r="V2159" s="46"/>
      <c r="W2159" s="46"/>
    </row>
    <row r="2160" ht="16.5" spans="1:23">
      <c r="A2160" s="46"/>
      <c r="B2160" s="46"/>
      <c r="C2160" s="46"/>
      <c r="D2160" s="46"/>
      <c r="E2160" s="46"/>
      <c r="F2160" s="46"/>
      <c r="G2160" s="46"/>
      <c r="H2160" s="46"/>
      <c r="I2160" s="46"/>
      <c r="J2160" s="46"/>
      <c r="K2160" s="46"/>
      <c r="L2160" s="46"/>
      <c r="M2160" s="46"/>
      <c r="N2160" s="46"/>
      <c r="O2160" s="46"/>
      <c r="P2160" s="46"/>
      <c r="Q2160" s="46"/>
      <c r="R2160" s="46"/>
      <c r="S2160" s="46"/>
      <c r="T2160" s="46"/>
      <c r="U2160" s="46"/>
      <c r="V2160" s="46"/>
      <c r="W2160" s="46"/>
    </row>
    <row r="2161" ht="16.5" spans="1:23">
      <c r="A2161" s="46"/>
      <c r="B2161" s="46"/>
      <c r="C2161" s="46"/>
      <c r="D2161" s="46"/>
      <c r="E2161" s="46"/>
      <c r="F2161" s="46"/>
      <c r="G2161" s="46"/>
      <c r="H2161" s="46"/>
      <c r="I2161" s="46"/>
      <c r="J2161" s="46"/>
      <c r="K2161" s="46"/>
      <c r="L2161" s="46"/>
      <c r="M2161" s="46"/>
      <c r="N2161" s="46"/>
      <c r="O2161" s="46"/>
      <c r="P2161" s="46"/>
      <c r="Q2161" s="46"/>
      <c r="R2161" s="46"/>
      <c r="S2161" s="46"/>
      <c r="T2161" s="46"/>
      <c r="U2161" s="46"/>
      <c r="V2161" s="46"/>
      <c r="W2161" s="46"/>
    </row>
    <row r="2162" ht="16.5" spans="1:23">
      <c r="A2162" s="46"/>
      <c r="B2162" s="46"/>
      <c r="C2162" s="46"/>
      <c r="D2162" s="46"/>
      <c r="E2162" s="46"/>
      <c r="F2162" s="46"/>
      <c r="G2162" s="46"/>
      <c r="H2162" s="46"/>
      <c r="I2162" s="46"/>
      <c r="J2162" s="46"/>
      <c r="K2162" s="46"/>
      <c r="L2162" s="46"/>
      <c r="M2162" s="46"/>
      <c r="N2162" s="46"/>
      <c r="O2162" s="46"/>
      <c r="P2162" s="46"/>
      <c r="Q2162" s="46"/>
      <c r="R2162" s="46"/>
      <c r="S2162" s="46"/>
      <c r="T2162" s="46"/>
      <c r="U2162" s="46"/>
      <c r="V2162" s="46"/>
      <c r="W2162" s="46"/>
    </row>
    <row r="2163" ht="16.5" spans="1:23">
      <c r="A2163" s="46"/>
      <c r="B2163" s="46"/>
      <c r="C2163" s="46"/>
      <c r="D2163" s="46"/>
      <c r="E2163" s="46"/>
      <c r="F2163" s="46"/>
      <c r="G2163" s="46"/>
      <c r="H2163" s="46"/>
      <c r="I2163" s="46"/>
      <c r="J2163" s="46"/>
      <c r="K2163" s="46"/>
      <c r="L2163" s="46"/>
      <c r="M2163" s="46"/>
      <c r="N2163" s="46"/>
      <c r="O2163" s="46"/>
      <c r="P2163" s="46"/>
      <c r="Q2163" s="46"/>
      <c r="R2163" s="46"/>
      <c r="S2163" s="46"/>
      <c r="T2163" s="46"/>
      <c r="U2163" s="46"/>
      <c r="V2163" s="46"/>
      <c r="W2163" s="46"/>
    </row>
    <row r="2164" ht="16.5" spans="1:23">
      <c r="A2164" s="46"/>
      <c r="B2164" s="46"/>
      <c r="C2164" s="46"/>
      <c r="D2164" s="46"/>
      <c r="E2164" s="46"/>
      <c r="F2164" s="46"/>
      <c r="G2164" s="46"/>
      <c r="H2164" s="46"/>
      <c r="I2164" s="46"/>
      <c r="J2164" s="46"/>
      <c r="K2164" s="46"/>
      <c r="L2164" s="46"/>
      <c r="M2164" s="46"/>
      <c r="N2164" s="46"/>
      <c r="O2164" s="46"/>
      <c r="P2164" s="46"/>
      <c r="Q2164" s="46"/>
      <c r="R2164" s="46"/>
      <c r="S2164" s="46"/>
      <c r="T2164" s="46"/>
      <c r="U2164" s="46"/>
      <c r="V2164" s="46"/>
      <c r="W2164" s="46"/>
    </row>
    <row r="2165" ht="16.5" spans="1:23">
      <c r="A2165" s="46"/>
      <c r="B2165" s="46"/>
      <c r="C2165" s="46"/>
      <c r="D2165" s="46"/>
      <c r="E2165" s="46"/>
      <c r="F2165" s="46"/>
      <c r="G2165" s="46"/>
      <c r="H2165" s="46"/>
      <c r="I2165" s="46"/>
      <c r="J2165" s="46"/>
      <c r="K2165" s="46"/>
      <c r="L2165" s="46"/>
      <c r="M2165" s="46"/>
      <c r="N2165" s="46"/>
      <c r="O2165" s="46"/>
      <c r="P2165" s="46"/>
      <c r="Q2165" s="46"/>
      <c r="R2165" s="46"/>
      <c r="S2165" s="46"/>
      <c r="T2165" s="46"/>
      <c r="U2165" s="46"/>
      <c r="V2165" s="46"/>
      <c r="W2165" s="46"/>
    </row>
    <row r="2166" ht="16.5" spans="1:23">
      <c r="A2166" s="46"/>
      <c r="B2166" s="46"/>
      <c r="C2166" s="46"/>
      <c r="D2166" s="46"/>
      <c r="E2166" s="46"/>
      <c r="F2166" s="46"/>
      <c r="G2166" s="46"/>
      <c r="H2166" s="46"/>
      <c r="I2166" s="46"/>
      <c r="J2166" s="46"/>
      <c r="K2166" s="46"/>
      <c r="L2166" s="46"/>
      <c r="M2166" s="46"/>
      <c r="N2166" s="46"/>
      <c r="O2166" s="46"/>
      <c r="P2166" s="46"/>
      <c r="Q2166" s="46"/>
      <c r="R2166" s="46"/>
      <c r="S2166" s="46"/>
      <c r="T2166" s="46"/>
      <c r="U2166" s="46"/>
      <c r="V2166" s="46"/>
      <c r="W2166" s="46"/>
    </row>
    <row r="2167" ht="16.5" spans="1:23">
      <c r="A2167" s="46"/>
      <c r="B2167" s="46"/>
      <c r="C2167" s="46"/>
      <c r="D2167" s="46"/>
      <c r="E2167" s="46"/>
      <c r="F2167" s="46"/>
      <c r="G2167" s="46"/>
      <c r="H2167" s="46"/>
      <c r="I2167" s="46"/>
      <c r="J2167" s="46"/>
      <c r="K2167" s="46"/>
      <c r="L2167" s="46"/>
      <c r="M2167" s="46"/>
      <c r="N2167" s="46"/>
      <c r="O2167" s="46"/>
      <c r="P2167" s="46"/>
      <c r="Q2167" s="46"/>
      <c r="R2167" s="46"/>
      <c r="S2167" s="46"/>
      <c r="T2167" s="46"/>
      <c r="U2167" s="46"/>
      <c r="V2167" s="46"/>
      <c r="W2167" s="46"/>
    </row>
    <row r="2168" ht="16.5" spans="1:23">
      <c r="A2168" s="46"/>
      <c r="B2168" s="46"/>
      <c r="C2168" s="46"/>
      <c r="D2168" s="46"/>
      <c r="E2168" s="46"/>
      <c r="F2168" s="46"/>
      <c r="G2168" s="46"/>
      <c r="H2168" s="46"/>
      <c r="I2168" s="46"/>
      <c r="J2168" s="46"/>
      <c r="K2168" s="46"/>
      <c r="L2168" s="46"/>
      <c r="M2168" s="46"/>
      <c r="N2168" s="46"/>
      <c r="O2168" s="46"/>
      <c r="P2168" s="46"/>
      <c r="Q2168" s="46"/>
      <c r="R2168" s="46"/>
      <c r="S2168" s="46"/>
      <c r="T2168" s="46"/>
      <c r="U2168" s="46"/>
      <c r="V2168" s="46"/>
      <c r="W2168" s="46"/>
    </row>
    <row r="2169" ht="16.5" spans="1:23">
      <c r="A2169" s="46"/>
      <c r="B2169" s="46"/>
      <c r="C2169" s="46"/>
      <c r="D2169" s="46"/>
      <c r="E2169" s="46"/>
      <c r="F2169" s="46"/>
      <c r="G2169" s="46"/>
      <c r="H2169" s="46"/>
      <c r="I2169" s="46"/>
      <c r="J2169" s="46"/>
      <c r="K2169" s="46"/>
      <c r="L2169" s="46"/>
      <c r="M2169" s="46"/>
      <c r="N2169" s="46"/>
      <c r="O2169" s="46"/>
      <c r="P2169" s="46"/>
      <c r="Q2169" s="46"/>
      <c r="R2169" s="46"/>
      <c r="S2169" s="46"/>
      <c r="T2169" s="46"/>
      <c r="U2169" s="46"/>
      <c r="V2169" s="46"/>
      <c r="W2169" s="46"/>
    </row>
    <row r="2170" ht="16.5" spans="1:23">
      <c r="A2170" s="46"/>
      <c r="B2170" s="46"/>
      <c r="C2170" s="46"/>
      <c r="D2170" s="46"/>
      <c r="E2170" s="46"/>
      <c r="F2170" s="46"/>
      <c r="G2170" s="46"/>
      <c r="H2170" s="46"/>
      <c r="I2170" s="46"/>
      <c r="J2170" s="46"/>
      <c r="K2170" s="46"/>
      <c r="L2170" s="46"/>
      <c r="M2170" s="46"/>
      <c r="N2170" s="46"/>
      <c r="O2170" s="46"/>
      <c r="P2170" s="46"/>
      <c r="Q2170" s="46"/>
      <c r="R2170" s="46"/>
      <c r="S2170" s="46"/>
      <c r="T2170" s="46"/>
      <c r="U2170" s="46"/>
      <c r="V2170" s="46"/>
      <c r="W2170" s="46"/>
    </row>
    <row r="2171" ht="16.5" spans="1:23">
      <c r="A2171" s="46"/>
      <c r="B2171" s="46"/>
      <c r="C2171" s="46"/>
      <c r="D2171" s="46"/>
      <c r="E2171" s="46"/>
      <c r="F2171" s="46"/>
      <c r="G2171" s="46"/>
      <c r="H2171" s="46"/>
      <c r="I2171" s="46"/>
      <c r="J2171" s="46"/>
      <c r="K2171" s="46"/>
      <c r="L2171" s="46"/>
      <c r="M2171" s="46"/>
      <c r="N2171" s="46"/>
      <c r="O2171" s="46"/>
      <c r="P2171" s="46"/>
      <c r="Q2171" s="46"/>
      <c r="R2171" s="46"/>
      <c r="S2171" s="46"/>
      <c r="T2171" s="46"/>
      <c r="U2171" s="46"/>
      <c r="V2171" s="46"/>
      <c r="W2171" s="46"/>
    </row>
    <row r="2172" ht="16.5" spans="1:23">
      <c r="A2172" s="46"/>
      <c r="B2172" s="46"/>
      <c r="C2172" s="46"/>
      <c r="D2172" s="46"/>
      <c r="E2172" s="46"/>
      <c r="F2172" s="46"/>
      <c r="G2172" s="46"/>
      <c r="H2172" s="46"/>
      <c r="I2172" s="46"/>
      <c r="J2172" s="46"/>
      <c r="K2172" s="46"/>
      <c r="L2172" s="46"/>
      <c r="M2172" s="46"/>
      <c r="N2172" s="46"/>
      <c r="O2172" s="46"/>
      <c r="P2172" s="46"/>
      <c r="Q2172" s="46"/>
      <c r="R2172" s="46"/>
      <c r="S2172" s="46"/>
      <c r="T2172" s="46"/>
      <c r="U2172" s="46"/>
      <c r="V2172" s="46"/>
      <c r="W2172" s="46"/>
    </row>
    <row r="2173" ht="16.5" spans="1:23">
      <c r="A2173" s="46"/>
      <c r="B2173" s="46"/>
      <c r="C2173" s="46"/>
      <c r="D2173" s="46"/>
      <c r="E2173" s="46"/>
      <c r="F2173" s="46"/>
      <c r="G2173" s="46"/>
      <c r="H2173" s="46"/>
      <c r="I2173" s="46"/>
      <c r="J2173" s="46"/>
      <c r="K2173" s="46"/>
      <c r="L2173" s="46"/>
      <c r="M2173" s="46"/>
      <c r="N2173" s="46"/>
      <c r="O2173" s="46"/>
      <c r="P2173" s="46"/>
      <c r="Q2173" s="46"/>
      <c r="R2173" s="46"/>
      <c r="S2173" s="46"/>
      <c r="T2173" s="46"/>
      <c r="U2173" s="46"/>
      <c r="V2173" s="46"/>
      <c r="W2173" s="46"/>
    </row>
    <row r="2174" ht="16.5" spans="1:23">
      <c r="A2174" s="46"/>
      <c r="B2174" s="46"/>
      <c r="C2174" s="46"/>
      <c r="D2174" s="46"/>
      <c r="E2174" s="46"/>
      <c r="F2174" s="46"/>
      <c r="G2174" s="46"/>
      <c r="H2174" s="46"/>
      <c r="I2174" s="46"/>
      <c r="J2174" s="46"/>
      <c r="K2174" s="46"/>
      <c r="L2174" s="46"/>
      <c r="M2174" s="46"/>
      <c r="N2174" s="46"/>
      <c r="O2174" s="46"/>
      <c r="P2174" s="46"/>
      <c r="Q2174" s="46"/>
      <c r="R2174" s="46"/>
      <c r="S2174" s="46"/>
      <c r="T2174" s="46"/>
      <c r="U2174" s="46"/>
      <c r="V2174" s="46"/>
      <c r="W2174" s="46"/>
    </row>
    <row r="2175" ht="16.5" spans="1:23">
      <c r="A2175" s="46"/>
      <c r="B2175" s="46"/>
      <c r="C2175" s="46"/>
      <c r="D2175" s="46"/>
      <c r="E2175" s="46"/>
      <c r="F2175" s="46"/>
      <c r="G2175" s="46"/>
      <c r="H2175" s="46"/>
      <c r="I2175" s="46"/>
      <c r="J2175" s="46"/>
      <c r="K2175" s="46"/>
      <c r="L2175" s="46"/>
      <c r="M2175" s="46"/>
      <c r="N2175" s="46"/>
      <c r="O2175" s="46"/>
      <c r="P2175" s="46"/>
      <c r="Q2175" s="46"/>
      <c r="R2175" s="46"/>
      <c r="S2175" s="46"/>
      <c r="T2175" s="46"/>
      <c r="U2175" s="46"/>
      <c r="V2175" s="46"/>
      <c r="W2175" s="46"/>
    </row>
    <row r="2176" ht="16.5" spans="1:23">
      <c r="A2176" s="46"/>
      <c r="B2176" s="46"/>
      <c r="C2176" s="46"/>
      <c r="D2176" s="46"/>
      <c r="E2176" s="46"/>
      <c r="F2176" s="46"/>
      <c r="G2176" s="46"/>
      <c r="H2176" s="46"/>
      <c r="I2176" s="46"/>
      <c r="J2176" s="46"/>
      <c r="K2176" s="46"/>
      <c r="L2176" s="46"/>
      <c r="M2176" s="46"/>
      <c r="N2176" s="46"/>
      <c r="O2176" s="46"/>
      <c r="P2176" s="46"/>
      <c r="Q2176" s="46"/>
      <c r="R2176" s="46"/>
      <c r="S2176" s="46"/>
      <c r="T2176" s="46"/>
      <c r="U2176" s="46"/>
      <c r="V2176" s="46"/>
      <c r="W2176" s="46"/>
    </row>
    <row r="2177" ht="16.5" spans="1:23">
      <c r="A2177" s="46"/>
      <c r="B2177" s="46"/>
      <c r="C2177" s="46"/>
      <c r="D2177" s="46"/>
      <c r="E2177" s="46"/>
      <c r="F2177" s="46"/>
      <c r="G2177" s="46"/>
      <c r="H2177" s="46"/>
      <c r="I2177" s="46"/>
      <c r="J2177" s="46"/>
      <c r="K2177" s="46"/>
      <c r="L2177" s="46"/>
      <c r="M2177" s="46"/>
      <c r="N2177" s="46"/>
      <c r="O2177" s="46"/>
      <c r="P2177" s="46"/>
      <c r="Q2177" s="46"/>
      <c r="R2177" s="46"/>
      <c r="S2177" s="46"/>
      <c r="T2177" s="46"/>
      <c r="U2177" s="46"/>
      <c r="V2177" s="46"/>
      <c r="W2177" s="46"/>
    </row>
    <row r="2178" ht="16.5" spans="1:23">
      <c r="A2178" s="46"/>
      <c r="B2178" s="46"/>
      <c r="C2178" s="46"/>
      <c r="D2178" s="46"/>
      <c r="E2178" s="46"/>
      <c r="F2178" s="46"/>
      <c r="G2178" s="46"/>
      <c r="H2178" s="46"/>
      <c r="I2178" s="46"/>
      <c r="J2178" s="46"/>
      <c r="K2178" s="46"/>
      <c r="L2178" s="46"/>
      <c r="M2178" s="46"/>
      <c r="N2178" s="46"/>
      <c r="O2178" s="46"/>
      <c r="P2178" s="46"/>
      <c r="Q2178" s="46"/>
      <c r="R2178" s="46"/>
      <c r="S2178" s="46"/>
      <c r="T2178" s="46"/>
      <c r="U2178" s="46"/>
      <c r="V2178" s="46"/>
      <c r="W2178" s="46"/>
    </row>
    <row r="2179" ht="16.5" spans="1:23">
      <c r="A2179" s="46"/>
      <c r="B2179" s="46"/>
      <c r="C2179" s="46"/>
      <c r="D2179" s="46"/>
      <c r="E2179" s="46"/>
      <c r="F2179" s="46"/>
      <c r="G2179" s="46"/>
      <c r="H2179" s="46"/>
      <c r="I2179" s="46"/>
      <c r="J2179" s="46"/>
      <c r="K2179" s="46"/>
      <c r="L2179" s="46"/>
      <c r="M2179" s="46"/>
      <c r="N2179" s="46"/>
      <c r="O2179" s="46"/>
      <c r="P2179" s="46"/>
      <c r="Q2179" s="46"/>
      <c r="R2179" s="46"/>
      <c r="S2179" s="46"/>
      <c r="T2179" s="46"/>
      <c r="U2179" s="46"/>
      <c r="V2179" s="46"/>
      <c r="W2179" s="46"/>
    </row>
    <row r="2180" ht="16.5" spans="1:23">
      <c r="A2180" s="46"/>
      <c r="B2180" s="46"/>
      <c r="C2180" s="46"/>
      <c r="D2180" s="46"/>
      <c r="E2180" s="46"/>
      <c r="F2180" s="46"/>
      <c r="G2180" s="46"/>
      <c r="H2180" s="46"/>
      <c r="I2180" s="46"/>
      <c r="J2180" s="46"/>
      <c r="K2180" s="46"/>
      <c r="L2180" s="46"/>
      <c r="M2180" s="46"/>
      <c r="N2180" s="46"/>
      <c r="O2180" s="46"/>
      <c r="P2180" s="46"/>
      <c r="Q2180" s="46"/>
      <c r="R2180" s="46"/>
      <c r="S2180" s="46"/>
      <c r="T2180" s="46"/>
      <c r="U2180" s="46"/>
      <c r="V2180" s="46"/>
      <c r="W2180" s="46"/>
    </row>
    <row r="2181" ht="16.5" spans="1:23">
      <c r="A2181" s="46"/>
      <c r="B2181" s="46"/>
      <c r="C2181" s="46"/>
      <c r="D2181" s="46"/>
      <c r="E2181" s="46"/>
      <c r="F2181" s="46"/>
      <c r="G2181" s="46"/>
      <c r="H2181" s="46"/>
      <c r="I2181" s="46"/>
      <c r="J2181" s="46"/>
      <c r="K2181" s="46"/>
      <c r="L2181" s="46"/>
      <c r="M2181" s="46"/>
      <c r="N2181" s="46"/>
      <c r="O2181" s="46"/>
      <c r="P2181" s="46"/>
      <c r="Q2181" s="46"/>
      <c r="R2181" s="46"/>
      <c r="S2181" s="46"/>
      <c r="T2181" s="46"/>
      <c r="U2181" s="46"/>
      <c r="V2181" s="46"/>
      <c r="W2181" s="46"/>
    </row>
    <row r="2182" ht="16.5" spans="1:23">
      <c r="A2182" s="46"/>
      <c r="B2182" s="46"/>
      <c r="C2182" s="46"/>
      <c r="D2182" s="46"/>
      <c r="E2182" s="46"/>
      <c r="F2182" s="46"/>
      <c r="G2182" s="46"/>
      <c r="H2182" s="46"/>
      <c r="I2182" s="46"/>
      <c r="J2182" s="46"/>
      <c r="K2182" s="46"/>
      <c r="L2182" s="46"/>
      <c r="M2182" s="46"/>
      <c r="N2182" s="46"/>
      <c r="O2182" s="46"/>
      <c r="P2182" s="46"/>
      <c r="Q2182" s="46"/>
      <c r="R2182" s="46"/>
      <c r="S2182" s="46"/>
      <c r="T2182" s="46"/>
      <c r="U2182" s="46"/>
      <c r="V2182" s="46"/>
      <c r="W2182" s="46"/>
    </row>
    <row r="2183" ht="16.5" spans="1:23">
      <c r="A2183" s="46"/>
      <c r="B2183" s="46"/>
      <c r="C2183" s="46"/>
      <c r="D2183" s="46"/>
      <c r="E2183" s="46"/>
      <c r="F2183" s="46"/>
      <c r="G2183" s="46"/>
      <c r="H2183" s="46"/>
      <c r="I2183" s="46"/>
      <c r="J2183" s="46"/>
      <c r="K2183" s="46"/>
      <c r="L2183" s="46"/>
      <c r="M2183" s="46"/>
      <c r="N2183" s="46"/>
      <c r="O2183" s="46"/>
      <c r="P2183" s="46"/>
      <c r="Q2183" s="46"/>
      <c r="R2183" s="46"/>
      <c r="S2183" s="46"/>
      <c r="T2183" s="46"/>
      <c r="U2183" s="46"/>
      <c r="V2183" s="46"/>
      <c r="W2183" s="46"/>
    </row>
    <row r="2184" ht="16.5" spans="1:23">
      <c r="A2184" s="46"/>
      <c r="B2184" s="46"/>
      <c r="C2184" s="46"/>
      <c r="D2184" s="46"/>
      <c r="E2184" s="46"/>
      <c r="F2184" s="46"/>
      <c r="G2184" s="46"/>
      <c r="H2184" s="46"/>
      <c r="I2184" s="46"/>
      <c r="J2184" s="46"/>
      <c r="K2184" s="46"/>
      <c r="L2184" s="46"/>
      <c r="M2184" s="46"/>
      <c r="N2184" s="46"/>
      <c r="O2184" s="46"/>
      <c r="P2184" s="46"/>
      <c r="Q2184" s="46"/>
      <c r="R2184" s="46"/>
      <c r="S2184" s="46"/>
      <c r="T2184" s="46"/>
      <c r="U2184" s="46"/>
      <c r="V2184" s="46"/>
      <c r="W2184" s="46"/>
    </row>
    <row r="2185" ht="16.5" spans="1:23">
      <c r="A2185" s="46"/>
      <c r="B2185" s="46"/>
      <c r="C2185" s="46"/>
      <c r="D2185" s="46"/>
      <c r="E2185" s="46"/>
      <c r="F2185" s="46"/>
      <c r="G2185" s="46"/>
      <c r="H2185" s="46"/>
      <c r="I2185" s="46"/>
      <c r="J2185" s="46"/>
      <c r="K2185" s="46"/>
      <c r="L2185" s="46"/>
      <c r="M2185" s="46"/>
      <c r="N2185" s="46"/>
      <c r="O2185" s="46"/>
      <c r="P2185" s="46"/>
      <c r="Q2185" s="46"/>
      <c r="R2185" s="46"/>
      <c r="S2185" s="46"/>
      <c r="T2185" s="46"/>
      <c r="U2185" s="46"/>
      <c r="V2185" s="46"/>
      <c r="W2185" s="46"/>
    </row>
    <row r="2186" ht="16.5" spans="1:23">
      <c r="A2186" s="46"/>
      <c r="B2186" s="46"/>
      <c r="C2186" s="46"/>
      <c r="D2186" s="46"/>
      <c r="E2186" s="46"/>
      <c r="F2186" s="46"/>
      <c r="G2186" s="46"/>
      <c r="H2186" s="46"/>
      <c r="I2186" s="46"/>
      <c r="J2186" s="46"/>
      <c r="K2186" s="46"/>
      <c r="L2186" s="46"/>
      <c r="M2186" s="46"/>
      <c r="N2186" s="46"/>
      <c r="O2186" s="46"/>
      <c r="P2186" s="46"/>
      <c r="Q2186" s="46"/>
      <c r="R2186" s="46"/>
      <c r="S2186" s="46"/>
      <c r="T2186" s="46"/>
      <c r="U2186" s="46"/>
      <c r="V2186" s="46"/>
      <c r="W2186" s="46"/>
    </row>
    <row r="2187" ht="16.5" spans="1:23">
      <c r="A2187" s="46"/>
      <c r="B2187" s="46"/>
      <c r="C2187" s="46"/>
      <c r="D2187" s="46"/>
      <c r="E2187" s="46"/>
      <c r="F2187" s="46"/>
      <c r="G2187" s="46"/>
      <c r="H2187" s="46"/>
      <c r="I2187" s="46"/>
      <c r="J2187" s="46"/>
      <c r="K2187" s="46"/>
      <c r="L2187" s="46"/>
      <c r="M2187" s="46"/>
      <c r="N2187" s="46"/>
      <c r="O2187" s="46"/>
      <c r="P2187" s="46"/>
      <c r="Q2187" s="46"/>
      <c r="R2187" s="46"/>
      <c r="S2187" s="46"/>
      <c r="T2187" s="46"/>
      <c r="U2187" s="46"/>
      <c r="V2187" s="46"/>
      <c r="W2187" s="46"/>
    </row>
    <row r="2188" ht="16.5" spans="1:23">
      <c r="A2188" s="46"/>
      <c r="B2188" s="46"/>
      <c r="C2188" s="46"/>
      <c r="D2188" s="46"/>
      <c r="E2188" s="46"/>
      <c r="F2188" s="46"/>
      <c r="G2188" s="46"/>
      <c r="H2188" s="46"/>
      <c r="I2188" s="46"/>
      <c r="J2188" s="46"/>
      <c r="K2188" s="46"/>
      <c r="L2188" s="46"/>
      <c r="M2188" s="46"/>
      <c r="N2188" s="46"/>
      <c r="O2188" s="46"/>
      <c r="P2188" s="46"/>
      <c r="Q2188" s="46"/>
      <c r="R2188" s="46"/>
      <c r="S2188" s="46"/>
      <c r="T2188" s="46"/>
      <c r="U2188" s="46"/>
      <c r="V2188" s="46"/>
      <c r="W2188" s="46"/>
    </row>
    <row r="2189" ht="16.5" spans="1:23">
      <c r="A2189" s="46"/>
      <c r="B2189" s="46"/>
      <c r="C2189" s="46"/>
      <c r="D2189" s="46"/>
      <c r="E2189" s="46"/>
      <c r="F2189" s="46"/>
      <c r="G2189" s="46"/>
      <c r="H2189" s="46"/>
      <c r="I2189" s="46"/>
      <c r="J2189" s="46"/>
      <c r="K2189" s="46"/>
      <c r="L2189" s="46"/>
      <c r="M2189" s="46"/>
      <c r="N2189" s="46"/>
      <c r="O2189" s="46"/>
      <c r="P2189" s="46"/>
      <c r="Q2189" s="46"/>
      <c r="R2189" s="46"/>
      <c r="S2189" s="46"/>
      <c r="T2189" s="46"/>
      <c r="U2189" s="46"/>
      <c r="V2189" s="46"/>
      <c r="W2189" s="46"/>
    </row>
    <row r="2190" ht="16.5" spans="1:23">
      <c r="A2190" s="46"/>
      <c r="B2190" s="46"/>
      <c r="C2190" s="46"/>
      <c r="D2190" s="46"/>
      <c r="E2190" s="46"/>
      <c r="F2190" s="46"/>
      <c r="G2190" s="46"/>
      <c r="H2190" s="46"/>
      <c r="I2190" s="46"/>
      <c r="J2190" s="46"/>
      <c r="K2190" s="46"/>
      <c r="L2190" s="46"/>
      <c r="M2190" s="46"/>
      <c r="N2190" s="46"/>
      <c r="O2190" s="46"/>
      <c r="P2190" s="46"/>
      <c r="Q2190" s="46"/>
      <c r="R2190" s="46"/>
      <c r="S2190" s="46"/>
      <c r="T2190" s="46"/>
      <c r="U2190" s="46"/>
      <c r="V2190" s="46"/>
      <c r="W2190" s="46"/>
    </row>
    <row r="2191" ht="16.5" spans="1:23">
      <c r="A2191" s="46"/>
      <c r="B2191" s="46"/>
      <c r="C2191" s="46"/>
      <c r="D2191" s="46"/>
      <c r="E2191" s="46"/>
      <c r="F2191" s="46"/>
      <c r="G2191" s="46"/>
      <c r="H2191" s="46"/>
      <c r="I2191" s="46"/>
      <c r="J2191" s="46"/>
      <c r="K2191" s="46"/>
      <c r="L2191" s="46"/>
      <c r="M2191" s="46"/>
      <c r="N2191" s="46"/>
      <c r="O2191" s="46"/>
      <c r="P2191" s="46"/>
      <c r="Q2191" s="46"/>
      <c r="R2191" s="46"/>
      <c r="S2191" s="46"/>
      <c r="T2191" s="46"/>
      <c r="U2191" s="46"/>
      <c r="V2191" s="46"/>
      <c r="W2191" s="46"/>
    </row>
    <row r="2192" ht="16.5" spans="1:23">
      <c r="A2192" s="46"/>
      <c r="B2192" s="46"/>
      <c r="C2192" s="46"/>
      <c r="D2192" s="46"/>
      <c r="E2192" s="46"/>
      <c r="F2192" s="46"/>
      <c r="G2192" s="46"/>
      <c r="H2192" s="46"/>
      <c r="I2192" s="46"/>
      <c r="J2192" s="46"/>
      <c r="K2192" s="46"/>
      <c r="L2192" s="46"/>
      <c r="M2192" s="46"/>
      <c r="N2192" s="46"/>
      <c r="O2192" s="46"/>
      <c r="P2192" s="46"/>
      <c r="Q2192" s="46"/>
      <c r="R2192" s="46"/>
      <c r="S2192" s="46"/>
      <c r="T2192" s="46"/>
      <c r="U2192" s="46"/>
      <c r="V2192" s="46"/>
      <c r="W2192" s="46"/>
    </row>
    <row r="2193" ht="16.5" spans="1:23">
      <c r="A2193" s="46"/>
      <c r="B2193" s="46"/>
      <c r="C2193" s="46"/>
      <c r="D2193" s="46"/>
      <c r="E2193" s="46"/>
      <c r="F2193" s="46"/>
      <c r="G2193" s="46"/>
      <c r="H2193" s="46"/>
      <c r="I2193" s="46"/>
      <c r="J2193" s="46"/>
      <c r="K2193" s="46"/>
      <c r="L2193" s="46"/>
      <c r="M2193" s="46"/>
      <c r="N2193" s="46"/>
      <c r="O2193" s="46"/>
      <c r="P2193" s="46"/>
      <c r="Q2193" s="46"/>
      <c r="R2193" s="46"/>
      <c r="S2193" s="46"/>
      <c r="T2193" s="46"/>
      <c r="U2193" s="46"/>
      <c r="V2193" s="46"/>
      <c r="W2193" s="46"/>
    </row>
    <row r="2194" ht="16.5" spans="1:23">
      <c r="A2194" s="46"/>
      <c r="B2194" s="46"/>
      <c r="C2194" s="46"/>
      <c r="D2194" s="46"/>
      <c r="E2194" s="46"/>
      <c r="F2194" s="46"/>
      <c r="G2194" s="46"/>
      <c r="H2194" s="46"/>
      <c r="I2194" s="46"/>
      <c r="J2194" s="46"/>
      <c r="K2194" s="46"/>
      <c r="L2194" s="46"/>
      <c r="M2194" s="46"/>
      <c r="N2194" s="46"/>
      <c r="O2194" s="46"/>
      <c r="P2194" s="46"/>
      <c r="Q2194" s="46"/>
      <c r="R2194" s="46"/>
      <c r="S2194" s="46"/>
      <c r="T2194" s="46"/>
      <c r="U2194" s="46"/>
      <c r="V2194" s="46"/>
      <c r="W2194" s="46"/>
    </row>
    <row r="2195" ht="16.5" spans="1:23">
      <c r="A2195" s="46"/>
      <c r="B2195" s="46"/>
      <c r="C2195" s="46"/>
      <c r="D2195" s="46"/>
      <c r="E2195" s="46"/>
      <c r="F2195" s="46"/>
      <c r="G2195" s="46"/>
      <c r="H2195" s="46"/>
      <c r="I2195" s="46"/>
      <c r="J2195" s="46"/>
      <c r="K2195" s="46"/>
      <c r="L2195" s="46"/>
      <c r="M2195" s="46"/>
      <c r="N2195" s="46"/>
      <c r="O2195" s="46"/>
      <c r="P2195" s="46"/>
      <c r="Q2195" s="46"/>
      <c r="R2195" s="46"/>
      <c r="S2195" s="46"/>
      <c r="T2195" s="46"/>
      <c r="U2195" s="46"/>
      <c r="V2195" s="46"/>
      <c r="W2195" s="46"/>
    </row>
    <row r="2196" ht="16.5" spans="1:23">
      <c r="A2196" s="46"/>
      <c r="B2196" s="46"/>
      <c r="C2196" s="46"/>
      <c r="D2196" s="46"/>
      <c r="E2196" s="46"/>
      <c r="F2196" s="46"/>
      <c r="G2196" s="46"/>
      <c r="H2196" s="46"/>
      <c r="I2196" s="46"/>
      <c r="J2196" s="46"/>
      <c r="K2196" s="46"/>
      <c r="L2196" s="46"/>
      <c r="M2196" s="46"/>
      <c r="N2196" s="46"/>
      <c r="O2196" s="46"/>
      <c r="P2196" s="46"/>
      <c r="Q2196" s="46"/>
      <c r="R2196" s="46"/>
      <c r="S2196" s="46"/>
      <c r="T2196" s="46"/>
      <c r="U2196" s="46"/>
      <c r="V2196" s="46"/>
      <c r="W2196" s="46"/>
    </row>
    <row r="2197" ht="16.5" spans="1:23">
      <c r="A2197" s="46"/>
      <c r="B2197" s="46"/>
      <c r="C2197" s="46"/>
      <c r="D2197" s="46"/>
      <c r="E2197" s="46"/>
      <c r="F2197" s="46"/>
      <c r="G2197" s="46"/>
      <c r="H2197" s="46"/>
      <c r="I2197" s="46"/>
      <c r="J2197" s="46"/>
      <c r="K2197" s="46"/>
      <c r="L2197" s="46"/>
      <c r="M2197" s="46"/>
      <c r="N2197" s="46"/>
      <c r="O2197" s="46"/>
      <c r="P2197" s="46"/>
      <c r="Q2197" s="46"/>
      <c r="R2197" s="46"/>
      <c r="S2197" s="46"/>
      <c r="T2197" s="46"/>
      <c r="U2197" s="46"/>
      <c r="V2197" s="46"/>
      <c r="W2197" s="46"/>
    </row>
    <row r="2198" ht="16.5" spans="1:23">
      <c r="A2198" s="46"/>
      <c r="B2198" s="46"/>
      <c r="C2198" s="46"/>
      <c r="D2198" s="46"/>
      <c r="E2198" s="46"/>
      <c r="F2198" s="46"/>
      <c r="G2198" s="46"/>
      <c r="H2198" s="46"/>
      <c r="I2198" s="46"/>
      <c r="J2198" s="46"/>
      <c r="K2198" s="46"/>
      <c r="L2198" s="46"/>
      <c r="M2198" s="46"/>
      <c r="N2198" s="46"/>
      <c r="O2198" s="46"/>
      <c r="P2198" s="46"/>
      <c r="Q2198" s="46"/>
      <c r="R2198" s="46"/>
      <c r="S2198" s="46"/>
      <c r="T2198" s="46"/>
      <c r="U2198" s="46"/>
      <c r="V2198" s="46"/>
      <c r="W2198" s="46"/>
    </row>
    <row r="2199" ht="16.5" spans="1:23">
      <c r="A2199" s="46"/>
      <c r="B2199" s="46"/>
      <c r="C2199" s="46"/>
      <c r="D2199" s="46"/>
      <c r="E2199" s="46"/>
      <c r="F2199" s="46"/>
      <c r="G2199" s="46"/>
      <c r="H2199" s="46"/>
      <c r="I2199" s="46"/>
      <c r="J2199" s="46"/>
      <c r="K2199" s="46"/>
      <c r="L2199" s="46"/>
      <c r="M2199" s="46"/>
      <c r="N2199" s="46"/>
      <c r="O2199" s="46"/>
      <c r="P2199" s="46"/>
      <c r="Q2199" s="46"/>
      <c r="R2199" s="46"/>
      <c r="S2199" s="46"/>
      <c r="T2199" s="46"/>
      <c r="U2199" s="46"/>
      <c r="V2199" s="46"/>
      <c r="W2199" s="46"/>
    </row>
    <row r="2200" ht="16.5" spans="1:23">
      <c r="A2200" s="46"/>
      <c r="B2200" s="46"/>
      <c r="C2200" s="46"/>
      <c r="D2200" s="46"/>
      <c r="E2200" s="46"/>
      <c r="F2200" s="46"/>
      <c r="G2200" s="46"/>
      <c r="H2200" s="46"/>
      <c r="I2200" s="46"/>
      <c r="J2200" s="46"/>
      <c r="K2200" s="46"/>
      <c r="L2200" s="46"/>
      <c r="M2200" s="46"/>
      <c r="N2200" s="46"/>
      <c r="O2200" s="46"/>
      <c r="P2200" s="46"/>
      <c r="Q2200" s="46"/>
      <c r="R2200" s="46"/>
      <c r="S2200" s="46"/>
      <c r="T2200" s="46"/>
      <c r="U2200" s="46"/>
      <c r="V2200" s="46"/>
      <c r="W2200" s="46"/>
    </row>
    <row r="2201" ht="16.5" spans="1:23">
      <c r="A2201" s="46"/>
      <c r="B2201" s="46"/>
      <c r="C2201" s="46"/>
      <c r="D2201" s="46"/>
      <c r="E2201" s="46"/>
      <c r="F2201" s="46"/>
      <c r="G2201" s="46"/>
      <c r="H2201" s="46"/>
      <c r="I2201" s="46"/>
      <c r="J2201" s="46"/>
      <c r="K2201" s="46"/>
      <c r="L2201" s="46"/>
      <c r="M2201" s="46"/>
      <c r="N2201" s="46"/>
      <c r="O2201" s="46"/>
      <c r="P2201" s="46"/>
      <c r="Q2201" s="46"/>
      <c r="R2201" s="46"/>
      <c r="S2201" s="46"/>
      <c r="T2201" s="46"/>
      <c r="U2201" s="46"/>
      <c r="V2201" s="46"/>
      <c r="W2201" s="46"/>
    </row>
    <row r="2202" ht="16.5" spans="1:23">
      <c r="A2202" s="46"/>
      <c r="B2202" s="46"/>
      <c r="C2202" s="46"/>
      <c r="D2202" s="46"/>
      <c r="E2202" s="46"/>
      <c r="F2202" s="46"/>
      <c r="G2202" s="46"/>
      <c r="H2202" s="46"/>
      <c r="I2202" s="46"/>
      <c r="J2202" s="46"/>
      <c r="K2202" s="46"/>
      <c r="L2202" s="46"/>
      <c r="M2202" s="46"/>
      <c r="N2202" s="46"/>
      <c r="O2202" s="46"/>
      <c r="P2202" s="46"/>
      <c r="Q2202" s="46"/>
      <c r="R2202" s="46"/>
      <c r="S2202" s="46"/>
      <c r="T2202" s="46"/>
      <c r="U2202" s="46"/>
      <c r="V2202" s="46"/>
      <c r="W2202" s="46"/>
    </row>
    <row r="2203" ht="16.5" spans="1:23">
      <c r="A2203" s="46"/>
      <c r="B2203" s="46"/>
      <c r="C2203" s="46"/>
      <c r="D2203" s="46"/>
      <c r="E2203" s="46"/>
      <c r="F2203" s="46"/>
      <c r="G2203" s="46"/>
      <c r="H2203" s="46"/>
      <c r="I2203" s="46"/>
      <c r="J2203" s="46"/>
      <c r="K2203" s="46"/>
      <c r="L2203" s="46"/>
      <c r="M2203" s="46"/>
      <c r="N2203" s="46"/>
      <c r="O2203" s="46"/>
      <c r="P2203" s="46"/>
      <c r="Q2203" s="46"/>
      <c r="R2203" s="46"/>
      <c r="S2203" s="46"/>
      <c r="T2203" s="46"/>
      <c r="U2203" s="46"/>
      <c r="V2203" s="46"/>
      <c r="W2203" s="46"/>
    </row>
    <row r="2204" ht="16.5" spans="1:23">
      <c r="A2204" s="46"/>
      <c r="B2204" s="46"/>
      <c r="C2204" s="46"/>
      <c r="D2204" s="46"/>
      <c r="E2204" s="46"/>
      <c r="F2204" s="46"/>
      <c r="G2204" s="46"/>
      <c r="H2204" s="46"/>
      <c r="I2204" s="46"/>
      <c r="J2204" s="46"/>
      <c r="K2204" s="46"/>
      <c r="L2204" s="46"/>
      <c r="M2204" s="46"/>
      <c r="N2204" s="46"/>
      <c r="O2204" s="46"/>
      <c r="P2204" s="46"/>
      <c r="Q2204" s="46"/>
      <c r="R2204" s="46"/>
      <c r="S2204" s="46"/>
      <c r="T2204" s="46"/>
      <c r="U2204" s="46"/>
      <c r="V2204" s="46"/>
      <c r="W2204" s="46"/>
    </row>
    <row r="2205" ht="16.5" spans="1:23">
      <c r="A2205" s="46"/>
      <c r="B2205" s="46"/>
      <c r="C2205" s="46"/>
      <c r="D2205" s="46"/>
      <c r="E2205" s="46"/>
      <c r="F2205" s="46"/>
      <c r="G2205" s="46"/>
      <c r="H2205" s="46"/>
      <c r="I2205" s="46"/>
      <c r="J2205" s="46"/>
      <c r="K2205" s="46"/>
      <c r="L2205" s="46"/>
      <c r="M2205" s="46"/>
      <c r="N2205" s="46"/>
      <c r="O2205" s="46"/>
      <c r="P2205" s="46"/>
      <c r="Q2205" s="46"/>
      <c r="R2205" s="46"/>
      <c r="S2205" s="46"/>
      <c r="T2205" s="46"/>
      <c r="U2205" s="46"/>
      <c r="V2205" s="46"/>
      <c r="W2205" s="46"/>
    </row>
    <row r="2206" ht="16.5" spans="1:23">
      <c r="A2206" s="46"/>
      <c r="B2206" s="46"/>
      <c r="C2206" s="46"/>
      <c r="D2206" s="46"/>
      <c r="E2206" s="46"/>
      <c r="F2206" s="46"/>
      <c r="G2206" s="46"/>
      <c r="H2206" s="46"/>
      <c r="I2206" s="46"/>
      <c r="J2206" s="46"/>
      <c r="K2206" s="46"/>
      <c r="L2206" s="46"/>
      <c r="M2206" s="46"/>
      <c r="N2206" s="46"/>
      <c r="O2206" s="46"/>
      <c r="P2206" s="46"/>
      <c r="Q2206" s="46"/>
      <c r="R2206" s="46"/>
      <c r="S2206" s="46"/>
      <c r="T2206" s="46"/>
      <c r="U2206" s="46"/>
      <c r="V2206" s="46"/>
      <c r="W2206" s="46"/>
    </row>
    <row r="2207" ht="16.5" spans="1:23">
      <c r="A2207" s="46"/>
      <c r="B2207" s="46"/>
      <c r="C2207" s="46"/>
      <c r="D2207" s="46"/>
      <c r="E2207" s="46"/>
      <c r="F2207" s="46"/>
      <c r="G2207" s="46"/>
      <c r="H2207" s="46"/>
      <c r="I2207" s="46"/>
      <c r="J2207" s="46"/>
      <c r="K2207" s="46"/>
      <c r="L2207" s="46"/>
      <c r="M2207" s="46"/>
      <c r="N2207" s="46"/>
      <c r="O2207" s="46"/>
      <c r="P2207" s="46"/>
      <c r="Q2207" s="46"/>
      <c r="R2207" s="46"/>
      <c r="S2207" s="46"/>
      <c r="T2207" s="46"/>
      <c r="U2207" s="46"/>
      <c r="V2207" s="46"/>
      <c r="W2207" s="46"/>
    </row>
    <row r="2208" ht="16.5" spans="1:23">
      <c r="A2208" s="46"/>
      <c r="B2208" s="46"/>
      <c r="C2208" s="46"/>
      <c r="D2208" s="46"/>
      <c r="E2208" s="46"/>
      <c r="F2208" s="46"/>
      <c r="G2208" s="46"/>
      <c r="H2208" s="46"/>
      <c r="I2208" s="46"/>
      <c r="J2208" s="46"/>
      <c r="K2208" s="46"/>
      <c r="L2208" s="46"/>
      <c r="M2208" s="46"/>
      <c r="N2208" s="46"/>
      <c r="O2208" s="46"/>
      <c r="P2208" s="46"/>
      <c r="Q2208" s="46"/>
      <c r="R2208" s="46"/>
      <c r="S2208" s="46"/>
      <c r="T2208" s="46"/>
      <c r="U2208" s="46"/>
      <c r="V2208" s="46"/>
      <c r="W2208" s="46"/>
    </row>
    <row r="2209" ht="16.5" spans="1:23">
      <c r="A2209" s="46"/>
      <c r="B2209" s="46"/>
      <c r="C2209" s="46"/>
      <c r="D2209" s="46"/>
      <c r="E2209" s="46"/>
      <c r="F2209" s="46"/>
      <c r="G2209" s="46"/>
      <c r="H2209" s="46"/>
      <c r="I2209" s="46"/>
      <c r="J2209" s="46"/>
      <c r="K2209" s="46"/>
      <c r="L2209" s="46"/>
      <c r="M2209" s="46"/>
      <c r="N2209" s="46"/>
      <c r="O2209" s="46"/>
      <c r="P2209" s="46"/>
      <c r="Q2209" s="46"/>
      <c r="R2209" s="46"/>
      <c r="S2209" s="46"/>
      <c r="T2209" s="46"/>
      <c r="U2209" s="46"/>
      <c r="V2209" s="46"/>
      <c r="W2209" s="46"/>
    </row>
    <row r="2210" ht="16.5" spans="1:23">
      <c r="A2210" s="46"/>
      <c r="B2210" s="46"/>
      <c r="C2210" s="46"/>
      <c r="D2210" s="46"/>
      <c r="E2210" s="46"/>
      <c r="F2210" s="46"/>
      <c r="G2210" s="46"/>
      <c r="H2210" s="46"/>
      <c r="I2210" s="46"/>
      <c r="J2210" s="46"/>
      <c r="K2210" s="46"/>
      <c r="L2210" s="46"/>
      <c r="M2210" s="46"/>
      <c r="N2210" s="46"/>
      <c r="O2210" s="46"/>
      <c r="P2210" s="46"/>
      <c r="Q2210" s="46"/>
      <c r="R2210" s="46"/>
      <c r="S2210" s="46"/>
      <c r="T2210" s="46"/>
      <c r="U2210" s="46"/>
      <c r="V2210" s="46"/>
      <c r="W2210" s="46"/>
    </row>
    <row r="2211" ht="16.5" spans="1:23">
      <c r="A2211" s="46"/>
      <c r="B2211" s="46"/>
      <c r="C2211" s="46"/>
      <c r="D2211" s="46"/>
      <c r="E2211" s="46"/>
      <c r="F2211" s="46"/>
      <c r="G2211" s="46"/>
      <c r="H2211" s="46"/>
      <c r="I2211" s="46"/>
      <c r="J2211" s="46"/>
      <c r="K2211" s="46"/>
      <c r="L2211" s="46"/>
      <c r="M2211" s="46"/>
      <c r="N2211" s="46"/>
      <c r="O2211" s="46"/>
      <c r="P2211" s="46"/>
      <c r="Q2211" s="46"/>
      <c r="R2211" s="46"/>
      <c r="S2211" s="46"/>
      <c r="T2211" s="46"/>
      <c r="U2211" s="46"/>
      <c r="V2211" s="46"/>
      <c r="W2211" s="46"/>
    </row>
    <row r="2212" ht="16.5" spans="1:23">
      <c r="A2212" s="46"/>
      <c r="B2212" s="46"/>
      <c r="C2212" s="46"/>
      <c r="D2212" s="46"/>
      <c r="E2212" s="46"/>
      <c r="F2212" s="46"/>
      <c r="G2212" s="46"/>
      <c r="H2212" s="46"/>
      <c r="I2212" s="46"/>
      <c r="J2212" s="46"/>
      <c r="K2212" s="46"/>
      <c r="L2212" s="46"/>
      <c r="M2212" s="46"/>
      <c r="N2212" s="46"/>
      <c r="O2212" s="46"/>
      <c r="P2212" s="46"/>
      <c r="Q2212" s="46"/>
      <c r="R2212" s="46"/>
      <c r="S2212" s="46"/>
      <c r="T2212" s="46"/>
      <c r="U2212" s="46"/>
      <c r="V2212" s="46"/>
      <c r="W2212" s="46"/>
    </row>
    <row r="2213" ht="16.5" spans="1:23">
      <c r="A2213" s="46"/>
      <c r="B2213" s="46"/>
      <c r="C2213" s="46"/>
      <c r="D2213" s="46"/>
      <c r="E2213" s="46"/>
      <c r="F2213" s="46"/>
      <c r="G2213" s="46"/>
      <c r="H2213" s="46"/>
      <c r="I2213" s="46"/>
      <c r="J2213" s="46"/>
      <c r="K2213" s="46"/>
      <c r="L2213" s="46"/>
      <c r="M2213" s="46"/>
      <c r="N2213" s="46"/>
      <c r="O2213" s="46"/>
      <c r="P2213" s="46"/>
      <c r="Q2213" s="46"/>
      <c r="R2213" s="46"/>
      <c r="S2213" s="46"/>
      <c r="T2213" s="46"/>
      <c r="U2213" s="46"/>
      <c r="V2213" s="46"/>
      <c r="W2213" s="46"/>
    </row>
    <row r="2214" ht="16.5" spans="1:23">
      <c r="A2214" s="46"/>
      <c r="B2214" s="46"/>
      <c r="C2214" s="46"/>
      <c r="D2214" s="46"/>
      <c r="E2214" s="46"/>
      <c r="F2214" s="46"/>
      <c r="G2214" s="46"/>
      <c r="H2214" s="46"/>
      <c r="I2214" s="46"/>
      <c r="J2214" s="46"/>
      <c r="K2214" s="46"/>
      <c r="L2214" s="46"/>
      <c r="M2214" s="46"/>
      <c r="N2214" s="46"/>
      <c r="O2214" s="46"/>
      <c r="P2214" s="46"/>
      <c r="Q2214" s="46"/>
      <c r="R2214" s="46"/>
      <c r="S2214" s="46"/>
      <c r="T2214" s="46"/>
      <c r="U2214" s="46"/>
      <c r="V2214" s="46"/>
      <c r="W2214" s="46"/>
    </row>
    <row r="2215" ht="16.5" spans="1:23">
      <c r="A2215" s="46"/>
      <c r="B2215" s="46"/>
      <c r="C2215" s="46"/>
      <c r="D2215" s="46"/>
      <c r="E2215" s="46"/>
      <c r="F2215" s="46"/>
      <c r="G2215" s="46"/>
      <c r="H2215" s="46"/>
      <c r="I2215" s="46"/>
      <c r="J2215" s="46"/>
      <c r="K2215" s="46"/>
      <c r="L2215" s="46"/>
      <c r="M2215" s="46"/>
      <c r="N2215" s="46"/>
      <c r="O2215" s="46"/>
      <c r="P2215" s="46"/>
      <c r="Q2215" s="46"/>
      <c r="R2215" s="46"/>
      <c r="S2215" s="46"/>
      <c r="T2215" s="46"/>
      <c r="U2215" s="46"/>
      <c r="V2215" s="46"/>
      <c r="W2215" s="46"/>
    </row>
    <row r="2216" ht="16.5" spans="1:23">
      <c r="A2216" s="46"/>
      <c r="B2216" s="46"/>
      <c r="C2216" s="46"/>
      <c r="D2216" s="46"/>
      <c r="E2216" s="46"/>
      <c r="F2216" s="46"/>
      <c r="G2216" s="46"/>
      <c r="H2216" s="46"/>
      <c r="I2216" s="46"/>
      <c r="J2216" s="46"/>
      <c r="K2216" s="46"/>
      <c r="L2216" s="46"/>
      <c r="M2216" s="46"/>
      <c r="N2216" s="46"/>
      <c r="O2216" s="46"/>
      <c r="P2216" s="46"/>
      <c r="Q2216" s="46"/>
      <c r="R2216" s="46"/>
      <c r="S2216" s="46"/>
      <c r="T2216" s="46"/>
      <c r="U2216" s="46"/>
      <c r="V2216" s="46"/>
      <c r="W2216" s="46"/>
    </row>
    <row r="2217" ht="16.5" spans="1:23">
      <c r="A2217" s="46"/>
      <c r="B2217" s="46"/>
      <c r="C2217" s="46"/>
      <c r="D2217" s="46"/>
      <c r="E2217" s="46"/>
      <c r="F2217" s="46"/>
      <c r="G2217" s="46"/>
      <c r="H2217" s="46"/>
      <c r="I2217" s="46"/>
      <c r="J2217" s="46"/>
      <c r="K2217" s="46"/>
      <c r="L2217" s="46"/>
      <c r="M2217" s="46"/>
      <c r="N2217" s="46"/>
      <c r="O2217" s="46"/>
      <c r="P2217" s="46"/>
      <c r="Q2217" s="46"/>
      <c r="R2217" s="46"/>
      <c r="S2217" s="46"/>
      <c r="T2217" s="46"/>
      <c r="U2217" s="46"/>
      <c r="V2217" s="46"/>
      <c r="W2217" s="46"/>
    </row>
    <row r="2218" ht="16.5" spans="1:23">
      <c r="A2218" s="46"/>
      <c r="B2218" s="46"/>
      <c r="C2218" s="46"/>
      <c r="D2218" s="46"/>
      <c r="E2218" s="46"/>
      <c r="F2218" s="46"/>
      <c r="G2218" s="46"/>
      <c r="H2218" s="46"/>
      <c r="I2218" s="46"/>
      <c r="J2218" s="46"/>
      <c r="K2218" s="46"/>
      <c r="L2218" s="46"/>
      <c r="M2218" s="46"/>
      <c r="N2218" s="46"/>
      <c r="O2218" s="46"/>
      <c r="P2218" s="46"/>
      <c r="Q2218" s="46"/>
      <c r="R2218" s="46"/>
      <c r="S2218" s="46"/>
      <c r="T2218" s="46"/>
      <c r="U2218" s="46"/>
      <c r="V2218" s="46"/>
      <c r="W2218" s="46"/>
    </row>
    <row r="2219" ht="16.5" spans="1:23">
      <c r="A2219" s="46"/>
      <c r="B2219" s="46"/>
      <c r="C2219" s="46"/>
      <c r="D2219" s="46"/>
      <c r="E2219" s="46"/>
      <c r="F2219" s="46"/>
      <c r="G2219" s="46"/>
      <c r="H2219" s="46"/>
      <c r="I2219" s="46"/>
      <c r="J2219" s="46"/>
      <c r="K2219" s="46"/>
      <c r="L2219" s="46"/>
      <c r="M2219" s="46"/>
      <c r="N2219" s="46"/>
      <c r="O2219" s="46"/>
      <c r="P2219" s="46"/>
      <c r="Q2219" s="46"/>
      <c r="R2219" s="46"/>
      <c r="S2219" s="46"/>
      <c r="T2219" s="46"/>
      <c r="U2219" s="46"/>
      <c r="V2219" s="46"/>
      <c r="W2219" s="46"/>
    </row>
    <row r="2220" ht="16.5" spans="1:23">
      <c r="A2220" s="46"/>
      <c r="B2220" s="46"/>
      <c r="C2220" s="46"/>
      <c r="D2220" s="46"/>
      <c r="E2220" s="46"/>
      <c r="F2220" s="46"/>
      <c r="G2220" s="46"/>
      <c r="H2220" s="46"/>
      <c r="I2220" s="46"/>
      <c r="J2220" s="46"/>
      <c r="K2220" s="46"/>
      <c r="L2220" s="46"/>
      <c r="M2220" s="46"/>
      <c r="N2220" s="46"/>
      <c r="O2220" s="46"/>
      <c r="P2220" s="46"/>
      <c r="Q2220" s="46"/>
      <c r="R2220" s="46"/>
      <c r="S2220" s="46"/>
      <c r="T2220" s="46"/>
      <c r="U2220" s="46"/>
      <c r="V2220" s="46"/>
      <c r="W2220" s="46"/>
    </row>
    <row r="2221" ht="16.5" spans="1:23">
      <c r="A2221" s="46"/>
      <c r="B2221" s="46"/>
      <c r="C2221" s="46"/>
      <c r="D2221" s="46"/>
      <c r="E2221" s="46"/>
      <c r="F2221" s="46"/>
      <c r="G2221" s="46"/>
      <c r="H2221" s="46"/>
      <c r="I2221" s="46"/>
      <c r="J2221" s="46"/>
      <c r="K2221" s="46"/>
      <c r="L2221" s="46"/>
      <c r="M2221" s="46"/>
      <c r="N2221" s="46"/>
      <c r="O2221" s="46"/>
      <c r="P2221" s="46"/>
      <c r="Q2221" s="46"/>
      <c r="R2221" s="46"/>
      <c r="S2221" s="46"/>
      <c r="T2221" s="46"/>
      <c r="U2221" s="46"/>
      <c r="V2221" s="46"/>
      <c r="W2221" s="46"/>
    </row>
    <row r="2222" ht="16.5" spans="1:23">
      <c r="A2222" s="46"/>
      <c r="B2222" s="46"/>
      <c r="C2222" s="46"/>
      <c r="D2222" s="46"/>
      <c r="E2222" s="46"/>
      <c r="F2222" s="46"/>
      <c r="G2222" s="46"/>
      <c r="H2222" s="46"/>
      <c r="I2222" s="46"/>
      <c r="J2222" s="46"/>
      <c r="K2222" s="46"/>
      <c r="L2222" s="46"/>
      <c r="M2222" s="46"/>
      <c r="N2222" s="46"/>
      <c r="O2222" s="46"/>
      <c r="P2222" s="46"/>
      <c r="Q2222" s="46"/>
      <c r="R2222" s="46"/>
      <c r="S2222" s="46"/>
      <c r="T2222" s="46"/>
      <c r="U2222" s="46"/>
      <c r="V2222" s="46"/>
      <c r="W2222" s="46"/>
    </row>
    <row r="2223" ht="16.5" spans="1:23">
      <c r="A2223" s="46"/>
      <c r="B2223" s="46"/>
      <c r="C2223" s="46"/>
      <c r="D2223" s="46"/>
      <c r="E2223" s="46"/>
      <c r="F2223" s="46"/>
      <c r="G2223" s="46"/>
      <c r="H2223" s="46"/>
      <c r="I2223" s="46"/>
      <c r="J2223" s="46"/>
      <c r="K2223" s="46"/>
      <c r="L2223" s="46"/>
      <c r="M2223" s="46"/>
      <c r="N2223" s="46"/>
      <c r="O2223" s="46"/>
      <c r="P2223" s="46"/>
      <c r="Q2223" s="46"/>
      <c r="R2223" s="46"/>
      <c r="S2223" s="46"/>
      <c r="T2223" s="46"/>
      <c r="U2223" s="46"/>
      <c r="V2223" s="46"/>
      <c r="W2223" s="46"/>
    </row>
    <row r="2224" ht="16.5" spans="1:23">
      <c r="A2224" s="46"/>
      <c r="B2224" s="46"/>
      <c r="C2224" s="46"/>
      <c r="D2224" s="46"/>
      <c r="E2224" s="46"/>
      <c r="F2224" s="46"/>
      <c r="G2224" s="46"/>
      <c r="H2224" s="46"/>
      <c r="I2224" s="46"/>
      <c r="J2224" s="46"/>
      <c r="K2224" s="46"/>
      <c r="L2224" s="46"/>
      <c r="M2224" s="46"/>
      <c r="N2224" s="46"/>
      <c r="O2224" s="46"/>
      <c r="P2224" s="46"/>
      <c r="Q2224" s="46"/>
      <c r="R2224" s="46"/>
      <c r="S2224" s="46"/>
      <c r="T2224" s="46"/>
      <c r="U2224" s="46"/>
      <c r="V2224" s="46"/>
      <c r="W2224" s="46"/>
    </row>
    <row r="2225" ht="16.5" spans="1:23">
      <c r="A2225" s="46"/>
      <c r="B2225" s="46"/>
      <c r="C2225" s="46"/>
      <c r="D2225" s="46"/>
      <c r="E2225" s="46"/>
      <c r="F2225" s="46"/>
      <c r="G2225" s="46"/>
      <c r="H2225" s="46"/>
      <c r="I2225" s="46"/>
      <c r="J2225" s="46"/>
      <c r="K2225" s="46"/>
      <c r="L2225" s="46"/>
      <c r="M2225" s="46"/>
      <c r="N2225" s="46"/>
      <c r="O2225" s="46"/>
      <c r="P2225" s="46"/>
      <c r="Q2225" s="46"/>
      <c r="R2225" s="46"/>
      <c r="S2225" s="46"/>
      <c r="T2225" s="46"/>
      <c r="U2225" s="46"/>
      <c r="V2225" s="46"/>
      <c r="W2225" s="46"/>
    </row>
    <row r="2226" ht="16.5" spans="1:23">
      <c r="A2226" s="46"/>
      <c r="B2226" s="46"/>
      <c r="C2226" s="46"/>
      <c r="D2226" s="46"/>
      <c r="E2226" s="46"/>
      <c r="F2226" s="46"/>
      <c r="G2226" s="46"/>
      <c r="H2226" s="46"/>
      <c r="I2226" s="46"/>
      <c r="J2226" s="46"/>
      <c r="K2226" s="46"/>
      <c r="L2226" s="46"/>
      <c r="M2226" s="46"/>
      <c r="N2226" s="46"/>
      <c r="O2226" s="46"/>
      <c r="P2226" s="46"/>
      <c r="Q2226" s="46"/>
      <c r="R2226" s="46"/>
      <c r="S2226" s="46"/>
      <c r="T2226" s="46"/>
      <c r="U2226" s="46"/>
      <c r="V2226" s="46"/>
      <c r="W2226" s="46"/>
    </row>
    <row r="2227" ht="16.5" spans="1:23">
      <c r="A2227" s="46"/>
      <c r="B2227" s="46"/>
      <c r="C2227" s="46"/>
      <c r="D2227" s="46"/>
      <c r="E2227" s="46"/>
      <c r="F2227" s="46"/>
      <c r="G2227" s="46"/>
      <c r="H2227" s="46"/>
      <c r="I2227" s="46"/>
      <c r="J2227" s="46"/>
      <c r="K2227" s="46"/>
      <c r="L2227" s="46"/>
      <c r="M2227" s="46"/>
      <c r="N2227" s="46"/>
      <c r="O2227" s="46"/>
      <c r="P2227" s="46"/>
      <c r="Q2227" s="46"/>
      <c r="R2227" s="46"/>
      <c r="S2227" s="46"/>
      <c r="T2227" s="46"/>
      <c r="U2227" s="46"/>
      <c r="V2227" s="46"/>
      <c r="W2227" s="46"/>
    </row>
    <row r="2228" ht="16.5" spans="1:23">
      <c r="A2228" s="46"/>
      <c r="B2228" s="46"/>
      <c r="C2228" s="46"/>
      <c r="D2228" s="46"/>
      <c r="E2228" s="46"/>
      <c r="F2228" s="46"/>
      <c r="G2228" s="46"/>
      <c r="H2228" s="46"/>
      <c r="I2228" s="46"/>
      <c r="J2228" s="46"/>
      <c r="K2228" s="46"/>
      <c r="L2228" s="46"/>
      <c r="M2228" s="46"/>
      <c r="N2228" s="46"/>
      <c r="O2228" s="46"/>
      <c r="P2228" s="46"/>
      <c r="Q2228" s="46"/>
      <c r="R2228" s="46"/>
      <c r="S2228" s="46"/>
      <c r="T2228" s="46"/>
      <c r="U2228" s="46"/>
      <c r="V2228" s="46"/>
      <c r="W2228" s="46"/>
    </row>
    <row r="2229" ht="16.5" spans="1:23">
      <c r="A2229" s="46"/>
      <c r="B2229" s="46"/>
      <c r="C2229" s="46"/>
      <c r="D2229" s="46"/>
      <c r="E2229" s="46"/>
      <c r="F2229" s="46"/>
      <c r="G2229" s="46"/>
      <c r="H2229" s="46"/>
      <c r="I2229" s="46"/>
      <c r="J2229" s="46"/>
      <c r="K2229" s="46"/>
      <c r="L2229" s="46"/>
      <c r="M2229" s="46"/>
      <c r="N2229" s="46"/>
      <c r="O2229" s="46"/>
      <c r="P2229" s="46"/>
      <c r="Q2229" s="46"/>
      <c r="R2229" s="46"/>
      <c r="S2229" s="46"/>
      <c r="T2229" s="46"/>
      <c r="U2229" s="46"/>
      <c r="V2229" s="46"/>
      <c r="W2229" s="46"/>
    </row>
    <row r="2230" ht="16.5" spans="1:23">
      <c r="A2230" s="46"/>
      <c r="B2230" s="46"/>
      <c r="C2230" s="46"/>
      <c r="D2230" s="46"/>
      <c r="E2230" s="46"/>
      <c r="F2230" s="46"/>
      <c r="G2230" s="46"/>
      <c r="H2230" s="46"/>
      <c r="I2230" s="46"/>
      <c r="J2230" s="46"/>
      <c r="K2230" s="46"/>
      <c r="L2230" s="46"/>
      <c r="M2230" s="46"/>
      <c r="N2230" s="46"/>
      <c r="O2230" s="46"/>
      <c r="P2230" s="46"/>
      <c r="Q2230" s="46"/>
      <c r="R2230" s="46"/>
      <c r="S2230" s="46"/>
      <c r="T2230" s="46"/>
      <c r="U2230" s="46"/>
      <c r="V2230" s="46"/>
      <c r="W2230" s="46"/>
    </row>
    <row r="2231" ht="16.5" spans="1:23">
      <c r="A2231" s="46"/>
      <c r="B2231" s="46"/>
      <c r="C2231" s="46"/>
      <c r="D2231" s="46"/>
      <c r="E2231" s="46"/>
      <c r="F2231" s="46"/>
      <c r="G2231" s="46"/>
      <c r="H2231" s="46"/>
      <c r="I2231" s="46"/>
      <c r="J2231" s="46"/>
      <c r="K2231" s="46"/>
      <c r="L2231" s="46"/>
      <c r="M2231" s="46"/>
      <c r="N2231" s="46"/>
      <c r="O2231" s="46"/>
      <c r="P2231" s="46"/>
      <c r="Q2231" s="46"/>
      <c r="R2231" s="46"/>
      <c r="S2231" s="46"/>
      <c r="T2231" s="46"/>
      <c r="U2231" s="46"/>
      <c r="V2231" s="46"/>
      <c r="W2231" s="46"/>
    </row>
    <row r="2232" ht="16.5" spans="1:23">
      <c r="A2232" s="46"/>
      <c r="B2232" s="46"/>
      <c r="C2232" s="46"/>
      <c r="D2232" s="46"/>
      <c r="E2232" s="46"/>
      <c r="F2232" s="46"/>
      <c r="G2232" s="46"/>
      <c r="H2232" s="46"/>
      <c r="I2232" s="46"/>
      <c r="J2232" s="46"/>
      <c r="K2232" s="46"/>
      <c r="L2232" s="46"/>
      <c r="M2232" s="46"/>
      <c r="N2232" s="46"/>
      <c r="O2232" s="46"/>
      <c r="P2232" s="46"/>
      <c r="Q2232" s="46"/>
      <c r="R2232" s="46"/>
      <c r="S2232" s="46"/>
      <c r="T2232" s="46"/>
      <c r="U2232" s="46"/>
      <c r="V2232" s="46"/>
      <c r="W2232" s="46"/>
    </row>
    <row r="2233" ht="16.5" spans="1:23">
      <c r="A2233" s="46"/>
      <c r="B2233" s="46"/>
      <c r="C2233" s="46"/>
      <c r="D2233" s="46"/>
      <c r="E2233" s="46"/>
      <c r="F2233" s="46"/>
      <c r="G2233" s="46"/>
      <c r="H2233" s="46"/>
      <c r="I2233" s="46"/>
      <c r="J2233" s="46"/>
      <c r="K2233" s="46"/>
      <c r="L2233" s="46"/>
      <c r="M2233" s="46"/>
      <c r="N2233" s="46"/>
      <c r="O2233" s="46"/>
      <c r="P2233" s="46"/>
      <c r="Q2233" s="46"/>
      <c r="R2233" s="46"/>
      <c r="S2233" s="46"/>
      <c r="T2233" s="46"/>
      <c r="U2233" s="46"/>
      <c r="V2233" s="46"/>
      <c r="W2233" s="46"/>
    </row>
    <row r="2234" ht="16.5" spans="1:23">
      <c r="A2234" s="46"/>
      <c r="B2234" s="46"/>
      <c r="C2234" s="46"/>
      <c r="D2234" s="46"/>
      <c r="E2234" s="46"/>
      <c r="F2234" s="46"/>
      <c r="G2234" s="46"/>
      <c r="H2234" s="46"/>
      <c r="I2234" s="46"/>
      <c r="J2234" s="46"/>
      <c r="K2234" s="46"/>
      <c r="L2234" s="46"/>
      <c r="M2234" s="46"/>
      <c r="N2234" s="46"/>
      <c r="O2234" s="46"/>
      <c r="P2234" s="46"/>
      <c r="Q2234" s="46"/>
      <c r="R2234" s="46"/>
      <c r="S2234" s="46"/>
      <c r="T2234" s="46"/>
      <c r="U2234" s="46"/>
      <c r="V2234" s="46"/>
      <c r="W2234" s="46"/>
    </row>
    <row r="2235" ht="16.5" spans="1:23">
      <c r="A2235" s="46"/>
      <c r="B2235" s="46"/>
      <c r="C2235" s="46"/>
      <c r="D2235" s="46"/>
      <c r="E2235" s="46"/>
      <c r="F2235" s="46"/>
      <c r="G2235" s="46"/>
      <c r="H2235" s="46"/>
      <c r="I2235" s="46"/>
      <c r="J2235" s="46"/>
      <c r="K2235" s="46"/>
      <c r="L2235" s="46"/>
      <c r="M2235" s="46"/>
      <c r="N2235" s="46"/>
      <c r="O2235" s="46"/>
      <c r="P2235" s="46"/>
      <c r="Q2235" s="46"/>
      <c r="R2235" s="46"/>
      <c r="S2235" s="46"/>
      <c r="T2235" s="46"/>
      <c r="U2235" s="46"/>
      <c r="V2235" s="46"/>
      <c r="W2235" s="46"/>
    </row>
    <row r="2236" ht="16.5" spans="1:23">
      <c r="A2236" s="46"/>
      <c r="B2236" s="46"/>
      <c r="C2236" s="46"/>
      <c r="D2236" s="46"/>
      <c r="E2236" s="46"/>
      <c r="F2236" s="46"/>
      <c r="G2236" s="46"/>
      <c r="H2236" s="46"/>
      <c r="I2236" s="46"/>
      <c r="J2236" s="46"/>
      <c r="K2236" s="46"/>
      <c r="L2236" s="46"/>
      <c r="M2236" s="46"/>
      <c r="N2236" s="46"/>
      <c r="O2236" s="46"/>
      <c r="P2236" s="46"/>
      <c r="Q2236" s="46"/>
      <c r="R2236" s="46"/>
      <c r="S2236" s="46"/>
      <c r="T2236" s="46"/>
      <c r="U2236" s="46"/>
      <c r="V2236" s="46"/>
      <c r="W2236" s="46"/>
    </row>
    <row r="2237" ht="16.5" spans="1:23">
      <c r="A2237" s="46"/>
      <c r="B2237" s="46"/>
      <c r="C2237" s="46"/>
      <c r="D2237" s="46"/>
      <c r="E2237" s="46"/>
      <c r="F2237" s="46"/>
      <c r="G2237" s="46"/>
      <c r="H2237" s="46"/>
      <c r="I2237" s="46"/>
      <c r="J2237" s="46"/>
      <c r="K2237" s="46"/>
      <c r="L2237" s="46"/>
      <c r="M2237" s="46"/>
      <c r="N2237" s="46"/>
      <c r="O2237" s="46"/>
      <c r="P2237" s="46"/>
      <c r="Q2237" s="46"/>
      <c r="R2237" s="46"/>
      <c r="S2237" s="46"/>
      <c r="T2237" s="46"/>
      <c r="U2237" s="46"/>
      <c r="V2237" s="46"/>
      <c r="W2237" s="46"/>
    </row>
    <row r="2238" ht="16.5" spans="1:23">
      <c r="A2238" s="46"/>
      <c r="B2238" s="46"/>
      <c r="C2238" s="46"/>
      <c r="D2238" s="46"/>
      <c r="E2238" s="46"/>
      <c r="F2238" s="46"/>
      <c r="G2238" s="46"/>
      <c r="H2238" s="46"/>
      <c r="I2238" s="46"/>
      <c r="J2238" s="46"/>
      <c r="K2238" s="46"/>
      <c r="L2238" s="46"/>
      <c r="M2238" s="46"/>
      <c r="N2238" s="46"/>
      <c r="O2238" s="46"/>
      <c r="P2238" s="46"/>
      <c r="Q2238" s="46"/>
      <c r="R2238" s="46"/>
      <c r="S2238" s="46"/>
      <c r="T2238" s="46"/>
      <c r="U2238" s="46"/>
      <c r="V2238" s="46"/>
      <c r="W2238" s="46"/>
    </row>
    <row r="2239" ht="16.5" spans="1:23">
      <c r="A2239" s="46"/>
      <c r="B2239" s="46"/>
      <c r="C2239" s="46"/>
      <c r="D2239" s="46"/>
      <c r="E2239" s="46"/>
      <c r="F2239" s="46"/>
      <c r="G2239" s="46"/>
      <c r="H2239" s="46"/>
      <c r="I2239" s="46"/>
      <c r="J2239" s="46"/>
      <c r="K2239" s="46"/>
      <c r="L2239" s="46"/>
      <c r="M2239" s="46"/>
      <c r="N2239" s="46"/>
      <c r="O2239" s="46"/>
      <c r="P2239" s="46"/>
      <c r="Q2239" s="46"/>
      <c r="R2239" s="46"/>
      <c r="S2239" s="46"/>
      <c r="T2239" s="46"/>
      <c r="U2239" s="46"/>
      <c r="V2239" s="46"/>
      <c r="W2239" s="46"/>
    </row>
    <row r="2240" ht="16.5" spans="1:23">
      <c r="A2240" s="46"/>
      <c r="B2240" s="46"/>
      <c r="C2240" s="46"/>
      <c r="D2240" s="46"/>
      <c r="E2240" s="46"/>
      <c r="F2240" s="46"/>
      <c r="G2240" s="46"/>
      <c r="H2240" s="46"/>
      <c r="I2240" s="46"/>
      <c r="J2240" s="46"/>
      <c r="K2240" s="46"/>
      <c r="L2240" s="46"/>
      <c r="M2240" s="46"/>
      <c r="N2240" s="46"/>
      <c r="O2240" s="46"/>
      <c r="P2240" s="46"/>
      <c r="Q2240" s="46"/>
      <c r="R2240" s="46"/>
      <c r="S2240" s="46"/>
      <c r="T2240" s="46"/>
      <c r="U2240" s="46"/>
      <c r="V2240" s="46"/>
      <c r="W2240" s="46"/>
    </row>
    <row r="2241" ht="16.5" spans="1:23">
      <c r="A2241" s="46"/>
      <c r="B2241" s="46"/>
      <c r="C2241" s="46"/>
      <c r="D2241" s="46"/>
      <c r="E2241" s="46"/>
      <c r="F2241" s="46"/>
      <c r="G2241" s="46"/>
      <c r="H2241" s="46"/>
      <c r="I2241" s="46"/>
      <c r="J2241" s="46"/>
      <c r="K2241" s="46"/>
      <c r="L2241" s="46"/>
      <c r="M2241" s="46"/>
      <c r="N2241" s="46"/>
      <c r="O2241" s="46"/>
      <c r="P2241" s="46"/>
      <c r="Q2241" s="46"/>
      <c r="R2241" s="46"/>
      <c r="S2241" s="46"/>
      <c r="T2241" s="46"/>
      <c r="U2241" s="46"/>
      <c r="V2241" s="46"/>
      <c r="W2241" s="46"/>
    </row>
    <row r="2242" ht="16.5" spans="1:23">
      <c r="A2242" s="46"/>
      <c r="B2242" s="46"/>
      <c r="C2242" s="46"/>
      <c r="D2242" s="46"/>
      <c r="E2242" s="46"/>
      <c r="F2242" s="46"/>
      <c r="G2242" s="46"/>
      <c r="H2242" s="46"/>
      <c r="I2242" s="46"/>
      <c r="J2242" s="46"/>
      <c r="K2242" s="46"/>
      <c r="L2242" s="46"/>
      <c r="M2242" s="46"/>
      <c r="N2242" s="46"/>
      <c r="O2242" s="46"/>
      <c r="P2242" s="46"/>
      <c r="Q2242" s="46"/>
      <c r="R2242" s="46"/>
      <c r="S2242" s="46"/>
      <c r="T2242" s="46"/>
      <c r="U2242" s="46"/>
      <c r="V2242" s="46"/>
      <c r="W2242" s="46"/>
    </row>
    <row r="2243" ht="16.5" spans="1:23">
      <c r="A2243" s="46"/>
      <c r="B2243" s="46"/>
      <c r="C2243" s="46"/>
      <c r="D2243" s="46"/>
      <c r="E2243" s="46"/>
      <c r="F2243" s="46"/>
      <c r="G2243" s="46"/>
      <c r="H2243" s="46"/>
      <c r="I2243" s="46"/>
      <c r="J2243" s="46"/>
      <c r="K2243" s="46"/>
      <c r="L2243" s="46"/>
      <c r="M2243" s="46"/>
      <c r="N2243" s="46"/>
      <c r="O2243" s="46"/>
      <c r="P2243" s="46"/>
      <c r="Q2243" s="46"/>
      <c r="R2243" s="46"/>
      <c r="S2243" s="46"/>
      <c r="T2243" s="46"/>
      <c r="U2243" s="46"/>
      <c r="V2243" s="46"/>
      <c r="W2243" s="46"/>
    </row>
    <row r="2244" ht="16.5" spans="1:23">
      <c r="A2244" s="46"/>
      <c r="B2244" s="46"/>
      <c r="C2244" s="46"/>
      <c r="D2244" s="46"/>
      <c r="E2244" s="46"/>
      <c r="F2244" s="46"/>
      <c r="G2244" s="46"/>
      <c r="H2244" s="46"/>
      <c r="I2244" s="46"/>
      <c r="J2244" s="46"/>
      <c r="K2244" s="46"/>
      <c r="L2244" s="46"/>
      <c r="M2244" s="46"/>
      <c r="N2244" s="46"/>
      <c r="O2244" s="46"/>
      <c r="P2244" s="46"/>
      <c r="Q2244" s="46"/>
      <c r="R2244" s="46"/>
      <c r="S2244" s="46"/>
      <c r="T2244" s="46"/>
      <c r="U2244" s="46"/>
      <c r="V2244" s="46"/>
      <c r="W2244" s="46"/>
    </row>
    <row r="2245" ht="16.5" spans="1:23">
      <c r="A2245" s="46"/>
      <c r="B2245" s="46"/>
      <c r="C2245" s="46"/>
      <c r="D2245" s="46"/>
      <c r="E2245" s="46"/>
      <c r="F2245" s="46"/>
      <c r="G2245" s="46"/>
      <c r="H2245" s="46"/>
      <c r="I2245" s="46"/>
      <c r="J2245" s="46"/>
      <c r="K2245" s="46"/>
      <c r="L2245" s="46"/>
      <c r="M2245" s="46"/>
      <c r="N2245" s="46"/>
      <c r="O2245" s="46"/>
      <c r="P2245" s="46"/>
      <c r="Q2245" s="46"/>
      <c r="R2245" s="46"/>
      <c r="S2245" s="46"/>
      <c r="T2245" s="46"/>
      <c r="U2245" s="46"/>
      <c r="V2245" s="46"/>
      <c r="W2245" s="46"/>
    </row>
    <row r="2246" ht="16.5" spans="1:23">
      <c r="A2246" s="46"/>
      <c r="B2246" s="46"/>
      <c r="C2246" s="46"/>
      <c r="D2246" s="46"/>
      <c r="E2246" s="46"/>
      <c r="F2246" s="46"/>
      <c r="G2246" s="46"/>
      <c r="H2246" s="46"/>
      <c r="I2246" s="46"/>
      <c r="J2246" s="46"/>
      <c r="K2246" s="46"/>
      <c r="L2246" s="46"/>
      <c r="M2246" s="46"/>
      <c r="N2246" s="46"/>
      <c r="O2246" s="46"/>
      <c r="P2246" s="46"/>
      <c r="Q2246" s="46"/>
      <c r="R2246" s="46"/>
      <c r="S2246" s="46"/>
      <c r="T2246" s="46"/>
      <c r="U2246" s="46"/>
      <c r="V2246" s="46"/>
      <c r="W2246" s="46"/>
    </row>
    <row r="2247" ht="16.5" spans="1:23">
      <c r="A2247" s="46"/>
      <c r="B2247" s="46"/>
      <c r="C2247" s="46"/>
      <c r="D2247" s="46"/>
      <c r="E2247" s="46"/>
      <c r="F2247" s="46"/>
      <c r="G2247" s="46"/>
      <c r="H2247" s="46"/>
      <c r="I2247" s="46"/>
      <c r="J2247" s="46"/>
      <c r="K2247" s="46"/>
      <c r="L2247" s="46"/>
      <c r="M2247" s="46"/>
      <c r="N2247" s="46"/>
      <c r="O2247" s="46"/>
      <c r="P2247" s="46"/>
      <c r="Q2247" s="46"/>
      <c r="R2247" s="46"/>
      <c r="S2247" s="46"/>
      <c r="T2247" s="46"/>
      <c r="U2247" s="46"/>
      <c r="V2247" s="46"/>
      <c r="W2247" s="46"/>
    </row>
    <row r="2248" ht="16.5" spans="1:23">
      <c r="A2248" s="46"/>
      <c r="B2248" s="46"/>
      <c r="C2248" s="46"/>
      <c r="D2248" s="46"/>
      <c r="E2248" s="46"/>
      <c r="F2248" s="46"/>
      <c r="G2248" s="46"/>
      <c r="H2248" s="46"/>
      <c r="I2248" s="46"/>
      <c r="J2248" s="46"/>
      <c r="K2248" s="46"/>
      <c r="L2248" s="46"/>
      <c r="M2248" s="46"/>
      <c r="N2248" s="46"/>
      <c r="O2248" s="46"/>
      <c r="P2248" s="46"/>
      <c r="Q2248" s="46"/>
      <c r="R2248" s="46"/>
      <c r="S2248" s="46"/>
      <c r="T2248" s="46"/>
      <c r="U2248" s="46"/>
      <c r="V2248" s="46"/>
      <c r="W2248" s="46"/>
    </row>
    <row r="2249" ht="16.5" spans="1:23">
      <c r="A2249" s="46"/>
      <c r="B2249" s="46"/>
      <c r="C2249" s="46"/>
      <c r="D2249" s="46"/>
      <c r="E2249" s="46"/>
      <c r="F2249" s="46"/>
      <c r="G2249" s="46"/>
      <c r="H2249" s="46"/>
      <c r="I2249" s="46"/>
      <c r="J2249" s="46"/>
      <c r="K2249" s="46"/>
      <c r="L2249" s="46"/>
      <c r="M2249" s="46"/>
      <c r="N2249" s="46"/>
      <c r="O2249" s="46"/>
      <c r="P2249" s="46"/>
      <c r="Q2249" s="46"/>
      <c r="R2249" s="46"/>
      <c r="S2249" s="46"/>
      <c r="T2249" s="46"/>
      <c r="U2249" s="46"/>
      <c r="V2249" s="46"/>
      <c r="W2249" s="46"/>
    </row>
    <row r="2250" ht="16.5" spans="1:23">
      <c r="A2250" s="46"/>
      <c r="B2250" s="46"/>
      <c r="C2250" s="46"/>
      <c r="D2250" s="46"/>
      <c r="E2250" s="46"/>
      <c r="F2250" s="46"/>
      <c r="G2250" s="46"/>
      <c r="H2250" s="46"/>
      <c r="I2250" s="46"/>
      <c r="J2250" s="46"/>
      <c r="K2250" s="46"/>
      <c r="L2250" s="46"/>
      <c r="M2250" s="46"/>
      <c r="N2250" s="46"/>
      <c r="O2250" s="46"/>
      <c r="P2250" s="46"/>
      <c r="Q2250" s="46"/>
      <c r="R2250" s="46"/>
      <c r="S2250" s="46"/>
      <c r="T2250" s="46"/>
      <c r="U2250" s="46"/>
      <c r="V2250" s="46"/>
      <c r="W2250" s="46"/>
    </row>
    <row r="2251" ht="16.5" spans="1:23">
      <c r="A2251" s="46"/>
      <c r="B2251" s="46"/>
      <c r="C2251" s="46"/>
      <c r="D2251" s="46"/>
      <c r="E2251" s="46"/>
      <c r="F2251" s="46"/>
      <c r="G2251" s="46"/>
      <c r="H2251" s="46"/>
      <c r="I2251" s="46"/>
      <c r="J2251" s="46"/>
      <c r="K2251" s="46"/>
      <c r="L2251" s="46"/>
      <c r="M2251" s="46"/>
      <c r="N2251" s="46"/>
      <c r="O2251" s="46"/>
      <c r="P2251" s="46"/>
      <c r="Q2251" s="46"/>
      <c r="R2251" s="46"/>
      <c r="S2251" s="46"/>
      <c r="T2251" s="46"/>
      <c r="U2251" s="46"/>
      <c r="V2251" s="46"/>
      <c r="W2251" s="46"/>
    </row>
    <row r="2252" ht="16.5" spans="1:23">
      <c r="A2252" s="46"/>
      <c r="B2252" s="46"/>
      <c r="C2252" s="46"/>
      <c r="D2252" s="46"/>
      <c r="E2252" s="46"/>
      <c r="F2252" s="46"/>
      <c r="G2252" s="46"/>
      <c r="H2252" s="46"/>
      <c r="I2252" s="46"/>
      <c r="J2252" s="46"/>
      <c r="K2252" s="46"/>
      <c r="L2252" s="46"/>
      <c r="M2252" s="46"/>
      <c r="N2252" s="46"/>
      <c r="O2252" s="46"/>
      <c r="P2252" s="46"/>
      <c r="Q2252" s="46"/>
      <c r="R2252" s="46"/>
      <c r="S2252" s="46"/>
      <c r="T2252" s="46"/>
      <c r="U2252" s="46"/>
      <c r="V2252" s="46"/>
      <c r="W2252" s="46"/>
    </row>
    <row r="2253" ht="16.5" spans="1:23">
      <c r="A2253" s="46"/>
      <c r="B2253" s="46"/>
      <c r="C2253" s="46"/>
      <c r="D2253" s="46"/>
      <c r="E2253" s="46"/>
      <c r="F2253" s="46"/>
      <c r="G2253" s="46"/>
      <c r="H2253" s="46"/>
      <c r="I2253" s="46"/>
      <c r="J2253" s="46"/>
      <c r="K2253" s="46"/>
      <c r="L2253" s="46"/>
      <c r="M2253" s="46"/>
      <c r="N2253" s="46"/>
      <c r="O2253" s="46"/>
      <c r="P2253" s="46"/>
      <c r="Q2253" s="46"/>
      <c r="R2253" s="46"/>
      <c r="S2253" s="46"/>
      <c r="T2253" s="46"/>
      <c r="U2253" s="46"/>
      <c r="V2253" s="46"/>
      <c r="W2253" s="46"/>
    </row>
    <row r="2254" ht="16.5" spans="1:23">
      <c r="A2254" s="46"/>
      <c r="B2254" s="46"/>
      <c r="C2254" s="46"/>
      <c r="D2254" s="46"/>
      <c r="E2254" s="46"/>
      <c r="F2254" s="46"/>
      <c r="G2254" s="46"/>
      <c r="H2254" s="46"/>
      <c r="I2254" s="46"/>
      <c r="J2254" s="46"/>
      <c r="K2254" s="46"/>
      <c r="L2254" s="46"/>
      <c r="M2254" s="46"/>
      <c r="N2254" s="46"/>
      <c r="O2254" s="46"/>
      <c r="P2254" s="46"/>
      <c r="Q2254" s="46"/>
      <c r="R2254" s="46"/>
      <c r="S2254" s="46"/>
      <c r="T2254" s="46"/>
      <c r="U2254" s="46"/>
      <c r="V2254" s="46"/>
      <c r="W2254" s="46"/>
    </row>
    <row r="2255" ht="16.5" spans="1:23">
      <c r="A2255" s="46"/>
      <c r="B2255" s="46"/>
      <c r="C2255" s="46"/>
      <c r="D2255" s="46"/>
      <c r="E2255" s="46"/>
      <c r="F2255" s="46"/>
      <c r="G2255" s="46"/>
      <c r="H2255" s="46"/>
      <c r="I2255" s="46"/>
      <c r="J2255" s="46"/>
      <c r="K2255" s="46"/>
      <c r="L2255" s="46"/>
      <c r="M2255" s="46"/>
      <c r="N2255" s="46"/>
      <c r="O2255" s="46"/>
      <c r="P2255" s="46"/>
      <c r="Q2255" s="46"/>
      <c r="R2255" s="46"/>
      <c r="S2255" s="46"/>
      <c r="T2255" s="46"/>
      <c r="U2255" s="46"/>
      <c r="V2255" s="46"/>
      <c r="W2255" s="46"/>
    </row>
    <row r="2256" ht="16.5" spans="1:23">
      <c r="A2256" s="46"/>
      <c r="B2256" s="46"/>
      <c r="C2256" s="46"/>
      <c r="D2256" s="46"/>
      <c r="E2256" s="46"/>
      <c r="F2256" s="46"/>
      <c r="G2256" s="46"/>
      <c r="H2256" s="46"/>
      <c r="I2256" s="46"/>
      <c r="J2256" s="46"/>
      <c r="K2256" s="46"/>
      <c r="L2256" s="46"/>
      <c r="M2256" s="46"/>
      <c r="N2256" s="46"/>
      <c r="O2256" s="46"/>
      <c r="P2256" s="46"/>
      <c r="Q2256" s="46"/>
      <c r="R2256" s="46"/>
      <c r="S2256" s="46"/>
      <c r="T2256" s="46"/>
      <c r="U2256" s="46"/>
      <c r="V2256" s="46"/>
      <c r="W2256" s="46"/>
    </row>
    <row r="2257" ht="16.5" spans="1:23">
      <c r="A2257" s="46"/>
      <c r="B2257" s="46"/>
      <c r="C2257" s="46"/>
      <c r="D2257" s="46"/>
      <c r="E2257" s="46"/>
      <c r="F2257" s="46"/>
      <c r="G2257" s="46"/>
      <c r="H2257" s="46"/>
      <c r="I2257" s="46"/>
      <c r="J2257" s="46"/>
      <c r="K2257" s="46"/>
      <c r="L2257" s="46"/>
      <c r="M2257" s="46"/>
      <c r="N2257" s="46"/>
      <c r="O2257" s="46"/>
      <c r="P2257" s="46"/>
      <c r="Q2257" s="46"/>
      <c r="R2257" s="46"/>
      <c r="S2257" s="46"/>
      <c r="T2257" s="46"/>
      <c r="U2257" s="46"/>
      <c r="V2257" s="46"/>
      <c r="W2257" s="46"/>
    </row>
    <row r="2258" ht="16.5" spans="1:23">
      <c r="A2258" s="46"/>
      <c r="B2258" s="46"/>
      <c r="C2258" s="46"/>
      <c r="D2258" s="46"/>
      <c r="E2258" s="46"/>
      <c r="F2258" s="46"/>
      <c r="G2258" s="46"/>
      <c r="H2258" s="46"/>
      <c r="I2258" s="46"/>
      <c r="J2258" s="46"/>
      <c r="K2258" s="46"/>
      <c r="L2258" s="46"/>
      <c r="M2258" s="46"/>
      <c r="N2258" s="46"/>
      <c r="O2258" s="46"/>
      <c r="P2258" s="46"/>
      <c r="Q2258" s="46"/>
      <c r="R2258" s="46"/>
      <c r="S2258" s="46"/>
      <c r="T2258" s="46"/>
      <c r="U2258" s="46"/>
      <c r="V2258" s="46"/>
      <c r="W2258" s="46"/>
    </row>
    <row r="2259" ht="16.5" spans="1:23">
      <c r="A2259" s="46"/>
      <c r="B2259" s="46"/>
      <c r="C2259" s="46"/>
      <c r="D2259" s="46"/>
      <c r="E2259" s="46"/>
      <c r="F2259" s="46"/>
      <c r="G2259" s="46"/>
      <c r="H2259" s="46"/>
      <c r="I2259" s="46"/>
      <c r="J2259" s="46"/>
      <c r="K2259" s="46"/>
      <c r="L2259" s="46"/>
      <c r="M2259" s="46"/>
      <c r="N2259" s="46"/>
      <c r="O2259" s="46"/>
      <c r="P2259" s="46"/>
      <c r="Q2259" s="46"/>
      <c r="R2259" s="46"/>
      <c r="S2259" s="46"/>
      <c r="T2259" s="46"/>
      <c r="U2259" s="46"/>
      <c r="V2259" s="46"/>
      <c r="W2259" s="46"/>
    </row>
    <row r="2260" ht="16.5" spans="1:23">
      <c r="A2260" s="46"/>
      <c r="B2260" s="46"/>
      <c r="C2260" s="46"/>
      <c r="D2260" s="46"/>
      <c r="E2260" s="46"/>
      <c r="F2260" s="46"/>
      <c r="G2260" s="46"/>
      <c r="H2260" s="46"/>
      <c r="I2260" s="46"/>
      <c r="J2260" s="46"/>
      <c r="K2260" s="46"/>
      <c r="L2260" s="46"/>
      <c r="M2260" s="46"/>
      <c r="N2260" s="46"/>
      <c r="O2260" s="46"/>
      <c r="P2260" s="46"/>
      <c r="Q2260" s="46"/>
      <c r="R2260" s="46"/>
      <c r="S2260" s="46"/>
      <c r="T2260" s="46"/>
      <c r="U2260" s="46"/>
      <c r="V2260" s="46"/>
      <c r="W2260" s="46"/>
    </row>
    <row r="2261" ht="16.5" spans="1:23">
      <c r="A2261" s="46"/>
      <c r="B2261" s="46"/>
      <c r="C2261" s="46"/>
      <c r="D2261" s="46"/>
      <c r="E2261" s="46"/>
      <c r="F2261" s="46"/>
      <c r="G2261" s="46"/>
      <c r="H2261" s="46"/>
      <c r="I2261" s="46"/>
      <c r="J2261" s="46"/>
      <c r="K2261" s="46"/>
      <c r="L2261" s="46"/>
      <c r="M2261" s="46"/>
      <c r="N2261" s="46"/>
      <c r="O2261" s="46"/>
      <c r="P2261" s="46"/>
      <c r="Q2261" s="46"/>
      <c r="R2261" s="46"/>
      <c r="S2261" s="46"/>
      <c r="T2261" s="46"/>
      <c r="U2261" s="46"/>
      <c r="V2261" s="46"/>
      <c r="W2261" s="46"/>
    </row>
    <row r="2262" ht="16.5" spans="1:23">
      <c r="A2262" s="46"/>
      <c r="B2262" s="46"/>
      <c r="C2262" s="46"/>
      <c r="D2262" s="46"/>
      <c r="E2262" s="46"/>
      <c r="F2262" s="46"/>
      <c r="G2262" s="46"/>
      <c r="H2262" s="46"/>
      <c r="I2262" s="46"/>
      <c r="J2262" s="46"/>
      <c r="K2262" s="46"/>
      <c r="L2262" s="46"/>
      <c r="M2262" s="46"/>
      <c r="N2262" s="46"/>
      <c r="O2262" s="46"/>
      <c r="P2262" s="46"/>
      <c r="Q2262" s="46"/>
      <c r="R2262" s="46"/>
      <c r="S2262" s="46"/>
      <c r="T2262" s="46"/>
      <c r="U2262" s="46"/>
      <c r="V2262" s="46"/>
      <c r="W2262" s="46"/>
    </row>
    <row r="2263" ht="16.5" spans="1:23">
      <c r="A2263" s="46"/>
      <c r="B2263" s="46"/>
      <c r="C2263" s="46"/>
      <c r="D2263" s="46"/>
      <c r="E2263" s="46"/>
      <c r="F2263" s="46"/>
      <c r="G2263" s="46"/>
      <c r="H2263" s="46"/>
      <c r="I2263" s="46"/>
      <c r="J2263" s="46"/>
      <c r="K2263" s="46"/>
      <c r="L2263" s="46"/>
      <c r="M2263" s="46"/>
      <c r="N2263" s="46"/>
      <c r="O2263" s="46"/>
      <c r="P2263" s="46"/>
      <c r="Q2263" s="46"/>
      <c r="R2263" s="46"/>
      <c r="S2263" s="46"/>
      <c r="T2263" s="46"/>
      <c r="U2263" s="46"/>
      <c r="V2263" s="46"/>
      <c r="W2263" s="46"/>
    </row>
    <row r="2264" ht="16.5" spans="1:23">
      <c r="A2264" s="46"/>
      <c r="B2264" s="46"/>
      <c r="C2264" s="46"/>
      <c r="D2264" s="46"/>
      <c r="E2264" s="46"/>
      <c r="F2264" s="46"/>
      <c r="G2264" s="46"/>
      <c r="H2264" s="46"/>
      <c r="I2264" s="46"/>
      <c r="J2264" s="46"/>
      <c r="K2264" s="46"/>
      <c r="L2264" s="46"/>
      <c r="M2264" s="46"/>
      <c r="N2264" s="46"/>
      <c r="O2264" s="46"/>
      <c r="P2264" s="46"/>
      <c r="Q2264" s="46"/>
      <c r="R2264" s="46"/>
      <c r="S2264" s="46"/>
      <c r="T2264" s="46"/>
      <c r="U2264" s="46"/>
      <c r="V2264" s="46"/>
      <c r="W2264" s="46"/>
    </row>
    <row r="2265" ht="16.5" spans="1:23">
      <c r="A2265" s="46"/>
      <c r="B2265" s="46"/>
      <c r="C2265" s="46"/>
      <c r="D2265" s="46"/>
      <c r="E2265" s="46"/>
      <c r="F2265" s="46"/>
      <c r="G2265" s="46"/>
      <c r="H2265" s="46"/>
      <c r="I2265" s="46"/>
      <c r="J2265" s="46"/>
      <c r="K2265" s="46"/>
      <c r="L2265" s="46"/>
      <c r="M2265" s="46"/>
      <c r="N2265" s="46"/>
      <c r="O2265" s="46"/>
      <c r="P2265" s="46"/>
      <c r="Q2265" s="46"/>
      <c r="R2265" s="46"/>
      <c r="S2265" s="46"/>
      <c r="T2265" s="46"/>
      <c r="U2265" s="46"/>
      <c r="V2265" s="46"/>
      <c r="W2265" s="46"/>
    </row>
    <row r="2266" ht="16.5" spans="1:23">
      <c r="A2266" s="46"/>
      <c r="B2266" s="46"/>
      <c r="C2266" s="46"/>
      <c r="D2266" s="46"/>
      <c r="E2266" s="46"/>
      <c r="F2266" s="46"/>
      <c r="G2266" s="46"/>
      <c r="H2266" s="46"/>
      <c r="I2266" s="46"/>
      <c r="J2266" s="46"/>
      <c r="K2266" s="46"/>
      <c r="L2266" s="46"/>
      <c r="M2266" s="46"/>
      <c r="N2266" s="46"/>
      <c r="O2266" s="46"/>
      <c r="P2266" s="46"/>
      <c r="Q2266" s="46"/>
      <c r="R2266" s="46"/>
      <c r="S2266" s="46"/>
      <c r="T2266" s="46"/>
      <c r="U2266" s="46"/>
      <c r="V2266" s="46"/>
      <c r="W2266" s="46"/>
    </row>
  </sheetData>
  <mergeCells count="289">
    <mergeCell ref="A1:W1"/>
    <mergeCell ref="A2:W2"/>
    <mergeCell ref="D3:K3"/>
    <mergeCell ref="L3:N3"/>
    <mergeCell ref="O3:W3"/>
    <mergeCell ref="O4:Q4"/>
    <mergeCell ref="R4:T4"/>
    <mergeCell ref="U4:W4"/>
    <mergeCell ref="A3:A5"/>
    <mergeCell ref="A7:A9"/>
    <mergeCell ref="A10:A13"/>
    <mergeCell ref="A14:A17"/>
    <mergeCell ref="A18:A21"/>
    <mergeCell ref="A22:A23"/>
    <mergeCell ref="A25:A28"/>
    <mergeCell ref="A29:A31"/>
    <mergeCell ref="A32:A35"/>
    <mergeCell ref="A36:A39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B3:B5"/>
    <mergeCell ref="B7:B9"/>
    <mergeCell ref="B10:B13"/>
    <mergeCell ref="B14:B17"/>
    <mergeCell ref="B18:B21"/>
    <mergeCell ref="B22:B23"/>
    <mergeCell ref="B25:B28"/>
    <mergeCell ref="B29:B31"/>
    <mergeCell ref="B32:B35"/>
    <mergeCell ref="B36:B39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  <mergeCell ref="B83:B85"/>
    <mergeCell ref="C3:C5"/>
    <mergeCell ref="D4:D5"/>
    <mergeCell ref="E4:E5"/>
    <mergeCell ref="E7:E9"/>
    <mergeCell ref="E10:E13"/>
    <mergeCell ref="E14:E17"/>
    <mergeCell ref="E18:E21"/>
    <mergeCell ref="E22:E23"/>
    <mergeCell ref="E25:E28"/>
    <mergeCell ref="E29:E31"/>
    <mergeCell ref="E32:E35"/>
    <mergeCell ref="E36:E39"/>
    <mergeCell ref="E53:E55"/>
    <mergeCell ref="E56:E58"/>
    <mergeCell ref="E59:E61"/>
    <mergeCell ref="E62:E64"/>
    <mergeCell ref="E65:E67"/>
    <mergeCell ref="E68:E70"/>
    <mergeCell ref="E71:E73"/>
    <mergeCell ref="E74:E76"/>
    <mergeCell ref="E77:E79"/>
    <mergeCell ref="E80:E82"/>
    <mergeCell ref="E83:E85"/>
    <mergeCell ref="F4:F5"/>
    <mergeCell ref="G4:G5"/>
    <mergeCell ref="H4:H5"/>
    <mergeCell ref="I4:I5"/>
    <mergeCell ref="J4:J5"/>
    <mergeCell ref="K4:K5"/>
    <mergeCell ref="L4:L5"/>
    <mergeCell ref="L7:L9"/>
    <mergeCell ref="L10:L13"/>
    <mergeCell ref="L14:L17"/>
    <mergeCell ref="L18:L21"/>
    <mergeCell ref="L22:L23"/>
    <mergeCell ref="L25:L28"/>
    <mergeCell ref="L29:L31"/>
    <mergeCell ref="L32:L35"/>
    <mergeCell ref="L36:L39"/>
    <mergeCell ref="M4:M5"/>
    <mergeCell ref="M7:M9"/>
    <mergeCell ref="M10:M13"/>
    <mergeCell ref="M14:M17"/>
    <mergeCell ref="M18:M21"/>
    <mergeCell ref="M22:M23"/>
    <mergeCell ref="M25:M28"/>
    <mergeCell ref="M29:M31"/>
    <mergeCell ref="M32:M35"/>
    <mergeCell ref="M36:M39"/>
    <mergeCell ref="N4:N5"/>
    <mergeCell ref="N7:N9"/>
    <mergeCell ref="N10:N13"/>
    <mergeCell ref="N14:N17"/>
    <mergeCell ref="N18:N21"/>
    <mergeCell ref="N22:N23"/>
    <mergeCell ref="N25:N28"/>
    <mergeCell ref="N29:N31"/>
    <mergeCell ref="N32:N35"/>
    <mergeCell ref="N36:N39"/>
    <mergeCell ref="O7:O9"/>
    <mergeCell ref="O10:O13"/>
    <mergeCell ref="O14:O17"/>
    <mergeCell ref="O18:O21"/>
    <mergeCell ref="O22:O23"/>
    <mergeCell ref="O25:O28"/>
    <mergeCell ref="O29:O31"/>
    <mergeCell ref="O32:O35"/>
    <mergeCell ref="O36:O39"/>
    <mergeCell ref="O53:O55"/>
    <mergeCell ref="O56:O58"/>
    <mergeCell ref="O59:O61"/>
    <mergeCell ref="O62:O64"/>
    <mergeCell ref="O65:O67"/>
    <mergeCell ref="O68:O70"/>
    <mergeCell ref="O71:O73"/>
    <mergeCell ref="O74:O76"/>
    <mergeCell ref="O77:O79"/>
    <mergeCell ref="O80:O82"/>
    <mergeCell ref="O83:O85"/>
    <mergeCell ref="P7:P9"/>
    <mergeCell ref="P10:P13"/>
    <mergeCell ref="P14:P17"/>
    <mergeCell ref="P18:P21"/>
    <mergeCell ref="P22:P23"/>
    <mergeCell ref="P25:P28"/>
    <mergeCell ref="P29:P31"/>
    <mergeCell ref="P32:P35"/>
    <mergeCell ref="P36:P39"/>
    <mergeCell ref="P53:P55"/>
    <mergeCell ref="P56:P58"/>
    <mergeCell ref="P59:P61"/>
    <mergeCell ref="P62:P64"/>
    <mergeCell ref="P65:P67"/>
    <mergeCell ref="P68:P70"/>
    <mergeCell ref="P71:P73"/>
    <mergeCell ref="P74:P76"/>
    <mergeCell ref="P77:P79"/>
    <mergeCell ref="P80:P82"/>
    <mergeCell ref="P83:P85"/>
    <mergeCell ref="Q7:Q9"/>
    <mergeCell ref="Q10:Q13"/>
    <mergeCell ref="Q14:Q17"/>
    <mergeCell ref="Q18:Q21"/>
    <mergeCell ref="Q22:Q23"/>
    <mergeCell ref="Q25:Q28"/>
    <mergeCell ref="Q29:Q31"/>
    <mergeCell ref="Q32:Q35"/>
    <mergeCell ref="Q36:Q39"/>
    <mergeCell ref="Q53:Q55"/>
    <mergeCell ref="Q56:Q58"/>
    <mergeCell ref="Q59:Q61"/>
    <mergeCell ref="Q62:Q64"/>
    <mergeCell ref="Q65:Q67"/>
    <mergeCell ref="Q68:Q70"/>
    <mergeCell ref="Q71:Q73"/>
    <mergeCell ref="Q74:Q76"/>
    <mergeCell ref="Q77:Q79"/>
    <mergeCell ref="Q80:Q82"/>
    <mergeCell ref="Q83:Q85"/>
    <mergeCell ref="R7:R9"/>
    <mergeCell ref="R10:R13"/>
    <mergeCell ref="R14:R17"/>
    <mergeCell ref="R18:R21"/>
    <mergeCell ref="R22:R23"/>
    <mergeCell ref="R25:R28"/>
    <mergeCell ref="R29:R31"/>
    <mergeCell ref="R32:R35"/>
    <mergeCell ref="R36:R39"/>
    <mergeCell ref="R53:R55"/>
    <mergeCell ref="R56:R58"/>
    <mergeCell ref="R59:R61"/>
    <mergeCell ref="R62:R64"/>
    <mergeCell ref="R65:R67"/>
    <mergeCell ref="R68:R70"/>
    <mergeCell ref="R71:R73"/>
    <mergeCell ref="R74:R76"/>
    <mergeCell ref="R77:R79"/>
    <mergeCell ref="R80:R82"/>
    <mergeCell ref="R83:R85"/>
    <mergeCell ref="S7:S9"/>
    <mergeCell ref="S10:S13"/>
    <mergeCell ref="S14:S17"/>
    <mergeCell ref="S18:S21"/>
    <mergeCell ref="S22:S23"/>
    <mergeCell ref="S25:S28"/>
    <mergeCell ref="S29:S31"/>
    <mergeCell ref="S32:S35"/>
    <mergeCell ref="S36:S39"/>
    <mergeCell ref="S53:S55"/>
    <mergeCell ref="S56:S58"/>
    <mergeCell ref="S59:S61"/>
    <mergeCell ref="S62:S64"/>
    <mergeCell ref="S65:S67"/>
    <mergeCell ref="S68:S70"/>
    <mergeCell ref="S71:S73"/>
    <mergeCell ref="S74:S76"/>
    <mergeCell ref="S77:S79"/>
    <mergeCell ref="S80:S82"/>
    <mergeCell ref="S83:S85"/>
    <mergeCell ref="T7:T9"/>
    <mergeCell ref="T10:T13"/>
    <mergeCell ref="T14:T17"/>
    <mergeCell ref="T18:T21"/>
    <mergeCell ref="T22:T23"/>
    <mergeCell ref="T25:T28"/>
    <mergeCell ref="T29:T31"/>
    <mergeCell ref="T32:T35"/>
    <mergeCell ref="T36:T39"/>
    <mergeCell ref="T53:T55"/>
    <mergeCell ref="T56:T58"/>
    <mergeCell ref="T59:T61"/>
    <mergeCell ref="T62:T64"/>
    <mergeCell ref="T65:T67"/>
    <mergeCell ref="T68:T70"/>
    <mergeCell ref="T71:T73"/>
    <mergeCell ref="T74:T76"/>
    <mergeCell ref="T77:T79"/>
    <mergeCell ref="T80:T82"/>
    <mergeCell ref="T83:T85"/>
    <mergeCell ref="U7:U9"/>
    <mergeCell ref="U10:U13"/>
    <mergeCell ref="U14:U17"/>
    <mergeCell ref="U18:U21"/>
    <mergeCell ref="U22:U23"/>
    <mergeCell ref="U25:U28"/>
    <mergeCell ref="U29:U31"/>
    <mergeCell ref="U32:U35"/>
    <mergeCell ref="U36:U39"/>
    <mergeCell ref="U53:U55"/>
    <mergeCell ref="U56:U58"/>
    <mergeCell ref="U59:U61"/>
    <mergeCell ref="U62:U64"/>
    <mergeCell ref="U65:U67"/>
    <mergeCell ref="U68:U70"/>
    <mergeCell ref="U71:U73"/>
    <mergeCell ref="U74:U76"/>
    <mergeCell ref="U77:U79"/>
    <mergeCell ref="U80:U82"/>
    <mergeCell ref="U83:U85"/>
    <mergeCell ref="V7:V9"/>
    <mergeCell ref="V10:V13"/>
    <mergeCell ref="V14:V17"/>
    <mergeCell ref="V18:V21"/>
    <mergeCell ref="V22:V23"/>
    <mergeCell ref="V25:V28"/>
    <mergeCell ref="V29:V31"/>
    <mergeCell ref="V32:V35"/>
    <mergeCell ref="V36:V39"/>
    <mergeCell ref="V53:V55"/>
    <mergeCell ref="V56:V58"/>
    <mergeCell ref="V59:V61"/>
    <mergeCell ref="V62:V64"/>
    <mergeCell ref="V65:V67"/>
    <mergeCell ref="V68:V70"/>
    <mergeCell ref="V71:V73"/>
    <mergeCell ref="V74:V76"/>
    <mergeCell ref="V77:V79"/>
    <mergeCell ref="V80:V82"/>
    <mergeCell ref="V83:V85"/>
    <mergeCell ref="W7:W9"/>
    <mergeCell ref="W10:W13"/>
    <mergeCell ref="W14:W17"/>
    <mergeCell ref="W18:W21"/>
    <mergeCell ref="W22:W23"/>
    <mergeCell ref="W25:W28"/>
    <mergeCell ref="W29:W31"/>
    <mergeCell ref="W32:W35"/>
    <mergeCell ref="W36:W39"/>
    <mergeCell ref="W53:W55"/>
    <mergeCell ref="W56:W58"/>
    <mergeCell ref="W59:W61"/>
    <mergeCell ref="W62:W64"/>
    <mergeCell ref="W65:W67"/>
    <mergeCell ref="W68:W70"/>
    <mergeCell ref="W71:W73"/>
    <mergeCell ref="W74:W76"/>
    <mergeCell ref="W77:W79"/>
    <mergeCell ref="W80:W82"/>
    <mergeCell ref="W83:W85"/>
  </mergeCells>
  <pageMargins left="0.75" right="0.75" top="1" bottom="1" header="0.5" footer="0.5"/>
  <headerFooter/>
  <ignoredErrors>
    <ignoredError sqref="E5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62"/>
  <sheetViews>
    <sheetView workbookViewId="0">
      <pane ySplit="2" topLeftCell="A3" activePane="bottomLeft" state="frozen"/>
      <selection/>
      <selection pane="bottomLeft" activeCell="O15" sqref="O15"/>
    </sheetView>
  </sheetViews>
  <sheetFormatPr defaultColWidth="8.89166666666667" defaultRowHeight="13.5"/>
  <cols>
    <col min="1" max="1" width="14.1083333333333" customWidth="1"/>
    <col min="2" max="2" width="6.10833333333333" customWidth="1"/>
    <col min="3" max="3" width="12.225" customWidth="1"/>
    <col min="4" max="4" width="10.6666666666667" customWidth="1"/>
    <col min="5" max="5" width="14.1083333333333" customWidth="1"/>
    <col min="6" max="6" width="13.4416666666667" customWidth="1"/>
    <col min="7" max="7" width="22.225" customWidth="1"/>
    <col min="8" max="9" width="13.1083333333333" customWidth="1"/>
    <col min="10" max="10" width="9.66666666666667" customWidth="1"/>
    <col min="11" max="11" width="9.55833333333333" customWidth="1"/>
    <col min="12" max="12" width="9.66666666666667" customWidth="1"/>
    <col min="13" max="17" width="11.8916666666667" customWidth="1"/>
    <col min="18" max="18" width="19.775" customWidth="1"/>
    <col min="19" max="21" width="18.5583333333333" customWidth="1"/>
    <col min="22" max="22" width="25.4416666666667" customWidth="1"/>
    <col min="24" max="25" width="21.4416666666667" customWidth="1"/>
  </cols>
  <sheetData>
    <row r="1" ht="20.25" spans="1:22">
      <c r="A1" s="106" t="s">
        <v>46</v>
      </c>
      <c r="B1" s="106"/>
      <c r="C1" s="106"/>
      <c r="D1" s="106"/>
      <c r="E1" s="106"/>
      <c r="F1" s="106"/>
      <c r="G1" s="106"/>
      <c r="H1" s="107"/>
      <c r="I1" s="106"/>
      <c r="J1" s="106"/>
      <c r="K1" s="106"/>
      <c r="L1" s="106"/>
      <c r="M1" s="106"/>
      <c r="P1" s="108" t="s">
        <v>2</v>
      </c>
      <c r="Q1" s="108" t="s">
        <v>3</v>
      </c>
      <c r="R1" s="109" t="s">
        <v>6</v>
      </c>
      <c r="S1" s="109"/>
      <c r="T1" s="109"/>
      <c r="U1" s="109"/>
      <c r="V1" s="109"/>
    </row>
    <row r="2" ht="39" customHeight="1" spans="1:22">
      <c r="A2" s="110" t="s">
        <v>47</v>
      </c>
      <c r="B2" s="110" t="s">
        <v>2</v>
      </c>
      <c r="C2" s="110" t="s">
        <v>48</v>
      </c>
      <c r="D2" s="110" t="s">
        <v>49</v>
      </c>
      <c r="E2" s="110" t="s">
        <v>50</v>
      </c>
      <c r="F2" s="110" t="s">
        <v>51</v>
      </c>
      <c r="G2" s="110" t="s">
        <v>52</v>
      </c>
      <c r="H2" s="111" t="s">
        <v>53</v>
      </c>
      <c r="I2" s="110" t="s">
        <v>54</v>
      </c>
      <c r="J2" s="112" t="s">
        <v>55</v>
      </c>
      <c r="K2" s="112" t="s">
        <v>56</v>
      </c>
      <c r="L2" s="112" t="s">
        <v>57</v>
      </c>
      <c r="M2" s="112" t="s">
        <v>58</v>
      </c>
      <c r="P2" s="113"/>
      <c r="Q2" s="113"/>
      <c r="R2" s="114" t="s">
        <v>59</v>
      </c>
      <c r="S2" s="115" t="s">
        <v>16</v>
      </c>
      <c r="T2" s="115" t="s">
        <v>11</v>
      </c>
      <c r="U2" s="116" t="s">
        <v>60</v>
      </c>
      <c r="V2" s="117" t="s">
        <v>61</v>
      </c>
    </row>
    <row r="3" ht="16.5" spans="1:22">
      <c r="A3" s="74" t="s">
        <v>38</v>
      </c>
      <c r="B3" s="12" t="s">
        <v>23</v>
      </c>
      <c r="C3" s="75">
        <v>46053</v>
      </c>
      <c r="D3" s="74" t="s">
        <v>62</v>
      </c>
      <c r="E3" s="12" t="s">
        <v>63</v>
      </c>
      <c r="F3" s="74" t="s">
        <v>64</v>
      </c>
      <c r="G3" s="74" t="s">
        <v>65</v>
      </c>
      <c r="H3" s="118">
        <v>4.93333333333333</v>
      </c>
      <c r="I3" s="12">
        <v>3</v>
      </c>
      <c r="J3" s="12" t="s">
        <v>66</v>
      </c>
      <c r="K3" s="12" t="s">
        <v>67</v>
      </c>
      <c r="L3" s="12" t="s">
        <v>67</v>
      </c>
      <c r="M3" s="12" t="s">
        <v>67</v>
      </c>
      <c r="P3" s="74" t="s">
        <v>23</v>
      </c>
      <c r="Q3" s="74" t="s">
        <v>38</v>
      </c>
      <c r="R3" s="74">
        <f>VLOOKUP(Q3,'[2]自主培训2026年度数据（累计）'!$Q:$R,2,0)</f>
        <v>162</v>
      </c>
      <c r="S3" s="12">
        <v>169</v>
      </c>
      <c r="T3" s="12">
        <v>732</v>
      </c>
      <c r="U3" s="12">
        <v>161</v>
      </c>
      <c r="V3" s="119">
        <f>U3/R3</f>
        <v>0.993827160493827</v>
      </c>
    </row>
    <row r="4" ht="16.5" spans="1:22">
      <c r="A4" s="74" t="s">
        <v>38</v>
      </c>
      <c r="B4" s="12" t="s">
        <v>23</v>
      </c>
      <c r="C4" s="75">
        <v>46053</v>
      </c>
      <c r="D4" s="74" t="s">
        <v>62</v>
      </c>
      <c r="E4" s="12" t="s">
        <v>63</v>
      </c>
      <c r="F4" s="74" t="s">
        <v>64</v>
      </c>
      <c r="G4" s="74" t="s">
        <v>68</v>
      </c>
      <c r="H4" s="118">
        <v>4.86666666666667</v>
      </c>
      <c r="I4" s="12">
        <v>3</v>
      </c>
      <c r="J4" s="12" t="s">
        <v>66</v>
      </c>
      <c r="K4" s="12" t="s">
        <v>67</v>
      </c>
      <c r="L4" s="12" t="s">
        <v>67</v>
      </c>
      <c r="M4" s="12" t="s">
        <v>67</v>
      </c>
      <c r="P4" s="74" t="s">
        <v>23</v>
      </c>
      <c r="Q4" s="74" t="s">
        <v>31</v>
      </c>
      <c r="R4" s="74">
        <f>VLOOKUP(Q4,'[2]自主培训2026年度数据（累计）'!$Q:$R,2,0)</f>
        <v>42</v>
      </c>
      <c r="S4" s="12">
        <v>38</v>
      </c>
      <c r="T4" s="12">
        <v>125</v>
      </c>
      <c r="U4" s="12">
        <v>39</v>
      </c>
      <c r="V4" s="119">
        <f>U4/R4</f>
        <v>0.928571428571429</v>
      </c>
    </row>
    <row r="5" ht="16.5" spans="1:22">
      <c r="A5" s="74" t="s">
        <v>38</v>
      </c>
      <c r="B5" s="12" t="s">
        <v>23</v>
      </c>
      <c r="C5" s="75">
        <v>46053</v>
      </c>
      <c r="D5" s="74" t="s">
        <v>69</v>
      </c>
      <c r="E5" s="12" t="s">
        <v>70</v>
      </c>
      <c r="F5" s="74" t="s">
        <v>71</v>
      </c>
      <c r="G5" s="74" t="s">
        <v>72</v>
      </c>
      <c r="H5" s="118">
        <v>5</v>
      </c>
      <c r="I5" s="12">
        <v>3</v>
      </c>
      <c r="J5" s="12" t="s">
        <v>66</v>
      </c>
      <c r="K5" s="12" t="s">
        <v>67</v>
      </c>
      <c r="L5" s="12" t="s">
        <v>67</v>
      </c>
      <c r="M5" s="12" t="s">
        <v>67</v>
      </c>
      <c r="P5" s="74" t="s">
        <v>23</v>
      </c>
      <c r="Q5" s="74" t="s">
        <v>24</v>
      </c>
      <c r="R5" s="74">
        <f>VLOOKUP(Q5,'[2]自主培训2026年度数据（累计）'!$Q:$R,2,0)</f>
        <v>3</v>
      </c>
      <c r="S5" s="12">
        <v>9</v>
      </c>
      <c r="T5" s="12">
        <v>33</v>
      </c>
      <c r="U5" s="12">
        <v>3</v>
      </c>
      <c r="V5" s="119">
        <v>1</v>
      </c>
    </row>
    <row r="6" ht="16.5" spans="1:22">
      <c r="A6" s="74" t="s">
        <v>38</v>
      </c>
      <c r="B6" s="12" t="s">
        <v>23</v>
      </c>
      <c r="C6" s="75">
        <v>46053</v>
      </c>
      <c r="D6" s="74" t="s">
        <v>69</v>
      </c>
      <c r="E6" s="12" t="s">
        <v>70</v>
      </c>
      <c r="F6" s="74" t="s">
        <v>71</v>
      </c>
      <c r="G6" s="74" t="s">
        <v>73</v>
      </c>
      <c r="H6" s="118">
        <v>5</v>
      </c>
      <c r="I6" s="12">
        <v>3</v>
      </c>
      <c r="J6" s="12" t="s">
        <v>66</v>
      </c>
      <c r="K6" s="12" t="s">
        <v>67</v>
      </c>
      <c r="L6" s="12" t="s">
        <v>67</v>
      </c>
      <c r="M6" s="12" t="s">
        <v>67</v>
      </c>
      <c r="P6" s="74" t="s">
        <v>23</v>
      </c>
      <c r="Q6" s="74" t="s">
        <v>32</v>
      </c>
      <c r="R6" s="74">
        <f>VLOOKUP(Q6,'[2]自主培训2026年度数据（累计）'!$Q:$R,2,0)</f>
        <v>36</v>
      </c>
      <c r="S6" s="12">
        <v>37</v>
      </c>
      <c r="T6" s="12">
        <v>119</v>
      </c>
      <c r="U6" s="12">
        <v>36</v>
      </c>
      <c r="V6" s="119">
        <v>1</v>
      </c>
    </row>
    <row r="7" ht="16.5" spans="1:22">
      <c r="A7" s="74" t="s">
        <v>38</v>
      </c>
      <c r="B7" s="12" t="s">
        <v>23</v>
      </c>
      <c r="C7" s="75">
        <v>46053</v>
      </c>
      <c r="D7" s="74" t="s">
        <v>74</v>
      </c>
      <c r="E7" s="12" t="s">
        <v>75</v>
      </c>
      <c r="F7" s="74" t="s">
        <v>76</v>
      </c>
      <c r="G7" s="74" t="s">
        <v>77</v>
      </c>
      <c r="H7" s="118">
        <v>5</v>
      </c>
      <c r="I7" s="12">
        <v>2</v>
      </c>
      <c r="J7" s="12" t="s">
        <v>66</v>
      </c>
      <c r="K7" s="12" t="s">
        <v>67</v>
      </c>
      <c r="L7" s="12" t="s">
        <v>67</v>
      </c>
      <c r="M7" s="12" t="s">
        <v>67</v>
      </c>
      <c r="P7" s="74" t="s">
        <v>23</v>
      </c>
      <c r="Q7" s="74" t="s">
        <v>37</v>
      </c>
      <c r="R7" s="74">
        <f>VLOOKUP(Q7,'[2]自主培训2026年度数据（累计）'!$Q:$R,2,0)</f>
        <v>57</v>
      </c>
      <c r="S7" s="12">
        <v>56</v>
      </c>
      <c r="T7" s="12">
        <v>214</v>
      </c>
      <c r="U7" s="120">
        <v>56</v>
      </c>
      <c r="V7" s="119">
        <f>U7/R7</f>
        <v>0.982456140350877</v>
      </c>
    </row>
    <row r="8" ht="16.5" spans="1:22">
      <c r="A8" s="74" t="s">
        <v>31</v>
      </c>
      <c r="B8" s="12" t="s">
        <v>23</v>
      </c>
      <c r="C8" s="75">
        <v>46053</v>
      </c>
      <c r="D8" s="74" t="s">
        <v>78</v>
      </c>
      <c r="E8" s="12" t="s">
        <v>79</v>
      </c>
      <c r="F8" s="74" t="s">
        <v>80</v>
      </c>
      <c r="G8" s="74" t="s">
        <v>81</v>
      </c>
      <c r="H8" s="118">
        <v>5</v>
      </c>
      <c r="I8" s="12">
        <v>2</v>
      </c>
      <c r="J8" s="12" t="s">
        <v>66</v>
      </c>
      <c r="K8" s="12" t="s">
        <v>67</v>
      </c>
      <c r="L8" s="12" t="s">
        <v>67</v>
      </c>
      <c r="M8" s="12" t="s">
        <v>67</v>
      </c>
      <c r="P8" s="74" t="s">
        <v>23</v>
      </c>
      <c r="Q8" s="74" t="s">
        <v>26</v>
      </c>
      <c r="R8" s="74">
        <f>VLOOKUP(Q8,'[2]自主培训2026年度数据（累计）'!$Q:$R,2,0)</f>
        <v>12</v>
      </c>
      <c r="S8" s="12">
        <v>12</v>
      </c>
      <c r="T8" s="12">
        <v>32</v>
      </c>
      <c r="U8" s="120">
        <v>12</v>
      </c>
      <c r="V8" s="119">
        <v>1</v>
      </c>
    </row>
    <row r="9" ht="16.5" spans="1:22">
      <c r="A9" s="74" t="s">
        <v>38</v>
      </c>
      <c r="B9" s="12" t="s">
        <v>23</v>
      </c>
      <c r="C9" s="75">
        <v>46045</v>
      </c>
      <c r="D9" s="74" t="s">
        <v>82</v>
      </c>
      <c r="E9" s="12" t="s">
        <v>70</v>
      </c>
      <c r="F9" s="74" t="s">
        <v>83</v>
      </c>
      <c r="G9" s="74" t="s">
        <v>84</v>
      </c>
      <c r="H9" s="118">
        <v>5</v>
      </c>
      <c r="I9" s="12">
        <v>3</v>
      </c>
      <c r="J9" s="12" t="s">
        <v>66</v>
      </c>
      <c r="K9" s="12" t="s">
        <v>67</v>
      </c>
      <c r="L9" s="12" t="s">
        <v>67</v>
      </c>
      <c r="M9" s="12" t="s">
        <v>67</v>
      </c>
      <c r="P9" s="74" t="s">
        <v>23</v>
      </c>
      <c r="Q9" s="74" t="s">
        <v>35</v>
      </c>
      <c r="R9" s="74">
        <f>VLOOKUP(Q9,'[2]自主培训2026年度数据（累计）'!$Q:$R,2,0)</f>
        <v>30</v>
      </c>
      <c r="S9" s="12">
        <v>31</v>
      </c>
      <c r="T9" s="12">
        <v>119</v>
      </c>
      <c r="U9" s="12">
        <v>30</v>
      </c>
      <c r="V9" s="119">
        <v>1</v>
      </c>
    </row>
    <row r="10" ht="16.5" spans="1:22">
      <c r="A10" s="74" t="s">
        <v>31</v>
      </c>
      <c r="B10" s="12" t="s">
        <v>23</v>
      </c>
      <c r="C10" s="75">
        <v>46053</v>
      </c>
      <c r="D10" s="74" t="s">
        <v>78</v>
      </c>
      <c r="E10" s="12" t="s">
        <v>79</v>
      </c>
      <c r="F10" s="74" t="s">
        <v>80</v>
      </c>
      <c r="G10" s="74" t="s">
        <v>85</v>
      </c>
      <c r="H10" s="118">
        <v>5</v>
      </c>
      <c r="I10" s="12">
        <v>2</v>
      </c>
      <c r="J10" s="12" t="s">
        <v>66</v>
      </c>
      <c r="K10" s="12" t="s">
        <v>67</v>
      </c>
      <c r="L10" s="12" t="s">
        <v>67</v>
      </c>
      <c r="M10" s="12" t="s">
        <v>67</v>
      </c>
      <c r="P10" s="74" t="s">
        <v>23</v>
      </c>
      <c r="Q10" s="74" t="s">
        <v>29</v>
      </c>
      <c r="R10" s="74">
        <f>VLOOKUP(Q10,'[2]自主培训2026年度数据（累计）'!$Q:$R,2,0)</f>
        <v>21</v>
      </c>
      <c r="S10" s="12">
        <v>19</v>
      </c>
      <c r="T10" s="12">
        <v>95</v>
      </c>
      <c r="U10" s="120">
        <v>19</v>
      </c>
      <c r="V10" s="119">
        <f>U10/R10</f>
        <v>0.904761904761905</v>
      </c>
    </row>
    <row r="11" ht="16.5" spans="1:22">
      <c r="A11" s="74" t="s">
        <v>31</v>
      </c>
      <c r="B11" s="12" t="s">
        <v>23</v>
      </c>
      <c r="C11" s="75">
        <v>46053</v>
      </c>
      <c r="D11" s="74" t="s">
        <v>86</v>
      </c>
      <c r="E11" s="12" t="s">
        <v>79</v>
      </c>
      <c r="F11" s="74" t="s">
        <v>87</v>
      </c>
      <c r="G11" s="74" t="s">
        <v>88</v>
      </c>
      <c r="H11" s="118">
        <v>5</v>
      </c>
      <c r="I11" s="12">
        <v>3</v>
      </c>
      <c r="J11" s="12" t="s">
        <v>66</v>
      </c>
      <c r="K11" s="12" t="s">
        <v>67</v>
      </c>
      <c r="L11" s="12" t="s">
        <v>67</v>
      </c>
      <c r="M11" s="12" t="s">
        <v>67</v>
      </c>
      <c r="P11" s="74" t="s">
        <v>23</v>
      </c>
      <c r="Q11" s="74" t="s">
        <v>36</v>
      </c>
      <c r="R11" s="74">
        <f>VLOOKUP(Q11,'[2]自主培训2026年度数据（累计）'!$Q:$R,2,0)</f>
        <v>24</v>
      </c>
      <c r="S11" s="12">
        <v>23</v>
      </c>
      <c r="T11" s="12">
        <v>108</v>
      </c>
      <c r="U11" s="120">
        <v>23</v>
      </c>
      <c r="V11" s="119">
        <f>U11/R11</f>
        <v>0.958333333333333</v>
      </c>
    </row>
    <row r="12" ht="16.5" spans="1:22">
      <c r="A12" s="74" t="s">
        <v>31</v>
      </c>
      <c r="B12" s="12" t="s">
        <v>23</v>
      </c>
      <c r="C12" s="75">
        <v>46053</v>
      </c>
      <c r="D12" s="74" t="s">
        <v>89</v>
      </c>
      <c r="E12" s="12" t="s">
        <v>90</v>
      </c>
      <c r="F12" s="74" t="s">
        <v>91</v>
      </c>
      <c r="G12" s="74" t="s">
        <v>92</v>
      </c>
      <c r="H12" s="118">
        <v>5</v>
      </c>
      <c r="I12" s="12">
        <v>3</v>
      </c>
      <c r="J12" s="12" t="s">
        <v>66</v>
      </c>
      <c r="K12" s="12" t="s">
        <v>67</v>
      </c>
      <c r="L12" s="12" t="s">
        <v>67</v>
      </c>
      <c r="M12" s="12" t="s">
        <v>67</v>
      </c>
      <c r="P12" s="74" t="s">
        <v>23</v>
      </c>
      <c r="Q12" s="74" t="s">
        <v>34</v>
      </c>
      <c r="R12" s="74">
        <f>VLOOKUP(Q12,'[2]自主培训2026年度数据（累计）'!$Q:$R,2,0)</f>
        <v>6</v>
      </c>
      <c r="S12" s="12">
        <v>6</v>
      </c>
      <c r="T12" s="12">
        <v>21</v>
      </c>
      <c r="U12" s="120">
        <v>6</v>
      </c>
      <c r="V12" s="119">
        <v>1</v>
      </c>
    </row>
    <row r="13" ht="16.5" spans="1:22">
      <c r="A13" s="74" t="s">
        <v>31</v>
      </c>
      <c r="B13" s="12" t="s">
        <v>23</v>
      </c>
      <c r="C13" s="75">
        <v>46053</v>
      </c>
      <c r="D13" s="74" t="s">
        <v>89</v>
      </c>
      <c r="E13" s="12" t="s">
        <v>90</v>
      </c>
      <c r="F13" s="74" t="s">
        <v>91</v>
      </c>
      <c r="G13" s="74" t="s">
        <v>84</v>
      </c>
      <c r="H13" s="118">
        <v>5</v>
      </c>
      <c r="I13" s="12">
        <v>3</v>
      </c>
      <c r="J13" s="12" t="s">
        <v>66</v>
      </c>
      <c r="K13" s="12" t="s">
        <v>67</v>
      </c>
      <c r="L13" s="12" t="s">
        <v>67</v>
      </c>
      <c r="M13" s="12" t="s">
        <v>67</v>
      </c>
      <c r="P13" s="74" t="s">
        <v>23</v>
      </c>
      <c r="Q13" s="74" t="s">
        <v>33</v>
      </c>
      <c r="R13" s="74">
        <v>3</v>
      </c>
      <c r="S13" s="12">
        <v>3</v>
      </c>
      <c r="T13" s="12">
        <v>15</v>
      </c>
      <c r="U13" s="120">
        <v>3</v>
      </c>
      <c r="V13" s="119">
        <v>1</v>
      </c>
    </row>
    <row r="14" ht="16.5" spans="1:22">
      <c r="A14" s="74" t="s">
        <v>31</v>
      </c>
      <c r="B14" s="12" t="s">
        <v>23</v>
      </c>
      <c r="C14" s="75">
        <v>46053</v>
      </c>
      <c r="D14" s="74" t="s">
        <v>89</v>
      </c>
      <c r="E14" s="12" t="s">
        <v>90</v>
      </c>
      <c r="F14" s="74" t="s">
        <v>91</v>
      </c>
      <c r="G14" s="74" t="s">
        <v>93</v>
      </c>
      <c r="H14" s="118">
        <v>5</v>
      </c>
      <c r="I14" s="12">
        <v>3</v>
      </c>
      <c r="J14" s="12" t="s">
        <v>66</v>
      </c>
      <c r="K14" s="12" t="s">
        <v>67</v>
      </c>
      <c r="L14" s="12" t="s">
        <v>67</v>
      </c>
      <c r="M14" s="12" t="s">
        <v>67</v>
      </c>
      <c r="P14" s="121" t="s">
        <v>94</v>
      </c>
      <c r="Q14" s="122"/>
      <c r="R14" s="123">
        <v>399</v>
      </c>
      <c r="S14" s="123">
        <v>399</v>
      </c>
      <c r="T14" s="123">
        <v>1613</v>
      </c>
      <c r="U14" s="123">
        <v>388</v>
      </c>
      <c r="V14" s="124">
        <f>U14/R14</f>
        <v>0.972431077694236</v>
      </c>
    </row>
    <row r="15" ht="16.5" spans="1:22">
      <c r="A15" s="74" t="s">
        <v>38</v>
      </c>
      <c r="B15" s="12" t="s">
        <v>23</v>
      </c>
      <c r="C15" s="75">
        <v>46053</v>
      </c>
      <c r="D15" s="74" t="s">
        <v>95</v>
      </c>
      <c r="E15" s="12" t="s">
        <v>63</v>
      </c>
      <c r="F15" s="74" t="s">
        <v>96</v>
      </c>
      <c r="G15" s="74" t="s">
        <v>97</v>
      </c>
      <c r="H15" s="118">
        <v>5</v>
      </c>
      <c r="I15" s="12">
        <v>5</v>
      </c>
      <c r="J15" s="12" t="s">
        <v>66</v>
      </c>
      <c r="K15" s="12" t="s">
        <v>67</v>
      </c>
      <c r="L15" s="12" t="s">
        <v>67</v>
      </c>
      <c r="M15" s="12" t="s">
        <v>67</v>
      </c>
      <c r="P15" s="74" t="s">
        <v>39</v>
      </c>
      <c r="Q15" s="74" t="s">
        <v>38</v>
      </c>
      <c r="R15" s="74">
        <v>110</v>
      </c>
      <c r="S15" s="12">
        <v>112</v>
      </c>
      <c r="T15" s="12">
        <v>467</v>
      </c>
      <c r="U15" s="12">
        <v>108</v>
      </c>
      <c r="V15" s="119">
        <f>U15/R15</f>
        <v>0.981818181818182</v>
      </c>
    </row>
    <row r="16" ht="16.5" spans="1:22">
      <c r="A16" s="74" t="s">
        <v>31</v>
      </c>
      <c r="B16" s="12" t="s">
        <v>23</v>
      </c>
      <c r="C16" s="75">
        <v>46053</v>
      </c>
      <c r="D16" s="74" t="s">
        <v>86</v>
      </c>
      <c r="E16" s="12" t="s">
        <v>79</v>
      </c>
      <c r="F16" s="74" t="s">
        <v>87</v>
      </c>
      <c r="G16" s="74" t="s">
        <v>98</v>
      </c>
      <c r="H16" s="118">
        <v>5</v>
      </c>
      <c r="I16" s="12">
        <v>3</v>
      </c>
      <c r="J16" s="12" t="s">
        <v>66</v>
      </c>
      <c r="K16" s="12" t="s">
        <v>67</v>
      </c>
      <c r="L16" s="12" t="s">
        <v>67</v>
      </c>
      <c r="M16" s="12" t="s">
        <v>67</v>
      </c>
      <c r="P16" s="74" t="s">
        <v>39</v>
      </c>
      <c r="Q16" s="74" t="s">
        <v>31</v>
      </c>
      <c r="R16" s="74">
        <v>26</v>
      </c>
      <c r="S16" s="12">
        <v>24</v>
      </c>
      <c r="T16" s="46">
        <v>74</v>
      </c>
      <c r="U16" s="46">
        <v>24</v>
      </c>
      <c r="V16" s="119">
        <f t="shared" ref="V16:V26" si="0">U16/R16</f>
        <v>0.923076923076923</v>
      </c>
    </row>
    <row r="17" ht="16.5" spans="1:22">
      <c r="A17" s="74" t="s">
        <v>31</v>
      </c>
      <c r="B17" s="12" t="s">
        <v>23</v>
      </c>
      <c r="C17" s="75">
        <v>46053</v>
      </c>
      <c r="D17" s="74" t="s">
        <v>86</v>
      </c>
      <c r="E17" s="12" t="s">
        <v>79</v>
      </c>
      <c r="F17" s="74" t="s">
        <v>87</v>
      </c>
      <c r="G17" s="74" t="s">
        <v>99</v>
      </c>
      <c r="H17" s="118">
        <v>5</v>
      </c>
      <c r="I17" s="12">
        <v>3</v>
      </c>
      <c r="J17" s="12" t="s">
        <v>66</v>
      </c>
      <c r="K17" s="12" t="s">
        <v>67</v>
      </c>
      <c r="L17" s="12" t="s">
        <v>67</v>
      </c>
      <c r="M17" s="12" t="s">
        <v>67</v>
      </c>
      <c r="P17" s="74" t="s">
        <v>39</v>
      </c>
      <c r="Q17" s="74" t="s">
        <v>24</v>
      </c>
      <c r="R17" s="74">
        <v>2</v>
      </c>
      <c r="S17" s="12">
        <v>2</v>
      </c>
      <c r="T17" s="46">
        <v>28</v>
      </c>
      <c r="U17" s="46">
        <v>2</v>
      </c>
      <c r="V17" s="119">
        <f t="shared" si="0"/>
        <v>1</v>
      </c>
    </row>
    <row r="18" ht="16.5" spans="1:22">
      <c r="A18" s="74" t="s">
        <v>24</v>
      </c>
      <c r="B18" s="12" t="s">
        <v>23</v>
      </c>
      <c r="C18" s="75">
        <v>46053</v>
      </c>
      <c r="D18" s="74" t="s">
        <v>100</v>
      </c>
      <c r="E18" s="12" t="s">
        <v>101</v>
      </c>
      <c r="F18" s="74" t="s">
        <v>102</v>
      </c>
      <c r="G18" s="74" t="s">
        <v>103</v>
      </c>
      <c r="H18" s="118">
        <v>5</v>
      </c>
      <c r="I18" s="12">
        <v>4</v>
      </c>
      <c r="J18" s="12" t="s">
        <v>66</v>
      </c>
      <c r="K18" s="12" t="s">
        <v>67</v>
      </c>
      <c r="L18" s="12" t="s">
        <v>67</v>
      </c>
      <c r="M18" s="12" t="s">
        <v>67</v>
      </c>
      <c r="P18" s="74" t="s">
        <v>39</v>
      </c>
      <c r="Q18" s="74" t="s">
        <v>32</v>
      </c>
      <c r="R18" s="74">
        <v>22</v>
      </c>
      <c r="S18" s="12">
        <v>22</v>
      </c>
      <c r="T18" s="46">
        <v>70</v>
      </c>
      <c r="U18" s="46">
        <v>22</v>
      </c>
      <c r="V18" s="119">
        <f t="shared" si="0"/>
        <v>1</v>
      </c>
    </row>
    <row r="19" ht="16.5" spans="1:22">
      <c r="A19" s="74" t="s">
        <v>32</v>
      </c>
      <c r="B19" s="12" t="s">
        <v>23</v>
      </c>
      <c r="C19" s="75">
        <v>46053</v>
      </c>
      <c r="D19" s="74" t="s">
        <v>104</v>
      </c>
      <c r="E19" s="12" t="s">
        <v>105</v>
      </c>
      <c r="F19" s="74" t="s">
        <v>106</v>
      </c>
      <c r="G19" s="74" t="s">
        <v>107</v>
      </c>
      <c r="H19" s="118">
        <v>5</v>
      </c>
      <c r="I19" s="12">
        <v>3</v>
      </c>
      <c r="J19" s="12" t="s">
        <v>66</v>
      </c>
      <c r="K19" s="12" t="s">
        <v>67</v>
      </c>
      <c r="L19" s="12" t="s">
        <v>67</v>
      </c>
      <c r="M19" s="12" t="s">
        <v>67</v>
      </c>
      <c r="P19" s="74" t="s">
        <v>39</v>
      </c>
      <c r="Q19" s="74" t="s">
        <v>37</v>
      </c>
      <c r="R19" s="74">
        <v>38</v>
      </c>
      <c r="S19" s="12">
        <v>38</v>
      </c>
      <c r="T19" s="46">
        <v>141</v>
      </c>
      <c r="U19" s="46">
        <v>38</v>
      </c>
      <c r="V19" s="119">
        <f t="shared" si="0"/>
        <v>1</v>
      </c>
    </row>
    <row r="20" ht="16.5" spans="1:22">
      <c r="A20" s="74" t="s">
        <v>37</v>
      </c>
      <c r="B20" s="12" t="s">
        <v>23</v>
      </c>
      <c r="C20" s="75">
        <v>46053</v>
      </c>
      <c r="D20" s="74" t="s">
        <v>108</v>
      </c>
      <c r="E20" s="12" t="s">
        <v>109</v>
      </c>
      <c r="F20" s="74" t="s">
        <v>110</v>
      </c>
      <c r="G20" s="74" t="s">
        <v>111</v>
      </c>
      <c r="H20" s="118">
        <v>5</v>
      </c>
      <c r="I20" s="12">
        <v>9</v>
      </c>
      <c r="J20" s="12" t="s">
        <v>66</v>
      </c>
      <c r="K20" s="12" t="s">
        <v>67</v>
      </c>
      <c r="L20" s="12" t="s">
        <v>67</v>
      </c>
      <c r="M20" s="12" t="s">
        <v>67</v>
      </c>
      <c r="P20" s="74" t="s">
        <v>39</v>
      </c>
      <c r="Q20" s="74" t="s">
        <v>26</v>
      </c>
      <c r="R20" s="74">
        <v>8</v>
      </c>
      <c r="S20" s="12">
        <v>6</v>
      </c>
      <c r="T20" s="46">
        <v>22</v>
      </c>
      <c r="U20" s="46">
        <v>8</v>
      </c>
      <c r="V20" s="119">
        <f t="shared" si="0"/>
        <v>1</v>
      </c>
    </row>
    <row r="21" ht="16.5" spans="1:22">
      <c r="A21" s="74" t="s">
        <v>37</v>
      </c>
      <c r="B21" s="12" t="s">
        <v>23</v>
      </c>
      <c r="C21" s="75">
        <v>46053</v>
      </c>
      <c r="D21" s="74" t="s">
        <v>112</v>
      </c>
      <c r="E21" s="12" t="s">
        <v>109</v>
      </c>
      <c r="F21" s="74" t="s">
        <v>113</v>
      </c>
      <c r="G21" s="74" t="s">
        <v>114</v>
      </c>
      <c r="H21" s="118">
        <v>5</v>
      </c>
      <c r="I21" s="12">
        <v>3</v>
      </c>
      <c r="J21" s="12" t="s">
        <v>66</v>
      </c>
      <c r="K21" s="12" t="s">
        <v>67</v>
      </c>
      <c r="L21" s="12" t="s">
        <v>67</v>
      </c>
      <c r="M21" s="12" t="s">
        <v>67</v>
      </c>
      <c r="P21" s="74" t="s">
        <v>39</v>
      </c>
      <c r="Q21" s="74" t="s">
        <v>35</v>
      </c>
      <c r="R21" s="74">
        <v>20</v>
      </c>
      <c r="S21" s="12">
        <v>19</v>
      </c>
      <c r="T21" s="46">
        <v>59</v>
      </c>
      <c r="U21" s="46">
        <v>20</v>
      </c>
      <c r="V21" s="119">
        <f t="shared" si="0"/>
        <v>1</v>
      </c>
    </row>
    <row r="22" ht="16.5" spans="1:22">
      <c r="A22" s="74" t="s">
        <v>32</v>
      </c>
      <c r="B22" s="12" t="s">
        <v>23</v>
      </c>
      <c r="C22" s="75">
        <v>46053</v>
      </c>
      <c r="D22" s="74" t="s">
        <v>115</v>
      </c>
      <c r="E22" s="12" t="s">
        <v>105</v>
      </c>
      <c r="F22" s="74" t="s">
        <v>116</v>
      </c>
      <c r="G22" s="74" t="s">
        <v>117</v>
      </c>
      <c r="H22" s="118">
        <v>5</v>
      </c>
      <c r="I22" s="12">
        <v>4</v>
      </c>
      <c r="J22" s="12" t="s">
        <v>66</v>
      </c>
      <c r="K22" s="12" t="s">
        <v>67</v>
      </c>
      <c r="L22" s="12" t="s">
        <v>67</v>
      </c>
      <c r="M22" s="12" t="s">
        <v>67</v>
      </c>
      <c r="P22" s="74" t="s">
        <v>39</v>
      </c>
      <c r="Q22" s="74" t="s">
        <v>29</v>
      </c>
      <c r="R22" s="74">
        <v>14</v>
      </c>
      <c r="S22" s="12">
        <v>15</v>
      </c>
      <c r="T22" s="46">
        <v>66</v>
      </c>
      <c r="U22" s="46">
        <v>14</v>
      </c>
      <c r="V22" s="119">
        <f t="shared" si="0"/>
        <v>1</v>
      </c>
    </row>
    <row r="23" ht="16.5" spans="1:22">
      <c r="A23" s="74" t="s">
        <v>32</v>
      </c>
      <c r="B23" s="12" t="s">
        <v>23</v>
      </c>
      <c r="C23" s="75">
        <v>46053</v>
      </c>
      <c r="D23" s="74" t="s">
        <v>104</v>
      </c>
      <c r="E23" s="12" t="s">
        <v>105</v>
      </c>
      <c r="F23" s="74" t="s">
        <v>118</v>
      </c>
      <c r="G23" s="74" t="s">
        <v>119</v>
      </c>
      <c r="H23" s="118">
        <v>5</v>
      </c>
      <c r="I23" s="12">
        <v>3</v>
      </c>
      <c r="J23" s="12" t="s">
        <v>66</v>
      </c>
      <c r="K23" s="12" t="s">
        <v>67</v>
      </c>
      <c r="L23" s="12" t="s">
        <v>67</v>
      </c>
      <c r="M23" s="12" t="s">
        <v>67</v>
      </c>
      <c r="P23" s="74" t="s">
        <v>39</v>
      </c>
      <c r="Q23" s="74" t="s">
        <v>36</v>
      </c>
      <c r="R23" s="74">
        <v>16</v>
      </c>
      <c r="S23" s="12">
        <v>17</v>
      </c>
      <c r="T23" s="46">
        <v>80</v>
      </c>
      <c r="U23" s="46">
        <v>16</v>
      </c>
      <c r="V23" s="119">
        <f t="shared" si="0"/>
        <v>1</v>
      </c>
    </row>
    <row r="24" ht="16.5" spans="1:22">
      <c r="A24" s="74" t="s">
        <v>26</v>
      </c>
      <c r="B24" s="12" t="s">
        <v>23</v>
      </c>
      <c r="C24" s="75">
        <v>46053</v>
      </c>
      <c r="D24" s="74" t="s">
        <v>120</v>
      </c>
      <c r="E24" s="12" t="s">
        <v>121</v>
      </c>
      <c r="F24" s="74" t="s">
        <v>122</v>
      </c>
      <c r="G24" s="74" t="s">
        <v>123</v>
      </c>
      <c r="H24" s="118">
        <v>5</v>
      </c>
      <c r="I24" s="12">
        <v>3</v>
      </c>
      <c r="J24" s="12" t="s">
        <v>66</v>
      </c>
      <c r="K24" s="12" t="s">
        <v>67</v>
      </c>
      <c r="L24" s="12" t="s">
        <v>67</v>
      </c>
      <c r="M24" s="12" t="s">
        <v>67</v>
      </c>
      <c r="P24" s="74" t="s">
        <v>39</v>
      </c>
      <c r="Q24" s="74" t="s">
        <v>34</v>
      </c>
      <c r="R24" s="74">
        <v>2</v>
      </c>
      <c r="S24" s="12">
        <v>2</v>
      </c>
      <c r="T24" s="12">
        <v>3</v>
      </c>
      <c r="U24" s="12">
        <v>2</v>
      </c>
      <c r="V24" s="119">
        <f t="shared" si="0"/>
        <v>1</v>
      </c>
    </row>
    <row r="25" ht="16.5" spans="1:22">
      <c r="A25" s="74" t="s">
        <v>35</v>
      </c>
      <c r="B25" s="12" t="s">
        <v>23</v>
      </c>
      <c r="C25" s="75">
        <v>46053</v>
      </c>
      <c r="D25" s="74" t="s">
        <v>124</v>
      </c>
      <c r="E25" s="12" t="s">
        <v>125</v>
      </c>
      <c r="F25" s="74" t="s">
        <v>126</v>
      </c>
      <c r="G25" s="74" t="s">
        <v>127</v>
      </c>
      <c r="H25" s="118">
        <v>5</v>
      </c>
      <c r="I25" s="12">
        <v>4</v>
      </c>
      <c r="J25" s="12" t="s">
        <v>66</v>
      </c>
      <c r="K25" s="12" t="s">
        <v>67</v>
      </c>
      <c r="L25" s="12" t="s">
        <v>67</v>
      </c>
      <c r="M25" s="12" t="s">
        <v>67</v>
      </c>
      <c r="P25" s="74" t="s">
        <v>39</v>
      </c>
      <c r="Q25" s="74" t="s">
        <v>33</v>
      </c>
      <c r="R25" s="74">
        <v>4</v>
      </c>
      <c r="S25" s="12">
        <v>4</v>
      </c>
      <c r="T25" s="12">
        <v>14</v>
      </c>
      <c r="U25" s="12">
        <v>4</v>
      </c>
      <c r="V25" s="119">
        <f t="shared" si="0"/>
        <v>1</v>
      </c>
    </row>
    <row r="26" ht="16.5" spans="1:22">
      <c r="A26" s="74" t="s">
        <v>37</v>
      </c>
      <c r="B26" s="12" t="s">
        <v>23</v>
      </c>
      <c r="C26" s="75">
        <v>46053</v>
      </c>
      <c r="D26" s="74" t="s">
        <v>108</v>
      </c>
      <c r="E26" s="12" t="s">
        <v>109</v>
      </c>
      <c r="F26" s="74" t="s">
        <v>110</v>
      </c>
      <c r="G26" s="74" t="s">
        <v>128</v>
      </c>
      <c r="H26" s="118">
        <v>5</v>
      </c>
      <c r="I26" s="12">
        <v>5</v>
      </c>
      <c r="J26" s="12" t="s">
        <v>66</v>
      </c>
      <c r="K26" s="12" t="s">
        <v>67</v>
      </c>
      <c r="L26" s="12" t="s">
        <v>67</v>
      </c>
      <c r="M26" s="12" t="s">
        <v>67</v>
      </c>
      <c r="P26" s="121" t="s">
        <v>94</v>
      </c>
      <c r="Q26" s="122"/>
      <c r="R26" s="123">
        <f>SUM(R15:R25)</f>
        <v>262</v>
      </c>
      <c r="S26" s="123">
        <f>SUM(S15:S25)</f>
        <v>261</v>
      </c>
      <c r="T26" s="123">
        <f>SUM(T15:T25)</f>
        <v>1024</v>
      </c>
      <c r="U26" s="123">
        <f>SUM(U15:U25)</f>
        <v>258</v>
      </c>
      <c r="V26" s="125">
        <f t="shared" si="0"/>
        <v>0.984732824427481</v>
      </c>
    </row>
    <row r="27" ht="16.5" spans="1:22">
      <c r="A27" s="74" t="s">
        <v>29</v>
      </c>
      <c r="B27" s="12" t="s">
        <v>23</v>
      </c>
      <c r="C27" s="75">
        <v>46053</v>
      </c>
      <c r="D27" s="74" t="s">
        <v>129</v>
      </c>
      <c r="E27" s="12" t="s">
        <v>130</v>
      </c>
      <c r="F27" s="74" t="s">
        <v>131</v>
      </c>
      <c r="G27" s="74" t="s">
        <v>132</v>
      </c>
      <c r="H27" s="118">
        <v>5</v>
      </c>
      <c r="I27" s="12">
        <v>1</v>
      </c>
      <c r="J27" s="12" t="s">
        <v>66</v>
      </c>
      <c r="K27" s="12" t="s">
        <v>67</v>
      </c>
      <c r="L27" s="12" t="s">
        <v>67</v>
      </c>
      <c r="M27" s="12" t="s">
        <v>67</v>
      </c>
    </row>
    <row r="28" ht="16.5" spans="1:22">
      <c r="A28" s="74" t="s">
        <v>29</v>
      </c>
      <c r="B28" s="12" t="s">
        <v>23</v>
      </c>
      <c r="C28" s="75">
        <v>46053</v>
      </c>
      <c r="D28" s="74" t="s">
        <v>129</v>
      </c>
      <c r="E28" s="12" t="s">
        <v>130</v>
      </c>
      <c r="F28" s="74" t="s">
        <v>131</v>
      </c>
      <c r="G28" s="74" t="s">
        <v>133</v>
      </c>
      <c r="H28" s="118">
        <v>5</v>
      </c>
      <c r="I28" s="12">
        <v>1</v>
      </c>
      <c r="J28" s="12" t="s">
        <v>66</v>
      </c>
      <c r="K28" s="12" t="s">
        <v>67</v>
      </c>
      <c r="L28" s="12" t="s">
        <v>67</v>
      </c>
      <c r="M28" s="12" t="s">
        <v>67</v>
      </c>
    </row>
    <row r="29" ht="16.5" spans="1:22">
      <c r="A29" s="74" t="s">
        <v>31</v>
      </c>
      <c r="B29" s="12" t="s">
        <v>23</v>
      </c>
      <c r="C29" s="75">
        <v>46053</v>
      </c>
      <c r="D29" s="74" t="s">
        <v>134</v>
      </c>
      <c r="E29" s="12" t="s">
        <v>79</v>
      </c>
      <c r="F29" s="74" t="s">
        <v>135</v>
      </c>
      <c r="G29" s="74" t="s">
        <v>136</v>
      </c>
      <c r="H29" s="118">
        <v>5</v>
      </c>
      <c r="I29" s="12">
        <v>1</v>
      </c>
      <c r="J29" s="12" t="s">
        <v>66</v>
      </c>
      <c r="K29" s="12" t="s">
        <v>67</v>
      </c>
      <c r="L29" s="12" t="s">
        <v>67</v>
      </c>
      <c r="M29" s="12" t="s">
        <v>67</v>
      </c>
    </row>
    <row r="30" ht="16.5" spans="1:22">
      <c r="A30" s="74" t="s">
        <v>37</v>
      </c>
      <c r="B30" s="12" t="s">
        <v>23</v>
      </c>
      <c r="C30" s="75">
        <v>46053</v>
      </c>
      <c r="D30" s="74" t="s">
        <v>137</v>
      </c>
      <c r="E30" s="12" t="s">
        <v>109</v>
      </c>
      <c r="F30" s="74" t="s">
        <v>138</v>
      </c>
      <c r="G30" s="74" t="s">
        <v>139</v>
      </c>
      <c r="H30" s="118">
        <v>5</v>
      </c>
      <c r="I30" s="12">
        <v>3</v>
      </c>
      <c r="J30" s="12" t="s">
        <v>66</v>
      </c>
      <c r="K30" s="12" t="s">
        <v>67</v>
      </c>
      <c r="L30" s="12" t="s">
        <v>67</v>
      </c>
      <c r="M30" s="12" t="s">
        <v>67</v>
      </c>
    </row>
    <row r="31" ht="16.5" spans="1:22">
      <c r="A31" s="74" t="s">
        <v>31</v>
      </c>
      <c r="B31" s="12" t="s">
        <v>23</v>
      </c>
      <c r="C31" s="75">
        <v>46053</v>
      </c>
      <c r="D31" s="74" t="s">
        <v>134</v>
      </c>
      <c r="E31" s="12" t="s">
        <v>79</v>
      </c>
      <c r="F31" s="74" t="s">
        <v>135</v>
      </c>
      <c r="G31" s="74" t="s">
        <v>140</v>
      </c>
      <c r="H31" s="118">
        <v>5</v>
      </c>
      <c r="I31" s="12">
        <v>1</v>
      </c>
      <c r="J31" s="12" t="s">
        <v>66</v>
      </c>
      <c r="K31" s="12" t="s">
        <v>67</v>
      </c>
      <c r="L31" s="12" t="s">
        <v>67</v>
      </c>
      <c r="M31" s="12" t="s">
        <v>67</v>
      </c>
    </row>
    <row r="32" ht="16.5" spans="1:22">
      <c r="A32" s="74" t="s">
        <v>37</v>
      </c>
      <c r="B32" s="12" t="s">
        <v>23</v>
      </c>
      <c r="C32" s="75">
        <v>46053</v>
      </c>
      <c r="D32" s="74" t="s">
        <v>108</v>
      </c>
      <c r="E32" s="12" t="s">
        <v>109</v>
      </c>
      <c r="F32" s="74" t="s">
        <v>110</v>
      </c>
      <c r="G32" s="74" t="s">
        <v>141</v>
      </c>
      <c r="H32" s="118">
        <v>5</v>
      </c>
      <c r="I32" s="12">
        <v>5</v>
      </c>
      <c r="J32" s="12" t="s">
        <v>66</v>
      </c>
      <c r="K32" s="12" t="s">
        <v>67</v>
      </c>
      <c r="L32" s="12" t="s">
        <v>67</v>
      </c>
      <c r="M32" s="12" t="s">
        <v>67</v>
      </c>
    </row>
    <row r="33" ht="16.5" spans="1:13">
      <c r="A33" s="74" t="s">
        <v>31</v>
      </c>
      <c r="B33" s="12" t="s">
        <v>23</v>
      </c>
      <c r="C33" s="75">
        <v>46053</v>
      </c>
      <c r="D33" s="74" t="s">
        <v>134</v>
      </c>
      <c r="E33" s="12" t="s">
        <v>79</v>
      </c>
      <c r="F33" s="74" t="s">
        <v>135</v>
      </c>
      <c r="G33" s="74" t="s">
        <v>142</v>
      </c>
      <c r="H33" s="118">
        <v>5</v>
      </c>
      <c r="I33" s="12">
        <v>1</v>
      </c>
      <c r="J33" s="12" t="s">
        <v>66</v>
      </c>
      <c r="K33" s="12" t="s">
        <v>67</v>
      </c>
      <c r="L33" s="12" t="s">
        <v>67</v>
      </c>
      <c r="M33" s="12" t="s">
        <v>67</v>
      </c>
    </row>
    <row r="34" ht="16.5" spans="1:13">
      <c r="A34" s="74" t="s">
        <v>38</v>
      </c>
      <c r="B34" s="12" t="s">
        <v>23</v>
      </c>
      <c r="C34" s="75">
        <v>46053</v>
      </c>
      <c r="D34" s="74" t="s">
        <v>143</v>
      </c>
      <c r="E34" s="12" t="s">
        <v>144</v>
      </c>
      <c r="F34" s="74" t="s">
        <v>145</v>
      </c>
      <c r="G34" s="74" t="s">
        <v>146</v>
      </c>
      <c r="H34" s="118">
        <v>5</v>
      </c>
      <c r="I34" s="12">
        <v>2</v>
      </c>
      <c r="J34" s="12" t="s">
        <v>66</v>
      </c>
      <c r="K34" s="12" t="s">
        <v>67</v>
      </c>
      <c r="L34" s="12" t="s">
        <v>67</v>
      </c>
      <c r="M34" s="12" t="s">
        <v>67</v>
      </c>
    </row>
    <row r="35" ht="16.5" spans="1:13">
      <c r="A35" s="74" t="s">
        <v>38</v>
      </c>
      <c r="B35" s="12" t="s">
        <v>23</v>
      </c>
      <c r="C35" s="75">
        <v>46053</v>
      </c>
      <c r="D35" s="74" t="s">
        <v>147</v>
      </c>
      <c r="E35" s="12" t="s">
        <v>148</v>
      </c>
      <c r="F35" s="74" t="s">
        <v>149</v>
      </c>
      <c r="G35" s="74" t="s">
        <v>150</v>
      </c>
      <c r="H35" s="118">
        <v>5</v>
      </c>
      <c r="I35" s="12">
        <v>3</v>
      </c>
      <c r="J35" s="12" t="s">
        <v>66</v>
      </c>
      <c r="K35" s="12" t="s">
        <v>67</v>
      </c>
      <c r="L35" s="12" t="s">
        <v>67</v>
      </c>
      <c r="M35" s="12" t="s">
        <v>67</v>
      </c>
    </row>
    <row r="36" ht="16.5" spans="1:13">
      <c r="A36" s="74" t="s">
        <v>37</v>
      </c>
      <c r="B36" s="12" t="s">
        <v>23</v>
      </c>
      <c r="C36" s="75">
        <v>46053</v>
      </c>
      <c r="D36" s="74" t="s">
        <v>151</v>
      </c>
      <c r="E36" s="12" t="s">
        <v>152</v>
      </c>
      <c r="F36" s="74" t="s">
        <v>153</v>
      </c>
      <c r="G36" s="74" t="s">
        <v>154</v>
      </c>
      <c r="H36" s="118">
        <v>5</v>
      </c>
      <c r="I36" s="12">
        <v>4</v>
      </c>
      <c r="J36" s="12" t="s">
        <v>66</v>
      </c>
      <c r="K36" s="12" t="s">
        <v>67</v>
      </c>
      <c r="L36" s="12" t="s">
        <v>67</v>
      </c>
      <c r="M36" s="12" t="s">
        <v>67</v>
      </c>
    </row>
    <row r="37" ht="16.5" spans="1:13">
      <c r="A37" s="74" t="s">
        <v>38</v>
      </c>
      <c r="B37" s="12" t="s">
        <v>23</v>
      </c>
      <c r="C37" s="75">
        <v>46053</v>
      </c>
      <c r="D37" s="74" t="s">
        <v>155</v>
      </c>
      <c r="E37" s="12" t="s">
        <v>144</v>
      </c>
      <c r="F37" s="74" t="s">
        <v>156</v>
      </c>
      <c r="G37" s="74" t="s">
        <v>157</v>
      </c>
      <c r="H37" s="118">
        <v>5</v>
      </c>
      <c r="I37" s="12">
        <v>4</v>
      </c>
      <c r="J37" s="12" t="s">
        <v>66</v>
      </c>
      <c r="K37" s="12" t="s">
        <v>67</v>
      </c>
      <c r="L37" s="12" t="s">
        <v>67</v>
      </c>
      <c r="M37" s="12" t="s">
        <v>67</v>
      </c>
    </row>
    <row r="38" ht="16.5" spans="1:13">
      <c r="A38" s="74" t="s">
        <v>24</v>
      </c>
      <c r="B38" s="12" t="s">
        <v>23</v>
      </c>
      <c r="C38" s="75">
        <v>46053</v>
      </c>
      <c r="D38" s="74" t="s">
        <v>100</v>
      </c>
      <c r="E38" s="12" t="s">
        <v>101</v>
      </c>
      <c r="F38" s="74" t="s">
        <v>158</v>
      </c>
      <c r="G38" s="74" t="s">
        <v>159</v>
      </c>
      <c r="H38" s="118">
        <v>5</v>
      </c>
      <c r="I38" s="12">
        <v>4</v>
      </c>
      <c r="J38" s="12" t="s">
        <v>66</v>
      </c>
      <c r="K38" s="12" t="s">
        <v>67</v>
      </c>
      <c r="L38" s="12" t="s">
        <v>67</v>
      </c>
      <c r="M38" s="12" t="s">
        <v>67</v>
      </c>
    </row>
    <row r="39" ht="16.5" spans="1:13">
      <c r="A39" s="74" t="s">
        <v>31</v>
      </c>
      <c r="B39" s="12" t="s">
        <v>23</v>
      </c>
      <c r="C39" s="75">
        <v>46053</v>
      </c>
      <c r="D39" s="74" t="s">
        <v>160</v>
      </c>
      <c r="E39" s="12" t="s">
        <v>79</v>
      </c>
      <c r="F39" s="74" t="s">
        <v>161</v>
      </c>
      <c r="G39" s="74" t="s">
        <v>162</v>
      </c>
      <c r="H39" s="118">
        <v>5</v>
      </c>
      <c r="I39" s="12">
        <v>3</v>
      </c>
      <c r="J39" s="12" t="s">
        <v>66</v>
      </c>
      <c r="K39" s="12" t="s">
        <v>67</v>
      </c>
      <c r="L39" s="12" t="s">
        <v>67</v>
      </c>
      <c r="M39" s="12" t="s">
        <v>67</v>
      </c>
    </row>
    <row r="40" ht="16.5" spans="1:13">
      <c r="A40" s="74" t="s">
        <v>24</v>
      </c>
      <c r="B40" s="12" t="s">
        <v>23</v>
      </c>
      <c r="C40" s="75">
        <v>46053</v>
      </c>
      <c r="D40" s="74" t="s">
        <v>100</v>
      </c>
      <c r="E40" s="12" t="s">
        <v>101</v>
      </c>
      <c r="F40" s="74" t="s">
        <v>158</v>
      </c>
      <c r="G40" s="74" t="s">
        <v>163</v>
      </c>
      <c r="H40" s="118">
        <v>5</v>
      </c>
      <c r="I40" s="12">
        <v>4</v>
      </c>
      <c r="J40" s="12" t="s">
        <v>66</v>
      </c>
      <c r="K40" s="12" t="s">
        <v>67</v>
      </c>
      <c r="L40" s="12" t="s">
        <v>67</v>
      </c>
      <c r="M40" s="12" t="s">
        <v>67</v>
      </c>
    </row>
    <row r="41" ht="16.5" spans="1:13">
      <c r="A41" s="74" t="s">
        <v>31</v>
      </c>
      <c r="B41" s="12" t="s">
        <v>23</v>
      </c>
      <c r="C41" s="75">
        <v>46053</v>
      </c>
      <c r="D41" s="74" t="s">
        <v>160</v>
      </c>
      <c r="E41" s="12" t="s">
        <v>79</v>
      </c>
      <c r="F41" s="74" t="s">
        <v>161</v>
      </c>
      <c r="G41" s="74" t="s">
        <v>164</v>
      </c>
      <c r="H41" s="118">
        <v>5</v>
      </c>
      <c r="I41" s="12">
        <v>3</v>
      </c>
      <c r="J41" s="12" t="s">
        <v>66</v>
      </c>
      <c r="K41" s="12" t="s">
        <v>67</v>
      </c>
      <c r="L41" s="12" t="s">
        <v>67</v>
      </c>
      <c r="M41" s="12" t="s">
        <v>67</v>
      </c>
    </row>
    <row r="42" ht="16.5" spans="1:13">
      <c r="A42" s="74" t="s">
        <v>32</v>
      </c>
      <c r="B42" s="12" t="s">
        <v>23</v>
      </c>
      <c r="C42" s="75">
        <v>46053</v>
      </c>
      <c r="D42" s="74" t="s">
        <v>165</v>
      </c>
      <c r="E42" s="12" t="s">
        <v>105</v>
      </c>
      <c r="F42" s="74" t="s">
        <v>166</v>
      </c>
      <c r="G42" s="74" t="s">
        <v>97</v>
      </c>
      <c r="H42" s="118">
        <v>5</v>
      </c>
      <c r="I42" s="12">
        <v>2</v>
      </c>
      <c r="J42" s="12" t="s">
        <v>66</v>
      </c>
      <c r="K42" s="12" t="s">
        <v>67</v>
      </c>
      <c r="L42" s="12" t="s">
        <v>67</v>
      </c>
      <c r="M42" s="12" t="s">
        <v>67</v>
      </c>
    </row>
    <row r="43" ht="16.5" spans="1:13">
      <c r="A43" s="74" t="s">
        <v>38</v>
      </c>
      <c r="B43" s="12" t="s">
        <v>23</v>
      </c>
      <c r="C43" s="75">
        <v>46053</v>
      </c>
      <c r="D43" s="74" t="s">
        <v>167</v>
      </c>
      <c r="E43" s="12" t="s">
        <v>168</v>
      </c>
      <c r="F43" s="74" t="s">
        <v>169</v>
      </c>
      <c r="G43" s="74" t="s">
        <v>170</v>
      </c>
      <c r="H43" s="118">
        <v>5</v>
      </c>
      <c r="I43" s="12">
        <v>4</v>
      </c>
      <c r="J43" s="12" t="s">
        <v>66</v>
      </c>
      <c r="K43" s="12" t="s">
        <v>67</v>
      </c>
      <c r="L43" s="12" t="s">
        <v>67</v>
      </c>
      <c r="M43" s="12" t="s">
        <v>67</v>
      </c>
    </row>
    <row r="44" ht="16.5" spans="1:13">
      <c r="A44" s="74" t="s">
        <v>38</v>
      </c>
      <c r="B44" s="12" t="s">
        <v>23</v>
      </c>
      <c r="C44" s="75">
        <v>46053</v>
      </c>
      <c r="D44" s="74" t="s">
        <v>69</v>
      </c>
      <c r="E44" s="12" t="s">
        <v>70</v>
      </c>
      <c r="F44" s="74" t="s">
        <v>71</v>
      </c>
      <c r="G44" s="74" t="s">
        <v>171</v>
      </c>
      <c r="H44" s="118">
        <v>5</v>
      </c>
      <c r="I44" s="12">
        <v>5</v>
      </c>
      <c r="J44" s="12" t="s">
        <v>66</v>
      </c>
      <c r="K44" s="12" t="s">
        <v>67</v>
      </c>
      <c r="L44" s="12" t="s">
        <v>67</v>
      </c>
      <c r="M44" s="12" t="s">
        <v>67</v>
      </c>
    </row>
    <row r="45" ht="16.5" spans="1:13">
      <c r="A45" s="74" t="s">
        <v>36</v>
      </c>
      <c r="B45" s="12" t="s">
        <v>23</v>
      </c>
      <c r="C45" s="75">
        <v>46053</v>
      </c>
      <c r="D45" s="74" t="s">
        <v>172</v>
      </c>
      <c r="E45" s="12" t="s">
        <v>173</v>
      </c>
      <c r="F45" s="74" t="s">
        <v>174</v>
      </c>
      <c r="G45" s="74" t="s">
        <v>175</v>
      </c>
      <c r="H45" s="118">
        <v>5</v>
      </c>
      <c r="I45" s="12">
        <v>3</v>
      </c>
      <c r="J45" s="12" t="s">
        <v>66</v>
      </c>
      <c r="K45" s="12" t="s">
        <v>67</v>
      </c>
      <c r="L45" s="12" t="s">
        <v>67</v>
      </c>
      <c r="M45" s="12" t="s">
        <v>67</v>
      </c>
    </row>
    <row r="46" ht="16.5" spans="1:13">
      <c r="A46" s="74" t="s">
        <v>38</v>
      </c>
      <c r="B46" s="12" t="s">
        <v>23</v>
      </c>
      <c r="C46" s="75">
        <v>46053</v>
      </c>
      <c r="D46" s="74" t="s">
        <v>176</v>
      </c>
      <c r="E46" s="12" t="s">
        <v>75</v>
      </c>
      <c r="F46" s="74" t="s">
        <v>177</v>
      </c>
      <c r="G46" s="74" t="s">
        <v>178</v>
      </c>
      <c r="H46" s="118">
        <v>5</v>
      </c>
      <c r="I46" s="12">
        <v>3</v>
      </c>
      <c r="J46" s="12" t="s">
        <v>66</v>
      </c>
      <c r="K46" s="12" t="s">
        <v>67</v>
      </c>
      <c r="L46" s="12" t="s">
        <v>67</v>
      </c>
      <c r="M46" s="12" t="s">
        <v>67</v>
      </c>
    </row>
    <row r="47" ht="16.5" spans="1:13">
      <c r="A47" s="74" t="s">
        <v>32</v>
      </c>
      <c r="B47" s="12" t="s">
        <v>23</v>
      </c>
      <c r="C47" s="75">
        <v>46053</v>
      </c>
      <c r="D47" s="74" t="s">
        <v>179</v>
      </c>
      <c r="E47" s="12" t="s">
        <v>105</v>
      </c>
      <c r="F47" s="74" t="s">
        <v>180</v>
      </c>
      <c r="G47" s="74" t="s">
        <v>159</v>
      </c>
      <c r="H47" s="118">
        <v>4.33333333333333</v>
      </c>
      <c r="I47" s="12">
        <v>4</v>
      </c>
      <c r="J47" s="12" t="s">
        <v>66</v>
      </c>
      <c r="K47" s="12" t="s">
        <v>67</v>
      </c>
      <c r="L47" s="12" t="s">
        <v>67</v>
      </c>
      <c r="M47" s="12" t="s">
        <v>67</v>
      </c>
    </row>
    <row r="48" ht="16.5" spans="1:13">
      <c r="A48" s="74" t="s">
        <v>32</v>
      </c>
      <c r="B48" s="12" t="s">
        <v>23</v>
      </c>
      <c r="C48" s="75">
        <v>46053</v>
      </c>
      <c r="D48" s="74" t="s">
        <v>179</v>
      </c>
      <c r="E48" s="12" t="s">
        <v>105</v>
      </c>
      <c r="F48" s="74" t="s">
        <v>180</v>
      </c>
      <c r="G48" s="74" t="s">
        <v>181</v>
      </c>
      <c r="H48" s="118">
        <v>4.53333333333333</v>
      </c>
      <c r="I48" s="12">
        <v>4</v>
      </c>
      <c r="J48" s="12" t="s">
        <v>66</v>
      </c>
      <c r="K48" s="12" t="s">
        <v>67</v>
      </c>
      <c r="L48" s="12" t="s">
        <v>67</v>
      </c>
      <c r="M48" s="12" t="s">
        <v>67</v>
      </c>
    </row>
    <row r="49" ht="16.5" spans="1:13">
      <c r="A49" s="74" t="s">
        <v>32</v>
      </c>
      <c r="B49" s="12" t="s">
        <v>23</v>
      </c>
      <c r="C49" s="75">
        <v>46053</v>
      </c>
      <c r="D49" s="74" t="s">
        <v>179</v>
      </c>
      <c r="E49" s="12" t="s">
        <v>105</v>
      </c>
      <c r="F49" s="74" t="s">
        <v>182</v>
      </c>
      <c r="G49" s="74" t="s">
        <v>183</v>
      </c>
      <c r="H49" s="118">
        <v>4.4</v>
      </c>
      <c r="I49" s="12">
        <v>4</v>
      </c>
      <c r="J49" s="12" t="s">
        <v>66</v>
      </c>
      <c r="K49" s="12" t="s">
        <v>67</v>
      </c>
      <c r="L49" s="12" t="s">
        <v>67</v>
      </c>
      <c r="M49" s="12" t="s">
        <v>67</v>
      </c>
    </row>
    <row r="50" ht="16.5" spans="1:13">
      <c r="A50" s="74" t="s">
        <v>38</v>
      </c>
      <c r="B50" s="12" t="s">
        <v>23</v>
      </c>
      <c r="C50" s="75">
        <v>46052</v>
      </c>
      <c r="D50" s="74" t="s">
        <v>74</v>
      </c>
      <c r="E50" s="12" t="s">
        <v>75</v>
      </c>
      <c r="F50" s="74" t="s">
        <v>76</v>
      </c>
      <c r="G50" s="74" t="s">
        <v>184</v>
      </c>
      <c r="H50" s="118">
        <v>5</v>
      </c>
      <c r="I50" s="12">
        <v>4</v>
      </c>
      <c r="J50" s="12" t="s">
        <v>66</v>
      </c>
      <c r="K50" s="12" t="s">
        <v>67</v>
      </c>
      <c r="L50" s="12" t="s">
        <v>67</v>
      </c>
      <c r="M50" s="12" t="s">
        <v>67</v>
      </c>
    </row>
    <row r="51" ht="16.5" spans="1:13">
      <c r="A51" s="74" t="s">
        <v>38</v>
      </c>
      <c r="B51" s="12" t="s">
        <v>23</v>
      </c>
      <c r="C51" s="75">
        <v>46052</v>
      </c>
      <c r="D51" s="74" t="s">
        <v>185</v>
      </c>
      <c r="E51" s="12" t="s">
        <v>144</v>
      </c>
      <c r="F51" s="74" t="s">
        <v>186</v>
      </c>
      <c r="G51" s="74" t="s">
        <v>187</v>
      </c>
      <c r="H51" s="118">
        <v>5</v>
      </c>
      <c r="I51" s="12">
        <v>6</v>
      </c>
      <c r="J51" s="12" t="s">
        <v>66</v>
      </c>
      <c r="K51" s="12" t="s">
        <v>67</v>
      </c>
      <c r="L51" s="12" t="s">
        <v>67</v>
      </c>
      <c r="M51" s="12" t="s">
        <v>67</v>
      </c>
    </row>
    <row r="52" ht="16.5" spans="1:13">
      <c r="A52" s="74" t="s">
        <v>29</v>
      </c>
      <c r="B52" s="12" t="s">
        <v>23</v>
      </c>
      <c r="C52" s="75">
        <v>46052</v>
      </c>
      <c r="D52" s="74" t="s">
        <v>129</v>
      </c>
      <c r="E52" s="12" t="s">
        <v>130</v>
      </c>
      <c r="F52" s="74" t="s">
        <v>131</v>
      </c>
      <c r="G52" s="74" t="s">
        <v>188</v>
      </c>
      <c r="H52" s="118">
        <v>5</v>
      </c>
      <c r="I52" s="12">
        <v>2</v>
      </c>
      <c r="J52" s="12" t="s">
        <v>66</v>
      </c>
      <c r="K52" s="12" t="s">
        <v>67</v>
      </c>
      <c r="L52" s="12" t="s">
        <v>67</v>
      </c>
      <c r="M52" s="12" t="s">
        <v>67</v>
      </c>
    </row>
    <row r="53" ht="16.5" spans="1:13">
      <c r="A53" s="74" t="s">
        <v>31</v>
      </c>
      <c r="B53" s="12" t="s">
        <v>23</v>
      </c>
      <c r="C53" s="75">
        <v>46052</v>
      </c>
      <c r="D53" s="74" t="s">
        <v>189</v>
      </c>
      <c r="E53" s="12" t="s">
        <v>79</v>
      </c>
      <c r="F53" s="74" t="s">
        <v>190</v>
      </c>
      <c r="G53" s="74" t="s">
        <v>191</v>
      </c>
      <c r="H53" s="118">
        <v>5</v>
      </c>
      <c r="I53" s="12">
        <v>8</v>
      </c>
      <c r="J53" s="12" t="s">
        <v>66</v>
      </c>
      <c r="K53" s="12" t="s">
        <v>67</v>
      </c>
      <c r="L53" s="12" t="s">
        <v>67</v>
      </c>
      <c r="M53" s="12" t="s">
        <v>67</v>
      </c>
    </row>
    <row r="54" ht="16.5" spans="1:13">
      <c r="A54" s="74" t="s">
        <v>32</v>
      </c>
      <c r="B54" s="12" t="s">
        <v>23</v>
      </c>
      <c r="C54" s="75">
        <v>46052</v>
      </c>
      <c r="D54" s="74" t="s">
        <v>192</v>
      </c>
      <c r="E54" s="12" t="s">
        <v>105</v>
      </c>
      <c r="F54" s="74" t="s">
        <v>193</v>
      </c>
      <c r="G54" s="74" t="s">
        <v>194</v>
      </c>
      <c r="H54" s="118">
        <v>5</v>
      </c>
      <c r="I54" s="12">
        <v>3</v>
      </c>
      <c r="J54" s="12" t="s">
        <v>66</v>
      </c>
      <c r="K54" s="12" t="s">
        <v>67</v>
      </c>
      <c r="L54" s="12" t="s">
        <v>67</v>
      </c>
      <c r="M54" s="12" t="s">
        <v>67</v>
      </c>
    </row>
    <row r="55" ht="16.5" spans="1:13">
      <c r="A55" s="74" t="s">
        <v>32</v>
      </c>
      <c r="B55" s="12" t="s">
        <v>23</v>
      </c>
      <c r="C55" s="75">
        <v>46052</v>
      </c>
      <c r="D55" s="74" t="s">
        <v>195</v>
      </c>
      <c r="E55" s="12" t="s">
        <v>105</v>
      </c>
      <c r="F55" s="74" t="s">
        <v>196</v>
      </c>
      <c r="G55" s="74" t="s">
        <v>197</v>
      </c>
      <c r="H55" s="118">
        <v>5</v>
      </c>
      <c r="I55" s="12">
        <v>3</v>
      </c>
      <c r="J55" s="12" t="s">
        <v>66</v>
      </c>
      <c r="K55" s="12" t="s">
        <v>67</v>
      </c>
      <c r="L55" s="12" t="s">
        <v>67</v>
      </c>
      <c r="M55" s="12" t="s">
        <v>67</v>
      </c>
    </row>
    <row r="56" ht="16.5" spans="1:13">
      <c r="A56" s="74" t="s">
        <v>31</v>
      </c>
      <c r="B56" s="12" t="s">
        <v>23</v>
      </c>
      <c r="C56" s="75">
        <v>46052</v>
      </c>
      <c r="D56" s="74" t="s">
        <v>189</v>
      </c>
      <c r="E56" s="12" t="s">
        <v>79</v>
      </c>
      <c r="F56" s="74" t="s">
        <v>190</v>
      </c>
      <c r="G56" s="74" t="s">
        <v>198</v>
      </c>
      <c r="H56" s="118">
        <v>5</v>
      </c>
      <c r="I56" s="12">
        <v>5</v>
      </c>
      <c r="J56" s="12" t="s">
        <v>66</v>
      </c>
      <c r="K56" s="12" t="s">
        <v>67</v>
      </c>
      <c r="L56" s="12" t="s">
        <v>67</v>
      </c>
      <c r="M56" s="12" t="s">
        <v>67</v>
      </c>
    </row>
    <row r="57" ht="16.5" spans="1:13">
      <c r="A57" s="74" t="s">
        <v>31</v>
      </c>
      <c r="B57" s="12" t="s">
        <v>23</v>
      </c>
      <c r="C57" s="75">
        <v>46052</v>
      </c>
      <c r="D57" s="74" t="s">
        <v>189</v>
      </c>
      <c r="E57" s="12" t="s">
        <v>79</v>
      </c>
      <c r="F57" s="74" t="s">
        <v>190</v>
      </c>
      <c r="G57" s="74" t="s">
        <v>199</v>
      </c>
      <c r="H57" s="118">
        <v>5</v>
      </c>
      <c r="I57" s="12">
        <v>5</v>
      </c>
      <c r="J57" s="12" t="s">
        <v>66</v>
      </c>
      <c r="K57" s="12" t="s">
        <v>67</v>
      </c>
      <c r="L57" s="12" t="s">
        <v>67</v>
      </c>
      <c r="M57" s="12" t="s">
        <v>67</v>
      </c>
    </row>
    <row r="58" ht="16.5" spans="1:13">
      <c r="A58" s="74" t="s">
        <v>38</v>
      </c>
      <c r="B58" s="12" t="s">
        <v>23</v>
      </c>
      <c r="C58" s="75">
        <v>46052</v>
      </c>
      <c r="D58" s="74" t="s">
        <v>200</v>
      </c>
      <c r="E58" s="12" t="s">
        <v>75</v>
      </c>
      <c r="F58" s="74" t="s">
        <v>201</v>
      </c>
      <c r="G58" s="74" t="s">
        <v>202</v>
      </c>
      <c r="H58" s="118">
        <v>5</v>
      </c>
      <c r="I58" s="12">
        <v>4</v>
      </c>
      <c r="J58" s="12" t="s">
        <v>66</v>
      </c>
      <c r="K58" s="12" t="s">
        <v>67</v>
      </c>
      <c r="L58" s="12" t="s">
        <v>67</v>
      </c>
      <c r="M58" s="12" t="s">
        <v>67</v>
      </c>
    </row>
    <row r="59" ht="16.5" spans="1:13">
      <c r="A59" s="74" t="s">
        <v>37</v>
      </c>
      <c r="B59" s="12" t="s">
        <v>23</v>
      </c>
      <c r="C59" s="75">
        <v>46052</v>
      </c>
      <c r="D59" s="74" t="s">
        <v>203</v>
      </c>
      <c r="E59" s="12" t="s">
        <v>109</v>
      </c>
      <c r="F59" s="74" t="s">
        <v>204</v>
      </c>
      <c r="G59" s="74" t="s">
        <v>97</v>
      </c>
      <c r="H59" s="118">
        <v>5</v>
      </c>
      <c r="I59" s="12">
        <v>2</v>
      </c>
      <c r="J59" s="12" t="s">
        <v>66</v>
      </c>
      <c r="K59" s="12" t="s">
        <v>67</v>
      </c>
      <c r="L59" s="12" t="s">
        <v>67</v>
      </c>
      <c r="M59" s="12" t="s">
        <v>67</v>
      </c>
    </row>
    <row r="60" ht="16.5" spans="1:13">
      <c r="A60" s="74" t="s">
        <v>38</v>
      </c>
      <c r="B60" s="12" t="s">
        <v>23</v>
      </c>
      <c r="C60" s="75">
        <v>46052</v>
      </c>
      <c r="D60" s="74" t="s">
        <v>205</v>
      </c>
      <c r="E60" s="12" t="s">
        <v>168</v>
      </c>
      <c r="F60" s="74" t="s">
        <v>206</v>
      </c>
      <c r="G60" s="74" t="s">
        <v>207</v>
      </c>
      <c r="H60" s="118">
        <v>5</v>
      </c>
      <c r="I60" s="12">
        <v>2</v>
      </c>
      <c r="J60" s="12" t="s">
        <v>66</v>
      </c>
      <c r="K60" s="12" t="s">
        <v>67</v>
      </c>
      <c r="L60" s="12" t="s">
        <v>67</v>
      </c>
      <c r="M60" s="12" t="s">
        <v>67</v>
      </c>
    </row>
    <row r="61" ht="16.5" spans="1:13">
      <c r="A61" s="74" t="s">
        <v>38</v>
      </c>
      <c r="B61" s="12" t="s">
        <v>23</v>
      </c>
      <c r="C61" s="75">
        <v>46052</v>
      </c>
      <c r="D61" s="74" t="s">
        <v>95</v>
      </c>
      <c r="E61" s="12" t="s">
        <v>63</v>
      </c>
      <c r="F61" s="74" t="s">
        <v>96</v>
      </c>
      <c r="G61" s="74" t="s">
        <v>208</v>
      </c>
      <c r="H61" s="118">
        <v>5</v>
      </c>
      <c r="I61" s="12">
        <v>5</v>
      </c>
      <c r="J61" s="12" t="s">
        <v>66</v>
      </c>
      <c r="K61" s="12" t="s">
        <v>67</v>
      </c>
      <c r="L61" s="12" t="s">
        <v>67</v>
      </c>
      <c r="M61" s="12" t="s">
        <v>67</v>
      </c>
    </row>
    <row r="62" ht="16.5" spans="1:13">
      <c r="A62" s="74" t="s">
        <v>38</v>
      </c>
      <c r="B62" s="12" t="s">
        <v>23</v>
      </c>
      <c r="C62" s="75">
        <v>46045</v>
      </c>
      <c r="D62" s="74" t="s">
        <v>82</v>
      </c>
      <c r="E62" s="12" t="s">
        <v>70</v>
      </c>
      <c r="F62" s="74" t="s">
        <v>209</v>
      </c>
      <c r="G62" s="74" t="s">
        <v>210</v>
      </c>
      <c r="H62" s="118">
        <v>5</v>
      </c>
      <c r="I62" s="12">
        <v>1</v>
      </c>
      <c r="J62" s="12" t="s">
        <v>211</v>
      </c>
      <c r="K62" s="12" t="s">
        <v>212</v>
      </c>
      <c r="L62" s="12" t="s">
        <v>67</v>
      </c>
      <c r="M62" s="12" t="s">
        <v>67</v>
      </c>
    </row>
    <row r="63" ht="16.5" spans="1:13">
      <c r="A63" s="74" t="s">
        <v>38</v>
      </c>
      <c r="B63" s="12" t="s">
        <v>23</v>
      </c>
      <c r="C63" s="75">
        <v>46052</v>
      </c>
      <c r="D63" s="74" t="s">
        <v>200</v>
      </c>
      <c r="E63" s="12" t="s">
        <v>75</v>
      </c>
      <c r="F63" s="74" t="s">
        <v>201</v>
      </c>
      <c r="G63" s="74" t="s">
        <v>213</v>
      </c>
      <c r="H63" s="118">
        <v>5</v>
      </c>
      <c r="I63" s="12">
        <v>4</v>
      </c>
      <c r="J63" s="12" t="s">
        <v>66</v>
      </c>
      <c r="K63" s="12" t="s">
        <v>67</v>
      </c>
      <c r="L63" s="12" t="s">
        <v>67</v>
      </c>
      <c r="M63" s="12" t="s">
        <v>67</v>
      </c>
    </row>
    <row r="64" ht="16.5" spans="1:13">
      <c r="A64" s="74" t="s">
        <v>36</v>
      </c>
      <c r="B64" s="12" t="s">
        <v>23</v>
      </c>
      <c r="C64" s="75">
        <v>46052</v>
      </c>
      <c r="D64" s="74" t="s">
        <v>172</v>
      </c>
      <c r="E64" s="12" t="s">
        <v>173</v>
      </c>
      <c r="F64" s="74" t="s">
        <v>174</v>
      </c>
      <c r="G64" s="74" t="s">
        <v>214</v>
      </c>
      <c r="H64" s="118">
        <v>5</v>
      </c>
      <c r="I64" s="12">
        <v>3</v>
      </c>
      <c r="J64" s="12" t="s">
        <v>66</v>
      </c>
      <c r="K64" s="12" t="s">
        <v>67</v>
      </c>
      <c r="L64" s="12" t="s">
        <v>67</v>
      </c>
      <c r="M64" s="12" t="s">
        <v>67</v>
      </c>
    </row>
    <row r="65" ht="16.5" spans="1:13">
      <c r="A65" s="74" t="s">
        <v>36</v>
      </c>
      <c r="B65" s="12" t="s">
        <v>23</v>
      </c>
      <c r="C65" s="75">
        <v>46052</v>
      </c>
      <c r="D65" s="74" t="s">
        <v>172</v>
      </c>
      <c r="E65" s="12" t="s">
        <v>173</v>
      </c>
      <c r="F65" s="74" t="s">
        <v>174</v>
      </c>
      <c r="G65" s="74" t="s">
        <v>215</v>
      </c>
      <c r="H65" s="118">
        <v>5</v>
      </c>
      <c r="I65" s="12">
        <v>3</v>
      </c>
      <c r="J65" s="12" t="s">
        <v>66</v>
      </c>
      <c r="K65" s="12" t="s">
        <v>67</v>
      </c>
      <c r="L65" s="12" t="s">
        <v>67</v>
      </c>
      <c r="M65" s="12" t="s">
        <v>67</v>
      </c>
    </row>
    <row r="66" ht="16.5" spans="1:13">
      <c r="A66" s="74" t="s">
        <v>38</v>
      </c>
      <c r="B66" s="12" t="s">
        <v>23</v>
      </c>
      <c r="C66" s="75">
        <v>46052</v>
      </c>
      <c r="D66" s="74" t="s">
        <v>216</v>
      </c>
      <c r="E66" s="12" t="s">
        <v>144</v>
      </c>
      <c r="F66" s="74" t="s">
        <v>217</v>
      </c>
      <c r="G66" s="74" t="s">
        <v>159</v>
      </c>
      <c r="H66" s="118">
        <v>5</v>
      </c>
      <c r="I66" s="12">
        <v>5</v>
      </c>
      <c r="J66" s="12" t="s">
        <v>66</v>
      </c>
      <c r="K66" s="12" t="s">
        <v>67</v>
      </c>
      <c r="L66" s="12" t="s">
        <v>67</v>
      </c>
      <c r="M66" s="12" t="s">
        <v>67</v>
      </c>
    </row>
    <row r="67" ht="16.5" spans="1:13">
      <c r="A67" s="74" t="s">
        <v>38</v>
      </c>
      <c r="B67" s="12" t="s">
        <v>23</v>
      </c>
      <c r="C67" s="75">
        <v>46052</v>
      </c>
      <c r="D67" s="74" t="s">
        <v>200</v>
      </c>
      <c r="E67" s="12" t="s">
        <v>75</v>
      </c>
      <c r="F67" s="74" t="s">
        <v>201</v>
      </c>
      <c r="G67" s="74" t="s">
        <v>218</v>
      </c>
      <c r="H67" s="118">
        <v>5</v>
      </c>
      <c r="I67" s="12">
        <v>4</v>
      </c>
      <c r="J67" s="12" t="s">
        <v>66</v>
      </c>
      <c r="K67" s="12" t="s">
        <v>67</v>
      </c>
      <c r="L67" s="12" t="s">
        <v>67</v>
      </c>
      <c r="M67" s="12" t="s">
        <v>67</v>
      </c>
    </row>
    <row r="68" ht="16.5" spans="1:13">
      <c r="A68" s="74" t="s">
        <v>38</v>
      </c>
      <c r="B68" s="12" t="s">
        <v>23</v>
      </c>
      <c r="C68" s="75">
        <v>46052</v>
      </c>
      <c r="D68" s="74" t="s">
        <v>219</v>
      </c>
      <c r="E68" s="12" t="s">
        <v>220</v>
      </c>
      <c r="F68" s="74" t="s">
        <v>221</v>
      </c>
      <c r="G68" s="74" t="s">
        <v>159</v>
      </c>
      <c r="H68" s="118">
        <v>5</v>
      </c>
      <c r="I68" s="12">
        <v>9</v>
      </c>
      <c r="J68" s="12" t="s">
        <v>66</v>
      </c>
      <c r="K68" s="12" t="s">
        <v>67</v>
      </c>
      <c r="L68" s="12" t="s">
        <v>67</v>
      </c>
      <c r="M68" s="12" t="s">
        <v>67</v>
      </c>
    </row>
    <row r="69" ht="16.5" spans="1:13">
      <c r="A69" s="74" t="s">
        <v>38</v>
      </c>
      <c r="B69" s="12" t="s">
        <v>23</v>
      </c>
      <c r="C69" s="75">
        <v>46052</v>
      </c>
      <c r="D69" s="74" t="s">
        <v>216</v>
      </c>
      <c r="E69" s="12" t="s">
        <v>144</v>
      </c>
      <c r="F69" s="74" t="s">
        <v>217</v>
      </c>
      <c r="G69" s="74" t="s">
        <v>222</v>
      </c>
      <c r="H69" s="118">
        <v>5</v>
      </c>
      <c r="I69" s="12">
        <v>5</v>
      </c>
      <c r="J69" s="12" t="s">
        <v>66</v>
      </c>
      <c r="K69" s="12" t="s">
        <v>67</v>
      </c>
      <c r="L69" s="12" t="s">
        <v>67</v>
      </c>
      <c r="M69" s="12" t="s">
        <v>67</v>
      </c>
    </row>
    <row r="70" ht="16.5" spans="1:13">
      <c r="A70" s="74" t="s">
        <v>37</v>
      </c>
      <c r="B70" s="12" t="s">
        <v>23</v>
      </c>
      <c r="C70" s="75">
        <v>46052</v>
      </c>
      <c r="D70" s="74" t="s">
        <v>112</v>
      </c>
      <c r="E70" s="12" t="s">
        <v>109</v>
      </c>
      <c r="F70" s="74" t="s">
        <v>113</v>
      </c>
      <c r="G70" s="74" t="s">
        <v>223</v>
      </c>
      <c r="H70" s="118">
        <v>5</v>
      </c>
      <c r="I70" s="12">
        <v>3</v>
      </c>
      <c r="J70" s="12" t="s">
        <v>66</v>
      </c>
      <c r="K70" s="12" t="s">
        <v>67</v>
      </c>
      <c r="L70" s="12" t="s">
        <v>67</v>
      </c>
      <c r="M70" s="12" t="s">
        <v>67</v>
      </c>
    </row>
    <row r="71" ht="16.5" spans="1:13">
      <c r="A71" s="74" t="s">
        <v>35</v>
      </c>
      <c r="B71" s="12" t="s">
        <v>23</v>
      </c>
      <c r="C71" s="75">
        <v>46052</v>
      </c>
      <c r="D71" s="74" t="s">
        <v>224</v>
      </c>
      <c r="E71" s="12" t="s">
        <v>125</v>
      </c>
      <c r="F71" s="74" t="s">
        <v>225</v>
      </c>
      <c r="G71" s="74" t="s">
        <v>226</v>
      </c>
      <c r="H71" s="118">
        <v>5</v>
      </c>
      <c r="I71" s="12">
        <v>3</v>
      </c>
      <c r="J71" s="12" t="s">
        <v>66</v>
      </c>
      <c r="K71" s="12" t="s">
        <v>67</v>
      </c>
      <c r="L71" s="12" t="s">
        <v>67</v>
      </c>
      <c r="M71" s="12" t="s">
        <v>67</v>
      </c>
    </row>
    <row r="72" ht="16.5" spans="1:13">
      <c r="A72" s="74" t="s">
        <v>38</v>
      </c>
      <c r="B72" s="12" t="s">
        <v>23</v>
      </c>
      <c r="C72" s="75">
        <v>46052</v>
      </c>
      <c r="D72" s="74" t="s">
        <v>219</v>
      </c>
      <c r="E72" s="12" t="s">
        <v>220</v>
      </c>
      <c r="F72" s="74" t="s">
        <v>221</v>
      </c>
      <c r="G72" s="74" t="s">
        <v>97</v>
      </c>
      <c r="H72" s="118">
        <v>5</v>
      </c>
      <c r="I72" s="12">
        <v>5</v>
      </c>
      <c r="J72" s="12" t="s">
        <v>66</v>
      </c>
      <c r="K72" s="12" t="s">
        <v>67</v>
      </c>
      <c r="L72" s="12" t="s">
        <v>67</v>
      </c>
      <c r="M72" s="12" t="s">
        <v>67</v>
      </c>
    </row>
    <row r="73" ht="16.5" spans="1:13">
      <c r="A73" s="74" t="s">
        <v>38</v>
      </c>
      <c r="B73" s="12" t="s">
        <v>23</v>
      </c>
      <c r="C73" s="75">
        <v>46052</v>
      </c>
      <c r="D73" s="74" t="s">
        <v>227</v>
      </c>
      <c r="E73" s="12" t="s">
        <v>148</v>
      </c>
      <c r="F73" s="74" t="s">
        <v>228</v>
      </c>
      <c r="G73" s="74" t="s">
        <v>229</v>
      </c>
      <c r="H73" s="118">
        <v>5</v>
      </c>
      <c r="I73" s="12">
        <v>4</v>
      </c>
      <c r="J73" s="12" t="s">
        <v>66</v>
      </c>
      <c r="K73" s="12" t="s">
        <v>67</v>
      </c>
      <c r="L73" s="12" t="s">
        <v>67</v>
      </c>
      <c r="M73" s="12" t="s">
        <v>67</v>
      </c>
    </row>
    <row r="74" ht="16.5" spans="1:13">
      <c r="A74" s="74" t="s">
        <v>37</v>
      </c>
      <c r="B74" s="12" t="s">
        <v>23</v>
      </c>
      <c r="C74" s="75">
        <v>46052</v>
      </c>
      <c r="D74" s="74" t="s">
        <v>230</v>
      </c>
      <c r="E74" s="12" t="s">
        <v>109</v>
      </c>
      <c r="F74" s="74" t="s">
        <v>231</v>
      </c>
      <c r="G74" s="74" t="s">
        <v>232</v>
      </c>
      <c r="H74" s="118">
        <v>5</v>
      </c>
      <c r="I74" s="12">
        <v>4</v>
      </c>
      <c r="J74" s="12" t="s">
        <v>66</v>
      </c>
      <c r="K74" s="12" t="s">
        <v>67</v>
      </c>
      <c r="L74" s="12" t="s">
        <v>67</v>
      </c>
      <c r="M74" s="12" t="s">
        <v>67</v>
      </c>
    </row>
    <row r="75" ht="16.5" spans="1:13">
      <c r="A75" s="74" t="s">
        <v>38</v>
      </c>
      <c r="B75" s="12" t="s">
        <v>23</v>
      </c>
      <c r="C75" s="75">
        <v>46052</v>
      </c>
      <c r="D75" s="74" t="s">
        <v>233</v>
      </c>
      <c r="E75" s="12" t="s">
        <v>148</v>
      </c>
      <c r="F75" s="74" t="s">
        <v>234</v>
      </c>
      <c r="G75" s="74" t="s">
        <v>235</v>
      </c>
      <c r="H75" s="118">
        <v>5</v>
      </c>
      <c r="I75" s="12">
        <v>4</v>
      </c>
      <c r="J75" s="12" t="s">
        <v>66</v>
      </c>
      <c r="K75" s="12" t="s">
        <v>67</v>
      </c>
      <c r="L75" s="12" t="s">
        <v>67</v>
      </c>
      <c r="M75" s="12" t="s">
        <v>67</v>
      </c>
    </row>
    <row r="76" ht="16.5" spans="1:13">
      <c r="A76" s="74" t="s">
        <v>38</v>
      </c>
      <c r="B76" s="12" t="s">
        <v>23</v>
      </c>
      <c r="C76" s="75">
        <v>46052</v>
      </c>
      <c r="D76" s="74" t="s">
        <v>233</v>
      </c>
      <c r="E76" s="12" t="s">
        <v>148</v>
      </c>
      <c r="F76" s="74" t="s">
        <v>234</v>
      </c>
      <c r="G76" s="74" t="s">
        <v>236</v>
      </c>
      <c r="H76" s="118">
        <v>5</v>
      </c>
      <c r="I76" s="12">
        <v>4</v>
      </c>
      <c r="J76" s="12" t="s">
        <v>66</v>
      </c>
      <c r="K76" s="12" t="s">
        <v>67</v>
      </c>
      <c r="L76" s="12" t="s">
        <v>67</v>
      </c>
      <c r="M76" s="12" t="s">
        <v>67</v>
      </c>
    </row>
    <row r="77" ht="16.5" spans="1:13">
      <c r="A77" s="74" t="s">
        <v>24</v>
      </c>
      <c r="B77" s="12" t="s">
        <v>23</v>
      </c>
      <c r="C77" s="75">
        <v>46052</v>
      </c>
      <c r="D77" s="74" t="s">
        <v>237</v>
      </c>
      <c r="E77" s="12" t="s">
        <v>152</v>
      </c>
      <c r="F77" s="74" t="s">
        <v>238</v>
      </c>
      <c r="G77" s="74" t="s">
        <v>239</v>
      </c>
      <c r="H77" s="118">
        <v>5</v>
      </c>
      <c r="I77" s="12">
        <v>3</v>
      </c>
      <c r="J77" s="12" t="s">
        <v>66</v>
      </c>
      <c r="K77" s="12" t="s">
        <v>67</v>
      </c>
      <c r="L77" s="12" t="s">
        <v>67</v>
      </c>
      <c r="M77" s="12" t="s">
        <v>67</v>
      </c>
    </row>
    <row r="78" ht="16.5" spans="1:13">
      <c r="A78" s="74" t="s">
        <v>38</v>
      </c>
      <c r="B78" s="12" t="s">
        <v>23</v>
      </c>
      <c r="C78" s="75">
        <v>46052</v>
      </c>
      <c r="D78" s="74" t="s">
        <v>62</v>
      </c>
      <c r="E78" s="12" t="s">
        <v>63</v>
      </c>
      <c r="F78" s="74" t="s">
        <v>64</v>
      </c>
      <c r="G78" s="74" t="s">
        <v>240</v>
      </c>
      <c r="H78" s="118">
        <v>5</v>
      </c>
      <c r="I78" s="12">
        <v>3</v>
      </c>
      <c r="J78" s="12" t="s">
        <v>66</v>
      </c>
      <c r="K78" s="12" t="s">
        <v>67</v>
      </c>
      <c r="L78" s="12" t="s">
        <v>67</v>
      </c>
      <c r="M78" s="12" t="s">
        <v>67</v>
      </c>
    </row>
    <row r="79" ht="16.5" spans="1:13">
      <c r="A79" s="74" t="s">
        <v>38</v>
      </c>
      <c r="B79" s="12" t="s">
        <v>23</v>
      </c>
      <c r="C79" s="75">
        <v>46044</v>
      </c>
      <c r="D79" s="74" t="s">
        <v>82</v>
      </c>
      <c r="E79" s="12" t="s">
        <v>70</v>
      </c>
      <c r="F79" s="74" t="s">
        <v>209</v>
      </c>
      <c r="G79" s="74" t="s">
        <v>241</v>
      </c>
      <c r="H79" s="118">
        <v>5</v>
      </c>
      <c r="I79" s="12">
        <v>3</v>
      </c>
      <c r="J79" s="12" t="s">
        <v>66</v>
      </c>
      <c r="K79" s="12" t="s">
        <v>67</v>
      </c>
      <c r="L79" s="12" t="s">
        <v>67</v>
      </c>
      <c r="M79" s="12" t="s">
        <v>67</v>
      </c>
    </row>
    <row r="80" ht="16.5" spans="1:13">
      <c r="A80" s="74" t="s">
        <v>38</v>
      </c>
      <c r="B80" s="12" t="s">
        <v>23</v>
      </c>
      <c r="C80" s="75">
        <v>46052</v>
      </c>
      <c r="D80" s="74" t="s">
        <v>242</v>
      </c>
      <c r="E80" s="12" t="s">
        <v>70</v>
      </c>
      <c r="F80" s="74" t="s">
        <v>243</v>
      </c>
      <c r="G80" s="74" t="s">
        <v>244</v>
      </c>
      <c r="H80" s="118">
        <v>5</v>
      </c>
      <c r="I80" s="12">
        <v>4</v>
      </c>
      <c r="J80" s="12" t="s">
        <v>66</v>
      </c>
      <c r="K80" s="12" t="s">
        <v>67</v>
      </c>
      <c r="L80" s="12" t="s">
        <v>67</v>
      </c>
      <c r="M80" s="12" t="s">
        <v>67</v>
      </c>
    </row>
    <row r="81" ht="16.5" spans="1:13">
      <c r="A81" s="74" t="s">
        <v>31</v>
      </c>
      <c r="B81" s="12" t="s">
        <v>23</v>
      </c>
      <c r="C81" s="75">
        <v>46052</v>
      </c>
      <c r="D81" s="74" t="s">
        <v>245</v>
      </c>
      <c r="E81" s="12" t="s">
        <v>79</v>
      </c>
      <c r="F81" s="74" t="s">
        <v>231</v>
      </c>
      <c r="G81" s="74" t="s">
        <v>159</v>
      </c>
      <c r="H81" s="118">
        <v>5</v>
      </c>
      <c r="I81" s="12">
        <v>3</v>
      </c>
      <c r="J81" s="12" t="s">
        <v>66</v>
      </c>
      <c r="K81" s="12" t="s">
        <v>67</v>
      </c>
      <c r="L81" s="12" t="s">
        <v>67</v>
      </c>
      <c r="M81" s="12" t="s">
        <v>67</v>
      </c>
    </row>
    <row r="82" ht="16.5" spans="1:13">
      <c r="A82" s="74" t="s">
        <v>37</v>
      </c>
      <c r="B82" s="12" t="s">
        <v>23</v>
      </c>
      <c r="C82" s="75">
        <v>46052</v>
      </c>
      <c r="D82" s="74" t="s">
        <v>112</v>
      </c>
      <c r="E82" s="12" t="s">
        <v>109</v>
      </c>
      <c r="F82" s="74" t="s">
        <v>113</v>
      </c>
      <c r="G82" s="74" t="s">
        <v>246</v>
      </c>
      <c r="H82" s="118">
        <v>5</v>
      </c>
      <c r="I82" s="12">
        <v>3</v>
      </c>
      <c r="J82" s="12" t="s">
        <v>66</v>
      </c>
      <c r="K82" s="12" t="s">
        <v>67</v>
      </c>
      <c r="L82" s="12" t="s">
        <v>67</v>
      </c>
      <c r="M82" s="12" t="s">
        <v>67</v>
      </c>
    </row>
    <row r="83" ht="16.5" spans="1:13">
      <c r="A83" s="74" t="s">
        <v>38</v>
      </c>
      <c r="B83" s="12" t="s">
        <v>23</v>
      </c>
      <c r="C83" s="75">
        <v>46052</v>
      </c>
      <c r="D83" s="74" t="s">
        <v>247</v>
      </c>
      <c r="E83" s="12" t="s">
        <v>70</v>
      </c>
      <c r="F83" s="74" t="s">
        <v>248</v>
      </c>
      <c r="G83" s="74" t="s">
        <v>249</v>
      </c>
      <c r="H83" s="118">
        <v>5</v>
      </c>
      <c r="I83" s="12">
        <v>3</v>
      </c>
      <c r="J83" s="12" t="s">
        <v>66</v>
      </c>
      <c r="K83" s="12" t="s">
        <v>67</v>
      </c>
      <c r="L83" s="12" t="s">
        <v>67</v>
      </c>
      <c r="M83" s="12" t="s">
        <v>67</v>
      </c>
    </row>
    <row r="84" ht="16.5" spans="1:13">
      <c r="A84" s="74" t="s">
        <v>38</v>
      </c>
      <c r="B84" s="12" t="s">
        <v>23</v>
      </c>
      <c r="C84" s="75">
        <v>46052</v>
      </c>
      <c r="D84" s="74" t="s">
        <v>247</v>
      </c>
      <c r="E84" s="12" t="s">
        <v>70</v>
      </c>
      <c r="F84" s="74" t="s">
        <v>248</v>
      </c>
      <c r="G84" s="74" t="s">
        <v>250</v>
      </c>
      <c r="H84" s="118">
        <v>5</v>
      </c>
      <c r="I84" s="12">
        <v>4</v>
      </c>
      <c r="J84" s="12" t="s">
        <v>66</v>
      </c>
      <c r="K84" s="12" t="s">
        <v>67</v>
      </c>
      <c r="L84" s="12" t="s">
        <v>67</v>
      </c>
      <c r="M84" s="12" t="s">
        <v>67</v>
      </c>
    </row>
    <row r="85" ht="16.5" spans="1:13">
      <c r="A85" s="74" t="s">
        <v>24</v>
      </c>
      <c r="B85" s="12" t="s">
        <v>23</v>
      </c>
      <c r="C85" s="75">
        <v>46052</v>
      </c>
      <c r="D85" s="74" t="s">
        <v>251</v>
      </c>
      <c r="E85" s="12" t="s">
        <v>152</v>
      </c>
      <c r="F85" s="74" t="s">
        <v>252</v>
      </c>
      <c r="G85" s="74" t="s">
        <v>92</v>
      </c>
      <c r="H85" s="118">
        <v>5</v>
      </c>
      <c r="I85" s="12">
        <v>4</v>
      </c>
      <c r="J85" s="12" t="s">
        <v>66</v>
      </c>
      <c r="K85" s="12" t="s">
        <v>67</v>
      </c>
      <c r="L85" s="12" t="s">
        <v>67</v>
      </c>
      <c r="M85" s="12" t="s">
        <v>67</v>
      </c>
    </row>
    <row r="86" ht="16.5" spans="1:13">
      <c r="A86" s="74" t="s">
        <v>29</v>
      </c>
      <c r="B86" s="12" t="s">
        <v>23</v>
      </c>
      <c r="C86" s="75">
        <v>46052</v>
      </c>
      <c r="D86" s="74" t="s">
        <v>253</v>
      </c>
      <c r="E86" s="12" t="s">
        <v>130</v>
      </c>
      <c r="F86" s="74" t="s">
        <v>254</v>
      </c>
      <c r="G86" s="74" t="s">
        <v>255</v>
      </c>
      <c r="H86" s="118">
        <v>5</v>
      </c>
      <c r="I86" s="12">
        <v>4</v>
      </c>
      <c r="J86" s="12" t="s">
        <v>66</v>
      </c>
      <c r="K86" s="12" t="s">
        <v>67</v>
      </c>
      <c r="L86" s="12" t="s">
        <v>67</v>
      </c>
      <c r="M86" s="12" t="s">
        <v>67</v>
      </c>
    </row>
    <row r="87" ht="16.5" spans="1:13">
      <c r="A87" s="74" t="s">
        <v>32</v>
      </c>
      <c r="B87" s="12" t="s">
        <v>23</v>
      </c>
      <c r="C87" s="75">
        <v>46052</v>
      </c>
      <c r="D87" s="74" t="s">
        <v>256</v>
      </c>
      <c r="E87" s="12" t="s">
        <v>105</v>
      </c>
      <c r="F87" s="74" t="s">
        <v>257</v>
      </c>
      <c r="G87" s="74" t="s">
        <v>215</v>
      </c>
      <c r="H87" s="118">
        <v>5</v>
      </c>
      <c r="I87" s="12">
        <v>3</v>
      </c>
      <c r="J87" s="12" t="s">
        <v>66</v>
      </c>
      <c r="K87" s="12" t="s">
        <v>67</v>
      </c>
      <c r="L87" s="12" t="s">
        <v>67</v>
      </c>
      <c r="M87" s="12" t="s">
        <v>67</v>
      </c>
    </row>
    <row r="88" ht="16.5" spans="1:13">
      <c r="A88" s="74" t="s">
        <v>38</v>
      </c>
      <c r="B88" s="12" t="s">
        <v>23</v>
      </c>
      <c r="C88" s="75">
        <v>46052</v>
      </c>
      <c r="D88" s="74" t="s">
        <v>258</v>
      </c>
      <c r="E88" s="12" t="s">
        <v>148</v>
      </c>
      <c r="F88" s="74" t="s">
        <v>259</v>
      </c>
      <c r="G88" s="74" t="s">
        <v>260</v>
      </c>
      <c r="H88" s="118">
        <v>5</v>
      </c>
      <c r="I88" s="12">
        <v>2</v>
      </c>
      <c r="J88" s="12" t="s">
        <v>66</v>
      </c>
      <c r="K88" s="12" t="s">
        <v>67</v>
      </c>
      <c r="L88" s="12" t="s">
        <v>67</v>
      </c>
      <c r="M88" s="12" t="s">
        <v>67</v>
      </c>
    </row>
    <row r="89" ht="16.5" spans="1:13">
      <c r="A89" s="74" t="s">
        <v>38</v>
      </c>
      <c r="B89" s="12" t="s">
        <v>23</v>
      </c>
      <c r="C89" s="75">
        <v>46044</v>
      </c>
      <c r="D89" s="74" t="s">
        <v>82</v>
      </c>
      <c r="E89" s="12" t="s">
        <v>70</v>
      </c>
      <c r="F89" s="74" t="s">
        <v>261</v>
      </c>
      <c r="G89" s="74" t="s">
        <v>262</v>
      </c>
      <c r="H89" s="118">
        <v>5</v>
      </c>
      <c r="I89" s="12">
        <v>3</v>
      </c>
      <c r="J89" s="12" t="s">
        <v>66</v>
      </c>
      <c r="K89" s="12" t="s">
        <v>67</v>
      </c>
      <c r="L89" s="12" t="s">
        <v>67</v>
      </c>
      <c r="M89" s="12" t="s">
        <v>67</v>
      </c>
    </row>
    <row r="90" ht="16.5" spans="1:13">
      <c r="A90" s="74" t="s">
        <v>29</v>
      </c>
      <c r="B90" s="12" t="s">
        <v>23</v>
      </c>
      <c r="C90" s="75">
        <v>46052</v>
      </c>
      <c r="D90" s="74" t="s">
        <v>263</v>
      </c>
      <c r="E90" s="12" t="s">
        <v>130</v>
      </c>
      <c r="F90" s="74" t="s">
        <v>264</v>
      </c>
      <c r="G90" s="74" t="s">
        <v>265</v>
      </c>
      <c r="H90" s="118">
        <v>5</v>
      </c>
      <c r="I90" s="12">
        <v>3</v>
      </c>
      <c r="J90" s="12" t="s">
        <v>66</v>
      </c>
      <c r="K90" s="12" t="s">
        <v>67</v>
      </c>
      <c r="L90" s="12" t="s">
        <v>67</v>
      </c>
      <c r="M90" s="12" t="s">
        <v>67</v>
      </c>
    </row>
    <row r="91" ht="16.5" spans="1:13">
      <c r="A91" s="74" t="s">
        <v>29</v>
      </c>
      <c r="B91" s="12" t="s">
        <v>23</v>
      </c>
      <c r="C91" s="75">
        <v>46052</v>
      </c>
      <c r="D91" s="74" t="s">
        <v>263</v>
      </c>
      <c r="E91" s="12" t="s">
        <v>130</v>
      </c>
      <c r="F91" s="74" t="s">
        <v>264</v>
      </c>
      <c r="G91" s="74" t="s">
        <v>103</v>
      </c>
      <c r="H91" s="118">
        <v>5</v>
      </c>
      <c r="I91" s="12">
        <v>3</v>
      </c>
      <c r="J91" s="12" t="s">
        <v>66</v>
      </c>
      <c r="K91" s="12" t="s">
        <v>67</v>
      </c>
      <c r="L91" s="12" t="s">
        <v>67</v>
      </c>
      <c r="M91" s="12" t="s">
        <v>67</v>
      </c>
    </row>
    <row r="92" ht="16.5" spans="1:13">
      <c r="A92" s="74" t="s">
        <v>29</v>
      </c>
      <c r="B92" s="12" t="s">
        <v>23</v>
      </c>
      <c r="C92" s="75">
        <v>46052</v>
      </c>
      <c r="D92" s="74" t="s">
        <v>263</v>
      </c>
      <c r="E92" s="12" t="s">
        <v>130</v>
      </c>
      <c r="F92" s="74" t="s">
        <v>264</v>
      </c>
      <c r="G92" s="74" t="s">
        <v>266</v>
      </c>
      <c r="H92" s="118">
        <v>5</v>
      </c>
      <c r="I92" s="12">
        <v>3</v>
      </c>
      <c r="J92" s="12" t="s">
        <v>66</v>
      </c>
      <c r="K92" s="12" t="s">
        <v>67</v>
      </c>
      <c r="L92" s="12" t="s">
        <v>67</v>
      </c>
      <c r="M92" s="12" t="s">
        <v>67</v>
      </c>
    </row>
    <row r="93" ht="16.5" spans="1:13">
      <c r="A93" s="74" t="s">
        <v>37</v>
      </c>
      <c r="B93" s="12" t="s">
        <v>23</v>
      </c>
      <c r="C93" s="75">
        <v>46052</v>
      </c>
      <c r="D93" s="74" t="s">
        <v>267</v>
      </c>
      <c r="E93" s="12" t="s">
        <v>152</v>
      </c>
      <c r="F93" s="74" t="s">
        <v>268</v>
      </c>
      <c r="G93" s="74" t="s">
        <v>269</v>
      </c>
      <c r="H93" s="118">
        <v>5</v>
      </c>
      <c r="I93" s="12">
        <v>5</v>
      </c>
      <c r="J93" s="12" t="s">
        <v>66</v>
      </c>
      <c r="K93" s="12" t="s">
        <v>67</v>
      </c>
      <c r="L93" s="12" t="s">
        <v>67</v>
      </c>
      <c r="M93" s="12" t="s">
        <v>67</v>
      </c>
    </row>
    <row r="94" ht="16.5" spans="1:13">
      <c r="A94" s="74" t="s">
        <v>37</v>
      </c>
      <c r="B94" s="12" t="s">
        <v>23</v>
      </c>
      <c r="C94" s="75">
        <v>46052</v>
      </c>
      <c r="D94" s="74" t="s">
        <v>270</v>
      </c>
      <c r="E94" s="12" t="s">
        <v>109</v>
      </c>
      <c r="F94" s="74" t="s">
        <v>271</v>
      </c>
      <c r="G94" s="74" t="s">
        <v>272</v>
      </c>
      <c r="H94" s="118">
        <v>5</v>
      </c>
      <c r="I94" s="12">
        <v>4</v>
      </c>
      <c r="J94" s="12" t="s">
        <v>66</v>
      </c>
      <c r="K94" s="12" t="s">
        <v>67</v>
      </c>
      <c r="L94" s="12" t="s">
        <v>67</v>
      </c>
      <c r="M94" s="12" t="s">
        <v>67</v>
      </c>
    </row>
    <row r="95" ht="16.5" spans="1:13">
      <c r="A95" s="74" t="s">
        <v>37</v>
      </c>
      <c r="B95" s="12" t="s">
        <v>23</v>
      </c>
      <c r="C95" s="75">
        <v>46052</v>
      </c>
      <c r="D95" s="74" t="s">
        <v>267</v>
      </c>
      <c r="E95" s="12" t="s">
        <v>152</v>
      </c>
      <c r="F95" s="74" t="s">
        <v>268</v>
      </c>
      <c r="G95" s="74" t="s">
        <v>273</v>
      </c>
      <c r="H95" s="118">
        <v>5</v>
      </c>
      <c r="I95" s="12">
        <v>5</v>
      </c>
      <c r="J95" s="12" t="s">
        <v>66</v>
      </c>
      <c r="K95" s="12" t="s">
        <v>67</v>
      </c>
      <c r="L95" s="12" t="s">
        <v>67</v>
      </c>
      <c r="M95" s="12" t="s">
        <v>67</v>
      </c>
    </row>
    <row r="96" ht="16.5" spans="1:13">
      <c r="A96" s="74" t="s">
        <v>37</v>
      </c>
      <c r="B96" s="12" t="s">
        <v>23</v>
      </c>
      <c r="C96" s="75">
        <v>46052</v>
      </c>
      <c r="D96" s="74" t="s">
        <v>267</v>
      </c>
      <c r="E96" s="12" t="s">
        <v>152</v>
      </c>
      <c r="F96" s="74" t="s">
        <v>274</v>
      </c>
      <c r="G96" s="74" t="s">
        <v>275</v>
      </c>
      <c r="H96" s="118">
        <v>5</v>
      </c>
      <c r="I96" s="12">
        <v>4</v>
      </c>
      <c r="J96" s="12" t="s">
        <v>66</v>
      </c>
      <c r="K96" s="12" t="s">
        <v>67</v>
      </c>
      <c r="L96" s="12" t="s">
        <v>67</v>
      </c>
      <c r="M96" s="12" t="s">
        <v>67</v>
      </c>
    </row>
    <row r="97" ht="16.5" spans="1:13">
      <c r="A97" s="74" t="s">
        <v>37</v>
      </c>
      <c r="B97" s="12" t="s">
        <v>23</v>
      </c>
      <c r="C97" s="75">
        <v>46052</v>
      </c>
      <c r="D97" s="74" t="s">
        <v>276</v>
      </c>
      <c r="E97" s="12" t="s">
        <v>152</v>
      </c>
      <c r="F97" s="74" t="s">
        <v>234</v>
      </c>
      <c r="G97" s="74" t="s">
        <v>277</v>
      </c>
      <c r="H97" s="118">
        <v>5</v>
      </c>
      <c r="I97" s="12">
        <v>6</v>
      </c>
      <c r="J97" s="12" t="s">
        <v>66</v>
      </c>
      <c r="K97" s="12" t="s">
        <v>67</v>
      </c>
      <c r="L97" s="12" t="s">
        <v>67</v>
      </c>
      <c r="M97" s="12" t="s">
        <v>67</v>
      </c>
    </row>
    <row r="98" ht="16.5" spans="1:13">
      <c r="A98" s="74" t="s">
        <v>38</v>
      </c>
      <c r="B98" s="12" t="s">
        <v>23</v>
      </c>
      <c r="C98" s="75">
        <v>46052</v>
      </c>
      <c r="D98" s="74" t="s">
        <v>278</v>
      </c>
      <c r="E98" s="12" t="s">
        <v>148</v>
      </c>
      <c r="F98" s="74" t="s">
        <v>279</v>
      </c>
      <c r="G98" s="74" t="s">
        <v>280</v>
      </c>
      <c r="H98" s="118">
        <v>5</v>
      </c>
      <c r="I98" s="12">
        <v>4</v>
      </c>
      <c r="J98" s="12" t="s">
        <v>66</v>
      </c>
      <c r="K98" s="12" t="s">
        <v>67</v>
      </c>
      <c r="L98" s="12" t="s">
        <v>67</v>
      </c>
      <c r="M98" s="12" t="s">
        <v>67</v>
      </c>
    </row>
    <row r="99" ht="16.5" spans="1:13">
      <c r="A99" s="74" t="s">
        <v>37</v>
      </c>
      <c r="B99" s="12" t="s">
        <v>23</v>
      </c>
      <c r="C99" s="75">
        <v>46052</v>
      </c>
      <c r="D99" s="74" t="s">
        <v>270</v>
      </c>
      <c r="E99" s="12" t="s">
        <v>109</v>
      </c>
      <c r="F99" s="74" t="s">
        <v>271</v>
      </c>
      <c r="G99" s="74" t="s">
        <v>281</v>
      </c>
      <c r="H99" s="118">
        <v>5</v>
      </c>
      <c r="I99" s="12">
        <v>4</v>
      </c>
      <c r="J99" s="12" t="s">
        <v>66</v>
      </c>
      <c r="K99" s="12" t="s">
        <v>67</v>
      </c>
      <c r="L99" s="12" t="s">
        <v>67</v>
      </c>
      <c r="M99" s="12" t="s">
        <v>67</v>
      </c>
    </row>
    <row r="100" ht="16.5" spans="1:13">
      <c r="A100" s="74" t="s">
        <v>38</v>
      </c>
      <c r="B100" s="12" t="s">
        <v>23</v>
      </c>
      <c r="C100" s="75">
        <v>46052</v>
      </c>
      <c r="D100" s="74" t="s">
        <v>282</v>
      </c>
      <c r="E100" s="12" t="s">
        <v>144</v>
      </c>
      <c r="F100" s="74" t="s">
        <v>283</v>
      </c>
      <c r="G100" s="74" t="s">
        <v>284</v>
      </c>
      <c r="H100" s="118">
        <v>5</v>
      </c>
      <c r="I100" s="12">
        <v>6</v>
      </c>
      <c r="J100" s="12" t="s">
        <v>66</v>
      </c>
      <c r="K100" s="12" t="s">
        <v>67</v>
      </c>
      <c r="L100" s="12" t="s">
        <v>67</v>
      </c>
      <c r="M100" s="12" t="s">
        <v>67</v>
      </c>
    </row>
    <row r="101" ht="16.5" spans="1:13">
      <c r="A101" s="74" t="s">
        <v>31</v>
      </c>
      <c r="B101" s="12" t="s">
        <v>23</v>
      </c>
      <c r="C101" s="75">
        <v>46053</v>
      </c>
      <c r="D101" s="74" t="s">
        <v>285</v>
      </c>
      <c r="E101" s="12" t="s">
        <v>90</v>
      </c>
      <c r="F101" s="74" t="s">
        <v>286</v>
      </c>
      <c r="G101" s="74" t="s">
        <v>287</v>
      </c>
      <c r="H101" s="118">
        <v>5</v>
      </c>
      <c r="I101" s="12">
        <v>3</v>
      </c>
      <c r="J101" s="12" t="s">
        <v>66</v>
      </c>
      <c r="K101" s="12" t="s">
        <v>67</v>
      </c>
      <c r="L101" s="12" t="s">
        <v>67</v>
      </c>
      <c r="M101" s="12" t="s">
        <v>67</v>
      </c>
    </row>
    <row r="102" ht="16.5" spans="1:13">
      <c r="A102" s="74" t="s">
        <v>37</v>
      </c>
      <c r="B102" s="12" t="s">
        <v>23</v>
      </c>
      <c r="C102" s="75">
        <v>46052</v>
      </c>
      <c r="D102" s="74" t="s">
        <v>288</v>
      </c>
      <c r="E102" s="12" t="s">
        <v>152</v>
      </c>
      <c r="F102" s="74" t="s">
        <v>289</v>
      </c>
      <c r="G102" s="74" t="s">
        <v>290</v>
      </c>
      <c r="H102" s="118">
        <v>5</v>
      </c>
      <c r="I102" s="12">
        <v>4</v>
      </c>
      <c r="J102" s="12" t="s">
        <v>66</v>
      </c>
      <c r="K102" s="12" t="s">
        <v>67</v>
      </c>
      <c r="L102" s="12" t="s">
        <v>67</v>
      </c>
      <c r="M102" s="12" t="s">
        <v>67</v>
      </c>
    </row>
    <row r="103" ht="16.5" spans="1:13">
      <c r="A103" s="74" t="s">
        <v>37</v>
      </c>
      <c r="B103" s="12" t="s">
        <v>23</v>
      </c>
      <c r="C103" s="75">
        <v>46052</v>
      </c>
      <c r="D103" s="74" t="s">
        <v>276</v>
      </c>
      <c r="E103" s="12" t="s">
        <v>152</v>
      </c>
      <c r="F103" s="74" t="s">
        <v>234</v>
      </c>
      <c r="G103" s="74" t="s">
        <v>291</v>
      </c>
      <c r="H103" s="118">
        <v>5</v>
      </c>
      <c r="I103" s="12">
        <v>6</v>
      </c>
      <c r="J103" s="12" t="s">
        <v>66</v>
      </c>
      <c r="K103" s="12" t="s">
        <v>67</v>
      </c>
      <c r="L103" s="12" t="s">
        <v>67</v>
      </c>
      <c r="M103" s="12" t="s">
        <v>67</v>
      </c>
    </row>
    <row r="104" ht="16.5" spans="1:13">
      <c r="A104" s="74" t="s">
        <v>38</v>
      </c>
      <c r="B104" s="12" t="s">
        <v>23</v>
      </c>
      <c r="C104" s="75">
        <v>46052</v>
      </c>
      <c r="D104" s="74" t="s">
        <v>282</v>
      </c>
      <c r="E104" s="12" t="s">
        <v>144</v>
      </c>
      <c r="F104" s="74" t="s">
        <v>283</v>
      </c>
      <c r="G104" s="74" t="s">
        <v>292</v>
      </c>
      <c r="H104" s="118">
        <v>5</v>
      </c>
      <c r="I104" s="12">
        <v>6</v>
      </c>
      <c r="J104" s="12" t="s">
        <v>66</v>
      </c>
      <c r="K104" s="12" t="s">
        <v>67</v>
      </c>
      <c r="L104" s="12" t="s">
        <v>67</v>
      </c>
      <c r="M104" s="12" t="s">
        <v>67</v>
      </c>
    </row>
    <row r="105" ht="16.5" spans="1:13">
      <c r="A105" s="74" t="s">
        <v>38</v>
      </c>
      <c r="B105" s="12" t="s">
        <v>23</v>
      </c>
      <c r="C105" s="75">
        <v>46052</v>
      </c>
      <c r="D105" s="74" t="s">
        <v>155</v>
      </c>
      <c r="E105" s="12" t="s">
        <v>144</v>
      </c>
      <c r="F105" s="74" t="s">
        <v>156</v>
      </c>
      <c r="G105" s="74" t="s">
        <v>293</v>
      </c>
      <c r="H105" s="118">
        <v>5</v>
      </c>
      <c r="I105" s="12">
        <v>5</v>
      </c>
      <c r="J105" s="12" t="s">
        <v>66</v>
      </c>
      <c r="K105" s="12" t="s">
        <v>67</v>
      </c>
      <c r="L105" s="12" t="s">
        <v>67</v>
      </c>
      <c r="M105" s="12" t="s">
        <v>67</v>
      </c>
    </row>
    <row r="106" ht="16.5" spans="1:13">
      <c r="A106" s="74" t="s">
        <v>38</v>
      </c>
      <c r="B106" s="12" t="s">
        <v>23</v>
      </c>
      <c r="C106" s="75">
        <v>46052</v>
      </c>
      <c r="D106" s="74" t="s">
        <v>294</v>
      </c>
      <c r="E106" s="12" t="s">
        <v>63</v>
      </c>
      <c r="F106" s="74" t="s">
        <v>295</v>
      </c>
      <c r="G106" s="74" t="s">
        <v>296</v>
      </c>
      <c r="H106" s="118">
        <v>5</v>
      </c>
      <c r="I106" s="12">
        <v>5</v>
      </c>
      <c r="J106" s="12" t="s">
        <v>66</v>
      </c>
      <c r="K106" s="12" t="s">
        <v>67</v>
      </c>
      <c r="L106" s="12" t="s">
        <v>67</v>
      </c>
      <c r="M106" s="12" t="s">
        <v>67</v>
      </c>
    </row>
    <row r="107" ht="16.5" spans="1:13">
      <c r="A107" s="74" t="s">
        <v>38</v>
      </c>
      <c r="B107" s="12" t="s">
        <v>23</v>
      </c>
      <c r="C107" s="75">
        <v>46052</v>
      </c>
      <c r="D107" s="74" t="s">
        <v>294</v>
      </c>
      <c r="E107" s="12" t="s">
        <v>63</v>
      </c>
      <c r="F107" s="74" t="s">
        <v>295</v>
      </c>
      <c r="G107" s="74" t="s">
        <v>150</v>
      </c>
      <c r="H107" s="118">
        <v>5</v>
      </c>
      <c r="I107" s="12">
        <v>5</v>
      </c>
      <c r="J107" s="12" t="s">
        <v>66</v>
      </c>
      <c r="K107" s="12" t="s">
        <v>67</v>
      </c>
      <c r="L107" s="12" t="s">
        <v>67</v>
      </c>
      <c r="M107" s="12" t="s">
        <v>67</v>
      </c>
    </row>
    <row r="108" ht="16.5" spans="1:13">
      <c r="A108" s="74" t="s">
        <v>38</v>
      </c>
      <c r="B108" s="12" t="s">
        <v>23</v>
      </c>
      <c r="C108" s="75">
        <v>46052</v>
      </c>
      <c r="D108" s="74" t="s">
        <v>219</v>
      </c>
      <c r="E108" s="12" t="s">
        <v>220</v>
      </c>
      <c r="F108" s="74" t="s">
        <v>221</v>
      </c>
      <c r="G108" s="74" t="s">
        <v>297</v>
      </c>
      <c r="H108" s="118">
        <v>5</v>
      </c>
      <c r="I108" s="12">
        <v>5</v>
      </c>
      <c r="J108" s="12" t="s">
        <v>66</v>
      </c>
      <c r="K108" s="12" t="s">
        <v>67</v>
      </c>
      <c r="L108" s="12" t="s">
        <v>67</v>
      </c>
      <c r="M108" s="12" t="s">
        <v>67</v>
      </c>
    </row>
    <row r="109" ht="16.5" spans="1:13">
      <c r="A109" s="74" t="s">
        <v>38</v>
      </c>
      <c r="B109" s="12" t="s">
        <v>23</v>
      </c>
      <c r="C109" s="75">
        <v>46051</v>
      </c>
      <c r="D109" s="74" t="s">
        <v>298</v>
      </c>
      <c r="E109" s="12" t="s">
        <v>168</v>
      </c>
      <c r="F109" s="74" t="s">
        <v>299</v>
      </c>
      <c r="G109" s="74" t="s">
        <v>300</v>
      </c>
      <c r="H109" s="118">
        <v>5</v>
      </c>
      <c r="I109" s="12">
        <v>5</v>
      </c>
      <c r="J109" s="12" t="s">
        <v>66</v>
      </c>
      <c r="K109" s="12" t="s">
        <v>67</v>
      </c>
      <c r="L109" s="12" t="s">
        <v>67</v>
      </c>
      <c r="M109" s="12" t="s">
        <v>67</v>
      </c>
    </row>
    <row r="110" ht="16.5" spans="1:13">
      <c r="A110" s="74" t="s">
        <v>38</v>
      </c>
      <c r="B110" s="12" t="s">
        <v>23</v>
      </c>
      <c r="C110" s="75">
        <v>46051</v>
      </c>
      <c r="D110" s="74" t="s">
        <v>298</v>
      </c>
      <c r="E110" s="12" t="s">
        <v>168</v>
      </c>
      <c r="F110" s="74" t="s">
        <v>299</v>
      </c>
      <c r="G110" s="74" t="s">
        <v>301</v>
      </c>
      <c r="H110" s="118">
        <v>5</v>
      </c>
      <c r="I110" s="12">
        <v>5</v>
      </c>
      <c r="J110" s="12" t="s">
        <v>66</v>
      </c>
      <c r="K110" s="12" t="s">
        <v>67</v>
      </c>
      <c r="L110" s="12" t="s">
        <v>67</v>
      </c>
      <c r="M110" s="12" t="s">
        <v>67</v>
      </c>
    </row>
    <row r="111" ht="16.5" spans="1:13">
      <c r="A111" s="74" t="s">
        <v>38</v>
      </c>
      <c r="B111" s="12" t="s">
        <v>23</v>
      </c>
      <c r="C111" s="75">
        <v>46051</v>
      </c>
      <c r="D111" s="74" t="s">
        <v>298</v>
      </c>
      <c r="E111" s="12" t="s">
        <v>168</v>
      </c>
      <c r="F111" s="74" t="s">
        <v>299</v>
      </c>
      <c r="G111" s="74" t="s">
        <v>215</v>
      </c>
      <c r="H111" s="118">
        <v>5</v>
      </c>
      <c r="I111" s="12">
        <v>5</v>
      </c>
      <c r="J111" s="12" t="s">
        <v>66</v>
      </c>
      <c r="K111" s="12" t="s">
        <v>67</v>
      </c>
      <c r="L111" s="12" t="s">
        <v>67</v>
      </c>
      <c r="M111" s="12" t="s">
        <v>67</v>
      </c>
    </row>
    <row r="112" ht="16.5" spans="1:13">
      <c r="A112" s="74" t="s">
        <v>31</v>
      </c>
      <c r="B112" s="12" t="s">
        <v>23</v>
      </c>
      <c r="C112" s="75">
        <v>46051</v>
      </c>
      <c r="D112" s="74" t="s">
        <v>245</v>
      </c>
      <c r="E112" s="12" t="s">
        <v>79</v>
      </c>
      <c r="F112" s="74" t="s">
        <v>231</v>
      </c>
      <c r="G112" s="74" t="s">
        <v>302</v>
      </c>
      <c r="H112" s="118">
        <v>5</v>
      </c>
      <c r="I112" s="12">
        <v>3</v>
      </c>
      <c r="J112" s="12" t="s">
        <v>66</v>
      </c>
      <c r="K112" s="12" t="s">
        <v>67</v>
      </c>
      <c r="L112" s="12" t="s">
        <v>67</v>
      </c>
      <c r="M112" s="12" t="s">
        <v>67</v>
      </c>
    </row>
    <row r="113" ht="16.5" spans="1:13">
      <c r="A113" s="74" t="s">
        <v>38</v>
      </c>
      <c r="B113" s="12" t="s">
        <v>23</v>
      </c>
      <c r="C113" s="75">
        <v>46051</v>
      </c>
      <c r="D113" s="74" t="s">
        <v>147</v>
      </c>
      <c r="E113" s="12" t="s">
        <v>148</v>
      </c>
      <c r="F113" s="74" t="s">
        <v>149</v>
      </c>
      <c r="G113" s="74" t="s">
        <v>303</v>
      </c>
      <c r="H113" s="118">
        <v>5</v>
      </c>
      <c r="I113" s="12">
        <v>3</v>
      </c>
      <c r="J113" s="12" t="s">
        <v>66</v>
      </c>
      <c r="K113" s="12" t="s">
        <v>67</v>
      </c>
      <c r="L113" s="12" t="s">
        <v>67</v>
      </c>
      <c r="M113" s="12" t="s">
        <v>67</v>
      </c>
    </row>
    <row r="114" ht="16.5" spans="1:13">
      <c r="A114" s="74" t="s">
        <v>35</v>
      </c>
      <c r="B114" s="12" t="s">
        <v>23</v>
      </c>
      <c r="C114" s="75">
        <v>46051</v>
      </c>
      <c r="D114" s="74" t="s">
        <v>224</v>
      </c>
      <c r="E114" s="12" t="s">
        <v>125</v>
      </c>
      <c r="F114" s="74" t="s">
        <v>225</v>
      </c>
      <c r="G114" s="74" t="s">
        <v>304</v>
      </c>
      <c r="H114" s="118">
        <v>5</v>
      </c>
      <c r="I114" s="12">
        <v>3</v>
      </c>
      <c r="J114" s="12" t="s">
        <v>66</v>
      </c>
      <c r="K114" s="12" t="s">
        <v>67</v>
      </c>
      <c r="L114" s="12" t="s">
        <v>67</v>
      </c>
      <c r="M114" s="12" t="s">
        <v>67</v>
      </c>
    </row>
    <row r="115" ht="16.5" spans="1:13">
      <c r="A115" s="74" t="s">
        <v>31</v>
      </c>
      <c r="B115" s="12" t="s">
        <v>23</v>
      </c>
      <c r="C115" s="75">
        <v>46051</v>
      </c>
      <c r="D115" s="74" t="s">
        <v>160</v>
      </c>
      <c r="E115" s="12" t="s">
        <v>79</v>
      </c>
      <c r="F115" s="74" t="s">
        <v>161</v>
      </c>
      <c r="G115" s="74" t="s">
        <v>305</v>
      </c>
      <c r="H115" s="118">
        <v>5</v>
      </c>
      <c r="I115" s="12">
        <v>2</v>
      </c>
      <c r="J115" s="12" t="s">
        <v>66</v>
      </c>
      <c r="K115" s="12" t="s">
        <v>67</v>
      </c>
      <c r="L115" s="12" t="s">
        <v>67</v>
      </c>
      <c r="M115" s="12" t="s">
        <v>67</v>
      </c>
    </row>
    <row r="116" ht="16.5" spans="1:13">
      <c r="A116" s="74" t="s">
        <v>38</v>
      </c>
      <c r="B116" s="12" t="s">
        <v>23</v>
      </c>
      <c r="C116" s="75">
        <v>46051</v>
      </c>
      <c r="D116" s="74" t="s">
        <v>306</v>
      </c>
      <c r="E116" s="12" t="s">
        <v>75</v>
      </c>
      <c r="F116" s="74" t="s">
        <v>307</v>
      </c>
      <c r="G116" s="74" t="s">
        <v>308</v>
      </c>
      <c r="H116" s="118">
        <v>4.8</v>
      </c>
      <c r="I116" s="12">
        <v>5</v>
      </c>
      <c r="J116" s="12" t="s">
        <v>66</v>
      </c>
      <c r="K116" s="12" t="s">
        <v>67</v>
      </c>
      <c r="L116" s="12" t="s">
        <v>67</v>
      </c>
      <c r="M116" s="12" t="s">
        <v>67</v>
      </c>
    </row>
    <row r="117" ht="16.5" spans="1:13">
      <c r="A117" s="74" t="s">
        <v>36</v>
      </c>
      <c r="B117" s="12" t="s">
        <v>23</v>
      </c>
      <c r="C117" s="75">
        <v>46051</v>
      </c>
      <c r="D117" s="74" t="s">
        <v>309</v>
      </c>
      <c r="E117" s="12" t="s">
        <v>173</v>
      </c>
      <c r="F117" s="74" t="s">
        <v>310</v>
      </c>
      <c r="G117" s="74" t="s">
        <v>311</v>
      </c>
      <c r="H117" s="118">
        <v>5</v>
      </c>
      <c r="I117" s="12">
        <v>5</v>
      </c>
      <c r="J117" s="12" t="s">
        <v>66</v>
      </c>
      <c r="K117" s="12" t="s">
        <v>67</v>
      </c>
      <c r="L117" s="12" t="s">
        <v>67</v>
      </c>
      <c r="M117" s="12" t="s">
        <v>67</v>
      </c>
    </row>
    <row r="118" ht="16.5" spans="1:13">
      <c r="A118" s="74" t="s">
        <v>32</v>
      </c>
      <c r="B118" s="12" t="s">
        <v>23</v>
      </c>
      <c r="C118" s="75">
        <v>46051</v>
      </c>
      <c r="D118" s="74" t="s">
        <v>312</v>
      </c>
      <c r="E118" s="12" t="s">
        <v>105</v>
      </c>
      <c r="F118" s="74" t="s">
        <v>313</v>
      </c>
      <c r="G118" s="74" t="s">
        <v>314</v>
      </c>
      <c r="H118" s="118">
        <v>5</v>
      </c>
      <c r="I118" s="12">
        <v>3</v>
      </c>
      <c r="J118" s="12" t="s">
        <v>66</v>
      </c>
      <c r="K118" s="12" t="s">
        <v>67</v>
      </c>
      <c r="L118" s="12" t="s">
        <v>67</v>
      </c>
      <c r="M118" s="12" t="s">
        <v>67</v>
      </c>
    </row>
    <row r="119" ht="16.5" spans="1:13">
      <c r="A119" s="74" t="s">
        <v>36</v>
      </c>
      <c r="B119" s="12" t="s">
        <v>23</v>
      </c>
      <c r="C119" s="75">
        <v>46051</v>
      </c>
      <c r="D119" s="74" t="s">
        <v>315</v>
      </c>
      <c r="E119" s="12" t="s">
        <v>173</v>
      </c>
      <c r="F119" s="74" t="s">
        <v>316</v>
      </c>
      <c r="G119" s="74" t="s">
        <v>317</v>
      </c>
      <c r="H119" s="118">
        <v>5</v>
      </c>
      <c r="I119" s="12">
        <v>4</v>
      </c>
      <c r="J119" s="12" t="s">
        <v>66</v>
      </c>
      <c r="K119" s="12" t="s">
        <v>67</v>
      </c>
      <c r="L119" s="12" t="s">
        <v>67</v>
      </c>
      <c r="M119" s="12" t="s">
        <v>67</v>
      </c>
    </row>
    <row r="120" ht="16.5" spans="1:13">
      <c r="A120" s="74" t="s">
        <v>36</v>
      </c>
      <c r="B120" s="12" t="s">
        <v>23</v>
      </c>
      <c r="C120" s="75">
        <v>46051</v>
      </c>
      <c r="D120" s="74" t="s">
        <v>309</v>
      </c>
      <c r="E120" s="12" t="s">
        <v>173</v>
      </c>
      <c r="F120" s="74" t="s">
        <v>310</v>
      </c>
      <c r="G120" s="74" t="s">
        <v>318</v>
      </c>
      <c r="H120" s="118">
        <v>5</v>
      </c>
      <c r="I120" s="12">
        <v>5</v>
      </c>
      <c r="J120" s="12" t="s">
        <v>66</v>
      </c>
      <c r="K120" s="12" t="s">
        <v>67</v>
      </c>
      <c r="L120" s="12" t="s">
        <v>67</v>
      </c>
      <c r="M120" s="12" t="s">
        <v>67</v>
      </c>
    </row>
    <row r="121" ht="16.5" spans="1:13">
      <c r="A121" s="74" t="s">
        <v>38</v>
      </c>
      <c r="B121" s="12" t="s">
        <v>23</v>
      </c>
      <c r="C121" s="75">
        <v>46051</v>
      </c>
      <c r="D121" s="74" t="s">
        <v>319</v>
      </c>
      <c r="E121" s="12" t="s">
        <v>63</v>
      </c>
      <c r="F121" s="74" t="s">
        <v>161</v>
      </c>
      <c r="G121" s="74" t="s">
        <v>84</v>
      </c>
      <c r="H121" s="118">
        <v>5</v>
      </c>
      <c r="I121" s="12">
        <v>5</v>
      </c>
      <c r="J121" s="12" t="s">
        <v>66</v>
      </c>
      <c r="K121" s="12" t="s">
        <v>67</v>
      </c>
      <c r="L121" s="12" t="s">
        <v>67</v>
      </c>
      <c r="M121" s="12" t="s">
        <v>67</v>
      </c>
    </row>
    <row r="122" ht="16.5" spans="1:13">
      <c r="A122" s="74" t="s">
        <v>36</v>
      </c>
      <c r="B122" s="12" t="s">
        <v>23</v>
      </c>
      <c r="C122" s="75">
        <v>46051</v>
      </c>
      <c r="D122" s="74" t="s">
        <v>320</v>
      </c>
      <c r="E122" s="12" t="s">
        <v>173</v>
      </c>
      <c r="F122" s="74" t="s">
        <v>321</v>
      </c>
      <c r="G122" s="74" t="s">
        <v>215</v>
      </c>
      <c r="H122" s="118">
        <v>5</v>
      </c>
      <c r="I122" s="12">
        <v>3</v>
      </c>
      <c r="J122" s="12" t="s">
        <v>66</v>
      </c>
      <c r="K122" s="12" t="s">
        <v>67</v>
      </c>
      <c r="L122" s="12" t="s">
        <v>67</v>
      </c>
      <c r="M122" s="12" t="s">
        <v>67</v>
      </c>
    </row>
    <row r="123" ht="16.5" spans="1:13">
      <c r="A123" s="74" t="s">
        <v>38</v>
      </c>
      <c r="B123" s="12" t="s">
        <v>23</v>
      </c>
      <c r="C123" s="75">
        <v>46051</v>
      </c>
      <c r="D123" s="74" t="s">
        <v>322</v>
      </c>
      <c r="E123" s="12" t="s">
        <v>168</v>
      </c>
      <c r="F123" s="74" t="s">
        <v>153</v>
      </c>
      <c r="G123" s="74" t="s">
        <v>323</v>
      </c>
      <c r="H123" s="118">
        <v>5</v>
      </c>
      <c r="I123" s="12">
        <v>3</v>
      </c>
      <c r="J123" s="12" t="s">
        <v>66</v>
      </c>
      <c r="K123" s="12" t="s">
        <v>67</v>
      </c>
      <c r="L123" s="12" t="s">
        <v>67</v>
      </c>
      <c r="M123" s="12" t="s">
        <v>67</v>
      </c>
    </row>
    <row r="124" ht="16.5" spans="1:13">
      <c r="A124" s="74" t="s">
        <v>37</v>
      </c>
      <c r="B124" s="12" t="s">
        <v>23</v>
      </c>
      <c r="C124" s="75">
        <v>46051</v>
      </c>
      <c r="D124" s="74" t="s">
        <v>203</v>
      </c>
      <c r="E124" s="12" t="s">
        <v>109</v>
      </c>
      <c r="F124" s="74" t="s">
        <v>204</v>
      </c>
      <c r="G124" s="74" t="s">
        <v>159</v>
      </c>
      <c r="H124" s="118">
        <v>5</v>
      </c>
      <c r="I124" s="12">
        <v>2</v>
      </c>
      <c r="J124" s="12" t="s">
        <v>66</v>
      </c>
      <c r="K124" s="12" t="s">
        <v>67</v>
      </c>
      <c r="L124" s="12" t="s">
        <v>67</v>
      </c>
      <c r="M124" s="12" t="s">
        <v>67</v>
      </c>
    </row>
    <row r="125" ht="16.5" spans="1:13">
      <c r="A125" s="74" t="s">
        <v>37</v>
      </c>
      <c r="B125" s="12" t="s">
        <v>23</v>
      </c>
      <c r="C125" s="75">
        <v>46051</v>
      </c>
      <c r="D125" s="74" t="s">
        <v>324</v>
      </c>
      <c r="E125" s="12" t="s">
        <v>152</v>
      </c>
      <c r="F125" s="74" t="s">
        <v>325</v>
      </c>
      <c r="G125" s="74" t="s">
        <v>326</v>
      </c>
      <c r="H125" s="118">
        <v>5</v>
      </c>
      <c r="I125" s="12">
        <v>4</v>
      </c>
      <c r="J125" s="12" t="s">
        <v>66</v>
      </c>
      <c r="K125" s="12" t="s">
        <v>67</v>
      </c>
      <c r="L125" s="12" t="s">
        <v>67</v>
      </c>
      <c r="M125" s="12" t="s">
        <v>67</v>
      </c>
    </row>
    <row r="126" ht="16.5" spans="1:13">
      <c r="A126" s="74" t="s">
        <v>37</v>
      </c>
      <c r="B126" s="12" t="s">
        <v>23</v>
      </c>
      <c r="C126" s="75">
        <v>46051</v>
      </c>
      <c r="D126" s="74" t="s">
        <v>230</v>
      </c>
      <c r="E126" s="12" t="s">
        <v>109</v>
      </c>
      <c r="F126" s="74" t="s">
        <v>231</v>
      </c>
      <c r="G126" s="74" t="s">
        <v>327</v>
      </c>
      <c r="H126" s="118">
        <v>5</v>
      </c>
      <c r="I126" s="12">
        <v>4</v>
      </c>
      <c r="J126" s="12" t="s">
        <v>66</v>
      </c>
      <c r="K126" s="12" t="s">
        <v>67</v>
      </c>
      <c r="L126" s="12" t="s">
        <v>67</v>
      </c>
      <c r="M126" s="12" t="s">
        <v>67</v>
      </c>
    </row>
    <row r="127" ht="16.5" spans="1:13">
      <c r="A127" s="74" t="s">
        <v>32</v>
      </c>
      <c r="B127" s="12" t="s">
        <v>23</v>
      </c>
      <c r="C127" s="75">
        <v>46051</v>
      </c>
      <c r="D127" s="74" t="s">
        <v>256</v>
      </c>
      <c r="E127" s="12" t="s">
        <v>105</v>
      </c>
      <c r="F127" s="74" t="s">
        <v>328</v>
      </c>
      <c r="G127" s="74" t="s">
        <v>329</v>
      </c>
      <c r="H127" s="118">
        <v>5</v>
      </c>
      <c r="I127" s="12">
        <v>4</v>
      </c>
      <c r="J127" s="12" t="s">
        <v>66</v>
      </c>
      <c r="K127" s="12" t="s">
        <v>67</v>
      </c>
      <c r="L127" s="12" t="s">
        <v>67</v>
      </c>
      <c r="M127" s="12" t="s">
        <v>67</v>
      </c>
    </row>
    <row r="128" ht="16.5" spans="1:13">
      <c r="A128" s="74" t="s">
        <v>32</v>
      </c>
      <c r="B128" s="12" t="s">
        <v>23</v>
      </c>
      <c r="C128" s="75">
        <v>46051</v>
      </c>
      <c r="D128" s="74" t="s">
        <v>256</v>
      </c>
      <c r="E128" s="12" t="s">
        <v>105</v>
      </c>
      <c r="F128" s="74" t="s">
        <v>330</v>
      </c>
      <c r="G128" s="74" t="s">
        <v>331</v>
      </c>
      <c r="H128" s="118">
        <v>5</v>
      </c>
      <c r="I128" s="12">
        <v>4</v>
      </c>
      <c r="J128" s="12" t="s">
        <v>66</v>
      </c>
      <c r="K128" s="12" t="s">
        <v>67</v>
      </c>
      <c r="L128" s="12" t="s">
        <v>67</v>
      </c>
      <c r="M128" s="12" t="s">
        <v>67</v>
      </c>
    </row>
    <row r="129" ht="16.5" spans="1:13">
      <c r="A129" s="74" t="s">
        <v>38</v>
      </c>
      <c r="B129" s="12" t="s">
        <v>23</v>
      </c>
      <c r="C129" s="75">
        <v>46051</v>
      </c>
      <c r="D129" s="74" t="s">
        <v>205</v>
      </c>
      <c r="E129" s="12" t="s">
        <v>168</v>
      </c>
      <c r="F129" s="74" t="s">
        <v>206</v>
      </c>
      <c r="G129" s="74" t="s">
        <v>92</v>
      </c>
      <c r="H129" s="118">
        <v>5</v>
      </c>
      <c r="I129" s="12">
        <v>2</v>
      </c>
      <c r="J129" s="12" t="s">
        <v>66</v>
      </c>
      <c r="K129" s="12" t="s">
        <v>67</v>
      </c>
      <c r="L129" s="12" t="s">
        <v>67</v>
      </c>
      <c r="M129" s="12" t="s">
        <v>67</v>
      </c>
    </row>
    <row r="130" ht="16.5" spans="1:13">
      <c r="A130" s="74" t="s">
        <v>37</v>
      </c>
      <c r="B130" s="12" t="s">
        <v>23</v>
      </c>
      <c r="C130" s="75">
        <v>46051</v>
      </c>
      <c r="D130" s="74" t="s">
        <v>151</v>
      </c>
      <c r="E130" s="12" t="s">
        <v>152</v>
      </c>
      <c r="F130" s="74" t="s">
        <v>153</v>
      </c>
      <c r="G130" s="74" t="s">
        <v>332</v>
      </c>
      <c r="H130" s="118">
        <v>5</v>
      </c>
      <c r="I130" s="12">
        <v>3</v>
      </c>
      <c r="J130" s="12" t="s">
        <v>66</v>
      </c>
      <c r="K130" s="12" t="s">
        <v>67</v>
      </c>
      <c r="L130" s="12" t="s">
        <v>67</v>
      </c>
      <c r="M130" s="12" t="s">
        <v>67</v>
      </c>
    </row>
    <row r="131" ht="16.5" spans="1:13">
      <c r="A131" s="74" t="s">
        <v>38</v>
      </c>
      <c r="B131" s="12" t="s">
        <v>23</v>
      </c>
      <c r="C131" s="75">
        <v>46051</v>
      </c>
      <c r="D131" s="74" t="s">
        <v>205</v>
      </c>
      <c r="E131" s="12" t="s">
        <v>168</v>
      </c>
      <c r="F131" s="74" t="s">
        <v>206</v>
      </c>
      <c r="G131" s="74" t="s">
        <v>84</v>
      </c>
      <c r="H131" s="118">
        <v>5</v>
      </c>
      <c r="I131" s="12">
        <v>2</v>
      </c>
      <c r="J131" s="12" t="s">
        <v>66</v>
      </c>
      <c r="K131" s="12" t="s">
        <v>67</v>
      </c>
      <c r="L131" s="12" t="s">
        <v>67</v>
      </c>
      <c r="M131" s="12" t="s">
        <v>67</v>
      </c>
    </row>
    <row r="132" ht="16.5" spans="1:13">
      <c r="A132" s="74" t="s">
        <v>26</v>
      </c>
      <c r="B132" s="12" t="s">
        <v>23</v>
      </c>
      <c r="C132" s="75">
        <v>46051</v>
      </c>
      <c r="D132" s="74" t="s">
        <v>333</v>
      </c>
      <c r="E132" s="12" t="s">
        <v>121</v>
      </c>
      <c r="F132" s="74" t="s">
        <v>161</v>
      </c>
      <c r="G132" s="74" t="s">
        <v>334</v>
      </c>
      <c r="H132" s="118">
        <v>5</v>
      </c>
      <c r="I132" s="12">
        <v>1</v>
      </c>
      <c r="J132" s="12" t="s">
        <v>66</v>
      </c>
      <c r="K132" s="12" t="s">
        <v>67</v>
      </c>
      <c r="L132" s="12" t="s">
        <v>67</v>
      </c>
      <c r="M132" s="12" t="s">
        <v>67</v>
      </c>
    </row>
    <row r="133" ht="16.5" spans="1:13">
      <c r="A133" s="74" t="s">
        <v>38</v>
      </c>
      <c r="B133" s="12" t="s">
        <v>23</v>
      </c>
      <c r="C133" s="75">
        <v>46051</v>
      </c>
      <c r="D133" s="74" t="s">
        <v>167</v>
      </c>
      <c r="E133" s="12" t="s">
        <v>168</v>
      </c>
      <c r="F133" s="74" t="s">
        <v>169</v>
      </c>
      <c r="G133" s="74" t="s">
        <v>159</v>
      </c>
      <c r="H133" s="118">
        <v>5</v>
      </c>
      <c r="I133" s="12">
        <v>4</v>
      </c>
      <c r="J133" s="12" t="s">
        <v>66</v>
      </c>
      <c r="K133" s="12" t="s">
        <v>67</v>
      </c>
      <c r="L133" s="12" t="s">
        <v>67</v>
      </c>
      <c r="M133" s="12" t="s">
        <v>67</v>
      </c>
    </row>
    <row r="134" ht="16.5" spans="1:13">
      <c r="A134" s="74" t="s">
        <v>26</v>
      </c>
      <c r="B134" s="12" t="s">
        <v>23</v>
      </c>
      <c r="C134" s="75">
        <v>46051</v>
      </c>
      <c r="D134" s="74" t="s">
        <v>120</v>
      </c>
      <c r="E134" s="12" t="s">
        <v>121</v>
      </c>
      <c r="F134" s="74" t="s">
        <v>122</v>
      </c>
      <c r="G134" s="74" t="s">
        <v>335</v>
      </c>
      <c r="H134" s="118">
        <v>5</v>
      </c>
      <c r="I134" s="12">
        <v>3</v>
      </c>
      <c r="J134" s="12" t="s">
        <v>66</v>
      </c>
      <c r="K134" s="12" t="s">
        <v>67</v>
      </c>
      <c r="L134" s="12" t="s">
        <v>67</v>
      </c>
      <c r="M134" s="12" t="s">
        <v>67</v>
      </c>
    </row>
    <row r="135" ht="16.5" spans="1:13">
      <c r="A135" s="74" t="s">
        <v>38</v>
      </c>
      <c r="B135" s="12" t="s">
        <v>23</v>
      </c>
      <c r="C135" s="75">
        <v>46051</v>
      </c>
      <c r="D135" s="74" t="s">
        <v>336</v>
      </c>
      <c r="E135" s="12" t="s">
        <v>70</v>
      </c>
      <c r="F135" s="74" t="s">
        <v>337</v>
      </c>
      <c r="G135" s="74" t="s">
        <v>338</v>
      </c>
      <c r="H135" s="118">
        <v>5</v>
      </c>
      <c r="I135" s="12">
        <v>5</v>
      </c>
      <c r="J135" s="12" t="s">
        <v>66</v>
      </c>
      <c r="K135" s="12" t="s">
        <v>67</v>
      </c>
      <c r="L135" s="12" t="s">
        <v>67</v>
      </c>
      <c r="M135" s="12" t="s">
        <v>67</v>
      </c>
    </row>
    <row r="136" ht="16.5" spans="1:13">
      <c r="A136" s="74" t="s">
        <v>38</v>
      </c>
      <c r="B136" s="12" t="s">
        <v>23</v>
      </c>
      <c r="C136" s="75">
        <v>46051</v>
      </c>
      <c r="D136" s="74" t="s">
        <v>258</v>
      </c>
      <c r="E136" s="12" t="s">
        <v>148</v>
      </c>
      <c r="F136" s="74" t="s">
        <v>259</v>
      </c>
      <c r="G136" s="74" t="s">
        <v>339</v>
      </c>
      <c r="H136" s="118">
        <v>5</v>
      </c>
      <c r="I136" s="12">
        <v>3</v>
      </c>
      <c r="J136" s="12" t="s">
        <v>66</v>
      </c>
      <c r="K136" s="12" t="s">
        <v>67</v>
      </c>
      <c r="L136" s="12" t="s">
        <v>67</v>
      </c>
      <c r="M136" s="12" t="s">
        <v>67</v>
      </c>
    </row>
    <row r="137" ht="16.5" spans="1:13">
      <c r="A137" s="74" t="s">
        <v>38</v>
      </c>
      <c r="B137" s="12" t="s">
        <v>23</v>
      </c>
      <c r="C137" s="75">
        <v>46051</v>
      </c>
      <c r="D137" s="74" t="s">
        <v>340</v>
      </c>
      <c r="E137" s="12" t="s">
        <v>148</v>
      </c>
      <c r="F137" s="74" t="s">
        <v>341</v>
      </c>
      <c r="G137" s="74" t="s">
        <v>77</v>
      </c>
      <c r="H137" s="118">
        <v>5</v>
      </c>
      <c r="I137" s="12">
        <v>5</v>
      </c>
      <c r="J137" s="12" t="s">
        <v>66</v>
      </c>
      <c r="K137" s="12" t="s">
        <v>67</v>
      </c>
      <c r="L137" s="12" t="s">
        <v>67</v>
      </c>
      <c r="M137" s="12" t="s">
        <v>67</v>
      </c>
    </row>
    <row r="138" ht="16.5" spans="1:13">
      <c r="A138" s="74" t="s">
        <v>38</v>
      </c>
      <c r="B138" s="12" t="s">
        <v>23</v>
      </c>
      <c r="C138" s="75">
        <v>46051</v>
      </c>
      <c r="D138" s="74" t="s">
        <v>340</v>
      </c>
      <c r="E138" s="12" t="s">
        <v>148</v>
      </c>
      <c r="F138" s="74" t="s">
        <v>341</v>
      </c>
      <c r="G138" s="74" t="s">
        <v>342</v>
      </c>
      <c r="H138" s="118">
        <v>5</v>
      </c>
      <c r="I138" s="12">
        <v>5</v>
      </c>
      <c r="J138" s="12" t="s">
        <v>66</v>
      </c>
      <c r="K138" s="12" t="s">
        <v>67</v>
      </c>
      <c r="L138" s="12" t="s">
        <v>67</v>
      </c>
      <c r="M138" s="12" t="s">
        <v>67</v>
      </c>
    </row>
    <row r="139" ht="16.5" spans="1:13">
      <c r="A139" s="74" t="s">
        <v>38</v>
      </c>
      <c r="B139" s="12" t="s">
        <v>23</v>
      </c>
      <c r="C139" s="75">
        <v>46051</v>
      </c>
      <c r="D139" s="74" t="s">
        <v>340</v>
      </c>
      <c r="E139" s="12" t="s">
        <v>148</v>
      </c>
      <c r="F139" s="74" t="s">
        <v>341</v>
      </c>
      <c r="G139" s="74" t="s">
        <v>154</v>
      </c>
      <c r="H139" s="118">
        <v>5</v>
      </c>
      <c r="I139" s="12">
        <v>5</v>
      </c>
      <c r="J139" s="12" t="s">
        <v>66</v>
      </c>
      <c r="K139" s="12" t="s">
        <v>67</v>
      </c>
      <c r="L139" s="12" t="s">
        <v>67</v>
      </c>
      <c r="M139" s="12" t="s">
        <v>67</v>
      </c>
    </row>
    <row r="140" ht="16.5" spans="1:13">
      <c r="A140" s="74" t="s">
        <v>31</v>
      </c>
      <c r="B140" s="12" t="s">
        <v>23</v>
      </c>
      <c r="C140" s="75">
        <v>46051</v>
      </c>
      <c r="D140" s="74" t="s">
        <v>343</v>
      </c>
      <c r="E140" s="12" t="s">
        <v>79</v>
      </c>
      <c r="F140" s="74" t="s">
        <v>344</v>
      </c>
      <c r="G140" s="74" t="s">
        <v>345</v>
      </c>
      <c r="H140" s="118">
        <v>5</v>
      </c>
      <c r="I140" s="12">
        <v>3</v>
      </c>
      <c r="J140" s="12" t="s">
        <v>66</v>
      </c>
      <c r="K140" s="12" t="s">
        <v>67</v>
      </c>
      <c r="L140" s="12" t="s">
        <v>67</v>
      </c>
      <c r="M140" s="12" t="s">
        <v>67</v>
      </c>
    </row>
    <row r="141" ht="16.5" spans="1:13">
      <c r="A141" s="74" t="s">
        <v>31</v>
      </c>
      <c r="B141" s="12" t="s">
        <v>23</v>
      </c>
      <c r="C141" s="75">
        <v>46052</v>
      </c>
      <c r="D141" s="74" t="s">
        <v>285</v>
      </c>
      <c r="E141" s="12" t="s">
        <v>90</v>
      </c>
      <c r="F141" s="74" t="s">
        <v>286</v>
      </c>
      <c r="G141" s="74" t="s">
        <v>346</v>
      </c>
      <c r="H141" s="118">
        <v>5</v>
      </c>
      <c r="I141" s="12">
        <v>3</v>
      </c>
      <c r="J141" s="12" t="s">
        <v>66</v>
      </c>
      <c r="K141" s="12" t="s">
        <v>67</v>
      </c>
      <c r="L141" s="12" t="s">
        <v>67</v>
      </c>
      <c r="M141" s="12" t="s">
        <v>67</v>
      </c>
    </row>
    <row r="142" ht="16.5" spans="1:13">
      <c r="A142" s="74" t="s">
        <v>31</v>
      </c>
      <c r="B142" s="12" t="s">
        <v>23</v>
      </c>
      <c r="C142" s="75">
        <v>46052</v>
      </c>
      <c r="D142" s="74" t="s">
        <v>285</v>
      </c>
      <c r="E142" s="12" t="s">
        <v>90</v>
      </c>
      <c r="F142" s="74" t="s">
        <v>286</v>
      </c>
      <c r="G142" s="74" t="s">
        <v>235</v>
      </c>
      <c r="H142" s="118">
        <v>5</v>
      </c>
      <c r="I142" s="12">
        <v>3</v>
      </c>
      <c r="J142" s="12" t="s">
        <v>66</v>
      </c>
      <c r="K142" s="12" t="s">
        <v>67</v>
      </c>
      <c r="L142" s="12" t="s">
        <v>67</v>
      </c>
      <c r="M142" s="12" t="s">
        <v>67</v>
      </c>
    </row>
    <row r="143" ht="16.5" spans="1:13">
      <c r="A143" s="74" t="s">
        <v>38</v>
      </c>
      <c r="B143" s="12" t="s">
        <v>23</v>
      </c>
      <c r="C143" s="75">
        <v>46050</v>
      </c>
      <c r="D143" s="74" t="s">
        <v>347</v>
      </c>
      <c r="E143" s="12" t="s">
        <v>75</v>
      </c>
      <c r="F143" s="74" t="s">
        <v>348</v>
      </c>
      <c r="G143" s="74" t="s">
        <v>349</v>
      </c>
      <c r="H143" s="118">
        <v>5</v>
      </c>
      <c r="I143" s="12">
        <v>4</v>
      </c>
      <c r="J143" s="12" t="s">
        <v>66</v>
      </c>
      <c r="K143" s="12" t="s">
        <v>67</v>
      </c>
      <c r="L143" s="12" t="s">
        <v>67</v>
      </c>
      <c r="M143" s="12" t="s">
        <v>67</v>
      </c>
    </row>
    <row r="144" ht="16.5" spans="1:13">
      <c r="A144" s="74" t="s">
        <v>34</v>
      </c>
      <c r="B144" s="12" t="s">
        <v>23</v>
      </c>
      <c r="C144" s="75">
        <v>46050</v>
      </c>
      <c r="D144" s="74" t="s">
        <v>350</v>
      </c>
      <c r="E144" s="12" t="s">
        <v>351</v>
      </c>
      <c r="F144" s="74" t="s">
        <v>352</v>
      </c>
      <c r="G144" s="74" t="s">
        <v>353</v>
      </c>
      <c r="H144" s="118">
        <v>5</v>
      </c>
      <c r="I144" s="12">
        <v>3</v>
      </c>
      <c r="J144" s="12" t="s">
        <v>66</v>
      </c>
      <c r="K144" s="12" t="s">
        <v>67</v>
      </c>
      <c r="L144" s="12" t="s">
        <v>67</v>
      </c>
      <c r="M144" s="12" t="s">
        <v>67</v>
      </c>
    </row>
    <row r="145" ht="16.5" spans="1:13">
      <c r="A145" s="74" t="s">
        <v>36</v>
      </c>
      <c r="B145" s="12" t="s">
        <v>23</v>
      </c>
      <c r="C145" s="75">
        <v>46050</v>
      </c>
      <c r="D145" s="74" t="s">
        <v>354</v>
      </c>
      <c r="E145" s="12" t="s">
        <v>173</v>
      </c>
      <c r="F145" s="74" t="s">
        <v>355</v>
      </c>
      <c r="G145" s="74" t="s">
        <v>170</v>
      </c>
      <c r="H145" s="118">
        <v>5</v>
      </c>
      <c r="I145" s="12">
        <v>7</v>
      </c>
      <c r="J145" s="12" t="s">
        <v>66</v>
      </c>
      <c r="K145" s="12" t="s">
        <v>67</v>
      </c>
      <c r="L145" s="12" t="s">
        <v>67</v>
      </c>
      <c r="M145" s="12" t="s">
        <v>67</v>
      </c>
    </row>
    <row r="146" ht="16.5" spans="1:13">
      <c r="A146" s="74" t="s">
        <v>38</v>
      </c>
      <c r="B146" s="12" t="s">
        <v>23</v>
      </c>
      <c r="C146" s="75">
        <v>46050</v>
      </c>
      <c r="D146" s="74" t="s">
        <v>322</v>
      </c>
      <c r="E146" s="12" t="s">
        <v>168</v>
      </c>
      <c r="F146" s="74" t="s">
        <v>153</v>
      </c>
      <c r="G146" s="74" t="s">
        <v>356</v>
      </c>
      <c r="H146" s="118">
        <v>5</v>
      </c>
      <c r="I146" s="12">
        <v>3</v>
      </c>
      <c r="J146" s="12" t="s">
        <v>66</v>
      </c>
      <c r="K146" s="12" t="s">
        <v>67</v>
      </c>
      <c r="L146" s="12" t="s">
        <v>67</v>
      </c>
      <c r="M146" s="12" t="s">
        <v>67</v>
      </c>
    </row>
    <row r="147" ht="16.5" spans="1:13">
      <c r="A147" s="74" t="s">
        <v>31</v>
      </c>
      <c r="B147" s="12" t="s">
        <v>23</v>
      </c>
      <c r="C147" s="75">
        <v>46048</v>
      </c>
      <c r="D147" s="74" t="s">
        <v>285</v>
      </c>
      <c r="E147" s="12" t="s">
        <v>90</v>
      </c>
      <c r="F147" s="74" t="s">
        <v>286</v>
      </c>
      <c r="G147" s="74" t="s">
        <v>357</v>
      </c>
      <c r="H147" s="118">
        <v>5</v>
      </c>
      <c r="I147" s="12">
        <v>2</v>
      </c>
      <c r="J147" s="12" t="s">
        <v>211</v>
      </c>
      <c r="K147" s="12" t="s">
        <v>212</v>
      </c>
      <c r="L147" s="12" t="s">
        <v>212</v>
      </c>
      <c r="M147" s="12" t="s">
        <v>212</v>
      </c>
    </row>
    <row r="148" ht="16.5" spans="1:13">
      <c r="A148" s="74" t="s">
        <v>38</v>
      </c>
      <c r="B148" s="12" t="s">
        <v>23</v>
      </c>
      <c r="C148" s="75">
        <v>46050</v>
      </c>
      <c r="D148" s="74" t="s">
        <v>306</v>
      </c>
      <c r="E148" s="12" t="s">
        <v>75</v>
      </c>
      <c r="F148" s="74" t="s">
        <v>358</v>
      </c>
      <c r="G148" s="74" t="s">
        <v>159</v>
      </c>
      <c r="H148" s="118">
        <v>4.8</v>
      </c>
      <c r="I148" s="12">
        <v>5</v>
      </c>
      <c r="J148" s="12" t="s">
        <v>66</v>
      </c>
      <c r="K148" s="12" t="s">
        <v>67</v>
      </c>
      <c r="L148" s="12" t="s">
        <v>67</v>
      </c>
      <c r="M148" s="12" t="s">
        <v>67</v>
      </c>
    </row>
    <row r="149" ht="16.5" spans="1:13">
      <c r="A149" s="74" t="s">
        <v>32</v>
      </c>
      <c r="B149" s="12" t="s">
        <v>23</v>
      </c>
      <c r="C149" s="75">
        <v>46050</v>
      </c>
      <c r="D149" s="74" t="s">
        <v>104</v>
      </c>
      <c r="E149" s="12" t="s">
        <v>105</v>
      </c>
      <c r="F149" s="74" t="s">
        <v>118</v>
      </c>
      <c r="G149" s="74" t="s">
        <v>359</v>
      </c>
      <c r="H149" s="118">
        <v>5</v>
      </c>
      <c r="I149" s="12">
        <v>3</v>
      </c>
      <c r="J149" s="12" t="s">
        <v>66</v>
      </c>
      <c r="K149" s="12" t="s">
        <v>67</v>
      </c>
      <c r="L149" s="12" t="s">
        <v>67</v>
      </c>
      <c r="M149" s="12" t="s">
        <v>67</v>
      </c>
    </row>
    <row r="150" ht="16.5" spans="1:13">
      <c r="A150" s="74" t="s">
        <v>37</v>
      </c>
      <c r="B150" s="12" t="s">
        <v>23</v>
      </c>
      <c r="C150" s="75">
        <v>46050</v>
      </c>
      <c r="D150" s="74" t="s">
        <v>151</v>
      </c>
      <c r="E150" s="12" t="s">
        <v>152</v>
      </c>
      <c r="F150" s="74" t="s">
        <v>153</v>
      </c>
      <c r="G150" s="74" t="s">
        <v>360</v>
      </c>
      <c r="H150" s="118">
        <v>5</v>
      </c>
      <c r="I150" s="12">
        <v>4</v>
      </c>
      <c r="J150" s="12" t="s">
        <v>66</v>
      </c>
      <c r="K150" s="12" t="s">
        <v>67</v>
      </c>
      <c r="L150" s="12" t="s">
        <v>67</v>
      </c>
      <c r="M150" s="12" t="s">
        <v>67</v>
      </c>
    </row>
    <row r="151" ht="16.5" spans="1:13">
      <c r="A151" s="74" t="s">
        <v>34</v>
      </c>
      <c r="B151" s="12" t="s">
        <v>23</v>
      </c>
      <c r="C151" s="75">
        <v>46050</v>
      </c>
      <c r="D151" s="74" t="s">
        <v>361</v>
      </c>
      <c r="E151" s="12" t="s">
        <v>351</v>
      </c>
      <c r="F151" s="74" t="s">
        <v>362</v>
      </c>
      <c r="G151" s="74" t="s">
        <v>363</v>
      </c>
      <c r="H151" s="118">
        <v>5</v>
      </c>
      <c r="I151" s="12">
        <v>4</v>
      </c>
      <c r="J151" s="12" t="s">
        <v>66</v>
      </c>
      <c r="K151" s="12" t="s">
        <v>67</v>
      </c>
      <c r="L151" s="12" t="s">
        <v>67</v>
      </c>
      <c r="M151" s="12" t="s">
        <v>67</v>
      </c>
    </row>
    <row r="152" ht="16.5" spans="1:13">
      <c r="A152" s="74" t="s">
        <v>29</v>
      </c>
      <c r="B152" s="12" t="s">
        <v>23</v>
      </c>
      <c r="C152" s="75">
        <v>46050</v>
      </c>
      <c r="D152" s="74" t="s">
        <v>364</v>
      </c>
      <c r="E152" s="12" t="s">
        <v>130</v>
      </c>
      <c r="F152" s="74" t="s">
        <v>365</v>
      </c>
      <c r="G152" s="74" t="s">
        <v>366</v>
      </c>
      <c r="H152" s="118">
        <v>5</v>
      </c>
      <c r="I152" s="12">
        <v>7</v>
      </c>
      <c r="J152" s="12" t="s">
        <v>66</v>
      </c>
      <c r="K152" s="12" t="s">
        <v>67</v>
      </c>
      <c r="L152" s="12" t="s">
        <v>67</v>
      </c>
      <c r="M152" s="12" t="s">
        <v>67</v>
      </c>
    </row>
    <row r="153" ht="16.5" spans="1:13">
      <c r="A153" s="74" t="s">
        <v>29</v>
      </c>
      <c r="B153" s="12" t="s">
        <v>23</v>
      </c>
      <c r="C153" s="75">
        <v>46050</v>
      </c>
      <c r="D153" s="74" t="s">
        <v>364</v>
      </c>
      <c r="E153" s="12" t="s">
        <v>130</v>
      </c>
      <c r="F153" s="74" t="s">
        <v>365</v>
      </c>
      <c r="G153" s="74" t="s">
        <v>92</v>
      </c>
      <c r="H153" s="118">
        <v>5</v>
      </c>
      <c r="I153" s="12">
        <v>7</v>
      </c>
      <c r="J153" s="12" t="s">
        <v>66</v>
      </c>
      <c r="K153" s="12" t="s">
        <v>67</v>
      </c>
      <c r="L153" s="12" t="s">
        <v>67</v>
      </c>
      <c r="M153" s="12" t="s">
        <v>67</v>
      </c>
    </row>
    <row r="154" ht="16.5" spans="1:13">
      <c r="A154" s="74" t="s">
        <v>29</v>
      </c>
      <c r="B154" s="12" t="s">
        <v>23</v>
      </c>
      <c r="C154" s="75">
        <v>46050</v>
      </c>
      <c r="D154" s="74" t="s">
        <v>364</v>
      </c>
      <c r="E154" s="12" t="s">
        <v>130</v>
      </c>
      <c r="F154" s="74" t="s">
        <v>365</v>
      </c>
      <c r="G154" s="74" t="s">
        <v>367</v>
      </c>
      <c r="H154" s="118">
        <v>5</v>
      </c>
      <c r="I154" s="12">
        <v>6</v>
      </c>
      <c r="J154" s="12" t="s">
        <v>66</v>
      </c>
      <c r="K154" s="12" t="s">
        <v>67</v>
      </c>
      <c r="L154" s="12" t="s">
        <v>67</v>
      </c>
      <c r="M154" s="12" t="s">
        <v>67</v>
      </c>
    </row>
    <row r="155" ht="16.5" spans="1:13">
      <c r="A155" s="74" t="s">
        <v>38</v>
      </c>
      <c r="B155" s="12" t="s">
        <v>23</v>
      </c>
      <c r="C155" s="75">
        <v>46050</v>
      </c>
      <c r="D155" s="74" t="s">
        <v>368</v>
      </c>
      <c r="E155" s="12" t="s">
        <v>70</v>
      </c>
      <c r="F155" s="74" t="s">
        <v>369</v>
      </c>
      <c r="G155" s="74" t="s">
        <v>370</v>
      </c>
      <c r="H155" s="118">
        <v>5</v>
      </c>
      <c r="I155" s="12">
        <v>6</v>
      </c>
      <c r="J155" s="12" t="s">
        <v>66</v>
      </c>
      <c r="K155" s="12" t="s">
        <v>67</v>
      </c>
      <c r="L155" s="12" t="s">
        <v>67</v>
      </c>
      <c r="M155" s="12" t="s">
        <v>67</v>
      </c>
    </row>
    <row r="156" ht="16.5" spans="1:13">
      <c r="A156" s="74" t="s">
        <v>38</v>
      </c>
      <c r="B156" s="12" t="s">
        <v>23</v>
      </c>
      <c r="C156" s="75">
        <v>46050</v>
      </c>
      <c r="D156" s="74" t="s">
        <v>371</v>
      </c>
      <c r="E156" s="12" t="s">
        <v>148</v>
      </c>
      <c r="F156" s="74" t="s">
        <v>372</v>
      </c>
      <c r="G156" s="74" t="s">
        <v>373</v>
      </c>
      <c r="H156" s="118">
        <v>5</v>
      </c>
      <c r="I156" s="12">
        <v>5</v>
      </c>
      <c r="J156" s="12" t="s">
        <v>66</v>
      </c>
      <c r="K156" s="12" t="s">
        <v>67</v>
      </c>
      <c r="L156" s="12" t="s">
        <v>67</v>
      </c>
      <c r="M156" s="12" t="s">
        <v>67</v>
      </c>
    </row>
    <row r="157" ht="16.5" spans="1:13">
      <c r="A157" s="74" t="s">
        <v>38</v>
      </c>
      <c r="B157" s="12" t="s">
        <v>23</v>
      </c>
      <c r="C157" s="75">
        <v>46050</v>
      </c>
      <c r="D157" s="74" t="s">
        <v>371</v>
      </c>
      <c r="E157" s="12" t="s">
        <v>148</v>
      </c>
      <c r="F157" s="74" t="s">
        <v>372</v>
      </c>
      <c r="G157" s="74" t="s">
        <v>374</v>
      </c>
      <c r="H157" s="118">
        <v>5</v>
      </c>
      <c r="I157" s="12">
        <v>5</v>
      </c>
      <c r="J157" s="12" t="s">
        <v>66</v>
      </c>
      <c r="K157" s="12" t="s">
        <v>67</v>
      </c>
      <c r="L157" s="12" t="s">
        <v>67</v>
      </c>
      <c r="M157" s="12" t="s">
        <v>67</v>
      </c>
    </row>
    <row r="158" ht="16.5" spans="1:13">
      <c r="A158" s="74" t="s">
        <v>38</v>
      </c>
      <c r="B158" s="12" t="s">
        <v>23</v>
      </c>
      <c r="C158" s="75">
        <v>46050</v>
      </c>
      <c r="D158" s="74" t="s">
        <v>319</v>
      </c>
      <c r="E158" s="12" t="s">
        <v>63</v>
      </c>
      <c r="F158" s="74" t="s">
        <v>161</v>
      </c>
      <c r="G158" s="74" t="s">
        <v>301</v>
      </c>
      <c r="H158" s="118">
        <v>5</v>
      </c>
      <c r="I158" s="12">
        <v>5</v>
      </c>
      <c r="J158" s="12" t="s">
        <v>66</v>
      </c>
      <c r="K158" s="12" t="s">
        <v>67</v>
      </c>
      <c r="L158" s="12" t="s">
        <v>67</v>
      </c>
      <c r="M158" s="12" t="s">
        <v>67</v>
      </c>
    </row>
    <row r="159" ht="16.5" spans="1:13">
      <c r="A159" s="74" t="s">
        <v>38</v>
      </c>
      <c r="B159" s="12" t="s">
        <v>23</v>
      </c>
      <c r="C159" s="75">
        <v>46050</v>
      </c>
      <c r="D159" s="74" t="s">
        <v>167</v>
      </c>
      <c r="E159" s="12" t="s">
        <v>168</v>
      </c>
      <c r="F159" s="74" t="s">
        <v>169</v>
      </c>
      <c r="G159" s="74" t="s">
        <v>97</v>
      </c>
      <c r="H159" s="118">
        <v>5</v>
      </c>
      <c r="I159" s="12">
        <v>4</v>
      </c>
      <c r="J159" s="12" t="s">
        <v>66</v>
      </c>
      <c r="K159" s="12" t="s">
        <v>67</v>
      </c>
      <c r="L159" s="12" t="s">
        <v>67</v>
      </c>
      <c r="M159" s="12" t="s">
        <v>67</v>
      </c>
    </row>
    <row r="160" ht="16.5" spans="1:13">
      <c r="A160" s="74" t="s">
        <v>31</v>
      </c>
      <c r="B160" s="12" t="s">
        <v>23</v>
      </c>
      <c r="C160" s="75">
        <v>46050</v>
      </c>
      <c r="D160" s="74" t="s">
        <v>343</v>
      </c>
      <c r="E160" s="12" t="s">
        <v>79</v>
      </c>
      <c r="F160" s="74" t="s">
        <v>344</v>
      </c>
      <c r="G160" s="74" t="s">
        <v>214</v>
      </c>
      <c r="H160" s="118">
        <v>5</v>
      </c>
      <c r="I160" s="12">
        <v>2</v>
      </c>
      <c r="J160" s="12" t="s">
        <v>66</v>
      </c>
      <c r="K160" s="12" t="s">
        <v>67</v>
      </c>
      <c r="L160" s="12" t="s">
        <v>67</v>
      </c>
      <c r="M160" s="12" t="s">
        <v>67</v>
      </c>
    </row>
    <row r="161" ht="16.5" spans="1:13">
      <c r="A161" s="74" t="s">
        <v>31</v>
      </c>
      <c r="B161" s="12" t="s">
        <v>23</v>
      </c>
      <c r="C161" s="75">
        <v>46050</v>
      </c>
      <c r="D161" s="74" t="s">
        <v>343</v>
      </c>
      <c r="E161" s="12" t="s">
        <v>79</v>
      </c>
      <c r="F161" s="74" t="s">
        <v>344</v>
      </c>
      <c r="G161" s="74" t="s">
        <v>375</v>
      </c>
      <c r="H161" s="118">
        <v>5</v>
      </c>
      <c r="I161" s="12">
        <v>2</v>
      </c>
      <c r="J161" s="12" t="s">
        <v>66</v>
      </c>
      <c r="K161" s="12" t="s">
        <v>67</v>
      </c>
      <c r="L161" s="12" t="s">
        <v>67</v>
      </c>
      <c r="M161" s="12" t="s">
        <v>67</v>
      </c>
    </row>
    <row r="162" ht="16.5" spans="1:13">
      <c r="A162" s="74" t="s">
        <v>38</v>
      </c>
      <c r="B162" s="12" t="s">
        <v>23</v>
      </c>
      <c r="C162" s="75">
        <v>46050</v>
      </c>
      <c r="D162" s="74" t="s">
        <v>376</v>
      </c>
      <c r="E162" s="12" t="s">
        <v>148</v>
      </c>
      <c r="F162" s="74" t="s">
        <v>377</v>
      </c>
      <c r="G162" s="74" t="s">
        <v>378</v>
      </c>
      <c r="H162" s="118">
        <v>5</v>
      </c>
      <c r="I162" s="12">
        <v>5</v>
      </c>
      <c r="J162" s="12" t="s">
        <v>66</v>
      </c>
      <c r="K162" s="12" t="s">
        <v>67</v>
      </c>
      <c r="L162" s="12" t="s">
        <v>67</v>
      </c>
      <c r="M162" s="12" t="s">
        <v>67</v>
      </c>
    </row>
    <row r="163" ht="16.5" spans="1:13">
      <c r="A163" s="74" t="s">
        <v>38</v>
      </c>
      <c r="B163" s="12" t="s">
        <v>23</v>
      </c>
      <c r="C163" s="75">
        <v>46050</v>
      </c>
      <c r="D163" s="74" t="s">
        <v>368</v>
      </c>
      <c r="E163" s="12" t="s">
        <v>70</v>
      </c>
      <c r="F163" s="74" t="s">
        <v>369</v>
      </c>
      <c r="G163" s="74" t="s">
        <v>379</v>
      </c>
      <c r="H163" s="118">
        <v>5</v>
      </c>
      <c r="I163" s="12">
        <v>6</v>
      </c>
      <c r="J163" s="12" t="s">
        <v>66</v>
      </c>
      <c r="K163" s="12" t="s">
        <v>67</v>
      </c>
      <c r="L163" s="12" t="s">
        <v>67</v>
      </c>
      <c r="M163" s="12" t="s">
        <v>67</v>
      </c>
    </row>
    <row r="164" ht="16.5" spans="1:13">
      <c r="A164" s="74" t="s">
        <v>29</v>
      </c>
      <c r="B164" s="12" t="s">
        <v>23</v>
      </c>
      <c r="C164" s="75">
        <v>46050</v>
      </c>
      <c r="D164" s="74" t="s">
        <v>380</v>
      </c>
      <c r="E164" s="12" t="s">
        <v>130</v>
      </c>
      <c r="F164" s="74" t="s">
        <v>381</v>
      </c>
      <c r="G164" s="74" t="s">
        <v>382</v>
      </c>
      <c r="H164" s="118">
        <v>5</v>
      </c>
      <c r="I164" s="12">
        <v>4</v>
      </c>
      <c r="J164" s="12" t="s">
        <v>66</v>
      </c>
      <c r="K164" s="12" t="s">
        <v>67</v>
      </c>
      <c r="L164" s="12" t="s">
        <v>67</v>
      </c>
      <c r="M164" s="12" t="s">
        <v>67</v>
      </c>
    </row>
    <row r="165" ht="16.5" spans="1:13">
      <c r="A165" s="74" t="s">
        <v>29</v>
      </c>
      <c r="B165" s="12" t="s">
        <v>23</v>
      </c>
      <c r="C165" s="75">
        <v>46050</v>
      </c>
      <c r="D165" s="74" t="s">
        <v>380</v>
      </c>
      <c r="E165" s="12" t="s">
        <v>130</v>
      </c>
      <c r="F165" s="74" t="s">
        <v>381</v>
      </c>
      <c r="G165" s="74" t="s">
        <v>383</v>
      </c>
      <c r="H165" s="118">
        <v>5</v>
      </c>
      <c r="I165" s="12">
        <v>4</v>
      </c>
      <c r="J165" s="12" t="s">
        <v>66</v>
      </c>
      <c r="K165" s="12" t="s">
        <v>67</v>
      </c>
      <c r="L165" s="12" t="s">
        <v>67</v>
      </c>
      <c r="M165" s="12" t="s">
        <v>67</v>
      </c>
    </row>
    <row r="166" ht="16.5" spans="1:13">
      <c r="A166" s="74" t="s">
        <v>29</v>
      </c>
      <c r="B166" s="12" t="s">
        <v>23</v>
      </c>
      <c r="C166" s="75">
        <v>46050</v>
      </c>
      <c r="D166" s="74" t="s">
        <v>380</v>
      </c>
      <c r="E166" s="12" t="s">
        <v>130</v>
      </c>
      <c r="F166" s="74" t="s">
        <v>381</v>
      </c>
      <c r="G166" s="74" t="s">
        <v>384</v>
      </c>
      <c r="H166" s="118">
        <v>5</v>
      </c>
      <c r="I166" s="12">
        <v>4</v>
      </c>
      <c r="J166" s="12" t="s">
        <v>66</v>
      </c>
      <c r="K166" s="12" t="s">
        <v>67</v>
      </c>
      <c r="L166" s="12" t="s">
        <v>67</v>
      </c>
      <c r="M166" s="12" t="s">
        <v>67</v>
      </c>
    </row>
    <row r="167" ht="16.5" spans="1:13">
      <c r="A167" s="74" t="s">
        <v>26</v>
      </c>
      <c r="B167" s="12" t="s">
        <v>23</v>
      </c>
      <c r="C167" s="75">
        <v>46050</v>
      </c>
      <c r="D167" s="74" t="s">
        <v>385</v>
      </c>
      <c r="E167" s="12" t="s">
        <v>121</v>
      </c>
      <c r="F167" s="74" t="s">
        <v>386</v>
      </c>
      <c r="G167" s="74" t="s">
        <v>387</v>
      </c>
      <c r="H167" s="118">
        <v>5</v>
      </c>
      <c r="I167" s="12">
        <v>2</v>
      </c>
      <c r="J167" s="12" t="s">
        <v>66</v>
      </c>
      <c r="K167" s="12" t="s">
        <v>67</v>
      </c>
      <c r="L167" s="12" t="s">
        <v>67</v>
      </c>
      <c r="M167" s="12" t="s">
        <v>67</v>
      </c>
    </row>
    <row r="168" ht="16.5" spans="1:13">
      <c r="A168" s="74" t="s">
        <v>31</v>
      </c>
      <c r="B168" s="12" t="s">
        <v>23</v>
      </c>
      <c r="C168" s="75">
        <v>46049</v>
      </c>
      <c r="D168" s="74" t="s">
        <v>388</v>
      </c>
      <c r="E168" s="12" t="s">
        <v>79</v>
      </c>
      <c r="F168" s="74" t="s">
        <v>389</v>
      </c>
      <c r="G168" s="74" t="s">
        <v>215</v>
      </c>
      <c r="H168" s="118">
        <v>5</v>
      </c>
      <c r="I168" s="12">
        <v>8</v>
      </c>
      <c r="J168" s="12" t="s">
        <v>66</v>
      </c>
      <c r="K168" s="12" t="s">
        <v>67</v>
      </c>
      <c r="L168" s="12" t="s">
        <v>67</v>
      </c>
      <c r="M168" s="12" t="s">
        <v>67</v>
      </c>
    </row>
    <row r="169" ht="16.5" spans="1:13">
      <c r="A169" s="74" t="s">
        <v>29</v>
      </c>
      <c r="B169" s="12" t="s">
        <v>23</v>
      </c>
      <c r="C169" s="75">
        <v>46049</v>
      </c>
      <c r="D169" s="74" t="s">
        <v>390</v>
      </c>
      <c r="E169" s="12" t="s">
        <v>130</v>
      </c>
      <c r="F169" s="74" t="s">
        <v>391</v>
      </c>
      <c r="G169" s="74" t="s">
        <v>170</v>
      </c>
      <c r="H169" s="118">
        <v>5</v>
      </c>
      <c r="I169" s="12">
        <v>5</v>
      </c>
      <c r="J169" s="12" t="s">
        <v>66</v>
      </c>
      <c r="K169" s="12" t="s">
        <v>67</v>
      </c>
      <c r="L169" s="12" t="s">
        <v>67</v>
      </c>
      <c r="M169" s="12" t="s">
        <v>67</v>
      </c>
    </row>
    <row r="170" ht="16.5" spans="1:13">
      <c r="A170" s="74" t="s">
        <v>29</v>
      </c>
      <c r="B170" s="12" t="s">
        <v>23</v>
      </c>
      <c r="C170" s="75">
        <v>46049</v>
      </c>
      <c r="D170" s="74" t="s">
        <v>390</v>
      </c>
      <c r="E170" s="12" t="s">
        <v>130</v>
      </c>
      <c r="F170" s="74" t="s">
        <v>391</v>
      </c>
      <c r="G170" s="74" t="s">
        <v>97</v>
      </c>
      <c r="H170" s="118">
        <v>5</v>
      </c>
      <c r="I170" s="12">
        <v>5</v>
      </c>
      <c r="J170" s="12" t="s">
        <v>66</v>
      </c>
      <c r="K170" s="12" t="s">
        <v>67</v>
      </c>
      <c r="L170" s="12" t="s">
        <v>67</v>
      </c>
      <c r="M170" s="12" t="s">
        <v>67</v>
      </c>
    </row>
    <row r="171" ht="16.5" spans="1:13">
      <c r="A171" s="74" t="s">
        <v>38</v>
      </c>
      <c r="B171" s="12" t="s">
        <v>23</v>
      </c>
      <c r="C171" s="75">
        <v>46049</v>
      </c>
      <c r="D171" s="74" t="s">
        <v>392</v>
      </c>
      <c r="E171" s="12" t="s">
        <v>63</v>
      </c>
      <c r="F171" s="74" t="s">
        <v>393</v>
      </c>
      <c r="G171" s="74" t="s">
        <v>394</v>
      </c>
      <c r="H171" s="118">
        <v>5</v>
      </c>
      <c r="I171" s="12">
        <v>5</v>
      </c>
      <c r="J171" s="12" t="s">
        <v>66</v>
      </c>
      <c r="K171" s="12" t="s">
        <v>67</v>
      </c>
      <c r="L171" s="12" t="s">
        <v>67</v>
      </c>
      <c r="M171" s="12" t="s">
        <v>67</v>
      </c>
    </row>
    <row r="172" ht="16.5" spans="1:13">
      <c r="A172" s="74" t="s">
        <v>38</v>
      </c>
      <c r="B172" s="12" t="s">
        <v>23</v>
      </c>
      <c r="C172" s="75">
        <v>46049</v>
      </c>
      <c r="D172" s="74" t="s">
        <v>392</v>
      </c>
      <c r="E172" s="12" t="s">
        <v>63</v>
      </c>
      <c r="F172" s="74" t="s">
        <v>393</v>
      </c>
      <c r="G172" s="74" t="s">
        <v>395</v>
      </c>
      <c r="H172" s="118">
        <v>5</v>
      </c>
      <c r="I172" s="12">
        <v>5</v>
      </c>
      <c r="J172" s="12" t="s">
        <v>66</v>
      </c>
      <c r="K172" s="12" t="s">
        <v>67</v>
      </c>
      <c r="L172" s="12" t="s">
        <v>67</v>
      </c>
      <c r="M172" s="12" t="s">
        <v>67</v>
      </c>
    </row>
    <row r="173" ht="16.5" spans="1:13">
      <c r="A173" s="74" t="s">
        <v>38</v>
      </c>
      <c r="B173" s="12" t="s">
        <v>23</v>
      </c>
      <c r="C173" s="75">
        <v>46049</v>
      </c>
      <c r="D173" s="74" t="s">
        <v>396</v>
      </c>
      <c r="E173" s="12" t="s">
        <v>168</v>
      </c>
      <c r="F173" s="74" t="s">
        <v>397</v>
      </c>
      <c r="G173" s="74" t="s">
        <v>398</v>
      </c>
      <c r="H173" s="118">
        <v>5</v>
      </c>
      <c r="I173" s="12">
        <v>4</v>
      </c>
      <c r="J173" s="12" t="s">
        <v>66</v>
      </c>
      <c r="K173" s="12" t="s">
        <v>67</v>
      </c>
      <c r="L173" s="12" t="s">
        <v>67</v>
      </c>
      <c r="M173" s="12" t="s">
        <v>67</v>
      </c>
    </row>
    <row r="174" ht="16.5" spans="1:13">
      <c r="A174" s="74" t="s">
        <v>38</v>
      </c>
      <c r="B174" s="12" t="s">
        <v>23</v>
      </c>
      <c r="C174" s="75">
        <v>46049</v>
      </c>
      <c r="D174" s="74" t="s">
        <v>322</v>
      </c>
      <c r="E174" s="12" t="s">
        <v>168</v>
      </c>
      <c r="F174" s="74" t="s">
        <v>153</v>
      </c>
      <c r="G174" s="74" t="s">
        <v>399</v>
      </c>
      <c r="H174" s="118">
        <v>5</v>
      </c>
      <c r="I174" s="12">
        <v>4</v>
      </c>
      <c r="J174" s="12" t="s">
        <v>66</v>
      </c>
      <c r="K174" s="12" t="s">
        <v>67</v>
      </c>
      <c r="L174" s="12" t="s">
        <v>67</v>
      </c>
      <c r="M174" s="12" t="s">
        <v>67</v>
      </c>
    </row>
    <row r="175" ht="16.5" spans="1:13">
      <c r="A175" s="74" t="s">
        <v>38</v>
      </c>
      <c r="B175" s="12" t="s">
        <v>23</v>
      </c>
      <c r="C175" s="75">
        <v>46049</v>
      </c>
      <c r="D175" s="74" t="s">
        <v>306</v>
      </c>
      <c r="E175" s="12" t="s">
        <v>75</v>
      </c>
      <c r="F175" s="74" t="s">
        <v>358</v>
      </c>
      <c r="G175" s="74" t="s">
        <v>241</v>
      </c>
      <c r="H175" s="118">
        <v>5</v>
      </c>
      <c r="I175" s="12">
        <v>5</v>
      </c>
      <c r="J175" s="12" t="s">
        <v>66</v>
      </c>
      <c r="K175" s="12" t="s">
        <v>67</v>
      </c>
      <c r="L175" s="12" t="s">
        <v>67</v>
      </c>
      <c r="M175" s="12" t="s">
        <v>67</v>
      </c>
    </row>
    <row r="176" ht="16.5" spans="1:13">
      <c r="A176" s="74" t="s">
        <v>38</v>
      </c>
      <c r="B176" s="12" t="s">
        <v>23</v>
      </c>
      <c r="C176" s="75">
        <v>46049</v>
      </c>
      <c r="D176" s="74" t="s">
        <v>400</v>
      </c>
      <c r="E176" s="12" t="s">
        <v>75</v>
      </c>
      <c r="F176" s="74" t="s">
        <v>401</v>
      </c>
      <c r="G176" s="74" t="s">
        <v>402</v>
      </c>
      <c r="H176" s="118">
        <v>5</v>
      </c>
      <c r="I176" s="12">
        <v>3</v>
      </c>
      <c r="J176" s="12" t="s">
        <v>66</v>
      </c>
      <c r="K176" s="12" t="s">
        <v>67</v>
      </c>
      <c r="L176" s="12" t="s">
        <v>67</v>
      </c>
      <c r="M176" s="12" t="s">
        <v>67</v>
      </c>
    </row>
    <row r="177" ht="16.5" spans="1:13">
      <c r="A177" s="74" t="s">
        <v>29</v>
      </c>
      <c r="B177" s="12" t="s">
        <v>23</v>
      </c>
      <c r="C177" s="75">
        <v>46049</v>
      </c>
      <c r="D177" s="74" t="s">
        <v>390</v>
      </c>
      <c r="E177" s="12" t="s">
        <v>130</v>
      </c>
      <c r="F177" s="74" t="s">
        <v>403</v>
      </c>
      <c r="G177" s="74" t="s">
        <v>159</v>
      </c>
      <c r="H177" s="118">
        <v>5</v>
      </c>
      <c r="I177" s="12">
        <v>5</v>
      </c>
      <c r="J177" s="12" t="s">
        <v>66</v>
      </c>
      <c r="K177" s="12" t="s">
        <v>67</v>
      </c>
      <c r="L177" s="12" t="s">
        <v>67</v>
      </c>
      <c r="M177" s="12" t="s">
        <v>67</v>
      </c>
    </row>
    <row r="178" ht="16.5" spans="1:13">
      <c r="A178" s="74" t="s">
        <v>38</v>
      </c>
      <c r="B178" s="12" t="s">
        <v>23</v>
      </c>
      <c r="C178" s="75">
        <v>46049</v>
      </c>
      <c r="D178" s="74" t="s">
        <v>242</v>
      </c>
      <c r="E178" s="12" t="s">
        <v>70</v>
      </c>
      <c r="F178" s="74" t="s">
        <v>243</v>
      </c>
      <c r="G178" s="74" t="s">
        <v>404</v>
      </c>
      <c r="H178" s="118">
        <v>4.2</v>
      </c>
      <c r="I178" s="12">
        <v>5</v>
      </c>
      <c r="J178" s="12" t="s">
        <v>66</v>
      </c>
      <c r="K178" s="12" t="s">
        <v>67</v>
      </c>
      <c r="L178" s="12" t="s">
        <v>67</v>
      </c>
      <c r="M178" s="12" t="s">
        <v>67</v>
      </c>
    </row>
    <row r="179" ht="16.5" spans="1:13">
      <c r="A179" s="74" t="s">
        <v>38</v>
      </c>
      <c r="B179" s="12" t="s">
        <v>23</v>
      </c>
      <c r="C179" s="75">
        <v>46049</v>
      </c>
      <c r="D179" s="74" t="s">
        <v>155</v>
      </c>
      <c r="E179" s="12" t="s">
        <v>144</v>
      </c>
      <c r="F179" s="74" t="s">
        <v>156</v>
      </c>
      <c r="G179" s="74" t="s">
        <v>405</v>
      </c>
      <c r="H179" s="118">
        <v>5</v>
      </c>
      <c r="I179" s="12">
        <v>6</v>
      </c>
      <c r="J179" s="12" t="s">
        <v>66</v>
      </c>
      <c r="K179" s="12" t="s">
        <v>67</v>
      </c>
      <c r="L179" s="12" t="s">
        <v>67</v>
      </c>
      <c r="M179" s="12" t="s">
        <v>67</v>
      </c>
    </row>
    <row r="180" ht="16.5" spans="1:13">
      <c r="A180" s="74" t="s">
        <v>38</v>
      </c>
      <c r="B180" s="12" t="s">
        <v>23</v>
      </c>
      <c r="C180" s="75">
        <v>46049</v>
      </c>
      <c r="D180" s="74" t="s">
        <v>368</v>
      </c>
      <c r="E180" s="12" t="s">
        <v>70</v>
      </c>
      <c r="F180" s="74" t="s">
        <v>369</v>
      </c>
      <c r="G180" s="74" t="s">
        <v>406</v>
      </c>
      <c r="H180" s="118">
        <v>5</v>
      </c>
      <c r="I180" s="12">
        <v>6</v>
      </c>
      <c r="J180" s="12" t="s">
        <v>66</v>
      </c>
      <c r="K180" s="12" t="s">
        <v>67</v>
      </c>
      <c r="L180" s="12" t="s">
        <v>67</v>
      </c>
      <c r="M180" s="12" t="s">
        <v>67</v>
      </c>
    </row>
    <row r="181" ht="16.5" spans="1:13">
      <c r="A181" s="74" t="s">
        <v>38</v>
      </c>
      <c r="B181" s="12" t="s">
        <v>23</v>
      </c>
      <c r="C181" s="75">
        <v>46049</v>
      </c>
      <c r="D181" s="74" t="s">
        <v>407</v>
      </c>
      <c r="E181" s="12" t="s">
        <v>75</v>
      </c>
      <c r="F181" s="74" t="s">
        <v>408</v>
      </c>
      <c r="G181" s="74" t="s">
        <v>409</v>
      </c>
      <c r="H181" s="118">
        <v>5</v>
      </c>
      <c r="I181" s="12">
        <v>5</v>
      </c>
      <c r="J181" s="12" t="s">
        <v>66</v>
      </c>
      <c r="K181" s="12" t="s">
        <v>67</v>
      </c>
      <c r="L181" s="12" t="s">
        <v>67</v>
      </c>
      <c r="M181" s="12" t="s">
        <v>67</v>
      </c>
    </row>
    <row r="182" ht="16.5" spans="1:13">
      <c r="A182" s="74" t="s">
        <v>37</v>
      </c>
      <c r="B182" s="12" t="s">
        <v>23</v>
      </c>
      <c r="C182" s="75">
        <v>46049</v>
      </c>
      <c r="D182" s="74" t="s">
        <v>137</v>
      </c>
      <c r="E182" s="12" t="s">
        <v>109</v>
      </c>
      <c r="F182" s="74" t="s">
        <v>138</v>
      </c>
      <c r="G182" s="74" t="s">
        <v>77</v>
      </c>
      <c r="H182" s="118">
        <v>5</v>
      </c>
      <c r="I182" s="12">
        <v>3</v>
      </c>
      <c r="J182" s="12" t="s">
        <v>66</v>
      </c>
      <c r="K182" s="12" t="s">
        <v>67</v>
      </c>
      <c r="L182" s="12" t="s">
        <v>67</v>
      </c>
      <c r="M182" s="12" t="s">
        <v>67</v>
      </c>
    </row>
    <row r="183" ht="16.5" spans="1:13">
      <c r="A183" s="74" t="s">
        <v>38</v>
      </c>
      <c r="B183" s="12" t="s">
        <v>23</v>
      </c>
      <c r="C183" s="75">
        <v>46049</v>
      </c>
      <c r="D183" s="74" t="s">
        <v>407</v>
      </c>
      <c r="E183" s="12" t="s">
        <v>75</v>
      </c>
      <c r="F183" s="74" t="s">
        <v>408</v>
      </c>
      <c r="G183" s="74" t="s">
        <v>410</v>
      </c>
      <c r="H183" s="118">
        <v>5</v>
      </c>
      <c r="I183" s="12">
        <v>5</v>
      </c>
      <c r="J183" s="12" t="s">
        <v>66</v>
      </c>
      <c r="K183" s="12" t="s">
        <v>67</v>
      </c>
      <c r="L183" s="12" t="s">
        <v>67</v>
      </c>
      <c r="M183" s="12" t="s">
        <v>67</v>
      </c>
    </row>
    <row r="184" ht="16.5" spans="1:13">
      <c r="A184" s="74" t="s">
        <v>32</v>
      </c>
      <c r="B184" s="12" t="s">
        <v>23</v>
      </c>
      <c r="C184" s="75">
        <v>46049</v>
      </c>
      <c r="D184" s="74" t="s">
        <v>411</v>
      </c>
      <c r="E184" s="12" t="s">
        <v>105</v>
      </c>
      <c r="F184" s="74" t="s">
        <v>412</v>
      </c>
      <c r="G184" s="74" t="s">
        <v>97</v>
      </c>
      <c r="H184" s="118">
        <v>5</v>
      </c>
      <c r="I184" s="12">
        <v>4</v>
      </c>
      <c r="J184" s="12" t="s">
        <v>66</v>
      </c>
      <c r="K184" s="12" t="s">
        <v>67</v>
      </c>
      <c r="L184" s="12" t="s">
        <v>67</v>
      </c>
      <c r="M184" s="12" t="s">
        <v>67</v>
      </c>
    </row>
    <row r="185" ht="16.5" spans="1:13">
      <c r="A185" s="74" t="s">
        <v>38</v>
      </c>
      <c r="B185" s="12" t="s">
        <v>23</v>
      </c>
      <c r="C185" s="75">
        <v>46049</v>
      </c>
      <c r="D185" s="74" t="s">
        <v>413</v>
      </c>
      <c r="E185" s="12" t="s">
        <v>70</v>
      </c>
      <c r="F185" s="74" t="s">
        <v>414</v>
      </c>
      <c r="G185" s="74" t="s">
        <v>415</v>
      </c>
      <c r="H185" s="118">
        <v>5</v>
      </c>
      <c r="I185" s="12">
        <v>4</v>
      </c>
      <c r="J185" s="12" t="s">
        <v>66</v>
      </c>
      <c r="K185" s="12" t="s">
        <v>67</v>
      </c>
      <c r="L185" s="12" t="s">
        <v>67</v>
      </c>
      <c r="M185" s="12" t="s">
        <v>67</v>
      </c>
    </row>
    <row r="186" ht="16.5" spans="1:13">
      <c r="A186" s="74" t="s">
        <v>38</v>
      </c>
      <c r="B186" s="12" t="s">
        <v>23</v>
      </c>
      <c r="C186" s="75">
        <v>46049</v>
      </c>
      <c r="D186" s="74" t="s">
        <v>413</v>
      </c>
      <c r="E186" s="12" t="s">
        <v>70</v>
      </c>
      <c r="F186" s="74" t="s">
        <v>414</v>
      </c>
      <c r="G186" s="74" t="s">
        <v>235</v>
      </c>
      <c r="H186" s="118">
        <v>5</v>
      </c>
      <c r="I186" s="12">
        <v>4</v>
      </c>
      <c r="J186" s="12" t="s">
        <v>66</v>
      </c>
      <c r="K186" s="12" t="s">
        <v>67</v>
      </c>
      <c r="L186" s="12" t="s">
        <v>67</v>
      </c>
      <c r="M186" s="12" t="s">
        <v>67</v>
      </c>
    </row>
    <row r="187" ht="16.5" spans="1:13">
      <c r="A187" s="74" t="s">
        <v>38</v>
      </c>
      <c r="B187" s="12" t="s">
        <v>23</v>
      </c>
      <c r="C187" s="75">
        <v>46049</v>
      </c>
      <c r="D187" s="74" t="s">
        <v>413</v>
      </c>
      <c r="E187" s="12" t="s">
        <v>70</v>
      </c>
      <c r="F187" s="74" t="s">
        <v>414</v>
      </c>
      <c r="G187" s="74" t="s">
        <v>416</v>
      </c>
      <c r="H187" s="118">
        <v>5</v>
      </c>
      <c r="I187" s="12">
        <v>4</v>
      </c>
      <c r="J187" s="12" t="s">
        <v>66</v>
      </c>
      <c r="K187" s="12" t="s">
        <v>67</v>
      </c>
      <c r="L187" s="12" t="s">
        <v>67</v>
      </c>
      <c r="M187" s="12" t="s">
        <v>67</v>
      </c>
    </row>
    <row r="188" ht="16.5" spans="1:13">
      <c r="A188" s="74" t="s">
        <v>35</v>
      </c>
      <c r="B188" s="12" t="s">
        <v>23</v>
      </c>
      <c r="C188" s="75">
        <v>46049</v>
      </c>
      <c r="D188" s="74" t="s">
        <v>417</v>
      </c>
      <c r="E188" s="12" t="s">
        <v>125</v>
      </c>
      <c r="F188" s="74" t="s">
        <v>234</v>
      </c>
      <c r="G188" s="74" t="s">
        <v>418</v>
      </c>
      <c r="H188" s="118">
        <v>5</v>
      </c>
      <c r="I188" s="12">
        <v>6</v>
      </c>
      <c r="J188" s="12" t="s">
        <v>66</v>
      </c>
      <c r="K188" s="12" t="s">
        <v>67</v>
      </c>
      <c r="L188" s="12" t="s">
        <v>67</v>
      </c>
      <c r="M188" s="12" t="s">
        <v>67</v>
      </c>
    </row>
    <row r="189" ht="16.5" spans="1:13">
      <c r="A189" s="74" t="s">
        <v>26</v>
      </c>
      <c r="B189" s="12" t="s">
        <v>23</v>
      </c>
      <c r="C189" s="75">
        <v>46049</v>
      </c>
      <c r="D189" s="74" t="s">
        <v>385</v>
      </c>
      <c r="E189" s="12" t="s">
        <v>121</v>
      </c>
      <c r="F189" s="74" t="s">
        <v>386</v>
      </c>
      <c r="G189" s="74" t="s">
        <v>419</v>
      </c>
      <c r="H189" s="118">
        <v>5</v>
      </c>
      <c r="I189" s="12">
        <v>3</v>
      </c>
      <c r="J189" s="12" t="s">
        <v>66</v>
      </c>
      <c r="K189" s="12" t="s">
        <v>67</v>
      </c>
      <c r="L189" s="12" t="s">
        <v>67</v>
      </c>
      <c r="M189" s="12" t="s">
        <v>67</v>
      </c>
    </row>
    <row r="190" ht="16.5" spans="1:13">
      <c r="A190" s="74" t="s">
        <v>31</v>
      </c>
      <c r="B190" s="12" t="s">
        <v>23</v>
      </c>
      <c r="C190" s="75">
        <v>46048</v>
      </c>
      <c r="D190" s="74" t="s">
        <v>285</v>
      </c>
      <c r="E190" s="12" t="s">
        <v>90</v>
      </c>
      <c r="F190" s="74" t="s">
        <v>286</v>
      </c>
      <c r="G190" s="74" t="s">
        <v>420</v>
      </c>
      <c r="H190" s="118">
        <v>5</v>
      </c>
      <c r="I190" s="12">
        <v>3</v>
      </c>
      <c r="J190" s="12" t="s">
        <v>211</v>
      </c>
      <c r="K190" s="12" t="s">
        <v>212</v>
      </c>
      <c r="L190" s="12" t="s">
        <v>67</v>
      </c>
      <c r="M190" s="12" t="s">
        <v>67</v>
      </c>
    </row>
    <row r="191" ht="16.5" spans="1:13">
      <c r="A191" s="74" t="s">
        <v>31</v>
      </c>
      <c r="B191" s="12" t="s">
        <v>23</v>
      </c>
      <c r="C191" s="75">
        <v>46048</v>
      </c>
      <c r="D191" s="74" t="s">
        <v>388</v>
      </c>
      <c r="E191" s="12" t="s">
        <v>79</v>
      </c>
      <c r="F191" s="74" t="s">
        <v>389</v>
      </c>
      <c r="G191" s="74" t="s">
        <v>421</v>
      </c>
      <c r="H191" s="118">
        <v>5</v>
      </c>
      <c r="I191" s="12">
        <v>8</v>
      </c>
      <c r="J191" s="12" t="s">
        <v>66</v>
      </c>
      <c r="K191" s="12" t="s">
        <v>67</v>
      </c>
      <c r="L191" s="12" t="s">
        <v>67</v>
      </c>
      <c r="M191" s="12" t="s">
        <v>67</v>
      </c>
    </row>
    <row r="192" ht="16.5" spans="1:13">
      <c r="A192" s="74" t="s">
        <v>37</v>
      </c>
      <c r="B192" s="12" t="s">
        <v>23</v>
      </c>
      <c r="C192" s="75">
        <v>46048</v>
      </c>
      <c r="D192" s="74" t="s">
        <v>422</v>
      </c>
      <c r="E192" s="12" t="s">
        <v>109</v>
      </c>
      <c r="F192" s="74" t="s">
        <v>423</v>
      </c>
      <c r="G192" s="74" t="s">
        <v>424</v>
      </c>
      <c r="H192" s="118">
        <v>5</v>
      </c>
      <c r="I192" s="12">
        <v>5</v>
      </c>
      <c r="J192" s="12" t="s">
        <v>66</v>
      </c>
      <c r="K192" s="12" t="s">
        <v>67</v>
      </c>
      <c r="L192" s="12" t="s">
        <v>67</v>
      </c>
      <c r="M192" s="12" t="s">
        <v>67</v>
      </c>
    </row>
    <row r="193" ht="16.5" spans="1:13">
      <c r="A193" s="74" t="s">
        <v>31</v>
      </c>
      <c r="B193" s="12" t="s">
        <v>23</v>
      </c>
      <c r="C193" s="75">
        <v>46048</v>
      </c>
      <c r="D193" s="74" t="s">
        <v>388</v>
      </c>
      <c r="E193" s="12" t="s">
        <v>79</v>
      </c>
      <c r="F193" s="74" t="s">
        <v>389</v>
      </c>
      <c r="G193" s="74" t="s">
        <v>425</v>
      </c>
      <c r="H193" s="118">
        <v>5</v>
      </c>
      <c r="I193" s="12">
        <v>8</v>
      </c>
      <c r="J193" s="12" t="s">
        <v>66</v>
      </c>
      <c r="K193" s="12" t="s">
        <v>67</v>
      </c>
      <c r="L193" s="12" t="s">
        <v>67</v>
      </c>
      <c r="M193" s="12" t="s">
        <v>67</v>
      </c>
    </row>
    <row r="194" ht="16.5" spans="1:13">
      <c r="A194" s="74" t="s">
        <v>26</v>
      </c>
      <c r="B194" s="12" t="s">
        <v>23</v>
      </c>
      <c r="C194" s="75">
        <v>46048</v>
      </c>
      <c r="D194" s="74" t="s">
        <v>120</v>
      </c>
      <c r="E194" s="12" t="s">
        <v>121</v>
      </c>
      <c r="F194" s="74" t="s">
        <v>122</v>
      </c>
      <c r="G194" s="74" t="s">
        <v>426</v>
      </c>
      <c r="H194" s="118">
        <v>5</v>
      </c>
      <c r="I194" s="12">
        <v>4</v>
      </c>
      <c r="J194" s="12" t="s">
        <v>66</v>
      </c>
      <c r="K194" s="12" t="s">
        <v>67</v>
      </c>
      <c r="L194" s="12" t="s">
        <v>67</v>
      </c>
      <c r="M194" s="12" t="s">
        <v>67</v>
      </c>
    </row>
    <row r="195" ht="16.5" spans="1:13">
      <c r="A195" s="74" t="s">
        <v>38</v>
      </c>
      <c r="B195" s="12" t="s">
        <v>23</v>
      </c>
      <c r="C195" s="75">
        <v>46048</v>
      </c>
      <c r="D195" s="74" t="s">
        <v>427</v>
      </c>
      <c r="E195" s="12" t="s">
        <v>220</v>
      </c>
      <c r="F195" s="74" t="s">
        <v>161</v>
      </c>
      <c r="G195" s="74" t="s">
        <v>311</v>
      </c>
      <c r="H195" s="118">
        <v>5</v>
      </c>
      <c r="I195" s="12">
        <v>5</v>
      </c>
      <c r="J195" s="12" t="s">
        <v>66</v>
      </c>
      <c r="K195" s="12" t="s">
        <v>67</v>
      </c>
      <c r="L195" s="12" t="s">
        <v>67</v>
      </c>
      <c r="M195" s="12" t="s">
        <v>67</v>
      </c>
    </row>
    <row r="196" ht="16.5" spans="1:13">
      <c r="A196" s="74" t="s">
        <v>32</v>
      </c>
      <c r="B196" s="12" t="s">
        <v>23</v>
      </c>
      <c r="C196" s="75">
        <v>46048</v>
      </c>
      <c r="D196" s="74" t="s">
        <v>115</v>
      </c>
      <c r="E196" s="12" t="s">
        <v>105</v>
      </c>
      <c r="F196" s="74" t="s">
        <v>116</v>
      </c>
      <c r="G196" s="74" t="s">
        <v>428</v>
      </c>
      <c r="H196" s="118">
        <v>5</v>
      </c>
      <c r="I196" s="12">
        <v>4</v>
      </c>
      <c r="J196" s="12" t="s">
        <v>66</v>
      </c>
      <c r="K196" s="12" t="s">
        <v>67</v>
      </c>
      <c r="L196" s="12" t="s">
        <v>67</v>
      </c>
      <c r="M196" s="12" t="s">
        <v>67</v>
      </c>
    </row>
    <row r="197" ht="16.5" spans="1:13">
      <c r="A197" s="74" t="s">
        <v>38</v>
      </c>
      <c r="B197" s="12" t="s">
        <v>23</v>
      </c>
      <c r="C197" s="75">
        <v>46048</v>
      </c>
      <c r="D197" s="74" t="s">
        <v>278</v>
      </c>
      <c r="E197" s="12" t="s">
        <v>148</v>
      </c>
      <c r="F197" s="74" t="s">
        <v>279</v>
      </c>
      <c r="G197" s="74" t="s">
        <v>429</v>
      </c>
      <c r="H197" s="118">
        <v>5</v>
      </c>
      <c r="I197" s="12">
        <v>4</v>
      </c>
      <c r="J197" s="12" t="s">
        <v>66</v>
      </c>
      <c r="K197" s="12" t="s">
        <v>67</v>
      </c>
      <c r="L197" s="12" t="s">
        <v>67</v>
      </c>
      <c r="M197" s="12" t="s">
        <v>67</v>
      </c>
    </row>
    <row r="198" ht="16.5" spans="1:13">
      <c r="A198" s="74" t="s">
        <v>38</v>
      </c>
      <c r="B198" s="12" t="s">
        <v>23</v>
      </c>
      <c r="C198" s="75">
        <v>46048</v>
      </c>
      <c r="D198" s="74" t="s">
        <v>336</v>
      </c>
      <c r="E198" s="12" t="s">
        <v>70</v>
      </c>
      <c r="F198" s="74" t="s">
        <v>337</v>
      </c>
      <c r="G198" s="74" t="s">
        <v>154</v>
      </c>
      <c r="H198" s="118">
        <v>5</v>
      </c>
      <c r="I198" s="12">
        <v>3</v>
      </c>
      <c r="J198" s="12" t="s">
        <v>66</v>
      </c>
      <c r="K198" s="12" t="s">
        <v>67</v>
      </c>
      <c r="L198" s="12" t="s">
        <v>67</v>
      </c>
      <c r="M198" s="12" t="s">
        <v>67</v>
      </c>
    </row>
    <row r="199" ht="16.5" spans="1:13">
      <c r="A199" s="74" t="s">
        <v>38</v>
      </c>
      <c r="B199" s="12" t="s">
        <v>23</v>
      </c>
      <c r="C199" s="75">
        <v>46051</v>
      </c>
      <c r="D199" s="74" t="s">
        <v>430</v>
      </c>
      <c r="E199" s="12" t="s">
        <v>168</v>
      </c>
      <c r="F199" s="74" t="s">
        <v>431</v>
      </c>
      <c r="G199" s="74" t="s">
        <v>432</v>
      </c>
      <c r="H199" s="118">
        <v>5</v>
      </c>
      <c r="I199" s="12">
        <v>6</v>
      </c>
      <c r="J199" s="12" t="s">
        <v>66</v>
      </c>
      <c r="K199" s="12" t="s">
        <v>67</v>
      </c>
      <c r="L199" s="12" t="s">
        <v>67</v>
      </c>
      <c r="M199" s="12" t="s">
        <v>67</v>
      </c>
    </row>
    <row r="200" ht="16.5" spans="1:13">
      <c r="A200" s="74" t="s">
        <v>36</v>
      </c>
      <c r="B200" s="12" t="s">
        <v>23</v>
      </c>
      <c r="C200" s="75">
        <v>46048</v>
      </c>
      <c r="D200" s="74" t="s">
        <v>433</v>
      </c>
      <c r="E200" s="12" t="s">
        <v>173</v>
      </c>
      <c r="F200" s="74" t="s">
        <v>434</v>
      </c>
      <c r="G200" s="74" t="s">
        <v>435</v>
      </c>
      <c r="H200" s="118">
        <v>5</v>
      </c>
      <c r="I200" s="12">
        <v>3</v>
      </c>
      <c r="J200" s="12" t="s">
        <v>66</v>
      </c>
      <c r="K200" s="12" t="s">
        <v>67</v>
      </c>
      <c r="L200" s="12" t="s">
        <v>67</v>
      </c>
      <c r="M200" s="12" t="s">
        <v>67</v>
      </c>
    </row>
    <row r="201" ht="16.5" spans="1:13">
      <c r="A201" s="74" t="s">
        <v>32</v>
      </c>
      <c r="B201" s="12" t="s">
        <v>23</v>
      </c>
      <c r="C201" s="75">
        <v>46048</v>
      </c>
      <c r="D201" s="74" t="s">
        <v>411</v>
      </c>
      <c r="E201" s="12" t="s">
        <v>105</v>
      </c>
      <c r="F201" s="74" t="s">
        <v>412</v>
      </c>
      <c r="G201" s="74" t="s">
        <v>436</v>
      </c>
      <c r="H201" s="118">
        <v>5</v>
      </c>
      <c r="I201" s="12">
        <v>2</v>
      </c>
      <c r="J201" s="12" t="s">
        <v>66</v>
      </c>
      <c r="K201" s="12" t="s">
        <v>67</v>
      </c>
      <c r="L201" s="12" t="s">
        <v>67</v>
      </c>
      <c r="M201" s="12" t="s">
        <v>67</v>
      </c>
    </row>
    <row r="202" ht="16.5" spans="1:13">
      <c r="A202" s="74" t="s">
        <v>38</v>
      </c>
      <c r="B202" s="12" t="s">
        <v>23</v>
      </c>
      <c r="C202" s="75">
        <v>46048</v>
      </c>
      <c r="D202" s="74" t="s">
        <v>294</v>
      </c>
      <c r="E202" s="12" t="s">
        <v>63</v>
      </c>
      <c r="F202" s="74" t="s">
        <v>295</v>
      </c>
      <c r="G202" s="74" t="s">
        <v>360</v>
      </c>
      <c r="H202" s="118">
        <v>5</v>
      </c>
      <c r="I202" s="12">
        <v>5</v>
      </c>
      <c r="J202" s="12" t="s">
        <v>66</v>
      </c>
      <c r="K202" s="12" t="s">
        <v>67</v>
      </c>
      <c r="L202" s="12" t="s">
        <v>67</v>
      </c>
      <c r="M202" s="12" t="s">
        <v>67</v>
      </c>
    </row>
    <row r="203" ht="16.5" spans="1:13">
      <c r="A203" s="74" t="s">
        <v>38</v>
      </c>
      <c r="B203" s="12" t="s">
        <v>23</v>
      </c>
      <c r="C203" s="75">
        <v>46048</v>
      </c>
      <c r="D203" s="74" t="s">
        <v>437</v>
      </c>
      <c r="E203" s="12" t="s">
        <v>75</v>
      </c>
      <c r="F203" s="74" t="s">
        <v>438</v>
      </c>
      <c r="G203" s="74" t="s">
        <v>170</v>
      </c>
      <c r="H203" s="118">
        <v>5</v>
      </c>
      <c r="I203" s="12">
        <v>5</v>
      </c>
      <c r="J203" s="12" t="s">
        <v>66</v>
      </c>
      <c r="K203" s="12" t="s">
        <v>67</v>
      </c>
      <c r="L203" s="12" t="s">
        <v>67</v>
      </c>
      <c r="M203" s="12" t="s">
        <v>67</v>
      </c>
    </row>
    <row r="204" ht="16.5" spans="1:13">
      <c r="A204" s="74" t="s">
        <v>31</v>
      </c>
      <c r="B204" s="12" t="s">
        <v>23</v>
      </c>
      <c r="C204" s="75">
        <v>46048</v>
      </c>
      <c r="D204" s="74" t="s">
        <v>245</v>
      </c>
      <c r="E204" s="12" t="s">
        <v>79</v>
      </c>
      <c r="F204" s="74" t="s">
        <v>231</v>
      </c>
      <c r="G204" s="74" t="s">
        <v>349</v>
      </c>
      <c r="H204" s="118">
        <v>5</v>
      </c>
      <c r="I204" s="12">
        <v>3</v>
      </c>
      <c r="J204" s="12" t="s">
        <v>66</v>
      </c>
      <c r="K204" s="12" t="s">
        <v>67</v>
      </c>
      <c r="L204" s="12" t="s">
        <v>67</v>
      </c>
      <c r="M204" s="12" t="s">
        <v>67</v>
      </c>
    </row>
    <row r="205" ht="16.5" spans="1:13">
      <c r="A205" s="74" t="s">
        <v>35</v>
      </c>
      <c r="B205" s="12" t="s">
        <v>23</v>
      </c>
      <c r="C205" s="75">
        <v>46048</v>
      </c>
      <c r="D205" s="74" t="s">
        <v>417</v>
      </c>
      <c r="E205" s="12" t="s">
        <v>125</v>
      </c>
      <c r="F205" s="74" t="s">
        <v>234</v>
      </c>
      <c r="G205" s="74" t="s">
        <v>439</v>
      </c>
      <c r="H205" s="118">
        <v>5</v>
      </c>
      <c r="I205" s="12">
        <v>6</v>
      </c>
      <c r="J205" s="12" t="s">
        <v>66</v>
      </c>
      <c r="K205" s="12" t="s">
        <v>67</v>
      </c>
      <c r="L205" s="12" t="s">
        <v>67</v>
      </c>
      <c r="M205" s="12" t="s">
        <v>67</v>
      </c>
    </row>
    <row r="206" ht="16.5" spans="1:13">
      <c r="A206" s="74" t="s">
        <v>34</v>
      </c>
      <c r="B206" s="12" t="s">
        <v>23</v>
      </c>
      <c r="C206" s="75">
        <v>46048</v>
      </c>
      <c r="D206" s="74" t="s">
        <v>350</v>
      </c>
      <c r="E206" s="12" t="s">
        <v>351</v>
      </c>
      <c r="F206" s="74" t="s">
        <v>352</v>
      </c>
      <c r="G206" s="74" t="s">
        <v>440</v>
      </c>
      <c r="H206" s="118">
        <v>5</v>
      </c>
      <c r="I206" s="12">
        <v>3</v>
      </c>
      <c r="J206" s="12" t="s">
        <v>66</v>
      </c>
      <c r="K206" s="12" t="s">
        <v>67</v>
      </c>
      <c r="L206" s="12" t="s">
        <v>67</v>
      </c>
      <c r="M206" s="12" t="s">
        <v>67</v>
      </c>
    </row>
    <row r="207" ht="16.5" spans="1:13">
      <c r="A207" s="74" t="s">
        <v>38</v>
      </c>
      <c r="B207" s="12" t="s">
        <v>23</v>
      </c>
      <c r="C207" s="75">
        <v>46048</v>
      </c>
      <c r="D207" s="74" t="s">
        <v>441</v>
      </c>
      <c r="E207" s="12" t="s">
        <v>220</v>
      </c>
      <c r="F207" s="74" t="s">
        <v>442</v>
      </c>
      <c r="G207" s="74" t="s">
        <v>443</v>
      </c>
      <c r="H207" s="118">
        <v>5</v>
      </c>
      <c r="I207" s="12">
        <v>3</v>
      </c>
      <c r="J207" s="12" t="s">
        <v>66</v>
      </c>
      <c r="K207" s="12" t="s">
        <v>67</v>
      </c>
      <c r="L207" s="12" t="s">
        <v>67</v>
      </c>
      <c r="M207" s="12" t="s">
        <v>67</v>
      </c>
    </row>
    <row r="208" ht="16.5" spans="1:13">
      <c r="A208" s="74" t="s">
        <v>35</v>
      </c>
      <c r="B208" s="12" t="s">
        <v>23</v>
      </c>
      <c r="C208" s="75">
        <v>46048</v>
      </c>
      <c r="D208" s="74" t="s">
        <v>444</v>
      </c>
      <c r="E208" s="12" t="s">
        <v>125</v>
      </c>
      <c r="F208" s="74" t="s">
        <v>445</v>
      </c>
      <c r="G208" s="74" t="s">
        <v>446</v>
      </c>
      <c r="H208" s="118">
        <v>5</v>
      </c>
      <c r="I208" s="12">
        <v>3</v>
      </c>
      <c r="J208" s="12" t="s">
        <v>66</v>
      </c>
      <c r="K208" s="12" t="s">
        <v>67</v>
      </c>
      <c r="L208" s="12" t="s">
        <v>67</v>
      </c>
      <c r="M208" s="12" t="s">
        <v>67</v>
      </c>
    </row>
    <row r="209" ht="16.5" spans="1:13">
      <c r="A209" s="74" t="s">
        <v>32</v>
      </c>
      <c r="B209" s="12" t="s">
        <v>23</v>
      </c>
      <c r="C209" s="75">
        <v>46048</v>
      </c>
      <c r="D209" s="74" t="s">
        <v>447</v>
      </c>
      <c r="E209" s="12" t="s">
        <v>105</v>
      </c>
      <c r="F209" s="74" t="s">
        <v>153</v>
      </c>
      <c r="G209" s="74" t="s">
        <v>214</v>
      </c>
      <c r="H209" s="118">
        <v>5</v>
      </c>
      <c r="I209" s="12">
        <v>3</v>
      </c>
      <c r="J209" s="12" t="s">
        <v>66</v>
      </c>
      <c r="K209" s="12" t="s">
        <v>67</v>
      </c>
      <c r="L209" s="12" t="s">
        <v>67</v>
      </c>
      <c r="M209" s="12" t="s">
        <v>67</v>
      </c>
    </row>
    <row r="210" ht="16.5" spans="1:13">
      <c r="A210" s="74" t="s">
        <v>35</v>
      </c>
      <c r="B210" s="12" t="s">
        <v>23</v>
      </c>
      <c r="C210" s="75">
        <v>46048</v>
      </c>
      <c r="D210" s="74" t="s">
        <v>448</v>
      </c>
      <c r="E210" s="12" t="s">
        <v>125</v>
      </c>
      <c r="F210" s="74" t="s">
        <v>449</v>
      </c>
      <c r="G210" s="74" t="s">
        <v>450</v>
      </c>
      <c r="H210" s="118">
        <v>5</v>
      </c>
      <c r="I210" s="12">
        <v>3</v>
      </c>
      <c r="J210" s="12" t="s">
        <v>66</v>
      </c>
      <c r="K210" s="12" t="s">
        <v>67</v>
      </c>
      <c r="L210" s="12" t="s">
        <v>67</v>
      </c>
      <c r="M210" s="12" t="s">
        <v>67</v>
      </c>
    </row>
    <row r="211" ht="16.5" spans="1:13">
      <c r="A211" s="74" t="s">
        <v>37</v>
      </c>
      <c r="B211" s="12" t="s">
        <v>23</v>
      </c>
      <c r="C211" s="75">
        <v>46048</v>
      </c>
      <c r="D211" s="74" t="s">
        <v>451</v>
      </c>
      <c r="E211" s="12" t="s">
        <v>152</v>
      </c>
      <c r="F211" s="74" t="s">
        <v>452</v>
      </c>
      <c r="G211" s="74" t="s">
        <v>453</v>
      </c>
      <c r="H211" s="118">
        <v>5</v>
      </c>
      <c r="I211" s="12">
        <v>6</v>
      </c>
      <c r="J211" s="12" t="s">
        <v>66</v>
      </c>
      <c r="K211" s="12" t="s">
        <v>67</v>
      </c>
      <c r="L211" s="12" t="s">
        <v>67</v>
      </c>
      <c r="M211" s="12" t="s">
        <v>67</v>
      </c>
    </row>
    <row r="212" ht="16.5" spans="1:13">
      <c r="A212" s="74" t="s">
        <v>36</v>
      </c>
      <c r="B212" s="12" t="s">
        <v>23</v>
      </c>
      <c r="C212" s="75">
        <v>46047</v>
      </c>
      <c r="D212" s="74" t="s">
        <v>315</v>
      </c>
      <c r="E212" s="12" t="s">
        <v>173</v>
      </c>
      <c r="F212" s="74" t="s">
        <v>316</v>
      </c>
      <c r="G212" s="74" t="s">
        <v>311</v>
      </c>
      <c r="H212" s="118">
        <v>5</v>
      </c>
      <c r="I212" s="12">
        <v>4</v>
      </c>
      <c r="J212" s="12" t="s">
        <v>66</v>
      </c>
      <c r="K212" s="12" t="s">
        <v>67</v>
      </c>
      <c r="L212" s="12" t="s">
        <v>67</v>
      </c>
      <c r="M212" s="12" t="s">
        <v>67</v>
      </c>
    </row>
    <row r="213" ht="16.5" spans="1:13">
      <c r="A213" s="74" t="s">
        <v>38</v>
      </c>
      <c r="B213" s="12" t="s">
        <v>23</v>
      </c>
      <c r="C213" s="75">
        <v>46047</v>
      </c>
      <c r="D213" s="74" t="s">
        <v>233</v>
      </c>
      <c r="E213" s="12" t="s">
        <v>148</v>
      </c>
      <c r="F213" s="74" t="s">
        <v>454</v>
      </c>
      <c r="G213" s="74" t="s">
        <v>455</v>
      </c>
      <c r="H213" s="118">
        <v>5</v>
      </c>
      <c r="I213" s="12">
        <v>4</v>
      </c>
      <c r="J213" s="12" t="s">
        <v>66</v>
      </c>
      <c r="K213" s="12" t="s">
        <v>67</v>
      </c>
      <c r="L213" s="12" t="s">
        <v>67</v>
      </c>
      <c r="M213" s="12" t="s">
        <v>67</v>
      </c>
    </row>
    <row r="214" ht="16.5" spans="1:13">
      <c r="A214" s="74" t="s">
        <v>24</v>
      </c>
      <c r="B214" s="12" t="s">
        <v>23</v>
      </c>
      <c r="C214" s="75">
        <v>46047</v>
      </c>
      <c r="D214" s="74" t="s">
        <v>237</v>
      </c>
      <c r="E214" s="12" t="s">
        <v>152</v>
      </c>
      <c r="F214" s="74" t="s">
        <v>238</v>
      </c>
      <c r="G214" s="74" t="s">
        <v>456</v>
      </c>
      <c r="H214" s="118">
        <v>5</v>
      </c>
      <c r="I214" s="12">
        <v>3</v>
      </c>
      <c r="J214" s="12" t="s">
        <v>66</v>
      </c>
      <c r="K214" s="12" t="s">
        <v>67</v>
      </c>
      <c r="L214" s="12" t="s">
        <v>67</v>
      </c>
      <c r="M214" s="12" t="s">
        <v>67</v>
      </c>
    </row>
    <row r="215" ht="16.5" spans="1:13">
      <c r="A215" s="74" t="s">
        <v>35</v>
      </c>
      <c r="B215" s="12" t="s">
        <v>23</v>
      </c>
      <c r="C215" s="75">
        <v>46047</v>
      </c>
      <c r="D215" s="74" t="s">
        <v>224</v>
      </c>
      <c r="E215" s="12" t="s">
        <v>125</v>
      </c>
      <c r="F215" s="74" t="s">
        <v>225</v>
      </c>
      <c r="G215" s="74" t="s">
        <v>360</v>
      </c>
      <c r="H215" s="118">
        <v>5</v>
      </c>
      <c r="I215" s="12">
        <v>3</v>
      </c>
      <c r="J215" s="12" t="s">
        <v>66</v>
      </c>
      <c r="K215" s="12" t="s">
        <v>67</v>
      </c>
      <c r="L215" s="12" t="s">
        <v>67</v>
      </c>
      <c r="M215" s="12" t="s">
        <v>67</v>
      </c>
    </row>
    <row r="216" ht="16.5" spans="1:13">
      <c r="A216" s="74" t="s">
        <v>32</v>
      </c>
      <c r="B216" s="12" t="s">
        <v>23</v>
      </c>
      <c r="C216" s="75">
        <v>46047</v>
      </c>
      <c r="D216" s="74" t="s">
        <v>195</v>
      </c>
      <c r="E216" s="12" t="s">
        <v>105</v>
      </c>
      <c r="F216" s="74" t="s">
        <v>196</v>
      </c>
      <c r="G216" s="74" t="s">
        <v>457</v>
      </c>
      <c r="H216" s="118">
        <v>5</v>
      </c>
      <c r="I216" s="12">
        <v>3</v>
      </c>
      <c r="J216" s="12" t="s">
        <v>66</v>
      </c>
      <c r="K216" s="12" t="s">
        <v>67</v>
      </c>
      <c r="L216" s="12" t="s">
        <v>67</v>
      </c>
      <c r="M216" s="12" t="s">
        <v>67</v>
      </c>
    </row>
    <row r="217" ht="16.5" spans="1:13">
      <c r="A217" s="74" t="s">
        <v>32</v>
      </c>
      <c r="B217" s="12" t="s">
        <v>23</v>
      </c>
      <c r="C217" s="75">
        <v>46047</v>
      </c>
      <c r="D217" s="74" t="s">
        <v>195</v>
      </c>
      <c r="E217" s="12" t="s">
        <v>105</v>
      </c>
      <c r="F217" s="74" t="s">
        <v>196</v>
      </c>
      <c r="G217" s="74" t="s">
        <v>458</v>
      </c>
      <c r="H217" s="118">
        <v>5</v>
      </c>
      <c r="I217" s="12">
        <v>3</v>
      </c>
      <c r="J217" s="12" t="s">
        <v>211</v>
      </c>
      <c r="K217" s="12" t="s">
        <v>67</v>
      </c>
      <c r="L217" s="12" t="s">
        <v>67</v>
      </c>
      <c r="M217" s="12" t="s">
        <v>212</v>
      </c>
    </row>
    <row r="218" ht="16.5" spans="1:13">
      <c r="A218" s="74" t="s">
        <v>37</v>
      </c>
      <c r="B218" s="12" t="s">
        <v>23</v>
      </c>
      <c r="C218" s="75">
        <v>46047</v>
      </c>
      <c r="D218" s="74" t="s">
        <v>203</v>
      </c>
      <c r="E218" s="12" t="s">
        <v>109</v>
      </c>
      <c r="F218" s="74" t="s">
        <v>204</v>
      </c>
      <c r="G218" s="74" t="s">
        <v>360</v>
      </c>
      <c r="H218" s="118">
        <v>5</v>
      </c>
      <c r="I218" s="12">
        <v>3</v>
      </c>
      <c r="J218" s="12" t="s">
        <v>66</v>
      </c>
      <c r="K218" s="12" t="s">
        <v>67</v>
      </c>
      <c r="L218" s="12" t="s">
        <v>67</v>
      </c>
      <c r="M218" s="12" t="s">
        <v>67</v>
      </c>
    </row>
    <row r="219" ht="16.5" spans="1:13">
      <c r="A219" s="74" t="s">
        <v>38</v>
      </c>
      <c r="B219" s="12" t="s">
        <v>23</v>
      </c>
      <c r="C219" s="75">
        <v>46047</v>
      </c>
      <c r="D219" s="74" t="s">
        <v>185</v>
      </c>
      <c r="E219" s="12" t="s">
        <v>144</v>
      </c>
      <c r="F219" s="74" t="s">
        <v>459</v>
      </c>
      <c r="G219" s="74" t="s">
        <v>460</v>
      </c>
      <c r="H219" s="118">
        <v>5</v>
      </c>
      <c r="I219" s="12">
        <v>6</v>
      </c>
      <c r="J219" s="12" t="s">
        <v>66</v>
      </c>
      <c r="K219" s="12" t="s">
        <v>67</v>
      </c>
      <c r="L219" s="12" t="s">
        <v>67</v>
      </c>
      <c r="M219" s="12" t="s">
        <v>67</v>
      </c>
    </row>
    <row r="220" ht="16.5" spans="1:13">
      <c r="A220" s="74" t="s">
        <v>38</v>
      </c>
      <c r="B220" s="12" t="s">
        <v>23</v>
      </c>
      <c r="C220" s="75">
        <v>46047</v>
      </c>
      <c r="D220" s="74" t="s">
        <v>185</v>
      </c>
      <c r="E220" s="12" t="s">
        <v>144</v>
      </c>
      <c r="F220" s="74" t="s">
        <v>459</v>
      </c>
      <c r="G220" s="74" t="s">
        <v>461</v>
      </c>
      <c r="H220" s="118">
        <v>5</v>
      </c>
      <c r="I220" s="12">
        <v>6</v>
      </c>
      <c r="J220" s="12" t="s">
        <v>66</v>
      </c>
      <c r="K220" s="12" t="s">
        <v>67</v>
      </c>
      <c r="L220" s="12" t="s">
        <v>67</v>
      </c>
      <c r="M220" s="12" t="s">
        <v>67</v>
      </c>
    </row>
    <row r="221" ht="16.5" spans="1:13">
      <c r="A221" s="74" t="s">
        <v>32</v>
      </c>
      <c r="B221" s="12" t="s">
        <v>23</v>
      </c>
      <c r="C221" s="75">
        <v>46047</v>
      </c>
      <c r="D221" s="74" t="s">
        <v>195</v>
      </c>
      <c r="E221" s="12" t="s">
        <v>105</v>
      </c>
      <c r="F221" s="74" t="s">
        <v>196</v>
      </c>
      <c r="G221" s="74" t="s">
        <v>462</v>
      </c>
      <c r="H221" s="118">
        <v>5</v>
      </c>
      <c r="I221" s="12">
        <v>3</v>
      </c>
      <c r="J221" s="12" t="s">
        <v>66</v>
      </c>
      <c r="K221" s="12" t="s">
        <v>67</v>
      </c>
      <c r="L221" s="12" t="s">
        <v>67</v>
      </c>
      <c r="M221" s="12" t="s">
        <v>67</v>
      </c>
    </row>
    <row r="222" ht="16.5" spans="1:13">
      <c r="A222" s="74" t="s">
        <v>35</v>
      </c>
      <c r="B222" s="12" t="s">
        <v>23</v>
      </c>
      <c r="C222" s="75">
        <v>46047</v>
      </c>
      <c r="D222" s="74" t="s">
        <v>463</v>
      </c>
      <c r="E222" s="12" t="s">
        <v>125</v>
      </c>
      <c r="F222" s="74" t="s">
        <v>464</v>
      </c>
      <c r="G222" s="74" t="s">
        <v>465</v>
      </c>
      <c r="H222" s="118">
        <v>5</v>
      </c>
      <c r="I222" s="12">
        <v>4</v>
      </c>
      <c r="J222" s="12" t="s">
        <v>66</v>
      </c>
      <c r="K222" s="12" t="s">
        <v>67</v>
      </c>
      <c r="L222" s="12" t="s">
        <v>67</v>
      </c>
      <c r="M222" s="12" t="s">
        <v>67</v>
      </c>
    </row>
    <row r="223" ht="16.5" spans="1:13">
      <c r="A223" s="74" t="s">
        <v>31</v>
      </c>
      <c r="B223" s="12" t="s">
        <v>23</v>
      </c>
      <c r="C223" s="75">
        <v>46047</v>
      </c>
      <c r="D223" s="74" t="s">
        <v>466</v>
      </c>
      <c r="E223" s="12" t="s">
        <v>90</v>
      </c>
      <c r="F223" s="74" t="s">
        <v>467</v>
      </c>
      <c r="G223" s="74" t="s">
        <v>92</v>
      </c>
      <c r="H223" s="118">
        <v>5</v>
      </c>
      <c r="I223" s="12">
        <v>2</v>
      </c>
      <c r="J223" s="12" t="s">
        <v>66</v>
      </c>
      <c r="K223" s="12" t="s">
        <v>67</v>
      </c>
      <c r="L223" s="12" t="s">
        <v>67</v>
      </c>
      <c r="M223" s="12" t="s">
        <v>67</v>
      </c>
    </row>
    <row r="224" ht="16.5" spans="1:13">
      <c r="A224" s="74" t="s">
        <v>36</v>
      </c>
      <c r="B224" s="12" t="s">
        <v>23</v>
      </c>
      <c r="C224" s="75">
        <v>46047</v>
      </c>
      <c r="D224" s="74" t="s">
        <v>309</v>
      </c>
      <c r="E224" s="12" t="s">
        <v>173</v>
      </c>
      <c r="F224" s="74" t="s">
        <v>310</v>
      </c>
      <c r="G224" s="74" t="s">
        <v>468</v>
      </c>
      <c r="H224" s="118">
        <v>5</v>
      </c>
      <c r="I224" s="12">
        <v>5</v>
      </c>
      <c r="J224" s="12" t="s">
        <v>66</v>
      </c>
      <c r="K224" s="12" t="s">
        <v>67</v>
      </c>
      <c r="L224" s="12" t="s">
        <v>67</v>
      </c>
      <c r="M224" s="12" t="s">
        <v>67</v>
      </c>
    </row>
    <row r="225" ht="16.5" spans="1:13">
      <c r="A225" s="74" t="s">
        <v>31</v>
      </c>
      <c r="B225" s="12" t="s">
        <v>23</v>
      </c>
      <c r="C225" s="75">
        <v>46047</v>
      </c>
      <c r="D225" s="74" t="s">
        <v>466</v>
      </c>
      <c r="E225" s="12" t="s">
        <v>90</v>
      </c>
      <c r="F225" s="74" t="s">
        <v>467</v>
      </c>
      <c r="G225" s="74" t="s">
        <v>305</v>
      </c>
      <c r="H225" s="118">
        <v>5</v>
      </c>
      <c r="I225" s="12">
        <v>2</v>
      </c>
      <c r="J225" s="12" t="s">
        <v>66</v>
      </c>
      <c r="K225" s="12" t="s">
        <v>67</v>
      </c>
      <c r="L225" s="12" t="s">
        <v>67</v>
      </c>
      <c r="M225" s="12" t="s">
        <v>67</v>
      </c>
    </row>
    <row r="226" ht="16.5" spans="1:13">
      <c r="A226" s="74" t="s">
        <v>29</v>
      </c>
      <c r="B226" s="12" t="s">
        <v>23</v>
      </c>
      <c r="C226" s="75">
        <v>46047</v>
      </c>
      <c r="D226" s="74" t="s">
        <v>469</v>
      </c>
      <c r="E226" s="12" t="s">
        <v>130</v>
      </c>
      <c r="F226" s="74" t="s">
        <v>470</v>
      </c>
      <c r="G226" s="74" t="s">
        <v>471</v>
      </c>
      <c r="H226" s="118">
        <v>5</v>
      </c>
      <c r="I226" s="12">
        <v>5</v>
      </c>
      <c r="J226" s="12" t="s">
        <v>66</v>
      </c>
      <c r="K226" s="12" t="s">
        <v>67</v>
      </c>
      <c r="L226" s="12" t="s">
        <v>67</v>
      </c>
      <c r="M226" s="12" t="s">
        <v>67</v>
      </c>
    </row>
    <row r="227" ht="16.5" spans="1:13">
      <c r="A227" s="74" t="s">
        <v>31</v>
      </c>
      <c r="B227" s="12" t="s">
        <v>23</v>
      </c>
      <c r="C227" s="75">
        <v>46047</v>
      </c>
      <c r="D227" s="74" t="s">
        <v>466</v>
      </c>
      <c r="E227" s="12" t="s">
        <v>90</v>
      </c>
      <c r="F227" s="74" t="s">
        <v>467</v>
      </c>
      <c r="G227" s="74" t="s">
        <v>472</v>
      </c>
      <c r="H227" s="118">
        <v>5</v>
      </c>
      <c r="I227" s="12">
        <v>2</v>
      </c>
      <c r="J227" s="12" t="s">
        <v>66</v>
      </c>
      <c r="K227" s="12" t="s">
        <v>67</v>
      </c>
      <c r="L227" s="12" t="s">
        <v>67</v>
      </c>
      <c r="M227" s="12" t="s">
        <v>67</v>
      </c>
    </row>
    <row r="228" ht="16.5" spans="1:13">
      <c r="A228" s="74" t="s">
        <v>31</v>
      </c>
      <c r="B228" s="12" t="s">
        <v>23</v>
      </c>
      <c r="C228" s="75">
        <v>46047</v>
      </c>
      <c r="D228" s="74" t="s">
        <v>473</v>
      </c>
      <c r="E228" s="12" t="s">
        <v>90</v>
      </c>
      <c r="F228" s="74" t="s">
        <v>474</v>
      </c>
      <c r="G228" s="74" t="s">
        <v>475</v>
      </c>
      <c r="H228" s="118">
        <v>5</v>
      </c>
      <c r="I228" s="12">
        <v>4</v>
      </c>
      <c r="J228" s="12" t="s">
        <v>66</v>
      </c>
      <c r="K228" s="12" t="s">
        <v>67</v>
      </c>
      <c r="L228" s="12" t="s">
        <v>67</v>
      </c>
      <c r="M228" s="12" t="s">
        <v>67</v>
      </c>
    </row>
    <row r="229" ht="16.5" spans="1:13">
      <c r="A229" s="74" t="s">
        <v>31</v>
      </c>
      <c r="B229" s="12" t="s">
        <v>23</v>
      </c>
      <c r="C229" s="75">
        <v>46047</v>
      </c>
      <c r="D229" s="74" t="s">
        <v>473</v>
      </c>
      <c r="E229" s="12" t="s">
        <v>90</v>
      </c>
      <c r="F229" s="74" t="s">
        <v>474</v>
      </c>
      <c r="G229" s="74" t="s">
        <v>476</v>
      </c>
      <c r="H229" s="118">
        <v>5</v>
      </c>
      <c r="I229" s="12">
        <v>4</v>
      </c>
      <c r="J229" s="12" t="s">
        <v>66</v>
      </c>
      <c r="K229" s="12" t="s">
        <v>67</v>
      </c>
      <c r="L229" s="12" t="s">
        <v>67</v>
      </c>
      <c r="M229" s="12" t="s">
        <v>67</v>
      </c>
    </row>
    <row r="230" ht="16.5" spans="1:13">
      <c r="A230" s="74" t="s">
        <v>38</v>
      </c>
      <c r="B230" s="12" t="s">
        <v>23</v>
      </c>
      <c r="C230" s="75">
        <v>46047</v>
      </c>
      <c r="D230" s="74" t="s">
        <v>74</v>
      </c>
      <c r="E230" s="12" t="s">
        <v>75</v>
      </c>
      <c r="F230" s="74" t="s">
        <v>76</v>
      </c>
      <c r="G230" s="74" t="s">
        <v>477</v>
      </c>
      <c r="H230" s="118">
        <v>5</v>
      </c>
      <c r="I230" s="12">
        <v>3</v>
      </c>
      <c r="J230" s="12" t="s">
        <v>66</v>
      </c>
      <c r="K230" s="12" t="s">
        <v>67</v>
      </c>
      <c r="L230" s="12" t="s">
        <v>67</v>
      </c>
      <c r="M230" s="12" t="s">
        <v>67</v>
      </c>
    </row>
    <row r="231" ht="16.5" spans="1:13">
      <c r="A231" s="74" t="s">
        <v>35</v>
      </c>
      <c r="B231" s="12" t="s">
        <v>23</v>
      </c>
      <c r="C231" s="75">
        <v>46047</v>
      </c>
      <c r="D231" s="74" t="s">
        <v>124</v>
      </c>
      <c r="E231" s="12" t="s">
        <v>125</v>
      </c>
      <c r="F231" s="74" t="s">
        <v>478</v>
      </c>
      <c r="G231" s="74" t="s">
        <v>479</v>
      </c>
      <c r="H231" s="118">
        <v>5</v>
      </c>
      <c r="I231" s="12">
        <v>4</v>
      </c>
      <c r="J231" s="12" t="s">
        <v>66</v>
      </c>
      <c r="K231" s="12" t="s">
        <v>67</v>
      </c>
      <c r="L231" s="12" t="s">
        <v>67</v>
      </c>
      <c r="M231" s="12" t="s">
        <v>67</v>
      </c>
    </row>
    <row r="232" ht="16.5" spans="1:13">
      <c r="A232" s="74" t="s">
        <v>35</v>
      </c>
      <c r="B232" s="12" t="s">
        <v>23</v>
      </c>
      <c r="C232" s="75">
        <v>46047</v>
      </c>
      <c r="D232" s="74" t="s">
        <v>124</v>
      </c>
      <c r="E232" s="12" t="s">
        <v>125</v>
      </c>
      <c r="F232" s="74" t="s">
        <v>478</v>
      </c>
      <c r="G232" s="74" t="s">
        <v>480</v>
      </c>
      <c r="H232" s="118">
        <v>5</v>
      </c>
      <c r="I232" s="12">
        <v>4</v>
      </c>
      <c r="J232" s="12" t="s">
        <v>66</v>
      </c>
      <c r="K232" s="12" t="s">
        <v>67</v>
      </c>
      <c r="L232" s="12" t="s">
        <v>67</v>
      </c>
      <c r="M232" s="12" t="s">
        <v>67</v>
      </c>
    </row>
    <row r="233" ht="16.5" spans="1:13">
      <c r="A233" s="74" t="s">
        <v>38</v>
      </c>
      <c r="B233" s="12" t="s">
        <v>23</v>
      </c>
      <c r="C233" s="75">
        <v>46047</v>
      </c>
      <c r="D233" s="74" t="s">
        <v>481</v>
      </c>
      <c r="E233" s="12" t="s">
        <v>63</v>
      </c>
      <c r="F233" s="74" t="s">
        <v>231</v>
      </c>
      <c r="G233" s="74" t="s">
        <v>208</v>
      </c>
      <c r="H233" s="118">
        <v>5</v>
      </c>
      <c r="I233" s="12">
        <v>3</v>
      </c>
      <c r="J233" s="12" t="s">
        <v>66</v>
      </c>
      <c r="K233" s="12" t="s">
        <v>67</v>
      </c>
      <c r="L233" s="12" t="s">
        <v>67</v>
      </c>
      <c r="M233" s="12" t="s">
        <v>67</v>
      </c>
    </row>
    <row r="234" ht="16.5" spans="1:13">
      <c r="A234" s="74" t="s">
        <v>37</v>
      </c>
      <c r="B234" s="12" t="s">
        <v>23</v>
      </c>
      <c r="C234" s="75">
        <v>46047</v>
      </c>
      <c r="D234" s="74" t="s">
        <v>482</v>
      </c>
      <c r="E234" s="12" t="s">
        <v>152</v>
      </c>
      <c r="F234" s="74" t="s">
        <v>483</v>
      </c>
      <c r="G234" s="74" t="s">
        <v>484</v>
      </c>
      <c r="H234" s="118">
        <v>5</v>
      </c>
      <c r="I234" s="12">
        <v>4</v>
      </c>
      <c r="J234" s="12" t="s">
        <v>66</v>
      </c>
      <c r="K234" s="12" t="s">
        <v>67</v>
      </c>
      <c r="L234" s="12" t="s">
        <v>67</v>
      </c>
      <c r="M234" s="12" t="s">
        <v>67</v>
      </c>
    </row>
    <row r="235" ht="16.5" spans="1:13">
      <c r="A235" s="74" t="s">
        <v>37</v>
      </c>
      <c r="B235" s="12" t="s">
        <v>23</v>
      </c>
      <c r="C235" s="75">
        <v>46047</v>
      </c>
      <c r="D235" s="74" t="s">
        <v>482</v>
      </c>
      <c r="E235" s="12" t="s">
        <v>152</v>
      </c>
      <c r="F235" s="74" t="s">
        <v>483</v>
      </c>
      <c r="G235" s="74" t="s">
        <v>485</v>
      </c>
      <c r="H235" s="118">
        <v>5</v>
      </c>
      <c r="I235" s="12">
        <v>4</v>
      </c>
      <c r="J235" s="12" t="s">
        <v>66</v>
      </c>
      <c r="K235" s="12" t="s">
        <v>67</v>
      </c>
      <c r="L235" s="12" t="s">
        <v>67</v>
      </c>
      <c r="M235" s="12" t="s">
        <v>67</v>
      </c>
    </row>
    <row r="236" ht="16.5" spans="1:13">
      <c r="A236" s="74" t="s">
        <v>32</v>
      </c>
      <c r="B236" s="12" t="s">
        <v>23</v>
      </c>
      <c r="C236" s="75">
        <v>46047</v>
      </c>
      <c r="D236" s="74" t="s">
        <v>165</v>
      </c>
      <c r="E236" s="12" t="s">
        <v>105</v>
      </c>
      <c r="F236" s="74" t="s">
        <v>231</v>
      </c>
      <c r="G236" s="74" t="s">
        <v>170</v>
      </c>
      <c r="H236" s="118">
        <v>5</v>
      </c>
      <c r="I236" s="12">
        <v>2</v>
      </c>
      <c r="J236" s="12" t="s">
        <v>66</v>
      </c>
      <c r="K236" s="12" t="s">
        <v>67</v>
      </c>
      <c r="L236" s="12" t="s">
        <v>67</v>
      </c>
      <c r="M236" s="12" t="s">
        <v>67</v>
      </c>
    </row>
    <row r="237" ht="16.5" spans="1:13">
      <c r="A237" s="74" t="s">
        <v>37</v>
      </c>
      <c r="B237" s="12" t="s">
        <v>23</v>
      </c>
      <c r="C237" s="75">
        <v>46047</v>
      </c>
      <c r="D237" s="74" t="s">
        <v>482</v>
      </c>
      <c r="E237" s="12" t="s">
        <v>152</v>
      </c>
      <c r="F237" s="74" t="s">
        <v>483</v>
      </c>
      <c r="G237" s="74" t="s">
        <v>486</v>
      </c>
      <c r="H237" s="118">
        <v>5</v>
      </c>
      <c r="I237" s="12">
        <v>4</v>
      </c>
      <c r="J237" s="12" t="s">
        <v>66</v>
      </c>
      <c r="K237" s="12" t="s">
        <v>67</v>
      </c>
      <c r="L237" s="12" t="s">
        <v>67</v>
      </c>
      <c r="M237" s="12" t="s">
        <v>67</v>
      </c>
    </row>
    <row r="238" ht="16.5" spans="1:13">
      <c r="A238" s="74" t="s">
        <v>32</v>
      </c>
      <c r="B238" s="12" t="s">
        <v>23</v>
      </c>
      <c r="C238" s="75">
        <v>46047</v>
      </c>
      <c r="D238" s="74" t="s">
        <v>487</v>
      </c>
      <c r="E238" s="12" t="s">
        <v>105</v>
      </c>
      <c r="F238" s="74" t="s">
        <v>488</v>
      </c>
      <c r="G238" s="74" t="s">
        <v>489</v>
      </c>
      <c r="H238" s="118">
        <v>5</v>
      </c>
      <c r="I238" s="12">
        <v>4</v>
      </c>
      <c r="J238" s="12" t="s">
        <v>66</v>
      </c>
      <c r="K238" s="12" t="s">
        <v>67</v>
      </c>
      <c r="L238" s="12" t="s">
        <v>67</v>
      </c>
      <c r="M238" s="12" t="s">
        <v>67</v>
      </c>
    </row>
    <row r="239" ht="16.5" spans="1:13">
      <c r="A239" s="74" t="s">
        <v>37</v>
      </c>
      <c r="B239" s="12" t="s">
        <v>23</v>
      </c>
      <c r="C239" s="75">
        <v>46047</v>
      </c>
      <c r="D239" s="74" t="s">
        <v>288</v>
      </c>
      <c r="E239" s="12" t="s">
        <v>152</v>
      </c>
      <c r="F239" s="74" t="s">
        <v>289</v>
      </c>
      <c r="G239" s="74" t="s">
        <v>490</v>
      </c>
      <c r="H239" s="118">
        <v>5</v>
      </c>
      <c r="I239" s="12">
        <v>4</v>
      </c>
      <c r="J239" s="12" t="s">
        <v>66</v>
      </c>
      <c r="K239" s="12" t="s">
        <v>67</v>
      </c>
      <c r="L239" s="12" t="s">
        <v>67</v>
      </c>
      <c r="M239" s="12" t="s">
        <v>67</v>
      </c>
    </row>
    <row r="240" ht="16.5" spans="1:13">
      <c r="A240" s="74" t="s">
        <v>34</v>
      </c>
      <c r="B240" s="12" t="s">
        <v>23</v>
      </c>
      <c r="C240" s="75">
        <v>46047</v>
      </c>
      <c r="D240" s="74" t="s">
        <v>350</v>
      </c>
      <c r="E240" s="12" t="s">
        <v>351</v>
      </c>
      <c r="F240" s="74" t="s">
        <v>352</v>
      </c>
      <c r="G240" s="74" t="s">
        <v>491</v>
      </c>
      <c r="H240" s="118">
        <v>5</v>
      </c>
      <c r="I240" s="12">
        <v>3</v>
      </c>
      <c r="J240" s="12" t="s">
        <v>66</v>
      </c>
      <c r="K240" s="12" t="s">
        <v>67</v>
      </c>
      <c r="L240" s="12" t="s">
        <v>67</v>
      </c>
      <c r="M240" s="12" t="s">
        <v>67</v>
      </c>
    </row>
    <row r="241" ht="16.5" spans="1:13">
      <c r="A241" s="74" t="s">
        <v>36</v>
      </c>
      <c r="B241" s="12" t="s">
        <v>23</v>
      </c>
      <c r="C241" s="75">
        <v>46047</v>
      </c>
      <c r="D241" s="74" t="s">
        <v>315</v>
      </c>
      <c r="E241" s="12" t="s">
        <v>173</v>
      </c>
      <c r="F241" s="74" t="s">
        <v>316</v>
      </c>
      <c r="G241" s="74" t="s">
        <v>492</v>
      </c>
      <c r="H241" s="118">
        <v>5</v>
      </c>
      <c r="I241" s="12">
        <v>4</v>
      </c>
      <c r="J241" s="12" t="s">
        <v>66</v>
      </c>
      <c r="K241" s="12" t="s">
        <v>67</v>
      </c>
      <c r="L241" s="12" t="s">
        <v>67</v>
      </c>
      <c r="M241" s="12" t="s">
        <v>67</v>
      </c>
    </row>
    <row r="242" ht="16.5" spans="1:13">
      <c r="A242" s="74" t="s">
        <v>35</v>
      </c>
      <c r="B242" s="12" t="s">
        <v>23</v>
      </c>
      <c r="C242" s="75">
        <v>46047</v>
      </c>
      <c r="D242" s="74" t="s">
        <v>493</v>
      </c>
      <c r="E242" s="12" t="s">
        <v>125</v>
      </c>
      <c r="F242" s="74" t="s">
        <v>231</v>
      </c>
      <c r="G242" s="74" t="s">
        <v>84</v>
      </c>
      <c r="H242" s="118">
        <v>5</v>
      </c>
      <c r="I242" s="12">
        <v>3</v>
      </c>
      <c r="J242" s="12" t="s">
        <v>66</v>
      </c>
      <c r="K242" s="12" t="s">
        <v>67</v>
      </c>
      <c r="L242" s="12" t="s">
        <v>67</v>
      </c>
      <c r="M242" s="12" t="s">
        <v>67</v>
      </c>
    </row>
    <row r="243" ht="16.5" spans="1:13">
      <c r="A243" s="74" t="s">
        <v>38</v>
      </c>
      <c r="B243" s="12" t="s">
        <v>23</v>
      </c>
      <c r="C243" s="75">
        <v>46047</v>
      </c>
      <c r="D243" s="74" t="s">
        <v>494</v>
      </c>
      <c r="E243" s="12" t="s">
        <v>63</v>
      </c>
      <c r="F243" s="74" t="s">
        <v>495</v>
      </c>
      <c r="G243" s="74" t="s">
        <v>159</v>
      </c>
      <c r="H243" s="118">
        <v>4.88</v>
      </c>
      <c r="I243" s="12">
        <v>5</v>
      </c>
      <c r="J243" s="12" t="s">
        <v>66</v>
      </c>
      <c r="K243" s="12" t="s">
        <v>67</v>
      </c>
      <c r="L243" s="12" t="s">
        <v>67</v>
      </c>
      <c r="M243" s="12" t="s">
        <v>67</v>
      </c>
    </row>
    <row r="244" ht="16.5" spans="1:13">
      <c r="A244" s="74" t="s">
        <v>38</v>
      </c>
      <c r="B244" s="12" t="s">
        <v>23</v>
      </c>
      <c r="C244" s="75">
        <v>46047</v>
      </c>
      <c r="D244" s="74" t="s">
        <v>494</v>
      </c>
      <c r="E244" s="12" t="s">
        <v>63</v>
      </c>
      <c r="F244" s="74" t="s">
        <v>495</v>
      </c>
      <c r="G244" s="74" t="s">
        <v>170</v>
      </c>
      <c r="H244" s="118">
        <v>4.92</v>
      </c>
      <c r="I244" s="12">
        <v>5</v>
      </c>
      <c r="J244" s="12" t="s">
        <v>66</v>
      </c>
      <c r="K244" s="12" t="s">
        <v>67</v>
      </c>
      <c r="L244" s="12" t="s">
        <v>67</v>
      </c>
      <c r="M244" s="12" t="s">
        <v>67</v>
      </c>
    </row>
    <row r="245" ht="16.5" spans="1:13">
      <c r="A245" s="74" t="s">
        <v>38</v>
      </c>
      <c r="B245" s="12" t="s">
        <v>23</v>
      </c>
      <c r="C245" s="75">
        <v>46047</v>
      </c>
      <c r="D245" s="74" t="s">
        <v>494</v>
      </c>
      <c r="E245" s="12" t="s">
        <v>63</v>
      </c>
      <c r="F245" s="74" t="s">
        <v>495</v>
      </c>
      <c r="G245" s="74" t="s">
        <v>97</v>
      </c>
      <c r="H245" s="118">
        <v>4.92</v>
      </c>
      <c r="I245" s="12">
        <v>5</v>
      </c>
      <c r="J245" s="12" t="s">
        <v>66</v>
      </c>
      <c r="K245" s="12" t="s">
        <v>67</v>
      </c>
      <c r="L245" s="12" t="s">
        <v>67</v>
      </c>
      <c r="M245" s="12" t="s">
        <v>67</v>
      </c>
    </row>
    <row r="246" ht="16.5" spans="1:13">
      <c r="A246" s="74" t="s">
        <v>38</v>
      </c>
      <c r="B246" s="12" t="s">
        <v>23</v>
      </c>
      <c r="C246" s="75">
        <v>46046</v>
      </c>
      <c r="D246" s="74" t="s">
        <v>176</v>
      </c>
      <c r="E246" s="12" t="s">
        <v>75</v>
      </c>
      <c r="F246" s="74" t="s">
        <v>496</v>
      </c>
      <c r="G246" s="74" t="s">
        <v>497</v>
      </c>
      <c r="H246" s="118">
        <v>5</v>
      </c>
      <c r="I246" s="12">
        <v>4</v>
      </c>
      <c r="J246" s="12" t="s">
        <v>66</v>
      </c>
      <c r="K246" s="12" t="s">
        <v>67</v>
      </c>
      <c r="L246" s="12" t="s">
        <v>67</v>
      </c>
      <c r="M246" s="12" t="s">
        <v>67</v>
      </c>
    </row>
    <row r="247" ht="16.5" spans="1:13">
      <c r="A247" s="74" t="s">
        <v>29</v>
      </c>
      <c r="B247" s="12" t="s">
        <v>23</v>
      </c>
      <c r="C247" s="75">
        <v>46046</v>
      </c>
      <c r="D247" s="74" t="s">
        <v>469</v>
      </c>
      <c r="E247" s="12" t="s">
        <v>130</v>
      </c>
      <c r="F247" s="74" t="s">
        <v>470</v>
      </c>
      <c r="G247" s="74" t="s">
        <v>498</v>
      </c>
      <c r="H247" s="118">
        <v>5</v>
      </c>
      <c r="I247" s="12">
        <v>5</v>
      </c>
      <c r="J247" s="12" t="s">
        <v>66</v>
      </c>
      <c r="K247" s="12" t="s">
        <v>67</v>
      </c>
      <c r="L247" s="12" t="s">
        <v>67</v>
      </c>
      <c r="M247" s="12" t="s">
        <v>67</v>
      </c>
    </row>
    <row r="248" ht="16.5" spans="1:13">
      <c r="A248" s="74" t="s">
        <v>32</v>
      </c>
      <c r="B248" s="12" t="s">
        <v>23</v>
      </c>
      <c r="C248" s="75">
        <v>46046</v>
      </c>
      <c r="D248" s="74" t="s">
        <v>165</v>
      </c>
      <c r="E248" s="12" t="s">
        <v>105</v>
      </c>
      <c r="F248" s="74" t="s">
        <v>499</v>
      </c>
      <c r="G248" s="74" t="s">
        <v>159</v>
      </c>
      <c r="H248" s="118">
        <v>5</v>
      </c>
      <c r="I248" s="12">
        <v>2</v>
      </c>
      <c r="J248" s="12" t="s">
        <v>66</v>
      </c>
      <c r="K248" s="12" t="s">
        <v>67</v>
      </c>
      <c r="L248" s="12" t="s">
        <v>67</v>
      </c>
      <c r="M248" s="12" t="s">
        <v>67</v>
      </c>
    </row>
    <row r="249" ht="16.5" spans="1:13">
      <c r="A249" s="74" t="s">
        <v>38</v>
      </c>
      <c r="B249" s="12" t="s">
        <v>23</v>
      </c>
      <c r="C249" s="75">
        <v>46046</v>
      </c>
      <c r="D249" s="74" t="s">
        <v>500</v>
      </c>
      <c r="E249" s="12" t="s">
        <v>168</v>
      </c>
      <c r="F249" s="74" t="s">
        <v>501</v>
      </c>
      <c r="G249" s="74" t="s">
        <v>502</v>
      </c>
      <c r="H249" s="118">
        <v>5</v>
      </c>
      <c r="I249" s="12">
        <v>4</v>
      </c>
      <c r="J249" s="12" t="s">
        <v>66</v>
      </c>
      <c r="K249" s="12" t="s">
        <v>67</v>
      </c>
      <c r="L249" s="12" t="s">
        <v>67</v>
      </c>
      <c r="M249" s="12" t="s">
        <v>67</v>
      </c>
    </row>
    <row r="250" ht="16.5" spans="1:13">
      <c r="A250" s="74" t="s">
        <v>38</v>
      </c>
      <c r="B250" s="12" t="s">
        <v>23</v>
      </c>
      <c r="C250" s="75">
        <v>46046</v>
      </c>
      <c r="D250" s="74" t="s">
        <v>242</v>
      </c>
      <c r="E250" s="12" t="s">
        <v>70</v>
      </c>
      <c r="F250" s="74" t="s">
        <v>243</v>
      </c>
      <c r="G250" s="74" t="s">
        <v>503</v>
      </c>
      <c r="H250" s="118">
        <v>4.25</v>
      </c>
      <c r="I250" s="12">
        <v>4</v>
      </c>
      <c r="J250" s="12" t="s">
        <v>66</v>
      </c>
      <c r="K250" s="12" t="s">
        <v>67</v>
      </c>
      <c r="L250" s="12" t="s">
        <v>67</v>
      </c>
      <c r="M250" s="12" t="s">
        <v>67</v>
      </c>
    </row>
    <row r="251" ht="16.5" spans="1:13">
      <c r="A251" s="74" t="s">
        <v>38</v>
      </c>
      <c r="B251" s="12" t="s">
        <v>23</v>
      </c>
      <c r="C251" s="75">
        <v>46046</v>
      </c>
      <c r="D251" s="74" t="s">
        <v>396</v>
      </c>
      <c r="E251" s="12" t="s">
        <v>168</v>
      </c>
      <c r="F251" s="74" t="s">
        <v>397</v>
      </c>
      <c r="G251" s="74" t="s">
        <v>504</v>
      </c>
      <c r="H251" s="118">
        <v>5</v>
      </c>
      <c r="I251" s="12">
        <v>4</v>
      </c>
      <c r="J251" s="12" t="s">
        <v>66</v>
      </c>
      <c r="K251" s="12" t="s">
        <v>67</v>
      </c>
      <c r="L251" s="12" t="s">
        <v>67</v>
      </c>
      <c r="M251" s="12" t="s">
        <v>67</v>
      </c>
    </row>
    <row r="252" ht="16.5" spans="1:13">
      <c r="A252" s="74" t="s">
        <v>32</v>
      </c>
      <c r="B252" s="12" t="s">
        <v>23</v>
      </c>
      <c r="C252" s="75">
        <v>46046</v>
      </c>
      <c r="D252" s="74" t="s">
        <v>487</v>
      </c>
      <c r="E252" s="12" t="s">
        <v>105</v>
      </c>
      <c r="F252" s="74" t="s">
        <v>488</v>
      </c>
      <c r="G252" s="74" t="s">
        <v>111</v>
      </c>
      <c r="H252" s="118">
        <v>5</v>
      </c>
      <c r="I252" s="12">
        <v>4</v>
      </c>
      <c r="J252" s="12" t="s">
        <v>66</v>
      </c>
      <c r="K252" s="12" t="s">
        <v>67</v>
      </c>
      <c r="L252" s="12" t="s">
        <v>67</v>
      </c>
      <c r="M252" s="12" t="s">
        <v>67</v>
      </c>
    </row>
    <row r="253" ht="16.5" spans="1:13">
      <c r="A253" s="74" t="s">
        <v>37</v>
      </c>
      <c r="B253" s="12" t="s">
        <v>23</v>
      </c>
      <c r="C253" s="75">
        <v>46046</v>
      </c>
      <c r="D253" s="74" t="s">
        <v>451</v>
      </c>
      <c r="E253" s="12" t="s">
        <v>152</v>
      </c>
      <c r="F253" s="74" t="s">
        <v>452</v>
      </c>
      <c r="G253" s="74" t="s">
        <v>141</v>
      </c>
      <c r="H253" s="118">
        <v>5</v>
      </c>
      <c r="I253" s="12">
        <v>6</v>
      </c>
      <c r="J253" s="12" t="s">
        <v>66</v>
      </c>
      <c r="K253" s="12" t="s">
        <v>67</v>
      </c>
      <c r="L253" s="12" t="s">
        <v>67</v>
      </c>
      <c r="M253" s="12" t="s">
        <v>67</v>
      </c>
    </row>
    <row r="254" ht="16.5" spans="1:13">
      <c r="A254" s="74" t="s">
        <v>32</v>
      </c>
      <c r="B254" s="12" t="s">
        <v>23</v>
      </c>
      <c r="C254" s="75">
        <v>46046</v>
      </c>
      <c r="D254" s="74" t="s">
        <v>192</v>
      </c>
      <c r="E254" s="12" t="s">
        <v>105</v>
      </c>
      <c r="F254" s="74" t="s">
        <v>505</v>
      </c>
      <c r="G254" s="74" t="s">
        <v>159</v>
      </c>
      <c r="H254" s="118">
        <v>5</v>
      </c>
      <c r="I254" s="12">
        <v>3</v>
      </c>
      <c r="J254" s="12" t="s">
        <v>66</v>
      </c>
      <c r="K254" s="12" t="s">
        <v>67</v>
      </c>
      <c r="L254" s="12" t="s">
        <v>67</v>
      </c>
      <c r="M254" s="12" t="s">
        <v>67</v>
      </c>
    </row>
    <row r="255" ht="16.5" spans="1:13">
      <c r="A255" s="74" t="s">
        <v>29</v>
      </c>
      <c r="B255" s="12" t="s">
        <v>23</v>
      </c>
      <c r="C255" s="75">
        <v>46045</v>
      </c>
      <c r="D255" s="74" t="s">
        <v>469</v>
      </c>
      <c r="E255" s="12" t="s">
        <v>130</v>
      </c>
      <c r="F255" s="74" t="s">
        <v>470</v>
      </c>
      <c r="G255" s="74" t="s">
        <v>506</v>
      </c>
      <c r="H255" s="118">
        <v>5</v>
      </c>
      <c r="I255" s="12">
        <v>5</v>
      </c>
      <c r="J255" s="12" t="s">
        <v>66</v>
      </c>
      <c r="K255" s="12" t="s">
        <v>67</v>
      </c>
      <c r="L255" s="12" t="s">
        <v>67</v>
      </c>
      <c r="M255" s="12" t="s">
        <v>67</v>
      </c>
    </row>
    <row r="256" ht="16.5" spans="1:13">
      <c r="A256" s="74" t="s">
        <v>37</v>
      </c>
      <c r="B256" s="12" t="s">
        <v>23</v>
      </c>
      <c r="C256" s="75">
        <v>46045</v>
      </c>
      <c r="D256" s="74" t="s">
        <v>507</v>
      </c>
      <c r="E256" s="12" t="s">
        <v>152</v>
      </c>
      <c r="F256" s="74" t="s">
        <v>508</v>
      </c>
      <c r="G256" s="74" t="s">
        <v>509</v>
      </c>
      <c r="H256" s="118">
        <v>5</v>
      </c>
      <c r="I256" s="12">
        <v>4</v>
      </c>
      <c r="J256" s="12" t="s">
        <v>66</v>
      </c>
      <c r="K256" s="12" t="s">
        <v>67</v>
      </c>
      <c r="L256" s="12" t="s">
        <v>67</v>
      </c>
      <c r="M256" s="12" t="s">
        <v>67</v>
      </c>
    </row>
    <row r="257" ht="16.5" spans="1:13">
      <c r="A257" s="74" t="s">
        <v>38</v>
      </c>
      <c r="B257" s="12" t="s">
        <v>23</v>
      </c>
      <c r="C257" s="75">
        <v>46045</v>
      </c>
      <c r="D257" s="74" t="s">
        <v>500</v>
      </c>
      <c r="E257" s="12" t="s">
        <v>168</v>
      </c>
      <c r="F257" s="74" t="s">
        <v>501</v>
      </c>
      <c r="G257" s="74" t="s">
        <v>510</v>
      </c>
      <c r="H257" s="118">
        <v>5</v>
      </c>
      <c r="I257" s="12">
        <v>4</v>
      </c>
      <c r="J257" s="12" t="s">
        <v>66</v>
      </c>
      <c r="K257" s="12" t="s">
        <v>67</v>
      </c>
      <c r="L257" s="12" t="s">
        <v>67</v>
      </c>
      <c r="M257" s="12" t="s">
        <v>67</v>
      </c>
    </row>
    <row r="258" ht="16.5" spans="1:13">
      <c r="A258" s="74" t="s">
        <v>37</v>
      </c>
      <c r="B258" s="12" t="s">
        <v>23</v>
      </c>
      <c r="C258" s="75">
        <v>46045</v>
      </c>
      <c r="D258" s="74" t="s">
        <v>451</v>
      </c>
      <c r="E258" s="12" t="s">
        <v>152</v>
      </c>
      <c r="F258" s="74" t="s">
        <v>452</v>
      </c>
      <c r="G258" s="74" t="s">
        <v>511</v>
      </c>
      <c r="H258" s="118">
        <v>5</v>
      </c>
      <c r="I258" s="12">
        <v>5</v>
      </c>
      <c r="J258" s="12" t="s">
        <v>66</v>
      </c>
      <c r="K258" s="12" t="s">
        <v>67</v>
      </c>
      <c r="L258" s="12" t="s">
        <v>67</v>
      </c>
      <c r="M258" s="12" t="s">
        <v>67</v>
      </c>
    </row>
    <row r="259" ht="16.5" spans="1:13">
      <c r="A259" s="74" t="s">
        <v>38</v>
      </c>
      <c r="B259" s="12" t="s">
        <v>23</v>
      </c>
      <c r="C259" s="75">
        <v>46045</v>
      </c>
      <c r="D259" s="74" t="s">
        <v>512</v>
      </c>
      <c r="E259" s="12" t="s">
        <v>75</v>
      </c>
      <c r="F259" s="74" t="s">
        <v>513</v>
      </c>
      <c r="G259" s="74" t="s">
        <v>514</v>
      </c>
      <c r="H259" s="118">
        <v>5</v>
      </c>
      <c r="I259" s="12">
        <v>5</v>
      </c>
      <c r="J259" s="12" t="s">
        <v>66</v>
      </c>
      <c r="K259" s="12" t="s">
        <v>67</v>
      </c>
      <c r="L259" s="12" t="s">
        <v>67</v>
      </c>
      <c r="M259" s="12" t="s">
        <v>67</v>
      </c>
    </row>
    <row r="260" ht="16.5" spans="1:13">
      <c r="A260" s="74" t="s">
        <v>38</v>
      </c>
      <c r="B260" s="12" t="s">
        <v>23</v>
      </c>
      <c r="C260" s="75">
        <v>46045</v>
      </c>
      <c r="D260" s="74" t="s">
        <v>143</v>
      </c>
      <c r="E260" s="12" t="s">
        <v>144</v>
      </c>
      <c r="F260" s="74" t="s">
        <v>145</v>
      </c>
      <c r="G260" s="74" t="s">
        <v>461</v>
      </c>
      <c r="H260" s="118">
        <v>5</v>
      </c>
      <c r="I260" s="12">
        <v>2</v>
      </c>
      <c r="J260" s="12" t="s">
        <v>66</v>
      </c>
      <c r="K260" s="12" t="s">
        <v>67</v>
      </c>
      <c r="L260" s="12" t="s">
        <v>67</v>
      </c>
      <c r="M260" s="12" t="s">
        <v>67</v>
      </c>
    </row>
    <row r="261" ht="16.5" spans="1:13">
      <c r="A261" s="74" t="s">
        <v>38</v>
      </c>
      <c r="B261" s="12" t="s">
        <v>23</v>
      </c>
      <c r="C261" s="75">
        <v>46043</v>
      </c>
      <c r="D261" s="74" t="s">
        <v>430</v>
      </c>
      <c r="E261" s="12" t="s">
        <v>168</v>
      </c>
      <c r="F261" s="74" t="s">
        <v>431</v>
      </c>
      <c r="G261" s="74" t="s">
        <v>515</v>
      </c>
      <c r="H261" s="118">
        <v>5</v>
      </c>
      <c r="I261" s="12">
        <v>6</v>
      </c>
      <c r="J261" s="12" t="s">
        <v>66</v>
      </c>
      <c r="K261" s="12" t="s">
        <v>67</v>
      </c>
      <c r="L261" s="12" t="s">
        <v>67</v>
      </c>
      <c r="M261" s="12" t="s">
        <v>67</v>
      </c>
    </row>
    <row r="262" ht="16.5" spans="1:13">
      <c r="A262" s="74" t="s">
        <v>24</v>
      </c>
      <c r="B262" s="12" t="s">
        <v>23</v>
      </c>
      <c r="C262" s="75">
        <v>46045</v>
      </c>
      <c r="D262" s="74" t="s">
        <v>251</v>
      </c>
      <c r="E262" s="12" t="s">
        <v>152</v>
      </c>
      <c r="F262" s="74" t="s">
        <v>252</v>
      </c>
      <c r="G262" s="74" t="s">
        <v>308</v>
      </c>
      <c r="H262" s="118">
        <v>5</v>
      </c>
      <c r="I262" s="12">
        <v>4</v>
      </c>
      <c r="J262" s="12" t="s">
        <v>66</v>
      </c>
      <c r="K262" s="12" t="s">
        <v>67</v>
      </c>
      <c r="L262" s="12" t="s">
        <v>67</v>
      </c>
      <c r="M262" s="12" t="s">
        <v>67</v>
      </c>
    </row>
    <row r="263" ht="16.5" spans="1:13">
      <c r="A263" s="74" t="s">
        <v>38</v>
      </c>
      <c r="B263" s="12" t="s">
        <v>23</v>
      </c>
      <c r="C263" s="75">
        <v>46045</v>
      </c>
      <c r="D263" s="74" t="s">
        <v>319</v>
      </c>
      <c r="E263" s="12" t="s">
        <v>63</v>
      </c>
      <c r="F263" s="74" t="s">
        <v>161</v>
      </c>
      <c r="G263" s="74" t="s">
        <v>92</v>
      </c>
      <c r="H263" s="118">
        <v>5</v>
      </c>
      <c r="I263" s="12">
        <v>5</v>
      </c>
      <c r="J263" s="12" t="s">
        <v>66</v>
      </c>
      <c r="K263" s="12" t="s">
        <v>67</v>
      </c>
      <c r="L263" s="12" t="s">
        <v>67</v>
      </c>
      <c r="M263" s="12" t="s">
        <v>67</v>
      </c>
    </row>
    <row r="264" ht="16.5" spans="1:13">
      <c r="A264" s="74" t="s">
        <v>38</v>
      </c>
      <c r="B264" s="12" t="s">
        <v>23</v>
      </c>
      <c r="C264" s="75">
        <v>46045</v>
      </c>
      <c r="D264" s="74" t="s">
        <v>481</v>
      </c>
      <c r="E264" s="12" t="s">
        <v>63</v>
      </c>
      <c r="F264" s="74" t="s">
        <v>231</v>
      </c>
      <c r="G264" s="74" t="s">
        <v>516</v>
      </c>
      <c r="H264" s="118">
        <v>5</v>
      </c>
      <c r="I264" s="12">
        <v>3</v>
      </c>
      <c r="J264" s="12" t="s">
        <v>66</v>
      </c>
      <c r="K264" s="12" t="s">
        <v>67</v>
      </c>
      <c r="L264" s="12" t="s">
        <v>67</v>
      </c>
      <c r="M264" s="12" t="s">
        <v>67</v>
      </c>
    </row>
    <row r="265" ht="16.5" spans="1:13">
      <c r="A265" s="74" t="s">
        <v>38</v>
      </c>
      <c r="B265" s="12" t="s">
        <v>23</v>
      </c>
      <c r="C265" s="75">
        <v>46045</v>
      </c>
      <c r="D265" s="74" t="s">
        <v>437</v>
      </c>
      <c r="E265" s="12" t="s">
        <v>75</v>
      </c>
      <c r="F265" s="74" t="s">
        <v>517</v>
      </c>
      <c r="G265" s="74" t="s">
        <v>97</v>
      </c>
      <c r="H265" s="118">
        <v>5</v>
      </c>
      <c r="I265" s="12">
        <v>5</v>
      </c>
      <c r="J265" s="12" t="s">
        <v>66</v>
      </c>
      <c r="K265" s="12" t="s">
        <v>67</v>
      </c>
      <c r="L265" s="12" t="s">
        <v>67</v>
      </c>
      <c r="M265" s="12" t="s">
        <v>67</v>
      </c>
    </row>
    <row r="266" ht="16.5" spans="1:13">
      <c r="A266" s="74" t="s">
        <v>37</v>
      </c>
      <c r="B266" s="12" t="s">
        <v>23</v>
      </c>
      <c r="C266" s="75">
        <v>46044</v>
      </c>
      <c r="D266" s="74" t="s">
        <v>507</v>
      </c>
      <c r="E266" s="12" t="s">
        <v>152</v>
      </c>
      <c r="F266" s="74" t="s">
        <v>508</v>
      </c>
      <c r="G266" s="74" t="s">
        <v>518</v>
      </c>
      <c r="H266" s="118">
        <v>5</v>
      </c>
      <c r="I266" s="12">
        <v>4</v>
      </c>
      <c r="J266" s="12" t="s">
        <v>66</v>
      </c>
      <c r="K266" s="12" t="s">
        <v>67</v>
      </c>
      <c r="L266" s="12" t="s">
        <v>67</v>
      </c>
      <c r="M266" s="12" t="s">
        <v>67</v>
      </c>
    </row>
    <row r="267" ht="16.5" spans="1:13">
      <c r="A267" s="74" t="s">
        <v>35</v>
      </c>
      <c r="B267" s="12" t="s">
        <v>23</v>
      </c>
      <c r="C267" s="75">
        <v>46044</v>
      </c>
      <c r="D267" s="74" t="s">
        <v>448</v>
      </c>
      <c r="E267" s="12" t="s">
        <v>125</v>
      </c>
      <c r="F267" s="74" t="s">
        <v>519</v>
      </c>
      <c r="G267" s="74" t="s">
        <v>520</v>
      </c>
      <c r="H267" s="118">
        <v>4.95</v>
      </c>
      <c r="I267" s="12">
        <v>4</v>
      </c>
      <c r="J267" s="12" t="s">
        <v>66</v>
      </c>
      <c r="K267" s="12" t="s">
        <v>67</v>
      </c>
      <c r="L267" s="12" t="s">
        <v>67</v>
      </c>
      <c r="M267" s="12" t="s">
        <v>67</v>
      </c>
    </row>
    <row r="268" ht="16.5" spans="1:13">
      <c r="A268" s="74" t="s">
        <v>38</v>
      </c>
      <c r="B268" s="12" t="s">
        <v>23</v>
      </c>
      <c r="C268" s="75">
        <v>46044</v>
      </c>
      <c r="D268" s="74" t="s">
        <v>400</v>
      </c>
      <c r="E268" s="12" t="s">
        <v>75</v>
      </c>
      <c r="F268" s="74" t="s">
        <v>401</v>
      </c>
      <c r="G268" s="74" t="s">
        <v>521</v>
      </c>
      <c r="H268" s="118">
        <v>5</v>
      </c>
      <c r="I268" s="12">
        <v>4</v>
      </c>
      <c r="J268" s="12" t="s">
        <v>66</v>
      </c>
      <c r="K268" s="12" t="s">
        <v>67</v>
      </c>
      <c r="L268" s="12" t="s">
        <v>67</v>
      </c>
      <c r="M268" s="12" t="s">
        <v>67</v>
      </c>
    </row>
    <row r="269" ht="16.5" spans="1:13">
      <c r="A269" s="74" t="s">
        <v>24</v>
      </c>
      <c r="B269" s="12" t="s">
        <v>23</v>
      </c>
      <c r="C269" s="75">
        <v>46044</v>
      </c>
      <c r="D269" s="74" t="s">
        <v>237</v>
      </c>
      <c r="E269" s="12" t="s">
        <v>152</v>
      </c>
      <c r="F269" s="74" t="s">
        <v>238</v>
      </c>
      <c r="G269" s="74" t="s">
        <v>207</v>
      </c>
      <c r="H269" s="118">
        <v>5</v>
      </c>
      <c r="I269" s="12">
        <v>3</v>
      </c>
      <c r="J269" s="12" t="s">
        <v>66</v>
      </c>
      <c r="K269" s="12" t="s">
        <v>67</v>
      </c>
      <c r="L269" s="12" t="s">
        <v>67</v>
      </c>
      <c r="M269" s="12" t="s">
        <v>67</v>
      </c>
    </row>
    <row r="270" ht="16.5" spans="1:13">
      <c r="A270" s="74" t="s">
        <v>38</v>
      </c>
      <c r="B270" s="12" t="s">
        <v>23</v>
      </c>
      <c r="C270" s="75">
        <v>46043</v>
      </c>
      <c r="D270" s="74" t="s">
        <v>430</v>
      </c>
      <c r="E270" s="12" t="s">
        <v>168</v>
      </c>
      <c r="F270" s="74" t="s">
        <v>431</v>
      </c>
      <c r="G270" s="74" t="s">
        <v>522</v>
      </c>
      <c r="H270" s="118">
        <v>5</v>
      </c>
      <c r="I270" s="12">
        <v>6</v>
      </c>
      <c r="J270" s="12" t="s">
        <v>66</v>
      </c>
      <c r="K270" s="12" t="s">
        <v>67</v>
      </c>
      <c r="L270" s="12" t="s">
        <v>67</v>
      </c>
      <c r="M270" s="12" t="s">
        <v>67</v>
      </c>
    </row>
    <row r="271" ht="16.5" spans="1:13">
      <c r="A271" s="74" t="s">
        <v>37</v>
      </c>
      <c r="B271" s="12" t="s">
        <v>23</v>
      </c>
      <c r="C271" s="75">
        <v>46044</v>
      </c>
      <c r="D271" s="74" t="s">
        <v>422</v>
      </c>
      <c r="E271" s="12" t="s">
        <v>109</v>
      </c>
      <c r="F271" s="74" t="s">
        <v>423</v>
      </c>
      <c r="G271" s="74" t="s">
        <v>523</v>
      </c>
      <c r="H271" s="118">
        <v>5</v>
      </c>
      <c r="I271" s="12">
        <v>5</v>
      </c>
      <c r="J271" s="12" t="s">
        <v>66</v>
      </c>
      <c r="K271" s="12" t="s">
        <v>67</v>
      </c>
      <c r="L271" s="12" t="s">
        <v>67</v>
      </c>
      <c r="M271" s="12" t="s">
        <v>67</v>
      </c>
    </row>
    <row r="272" ht="16.5" spans="1:13">
      <c r="A272" s="74" t="s">
        <v>35</v>
      </c>
      <c r="B272" s="12" t="s">
        <v>23</v>
      </c>
      <c r="C272" s="75">
        <v>46044</v>
      </c>
      <c r="D272" s="74" t="s">
        <v>417</v>
      </c>
      <c r="E272" s="12" t="s">
        <v>125</v>
      </c>
      <c r="F272" s="74" t="s">
        <v>234</v>
      </c>
      <c r="G272" s="74" t="s">
        <v>524</v>
      </c>
      <c r="H272" s="118">
        <v>5</v>
      </c>
      <c r="I272" s="12">
        <v>6</v>
      </c>
      <c r="J272" s="12" t="s">
        <v>66</v>
      </c>
      <c r="K272" s="12" t="s">
        <v>67</v>
      </c>
      <c r="L272" s="12" t="s">
        <v>67</v>
      </c>
      <c r="M272" s="12" t="s">
        <v>67</v>
      </c>
    </row>
    <row r="273" ht="16.5" spans="1:13">
      <c r="A273" s="74" t="s">
        <v>38</v>
      </c>
      <c r="B273" s="12" t="s">
        <v>23</v>
      </c>
      <c r="C273" s="75">
        <v>46044</v>
      </c>
      <c r="D273" s="74" t="s">
        <v>512</v>
      </c>
      <c r="E273" s="12" t="s">
        <v>75</v>
      </c>
      <c r="F273" s="74" t="s">
        <v>513</v>
      </c>
      <c r="G273" s="74" t="s">
        <v>311</v>
      </c>
      <c r="H273" s="118">
        <v>5</v>
      </c>
      <c r="I273" s="12">
        <v>5</v>
      </c>
      <c r="J273" s="12" t="s">
        <v>66</v>
      </c>
      <c r="K273" s="12" t="s">
        <v>67</v>
      </c>
      <c r="L273" s="12" t="s">
        <v>67</v>
      </c>
      <c r="M273" s="12" t="s">
        <v>67</v>
      </c>
    </row>
    <row r="274" ht="16.5" spans="1:13">
      <c r="A274" s="74" t="s">
        <v>35</v>
      </c>
      <c r="B274" s="12" t="s">
        <v>23</v>
      </c>
      <c r="C274" s="75">
        <v>46044</v>
      </c>
      <c r="D274" s="74" t="s">
        <v>444</v>
      </c>
      <c r="E274" s="12" t="s">
        <v>125</v>
      </c>
      <c r="F274" s="74" t="s">
        <v>445</v>
      </c>
      <c r="G274" s="74" t="s">
        <v>525</v>
      </c>
      <c r="H274" s="118">
        <v>5</v>
      </c>
      <c r="I274" s="12">
        <v>5</v>
      </c>
      <c r="J274" s="12" t="s">
        <v>66</v>
      </c>
      <c r="K274" s="12" t="s">
        <v>67</v>
      </c>
      <c r="L274" s="12" t="s">
        <v>67</v>
      </c>
      <c r="M274" s="12" t="s">
        <v>67</v>
      </c>
    </row>
    <row r="275" ht="16.5" spans="1:13">
      <c r="A275" s="74" t="s">
        <v>26</v>
      </c>
      <c r="B275" s="12" t="s">
        <v>23</v>
      </c>
      <c r="C275" s="75">
        <v>46044</v>
      </c>
      <c r="D275" s="74" t="s">
        <v>385</v>
      </c>
      <c r="E275" s="12" t="s">
        <v>121</v>
      </c>
      <c r="F275" s="74" t="s">
        <v>386</v>
      </c>
      <c r="G275" s="74" t="s">
        <v>526</v>
      </c>
      <c r="H275" s="118">
        <v>5</v>
      </c>
      <c r="I275" s="12">
        <v>3</v>
      </c>
      <c r="J275" s="12" t="s">
        <v>66</v>
      </c>
      <c r="K275" s="12" t="s">
        <v>67</v>
      </c>
      <c r="L275" s="12" t="s">
        <v>67</v>
      </c>
      <c r="M275" s="12" t="s">
        <v>67</v>
      </c>
    </row>
    <row r="276" ht="16.5" spans="1:13">
      <c r="A276" s="74" t="s">
        <v>37</v>
      </c>
      <c r="B276" s="12" t="s">
        <v>23</v>
      </c>
      <c r="C276" s="75">
        <v>46043</v>
      </c>
      <c r="D276" s="74" t="s">
        <v>527</v>
      </c>
      <c r="E276" s="12" t="s">
        <v>109</v>
      </c>
      <c r="F276" s="74" t="s">
        <v>528</v>
      </c>
      <c r="G276" s="74" t="s">
        <v>529</v>
      </c>
      <c r="H276" s="118">
        <v>5</v>
      </c>
      <c r="I276" s="12">
        <v>5</v>
      </c>
      <c r="J276" s="12" t="s">
        <v>66</v>
      </c>
      <c r="K276" s="12" t="s">
        <v>67</v>
      </c>
      <c r="L276" s="12" t="s">
        <v>67</v>
      </c>
      <c r="M276" s="12" t="s">
        <v>67</v>
      </c>
    </row>
    <row r="277" ht="16.5" spans="1:13">
      <c r="A277" s="74" t="s">
        <v>38</v>
      </c>
      <c r="B277" s="12" t="s">
        <v>23</v>
      </c>
      <c r="C277" s="75">
        <v>46043</v>
      </c>
      <c r="D277" s="74" t="s">
        <v>400</v>
      </c>
      <c r="E277" s="12" t="s">
        <v>75</v>
      </c>
      <c r="F277" s="74" t="s">
        <v>401</v>
      </c>
      <c r="G277" s="74" t="s">
        <v>530</v>
      </c>
      <c r="H277" s="118">
        <v>5</v>
      </c>
      <c r="I277" s="12">
        <v>4</v>
      </c>
      <c r="J277" s="12" t="s">
        <v>66</v>
      </c>
      <c r="K277" s="12" t="s">
        <v>67</v>
      </c>
      <c r="L277" s="12" t="s">
        <v>67</v>
      </c>
      <c r="M277" s="12" t="s">
        <v>67</v>
      </c>
    </row>
    <row r="278" ht="16.5" spans="1:13">
      <c r="A278" s="74" t="s">
        <v>38</v>
      </c>
      <c r="B278" s="12" t="s">
        <v>23</v>
      </c>
      <c r="C278" s="75">
        <v>46041</v>
      </c>
      <c r="D278" s="74" t="s">
        <v>531</v>
      </c>
      <c r="E278" s="12" t="s">
        <v>70</v>
      </c>
      <c r="F278" s="74" t="s">
        <v>532</v>
      </c>
      <c r="G278" s="74" t="s">
        <v>533</v>
      </c>
      <c r="H278" s="118">
        <v>4.93333333333333</v>
      </c>
      <c r="I278" s="12">
        <v>6</v>
      </c>
      <c r="J278" s="12" t="s">
        <v>66</v>
      </c>
      <c r="K278" s="12" t="s">
        <v>67</v>
      </c>
      <c r="L278" s="12" t="s">
        <v>67</v>
      </c>
      <c r="M278" s="12" t="s">
        <v>67</v>
      </c>
    </row>
    <row r="279" ht="16.5" spans="1:13">
      <c r="A279" s="74" t="s">
        <v>38</v>
      </c>
      <c r="B279" s="12" t="s">
        <v>23</v>
      </c>
      <c r="C279" s="75">
        <v>46041</v>
      </c>
      <c r="D279" s="74" t="s">
        <v>531</v>
      </c>
      <c r="E279" s="12" t="s">
        <v>70</v>
      </c>
      <c r="F279" s="74" t="s">
        <v>534</v>
      </c>
      <c r="G279" s="74" t="s">
        <v>535</v>
      </c>
      <c r="H279" s="118">
        <v>4.96</v>
      </c>
      <c r="I279" s="12">
        <v>5</v>
      </c>
      <c r="J279" s="12" t="s">
        <v>211</v>
      </c>
      <c r="K279" s="12" t="s">
        <v>212</v>
      </c>
      <c r="L279" s="12" t="s">
        <v>67</v>
      </c>
      <c r="M279" s="12" t="s">
        <v>212</v>
      </c>
    </row>
    <row r="280" ht="16.5" spans="1:13">
      <c r="A280" s="74" t="s">
        <v>33</v>
      </c>
      <c r="B280" s="12" t="s">
        <v>23</v>
      </c>
      <c r="C280" s="75">
        <v>46040</v>
      </c>
      <c r="D280" s="74" t="s">
        <v>536</v>
      </c>
      <c r="E280" s="12" t="s">
        <v>537</v>
      </c>
      <c r="F280" s="74" t="s">
        <v>538</v>
      </c>
      <c r="G280" s="74" t="s">
        <v>311</v>
      </c>
      <c r="H280" s="118">
        <v>5</v>
      </c>
      <c r="I280" s="12">
        <v>5</v>
      </c>
      <c r="J280" s="12" t="s">
        <v>66</v>
      </c>
      <c r="K280" s="12" t="s">
        <v>67</v>
      </c>
      <c r="L280" s="12" t="s">
        <v>67</v>
      </c>
      <c r="M280" s="12" t="s">
        <v>67</v>
      </c>
    </row>
    <row r="281" ht="16.5" spans="1:13">
      <c r="A281" s="74" t="s">
        <v>33</v>
      </c>
      <c r="B281" s="12" t="s">
        <v>23</v>
      </c>
      <c r="C281" s="75">
        <v>46033</v>
      </c>
      <c r="D281" s="74" t="s">
        <v>536</v>
      </c>
      <c r="E281" s="12" t="s">
        <v>537</v>
      </c>
      <c r="F281" s="74" t="s">
        <v>538</v>
      </c>
      <c r="G281" s="74" t="s">
        <v>539</v>
      </c>
      <c r="H281" s="118">
        <v>5</v>
      </c>
      <c r="I281" s="12">
        <v>5</v>
      </c>
      <c r="J281" s="12" t="s">
        <v>66</v>
      </c>
      <c r="K281" s="12" t="s">
        <v>67</v>
      </c>
      <c r="L281" s="12" t="s">
        <v>67</v>
      </c>
      <c r="M281" s="12" t="s">
        <v>67</v>
      </c>
    </row>
    <row r="282" ht="16.5" spans="1:13">
      <c r="A282" s="74" t="s">
        <v>38</v>
      </c>
      <c r="B282" s="12" t="s">
        <v>23</v>
      </c>
      <c r="C282" s="75">
        <v>46043</v>
      </c>
      <c r="D282" s="74" t="s">
        <v>396</v>
      </c>
      <c r="E282" s="12" t="s">
        <v>168</v>
      </c>
      <c r="F282" s="74" t="s">
        <v>397</v>
      </c>
      <c r="G282" s="74" t="s">
        <v>461</v>
      </c>
      <c r="H282" s="118">
        <v>5</v>
      </c>
      <c r="I282" s="12">
        <v>4</v>
      </c>
      <c r="J282" s="12" t="s">
        <v>66</v>
      </c>
      <c r="K282" s="12" t="s">
        <v>67</v>
      </c>
      <c r="L282" s="12" t="s">
        <v>67</v>
      </c>
      <c r="M282" s="12" t="s">
        <v>67</v>
      </c>
    </row>
    <row r="283" ht="16.5" spans="1:13">
      <c r="A283" s="74" t="s">
        <v>38</v>
      </c>
      <c r="B283" s="12" t="s">
        <v>23</v>
      </c>
      <c r="C283" s="75">
        <v>46043</v>
      </c>
      <c r="D283" s="74" t="s">
        <v>540</v>
      </c>
      <c r="E283" s="12" t="s">
        <v>220</v>
      </c>
      <c r="F283" s="74" t="s">
        <v>344</v>
      </c>
      <c r="G283" s="74" t="s">
        <v>301</v>
      </c>
      <c r="H283" s="118">
        <v>5</v>
      </c>
      <c r="I283" s="12">
        <v>2</v>
      </c>
      <c r="J283" s="12" t="s">
        <v>66</v>
      </c>
      <c r="K283" s="12" t="s">
        <v>67</v>
      </c>
      <c r="L283" s="12" t="s">
        <v>67</v>
      </c>
      <c r="M283" s="12" t="s">
        <v>67</v>
      </c>
    </row>
    <row r="284" ht="16.5" spans="1:13">
      <c r="A284" s="74" t="s">
        <v>38</v>
      </c>
      <c r="B284" s="12" t="s">
        <v>23</v>
      </c>
      <c r="C284" s="75">
        <v>46043</v>
      </c>
      <c r="D284" s="74" t="s">
        <v>371</v>
      </c>
      <c r="E284" s="12" t="s">
        <v>148</v>
      </c>
      <c r="F284" s="74" t="s">
        <v>541</v>
      </c>
      <c r="G284" s="74" t="s">
        <v>275</v>
      </c>
      <c r="H284" s="118">
        <v>5</v>
      </c>
      <c r="I284" s="12">
        <v>5</v>
      </c>
      <c r="J284" s="12" t="s">
        <v>66</v>
      </c>
      <c r="K284" s="12" t="s">
        <v>67</v>
      </c>
      <c r="L284" s="12" t="s">
        <v>67</v>
      </c>
      <c r="M284" s="12" t="s">
        <v>67</v>
      </c>
    </row>
    <row r="285" ht="16.5" spans="1:13">
      <c r="A285" s="74" t="s">
        <v>24</v>
      </c>
      <c r="B285" s="12" t="s">
        <v>23</v>
      </c>
      <c r="C285" s="75">
        <v>46043</v>
      </c>
      <c r="D285" s="74" t="s">
        <v>251</v>
      </c>
      <c r="E285" s="12" t="s">
        <v>152</v>
      </c>
      <c r="F285" s="74" t="s">
        <v>252</v>
      </c>
      <c r="G285" s="74" t="s">
        <v>301</v>
      </c>
      <c r="H285" s="118">
        <v>5</v>
      </c>
      <c r="I285" s="12">
        <v>4</v>
      </c>
      <c r="J285" s="12" t="s">
        <v>66</v>
      </c>
      <c r="K285" s="12" t="s">
        <v>67</v>
      </c>
      <c r="L285" s="12" t="s">
        <v>67</v>
      </c>
      <c r="M285" s="12" t="s">
        <v>67</v>
      </c>
    </row>
    <row r="286" ht="16.5" spans="1:13">
      <c r="A286" s="74" t="s">
        <v>38</v>
      </c>
      <c r="B286" s="12" t="s">
        <v>23</v>
      </c>
      <c r="C286" s="75">
        <v>46043</v>
      </c>
      <c r="D286" s="74" t="s">
        <v>336</v>
      </c>
      <c r="E286" s="12" t="s">
        <v>70</v>
      </c>
      <c r="F286" s="74" t="s">
        <v>337</v>
      </c>
      <c r="G286" s="74" t="s">
        <v>542</v>
      </c>
      <c r="H286" s="118">
        <v>4.92</v>
      </c>
      <c r="I286" s="12">
        <v>5</v>
      </c>
      <c r="J286" s="12" t="s">
        <v>66</v>
      </c>
      <c r="K286" s="12" t="s">
        <v>67</v>
      </c>
      <c r="L286" s="12" t="s">
        <v>67</v>
      </c>
      <c r="M286" s="12" t="s">
        <v>67</v>
      </c>
    </row>
    <row r="287" ht="16.5" spans="1:13">
      <c r="A287" s="74" t="s">
        <v>38</v>
      </c>
      <c r="B287" s="12" t="s">
        <v>23</v>
      </c>
      <c r="C287" s="75">
        <v>46043</v>
      </c>
      <c r="D287" s="74" t="s">
        <v>481</v>
      </c>
      <c r="E287" s="12" t="s">
        <v>63</v>
      </c>
      <c r="F287" s="74" t="s">
        <v>231</v>
      </c>
      <c r="G287" s="74" t="s">
        <v>107</v>
      </c>
      <c r="H287" s="118">
        <v>5</v>
      </c>
      <c r="I287" s="12">
        <v>2</v>
      </c>
      <c r="J287" s="12" t="s">
        <v>66</v>
      </c>
      <c r="K287" s="12" t="s">
        <v>67</v>
      </c>
      <c r="L287" s="12" t="s">
        <v>67</v>
      </c>
      <c r="M287" s="12" t="s">
        <v>67</v>
      </c>
    </row>
    <row r="288" ht="16.5" spans="1:13">
      <c r="A288" s="74" t="s">
        <v>38</v>
      </c>
      <c r="B288" s="12" t="s">
        <v>23</v>
      </c>
      <c r="C288" s="75">
        <v>46043</v>
      </c>
      <c r="D288" s="74" t="s">
        <v>407</v>
      </c>
      <c r="E288" s="12" t="s">
        <v>75</v>
      </c>
      <c r="F288" s="74" t="s">
        <v>408</v>
      </c>
      <c r="G288" s="74" t="s">
        <v>543</v>
      </c>
      <c r="H288" s="118">
        <v>5</v>
      </c>
      <c r="I288" s="12">
        <v>5</v>
      </c>
      <c r="J288" s="12" t="s">
        <v>66</v>
      </c>
      <c r="K288" s="12" t="s">
        <v>67</v>
      </c>
      <c r="L288" s="12" t="s">
        <v>67</v>
      </c>
      <c r="M288" s="12" t="s">
        <v>67</v>
      </c>
    </row>
    <row r="289" ht="16.5" spans="1:13">
      <c r="A289" s="74" t="s">
        <v>38</v>
      </c>
      <c r="B289" s="12" t="s">
        <v>23</v>
      </c>
      <c r="C289" s="75">
        <v>46042</v>
      </c>
      <c r="D289" s="74" t="s">
        <v>392</v>
      </c>
      <c r="E289" s="12" t="s">
        <v>63</v>
      </c>
      <c r="F289" s="74" t="s">
        <v>393</v>
      </c>
      <c r="G289" s="74" t="s">
        <v>544</v>
      </c>
      <c r="H289" s="118">
        <v>5</v>
      </c>
      <c r="I289" s="12">
        <v>5</v>
      </c>
      <c r="J289" s="12" t="s">
        <v>66</v>
      </c>
      <c r="K289" s="12" t="s">
        <v>67</v>
      </c>
      <c r="L289" s="12" t="s">
        <v>67</v>
      </c>
      <c r="M289" s="12" t="s">
        <v>67</v>
      </c>
    </row>
    <row r="290" ht="16.5" spans="1:13">
      <c r="A290" s="74" t="s">
        <v>35</v>
      </c>
      <c r="B290" s="12" t="s">
        <v>23</v>
      </c>
      <c r="C290" s="75">
        <v>46042</v>
      </c>
      <c r="D290" s="74" t="s">
        <v>493</v>
      </c>
      <c r="E290" s="12" t="s">
        <v>125</v>
      </c>
      <c r="F290" s="74" t="s">
        <v>231</v>
      </c>
      <c r="G290" s="74" t="s">
        <v>545</v>
      </c>
      <c r="H290" s="118">
        <v>5</v>
      </c>
      <c r="I290" s="12">
        <v>3</v>
      </c>
      <c r="J290" s="12" t="s">
        <v>66</v>
      </c>
      <c r="K290" s="12" t="s">
        <v>67</v>
      </c>
      <c r="L290" s="12" t="s">
        <v>67</v>
      </c>
      <c r="M290" s="12" t="s">
        <v>67</v>
      </c>
    </row>
    <row r="291" ht="16.5" spans="1:13">
      <c r="A291" s="74" t="s">
        <v>35</v>
      </c>
      <c r="B291" s="12" t="s">
        <v>23</v>
      </c>
      <c r="C291" s="75">
        <v>46042</v>
      </c>
      <c r="D291" s="74" t="s">
        <v>448</v>
      </c>
      <c r="E291" s="12" t="s">
        <v>125</v>
      </c>
      <c r="F291" s="74" t="s">
        <v>546</v>
      </c>
      <c r="G291" s="74" t="s">
        <v>308</v>
      </c>
      <c r="H291" s="118">
        <v>5</v>
      </c>
      <c r="I291" s="12">
        <v>4</v>
      </c>
      <c r="J291" s="12" t="s">
        <v>66</v>
      </c>
      <c r="K291" s="12" t="s">
        <v>67</v>
      </c>
      <c r="L291" s="12" t="s">
        <v>67</v>
      </c>
      <c r="M291" s="12" t="s">
        <v>67</v>
      </c>
    </row>
    <row r="292" ht="16.5" spans="1:13">
      <c r="A292" s="74" t="s">
        <v>38</v>
      </c>
      <c r="B292" s="12" t="s">
        <v>23</v>
      </c>
      <c r="C292" s="75">
        <v>46052</v>
      </c>
      <c r="D292" s="74" t="s">
        <v>500</v>
      </c>
      <c r="E292" s="12" t="s">
        <v>168</v>
      </c>
      <c r="F292" s="74" t="s">
        <v>501</v>
      </c>
      <c r="G292" s="74" t="s">
        <v>547</v>
      </c>
      <c r="H292" s="118">
        <v>5</v>
      </c>
      <c r="I292" s="12">
        <v>4</v>
      </c>
      <c r="J292" s="12" t="s">
        <v>66</v>
      </c>
      <c r="K292" s="12" t="s">
        <v>67</v>
      </c>
      <c r="L292" s="12" t="s">
        <v>67</v>
      </c>
      <c r="M292" s="12" t="s">
        <v>67</v>
      </c>
    </row>
    <row r="293" ht="16.5" spans="1:13">
      <c r="A293" s="74" t="s">
        <v>38</v>
      </c>
      <c r="B293" s="12" t="s">
        <v>23</v>
      </c>
      <c r="C293" s="75">
        <v>46042</v>
      </c>
      <c r="D293" s="74" t="s">
        <v>376</v>
      </c>
      <c r="E293" s="12" t="s">
        <v>148</v>
      </c>
      <c r="F293" s="74" t="s">
        <v>377</v>
      </c>
      <c r="G293" s="74" t="s">
        <v>548</v>
      </c>
      <c r="H293" s="118">
        <v>5</v>
      </c>
      <c r="I293" s="12">
        <v>4</v>
      </c>
      <c r="J293" s="12" t="s">
        <v>66</v>
      </c>
      <c r="K293" s="12" t="s">
        <v>67</v>
      </c>
      <c r="L293" s="12" t="s">
        <v>67</v>
      </c>
      <c r="M293" s="12" t="s">
        <v>67</v>
      </c>
    </row>
    <row r="294" ht="16.5" spans="1:13">
      <c r="A294" s="74" t="s">
        <v>38</v>
      </c>
      <c r="B294" s="12" t="s">
        <v>23</v>
      </c>
      <c r="C294" s="75">
        <v>46042</v>
      </c>
      <c r="D294" s="74" t="s">
        <v>376</v>
      </c>
      <c r="E294" s="12" t="s">
        <v>148</v>
      </c>
      <c r="F294" s="74" t="s">
        <v>377</v>
      </c>
      <c r="G294" s="74" t="s">
        <v>549</v>
      </c>
      <c r="H294" s="118">
        <v>5</v>
      </c>
      <c r="I294" s="12">
        <v>5</v>
      </c>
      <c r="J294" s="12" t="s">
        <v>66</v>
      </c>
      <c r="K294" s="12" t="s">
        <v>67</v>
      </c>
      <c r="L294" s="12" t="s">
        <v>67</v>
      </c>
      <c r="M294" s="12" t="s">
        <v>67</v>
      </c>
    </row>
    <row r="295" ht="16.5" spans="1:13">
      <c r="A295" s="74" t="s">
        <v>36</v>
      </c>
      <c r="B295" s="12" t="s">
        <v>23</v>
      </c>
      <c r="C295" s="75">
        <v>46042</v>
      </c>
      <c r="D295" s="74" t="s">
        <v>354</v>
      </c>
      <c r="E295" s="12" t="s">
        <v>173</v>
      </c>
      <c r="F295" s="74" t="s">
        <v>355</v>
      </c>
      <c r="G295" s="74" t="s">
        <v>550</v>
      </c>
      <c r="H295" s="118">
        <v>5</v>
      </c>
      <c r="I295" s="12">
        <v>8</v>
      </c>
      <c r="J295" s="12" t="s">
        <v>66</v>
      </c>
      <c r="K295" s="12" t="s">
        <v>67</v>
      </c>
      <c r="L295" s="12" t="s">
        <v>67</v>
      </c>
      <c r="M295" s="12" t="s">
        <v>67</v>
      </c>
    </row>
    <row r="296" ht="16.5" spans="1:13">
      <c r="A296" s="74" t="s">
        <v>38</v>
      </c>
      <c r="B296" s="12" t="s">
        <v>23</v>
      </c>
      <c r="C296" s="75">
        <v>46042</v>
      </c>
      <c r="D296" s="74" t="s">
        <v>400</v>
      </c>
      <c r="E296" s="12" t="s">
        <v>75</v>
      </c>
      <c r="F296" s="74" t="s">
        <v>551</v>
      </c>
      <c r="G296" s="74" t="s">
        <v>552</v>
      </c>
      <c r="H296" s="118">
        <v>0</v>
      </c>
      <c r="I296" s="12">
        <v>0</v>
      </c>
      <c r="J296" s="12" t="s">
        <v>211</v>
      </c>
      <c r="K296" s="12" t="s">
        <v>212</v>
      </c>
      <c r="L296" s="12" t="s">
        <v>212</v>
      </c>
      <c r="M296" s="12" t="s">
        <v>212</v>
      </c>
    </row>
    <row r="297" ht="16.5" spans="1:13">
      <c r="A297" s="74" t="s">
        <v>38</v>
      </c>
      <c r="B297" s="12" t="s">
        <v>23</v>
      </c>
      <c r="C297" s="75">
        <v>46042</v>
      </c>
      <c r="D297" s="74" t="s">
        <v>427</v>
      </c>
      <c r="E297" s="12" t="s">
        <v>220</v>
      </c>
      <c r="F297" s="74" t="s">
        <v>161</v>
      </c>
      <c r="G297" s="74" t="s">
        <v>308</v>
      </c>
      <c r="H297" s="118">
        <v>5</v>
      </c>
      <c r="I297" s="12">
        <v>6</v>
      </c>
      <c r="J297" s="12" t="s">
        <v>66</v>
      </c>
      <c r="K297" s="12" t="s">
        <v>67</v>
      </c>
      <c r="L297" s="12" t="s">
        <v>67</v>
      </c>
      <c r="M297" s="12" t="s">
        <v>67</v>
      </c>
    </row>
    <row r="298" ht="16.5" spans="1:13">
      <c r="A298" s="74" t="s">
        <v>37</v>
      </c>
      <c r="B298" s="12" t="s">
        <v>23</v>
      </c>
      <c r="C298" s="75">
        <v>46042</v>
      </c>
      <c r="D298" s="74" t="s">
        <v>527</v>
      </c>
      <c r="E298" s="12" t="s">
        <v>109</v>
      </c>
      <c r="F298" s="74" t="s">
        <v>528</v>
      </c>
      <c r="G298" s="74" t="s">
        <v>553</v>
      </c>
      <c r="H298" s="118">
        <v>5</v>
      </c>
      <c r="I298" s="12">
        <v>5</v>
      </c>
      <c r="J298" s="12" t="s">
        <v>66</v>
      </c>
      <c r="K298" s="12" t="s">
        <v>67</v>
      </c>
      <c r="L298" s="12" t="s">
        <v>67</v>
      </c>
      <c r="M298" s="12" t="s">
        <v>67</v>
      </c>
    </row>
    <row r="299" ht="16.5" spans="1:13">
      <c r="A299" s="74" t="s">
        <v>38</v>
      </c>
      <c r="B299" s="12" t="s">
        <v>23</v>
      </c>
      <c r="C299" s="75">
        <v>46042</v>
      </c>
      <c r="D299" s="74" t="s">
        <v>95</v>
      </c>
      <c r="E299" s="12" t="s">
        <v>63</v>
      </c>
      <c r="F299" s="74" t="s">
        <v>554</v>
      </c>
      <c r="G299" s="74" t="s">
        <v>215</v>
      </c>
      <c r="H299" s="118">
        <v>5</v>
      </c>
      <c r="I299" s="12">
        <v>5</v>
      </c>
      <c r="J299" s="12" t="s">
        <v>66</v>
      </c>
      <c r="K299" s="12" t="s">
        <v>67</v>
      </c>
      <c r="L299" s="12" t="s">
        <v>67</v>
      </c>
      <c r="M299" s="12" t="s">
        <v>67</v>
      </c>
    </row>
    <row r="300" ht="16.5" spans="1:13">
      <c r="A300" s="74" t="s">
        <v>36</v>
      </c>
      <c r="B300" s="12" t="s">
        <v>23</v>
      </c>
      <c r="C300" s="75">
        <v>46042</v>
      </c>
      <c r="D300" s="74" t="s">
        <v>320</v>
      </c>
      <c r="E300" s="12" t="s">
        <v>173</v>
      </c>
      <c r="F300" s="74" t="s">
        <v>321</v>
      </c>
      <c r="G300" s="74" t="s">
        <v>265</v>
      </c>
      <c r="H300" s="118">
        <v>5</v>
      </c>
      <c r="I300" s="12">
        <v>4</v>
      </c>
      <c r="J300" s="12" t="s">
        <v>66</v>
      </c>
      <c r="K300" s="12" t="s">
        <v>67</v>
      </c>
      <c r="L300" s="12" t="s">
        <v>67</v>
      </c>
      <c r="M300" s="12" t="s">
        <v>67</v>
      </c>
    </row>
    <row r="301" ht="16.5" spans="1:13">
      <c r="A301" s="74" t="s">
        <v>38</v>
      </c>
      <c r="B301" s="12" t="s">
        <v>23</v>
      </c>
      <c r="C301" s="75">
        <v>46042</v>
      </c>
      <c r="D301" s="74" t="s">
        <v>540</v>
      </c>
      <c r="E301" s="12" t="s">
        <v>220</v>
      </c>
      <c r="F301" s="74" t="s">
        <v>344</v>
      </c>
      <c r="G301" s="74" t="s">
        <v>84</v>
      </c>
      <c r="H301" s="118">
        <v>5</v>
      </c>
      <c r="I301" s="12">
        <v>1</v>
      </c>
      <c r="J301" s="12" t="s">
        <v>66</v>
      </c>
      <c r="K301" s="12" t="s">
        <v>67</v>
      </c>
      <c r="L301" s="12" t="s">
        <v>67</v>
      </c>
      <c r="M301" s="12" t="s">
        <v>67</v>
      </c>
    </row>
    <row r="302" ht="16.5" spans="1:13">
      <c r="A302" s="74" t="s">
        <v>38</v>
      </c>
      <c r="B302" s="12" t="s">
        <v>23</v>
      </c>
      <c r="C302" s="75">
        <v>46042</v>
      </c>
      <c r="D302" s="74" t="s">
        <v>143</v>
      </c>
      <c r="E302" s="12" t="s">
        <v>144</v>
      </c>
      <c r="F302" s="74" t="s">
        <v>145</v>
      </c>
      <c r="G302" s="74" t="s">
        <v>555</v>
      </c>
      <c r="H302" s="118">
        <v>5</v>
      </c>
      <c r="I302" s="12">
        <v>2</v>
      </c>
      <c r="J302" s="12" t="s">
        <v>66</v>
      </c>
      <c r="K302" s="12" t="s">
        <v>67</v>
      </c>
      <c r="L302" s="12" t="s">
        <v>67</v>
      </c>
      <c r="M302" s="12" t="s">
        <v>67</v>
      </c>
    </row>
    <row r="303" ht="16.5" spans="1:13">
      <c r="A303" s="74" t="s">
        <v>38</v>
      </c>
      <c r="B303" s="12" t="s">
        <v>23</v>
      </c>
      <c r="C303" s="75">
        <v>46042</v>
      </c>
      <c r="D303" s="74" t="s">
        <v>258</v>
      </c>
      <c r="E303" s="12" t="s">
        <v>148</v>
      </c>
      <c r="F303" s="74" t="s">
        <v>259</v>
      </c>
      <c r="G303" s="74" t="s">
        <v>360</v>
      </c>
      <c r="H303" s="118">
        <v>5</v>
      </c>
      <c r="I303" s="12">
        <v>5</v>
      </c>
      <c r="J303" s="12" t="s">
        <v>66</v>
      </c>
      <c r="K303" s="12" t="s">
        <v>67</v>
      </c>
      <c r="L303" s="12" t="s">
        <v>67</v>
      </c>
      <c r="M303" s="12" t="s">
        <v>67</v>
      </c>
    </row>
    <row r="304" ht="16.5" spans="1:13">
      <c r="A304" s="74" t="s">
        <v>32</v>
      </c>
      <c r="B304" s="12" t="s">
        <v>23</v>
      </c>
      <c r="C304" s="75">
        <v>46042</v>
      </c>
      <c r="D304" s="74" t="s">
        <v>556</v>
      </c>
      <c r="E304" s="12" t="s">
        <v>105</v>
      </c>
      <c r="F304" s="74" t="s">
        <v>32</v>
      </c>
      <c r="G304" s="74" t="s">
        <v>557</v>
      </c>
      <c r="H304" s="118">
        <v>5</v>
      </c>
      <c r="I304" s="12">
        <v>3</v>
      </c>
      <c r="J304" s="12" t="s">
        <v>66</v>
      </c>
      <c r="K304" s="12" t="s">
        <v>67</v>
      </c>
      <c r="L304" s="12" t="s">
        <v>67</v>
      </c>
      <c r="M304" s="12" t="s">
        <v>67</v>
      </c>
    </row>
    <row r="305" ht="16.5" spans="1:13">
      <c r="A305" s="74" t="s">
        <v>32</v>
      </c>
      <c r="B305" s="12" t="s">
        <v>23</v>
      </c>
      <c r="C305" s="75">
        <v>46042</v>
      </c>
      <c r="D305" s="74" t="s">
        <v>556</v>
      </c>
      <c r="E305" s="12" t="s">
        <v>105</v>
      </c>
      <c r="F305" s="74" t="s">
        <v>32</v>
      </c>
      <c r="G305" s="74" t="s">
        <v>558</v>
      </c>
      <c r="H305" s="118">
        <v>5</v>
      </c>
      <c r="I305" s="12">
        <v>3</v>
      </c>
      <c r="J305" s="12" t="s">
        <v>66</v>
      </c>
      <c r="K305" s="12" t="s">
        <v>67</v>
      </c>
      <c r="L305" s="12" t="s">
        <v>67</v>
      </c>
      <c r="M305" s="12" t="s">
        <v>67</v>
      </c>
    </row>
    <row r="306" ht="16.5" spans="1:13">
      <c r="A306" s="74" t="s">
        <v>32</v>
      </c>
      <c r="B306" s="12" t="s">
        <v>23</v>
      </c>
      <c r="C306" s="75">
        <v>46042</v>
      </c>
      <c r="D306" s="74" t="s">
        <v>556</v>
      </c>
      <c r="E306" s="12" t="s">
        <v>105</v>
      </c>
      <c r="F306" s="74" t="s">
        <v>32</v>
      </c>
      <c r="G306" s="74" t="s">
        <v>559</v>
      </c>
      <c r="H306" s="118">
        <v>5</v>
      </c>
      <c r="I306" s="12">
        <v>3</v>
      </c>
      <c r="J306" s="12" t="s">
        <v>66</v>
      </c>
      <c r="K306" s="12" t="s">
        <v>67</v>
      </c>
      <c r="L306" s="12" t="s">
        <v>67</v>
      </c>
      <c r="M306" s="12" t="s">
        <v>67</v>
      </c>
    </row>
    <row r="307" ht="16.5" spans="1:13">
      <c r="A307" s="74" t="s">
        <v>36</v>
      </c>
      <c r="B307" s="12" t="s">
        <v>23</v>
      </c>
      <c r="C307" s="75">
        <v>46042</v>
      </c>
      <c r="D307" s="74" t="s">
        <v>433</v>
      </c>
      <c r="E307" s="12" t="s">
        <v>173</v>
      </c>
      <c r="F307" s="74" t="s">
        <v>434</v>
      </c>
      <c r="G307" s="74" t="s">
        <v>560</v>
      </c>
      <c r="H307" s="118">
        <v>5</v>
      </c>
      <c r="I307" s="12">
        <v>3</v>
      </c>
      <c r="J307" s="12" t="s">
        <v>66</v>
      </c>
      <c r="K307" s="12" t="s">
        <v>67</v>
      </c>
      <c r="L307" s="12" t="s">
        <v>67</v>
      </c>
      <c r="M307" s="12" t="s">
        <v>67</v>
      </c>
    </row>
    <row r="308" ht="16.5" spans="1:13">
      <c r="A308" s="74" t="s">
        <v>36</v>
      </c>
      <c r="B308" s="12" t="s">
        <v>23</v>
      </c>
      <c r="C308" s="75">
        <v>46042</v>
      </c>
      <c r="D308" s="74" t="s">
        <v>433</v>
      </c>
      <c r="E308" s="12" t="s">
        <v>173</v>
      </c>
      <c r="F308" s="74" t="s">
        <v>434</v>
      </c>
      <c r="G308" s="74" t="s">
        <v>561</v>
      </c>
      <c r="H308" s="118">
        <v>5</v>
      </c>
      <c r="I308" s="12">
        <v>3</v>
      </c>
      <c r="J308" s="12" t="s">
        <v>66</v>
      </c>
      <c r="K308" s="12" t="s">
        <v>67</v>
      </c>
      <c r="L308" s="12" t="s">
        <v>67</v>
      </c>
      <c r="M308" s="12" t="s">
        <v>67</v>
      </c>
    </row>
    <row r="309" ht="16.5" spans="1:13">
      <c r="A309" s="74" t="s">
        <v>38</v>
      </c>
      <c r="B309" s="12" t="s">
        <v>23</v>
      </c>
      <c r="C309" s="75">
        <v>46050</v>
      </c>
      <c r="D309" s="74" t="s">
        <v>500</v>
      </c>
      <c r="E309" s="12" t="s">
        <v>168</v>
      </c>
      <c r="F309" s="74" t="s">
        <v>501</v>
      </c>
      <c r="G309" s="74" t="s">
        <v>562</v>
      </c>
      <c r="H309" s="118">
        <v>5</v>
      </c>
      <c r="I309" s="12">
        <v>4</v>
      </c>
      <c r="J309" s="12" t="s">
        <v>66</v>
      </c>
      <c r="K309" s="12" t="s">
        <v>67</v>
      </c>
      <c r="L309" s="12" t="s">
        <v>67</v>
      </c>
      <c r="M309" s="12" t="s">
        <v>67</v>
      </c>
    </row>
    <row r="310" ht="16.5" spans="1:13">
      <c r="A310" s="74" t="s">
        <v>31</v>
      </c>
      <c r="B310" s="12" t="s">
        <v>23</v>
      </c>
      <c r="C310" s="75">
        <v>46041</v>
      </c>
      <c r="D310" s="74" t="s">
        <v>78</v>
      </c>
      <c r="E310" s="12" t="s">
        <v>79</v>
      </c>
      <c r="F310" s="74" t="s">
        <v>80</v>
      </c>
      <c r="G310" s="74" t="s">
        <v>563</v>
      </c>
      <c r="H310" s="118">
        <v>5</v>
      </c>
      <c r="I310" s="12">
        <v>2</v>
      </c>
      <c r="J310" s="12" t="s">
        <v>66</v>
      </c>
      <c r="K310" s="12" t="s">
        <v>67</v>
      </c>
      <c r="L310" s="12" t="s">
        <v>67</v>
      </c>
      <c r="M310" s="12" t="s">
        <v>67</v>
      </c>
    </row>
    <row r="311" ht="16.5" spans="1:13">
      <c r="A311" s="74" t="s">
        <v>38</v>
      </c>
      <c r="B311" s="12" t="s">
        <v>23</v>
      </c>
      <c r="C311" s="75">
        <v>46042</v>
      </c>
      <c r="D311" s="74" t="s">
        <v>564</v>
      </c>
      <c r="E311" s="12" t="s">
        <v>70</v>
      </c>
      <c r="F311" s="74" t="s">
        <v>565</v>
      </c>
      <c r="G311" s="74" t="s">
        <v>208</v>
      </c>
      <c r="H311" s="118">
        <v>5</v>
      </c>
      <c r="I311" s="12">
        <v>6</v>
      </c>
      <c r="J311" s="12" t="s">
        <v>66</v>
      </c>
      <c r="K311" s="12" t="s">
        <v>67</v>
      </c>
      <c r="L311" s="12" t="s">
        <v>67</v>
      </c>
      <c r="M311" s="12" t="s">
        <v>67</v>
      </c>
    </row>
    <row r="312" ht="16.5" spans="1:13">
      <c r="A312" s="74" t="s">
        <v>35</v>
      </c>
      <c r="B312" s="12" t="s">
        <v>23</v>
      </c>
      <c r="C312" s="75">
        <v>46041</v>
      </c>
      <c r="D312" s="74" t="s">
        <v>444</v>
      </c>
      <c r="E312" s="12" t="s">
        <v>125</v>
      </c>
      <c r="F312" s="74" t="s">
        <v>445</v>
      </c>
      <c r="G312" s="74" t="s">
        <v>566</v>
      </c>
      <c r="H312" s="118">
        <v>5</v>
      </c>
      <c r="I312" s="12">
        <v>5</v>
      </c>
      <c r="J312" s="12" t="s">
        <v>66</v>
      </c>
      <c r="K312" s="12" t="s">
        <v>67</v>
      </c>
      <c r="L312" s="12" t="s">
        <v>67</v>
      </c>
      <c r="M312" s="12" t="s">
        <v>67</v>
      </c>
    </row>
    <row r="313" ht="16.5" spans="1:13">
      <c r="A313" s="74" t="s">
        <v>38</v>
      </c>
      <c r="B313" s="12" t="s">
        <v>23</v>
      </c>
      <c r="C313" s="75">
        <v>46041</v>
      </c>
      <c r="D313" s="74" t="s">
        <v>347</v>
      </c>
      <c r="E313" s="12" t="s">
        <v>75</v>
      </c>
      <c r="F313" s="74" t="s">
        <v>348</v>
      </c>
      <c r="G313" s="74" t="s">
        <v>567</v>
      </c>
      <c r="H313" s="118">
        <v>5</v>
      </c>
      <c r="I313" s="12">
        <v>5</v>
      </c>
      <c r="J313" s="12" t="s">
        <v>66</v>
      </c>
      <c r="K313" s="12" t="s">
        <v>67</v>
      </c>
      <c r="L313" s="12" t="s">
        <v>67</v>
      </c>
      <c r="M313" s="12" t="s">
        <v>67</v>
      </c>
    </row>
    <row r="314" ht="16.5" spans="1:13">
      <c r="A314" s="74" t="s">
        <v>38</v>
      </c>
      <c r="B314" s="12" t="s">
        <v>23</v>
      </c>
      <c r="C314" s="75">
        <v>46041</v>
      </c>
      <c r="D314" s="74" t="s">
        <v>347</v>
      </c>
      <c r="E314" s="12" t="s">
        <v>75</v>
      </c>
      <c r="F314" s="74" t="s">
        <v>348</v>
      </c>
      <c r="G314" s="74" t="s">
        <v>568</v>
      </c>
      <c r="H314" s="118">
        <v>5</v>
      </c>
      <c r="I314" s="12">
        <v>5</v>
      </c>
      <c r="J314" s="12" t="s">
        <v>66</v>
      </c>
      <c r="K314" s="12" t="s">
        <v>67</v>
      </c>
      <c r="L314" s="12" t="s">
        <v>67</v>
      </c>
      <c r="M314" s="12" t="s">
        <v>67</v>
      </c>
    </row>
    <row r="315" ht="16.5" spans="1:13">
      <c r="A315" s="74" t="s">
        <v>32</v>
      </c>
      <c r="B315" s="12" t="s">
        <v>23</v>
      </c>
      <c r="C315" s="75">
        <v>46041</v>
      </c>
      <c r="D315" s="74" t="s">
        <v>312</v>
      </c>
      <c r="E315" s="12" t="s">
        <v>105</v>
      </c>
      <c r="F315" s="74" t="s">
        <v>313</v>
      </c>
      <c r="G315" s="74" t="s">
        <v>468</v>
      </c>
      <c r="H315" s="118">
        <v>5</v>
      </c>
      <c r="I315" s="12">
        <v>3</v>
      </c>
      <c r="J315" s="12" t="s">
        <v>66</v>
      </c>
      <c r="K315" s="12" t="s">
        <v>67</v>
      </c>
      <c r="L315" s="12" t="s">
        <v>67</v>
      </c>
      <c r="M315" s="12" t="s">
        <v>67</v>
      </c>
    </row>
    <row r="316" ht="16.5" spans="1:13">
      <c r="A316" s="74" t="s">
        <v>32</v>
      </c>
      <c r="B316" s="12" t="s">
        <v>23</v>
      </c>
      <c r="C316" s="75">
        <v>46041</v>
      </c>
      <c r="D316" s="74" t="s">
        <v>487</v>
      </c>
      <c r="E316" s="12" t="s">
        <v>105</v>
      </c>
      <c r="F316" s="74" t="s">
        <v>231</v>
      </c>
      <c r="G316" s="74" t="s">
        <v>569</v>
      </c>
      <c r="H316" s="118">
        <v>5</v>
      </c>
      <c r="I316" s="12">
        <v>4</v>
      </c>
      <c r="J316" s="12" t="s">
        <v>66</v>
      </c>
      <c r="K316" s="12" t="s">
        <v>67</v>
      </c>
      <c r="L316" s="12" t="s">
        <v>67</v>
      </c>
      <c r="M316" s="12" t="s">
        <v>67</v>
      </c>
    </row>
    <row r="317" ht="16.5" spans="1:13">
      <c r="A317" s="74" t="s">
        <v>26</v>
      </c>
      <c r="B317" s="12" t="s">
        <v>23</v>
      </c>
      <c r="C317" s="75">
        <v>46041</v>
      </c>
      <c r="D317" s="74" t="s">
        <v>333</v>
      </c>
      <c r="E317" s="12" t="s">
        <v>121</v>
      </c>
      <c r="F317" s="74" t="s">
        <v>161</v>
      </c>
      <c r="G317" s="74" t="s">
        <v>570</v>
      </c>
      <c r="H317" s="118">
        <v>4.9</v>
      </c>
      <c r="I317" s="12">
        <v>2</v>
      </c>
      <c r="J317" s="12" t="s">
        <v>66</v>
      </c>
      <c r="K317" s="12" t="s">
        <v>67</v>
      </c>
      <c r="L317" s="12" t="s">
        <v>67</v>
      </c>
      <c r="M317" s="12" t="s">
        <v>67</v>
      </c>
    </row>
    <row r="318" ht="16.5" spans="1:13">
      <c r="A318" s="74" t="s">
        <v>38</v>
      </c>
      <c r="B318" s="12" t="s">
        <v>23</v>
      </c>
      <c r="C318" s="75">
        <v>46041</v>
      </c>
      <c r="D318" s="74" t="s">
        <v>437</v>
      </c>
      <c r="E318" s="12" t="s">
        <v>75</v>
      </c>
      <c r="F318" s="74" t="s">
        <v>571</v>
      </c>
      <c r="G318" s="74" t="s">
        <v>572</v>
      </c>
      <c r="H318" s="118">
        <v>4.92</v>
      </c>
      <c r="I318" s="12">
        <v>5</v>
      </c>
      <c r="J318" s="12" t="s">
        <v>66</v>
      </c>
      <c r="K318" s="12" t="s">
        <v>67</v>
      </c>
      <c r="L318" s="12" t="s">
        <v>67</v>
      </c>
      <c r="M318" s="12" t="s">
        <v>67</v>
      </c>
    </row>
    <row r="319" ht="16.5" spans="1:13">
      <c r="A319" s="74" t="s">
        <v>32</v>
      </c>
      <c r="B319" s="12" t="s">
        <v>23</v>
      </c>
      <c r="C319" s="75">
        <v>46041</v>
      </c>
      <c r="D319" s="74" t="s">
        <v>192</v>
      </c>
      <c r="E319" s="12" t="s">
        <v>105</v>
      </c>
      <c r="F319" s="74" t="s">
        <v>505</v>
      </c>
      <c r="G319" s="74" t="s">
        <v>573</v>
      </c>
      <c r="H319" s="118">
        <v>5</v>
      </c>
      <c r="I319" s="12">
        <v>3</v>
      </c>
      <c r="J319" s="12" t="s">
        <v>66</v>
      </c>
      <c r="K319" s="12" t="s">
        <v>67</v>
      </c>
      <c r="L319" s="12" t="s">
        <v>67</v>
      </c>
      <c r="M319" s="12" t="s">
        <v>67</v>
      </c>
    </row>
    <row r="320" ht="16.5" spans="1:13">
      <c r="A320" s="74" t="s">
        <v>38</v>
      </c>
      <c r="B320" s="12" t="s">
        <v>23</v>
      </c>
      <c r="C320" s="75">
        <v>46040</v>
      </c>
      <c r="D320" s="74" t="s">
        <v>564</v>
      </c>
      <c r="E320" s="12" t="s">
        <v>70</v>
      </c>
      <c r="F320" s="74" t="s">
        <v>565</v>
      </c>
      <c r="G320" s="74" t="s">
        <v>574</v>
      </c>
      <c r="H320" s="118">
        <v>5</v>
      </c>
      <c r="I320" s="12">
        <v>6</v>
      </c>
      <c r="J320" s="12" t="s">
        <v>211</v>
      </c>
      <c r="K320" s="12" t="s">
        <v>67</v>
      </c>
      <c r="L320" s="12" t="s">
        <v>67</v>
      </c>
      <c r="M320" s="12" t="s">
        <v>212</v>
      </c>
    </row>
    <row r="321" ht="16.5" spans="1:13">
      <c r="A321" s="74" t="s">
        <v>31</v>
      </c>
      <c r="B321" s="12" t="s">
        <v>23</v>
      </c>
      <c r="C321" s="75">
        <v>46040</v>
      </c>
      <c r="D321" s="74" t="s">
        <v>473</v>
      </c>
      <c r="E321" s="12" t="s">
        <v>90</v>
      </c>
      <c r="F321" s="74" t="s">
        <v>474</v>
      </c>
      <c r="G321" s="74" t="s">
        <v>575</v>
      </c>
      <c r="H321" s="118">
        <v>5</v>
      </c>
      <c r="I321" s="12">
        <v>4</v>
      </c>
      <c r="J321" s="12" t="s">
        <v>66</v>
      </c>
      <c r="K321" s="12" t="s">
        <v>67</v>
      </c>
      <c r="L321" s="12" t="s">
        <v>67</v>
      </c>
      <c r="M321" s="12" t="s">
        <v>67</v>
      </c>
    </row>
    <row r="322" ht="16.5" spans="1:13">
      <c r="A322" s="74" t="s">
        <v>38</v>
      </c>
      <c r="B322" s="12" t="s">
        <v>23</v>
      </c>
      <c r="C322" s="75">
        <v>46040</v>
      </c>
      <c r="D322" s="74" t="s">
        <v>576</v>
      </c>
      <c r="E322" s="12" t="s">
        <v>70</v>
      </c>
      <c r="F322" s="74" t="s">
        <v>577</v>
      </c>
      <c r="G322" s="74" t="s">
        <v>208</v>
      </c>
      <c r="H322" s="118">
        <v>4.7</v>
      </c>
      <c r="I322" s="12">
        <v>4</v>
      </c>
      <c r="J322" s="12" t="s">
        <v>66</v>
      </c>
      <c r="K322" s="12" t="s">
        <v>67</v>
      </c>
      <c r="L322" s="12" t="s">
        <v>67</v>
      </c>
      <c r="M322" s="12" t="s">
        <v>67</v>
      </c>
    </row>
    <row r="323" ht="16.5" spans="1:13">
      <c r="A323" s="74" t="s">
        <v>29</v>
      </c>
      <c r="B323" s="12" t="s">
        <v>23</v>
      </c>
      <c r="C323" s="75">
        <v>46052</v>
      </c>
      <c r="D323" s="74" t="s">
        <v>253</v>
      </c>
      <c r="E323" s="12" t="s">
        <v>130</v>
      </c>
      <c r="F323" s="74" t="s">
        <v>254</v>
      </c>
      <c r="G323" s="74" t="s">
        <v>6</v>
      </c>
      <c r="H323" s="118">
        <v>5</v>
      </c>
      <c r="I323" s="12">
        <v>4</v>
      </c>
      <c r="J323" s="12" t="s">
        <v>211</v>
      </c>
      <c r="K323" s="12" t="s">
        <v>67</v>
      </c>
      <c r="L323" s="12" t="s">
        <v>212</v>
      </c>
      <c r="M323" s="12" t="s">
        <v>212</v>
      </c>
    </row>
    <row r="324" ht="16.5" spans="1:13">
      <c r="A324" s="74" t="s">
        <v>38</v>
      </c>
      <c r="B324" s="12" t="s">
        <v>23</v>
      </c>
      <c r="C324" s="75">
        <v>46040</v>
      </c>
      <c r="D324" s="74" t="s">
        <v>247</v>
      </c>
      <c r="E324" s="12" t="s">
        <v>70</v>
      </c>
      <c r="F324" s="74" t="s">
        <v>248</v>
      </c>
      <c r="G324" s="74" t="s">
        <v>77</v>
      </c>
      <c r="H324" s="118">
        <v>5</v>
      </c>
      <c r="I324" s="12">
        <v>4</v>
      </c>
      <c r="J324" s="12" t="s">
        <v>66</v>
      </c>
      <c r="K324" s="12" t="s">
        <v>67</v>
      </c>
      <c r="L324" s="12" t="s">
        <v>67</v>
      </c>
      <c r="M324" s="12" t="s">
        <v>67</v>
      </c>
    </row>
    <row r="325" ht="16.5" spans="1:13">
      <c r="A325" s="74" t="s">
        <v>38</v>
      </c>
      <c r="B325" s="12" t="s">
        <v>23</v>
      </c>
      <c r="C325" s="75">
        <v>46040</v>
      </c>
      <c r="D325" s="74" t="s">
        <v>576</v>
      </c>
      <c r="E325" s="12" t="s">
        <v>70</v>
      </c>
      <c r="F325" s="74" t="s">
        <v>577</v>
      </c>
      <c r="G325" s="74" t="s">
        <v>578</v>
      </c>
      <c r="H325" s="118">
        <v>4.6</v>
      </c>
      <c r="I325" s="12">
        <v>4</v>
      </c>
      <c r="J325" s="12" t="s">
        <v>66</v>
      </c>
      <c r="K325" s="12" t="s">
        <v>67</v>
      </c>
      <c r="L325" s="12" t="s">
        <v>67</v>
      </c>
      <c r="M325" s="12" t="s">
        <v>67</v>
      </c>
    </row>
    <row r="326" ht="16.5" spans="1:13">
      <c r="A326" s="74" t="s">
        <v>38</v>
      </c>
      <c r="B326" s="12" t="s">
        <v>23</v>
      </c>
      <c r="C326" s="75">
        <v>46040</v>
      </c>
      <c r="D326" s="74" t="s">
        <v>441</v>
      </c>
      <c r="E326" s="12" t="s">
        <v>220</v>
      </c>
      <c r="F326" s="74" t="s">
        <v>442</v>
      </c>
      <c r="G326" s="74" t="s">
        <v>579</v>
      </c>
      <c r="H326" s="118">
        <v>5</v>
      </c>
      <c r="I326" s="12">
        <v>5</v>
      </c>
      <c r="J326" s="12" t="s">
        <v>66</v>
      </c>
      <c r="K326" s="12" t="s">
        <v>67</v>
      </c>
      <c r="L326" s="12" t="s">
        <v>67</v>
      </c>
      <c r="M326" s="12" t="s">
        <v>67</v>
      </c>
    </row>
    <row r="327" ht="16.5" spans="1:13">
      <c r="A327" s="74" t="s">
        <v>38</v>
      </c>
      <c r="B327" s="12" t="s">
        <v>23</v>
      </c>
      <c r="C327" s="75">
        <v>46040</v>
      </c>
      <c r="D327" s="74" t="s">
        <v>576</v>
      </c>
      <c r="E327" s="12" t="s">
        <v>70</v>
      </c>
      <c r="F327" s="74" t="s">
        <v>577</v>
      </c>
      <c r="G327" s="74" t="s">
        <v>476</v>
      </c>
      <c r="H327" s="118">
        <v>4.55</v>
      </c>
      <c r="I327" s="12">
        <v>4</v>
      </c>
      <c r="J327" s="12" t="s">
        <v>66</v>
      </c>
      <c r="K327" s="12" t="s">
        <v>67</v>
      </c>
      <c r="L327" s="12" t="s">
        <v>67</v>
      </c>
      <c r="M327" s="12" t="s">
        <v>67</v>
      </c>
    </row>
    <row r="328" ht="16.5" spans="1:13">
      <c r="A328" s="74" t="s">
        <v>38</v>
      </c>
      <c r="B328" s="12" t="s">
        <v>23</v>
      </c>
      <c r="C328" s="75">
        <v>46040</v>
      </c>
      <c r="D328" s="74" t="s">
        <v>512</v>
      </c>
      <c r="E328" s="12" t="s">
        <v>75</v>
      </c>
      <c r="F328" s="74" t="s">
        <v>513</v>
      </c>
      <c r="G328" s="74" t="s">
        <v>580</v>
      </c>
      <c r="H328" s="118">
        <v>5</v>
      </c>
      <c r="I328" s="12">
        <v>5</v>
      </c>
      <c r="J328" s="12" t="s">
        <v>66</v>
      </c>
      <c r="K328" s="12" t="s">
        <v>67</v>
      </c>
      <c r="L328" s="12" t="s">
        <v>67</v>
      </c>
      <c r="M328" s="12" t="s">
        <v>67</v>
      </c>
    </row>
    <row r="329" ht="16.5" spans="1:13">
      <c r="A329" s="74" t="s">
        <v>38</v>
      </c>
      <c r="B329" s="12" t="s">
        <v>23</v>
      </c>
      <c r="C329" s="75">
        <v>46040</v>
      </c>
      <c r="D329" s="74" t="s">
        <v>147</v>
      </c>
      <c r="E329" s="12" t="s">
        <v>148</v>
      </c>
      <c r="F329" s="74" t="s">
        <v>149</v>
      </c>
      <c r="G329" s="74" t="s">
        <v>360</v>
      </c>
      <c r="H329" s="118">
        <v>5</v>
      </c>
      <c r="I329" s="12">
        <v>3</v>
      </c>
      <c r="J329" s="12" t="s">
        <v>66</v>
      </c>
      <c r="K329" s="12" t="s">
        <v>67</v>
      </c>
      <c r="L329" s="12" t="s">
        <v>67</v>
      </c>
      <c r="M329" s="12" t="s">
        <v>67</v>
      </c>
    </row>
    <row r="330" ht="16.5" spans="1:13">
      <c r="A330" s="74" t="s">
        <v>37</v>
      </c>
      <c r="B330" s="12" t="s">
        <v>23</v>
      </c>
      <c r="C330" s="75">
        <v>46039</v>
      </c>
      <c r="D330" s="74" t="s">
        <v>230</v>
      </c>
      <c r="E330" s="12" t="s">
        <v>109</v>
      </c>
      <c r="F330" s="74" t="s">
        <v>231</v>
      </c>
      <c r="G330" s="74" t="s">
        <v>581</v>
      </c>
      <c r="H330" s="118">
        <v>5</v>
      </c>
      <c r="I330" s="12">
        <v>4</v>
      </c>
      <c r="J330" s="12" t="s">
        <v>66</v>
      </c>
      <c r="K330" s="12" t="s">
        <v>67</v>
      </c>
      <c r="L330" s="12" t="s">
        <v>67</v>
      </c>
      <c r="M330" s="12" t="s">
        <v>67</v>
      </c>
    </row>
    <row r="331" ht="16.5" spans="1:13">
      <c r="A331" s="74" t="s">
        <v>38</v>
      </c>
      <c r="B331" s="12" t="s">
        <v>23</v>
      </c>
      <c r="C331" s="75">
        <v>46039</v>
      </c>
      <c r="D331" s="74" t="s">
        <v>227</v>
      </c>
      <c r="E331" s="12" t="s">
        <v>148</v>
      </c>
      <c r="F331" s="74" t="s">
        <v>582</v>
      </c>
      <c r="G331" s="74" t="s">
        <v>583</v>
      </c>
      <c r="H331" s="118">
        <v>5</v>
      </c>
      <c r="I331" s="12">
        <v>3</v>
      </c>
      <c r="J331" s="12" t="s">
        <v>66</v>
      </c>
      <c r="K331" s="12" t="s">
        <v>67</v>
      </c>
      <c r="L331" s="12" t="s">
        <v>67</v>
      </c>
      <c r="M331" s="12" t="s">
        <v>67</v>
      </c>
    </row>
    <row r="332" ht="16.5" spans="1:13">
      <c r="A332" s="74" t="s">
        <v>35</v>
      </c>
      <c r="B332" s="12" t="s">
        <v>23</v>
      </c>
      <c r="C332" s="75">
        <v>46039</v>
      </c>
      <c r="D332" s="74" t="s">
        <v>584</v>
      </c>
      <c r="E332" s="12" t="s">
        <v>125</v>
      </c>
      <c r="F332" s="74" t="s">
        <v>585</v>
      </c>
      <c r="G332" s="74" t="s">
        <v>586</v>
      </c>
      <c r="H332" s="118">
        <v>5</v>
      </c>
      <c r="I332" s="12">
        <v>4</v>
      </c>
      <c r="J332" s="12" t="s">
        <v>66</v>
      </c>
      <c r="K332" s="12" t="s">
        <v>67</v>
      </c>
      <c r="L332" s="12" t="s">
        <v>67</v>
      </c>
      <c r="M332" s="12" t="s">
        <v>67</v>
      </c>
    </row>
    <row r="333" ht="16.5" spans="1:13">
      <c r="A333" s="74" t="s">
        <v>36</v>
      </c>
      <c r="B333" s="12" t="s">
        <v>23</v>
      </c>
      <c r="C333" s="75">
        <v>46039</v>
      </c>
      <c r="D333" s="74" t="s">
        <v>587</v>
      </c>
      <c r="E333" s="12" t="s">
        <v>173</v>
      </c>
      <c r="F333" s="74" t="s">
        <v>588</v>
      </c>
      <c r="G333" s="74" t="s">
        <v>589</v>
      </c>
      <c r="H333" s="118">
        <v>5</v>
      </c>
      <c r="I333" s="12">
        <v>6</v>
      </c>
      <c r="J333" s="12" t="s">
        <v>66</v>
      </c>
      <c r="K333" s="12" t="s">
        <v>67</v>
      </c>
      <c r="L333" s="12" t="s">
        <v>67</v>
      </c>
      <c r="M333" s="12" t="s">
        <v>67</v>
      </c>
    </row>
    <row r="334" ht="16.5" spans="1:13">
      <c r="A334" s="74" t="s">
        <v>36</v>
      </c>
      <c r="B334" s="12" t="s">
        <v>23</v>
      </c>
      <c r="C334" s="75">
        <v>46039</v>
      </c>
      <c r="D334" s="74" t="s">
        <v>587</v>
      </c>
      <c r="E334" s="12" t="s">
        <v>173</v>
      </c>
      <c r="F334" s="74" t="s">
        <v>590</v>
      </c>
      <c r="G334" s="74" t="s">
        <v>569</v>
      </c>
      <c r="H334" s="118">
        <v>5</v>
      </c>
      <c r="I334" s="12">
        <v>6</v>
      </c>
      <c r="J334" s="12" t="s">
        <v>66</v>
      </c>
      <c r="K334" s="12" t="s">
        <v>67</v>
      </c>
      <c r="L334" s="12" t="s">
        <v>67</v>
      </c>
      <c r="M334" s="12" t="s">
        <v>67</v>
      </c>
    </row>
    <row r="335" ht="16.5" spans="1:13">
      <c r="A335" s="74" t="s">
        <v>36</v>
      </c>
      <c r="B335" s="12" t="s">
        <v>23</v>
      </c>
      <c r="C335" s="75">
        <v>46039</v>
      </c>
      <c r="D335" s="74" t="s">
        <v>587</v>
      </c>
      <c r="E335" s="12" t="s">
        <v>173</v>
      </c>
      <c r="F335" s="74" t="s">
        <v>590</v>
      </c>
      <c r="G335" s="74" t="s">
        <v>591</v>
      </c>
      <c r="H335" s="118">
        <v>5</v>
      </c>
      <c r="I335" s="12">
        <v>6</v>
      </c>
      <c r="J335" s="12" t="s">
        <v>66</v>
      </c>
      <c r="K335" s="12" t="s">
        <v>67</v>
      </c>
      <c r="L335" s="12" t="s">
        <v>67</v>
      </c>
      <c r="M335" s="12" t="s">
        <v>67</v>
      </c>
    </row>
    <row r="336" ht="16.5" spans="1:13">
      <c r="A336" s="74" t="s">
        <v>34</v>
      </c>
      <c r="B336" s="12" t="s">
        <v>23</v>
      </c>
      <c r="C336" s="75">
        <v>46039</v>
      </c>
      <c r="D336" s="74" t="s">
        <v>361</v>
      </c>
      <c r="E336" s="12" t="s">
        <v>351</v>
      </c>
      <c r="F336" s="74" t="s">
        <v>592</v>
      </c>
      <c r="G336" s="74" t="s">
        <v>593</v>
      </c>
      <c r="H336" s="118">
        <v>5</v>
      </c>
      <c r="I336" s="12">
        <v>4</v>
      </c>
      <c r="J336" s="12" t="s">
        <v>66</v>
      </c>
      <c r="K336" s="12" t="s">
        <v>67</v>
      </c>
      <c r="L336" s="12" t="s">
        <v>67</v>
      </c>
      <c r="M336" s="12" t="s">
        <v>67</v>
      </c>
    </row>
    <row r="337" ht="16.5" spans="1:13">
      <c r="A337" s="74" t="s">
        <v>34</v>
      </c>
      <c r="B337" s="12" t="s">
        <v>23</v>
      </c>
      <c r="C337" s="75">
        <v>46039</v>
      </c>
      <c r="D337" s="74" t="s">
        <v>361</v>
      </c>
      <c r="E337" s="12" t="s">
        <v>351</v>
      </c>
      <c r="F337" s="74" t="s">
        <v>594</v>
      </c>
      <c r="G337" s="74" t="s">
        <v>595</v>
      </c>
      <c r="H337" s="118">
        <v>5</v>
      </c>
      <c r="I337" s="12">
        <v>4</v>
      </c>
      <c r="J337" s="12" t="s">
        <v>66</v>
      </c>
      <c r="K337" s="12" t="s">
        <v>67</v>
      </c>
      <c r="L337" s="12" t="s">
        <v>67</v>
      </c>
      <c r="M337" s="12" t="s">
        <v>67</v>
      </c>
    </row>
    <row r="338" ht="16.5" spans="1:13">
      <c r="A338" s="74" t="s">
        <v>38</v>
      </c>
      <c r="B338" s="12" t="s">
        <v>23</v>
      </c>
      <c r="C338" s="75">
        <v>46039</v>
      </c>
      <c r="D338" s="74" t="s">
        <v>564</v>
      </c>
      <c r="E338" s="12" t="s">
        <v>70</v>
      </c>
      <c r="F338" s="74" t="s">
        <v>565</v>
      </c>
      <c r="G338" s="74" t="s">
        <v>159</v>
      </c>
      <c r="H338" s="118">
        <v>5</v>
      </c>
      <c r="I338" s="12">
        <v>6</v>
      </c>
      <c r="J338" s="12" t="s">
        <v>66</v>
      </c>
      <c r="K338" s="12" t="s">
        <v>67</v>
      </c>
      <c r="L338" s="12" t="s">
        <v>67</v>
      </c>
      <c r="M338" s="12" t="s">
        <v>67</v>
      </c>
    </row>
    <row r="339" ht="16.5" spans="1:13">
      <c r="A339" s="74" t="s">
        <v>37</v>
      </c>
      <c r="B339" s="12" t="s">
        <v>23</v>
      </c>
      <c r="C339" s="75">
        <v>46038</v>
      </c>
      <c r="D339" s="74" t="s">
        <v>507</v>
      </c>
      <c r="E339" s="12" t="s">
        <v>152</v>
      </c>
      <c r="F339" s="74" t="s">
        <v>508</v>
      </c>
      <c r="G339" s="74" t="s">
        <v>596</v>
      </c>
      <c r="H339" s="118">
        <v>5</v>
      </c>
      <c r="I339" s="12">
        <v>4</v>
      </c>
      <c r="J339" s="12" t="s">
        <v>66</v>
      </c>
      <c r="K339" s="12" t="s">
        <v>67</v>
      </c>
      <c r="L339" s="12" t="s">
        <v>67</v>
      </c>
      <c r="M339" s="12" t="s">
        <v>67</v>
      </c>
    </row>
    <row r="340" ht="16.5" spans="1:13">
      <c r="A340" s="74" t="s">
        <v>35</v>
      </c>
      <c r="B340" s="12" t="s">
        <v>23</v>
      </c>
      <c r="C340" s="75">
        <v>46038</v>
      </c>
      <c r="D340" s="74" t="s">
        <v>597</v>
      </c>
      <c r="E340" s="12" t="s">
        <v>125</v>
      </c>
      <c r="F340" s="74" t="s">
        <v>598</v>
      </c>
      <c r="G340" s="74" t="s">
        <v>599</v>
      </c>
      <c r="H340" s="118">
        <v>5</v>
      </c>
      <c r="I340" s="12">
        <v>4</v>
      </c>
      <c r="J340" s="12" t="s">
        <v>66</v>
      </c>
      <c r="K340" s="12" t="s">
        <v>67</v>
      </c>
      <c r="L340" s="12" t="s">
        <v>67</v>
      </c>
      <c r="M340" s="12" t="s">
        <v>67</v>
      </c>
    </row>
    <row r="341" ht="16.5" spans="1:13">
      <c r="A341" s="74" t="s">
        <v>38</v>
      </c>
      <c r="B341" s="12" t="s">
        <v>23</v>
      </c>
      <c r="C341" s="75">
        <v>46038</v>
      </c>
      <c r="D341" s="74" t="s">
        <v>143</v>
      </c>
      <c r="E341" s="12" t="s">
        <v>144</v>
      </c>
      <c r="F341" s="74" t="s">
        <v>145</v>
      </c>
      <c r="G341" s="74" t="s">
        <v>600</v>
      </c>
      <c r="H341" s="118">
        <v>5</v>
      </c>
      <c r="I341" s="12">
        <v>3</v>
      </c>
      <c r="J341" s="12" t="s">
        <v>66</v>
      </c>
      <c r="K341" s="12" t="s">
        <v>67</v>
      </c>
      <c r="L341" s="12" t="s">
        <v>67</v>
      </c>
      <c r="M341" s="12" t="s">
        <v>67</v>
      </c>
    </row>
    <row r="342" ht="16.5" spans="1:13">
      <c r="A342" s="74" t="s">
        <v>38</v>
      </c>
      <c r="B342" s="12" t="s">
        <v>23</v>
      </c>
      <c r="C342" s="75">
        <v>46038</v>
      </c>
      <c r="D342" s="74" t="s">
        <v>427</v>
      </c>
      <c r="E342" s="12" t="s">
        <v>220</v>
      </c>
      <c r="F342" s="74" t="s">
        <v>161</v>
      </c>
      <c r="G342" s="74" t="s">
        <v>569</v>
      </c>
      <c r="H342" s="118">
        <v>5</v>
      </c>
      <c r="I342" s="12">
        <v>6</v>
      </c>
      <c r="J342" s="12" t="s">
        <v>66</v>
      </c>
      <c r="K342" s="12" t="s">
        <v>67</v>
      </c>
      <c r="L342" s="12" t="s">
        <v>67</v>
      </c>
      <c r="M342" s="12" t="s">
        <v>67</v>
      </c>
    </row>
    <row r="343" ht="16.5" spans="1:13">
      <c r="A343" s="74" t="s">
        <v>35</v>
      </c>
      <c r="B343" s="12" t="s">
        <v>23</v>
      </c>
      <c r="C343" s="75">
        <v>46038</v>
      </c>
      <c r="D343" s="74" t="s">
        <v>463</v>
      </c>
      <c r="E343" s="12" t="s">
        <v>125</v>
      </c>
      <c r="F343" s="74" t="s">
        <v>601</v>
      </c>
      <c r="G343" s="74" t="s">
        <v>349</v>
      </c>
      <c r="H343" s="118">
        <v>5</v>
      </c>
      <c r="I343" s="12">
        <v>4</v>
      </c>
      <c r="J343" s="12" t="s">
        <v>66</v>
      </c>
      <c r="K343" s="12" t="s">
        <v>67</v>
      </c>
      <c r="L343" s="12" t="s">
        <v>67</v>
      </c>
      <c r="M343" s="12" t="s">
        <v>67</v>
      </c>
    </row>
    <row r="344" ht="16.5" spans="1:13">
      <c r="A344" s="74" t="s">
        <v>32</v>
      </c>
      <c r="B344" s="12" t="s">
        <v>23</v>
      </c>
      <c r="C344" s="75">
        <v>46038</v>
      </c>
      <c r="D344" s="74" t="s">
        <v>411</v>
      </c>
      <c r="E344" s="12" t="s">
        <v>105</v>
      </c>
      <c r="F344" s="74" t="s">
        <v>412</v>
      </c>
      <c r="G344" s="74" t="s">
        <v>308</v>
      </c>
      <c r="H344" s="118">
        <v>5</v>
      </c>
      <c r="I344" s="12">
        <v>4</v>
      </c>
      <c r="J344" s="12" t="s">
        <v>66</v>
      </c>
      <c r="K344" s="12" t="s">
        <v>67</v>
      </c>
      <c r="L344" s="12" t="s">
        <v>67</v>
      </c>
      <c r="M344" s="12" t="s">
        <v>67</v>
      </c>
    </row>
    <row r="345" ht="16.5" spans="1:13">
      <c r="A345" s="74" t="s">
        <v>38</v>
      </c>
      <c r="B345" s="12" t="s">
        <v>23</v>
      </c>
      <c r="C345" s="75">
        <v>46038</v>
      </c>
      <c r="D345" s="74" t="s">
        <v>602</v>
      </c>
      <c r="E345" s="12" t="s">
        <v>63</v>
      </c>
      <c r="F345" s="74" t="s">
        <v>603</v>
      </c>
      <c r="G345" s="74" t="s">
        <v>97</v>
      </c>
      <c r="H345" s="118">
        <v>5</v>
      </c>
      <c r="I345" s="12">
        <v>8</v>
      </c>
      <c r="J345" s="12" t="s">
        <v>66</v>
      </c>
      <c r="K345" s="12" t="s">
        <v>67</v>
      </c>
      <c r="L345" s="12" t="s">
        <v>67</v>
      </c>
      <c r="M345" s="12" t="s">
        <v>67</v>
      </c>
    </row>
    <row r="346" ht="16.5" spans="1:13">
      <c r="A346" s="74" t="s">
        <v>38</v>
      </c>
      <c r="B346" s="12" t="s">
        <v>23</v>
      </c>
      <c r="C346" s="75">
        <v>46038</v>
      </c>
      <c r="D346" s="74" t="s">
        <v>602</v>
      </c>
      <c r="E346" s="12" t="s">
        <v>63</v>
      </c>
      <c r="F346" s="74" t="s">
        <v>603</v>
      </c>
      <c r="G346" s="74" t="s">
        <v>604</v>
      </c>
      <c r="H346" s="118">
        <v>5</v>
      </c>
      <c r="I346" s="12">
        <v>8</v>
      </c>
      <c r="J346" s="12" t="s">
        <v>66</v>
      </c>
      <c r="K346" s="12" t="s">
        <v>67</v>
      </c>
      <c r="L346" s="12" t="s">
        <v>67</v>
      </c>
      <c r="M346" s="12" t="s">
        <v>67</v>
      </c>
    </row>
    <row r="347" ht="16.5" spans="1:13">
      <c r="A347" s="74" t="s">
        <v>38</v>
      </c>
      <c r="B347" s="12" t="s">
        <v>23</v>
      </c>
      <c r="C347" s="75">
        <v>46038</v>
      </c>
      <c r="D347" s="74" t="s">
        <v>602</v>
      </c>
      <c r="E347" s="12" t="s">
        <v>63</v>
      </c>
      <c r="F347" s="74" t="s">
        <v>603</v>
      </c>
      <c r="G347" s="74" t="s">
        <v>159</v>
      </c>
      <c r="H347" s="118">
        <v>5</v>
      </c>
      <c r="I347" s="12">
        <v>8</v>
      </c>
      <c r="J347" s="12" t="s">
        <v>66</v>
      </c>
      <c r="K347" s="12" t="s">
        <v>67</v>
      </c>
      <c r="L347" s="12" t="s">
        <v>67</v>
      </c>
      <c r="M347" s="12" t="s">
        <v>67</v>
      </c>
    </row>
    <row r="348" ht="16.5" spans="1:13">
      <c r="A348" s="74" t="s">
        <v>35</v>
      </c>
      <c r="B348" s="12" t="s">
        <v>23</v>
      </c>
      <c r="C348" s="75">
        <v>46038</v>
      </c>
      <c r="D348" s="74" t="s">
        <v>605</v>
      </c>
      <c r="E348" s="12" t="s">
        <v>125</v>
      </c>
      <c r="F348" s="74" t="s">
        <v>606</v>
      </c>
      <c r="G348" s="74" t="s">
        <v>97</v>
      </c>
      <c r="H348" s="118">
        <v>5</v>
      </c>
      <c r="I348" s="12">
        <v>3</v>
      </c>
      <c r="J348" s="12" t="s">
        <v>66</v>
      </c>
      <c r="K348" s="12" t="s">
        <v>67</v>
      </c>
      <c r="L348" s="12" t="s">
        <v>67</v>
      </c>
      <c r="M348" s="12" t="s">
        <v>67</v>
      </c>
    </row>
    <row r="349" ht="16.5" spans="1:13">
      <c r="A349" s="74" t="s">
        <v>35</v>
      </c>
      <c r="B349" s="12" t="s">
        <v>23</v>
      </c>
      <c r="C349" s="75">
        <v>46038</v>
      </c>
      <c r="D349" s="74" t="s">
        <v>605</v>
      </c>
      <c r="E349" s="12" t="s">
        <v>125</v>
      </c>
      <c r="F349" s="74" t="s">
        <v>606</v>
      </c>
      <c r="G349" s="74" t="s">
        <v>301</v>
      </c>
      <c r="H349" s="118">
        <v>5</v>
      </c>
      <c r="I349" s="12">
        <v>3</v>
      </c>
      <c r="J349" s="12" t="s">
        <v>66</v>
      </c>
      <c r="K349" s="12" t="s">
        <v>67</v>
      </c>
      <c r="L349" s="12" t="s">
        <v>67</v>
      </c>
      <c r="M349" s="12" t="s">
        <v>67</v>
      </c>
    </row>
    <row r="350" ht="16.5" spans="1:13">
      <c r="A350" s="74" t="s">
        <v>35</v>
      </c>
      <c r="B350" s="12" t="s">
        <v>23</v>
      </c>
      <c r="C350" s="75">
        <v>46038</v>
      </c>
      <c r="D350" s="74" t="s">
        <v>605</v>
      </c>
      <c r="E350" s="12" t="s">
        <v>125</v>
      </c>
      <c r="F350" s="74" t="s">
        <v>606</v>
      </c>
      <c r="G350" s="74" t="s">
        <v>281</v>
      </c>
      <c r="H350" s="118">
        <v>5</v>
      </c>
      <c r="I350" s="12">
        <v>3</v>
      </c>
      <c r="J350" s="12" t="s">
        <v>66</v>
      </c>
      <c r="K350" s="12" t="s">
        <v>67</v>
      </c>
      <c r="L350" s="12" t="s">
        <v>67</v>
      </c>
      <c r="M350" s="12" t="s">
        <v>67</v>
      </c>
    </row>
    <row r="351" ht="16.5" spans="1:13">
      <c r="A351" s="74" t="s">
        <v>36</v>
      </c>
      <c r="B351" s="12" t="s">
        <v>23</v>
      </c>
      <c r="C351" s="75">
        <v>46038</v>
      </c>
      <c r="D351" s="74" t="s">
        <v>607</v>
      </c>
      <c r="E351" s="12" t="s">
        <v>173</v>
      </c>
      <c r="F351" s="74" t="s">
        <v>608</v>
      </c>
      <c r="G351" s="74" t="s">
        <v>374</v>
      </c>
      <c r="H351" s="118">
        <v>5</v>
      </c>
      <c r="I351" s="12">
        <v>5</v>
      </c>
      <c r="J351" s="12" t="s">
        <v>66</v>
      </c>
      <c r="K351" s="12" t="s">
        <v>67</v>
      </c>
      <c r="L351" s="12" t="s">
        <v>67</v>
      </c>
      <c r="M351" s="12" t="s">
        <v>67</v>
      </c>
    </row>
    <row r="352" ht="16.5" spans="1:13">
      <c r="A352" s="74" t="s">
        <v>36</v>
      </c>
      <c r="B352" s="12" t="s">
        <v>23</v>
      </c>
      <c r="C352" s="75">
        <v>46038</v>
      </c>
      <c r="D352" s="74" t="s">
        <v>607</v>
      </c>
      <c r="E352" s="12" t="s">
        <v>173</v>
      </c>
      <c r="F352" s="74" t="s">
        <v>608</v>
      </c>
      <c r="G352" s="74" t="s">
        <v>609</v>
      </c>
      <c r="H352" s="118">
        <v>5</v>
      </c>
      <c r="I352" s="12">
        <v>5</v>
      </c>
      <c r="J352" s="12" t="s">
        <v>66</v>
      </c>
      <c r="K352" s="12" t="s">
        <v>67</v>
      </c>
      <c r="L352" s="12" t="s">
        <v>67</v>
      </c>
      <c r="M352" s="12" t="s">
        <v>67</v>
      </c>
    </row>
    <row r="353" ht="16.5" spans="1:13">
      <c r="A353" s="74" t="s">
        <v>36</v>
      </c>
      <c r="B353" s="12" t="s">
        <v>23</v>
      </c>
      <c r="C353" s="75">
        <v>46038</v>
      </c>
      <c r="D353" s="74" t="s">
        <v>607</v>
      </c>
      <c r="E353" s="12" t="s">
        <v>173</v>
      </c>
      <c r="F353" s="74" t="s">
        <v>608</v>
      </c>
      <c r="G353" s="74" t="s">
        <v>610</v>
      </c>
      <c r="H353" s="118">
        <v>5</v>
      </c>
      <c r="I353" s="12">
        <v>5</v>
      </c>
      <c r="J353" s="12" t="s">
        <v>66</v>
      </c>
      <c r="K353" s="12" t="s">
        <v>67</v>
      </c>
      <c r="L353" s="12" t="s">
        <v>67</v>
      </c>
      <c r="M353" s="12" t="s">
        <v>67</v>
      </c>
    </row>
    <row r="354" ht="16.5" spans="1:13">
      <c r="A354" s="74" t="s">
        <v>37</v>
      </c>
      <c r="B354" s="12" t="s">
        <v>23</v>
      </c>
      <c r="C354" s="75">
        <v>46037</v>
      </c>
      <c r="D354" s="74" t="s">
        <v>324</v>
      </c>
      <c r="E354" s="12" t="s">
        <v>152</v>
      </c>
      <c r="F354" s="74" t="s">
        <v>611</v>
      </c>
      <c r="G354" s="74" t="s">
        <v>612</v>
      </c>
      <c r="H354" s="118">
        <v>5</v>
      </c>
      <c r="I354" s="12">
        <v>4</v>
      </c>
      <c r="J354" s="12" t="s">
        <v>66</v>
      </c>
      <c r="K354" s="12" t="s">
        <v>67</v>
      </c>
      <c r="L354" s="12" t="s">
        <v>67</v>
      </c>
      <c r="M354" s="12" t="s">
        <v>67</v>
      </c>
    </row>
    <row r="355" ht="16.5" spans="1:13">
      <c r="A355" s="74" t="s">
        <v>37</v>
      </c>
      <c r="B355" s="12" t="s">
        <v>23</v>
      </c>
      <c r="C355" s="75">
        <v>46037</v>
      </c>
      <c r="D355" s="74" t="s">
        <v>324</v>
      </c>
      <c r="E355" s="12" t="s">
        <v>152</v>
      </c>
      <c r="F355" s="74" t="s">
        <v>611</v>
      </c>
      <c r="G355" s="74" t="s">
        <v>613</v>
      </c>
      <c r="H355" s="118">
        <v>5</v>
      </c>
      <c r="I355" s="12">
        <v>4</v>
      </c>
      <c r="J355" s="12" t="s">
        <v>66</v>
      </c>
      <c r="K355" s="12" t="s">
        <v>67</v>
      </c>
      <c r="L355" s="12" t="s">
        <v>67</v>
      </c>
      <c r="M355" s="12" t="s">
        <v>67</v>
      </c>
    </row>
    <row r="356" ht="16.5" spans="1:13">
      <c r="A356" s="74" t="s">
        <v>38</v>
      </c>
      <c r="B356" s="12" t="s">
        <v>23</v>
      </c>
      <c r="C356" s="75">
        <v>46037</v>
      </c>
      <c r="D356" s="74" t="s">
        <v>614</v>
      </c>
      <c r="E356" s="12" t="s">
        <v>220</v>
      </c>
      <c r="F356" s="74" t="s">
        <v>615</v>
      </c>
      <c r="G356" s="74" t="s">
        <v>529</v>
      </c>
      <c r="H356" s="118">
        <v>5</v>
      </c>
      <c r="I356" s="12">
        <v>5</v>
      </c>
      <c r="J356" s="12" t="s">
        <v>66</v>
      </c>
      <c r="K356" s="12" t="s">
        <v>67</v>
      </c>
      <c r="L356" s="12" t="s">
        <v>67</v>
      </c>
      <c r="M356" s="12" t="s">
        <v>67</v>
      </c>
    </row>
    <row r="357" ht="16.5" spans="1:13">
      <c r="A357" s="74" t="s">
        <v>38</v>
      </c>
      <c r="B357" s="12" t="s">
        <v>23</v>
      </c>
      <c r="C357" s="75">
        <v>46037</v>
      </c>
      <c r="D357" s="74" t="s">
        <v>614</v>
      </c>
      <c r="E357" s="12" t="s">
        <v>220</v>
      </c>
      <c r="F357" s="74" t="s">
        <v>615</v>
      </c>
      <c r="G357" s="74" t="s">
        <v>616</v>
      </c>
      <c r="H357" s="118">
        <v>5</v>
      </c>
      <c r="I357" s="12">
        <v>5</v>
      </c>
      <c r="J357" s="12" t="s">
        <v>66</v>
      </c>
      <c r="K357" s="12" t="s">
        <v>67</v>
      </c>
      <c r="L357" s="12" t="s">
        <v>67</v>
      </c>
      <c r="M357" s="12" t="s">
        <v>67</v>
      </c>
    </row>
    <row r="358" ht="16.5" spans="1:13">
      <c r="A358" s="74" t="s">
        <v>26</v>
      </c>
      <c r="B358" s="12" t="s">
        <v>23</v>
      </c>
      <c r="C358" s="75">
        <v>46037</v>
      </c>
      <c r="D358" s="74" t="s">
        <v>617</v>
      </c>
      <c r="E358" s="12" t="s">
        <v>121</v>
      </c>
      <c r="F358" s="74" t="s">
        <v>618</v>
      </c>
      <c r="G358" s="74" t="s">
        <v>619</v>
      </c>
      <c r="H358" s="118">
        <v>5</v>
      </c>
      <c r="I358" s="12">
        <v>3</v>
      </c>
      <c r="J358" s="12" t="s">
        <v>66</v>
      </c>
      <c r="K358" s="12" t="s">
        <v>67</v>
      </c>
      <c r="L358" s="12" t="s">
        <v>67</v>
      </c>
      <c r="M358" s="12" t="s">
        <v>67</v>
      </c>
    </row>
    <row r="359" ht="16.5" spans="1:13">
      <c r="A359" s="74" t="s">
        <v>38</v>
      </c>
      <c r="B359" s="12" t="s">
        <v>23</v>
      </c>
      <c r="C359" s="75">
        <v>46037</v>
      </c>
      <c r="D359" s="74" t="s">
        <v>620</v>
      </c>
      <c r="E359" s="12" t="s">
        <v>220</v>
      </c>
      <c r="F359" s="74" t="s">
        <v>161</v>
      </c>
      <c r="G359" s="74" t="s">
        <v>621</v>
      </c>
      <c r="H359" s="118">
        <v>5</v>
      </c>
      <c r="I359" s="12">
        <v>4</v>
      </c>
      <c r="J359" s="12" t="s">
        <v>66</v>
      </c>
      <c r="K359" s="12" t="s">
        <v>67</v>
      </c>
      <c r="L359" s="12" t="s">
        <v>67</v>
      </c>
      <c r="M359" s="12" t="s">
        <v>67</v>
      </c>
    </row>
    <row r="360" ht="16.5" spans="1:13">
      <c r="A360" s="74" t="s">
        <v>32</v>
      </c>
      <c r="B360" s="12" t="s">
        <v>23</v>
      </c>
      <c r="C360" s="75">
        <v>46036</v>
      </c>
      <c r="D360" s="74" t="s">
        <v>312</v>
      </c>
      <c r="E360" s="12" t="s">
        <v>105</v>
      </c>
      <c r="F360" s="74" t="s">
        <v>313</v>
      </c>
      <c r="G360" s="74" t="s">
        <v>622</v>
      </c>
      <c r="H360" s="118">
        <v>5</v>
      </c>
      <c r="I360" s="12">
        <v>3</v>
      </c>
      <c r="J360" s="12" t="s">
        <v>66</v>
      </c>
      <c r="K360" s="12" t="s">
        <v>67</v>
      </c>
      <c r="L360" s="12" t="s">
        <v>67</v>
      </c>
      <c r="M360" s="12" t="s">
        <v>67</v>
      </c>
    </row>
    <row r="361" ht="16.5" spans="1:13">
      <c r="A361" s="74" t="s">
        <v>37</v>
      </c>
      <c r="B361" s="12" t="s">
        <v>23</v>
      </c>
      <c r="C361" s="75">
        <v>46036</v>
      </c>
      <c r="D361" s="74" t="s">
        <v>623</v>
      </c>
      <c r="E361" s="12" t="s">
        <v>152</v>
      </c>
      <c r="F361" s="74" t="s">
        <v>624</v>
      </c>
      <c r="G361" s="74" t="s">
        <v>625</v>
      </c>
      <c r="H361" s="118">
        <v>5</v>
      </c>
      <c r="I361" s="12">
        <v>5</v>
      </c>
      <c r="J361" s="12" t="s">
        <v>66</v>
      </c>
      <c r="K361" s="12" t="s">
        <v>67</v>
      </c>
      <c r="L361" s="12" t="s">
        <v>67</v>
      </c>
      <c r="M361" s="12" t="s">
        <v>67</v>
      </c>
    </row>
    <row r="362" ht="16.5" spans="1:13">
      <c r="A362" s="74" t="s">
        <v>38</v>
      </c>
      <c r="B362" s="12" t="s">
        <v>23</v>
      </c>
      <c r="C362" s="75">
        <v>46036</v>
      </c>
      <c r="D362" s="74" t="s">
        <v>176</v>
      </c>
      <c r="E362" s="12" t="s">
        <v>75</v>
      </c>
      <c r="F362" s="74" t="s">
        <v>177</v>
      </c>
      <c r="G362" s="74" t="s">
        <v>626</v>
      </c>
      <c r="H362" s="118">
        <v>5</v>
      </c>
      <c r="I362" s="12">
        <v>3</v>
      </c>
      <c r="J362" s="12" t="s">
        <v>66</v>
      </c>
      <c r="K362" s="12" t="s">
        <v>67</v>
      </c>
      <c r="L362" s="12" t="s">
        <v>67</v>
      </c>
      <c r="M362" s="12" t="s">
        <v>67</v>
      </c>
    </row>
    <row r="363" ht="16.5" spans="1:13">
      <c r="A363" s="74" t="s">
        <v>38</v>
      </c>
      <c r="B363" s="12" t="s">
        <v>23</v>
      </c>
      <c r="C363" s="75">
        <v>46036</v>
      </c>
      <c r="D363" s="74" t="s">
        <v>564</v>
      </c>
      <c r="E363" s="12" t="s">
        <v>70</v>
      </c>
      <c r="F363" s="74" t="s">
        <v>565</v>
      </c>
      <c r="G363" s="74" t="s">
        <v>97</v>
      </c>
      <c r="H363" s="118">
        <v>5</v>
      </c>
      <c r="I363" s="12">
        <v>6</v>
      </c>
      <c r="J363" s="12" t="s">
        <v>66</v>
      </c>
      <c r="K363" s="12" t="s">
        <v>67</v>
      </c>
      <c r="L363" s="12" t="s">
        <v>67</v>
      </c>
      <c r="M363" s="12" t="s">
        <v>67</v>
      </c>
    </row>
    <row r="364" ht="16.5" spans="1:13">
      <c r="A364" s="74" t="s">
        <v>26</v>
      </c>
      <c r="B364" s="12" t="s">
        <v>23</v>
      </c>
      <c r="C364" s="75">
        <v>46036</v>
      </c>
      <c r="D364" s="74" t="s">
        <v>333</v>
      </c>
      <c r="E364" s="12" t="s">
        <v>121</v>
      </c>
      <c r="F364" s="74" t="s">
        <v>161</v>
      </c>
      <c r="G364" s="74" t="s">
        <v>627</v>
      </c>
      <c r="H364" s="118">
        <v>5</v>
      </c>
      <c r="I364" s="12">
        <v>2</v>
      </c>
      <c r="J364" s="12" t="s">
        <v>66</v>
      </c>
      <c r="K364" s="12" t="s">
        <v>67</v>
      </c>
      <c r="L364" s="12" t="s">
        <v>67</v>
      </c>
      <c r="M364" s="12" t="s">
        <v>67</v>
      </c>
    </row>
    <row r="365" ht="16.5" spans="1:13">
      <c r="A365" s="74" t="s">
        <v>37</v>
      </c>
      <c r="B365" s="12" t="s">
        <v>23</v>
      </c>
      <c r="C365" s="75">
        <v>46036</v>
      </c>
      <c r="D365" s="74" t="s">
        <v>288</v>
      </c>
      <c r="E365" s="12" t="s">
        <v>152</v>
      </c>
      <c r="F365" s="74" t="s">
        <v>289</v>
      </c>
      <c r="G365" s="74" t="s">
        <v>92</v>
      </c>
      <c r="H365" s="118">
        <v>5</v>
      </c>
      <c r="I365" s="12">
        <v>4</v>
      </c>
      <c r="J365" s="12" t="s">
        <v>66</v>
      </c>
      <c r="K365" s="12" t="s">
        <v>67</v>
      </c>
      <c r="L365" s="12" t="s">
        <v>67</v>
      </c>
      <c r="M365" s="12" t="s">
        <v>67</v>
      </c>
    </row>
    <row r="366" ht="16.5" spans="1:13">
      <c r="A366" s="74" t="s">
        <v>38</v>
      </c>
      <c r="B366" s="12" t="s">
        <v>23</v>
      </c>
      <c r="C366" s="75">
        <v>46035</v>
      </c>
      <c r="D366" s="74" t="s">
        <v>628</v>
      </c>
      <c r="E366" s="12" t="s">
        <v>70</v>
      </c>
      <c r="F366" s="74" t="s">
        <v>629</v>
      </c>
      <c r="G366" s="74" t="s">
        <v>630</v>
      </c>
      <c r="H366" s="118">
        <v>5</v>
      </c>
      <c r="I366" s="12">
        <v>4</v>
      </c>
      <c r="J366" s="12" t="s">
        <v>66</v>
      </c>
      <c r="K366" s="12" t="s">
        <v>67</v>
      </c>
      <c r="L366" s="12" t="s">
        <v>67</v>
      </c>
      <c r="M366" s="12" t="s">
        <v>67</v>
      </c>
    </row>
    <row r="367" ht="16.5" spans="1:13">
      <c r="A367" s="74" t="s">
        <v>38</v>
      </c>
      <c r="B367" s="12" t="s">
        <v>23</v>
      </c>
      <c r="C367" s="75">
        <v>46035</v>
      </c>
      <c r="D367" s="74" t="s">
        <v>481</v>
      </c>
      <c r="E367" s="12" t="s">
        <v>63</v>
      </c>
      <c r="F367" s="74" t="s">
        <v>231</v>
      </c>
      <c r="G367" s="74" t="s">
        <v>631</v>
      </c>
      <c r="H367" s="118">
        <v>5</v>
      </c>
      <c r="I367" s="12">
        <v>2</v>
      </c>
      <c r="J367" s="12" t="s">
        <v>66</v>
      </c>
      <c r="K367" s="12" t="s">
        <v>67</v>
      </c>
      <c r="L367" s="12" t="s">
        <v>67</v>
      </c>
      <c r="M367" s="12" t="s">
        <v>67</v>
      </c>
    </row>
    <row r="368" ht="16.5" spans="1:13">
      <c r="A368" s="74" t="s">
        <v>38</v>
      </c>
      <c r="B368" s="12" t="s">
        <v>23</v>
      </c>
      <c r="C368" s="75">
        <v>46035</v>
      </c>
      <c r="D368" s="74" t="s">
        <v>227</v>
      </c>
      <c r="E368" s="12" t="s">
        <v>148</v>
      </c>
      <c r="F368" s="74" t="s">
        <v>582</v>
      </c>
      <c r="G368" s="74" t="s">
        <v>632</v>
      </c>
      <c r="H368" s="118">
        <v>5</v>
      </c>
      <c r="I368" s="12">
        <v>3</v>
      </c>
      <c r="J368" s="12" t="s">
        <v>66</v>
      </c>
      <c r="K368" s="12" t="s">
        <v>67</v>
      </c>
      <c r="L368" s="12" t="s">
        <v>67</v>
      </c>
      <c r="M368" s="12" t="s">
        <v>67</v>
      </c>
    </row>
    <row r="369" ht="16.5" spans="1:13">
      <c r="A369" s="74" t="s">
        <v>38</v>
      </c>
      <c r="B369" s="12" t="s">
        <v>23</v>
      </c>
      <c r="C369" s="75">
        <v>46034</v>
      </c>
      <c r="D369" s="74" t="s">
        <v>628</v>
      </c>
      <c r="E369" s="12" t="s">
        <v>70</v>
      </c>
      <c r="F369" s="74" t="s">
        <v>629</v>
      </c>
      <c r="G369" s="74" t="s">
        <v>633</v>
      </c>
      <c r="H369" s="118">
        <v>5</v>
      </c>
      <c r="I369" s="12">
        <v>4</v>
      </c>
      <c r="J369" s="12" t="s">
        <v>66</v>
      </c>
      <c r="K369" s="12" t="s">
        <v>67</v>
      </c>
      <c r="L369" s="12" t="s">
        <v>67</v>
      </c>
      <c r="M369" s="12" t="s">
        <v>67</v>
      </c>
    </row>
    <row r="370" ht="16.5" spans="1:13">
      <c r="A370" s="74" t="s">
        <v>37</v>
      </c>
      <c r="B370" s="12" t="s">
        <v>23</v>
      </c>
      <c r="C370" s="75">
        <v>46034</v>
      </c>
      <c r="D370" s="74" t="s">
        <v>422</v>
      </c>
      <c r="E370" s="12" t="s">
        <v>109</v>
      </c>
      <c r="F370" s="74" t="s">
        <v>423</v>
      </c>
      <c r="G370" s="74" t="s">
        <v>634</v>
      </c>
      <c r="H370" s="118">
        <v>5</v>
      </c>
      <c r="I370" s="12">
        <v>5</v>
      </c>
      <c r="J370" s="12" t="s">
        <v>66</v>
      </c>
      <c r="K370" s="12" t="s">
        <v>67</v>
      </c>
      <c r="L370" s="12" t="s">
        <v>67</v>
      </c>
      <c r="M370" s="12" t="s">
        <v>67</v>
      </c>
    </row>
    <row r="371" ht="16.5" spans="1:13">
      <c r="A371" s="74" t="s">
        <v>38</v>
      </c>
      <c r="B371" s="12" t="s">
        <v>23</v>
      </c>
      <c r="C371" s="75">
        <v>46034</v>
      </c>
      <c r="D371" s="74" t="s">
        <v>540</v>
      </c>
      <c r="E371" s="12" t="s">
        <v>220</v>
      </c>
      <c r="F371" s="74" t="s">
        <v>234</v>
      </c>
      <c r="G371" s="74" t="s">
        <v>92</v>
      </c>
      <c r="H371" s="118">
        <v>5</v>
      </c>
      <c r="I371" s="12">
        <v>2</v>
      </c>
      <c r="J371" s="12" t="s">
        <v>66</v>
      </c>
      <c r="K371" s="12" t="s">
        <v>67</v>
      </c>
      <c r="L371" s="12" t="s">
        <v>67</v>
      </c>
      <c r="M371" s="12" t="s">
        <v>67</v>
      </c>
    </row>
    <row r="372" ht="16.5" spans="1:13">
      <c r="A372" s="74" t="s">
        <v>26</v>
      </c>
      <c r="B372" s="12" t="s">
        <v>23</v>
      </c>
      <c r="C372" s="75">
        <v>46034</v>
      </c>
      <c r="D372" s="74" t="s">
        <v>617</v>
      </c>
      <c r="E372" s="12" t="s">
        <v>121</v>
      </c>
      <c r="F372" s="74" t="s">
        <v>618</v>
      </c>
      <c r="G372" s="74" t="s">
        <v>635</v>
      </c>
      <c r="H372" s="118">
        <v>5</v>
      </c>
      <c r="I372" s="12">
        <v>3</v>
      </c>
      <c r="J372" s="12" t="s">
        <v>66</v>
      </c>
      <c r="K372" s="12" t="s">
        <v>67</v>
      </c>
      <c r="L372" s="12" t="s">
        <v>67</v>
      </c>
      <c r="M372" s="12" t="s">
        <v>67</v>
      </c>
    </row>
    <row r="373" ht="16.5" spans="1:13">
      <c r="A373" s="74" t="s">
        <v>37</v>
      </c>
      <c r="B373" s="12" t="s">
        <v>23</v>
      </c>
      <c r="C373" s="75">
        <v>46034</v>
      </c>
      <c r="D373" s="74" t="s">
        <v>623</v>
      </c>
      <c r="E373" s="12" t="s">
        <v>152</v>
      </c>
      <c r="F373" s="74" t="s">
        <v>636</v>
      </c>
      <c r="G373" s="74" t="s">
        <v>637</v>
      </c>
      <c r="H373" s="118">
        <v>5</v>
      </c>
      <c r="I373" s="12">
        <v>5</v>
      </c>
      <c r="J373" s="12" t="s">
        <v>66</v>
      </c>
      <c r="K373" s="12" t="s">
        <v>67</v>
      </c>
      <c r="L373" s="12" t="s">
        <v>67</v>
      </c>
      <c r="M373" s="12" t="s">
        <v>67</v>
      </c>
    </row>
    <row r="374" ht="16.5" spans="1:13">
      <c r="A374" s="74" t="s">
        <v>38</v>
      </c>
      <c r="B374" s="12" t="s">
        <v>23</v>
      </c>
      <c r="C374" s="75">
        <v>46034</v>
      </c>
      <c r="D374" s="74" t="s">
        <v>620</v>
      </c>
      <c r="E374" s="12" t="s">
        <v>220</v>
      </c>
      <c r="F374" s="74" t="s">
        <v>161</v>
      </c>
      <c r="G374" s="74" t="s">
        <v>638</v>
      </c>
      <c r="H374" s="118">
        <v>5</v>
      </c>
      <c r="I374" s="12">
        <v>4</v>
      </c>
      <c r="J374" s="12" t="s">
        <v>66</v>
      </c>
      <c r="K374" s="12" t="s">
        <v>67</v>
      </c>
      <c r="L374" s="12" t="s">
        <v>67</v>
      </c>
      <c r="M374" s="12" t="s">
        <v>67</v>
      </c>
    </row>
    <row r="375" ht="16.5" spans="1:13">
      <c r="A375" s="74" t="s">
        <v>35</v>
      </c>
      <c r="B375" s="12" t="s">
        <v>23</v>
      </c>
      <c r="C375" s="75">
        <v>46034</v>
      </c>
      <c r="D375" s="74" t="s">
        <v>463</v>
      </c>
      <c r="E375" s="12" t="s">
        <v>125</v>
      </c>
      <c r="F375" s="74" t="s">
        <v>464</v>
      </c>
      <c r="G375" s="74" t="s">
        <v>639</v>
      </c>
      <c r="H375" s="118">
        <v>5</v>
      </c>
      <c r="I375" s="12">
        <v>3</v>
      </c>
      <c r="J375" s="12" t="s">
        <v>211</v>
      </c>
      <c r="K375" s="12" t="s">
        <v>212</v>
      </c>
      <c r="L375" s="12" t="s">
        <v>67</v>
      </c>
      <c r="M375" s="12" t="s">
        <v>67</v>
      </c>
    </row>
    <row r="376" ht="16.5" spans="1:13">
      <c r="A376" s="74" t="s">
        <v>29</v>
      </c>
      <c r="B376" s="12" t="s">
        <v>23</v>
      </c>
      <c r="C376" s="75">
        <v>46047</v>
      </c>
      <c r="D376" s="74" t="s">
        <v>253</v>
      </c>
      <c r="E376" s="12" t="s">
        <v>130</v>
      </c>
      <c r="F376" s="74" t="s">
        <v>254</v>
      </c>
      <c r="G376" s="74" t="s">
        <v>640</v>
      </c>
      <c r="H376" s="118">
        <v>5</v>
      </c>
      <c r="I376" s="12">
        <v>12</v>
      </c>
      <c r="J376" s="12" t="s">
        <v>211</v>
      </c>
      <c r="K376" s="12" t="s">
        <v>67</v>
      </c>
      <c r="L376" s="12" t="s">
        <v>212</v>
      </c>
      <c r="M376" s="12" t="s">
        <v>67</v>
      </c>
    </row>
    <row r="377" ht="16.5" spans="1:13">
      <c r="A377" s="74" t="s">
        <v>38</v>
      </c>
      <c r="B377" s="12" t="s">
        <v>23</v>
      </c>
      <c r="C377" s="75">
        <v>46033</v>
      </c>
      <c r="D377" s="74" t="s">
        <v>282</v>
      </c>
      <c r="E377" s="12" t="s">
        <v>144</v>
      </c>
      <c r="F377" s="74" t="s">
        <v>283</v>
      </c>
      <c r="G377" s="74" t="s">
        <v>641</v>
      </c>
      <c r="H377" s="118">
        <v>5</v>
      </c>
      <c r="I377" s="12">
        <v>6</v>
      </c>
      <c r="J377" s="12" t="s">
        <v>66</v>
      </c>
      <c r="K377" s="12" t="s">
        <v>67</v>
      </c>
      <c r="L377" s="12" t="s">
        <v>67</v>
      </c>
      <c r="M377" s="12" t="s">
        <v>67</v>
      </c>
    </row>
    <row r="378" ht="16.5" spans="1:13">
      <c r="A378" s="74" t="s">
        <v>37</v>
      </c>
      <c r="B378" s="12" t="s">
        <v>23</v>
      </c>
      <c r="C378" s="75">
        <v>46033</v>
      </c>
      <c r="D378" s="74" t="s">
        <v>137</v>
      </c>
      <c r="E378" s="12" t="s">
        <v>109</v>
      </c>
      <c r="F378" s="74" t="s">
        <v>138</v>
      </c>
      <c r="G378" s="74" t="s">
        <v>235</v>
      </c>
      <c r="H378" s="118">
        <v>5</v>
      </c>
      <c r="I378" s="12">
        <v>3</v>
      </c>
      <c r="J378" s="12" t="s">
        <v>66</v>
      </c>
      <c r="K378" s="12" t="s">
        <v>67</v>
      </c>
      <c r="L378" s="12" t="s">
        <v>67</v>
      </c>
      <c r="M378" s="12" t="s">
        <v>67</v>
      </c>
    </row>
    <row r="379" ht="16.5" spans="1:13">
      <c r="A379" s="74" t="s">
        <v>37</v>
      </c>
      <c r="B379" s="12" t="s">
        <v>23</v>
      </c>
      <c r="C379" s="75">
        <v>46033</v>
      </c>
      <c r="D379" s="74" t="s">
        <v>276</v>
      </c>
      <c r="E379" s="12" t="s">
        <v>152</v>
      </c>
      <c r="F379" s="74" t="s">
        <v>642</v>
      </c>
      <c r="G379" s="74" t="s">
        <v>643</v>
      </c>
      <c r="H379" s="118">
        <v>5</v>
      </c>
      <c r="I379" s="12">
        <v>5</v>
      </c>
      <c r="J379" s="12" t="s">
        <v>66</v>
      </c>
      <c r="K379" s="12" t="s">
        <v>67</v>
      </c>
      <c r="L379" s="12" t="s">
        <v>67</v>
      </c>
      <c r="M379" s="12" t="s">
        <v>67</v>
      </c>
    </row>
    <row r="380" ht="16.5" spans="1:13">
      <c r="A380" s="74" t="s">
        <v>38</v>
      </c>
      <c r="B380" s="12" t="s">
        <v>23</v>
      </c>
      <c r="C380" s="75">
        <v>46032</v>
      </c>
      <c r="D380" s="74" t="s">
        <v>628</v>
      </c>
      <c r="E380" s="12" t="s">
        <v>70</v>
      </c>
      <c r="F380" s="74" t="s">
        <v>629</v>
      </c>
      <c r="G380" s="74" t="s">
        <v>644</v>
      </c>
      <c r="H380" s="118">
        <v>5</v>
      </c>
      <c r="I380" s="12">
        <v>4</v>
      </c>
      <c r="J380" s="12" t="s">
        <v>66</v>
      </c>
      <c r="K380" s="12" t="s">
        <v>67</v>
      </c>
      <c r="L380" s="12" t="s">
        <v>67</v>
      </c>
      <c r="M380" s="12" t="s">
        <v>67</v>
      </c>
    </row>
    <row r="381" ht="16.5" spans="1:13">
      <c r="A381" s="74" t="s">
        <v>35</v>
      </c>
      <c r="B381" s="12" t="s">
        <v>23</v>
      </c>
      <c r="C381" s="75">
        <v>46032</v>
      </c>
      <c r="D381" s="74" t="s">
        <v>463</v>
      </c>
      <c r="E381" s="12" t="s">
        <v>125</v>
      </c>
      <c r="F381" s="74" t="s">
        <v>645</v>
      </c>
      <c r="G381" s="74" t="s">
        <v>646</v>
      </c>
      <c r="H381" s="118">
        <v>5</v>
      </c>
      <c r="I381" s="12">
        <v>4</v>
      </c>
      <c r="J381" s="12" t="s">
        <v>66</v>
      </c>
      <c r="K381" s="12" t="s">
        <v>67</v>
      </c>
      <c r="L381" s="12" t="s">
        <v>67</v>
      </c>
      <c r="M381" s="12" t="s">
        <v>67</v>
      </c>
    </row>
    <row r="382" ht="16.5" spans="1:13">
      <c r="A382" s="74" t="s">
        <v>36</v>
      </c>
      <c r="B382" s="12" t="s">
        <v>23</v>
      </c>
      <c r="C382" s="75">
        <v>46032</v>
      </c>
      <c r="D382" s="74" t="s">
        <v>354</v>
      </c>
      <c r="E382" s="12" t="s">
        <v>173</v>
      </c>
      <c r="F382" s="74" t="s">
        <v>355</v>
      </c>
      <c r="G382" s="74" t="s">
        <v>647</v>
      </c>
      <c r="H382" s="118">
        <v>5</v>
      </c>
      <c r="I382" s="12">
        <v>8</v>
      </c>
      <c r="J382" s="12" t="s">
        <v>66</v>
      </c>
      <c r="K382" s="12" t="s">
        <v>67</v>
      </c>
      <c r="L382" s="12" t="s">
        <v>67</v>
      </c>
      <c r="M382" s="12" t="s">
        <v>67</v>
      </c>
    </row>
    <row r="383" ht="16.5" spans="1:13">
      <c r="A383" s="74" t="s">
        <v>38</v>
      </c>
      <c r="B383" s="12" t="s">
        <v>23</v>
      </c>
      <c r="C383" s="75">
        <v>46032</v>
      </c>
      <c r="D383" s="74" t="s">
        <v>441</v>
      </c>
      <c r="E383" s="12" t="s">
        <v>220</v>
      </c>
      <c r="F383" s="74" t="s">
        <v>442</v>
      </c>
      <c r="G383" s="74" t="s">
        <v>198</v>
      </c>
      <c r="H383" s="118">
        <v>5</v>
      </c>
      <c r="I383" s="12">
        <v>5</v>
      </c>
      <c r="J383" s="12" t="s">
        <v>66</v>
      </c>
      <c r="K383" s="12" t="s">
        <v>67</v>
      </c>
      <c r="L383" s="12" t="s">
        <v>67</v>
      </c>
      <c r="M383" s="12" t="s">
        <v>67</v>
      </c>
    </row>
    <row r="384" ht="16.5" spans="1:13">
      <c r="A384" s="74" t="s">
        <v>35</v>
      </c>
      <c r="B384" s="12" t="s">
        <v>23</v>
      </c>
      <c r="C384" s="75">
        <v>46031</v>
      </c>
      <c r="D384" s="74" t="s">
        <v>597</v>
      </c>
      <c r="E384" s="12" t="s">
        <v>125</v>
      </c>
      <c r="F384" s="74" t="s">
        <v>598</v>
      </c>
      <c r="G384" s="74" t="s">
        <v>648</v>
      </c>
      <c r="H384" s="118">
        <v>5</v>
      </c>
      <c r="I384" s="12">
        <v>3</v>
      </c>
      <c r="J384" s="12" t="s">
        <v>66</v>
      </c>
      <c r="K384" s="12" t="s">
        <v>67</v>
      </c>
      <c r="L384" s="12" t="s">
        <v>67</v>
      </c>
      <c r="M384" s="12" t="s">
        <v>67</v>
      </c>
    </row>
    <row r="385" ht="16.5" spans="1:13">
      <c r="A385" s="74" t="s">
        <v>35</v>
      </c>
      <c r="B385" s="12" t="s">
        <v>23</v>
      </c>
      <c r="C385" s="75">
        <v>46031</v>
      </c>
      <c r="D385" s="74" t="s">
        <v>493</v>
      </c>
      <c r="E385" s="12" t="s">
        <v>125</v>
      </c>
      <c r="F385" s="74" t="s">
        <v>358</v>
      </c>
      <c r="G385" s="74" t="s">
        <v>555</v>
      </c>
      <c r="H385" s="118">
        <v>5</v>
      </c>
      <c r="I385" s="12">
        <v>3</v>
      </c>
      <c r="J385" s="12" t="s">
        <v>66</v>
      </c>
      <c r="K385" s="12" t="s">
        <v>67</v>
      </c>
      <c r="L385" s="12" t="s">
        <v>67</v>
      </c>
      <c r="M385" s="12" t="s">
        <v>67</v>
      </c>
    </row>
    <row r="386" ht="16.5" spans="1:13">
      <c r="A386" s="74" t="s">
        <v>35</v>
      </c>
      <c r="B386" s="12" t="s">
        <v>23</v>
      </c>
      <c r="C386" s="75">
        <v>46031</v>
      </c>
      <c r="D386" s="74" t="s">
        <v>584</v>
      </c>
      <c r="E386" s="12" t="s">
        <v>125</v>
      </c>
      <c r="F386" s="74" t="s">
        <v>649</v>
      </c>
      <c r="G386" s="74" t="s">
        <v>555</v>
      </c>
      <c r="H386" s="118">
        <v>5</v>
      </c>
      <c r="I386" s="12">
        <v>4</v>
      </c>
      <c r="J386" s="12" t="s">
        <v>66</v>
      </c>
      <c r="K386" s="12" t="s">
        <v>67</v>
      </c>
      <c r="L386" s="12" t="s">
        <v>67</v>
      </c>
      <c r="M386" s="12" t="s">
        <v>67</v>
      </c>
    </row>
    <row r="387" ht="16.5" spans="1:13">
      <c r="A387" s="74" t="s">
        <v>38</v>
      </c>
      <c r="B387" s="12" t="s">
        <v>23</v>
      </c>
      <c r="C387" s="75">
        <v>46031</v>
      </c>
      <c r="D387" s="74" t="s">
        <v>620</v>
      </c>
      <c r="E387" s="12" t="s">
        <v>220</v>
      </c>
      <c r="F387" s="74" t="s">
        <v>161</v>
      </c>
      <c r="G387" s="74" t="s">
        <v>650</v>
      </c>
      <c r="H387" s="118">
        <v>5</v>
      </c>
      <c r="I387" s="12">
        <v>5</v>
      </c>
      <c r="J387" s="12" t="s">
        <v>66</v>
      </c>
      <c r="K387" s="12" t="s">
        <v>67</v>
      </c>
      <c r="L387" s="12" t="s">
        <v>67</v>
      </c>
      <c r="M387" s="12" t="s">
        <v>67</v>
      </c>
    </row>
    <row r="388" ht="16.5" spans="1:13">
      <c r="A388" s="74" t="s">
        <v>26</v>
      </c>
      <c r="B388" s="12" t="s">
        <v>23</v>
      </c>
      <c r="C388" s="75">
        <v>46031</v>
      </c>
      <c r="D388" s="74" t="s">
        <v>617</v>
      </c>
      <c r="E388" s="12" t="s">
        <v>121</v>
      </c>
      <c r="F388" s="74" t="s">
        <v>651</v>
      </c>
      <c r="G388" s="74" t="s">
        <v>652</v>
      </c>
      <c r="H388" s="118">
        <v>5</v>
      </c>
      <c r="I388" s="12">
        <v>3</v>
      </c>
      <c r="J388" s="12" t="s">
        <v>66</v>
      </c>
      <c r="K388" s="12" t="s">
        <v>67</v>
      </c>
      <c r="L388" s="12" t="s">
        <v>67</v>
      </c>
      <c r="M388" s="12" t="s">
        <v>67</v>
      </c>
    </row>
    <row r="389" ht="16.5" spans="1:13">
      <c r="A389" s="74" t="s">
        <v>37</v>
      </c>
      <c r="B389" s="12" t="s">
        <v>23</v>
      </c>
      <c r="C389" s="75">
        <v>46031</v>
      </c>
      <c r="D389" s="74" t="s">
        <v>527</v>
      </c>
      <c r="E389" s="12" t="s">
        <v>109</v>
      </c>
      <c r="F389" s="74" t="s">
        <v>653</v>
      </c>
      <c r="G389" s="74" t="s">
        <v>654</v>
      </c>
      <c r="H389" s="118">
        <v>5</v>
      </c>
      <c r="I389" s="12">
        <v>3</v>
      </c>
      <c r="J389" s="12" t="s">
        <v>66</v>
      </c>
      <c r="K389" s="12" t="s">
        <v>67</v>
      </c>
      <c r="L389" s="12" t="s">
        <v>67</v>
      </c>
      <c r="M389" s="12" t="s">
        <v>67</v>
      </c>
    </row>
    <row r="390" ht="16.5" spans="1:13">
      <c r="A390" s="74" t="s">
        <v>35</v>
      </c>
      <c r="B390" s="12" t="s">
        <v>23</v>
      </c>
      <c r="C390" s="75">
        <v>46030</v>
      </c>
      <c r="D390" s="74" t="s">
        <v>584</v>
      </c>
      <c r="E390" s="12" t="s">
        <v>125</v>
      </c>
      <c r="F390" s="74" t="s">
        <v>649</v>
      </c>
      <c r="G390" s="74" t="s">
        <v>525</v>
      </c>
      <c r="H390" s="118">
        <v>5</v>
      </c>
      <c r="I390" s="12">
        <v>4</v>
      </c>
      <c r="J390" s="12" t="s">
        <v>66</v>
      </c>
      <c r="K390" s="12" t="s">
        <v>67</v>
      </c>
      <c r="L390" s="12" t="s">
        <v>67</v>
      </c>
      <c r="M390" s="12" t="s">
        <v>67</v>
      </c>
    </row>
    <row r="391" ht="16.5" spans="1:13">
      <c r="A391" s="74" t="s">
        <v>33</v>
      </c>
      <c r="B391" s="12" t="s">
        <v>23</v>
      </c>
      <c r="C391" s="75">
        <v>46030</v>
      </c>
      <c r="D391" s="74" t="s">
        <v>536</v>
      </c>
      <c r="E391" s="12" t="s">
        <v>537</v>
      </c>
      <c r="F391" s="74" t="s">
        <v>538</v>
      </c>
      <c r="G391" s="74" t="s">
        <v>198</v>
      </c>
      <c r="H391" s="118">
        <v>5</v>
      </c>
      <c r="I391" s="12">
        <v>5</v>
      </c>
      <c r="J391" s="12" t="s">
        <v>66</v>
      </c>
      <c r="K391" s="12" t="s">
        <v>67</v>
      </c>
      <c r="L391" s="12" t="s">
        <v>67</v>
      </c>
      <c r="M391" s="12" t="s">
        <v>67</v>
      </c>
    </row>
    <row r="392" ht="16.5" spans="1:13">
      <c r="A392" s="74" t="s">
        <v>32</v>
      </c>
      <c r="B392" s="12" t="s">
        <v>23</v>
      </c>
      <c r="C392" s="75">
        <v>46030</v>
      </c>
      <c r="D392" s="74" t="s">
        <v>115</v>
      </c>
      <c r="E392" s="12" t="s">
        <v>105</v>
      </c>
      <c r="F392" s="74" t="s">
        <v>655</v>
      </c>
      <c r="G392" s="74" t="s">
        <v>656</v>
      </c>
      <c r="H392" s="118">
        <v>5</v>
      </c>
      <c r="I392" s="12">
        <v>4</v>
      </c>
      <c r="J392" s="12" t="s">
        <v>66</v>
      </c>
      <c r="K392" s="12" t="s">
        <v>67</v>
      </c>
      <c r="L392" s="12" t="s">
        <v>67</v>
      </c>
      <c r="M392" s="12" t="s">
        <v>67</v>
      </c>
    </row>
    <row r="393" ht="16.5" spans="1:13">
      <c r="A393" s="74" t="s">
        <v>35</v>
      </c>
      <c r="B393" s="12" t="s">
        <v>23</v>
      </c>
      <c r="C393" s="75">
        <v>46030</v>
      </c>
      <c r="D393" s="74" t="s">
        <v>597</v>
      </c>
      <c r="E393" s="12" t="s">
        <v>125</v>
      </c>
      <c r="F393" s="74" t="s">
        <v>598</v>
      </c>
      <c r="G393" s="74" t="s">
        <v>657</v>
      </c>
      <c r="H393" s="118">
        <v>4.95</v>
      </c>
      <c r="I393" s="12">
        <v>4</v>
      </c>
      <c r="J393" s="12" t="s">
        <v>66</v>
      </c>
      <c r="K393" s="12" t="s">
        <v>67</v>
      </c>
      <c r="L393" s="12" t="s">
        <v>67</v>
      </c>
      <c r="M393" s="12" t="s">
        <v>67</v>
      </c>
    </row>
    <row r="394" ht="16.5" spans="1:13">
      <c r="A394" s="74" t="s">
        <v>37</v>
      </c>
      <c r="B394" s="12" t="s">
        <v>23</v>
      </c>
      <c r="C394" s="75">
        <v>46030</v>
      </c>
      <c r="D394" s="74" t="s">
        <v>623</v>
      </c>
      <c r="E394" s="12" t="s">
        <v>152</v>
      </c>
      <c r="F394" s="74" t="s">
        <v>624</v>
      </c>
      <c r="G394" s="74" t="s">
        <v>658</v>
      </c>
      <c r="H394" s="118">
        <v>5</v>
      </c>
      <c r="I394" s="12">
        <v>5</v>
      </c>
      <c r="J394" s="12" t="s">
        <v>66</v>
      </c>
      <c r="K394" s="12" t="s">
        <v>67</v>
      </c>
      <c r="L394" s="12" t="s">
        <v>67</v>
      </c>
      <c r="M394" s="12" t="s">
        <v>67</v>
      </c>
    </row>
    <row r="395" ht="16.5" spans="1:13">
      <c r="A395" s="74" t="s">
        <v>38</v>
      </c>
      <c r="B395" s="12" t="s">
        <v>23</v>
      </c>
      <c r="C395" s="75">
        <v>46027</v>
      </c>
      <c r="D395" s="74" t="s">
        <v>371</v>
      </c>
      <c r="E395" s="12" t="s">
        <v>148</v>
      </c>
      <c r="F395" s="74" t="s">
        <v>659</v>
      </c>
      <c r="G395" s="74" t="s">
        <v>660</v>
      </c>
      <c r="H395" s="118">
        <v>5</v>
      </c>
      <c r="I395" s="12">
        <v>4</v>
      </c>
      <c r="J395" s="12" t="s">
        <v>211</v>
      </c>
      <c r="K395" s="12" t="s">
        <v>67</v>
      </c>
      <c r="L395" s="12" t="s">
        <v>212</v>
      </c>
      <c r="M395" s="12" t="s">
        <v>67</v>
      </c>
    </row>
    <row r="396" ht="16.5" spans="1:13">
      <c r="A396" s="74" t="s">
        <v>38</v>
      </c>
      <c r="B396" s="12" t="s">
        <v>23</v>
      </c>
      <c r="C396" s="75">
        <v>46027</v>
      </c>
      <c r="D396" s="74" t="s">
        <v>278</v>
      </c>
      <c r="E396" s="12" t="s">
        <v>148</v>
      </c>
      <c r="F396" s="74" t="s">
        <v>279</v>
      </c>
      <c r="G396" s="74" t="s">
        <v>567</v>
      </c>
      <c r="H396" s="118">
        <v>5</v>
      </c>
      <c r="I396" s="12">
        <v>4</v>
      </c>
      <c r="J396" s="12" t="s">
        <v>66</v>
      </c>
      <c r="K396" s="12" t="s">
        <v>67</v>
      </c>
      <c r="L396" s="12" t="s">
        <v>67</v>
      </c>
      <c r="M396" s="12" t="s">
        <v>67</v>
      </c>
    </row>
    <row r="397" ht="16.5" spans="1:13">
      <c r="A397" s="74" t="s">
        <v>38</v>
      </c>
      <c r="B397" s="12" t="s">
        <v>23</v>
      </c>
      <c r="C397" s="75">
        <v>46025</v>
      </c>
      <c r="D397" s="74" t="s">
        <v>531</v>
      </c>
      <c r="E397" s="12" t="s">
        <v>70</v>
      </c>
      <c r="F397" s="74" t="s">
        <v>661</v>
      </c>
      <c r="G397" s="74" t="s">
        <v>84</v>
      </c>
      <c r="H397" s="118">
        <v>4.96</v>
      </c>
      <c r="I397" s="12">
        <v>5</v>
      </c>
      <c r="J397" s="12" t="s">
        <v>66</v>
      </c>
      <c r="K397" s="12" t="s">
        <v>67</v>
      </c>
      <c r="L397" s="12" t="s">
        <v>67</v>
      </c>
      <c r="M397" s="12" t="s">
        <v>67</v>
      </c>
    </row>
    <row r="398" ht="16.5" spans="1:13">
      <c r="A398" s="74" t="s">
        <v>38</v>
      </c>
      <c r="B398" s="12" t="s">
        <v>23</v>
      </c>
      <c r="C398" s="75">
        <v>46025</v>
      </c>
      <c r="D398" s="74" t="s">
        <v>614</v>
      </c>
      <c r="E398" s="12" t="s">
        <v>220</v>
      </c>
      <c r="F398" s="74" t="s">
        <v>615</v>
      </c>
      <c r="G398" s="74" t="s">
        <v>275</v>
      </c>
      <c r="H398" s="118">
        <v>5</v>
      </c>
      <c r="I398" s="12">
        <v>4</v>
      </c>
      <c r="J398" s="12" t="s">
        <v>66</v>
      </c>
      <c r="K398" s="12" t="s">
        <v>67</v>
      </c>
      <c r="L398" s="12" t="s">
        <v>67</v>
      </c>
      <c r="M398" s="12" t="s">
        <v>67</v>
      </c>
    </row>
    <row r="399" ht="16.5" spans="1:13">
      <c r="A399" s="74" t="s">
        <v>38</v>
      </c>
      <c r="B399" s="12" t="s">
        <v>23</v>
      </c>
      <c r="C399" s="75">
        <v>46024</v>
      </c>
      <c r="D399" s="74" t="s">
        <v>531</v>
      </c>
      <c r="E399" s="12" t="s">
        <v>70</v>
      </c>
      <c r="F399" s="74" t="s">
        <v>661</v>
      </c>
      <c r="G399" s="74" t="s">
        <v>97</v>
      </c>
      <c r="H399" s="118">
        <v>4.96</v>
      </c>
      <c r="I399" s="12">
        <v>5</v>
      </c>
      <c r="J399" s="12" t="s">
        <v>66</v>
      </c>
      <c r="K399" s="12" t="s">
        <v>67</v>
      </c>
      <c r="L399" s="12" t="s">
        <v>67</v>
      </c>
      <c r="M399" s="12" t="s">
        <v>67</v>
      </c>
    </row>
    <row r="400" ht="16.5" spans="1:13">
      <c r="A400" s="74" t="s">
        <v>32</v>
      </c>
      <c r="B400" s="12" t="s">
        <v>23</v>
      </c>
      <c r="C400" s="75">
        <v>46023</v>
      </c>
      <c r="D400" s="74" t="s">
        <v>447</v>
      </c>
      <c r="E400" s="12" t="s">
        <v>105</v>
      </c>
      <c r="F400" s="74" t="s">
        <v>153</v>
      </c>
      <c r="G400" s="74" t="s">
        <v>215</v>
      </c>
      <c r="H400" s="118">
        <v>5</v>
      </c>
      <c r="I400" s="12">
        <v>2</v>
      </c>
      <c r="J400" s="12" t="s">
        <v>66</v>
      </c>
      <c r="K400" s="12" t="s">
        <v>67</v>
      </c>
      <c r="L400" s="12" t="s">
        <v>67</v>
      </c>
      <c r="M400" s="12" t="s">
        <v>67</v>
      </c>
    </row>
    <row r="401" ht="16.5" spans="1:13">
      <c r="A401" s="74" t="s">
        <v>32</v>
      </c>
      <c r="B401" s="12" t="s">
        <v>23</v>
      </c>
      <c r="C401" s="75">
        <v>46023</v>
      </c>
      <c r="D401" s="74" t="s">
        <v>447</v>
      </c>
      <c r="E401" s="12" t="s">
        <v>105</v>
      </c>
      <c r="F401" s="74" t="s">
        <v>153</v>
      </c>
      <c r="G401" s="74" t="s">
        <v>159</v>
      </c>
      <c r="H401" s="118">
        <v>5</v>
      </c>
      <c r="I401" s="12">
        <v>3</v>
      </c>
      <c r="J401" s="12" t="s">
        <v>66</v>
      </c>
      <c r="K401" s="12" t="s">
        <v>67</v>
      </c>
      <c r="L401" s="12" t="s">
        <v>67</v>
      </c>
      <c r="M401" s="12" t="s">
        <v>67</v>
      </c>
    </row>
    <row r="402" ht="16.5" spans="1:13">
      <c r="A402" s="12" t="s">
        <v>35</v>
      </c>
      <c r="B402" s="12" t="s">
        <v>39</v>
      </c>
      <c r="C402" s="75">
        <v>46081</v>
      </c>
      <c r="D402" s="74" t="s">
        <v>493</v>
      </c>
      <c r="E402" s="12" t="s">
        <v>125</v>
      </c>
      <c r="F402" s="74" t="s">
        <v>231</v>
      </c>
      <c r="G402" s="74" t="s">
        <v>215</v>
      </c>
      <c r="H402" s="118">
        <v>5</v>
      </c>
      <c r="I402" s="12">
        <v>5</v>
      </c>
      <c r="J402" s="12" t="s">
        <v>66</v>
      </c>
      <c r="K402" s="12" t="s">
        <v>67</v>
      </c>
      <c r="L402" s="12" t="s">
        <v>67</v>
      </c>
      <c r="M402" s="12" t="s">
        <v>67</v>
      </c>
    </row>
    <row r="403" ht="16.5" spans="1:13">
      <c r="A403" s="12" t="s">
        <v>31</v>
      </c>
      <c r="B403" s="12" t="s">
        <v>39</v>
      </c>
      <c r="C403" s="75">
        <v>46081</v>
      </c>
      <c r="D403" s="74" t="s">
        <v>78</v>
      </c>
      <c r="E403" s="12" t="s">
        <v>79</v>
      </c>
      <c r="F403" s="74" t="s">
        <v>662</v>
      </c>
      <c r="G403" s="74" t="s">
        <v>85</v>
      </c>
      <c r="H403" s="118">
        <v>5</v>
      </c>
      <c r="I403" s="12">
        <v>3</v>
      </c>
      <c r="J403" s="12" t="s">
        <v>66</v>
      </c>
      <c r="K403" s="12" t="s">
        <v>67</v>
      </c>
      <c r="L403" s="12" t="s">
        <v>67</v>
      </c>
      <c r="M403" s="12" t="s">
        <v>67</v>
      </c>
    </row>
    <row r="404" ht="16.5" spans="1:13">
      <c r="A404" s="12" t="s">
        <v>38</v>
      </c>
      <c r="B404" s="12" t="s">
        <v>39</v>
      </c>
      <c r="C404" s="75">
        <v>46081</v>
      </c>
      <c r="D404" s="74" t="s">
        <v>95</v>
      </c>
      <c r="E404" s="12" t="s">
        <v>63</v>
      </c>
      <c r="F404" s="74" t="s">
        <v>663</v>
      </c>
      <c r="G404" s="74" t="s">
        <v>214</v>
      </c>
      <c r="H404" s="118">
        <v>5</v>
      </c>
      <c r="I404" s="12">
        <v>4</v>
      </c>
      <c r="J404" s="12" t="s">
        <v>211</v>
      </c>
      <c r="K404" s="12" t="s">
        <v>67</v>
      </c>
      <c r="L404" s="12" t="s">
        <v>67</v>
      </c>
      <c r="M404" s="12" t="s">
        <v>212</v>
      </c>
    </row>
    <row r="405" ht="16.5" spans="1:13">
      <c r="A405" s="12" t="s">
        <v>38</v>
      </c>
      <c r="B405" s="12" t="s">
        <v>39</v>
      </c>
      <c r="C405" s="75">
        <v>46081</v>
      </c>
      <c r="D405" s="74" t="s">
        <v>396</v>
      </c>
      <c r="E405" s="12" t="s">
        <v>168</v>
      </c>
      <c r="F405" s="74" t="s">
        <v>664</v>
      </c>
      <c r="G405" s="74" t="s">
        <v>398</v>
      </c>
      <c r="H405" s="118">
        <v>5</v>
      </c>
      <c r="I405" s="12">
        <v>4</v>
      </c>
      <c r="J405" s="12" t="s">
        <v>66</v>
      </c>
      <c r="K405" s="12" t="s">
        <v>67</v>
      </c>
      <c r="L405" s="12" t="s">
        <v>67</v>
      </c>
      <c r="M405" s="12" t="s">
        <v>67</v>
      </c>
    </row>
    <row r="406" ht="16.5" spans="1:13">
      <c r="A406" s="12" t="s">
        <v>37</v>
      </c>
      <c r="B406" s="12" t="s">
        <v>39</v>
      </c>
      <c r="C406" s="75">
        <v>46081</v>
      </c>
      <c r="D406" s="74" t="s">
        <v>203</v>
      </c>
      <c r="E406" s="12" t="s">
        <v>109</v>
      </c>
      <c r="F406" s="74" t="s">
        <v>665</v>
      </c>
      <c r="G406" s="74" t="s">
        <v>666</v>
      </c>
      <c r="H406" s="118">
        <v>5</v>
      </c>
      <c r="I406" s="12">
        <v>5</v>
      </c>
      <c r="J406" s="12" t="s">
        <v>66</v>
      </c>
      <c r="K406" s="12" t="s">
        <v>67</v>
      </c>
      <c r="L406" s="12" t="s">
        <v>67</v>
      </c>
      <c r="M406" s="12" t="s">
        <v>67</v>
      </c>
    </row>
    <row r="407" ht="16.5" spans="1:13">
      <c r="A407" s="12" t="s">
        <v>31</v>
      </c>
      <c r="B407" s="12" t="s">
        <v>39</v>
      </c>
      <c r="C407" s="75">
        <v>46081</v>
      </c>
      <c r="D407" s="74" t="s">
        <v>189</v>
      </c>
      <c r="E407" s="12" t="s">
        <v>79</v>
      </c>
      <c r="F407" s="74" t="s">
        <v>667</v>
      </c>
      <c r="G407" s="74" t="s">
        <v>668</v>
      </c>
      <c r="H407" s="118">
        <v>5</v>
      </c>
      <c r="I407" s="12">
        <v>3</v>
      </c>
      <c r="J407" s="12" t="s">
        <v>66</v>
      </c>
      <c r="K407" s="12" t="s">
        <v>67</v>
      </c>
      <c r="L407" s="12" t="s">
        <v>67</v>
      </c>
      <c r="M407" s="12" t="s">
        <v>67</v>
      </c>
    </row>
    <row r="408" ht="16.5" spans="1:13">
      <c r="A408" s="12" t="s">
        <v>31</v>
      </c>
      <c r="B408" s="12" t="s">
        <v>39</v>
      </c>
      <c r="C408" s="75">
        <v>46081</v>
      </c>
      <c r="D408" s="74" t="s">
        <v>189</v>
      </c>
      <c r="E408" s="12" t="s">
        <v>79</v>
      </c>
      <c r="F408" s="74" t="s">
        <v>667</v>
      </c>
      <c r="G408" s="74" t="s">
        <v>669</v>
      </c>
      <c r="H408" s="118">
        <v>5</v>
      </c>
      <c r="I408" s="12">
        <v>3</v>
      </c>
      <c r="J408" s="12" t="s">
        <v>66</v>
      </c>
      <c r="K408" s="12" t="s">
        <v>67</v>
      </c>
      <c r="L408" s="12" t="s">
        <v>67</v>
      </c>
      <c r="M408" s="12" t="s">
        <v>67</v>
      </c>
    </row>
    <row r="409" ht="16.5" spans="1:13">
      <c r="A409" s="12" t="s">
        <v>37</v>
      </c>
      <c r="B409" s="12" t="s">
        <v>39</v>
      </c>
      <c r="C409" s="75">
        <v>46081</v>
      </c>
      <c r="D409" s="74" t="s">
        <v>203</v>
      </c>
      <c r="E409" s="12" t="s">
        <v>109</v>
      </c>
      <c r="F409" s="74" t="s">
        <v>665</v>
      </c>
      <c r="G409" s="74" t="s">
        <v>670</v>
      </c>
      <c r="H409" s="118">
        <v>5</v>
      </c>
      <c r="I409" s="12">
        <v>3</v>
      </c>
      <c r="J409" s="12" t="s">
        <v>66</v>
      </c>
      <c r="K409" s="12" t="s">
        <v>67</v>
      </c>
      <c r="L409" s="12" t="s">
        <v>67</v>
      </c>
      <c r="M409" s="12" t="s">
        <v>67</v>
      </c>
    </row>
    <row r="410" ht="16.5" spans="1:13">
      <c r="A410" s="12" t="s">
        <v>31</v>
      </c>
      <c r="B410" s="12" t="s">
        <v>39</v>
      </c>
      <c r="C410" s="75">
        <v>46081</v>
      </c>
      <c r="D410" s="74" t="s">
        <v>86</v>
      </c>
      <c r="E410" s="12" t="s">
        <v>79</v>
      </c>
      <c r="F410" s="74" t="s">
        <v>87</v>
      </c>
      <c r="G410" s="74" t="s">
        <v>671</v>
      </c>
      <c r="H410" s="118">
        <v>5</v>
      </c>
      <c r="I410" s="12">
        <v>3</v>
      </c>
      <c r="J410" s="12" t="s">
        <v>66</v>
      </c>
      <c r="K410" s="12" t="s">
        <v>67</v>
      </c>
      <c r="L410" s="12" t="s">
        <v>67</v>
      </c>
      <c r="M410" s="12" t="s">
        <v>67</v>
      </c>
    </row>
    <row r="411" ht="16.5" spans="1:13">
      <c r="A411" s="12" t="s">
        <v>31</v>
      </c>
      <c r="B411" s="12" t="s">
        <v>39</v>
      </c>
      <c r="C411" s="75">
        <v>46081</v>
      </c>
      <c r="D411" s="74" t="s">
        <v>86</v>
      </c>
      <c r="E411" s="12" t="s">
        <v>79</v>
      </c>
      <c r="F411" s="74" t="s">
        <v>87</v>
      </c>
      <c r="G411" s="74" t="s">
        <v>163</v>
      </c>
      <c r="H411" s="118">
        <v>5</v>
      </c>
      <c r="I411" s="12">
        <v>3</v>
      </c>
      <c r="J411" s="12" t="s">
        <v>66</v>
      </c>
      <c r="K411" s="12" t="s">
        <v>67</v>
      </c>
      <c r="L411" s="12" t="s">
        <v>67</v>
      </c>
      <c r="M411" s="12" t="s">
        <v>67</v>
      </c>
    </row>
    <row r="412" ht="16.5" spans="1:13">
      <c r="A412" s="12" t="s">
        <v>37</v>
      </c>
      <c r="B412" s="12" t="s">
        <v>39</v>
      </c>
      <c r="C412" s="75">
        <v>46081</v>
      </c>
      <c r="D412" s="74" t="s">
        <v>267</v>
      </c>
      <c r="E412" s="12" t="s">
        <v>152</v>
      </c>
      <c r="F412" s="74" t="s">
        <v>268</v>
      </c>
      <c r="G412" s="74" t="s">
        <v>672</v>
      </c>
      <c r="H412" s="118">
        <v>5</v>
      </c>
      <c r="I412" s="12">
        <v>4</v>
      </c>
      <c r="J412" s="12" t="s">
        <v>66</v>
      </c>
      <c r="K412" s="12" t="s">
        <v>67</v>
      </c>
      <c r="L412" s="12" t="s">
        <v>67</v>
      </c>
      <c r="M412" s="12" t="s">
        <v>67</v>
      </c>
    </row>
    <row r="413" ht="16.5" spans="1:13">
      <c r="A413" s="12" t="s">
        <v>38</v>
      </c>
      <c r="B413" s="12" t="s">
        <v>39</v>
      </c>
      <c r="C413" s="75">
        <v>46081</v>
      </c>
      <c r="D413" s="74" t="s">
        <v>82</v>
      </c>
      <c r="E413" s="12" t="s">
        <v>70</v>
      </c>
      <c r="F413" s="74" t="s">
        <v>673</v>
      </c>
      <c r="G413" s="74" t="s">
        <v>92</v>
      </c>
      <c r="H413" s="118">
        <v>5</v>
      </c>
      <c r="I413" s="12">
        <v>2</v>
      </c>
      <c r="J413" s="12" t="s">
        <v>66</v>
      </c>
      <c r="K413" s="12" t="s">
        <v>67</v>
      </c>
      <c r="L413" s="12" t="s">
        <v>67</v>
      </c>
      <c r="M413" s="12" t="s">
        <v>67</v>
      </c>
    </row>
    <row r="414" ht="16.5" spans="1:13">
      <c r="A414" s="12" t="s">
        <v>37</v>
      </c>
      <c r="B414" s="12" t="s">
        <v>39</v>
      </c>
      <c r="C414" s="75">
        <v>46081</v>
      </c>
      <c r="D414" s="74" t="s">
        <v>230</v>
      </c>
      <c r="E414" s="12" t="s">
        <v>109</v>
      </c>
      <c r="F414" s="74" t="s">
        <v>231</v>
      </c>
      <c r="G414" s="74" t="s">
        <v>674</v>
      </c>
      <c r="H414" s="118">
        <v>5</v>
      </c>
      <c r="I414" s="12">
        <v>5</v>
      </c>
      <c r="J414" s="12" t="s">
        <v>66</v>
      </c>
      <c r="K414" s="12" t="s">
        <v>67</v>
      </c>
      <c r="L414" s="12" t="s">
        <v>67</v>
      </c>
      <c r="M414" s="12" t="s">
        <v>67</v>
      </c>
    </row>
    <row r="415" ht="16.5" spans="1:13">
      <c r="A415" s="12" t="s">
        <v>37</v>
      </c>
      <c r="B415" s="12" t="s">
        <v>39</v>
      </c>
      <c r="C415" s="75">
        <v>46081</v>
      </c>
      <c r="D415" s="74" t="s">
        <v>267</v>
      </c>
      <c r="E415" s="12" t="s">
        <v>152</v>
      </c>
      <c r="F415" s="74" t="s">
        <v>268</v>
      </c>
      <c r="G415" s="74" t="s">
        <v>311</v>
      </c>
      <c r="H415" s="118">
        <v>5</v>
      </c>
      <c r="I415" s="12">
        <v>5</v>
      </c>
      <c r="J415" s="12" t="s">
        <v>66</v>
      </c>
      <c r="K415" s="12" t="s">
        <v>67</v>
      </c>
      <c r="L415" s="12" t="s">
        <v>67</v>
      </c>
      <c r="M415" s="12" t="s">
        <v>67</v>
      </c>
    </row>
    <row r="416" ht="16.5" spans="1:13">
      <c r="A416" s="12" t="s">
        <v>37</v>
      </c>
      <c r="B416" s="12" t="s">
        <v>39</v>
      </c>
      <c r="C416" s="75">
        <v>46081</v>
      </c>
      <c r="D416" s="74" t="s">
        <v>112</v>
      </c>
      <c r="E416" s="12" t="s">
        <v>109</v>
      </c>
      <c r="F416" s="74" t="s">
        <v>675</v>
      </c>
      <c r="G416" s="74" t="s">
        <v>676</v>
      </c>
      <c r="H416" s="118">
        <v>5</v>
      </c>
      <c r="I416" s="12">
        <v>4</v>
      </c>
      <c r="J416" s="12" t="s">
        <v>66</v>
      </c>
      <c r="K416" s="12" t="s">
        <v>67</v>
      </c>
      <c r="L416" s="12" t="s">
        <v>67</v>
      </c>
      <c r="M416" s="12" t="s">
        <v>67</v>
      </c>
    </row>
    <row r="417" ht="16.5" spans="1:13">
      <c r="A417" s="12" t="s">
        <v>38</v>
      </c>
      <c r="B417" s="12" t="s">
        <v>39</v>
      </c>
      <c r="C417" s="75">
        <v>46081</v>
      </c>
      <c r="D417" s="74" t="s">
        <v>306</v>
      </c>
      <c r="E417" s="12" t="s">
        <v>75</v>
      </c>
      <c r="F417" s="74" t="s">
        <v>358</v>
      </c>
      <c r="G417" s="74" t="s">
        <v>159</v>
      </c>
      <c r="H417" s="118">
        <v>5</v>
      </c>
      <c r="I417" s="12">
        <v>1</v>
      </c>
      <c r="J417" s="12" t="s">
        <v>66</v>
      </c>
      <c r="K417" s="12" t="s">
        <v>67</v>
      </c>
      <c r="L417" s="12" t="s">
        <v>67</v>
      </c>
      <c r="M417" s="12" t="s">
        <v>67</v>
      </c>
    </row>
    <row r="418" ht="16.5" spans="1:13">
      <c r="A418" s="12" t="s">
        <v>29</v>
      </c>
      <c r="B418" s="12" t="s">
        <v>39</v>
      </c>
      <c r="C418" s="75">
        <v>46081</v>
      </c>
      <c r="D418" s="74" t="s">
        <v>677</v>
      </c>
      <c r="E418" s="12" t="s">
        <v>130</v>
      </c>
      <c r="F418" s="74" t="s">
        <v>254</v>
      </c>
      <c r="G418" s="74" t="s">
        <v>6</v>
      </c>
      <c r="H418" s="118">
        <v>5</v>
      </c>
      <c r="I418" s="12">
        <v>4</v>
      </c>
      <c r="J418" s="12" t="s">
        <v>66</v>
      </c>
      <c r="K418" s="12" t="s">
        <v>67</v>
      </c>
      <c r="L418" s="12" t="s">
        <v>67</v>
      </c>
      <c r="M418" s="12" t="s">
        <v>67</v>
      </c>
    </row>
    <row r="419" ht="16.5" spans="1:13">
      <c r="A419" s="12" t="s">
        <v>38</v>
      </c>
      <c r="B419" s="12" t="s">
        <v>39</v>
      </c>
      <c r="C419" s="75">
        <v>46081</v>
      </c>
      <c r="D419" s="74" t="s">
        <v>233</v>
      </c>
      <c r="E419" s="12" t="s">
        <v>148</v>
      </c>
      <c r="F419" s="74" t="s">
        <v>454</v>
      </c>
      <c r="G419" s="74" t="s">
        <v>678</v>
      </c>
      <c r="H419" s="118">
        <v>5</v>
      </c>
      <c r="I419" s="12">
        <v>4</v>
      </c>
      <c r="J419" s="12" t="s">
        <v>66</v>
      </c>
      <c r="K419" s="12" t="s">
        <v>67</v>
      </c>
      <c r="L419" s="12" t="s">
        <v>67</v>
      </c>
      <c r="M419" s="12" t="s">
        <v>67</v>
      </c>
    </row>
    <row r="420" ht="16.5" spans="1:13">
      <c r="A420" s="12" t="s">
        <v>37</v>
      </c>
      <c r="B420" s="12" t="s">
        <v>39</v>
      </c>
      <c r="C420" s="75">
        <v>46081</v>
      </c>
      <c r="D420" s="74" t="s">
        <v>112</v>
      </c>
      <c r="E420" s="12" t="s">
        <v>109</v>
      </c>
      <c r="F420" s="74" t="s">
        <v>675</v>
      </c>
      <c r="G420" s="74" t="s">
        <v>679</v>
      </c>
      <c r="H420" s="118">
        <v>5</v>
      </c>
      <c r="I420" s="12">
        <v>4</v>
      </c>
      <c r="J420" s="12" t="s">
        <v>66</v>
      </c>
      <c r="K420" s="12" t="s">
        <v>67</v>
      </c>
      <c r="L420" s="12" t="s">
        <v>67</v>
      </c>
      <c r="M420" s="12" t="s">
        <v>67</v>
      </c>
    </row>
    <row r="421" ht="16.5" spans="1:13">
      <c r="A421" s="12" t="s">
        <v>38</v>
      </c>
      <c r="B421" s="12" t="s">
        <v>39</v>
      </c>
      <c r="C421" s="75">
        <v>46081</v>
      </c>
      <c r="D421" s="74" t="s">
        <v>143</v>
      </c>
      <c r="E421" s="12" t="s">
        <v>144</v>
      </c>
      <c r="F421" s="74" t="s">
        <v>680</v>
      </c>
      <c r="G421" s="74" t="s">
        <v>681</v>
      </c>
      <c r="H421" s="118">
        <v>5</v>
      </c>
      <c r="I421" s="12">
        <v>6</v>
      </c>
      <c r="J421" s="12" t="s">
        <v>66</v>
      </c>
      <c r="K421" s="12" t="s">
        <v>67</v>
      </c>
      <c r="L421" s="12" t="s">
        <v>67</v>
      </c>
      <c r="M421" s="12" t="s">
        <v>67</v>
      </c>
    </row>
    <row r="422" ht="16.5" spans="1:13">
      <c r="A422" s="12" t="s">
        <v>37</v>
      </c>
      <c r="B422" s="12" t="s">
        <v>39</v>
      </c>
      <c r="C422" s="75">
        <v>46081</v>
      </c>
      <c r="D422" s="74" t="s">
        <v>276</v>
      </c>
      <c r="E422" s="12" t="s">
        <v>152</v>
      </c>
      <c r="F422" s="74" t="s">
        <v>234</v>
      </c>
      <c r="G422" s="74" t="s">
        <v>682</v>
      </c>
      <c r="H422" s="118">
        <v>5</v>
      </c>
      <c r="I422" s="12">
        <v>4</v>
      </c>
      <c r="J422" s="12" t="s">
        <v>66</v>
      </c>
      <c r="K422" s="12" t="s">
        <v>67</v>
      </c>
      <c r="L422" s="12" t="s">
        <v>67</v>
      </c>
      <c r="M422" s="12" t="s">
        <v>67</v>
      </c>
    </row>
    <row r="423" ht="16.5" spans="1:13">
      <c r="A423" s="12" t="s">
        <v>38</v>
      </c>
      <c r="B423" s="12" t="s">
        <v>39</v>
      </c>
      <c r="C423" s="75">
        <v>46081</v>
      </c>
      <c r="D423" s="74" t="s">
        <v>322</v>
      </c>
      <c r="E423" s="12" t="s">
        <v>168</v>
      </c>
      <c r="F423" s="74" t="s">
        <v>153</v>
      </c>
      <c r="G423" s="74" t="s">
        <v>683</v>
      </c>
      <c r="H423" s="118">
        <v>5</v>
      </c>
      <c r="I423" s="12">
        <v>4</v>
      </c>
      <c r="J423" s="12" t="s">
        <v>66</v>
      </c>
      <c r="K423" s="12" t="s">
        <v>67</v>
      </c>
      <c r="L423" s="12" t="s">
        <v>67</v>
      </c>
      <c r="M423" s="12" t="s">
        <v>67</v>
      </c>
    </row>
    <row r="424" ht="16.5" spans="1:13">
      <c r="A424" s="12" t="s">
        <v>37</v>
      </c>
      <c r="B424" s="12" t="s">
        <v>39</v>
      </c>
      <c r="C424" s="75">
        <v>46081</v>
      </c>
      <c r="D424" s="74" t="s">
        <v>276</v>
      </c>
      <c r="E424" s="12" t="s">
        <v>152</v>
      </c>
      <c r="F424" s="74" t="s">
        <v>234</v>
      </c>
      <c r="G424" s="74" t="s">
        <v>684</v>
      </c>
      <c r="H424" s="118">
        <v>5</v>
      </c>
      <c r="I424" s="12">
        <v>4</v>
      </c>
      <c r="J424" s="12" t="s">
        <v>66</v>
      </c>
      <c r="K424" s="12" t="s">
        <v>67</v>
      </c>
      <c r="L424" s="12" t="s">
        <v>67</v>
      </c>
      <c r="M424" s="12" t="s">
        <v>67</v>
      </c>
    </row>
    <row r="425" ht="16.5" spans="1:13">
      <c r="A425" s="12" t="s">
        <v>38</v>
      </c>
      <c r="B425" s="12" t="s">
        <v>39</v>
      </c>
      <c r="C425" s="75">
        <v>46081</v>
      </c>
      <c r="D425" s="74" t="s">
        <v>282</v>
      </c>
      <c r="E425" s="12" t="s">
        <v>144</v>
      </c>
      <c r="F425" s="74" t="s">
        <v>283</v>
      </c>
      <c r="G425" s="74" t="s">
        <v>685</v>
      </c>
      <c r="H425" s="118">
        <v>5</v>
      </c>
      <c r="I425" s="12">
        <v>6</v>
      </c>
      <c r="J425" s="12" t="s">
        <v>66</v>
      </c>
      <c r="K425" s="12" t="s">
        <v>67</v>
      </c>
      <c r="L425" s="12" t="s">
        <v>67</v>
      </c>
      <c r="M425" s="12" t="s">
        <v>67</v>
      </c>
    </row>
    <row r="426" ht="16.5" spans="1:13">
      <c r="A426" s="12" t="s">
        <v>38</v>
      </c>
      <c r="B426" s="12" t="s">
        <v>39</v>
      </c>
      <c r="C426" s="75">
        <v>46081</v>
      </c>
      <c r="D426" s="74" t="s">
        <v>282</v>
      </c>
      <c r="E426" s="12" t="s">
        <v>144</v>
      </c>
      <c r="F426" s="74" t="s">
        <v>283</v>
      </c>
      <c r="G426" s="74" t="s">
        <v>686</v>
      </c>
      <c r="H426" s="118">
        <v>5</v>
      </c>
      <c r="I426" s="12">
        <v>6</v>
      </c>
      <c r="J426" s="12" t="s">
        <v>66</v>
      </c>
      <c r="K426" s="12" t="s">
        <v>67</v>
      </c>
      <c r="L426" s="12" t="s">
        <v>67</v>
      </c>
      <c r="M426" s="12" t="s">
        <v>67</v>
      </c>
    </row>
    <row r="427" ht="16.5" spans="1:13">
      <c r="A427" s="12" t="s">
        <v>38</v>
      </c>
      <c r="B427" s="12" t="s">
        <v>39</v>
      </c>
      <c r="C427" s="75">
        <v>46081</v>
      </c>
      <c r="D427" s="74" t="s">
        <v>576</v>
      </c>
      <c r="E427" s="12" t="s">
        <v>70</v>
      </c>
      <c r="F427" s="74" t="s">
        <v>687</v>
      </c>
      <c r="G427" s="74" t="s">
        <v>688</v>
      </c>
      <c r="H427" s="118">
        <v>4.9</v>
      </c>
      <c r="I427" s="12">
        <v>2</v>
      </c>
      <c r="J427" s="12" t="s">
        <v>66</v>
      </c>
      <c r="K427" s="12" t="s">
        <v>67</v>
      </c>
      <c r="L427" s="12" t="s">
        <v>67</v>
      </c>
      <c r="M427" s="12" t="s">
        <v>67</v>
      </c>
    </row>
    <row r="428" ht="16.5" spans="1:13">
      <c r="A428" s="12" t="s">
        <v>38</v>
      </c>
      <c r="B428" s="12" t="s">
        <v>39</v>
      </c>
      <c r="C428" s="75">
        <v>46081</v>
      </c>
      <c r="D428" s="74" t="s">
        <v>576</v>
      </c>
      <c r="E428" s="12" t="s">
        <v>70</v>
      </c>
      <c r="F428" s="74" t="s">
        <v>687</v>
      </c>
      <c r="G428" s="74" t="s">
        <v>92</v>
      </c>
      <c r="H428" s="118">
        <v>5</v>
      </c>
      <c r="I428" s="12">
        <v>2</v>
      </c>
      <c r="J428" s="12" t="s">
        <v>66</v>
      </c>
      <c r="K428" s="12" t="s">
        <v>67</v>
      </c>
      <c r="L428" s="12" t="s">
        <v>67</v>
      </c>
      <c r="M428" s="12" t="s">
        <v>67</v>
      </c>
    </row>
    <row r="429" ht="16.5" spans="1:13">
      <c r="A429" s="12" t="s">
        <v>31</v>
      </c>
      <c r="B429" s="12" t="s">
        <v>39</v>
      </c>
      <c r="C429" s="75">
        <v>46081</v>
      </c>
      <c r="D429" s="74" t="s">
        <v>134</v>
      </c>
      <c r="E429" s="12" t="s">
        <v>79</v>
      </c>
      <c r="F429" s="74" t="s">
        <v>135</v>
      </c>
      <c r="G429" s="74" t="s">
        <v>140</v>
      </c>
      <c r="H429" s="118">
        <v>5</v>
      </c>
      <c r="I429" s="12">
        <v>1</v>
      </c>
      <c r="J429" s="12" t="s">
        <v>66</v>
      </c>
      <c r="K429" s="12" t="s">
        <v>67</v>
      </c>
      <c r="L429" s="12" t="s">
        <v>67</v>
      </c>
      <c r="M429" s="12" t="s">
        <v>67</v>
      </c>
    </row>
    <row r="430" ht="16.5" spans="1:13">
      <c r="A430" s="12" t="s">
        <v>31</v>
      </c>
      <c r="B430" s="12" t="s">
        <v>39</v>
      </c>
      <c r="C430" s="75">
        <v>46081</v>
      </c>
      <c r="D430" s="74" t="s">
        <v>134</v>
      </c>
      <c r="E430" s="12" t="s">
        <v>79</v>
      </c>
      <c r="F430" s="74" t="s">
        <v>135</v>
      </c>
      <c r="G430" s="74" t="s">
        <v>136</v>
      </c>
      <c r="H430" s="118">
        <v>5</v>
      </c>
      <c r="I430" s="12">
        <v>1</v>
      </c>
      <c r="J430" s="12" t="s">
        <v>66</v>
      </c>
      <c r="K430" s="12" t="s">
        <v>67</v>
      </c>
      <c r="L430" s="12" t="s">
        <v>67</v>
      </c>
      <c r="M430" s="12" t="s">
        <v>67</v>
      </c>
    </row>
    <row r="431" ht="16.5" spans="1:13">
      <c r="A431" s="12" t="s">
        <v>38</v>
      </c>
      <c r="B431" s="12" t="s">
        <v>39</v>
      </c>
      <c r="C431" s="75">
        <v>46081</v>
      </c>
      <c r="D431" s="74" t="s">
        <v>278</v>
      </c>
      <c r="E431" s="12" t="s">
        <v>148</v>
      </c>
      <c r="F431" s="74" t="s">
        <v>689</v>
      </c>
      <c r="G431" s="74" t="s">
        <v>690</v>
      </c>
      <c r="H431" s="118">
        <v>5</v>
      </c>
      <c r="I431" s="12">
        <v>3</v>
      </c>
      <c r="J431" s="12" t="s">
        <v>66</v>
      </c>
      <c r="K431" s="12" t="s">
        <v>67</v>
      </c>
      <c r="L431" s="12" t="s">
        <v>67</v>
      </c>
      <c r="M431" s="12" t="s">
        <v>67</v>
      </c>
    </row>
    <row r="432" ht="16.5" spans="1:13">
      <c r="A432" s="12" t="s">
        <v>38</v>
      </c>
      <c r="B432" s="12" t="s">
        <v>39</v>
      </c>
      <c r="C432" s="75">
        <v>46081</v>
      </c>
      <c r="D432" s="74" t="s">
        <v>167</v>
      </c>
      <c r="E432" s="12" t="s">
        <v>168</v>
      </c>
      <c r="F432" s="74" t="s">
        <v>691</v>
      </c>
      <c r="G432" s="74" t="s">
        <v>692</v>
      </c>
      <c r="H432" s="118">
        <v>5</v>
      </c>
      <c r="I432" s="12">
        <v>1</v>
      </c>
      <c r="J432" s="12" t="s">
        <v>66</v>
      </c>
      <c r="K432" s="12" t="s">
        <v>67</v>
      </c>
      <c r="L432" s="12" t="s">
        <v>67</v>
      </c>
      <c r="M432" s="12" t="s">
        <v>67</v>
      </c>
    </row>
    <row r="433" ht="16.5" spans="1:13">
      <c r="A433" s="12" t="s">
        <v>38</v>
      </c>
      <c r="B433" s="12" t="s">
        <v>39</v>
      </c>
      <c r="C433" s="75">
        <v>46081</v>
      </c>
      <c r="D433" s="74" t="s">
        <v>219</v>
      </c>
      <c r="E433" s="12" t="s">
        <v>220</v>
      </c>
      <c r="F433" s="74" t="s">
        <v>693</v>
      </c>
      <c r="G433" s="74" t="s">
        <v>97</v>
      </c>
      <c r="H433" s="118">
        <v>5</v>
      </c>
      <c r="I433" s="12">
        <v>4</v>
      </c>
      <c r="J433" s="12" t="s">
        <v>66</v>
      </c>
      <c r="K433" s="12" t="s">
        <v>67</v>
      </c>
      <c r="L433" s="12" t="s">
        <v>67</v>
      </c>
      <c r="M433" s="12" t="s">
        <v>67</v>
      </c>
    </row>
    <row r="434" ht="16.5" spans="1:13">
      <c r="A434" s="12" t="s">
        <v>38</v>
      </c>
      <c r="B434" s="12" t="s">
        <v>39</v>
      </c>
      <c r="C434" s="75">
        <v>46081</v>
      </c>
      <c r="D434" s="74" t="s">
        <v>219</v>
      </c>
      <c r="E434" s="12" t="s">
        <v>220</v>
      </c>
      <c r="F434" s="74" t="s">
        <v>693</v>
      </c>
      <c r="G434" s="74" t="s">
        <v>694</v>
      </c>
      <c r="H434" s="118">
        <v>5</v>
      </c>
      <c r="I434" s="12">
        <v>4</v>
      </c>
      <c r="J434" s="12" t="s">
        <v>66</v>
      </c>
      <c r="K434" s="12" t="s">
        <v>67</v>
      </c>
      <c r="L434" s="12" t="s">
        <v>67</v>
      </c>
      <c r="M434" s="12" t="s">
        <v>67</v>
      </c>
    </row>
    <row r="435" ht="16.5" spans="1:13">
      <c r="A435" s="12" t="s">
        <v>35</v>
      </c>
      <c r="B435" s="12" t="s">
        <v>39</v>
      </c>
      <c r="C435" s="75">
        <v>46081</v>
      </c>
      <c r="D435" s="74" t="s">
        <v>124</v>
      </c>
      <c r="E435" s="12" t="s">
        <v>125</v>
      </c>
      <c r="F435" s="74" t="s">
        <v>126</v>
      </c>
      <c r="G435" s="74" t="s">
        <v>695</v>
      </c>
      <c r="H435" s="118">
        <v>5</v>
      </c>
      <c r="I435" s="12">
        <v>3</v>
      </c>
      <c r="J435" s="12" t="s">
        <v>66</v>
      </c>
      <c r="K435" s="12" t="s">
        <v>67</v>
      </c>
      <c r="L435" s="12" t="s">
        <v>67</v>
      </c>
      <c r="M435" s="12" t="s">
        <v>67</v>
      </c>
    </row>
    <row r="436" ht="16.5" spans="1:13">
      <c r="A436" s="12" t="s">
        <v>38</v>
      </c>
      <c r="B436" s="12" t="s">
        <v>39</v>
      </c>
      <c r="C436" s="75">
        <v>46081</v>
      </c>
      <c r="D436" s="74" t="s">
        <v>481</v>
      </c>
      <c r="E436" s="12" t="s">
        <v>63</v>
      </c>
      <c r="F436" s="74" t="s">
        <v>231</v>
      </c>
      <c r="G436" s="74" t="s">
        <v>92</v>
      </c>
      <c r="H436" s="118">
        <v>5</v>
      </c>
      <c r="I436" s="12">
        <v>2</v>
      </c>
      <c r="J436" s="12" t="s">
        <v>66</v>
      </c>
      <c r="K436" s="12" t="s">
        <v>67</v>
      </c>
      <c r="L436" s="12" t="s">
        <v>67</v>
      </c>
      <c r="M436" s="12" t="s">
        <v>67</v>
      </c>
    </row>
    <row r="437" ht="16.5" spans="1:13">
      <c r="A437" s="12" t="s">
        <v>32</v>
      </c>
      <c r="B437" s="12" t="s">
        <v>39</v>
      </c>
      <c r="C437" s="75">
        <v>46081</v>
      </c>
      <c r="D437" s="74" t="s">
        <v>192</v>
      </c>
      <c r="E437" s="12" t="s">
        <v>105</v>
      </c>
      <c r="F437" s="74" t="s">
        <v>193</v>
      </c>
      <c r="G437" s="74" t="s">
        <v>696</v>
      </c>
      <c r="H437" s="118">
        <v>5</v>
      </c>
      <c r="I437" s="12">
        <v>3</v>
      </c>
      <c r="J437" s="12" t="s">
        <v>66</v>
      </c>
      <c r="K437" s="12" t="s">
        <v>67</v>
      </c>
      <c r="L437" s="12" t="s">
        <v>67</v>
      </c>
      <c r="M437" s="12" t="s">
        <v>67</v>
      </c>
    </row>
    <row r="438" ht="16.5" spans="1:13">
      <c r="A438" s="12" t="s">
        <v>38</v>
      </c>
      <c r="B438" s="12" t="s">
        <v>39</v>
      </c>
      <c r="C438" s="75">
        <v>46081</v>
      </c>
      <c r="D438" s="74" t="s">
        <v>278</v>
      </c>
      <c r="E438" s="12" t="s">
        <v>148</v>
      </c>
      <c r="F438" s="74" t="s">
        <v>689</v>
      </c>
      <c r="G438" s="74" t="s">
        <v>697</v>
      </c>
      <c r="H438" s="118">
        <v>5</v>
      </c>
      <c r="I438" s="12">
        <v>3</v>
      </c>
      <c r="J438" s="12" t="s">
        <v>66</v>
      </c>
      <c r="K438" s="12" t="s">
        <v>67</v>
      </c>
      <c r="L438" s="12" t="s">
        <v>67</v>
      </c>
      <c r="M438" s="12" t="s">
        <v>67</v>
      </c>
    </row>
    <row r="439" ht="16.5" spans="1:13">
      <c r="A439" s="12" t="s">
        <v>31</v>
      </c>
      <c r="B439" s="12" t="s">
        <v>39</v>
      </c>
      <c r="C439" s="75">
        <v>46081</v>
      </c>
      <c r="D439" s="74" t="s">
        <v>388</v>
      </c>
      <c r="E439" s="12" t="s">
        <v>79</v>
      </c>
      <c r="F439" s="74" t="s">
        <v>698</v>
      </c>
      <c r="G439" s="74" t="s">
        <v>92</v>
      </c>
      <c r="H439" s="118">
        <v>5</v>
      </c>
      <c r="I439" s="12">
        <v>6</v>
      </c>
      <c r="J439" s="12" t="s">
        <v>66</v>
      </c>
      <c r="K439" s="12" t="s">
        <v>67</v>
      </c>
      <c r="L439" s="12" t="s">
        <v>67</v>
      </c>
      <c r="M439" s="12" t="s">
        <v>67</v>
      </c>
    </row>
    <row r="440" ht="16.5" spans="1:13">
      <c r="A440" s="12" t="s">
        <v>38</v>
      </c>
      <c r="B440" s="12" t="s">
        <v>39</v>
      </c>
      <c r="C440" s="75">
        <v>46081</v>
      </c>
      <c r="D440" s="74" t="s">
        <v>129</v>
      </c>
      <c r="E440" s="12" t="s">
        <v>63</v>
      </c>
      <c r="F440" s="74" t="s">
        <v>699</v>
      </c>
      <c r="G440" s="74" t="s">
        <v>700</v>
      </c>
      <c r="H440" s="118">
        <v>5</v>
      </c>
      <c r="I440" s="12">
        <v>4</v>
      </c>
      <c r="J440" s="12" t="s">
        <v>66</v>
      </c>
      <c r="K440" s="12" t="s">
        <v>67</v>
      </c>
      <c r="L440" s="12" t="s">
        <v>67</v>
      </c>
      <c r="M440" s="12" t="s">
        <v>67</v>
      </c>
    </row>
    <row r="441" ht="16.5" spans="1:13">
      <c r="A441" s="12" t="s">
        <v>35</v>
      </c>
      <c r="B441" s="12" t="s">
        <v>39</v>
      </c>
      <c r="C441" s="75">
        <v>46081</v>
      </c>
      <c r="D441" s="74" t="s">
        <v>124</v>
      </c>
      <c r="E441" s="12" t="s">
        <v>125</v>
      </c>
      <c r="F441" s="74" t="s">
        <v>126</v>
      </c>
      <c r="G441" s="74" t="s">
        <v>701</v>
      </c>
      <c r="H441" s="118">
        <v>5</v>
      </c>
      <c r="I441" s="12">
        <v>3</v>
      </c>
      <c r="J441" s="12" t="s">
        <v>66</v>
      </c>
      <c r="K441" s="12" t="s">
        <v>67</v>
      </c>
      <c r="L441" s="12" t="s">
        <v>67</v>
      </c>
      <c r="M441" s="12" t="s">
        <v>67</v>
      </c>
    </row>
    <row r="442" ht="16.5" spans="1:13">
      <c r="A442" s="12" t="s">
        <v>32</v>
      </c>
      <c r="B442" s="12" t="s">
        <v>39</v>
      </c>
      <c r="C442" s="75">
        <v>46081</v>
      </c>
      <c r="D442" s="74" t="s">
        <v>556</v>
      </c>
      <c r="E442" s="12" t="s">
        <v>105</v>
      </c>
      <c r="F442" s="74" t="s">
        <v>32</v>
      </c>
      <c r="G442" s="74" t="s">
        <v>702</v>
      </c>
      <c r="H442" s="118">
        <v>5</v>
      </c>
      <c r="I442" s="12">
        <v>6</v>
      </c>
      <c r="J442" s="12" t="s">
        <v>66</v>
      </c>
      <c r="K442" s="12" t="s">
        <v>67</v>
      </c>
      <c r="L442" s="12" t="s">
        <v>67</v>
      </c>
      <c r="M442" s="12" t="s">
        <v>67</v>
      </c>
    </row>
    <row r="443" ht="16.5" spans="1:13">
      <c r="A443" s="12" t="s">
        <v>32</v>
      </c>
      <c r="B443" s="12" t="s">
        <v>39</v>
      </c>
      <c r="C443" s="75">
        <v>46081</v>
      </c>
      <c r="D443" s="74" t="s">
        <v>556</v>
      </c>
      <c r="E443" s="12" t="s">
        <v>105</v>
      </c>
      <c r="F443" s="74" t="s">
        <v>32</v>
      </c>
      <c r="G443" s="74" t="s">
        <v>703</v>
      </c>
      <c r="H443" s="118">
        <v>5</v>
      </c>
      <c r="I443" s="12">
        <v>6</v>
      </c>
      <c r="J443" s="12" t="s">
        <v>66</v>
      </c>
      <c r="K443" s="12" t="s">
        <v>67</v>
      </c>
      <c r="L443" s="12" t="s">
        <v>67</v>
      </c>
      <c r="M443" s="12" t="s">
        <v>67</v>
      </c>
    </row>
    <row r="444" ht="16.5" spans="1:13">
      <c r="A444" s="12" t="s">
        <v>38</v>
      </c>
      <c r="B444" s="12" t="s">
        <v>39</v>
      </c>
      <c r="C444" s="75">
        <v>46081</v>
      </c>
      <c r="D444" s="74" t="s">
        <v>216</v>
      </c>
      <c r="E444" s="12" t="s">
        <v>144</v>
      </c>
      <c r="F444" s="74" t="s">
        <v>217</v>
      </c>
      <c r="G444" s="74" t="s">
        <v>107</v>
      </c>
      <c r="H444" s="118">
        <v>5</v>
      </c>
      <c r="I444" s="12">
        <v>5</v>
      </c>
      <c r="J444" s="12" t="s">
        <v>66</v>
      </c>
      <c r="K444" s="12" t="s">
        <v>67</v>
      </c>
      <c r="L444" s="12" t="s">
        <v>67</v>
      </c>
      <c r="M444" s="12" t="s">
        <v>67</v>
      </c>
    </row>
    <row r="445" ht="16.5" spans="1:13">
      <c r="A445" s="12" t="s">
        <v>38</v>
      </c>
      <c r="B445" s="12" t="s">
        <v>39</v>
      </c>
      <c r="C445" s="75">
        <v>46081</v>
      </c>
      <c r="D445" s="74" t="s">
        <v>336</v>
      </c>
      <c r="E445" s="12" t="s">
        <v>70</v>
      </c>
      <c r="F445" s="74" t="s">
        <v>337</v>
      </c>
      <c r="G445" s="74" t="s">
        <v>704</v>
      </c>
      <c r="H445" s="118">
        <v>5</v>
      </c>
      <c r="I445" s="12">
        <v>4</v>
      </c>
      <c r="J445" s="12" t="s">
        <v>66</v>
      </c>
      <c r="K445" s="12" t="s">
        <v>67</v>
      </c>
      <c r="L445" s="12" t="s">
        <v>67</v>
      </c>
      <c r="M445" s="12" t="s">
        <v>67</v>
      </c>
    </row>
    <row r="446" ht="16.5" spans="1:13">
      <c r="A446" s="12" t="s">
        <v>38</v>
      </c>
      <c r="B446" s="12" t="s">
        <v>39</v>
      </c>
      <c r="C446" s="75">
        <v>46081</v>
      </c>
      <c r="D446" s="74" t="s">
        <v>74</v>
      </c>
      <c r="E446" s="12" t="s">
        <v>75</v>
      </c>
      <c r="F446" s="74" t="s">
        <v>76</v>
      </c>
      <c r="G446" s="74" t="s">
        <v>705</v>
      </c>
      <c r="H446" s="118">
        <v>5</v>
      </c>
      <c r="I446" s="12">
        <v>4</v>
      </c>
      <c r="J446" s="12" t="s">
        <v>66</v>
      </c>
      <c r="K446" s="12" t="s">
        <v>67</v>
      </c>
      <c r="L446" s="12" t="s">
        <v>67</v>
      </c>
      <c r="M446" s="12" t="s">
        <v>67</v>
      </c>
    </row>
    <row r="447" ht="16.5" spans="1:13">
      <c r="A447" s="12" t="s">
        <v>38</v>
      </c>
      <c r="B447" s="12" t="s">
        <v>39</v>
      </c>
      <c r="C447" s="75">
        <v>46081</v>
      </c>
      <c r="D447" s="74" t="s">
        <v>74</v>
      </c>
      <c r="E447" s="12" t="s">
        <v>75</v>
      </c>
      <c r="F447" s="74" t="s">
        <v>76</v>
      </c>
      <c r="G447" s="74" t="s">
        <v>706</v>
      </c>
      <c r="H447" s="118">
        <v>5</v>
      </c>
      <c r="I447" s="12">
        <v>4</v>
      </c>
      <c r="J447" s="12" t="s">
        <v>66</v>
      </c>
      <c r="K447" s="12" t="s">
        <v>67</v>
      </c>
      <c r="L447" s="12" t="s">
        <v>67</v>
      </c>
      <c r="M447" s="12" t="s">
        <v>67</v>
      </c>
    </row>
    <row r="448" ht="16.5" spans="1:13">
      <c r="A448" s="12" t="s">
        <v>38</v>
      </c>
      <c r="B448" s="12" t="s">
        <v>39</v>
      </c>
      <c r="C448" s="75">
        <v>46081</v>
      </c>
      <c r="D448" s="74" t="s">
        <v>481</v>
      </c>
      <c r="E448" s="12" t="s">
        <v>63</v>
      </c>
      <c r="F448" s="74" t="s">
        <v>231</v>
      </c>
      <c r="G448" s="74" t="s">
        <v>84</v>
      </c>
      <c r="H448" s="118">
        <v>5</v>
      </c>
      <c r="I448" s="12">
        <v>2</v>
      </c>
      <c r="J448" s="12" t="s">
        <v>66</v>
      </c>
      <c r="K448" s="12" t="s">
        <v>67</v>
      </c>
      <c r="L448" s="12" t="s">
        <v>67</v>
      </c>
      <c r="M448" s="12" t="s">
        <v>67</v>
      </c>
    </row>
    <row r="449" ht="16.5" spans="1:13">
      <c r="A449" s="12" t="s">
        <v>37</v>
      </c>
      <c r="B449" s="12" t="s">
        <v>39</v>
      </c>
      <c r="C449" s="75">
        <v>46081</v>
      </c>
      <c r="D449" s="74" t="s">
        <v>251</v>
      </c>
      <c r="E449" s="12" t="s">
        <v>152</v>
      </c>
      <c r="F449" s="74" t="s">
        <v>252</v>
      </c>
      <c r="G449" s="74" t="s">
        <v>214</v>
      </c>
      <c r="H449" s="118">
        <v>5</v>
      </c>
      <c r="I449" s="12">
        <v>4</v>
      </c>
      <c r="J449" s="12" t="s">
        <v>66</v>
      </c>
      <c r="K449" s="12" t="s">
        <v>67</v>
      </c>
      <c r="L449" s="12" t="s">
        <v>67</v>
      </c>
      <c r="M449" s="12" t="s">
        <v>67</v>
      </c>
    </row>
    <row r="450" ht="16.5" spans="1:13">
      <c r="A450" s="12" t="s">
        <v>37</v>
      </c>
      <c r="B450" s="12" t="s">
        <v>39</v>
      </c>
      <c r="C450" s="75">
        <v>46081</v>
      </c>
      <c r="D450" s="74" t="s">
        <v>251</v>
      </c>
      <c r="E450" s="12" t="s">
        <v>152</v>
      </c>
      <c r="F450" s="74" t="s">
        <v>252</v>
      </c>
      <c r="G450" s="74" t="s">
        <v>707</v>
      </c>
      <c r="H450" s="118">
        <v>5</v>
      </c>
      <c r="I450" s="12">
        <v>4</v>
      </c>
      <c r="J450" s="12" t="s">
        <v>66</v>
      </c>
      <c r="K450" s="12" t="s">
        <v>67</v>
      </c>
      <c r="L450" s="12" t="s">
        <v>67</v>
      </c>
      <c r="M450" s="12" t="s">
        <v>67</v>
      </c>
    </row>
    <row r="451" ht="16.5" spans="1:13">
      <c r="A451" s="12" t="s">
        <v>32</v>
      </c>
      <c r="B451" s="12" t="s">
        <v>39</v>
      </c>
      <c r="C451" s="75">
        <v>46081</v>
      </c>
      <c r="D451" s="74" t="s">
        <v>256</v>
      </c>
      <c r="E451" s="12" t="s">
        <v>105</v>
      </c>
      <c r="F451" s="74" t="s">
        <v>257</v>
      </c>
      <c r="G451" s="74" t="s">
        <v>331</v>
      </c>
      <c r="H451" s="118">
        <v>5</v>
      </c>
      <c r="I451" s="12">
        <v>2</v>
      </c>
      <c r="J451" s="12" t="s">
        <v>66</v>
      </c>
      <c r="K451" s="12" t="s">
        <v>67</v>
      </c>
      <c r="L451" s="12" t="s">
        <v>67</v>
      </c>
      <c r="M451" s="12" t="s">
        <v>67</v>
      </c>
    </row>
    <row r="452" ht="16.5" spans="1:13">
      <c r="A452" s="12" t="s">
        <v>32</v>
      </c>
      <c r="B452" s="12" t="s">
        <v>39</v>
      </c>
      <c r="C452" s="75">
        <v>46081</v>
      </c>
      <c r="D452" s="74" t="s">
        <v>179</v>
      </c>
      <c r="E452" s="12" t="s">
        <v>105</v>
      </c>
      <c r="F452" s="74" t="s">
        <v>708</v>
      </c>
      <c r="G452" s="74" t="s">
        <v>709</v>
      </c>
      <c r="H452" s="118">
        <v>4.5</v>
      </c>
      <c r="I452" s="12">
        <v>4</v>
      </c>
      <c r="J452" s="12" t="s">
        <v>66</v>
      </c>
      <c r="K452" s="12" t="s">
        <v>67</v>
      </c>
      <c r="L452" s="12" t="s">
        <v>67</v>
      </c>
      <c r="M452" s="12" t="s">
        <v>67</v>
      </c>
    </row>
    <row r="453" ht="16.5" spans="1:13">
      <c r="A453" s="12" t="s">
        <v>38</v>
      </c>
      <c r="B453" s="12" t="s">
        <v>39</v>
      </c>
      <c r="C453" s="75">
        <v>46081</v>
      </c>
      <c r="D453" s="74" t="s">
        <v>242</v>
      </c>
      <c r="E453" s="12" t="s">
        <v>70</v>
      </c>
      <c r="F453" s="74" t="s">
        <v>243</v>
      </c>
      <c r="G453" s="74" t="s">
        <v>710</v>
      </c>
      <c r="H453" s="118">
        <v>5</v>
      </c>
      <c r="I453" s="12">
        <v>4</v>
      </c>
      <c r="J453" s="12" t="s">
        <v>66</v>
      </c>
      <c r="K453" s="12" t="s">
        <v>67</v>
      </c>
      <c r="L453" s="12" t="s">
        <v>67</v>
      </c>
      <c r="M453" s="12" t="s">
        <v>67</v>
      </c>
    </row>
    <row r="454" ht="16.5" spans="1:13">
      <c r="A454" s="12" t="s">
        <v>32</v>
      </c>
      <c r="B454" s="12" t="s">
        <v>39</v>
      </c>
      <c r="C454" s="75">
        <v>46081</v>
      </c>
      <c r="D454" s="74" t="s">
        <v>179</v>
      </c>
      <c r="E454" s="12" t="s">
        <v>105</v>
      </c>
      <c r="F454" s="74" t="s">
        <v>708</v>
      </c>
      <c r="G454" s="74" t="s">
        <v>711</v>
      </c>
      <c r="H454" s="118">
        <v>4.2</v>
      </c>
      <c r="I454" s="12">
        <v>4</v>
      </c>
      <c r="J454" s="12" t="s">
        <v>66</v>
      </c>
      <c r="K454" s="12" t="s">
        <v>67</v>
      </c>
      <c r="L454" s="12" t="s">
        <v>67</v>
      </c>
      <c r="M454" s="12" t="s">
        <v>67</v>
      </c>
    </row>
    <row r="455" ht="16.5" spans="1:13">
      <c r="A455" s="12" t="s">
        <v>32</v>
      </c>
      <c r="B455" s="12" t="s">
        <v>39</v>
      </c>
      <c r="C455" s="75">
        <v>46081</v>
      </c>
      <c r="D455" s="74" t="s">
        <v>256</v>
      </c>
      <c r="E455" s="12" t="s">
        <v>105</v>
      </c>
      <c r="F455" s="74" t="s">
        <v>257</v>
      </c>
      <c r="G455" s="74" t="s">
        <v>712</v>
      </c>
      <c r="H455" s="118">
        <v>5</v>
      </c>
      <c r="I455" s="12">
        <v>2</v>
      </c>
      <c r="J455" s="12" t="s">
        <v>66</v>
      </c>
      <c r="K455" s="12" t="s">
        <v>67</v>
      </c>
      <c r="L455" s="12" t="s">
        <v>67</v>
      </c>
      <c r="M455" s="12" t="s">
        <v>67</v>
      </c>
    </row>
    <row r="456" ht="16.5" spans="1:13">
      <c r="A456" s="12" t="s">
        <v>31</v>
      </c>
      <c r="B456" s="12" t="s">
        <v>39</v>
      </c>
      <c r="C456" s="75">
        <v>46080</v>
      </c>
      <c r="D456" s="74" t="s">
        <v>388</v>
      </c>
      <c r="E456" s="12" t="s">
        <v>79</v>
      </c>
      <c r="F456" s="74" t="s">
        <v>698</v>
      </c>
      <c r="G456" s="74" t="s">
        <v>84</v>
      </c>
      <c r="H456" s="118">
        <v>5</v>
      </c>
      <c r="I456" s="12">
        <v>6</v>
      </c>
      <c r="J456" s="12" t="s">
        <v>66</v>
      </c>
      <c r="K456" s="12" t="s">
        <v>67</v>
      </c>
      <c r="L456" s="12" t="s">
        <v>67</v>
      </c>
      <c r="M456" s="12" t="s">
        <v>67</v>
      </c>
    </row>
    <row r="457" ht="16.5" spans="1:13">
      <c r="A457" s="12" t="s">
        <v>37</v>
      </c>
      <c r="B457" s="12" t="s">
        <v>39</v>
      </c>
      <c r="C457" s="75">
        <v>46080</v>
      </c>
      <c r="D457" s="74" t="s">
        <v>270</v>
      </c>
      <c r="E457" s="12" t="s">
        <v>109</v>
      </c>
      <c r="F457" s="74" t="s">
        <v>271</v>
      </c>
      <c r="G457" s="74" t="s">
        <v>713</v>
      </c>
      <c r="H457" s="118">
        <v>5</v>
      </c>
      <c r="I457" s="12">
        <v>4</v>
      </c>
      <c r="J457" s="12" t="s">
        <v>66</v>
      </c>
      <c r="K457" s="12" t="s">
        <v>67</v>
      </c>
      <c r="L457" s="12" t="s">
        <v>67</v>
      </c>
      <c r="M457" s="12" t="s">
        <v>67</v>
      </c>
    </row>
    <row r="458" ht="16.5" spans="1:13">
      <c r="A458" s="12" t="s">
        <v>29</v>
      </c>
      <c r="B458" s="12" t="s">
        <v>39</v>
      </c>
      <c r="C458" s="75">
        <v>46080</v>
      </c>
      <c r="D458" s="74" t="s">
        <v>364</v>
      </c>
      <c r="E458" s="12" t="s">
        <v>130</v>
      </c>
      <c r="F458" s="74" t="s">
        <v>365</v>
      </c>
      <c r="G458" s="74" t="s">
        <v>714</v>
      </c>
      <c r="H458" s="118">
        <v>5</v>
      </c>
      <c r="I458" s="12">
        <v>6</v>
      </c>
      <c r="J458" s="12" t="s">
        <v>66</v>
      </c>
      <c r="K458" s="12" t="s">
        <v>67</v>
      </c>
      <c r="L458" s="12" t="s">
        <v>67</v>
      </c>
      <c r="M458" s="12" t="s">
        <v>67</v>
      </c>
    </row>
    <row r="459" ht="16.5" spans="1:13">
      <c r="A459" s="12" t="s">
        <v>29</v>
      </c>
      <c r="B459" s="12" t="s">
        <v>39</v>
      </c>
      <c r="C459" s="75">
        <v>46080</v>
      </c>
      <c r="D459" s="74" t="s">
        <v>364</v>
      </c>
      <c r="E459" s="12" t="s">
        <v>130</v>
      </c>
      <c r="F459" s="74" t="s">
        <v>365</v>
      </c>
      <c r="G459" s="74" t="s">
        <v>715</v>
      </c>
      <c r="H459" s="118">
        <v>5</v>
      </c>
      <c r="I459" s="12">
        <v>6</v>
      </c>
      <c r="J459" s="12" t="s">
        <v>66</v>
      </c>
      <c r="K459" s="12" t="s">
        <v>67</v>
      </c>
      <c r="L459" s="12" t="s">
        <v>67</v>
      </c>
      <c r="M459" s="12" t="s">
        <v>67</v>
      </c>
    </row>
    <row r="460" ht="16.5" spans="1:13">
      <c r="A460" s="12" t="s">
        <v>37</v>
      </c>
      <c r="B460" s="12" t="s">
        <v>39</v>
      </c>
      <c r="C460" s="75">
        <v>46080</v>
      </c>
      <c r="D460" s="74" t="s">
        <v>270</v>
      </c>
      <c r="E460" s="12" t="s">
        <v>109</v>
      </c>
      <c r="F460" s="74" t="s">
        <v>271</v>
      </c>
      <c r="G460" s="74" t="s">
        <v>716</v>
      </c>
      <c r="H460" s="118">
        <v>5</v>
      </c>
      <c r="I460" s="12">
        <v>4</v>
      </c>
      <c r="J460" s="12" t="s">
        <v>66</v>
      </c>
      <c r="K460" s="12" t="s">
        <v>67</v>
      </c>
      <c r="L460" s="12" t="s">
        <v>67</v>
      </c>
      <c r="M460" s="12" t="s">
        <v>67</v>
      </c>
    </row>
    <row r="461" ht="16.5" spans="1:13">
      <c r="A461" s="12" t="s">
        <v>38</v>
      </c>
      <c r="B461" s="12" t="s">
        <v>39</v>
      </c>
      <c r="C461" s="75">
        <v>46080</v>
      </c>
      <c r="D461" s="74" t="s">
        <v>427</v>
      </c>
      <c r="E461" s="12" t="s">
        <v>220</v>
      </c>
      <c r="F461" s="74" t="s">
        <v>161</v>
      </c>
      <c r="G461" s="74" t="s">
        <v>717</v>
      </c>
      <c r="H461" s="118">
        <v>5</v>
      </c>
      <c r="I461" s="12">
        <v>6</v>
      </c>
      <c r="J461" s="12" t="s">
        <v>66</v>
      </c>
      <c r="K461" s="12" t="s">
        <v>67</v>
      </c>
      <c r="L461" s="12" t="s">
        <v>67</v>
      </c>
      <c r="M461" s="12" t="s">
        <v>67</v>
      </c>
    </row>
    <row r="462" ht="16.5" spans="1:13">
      <c r="A462" s="12" t="s">
        <v>38</v>
      </c>
      <c r="B462" s="12" t="s">
        <v>39</v>
      </c>
      <c r="C462" s="75">
        <v>46080</v>
      </c>
      <c r="D462" s="74" t="s">
        <v>396</v>
      </c>
      <c r="E462" s="12" t="s">
        <v>168</v>
      </c>
      <c r="F462" s="74" t="s">
        <v>664</v>
      </c>
      <c r="G462" s="74" t="s">
        <v>718</v>
      </c>
      <c r="H462" s="118">
        <v>5</v>
      </c>
      <c r="I462" s="12">
        <v>4</v>
      </c>
      <c r="J462" s="12" t="s">
        <v>66</v>
      </c>
      <c r="K462" s="12" t="s">
        <v>67</v>
      </c>
      <c r="L462" s="12" t="s">
        <v>67</v>
      </c>
      <c r="M462" s="12" t="s">
        <v>67</v>
      </c>
    </row>
    <row r="463" ht="16.5" spans="1:13">
      <c r="A463" s="12" t="s">
        <v>32</v>
      </c>
      <c r="B463" s="12" t="s">
        <v>39</v>
      </c>
      <c r="C463" s="75">
        <v>46080</v>
      </c>
      <c r="D463" s="74" t="s">
        <v>104</v>
      </c>
      <c r="E463" s="12" t="s">
        <v>105</v>
      </c>
      <c r="F463" s="74" t="s">
        <v>118</v>
      </c>
      <c r="G463" s="74" t="s">
        <v>719</v>
      </c>
      <c r="H463" s="118">
        <v>5</v>
      </c>
      <c r="I463" s="12">
        <v>3</v>
      </c>
      <c r="J463" s="12" t="s">
        <v>66</v>
      </c>
      <c r="K463" s="12" t="s">
        <v>67</v>
      </c>
      <c r="L463" s="12" t="s">
        <v>67</v>
      </c>
      <c r="M463" s="12" t="s">
        <v>67</v>
      </c>
    </row>
    <row r="464" ht="16.5" spans="1:13">
      <c r="A464" s="12" t="s">
        <v>38</v>
      </c>
      <c r="B464" s="12" t="s">
        <v>39</v>
      </c>
      <c r="C464" s="75">
        <v>46080</v>
      </c>
      <c r="D464" s="74" t="s">
        <v>176</v>
      </c>
      <c r="E464" s="12" t="s">
        <v>75</v>
      </c>
      <c r="F464" s="74" t="s">
        <v>720</v>
      </c>
      <c r="G464" s="74" t="s">
        <v>721</v>
      </c>
      <c r="H464" s="118">
        <v>5</v>
      </c>
      <c r="I464" s="12">
        <v>4</v>
      </c>
      <c r="J464" s="12" t="s">
        <v>66</v>
      </c>
      <c r="K464" s="12" t="s">
        <v>67</v>
      </c>
      <c r="L464" s="12" t="s">
        <v>67</v>
      </c>
      <c r="M464" s="12" t="s">
        <v>67</v>
      </c>
    </row>
    <row r="465" ht="16.5" spans="1:13">
      <c r="A465" s="12" t="s">
        <v>38</v>
      </c>
      <c r="B465" s="12" t="s">
        <v>39</v>
      </c>
      <c r="C465" s="75">
        <v>46080</v>
      </c>
      <c r="D465" s="74" t="s">
        <v>227</v>
      </c>
      <c r="E465" s="12" t="s">
        <v>148</v>
      </c>
      <c r="F465" s="74" t="s">
        <v>228</v>
      </c>
      <c r="G465" s="74" t="s">
        <v>583</v>
      </c>
      <c r="H465" s="118">
        <v>5</v>
      </c>
      <c r="I465" s="12">
        <v>4</v>
      </c>
      <c r="J465" s="12" t="s">
        <v>66</v>
      </c>
      <c r="K465" s="12" t="s">
        <v>67</v>
      </c>
      <c r="L465" s="12" t="s">
        <v>67</v>
      </c>
      <c r="M465" s="12" t="s">
        <v>67</v>
      </c>
    </row>
    <row r="466" ht="16.5" spans="1:13">
      <c r="A466" s="12" t="s">
        <v>32</v>
      </c>
      <c r="B466" s="12" t="s">
        <v>39</v>
      </c>
      <c r="C466" s="75">
        <v>46080</v>
      </c>
      <c r="D466" s="74" t="s">
        <v>104</v>
      </c>
      <c r="E466" s="12" t="s">
        <v>105</v>
      </c>
      <c r="F466" s="74" t="s">
        <v>118</v>
      </c>
      <c r="G466" s="74" t="s">
        <v>722</v>
      </c>
      <c r="H466" s="118">
        <v>5</v>
      </c>
      <c r="I466" s="12">
        <v>3</v>
      </c>
      <c r="J466" s="12" t="s">
        <v>66</v>
      </c>
      <c r="K466" s="12" t="s">
        <v>67</v>
      </c>
      <c r="L466" s="12" t="s">
        <v>67</v>
      </c>
      <c r="M466" s="12" t="s">
        <v>67</v>
      </c>
    </row>
    <row r="467" ht="16.5" spans="1:13">
      <c r="A467" s="12" t="s">
        <v>38</v>
      </c>
      <c r="B467" s="12" t="s">
        <v>39</v>
      </c>
      <c r="C467" s="75">
        <v>46080</v>
      </c>
      <c r="D467" s="74" t="s">
        <v>129</v>
      </c>
      <c r="E467" s="12" t="s">
        <v>63</v>
      </c>
      <c r="F467" s="74" t="s">
        <v>699</v>
      </c>
      <c r="G467" s="74" t="s">
        <v>374</v>
      </c>
      <c r="H467" s="118">
        <v>5</v>
      </c>
      <c r="I467" s="12">
        <v>4</v>
      </c>
      <c r="J467" s="12" t="s">
        <v>66</v>
      </c>
      <c r="K467" s="12" t="s">
        <v>67</v>
      </c>
      <c r="L467" s="12" t="s">
        <v>67</v>
      </c>
      <c r="M467" s="12" t="s">
        <v>67</v>
      </c>
    </row>
    <row r="468" ht="16.5" spans="1:13">
      <c r="A468" s="12" t="s">
        <v>31</v>
      </c>
      <c r="B468" s="12" t="s">
        <v>39</v>
      </c>
      <c r="C468" s="75">
        <v>46080</v>
      </c>
      <c r="D468" s="74" t="s">
        <v>285</v>
      </c>
      <c r="E468" s="12" t="s">
        <v>90</v>
      </c>
      <c r="F468" s="74" t="s">
        <v>286</v>
      </c>
      <c r="G468" s="74" t="s">
        <v>235</v>
      </c>
      <c r="H468" s="118">
        <v>5</v>
      </c>
      <c r="I468" s="12">
        <v>3</v>
      </c>
      <c r="J468" s="12" t="s">
        <v>66</v>
      </c>
      <c r="K468" s="12" t="s">
        <v>67</v>
      </c>
      <c r="L468" s="12" t="s">
        <v>67</v>
      </c>
      <c r="M468" s="12" t="s">
        <v>67</v>
      </c>
    </row>
    <row r="469" ht="16.5" spans="1:13">
      <c r="A469" s="12" t="s">
        <v>38</v>
      </c>
      <c r="B469" s="12" t="s">
        <v>39</v>
      </c>
      <c r="C469" s="75">
        <v>46080</v>
      </c>
      <c r="D469" s="74" t="s">
        <v>306</v>
      </c>
      <c r="E469" s="12" t="s">
        <v>75</v>
      </c>
      <c r="F469" s="74" t="s">
        <v>358</v>
      </c>
      <c r="G469" s="74" t="s">
        <v>97</v>
      </c>
      <c r="H469" s="118">
        <v>5</v>
      </c>
      <c r="I469" s="12">
        <v>2</v>
      </c>
      <c r="J469" s="12" t="s">
        <v>66</v>
      </c>
      <c r="K469" s="12" t="s">
        <v>67</v>
      </c>
      <c r="L469" s="12" t="s">
        <v>67</v>
      </c>
      <c r="M469" s="12" t="s">
        <v>67</v>
      </c>
    </row>
    <row r="470" ht="16.5" spans="1:13">
      <c r="A470" s="12" t="s">
        <v>38</v>
      </c>
      <c r="B470" s="12" t="s">
        <v>39</v>
      </c>
      <c r="C470" s="75">
        <v>46080</v>
      </c>
      <c r="D470" s="74" t="s">
        <v>500</v>
      </c>
      <c r="E470" s="12" t="s">
        <v>168</v>
      </c>
      <c r="F470" s="74" t="s">
        <v>501</v>
      </c>
      <c r="G470" s="74" t="s">
        <v>723</v>
      </c>
      <c r="H470" s="118">
        <v>5</v>
      </c>
      <c r="I470" s="12">
        <v>4</v>
      </c>
      <c r="J470" s="12" t="s">
        <v>66</v>
      </c>
      <c r="K470" s="12" t="s">
        <v>67</v>
      </c>
      <c r="L470" s="12" t="s">
        <v>67</v>
      </c>
      <c r="M470" s="12" t="s">
        <v>67</v>
      </c>
    </row>
    <row r="471" ht="16.5" spans="1:13">
      <c r="A471" s="12" t="s">
        <v>37</v>
      </c>
      <c r="B471" s="12" t="s">
        <v>39</v>
      </c>
      <c r="C471" s="75">
        <v>46080</v>
      </c>
      <c r="D471" s="74" t="s">
        <v>151</v>
      </c>
      <c r="E471" s="12" t="s">
        <v>152</v>
      </c>
      <c r="F471" s="74" t="s">
        <v>153</v>
      </c>
      <c r="G471" s="74" t="s">
        <v>724</v>
      </c>
      <c r="H471" s="118">
        <v>5</v>
      </c>
      <c r="I471" s="12">
        <v>4</v>
      </c>
      <c r="J471" s="12" t="s">
        <v>66</v>
      </c>
      <c r="K471" s="12" t="s">
        <v>67</v>
      </c>
      <c r="L471" s="12" t="s">
        <v>67</v>
      </c>
      <c r="M471" s="12" t="s">
        <v>67</v>
      </c>
    </row>
    <row r="472" ht="16.5" spans="1:13">
      <c r="A472" s="12" t="s">
        <v>32</v>
      </c>
      <c r="B472" s="12" t="s">
        <v>39</v>
      </c>
      <c r="C472" s="75">
        <v>46080</v>
      </c>
      <c r="D472" s="74" t="s">
        <v>195</v>
      </c>
      <c r="E472" s="12" t="s">
        <v>105</v>
      </c>
      <c r="F472" s="74" t="s">
        <v>725</v>
      </c>
      <c r="G472" s="74" t="s">
        <v>726</v>
      </c>
      <c r="H472" s="118">
        <v>5</v>
      </c>
      <c r="I472" s="12">
        <v>3</v>
      </c>
      <c r="J472" s="12" t="s">
        <v>66</v>
      </c>
      <c r="K472" s="12" t="s">
        <v>67</v>
      </c>
      <c r="L472" s="12" t="s">
        <v>67</v>
      </c>
      <c r="M472" s="12" t="s">
        <v>67</v>
      </c>
    </row>
    <row r="473" ht="16.5" spans="1:13">
      <c r="A473" s="12" t="s">
        <v>32</v>
      </c>
      <c r="B473" s="12" t="s">
        <v>39</v>
      </c>
      <c r="C473" s="75">
        <v>46080</v>
      </c>
      <c r="D473" s="74" t="s">
        <v>195</v>
      </c>
      <c r="E473" s="12" t="s">
        <v>105</v>
      </c>
      <c r="F473" s="74" t="s">
        <v>725</v>
      </c>
      <c r="G473" s="74" t="s">
        <v>727</v>
      </c>
      <c r="H473" s="118">
        <v>5</v>
      </c>
      <c r="I473" s="12">
        <v>3</v>
      </c>
      <c r="J473" s="12" t="s">
        <v>66</v>
      </c>
      <c r="K473" s="12" t="s">
        <v>67</v>
      </c>
      <c r="L473" s="12" t="s">
        <v>67</v>
      </c>
      <c r="M473" s="12" t="s">
        <v>67</v>
      </c>
    </row>
    <row r="474" ht="16.5" spans="1:13">
      <c r="A474" s="12" t="s">
        <v>37</v>
      </c>
      <c r="B474" s="12" t="s">
        <v>39</v>
      </c>
      <c r="C474" s="75">
        <v>46080</v>
      </c>
      <c r="D474" s="74" t="s">
        <v>527</v>
      </c>
      <c r="E474" s="12" t="s">
        <v>109</v>
      </c>
      <c r="F474" s="74" t="s">
        <v>528</v>
      </c>
      <c r="G474" s="74" t="s">
        <v>728</v>
      </c>
      <c r="H474" s="118">
        <v>5</v>
      </c>
      <c r="I474" s="12">
        <v>5</v>
      </c>
      <c r="J474" s="12" t="s">
        <v>66</v>
      </c>
      <c r="K474" s="12" t="s">
        <v>67</v>
      </c>
      <c r="L474" s="12" t="s">
        <v>67</v>
      </c>
      <c r="M474" s="12" t="s">
        <v>67</v>
      </c>
    </row>
    <row r="475" ht="16.5" spans="1:13">
      <c r="A475" s="12" t="s">
        <v>31</v>
      </c>
      <c r="B475" s="12" t="s">
        <v>39</v>
      </c>
      <c r="C475" s="75">
        <v>46080</v>
      </c>
      <c r="D475" s="74" t="s">
        <v>473</v>
      </c>
      <c r="E475" s="12" t="s">
        <v>90</v>
      </c>
      <c r="F475" s="74" t="s">
        <v>474</v>
      </c>
      <c r="G475" s="74" t="s">
        <v>729</v>
      </c>
      <c r="H475" s="118">
        <v>5</v>
      </c>
      <c r="I475" s="12">
        <v>4</v>
      </c>
      <c r="J475" s="12" t="s">
        <v>66</v>
      </c>
      <c r="K475" s="12" t="s">
        <v>67</v>
      </c>
      <c r="L475" s="12" t="s">
        <v>67</v>
      </c>
      <c r="M475" s="12" t="s">
        <v>67</v>
      </c>
    </row>
    <row r="476" ht="16.5" spans="1:13">
      <c r="A476" s="12" t="s">
        <v>31</v>
      </c>
      <c r="B476" s="12" t="s">
        <v>39</v>
      </c>
      <c r="C476" s="75">
        <v>46080</v>
      </c>
      <c r="D476" s="74" t="s">
        <v>285</v>
      </c>
      <c r="E476" s="12" t="s">
        <v>90</v>
      </c>
      <c r="F476" s="74" t="s">
        <v>286</v>
      </c>
      <c r="G476" s="74" t="s">
        <v>287</v>
      </c>
      <c r="H476" s="118">
        <v>5</v>
      </c>
      <c r="I476" s="12">
        <v>3</v>
      </c>
      <c r="J476" s="12" t="s">
        <v>66</v>
      </c>
      <c r="K476" s="12" t="s">
        <v>67</v>
      </c>
      <c r="L476" s="12" t="s">
        <v>67</v>
      </c>
      <c r="M476" s="12" t="s">
        <v>67</v>
      </c>
    </row>
    <row r="477" ht="16.5" spans="1:13">
      <c r="A477" s="12" t="s">
        <v>35</v>
      </c>
      <c r="B477" s="12" t="s">
        <v>39</v>
      </c>
      <c r="C477" s="75">
        <v>46080</v>
      </c>
      <c r="D477" s="74" t="s">
        <v>224</v>
      </c>
      <c r="E477" s="12" t="s">
        <v>125</v>
      </c>
      <c r="F477" s="74" t="s">
        <v>225</v>
      </c>
      <c r="G477" s="74" t="s">
        <v>159</v>
      </c>
      <c r="H477" s="118">
        <v>5</v>
      </c>
      <c r="I477" s="12">
        <v>2</v>
      </c>
      <c r="J477" s="12" t="s">
        <v>66</v>
      </c>
      <c r="K477" s="12" t="s">
        <v>67</v>
      </c>
      <c r="L477" s="12" t="s">
        <v>67</v>
      </c>
      <c r="M477" s="12" t="s">
        <v>67</v>
      </c>
    </row>
    <row r="478" ht="16.5" spans="1:13">
      <c r="A478" s="12" t="s">
        <v>37</v>
      </c>
      <c r="B478" s="12" t="s">
        <v>39</v>
      </c>
      <c r="C478" s="75">
        <v>46080</v>
      </c>
      <c r="D478" s="74" t="s">
        <v>151</v>
      </c>
      <c r="E478" s="12" t="s">
        <v>152</v>
      </c>
      <c r="F478" s="74" t="s">
        <v>153</v>
      </c>
      <c r="G478" s="74" t="s">
        <v>730</v>
      </c>
      <c r="H478" s="118">
        <v>5</v>
      </c>
      <c r="I478" s="12">
        <v>4</v>
      </c>
      <c r="J478" s="12" t="s">
        <v>66</v>
      </c>
      <c r="K478" s="12" t="s">
        <v>67</v>
      </c>
      <c r="L478" s="12" t="s">
        <v>67</v>
      </c>
      <c r="M478" s="12" t="s">
        <v>67</v>
      </c>
    </row>
    <row r="479" ht="16.5" spans="1:13">
      <c r="A479" s="12" t="s">
        <v>26</v>
      </c>
      <c r="B479" s="12" t="s">
        <v>39</v>
      </c>
      <c r="C479" s="75">
        <v>46080</v>
      </c>
      <c r="D479" s="74" t="s">
        <v>617</v>
      </c>
      <c r="E479" s="12" t="s">
        <v>121</v>
      </c>
      <c r="F479" s="74" t="s">
        <v>731</v>
      </c>
      <c r="G479" s="74" t="s">
        <v>732</v>
      </c>
      <c r="H479" s="118">
        <v>5</v>
      </c>
      <c r="I479" s="12">
        <v>4</v>
      </c>
      <c r="J479" s="12" t="s">
        <v>66</v>
      </c>
      <c r="K479" s="12" t="s">
        <v>67</v>
      </c>
      <c r="L479" s="12" t="s">
        <v>67</v>
      </c>
      <c r="M479" s="12" t="s">
        <v>67</v>
      </c>
    </row>
    <row r="480" ht="16.5" spans="1:13">
      <c r="A480" s="12" t="s">
        <v>29</v>
      </c>
      <c r="B480" s="12" t="s">
        <v>39</v>
      </c>
      <c r="C480" s="75">
        <v>46080</v>
      </c>
      <c r="D480" s="74" t="s">
        <v>263</v>
      </c>
      <c r="E480" s="12" t="s">
        <v>130</v>
      </c>
      <c r="F480" s="74" t="s">
        <v>264</v>
      </c>
      <c r="G480" s="74" t="s">
        <v>733</v>
      </c>
      <c r="H480" s="118">
        <v>5</v>
      </c>
      <c r="I480" s="12">
        <v>3</v>
      </c>
      <c r="J480" s="12" t="s">
        <v>66</v>
      </c>
      <c r="K480" s="12" t="s">
        <v>67</v>
      </c>
      <c r="L480" s="12" t="s">
        <v>67</v>
      </c>
      <c r="M480" s="12" t="s">
        <v>67</v>
      </c>
    </row>
    <row r="481" ht="16.5" spans="1:13">
      <c r="A481" s="12" t="s">
        <v>38</v>
      </c>
      <c r="B481" s="12" t="s">
        <v>39</v>
      </c>
      <c r="C481" s="75">
        <v>46080</v>
      </c>
      <c r="D481" s="74" t="s">
        <v>176</v>
      </c>
      <c r="E481" s="12" t="s">
        <v>75</v>
      </c>
      <c r="F481" s="74" t="s">
        <v>720</v>
      </c>
      <c r="G481" s="74" t="s">
        <v>311</v>
      </c>
      <c r="H481" s="118">
        <v>5</v>
      </c>
      <c r="I481" s="12">
        <v>4</v>
      </c>
      <c r="J481" s="12" t="s">
        <v>66</v>
      </c>
      <c r="K481" s="12" t="s">
        <v>67</v>
      </c>
      <c r="L481" s="12" t="s">
        <v>67</v>
      </c>
      <c r="M481" s="12" t="s">
        <v>67</v>
      </c>
    </row>
    <row r="482" ht="16.5" spans="1:13">
      <c r="A482" s="12" t="s">
        <v>37</v>
      </c>
      <c r="B482" s="12" t="s">
        <v>39</v>
      </c>
      <c r="C482" s="75">
        <v>46080</v>
      </c>
      <c r="D482" s="74" t="s">
        <v>230</v>
      </c>
      <c r="E482" s="12" t="s">
        <v>109</v>
      </c>
      <c r="F482" s="74" t="s">
        <v>231</v>
      </c>
      <c r="G482" s="74" t="s">
        <v>734</v>
      </c>
      <c r="H482" s="118">
        <v>5</v>
      </c>
      <c r="I482" s="12">
        <v>5</v>
      </c>
      <c r="J482" s="12" t="s">
        <v>66</v>
      </c>
      <c r="K482" s="12" t="s">
        <v>67</v>
      </c>
      <c r="L482" s="12" t="s">
        <v>67</v>
      </c>
      <c r="M482" s="12" t="s">
        <v>67</v>
      </c>
    </row>
    <row r="483" ht="16.5" spans="1:13">
      <c r="A483" s="12" t="s">
        <v>29</v>
      </c>
      <c r="B483" s="12" t="s">
        <v>39</v>
      </c>
      <c r="C483" s="75">
        <v>46080</v>
      </c>
      <c r="D483" s="74" t="s">
        <v>263</v>
      </c>
      <c r="E483" s="12" t="s">
        <v>130</v>
      </c>
      <c r="F483" s="74" t="s">
        <v>735</v>
      </c>
      <c r="G483" s="74" t="s">
        <v>77</v>
      </c>
      <c r="H483" s="118">
        <v>5</v>
      </c>
      <c r="I483" s="12">
        <v>3</v>
      </c>
      <c r="J483" s="12" t="s">
        <v>66</v>
      </c>
      <c r="K483" s="12" t="s">
        <v>67</v>
      </c>
      <c r="L483" s="12" t="s">
        <v>67</v>
      </c>
      <c r="M483" s="12" t="s">
        <v>67</v>
      </c>
    </row>
    <row r="484" ht="16.5" spans="1:13">
      <c r="A484" s="12" t="s">
        <v>35</v>
      </c>
      <c r="B484" s="12" t="s">
        <v>39</v>
      </c>
      <c r="C484" s="75">
        <v>46080</v>
      </c>
      <c r="D484" s="74" t="s">
        <v>224</v>
      </c>
      <c r="E484" s="12" t="s">
        <v>125</v>
      </c>
      <c r="F484" s="74" t="s">
        <v>225</v>
      </c>
      <c r="G484" s="74" t="s">
        <v>701</v>
      </c>
      <c r="H484" s="118">
        <v>5</v>
      </c>
      <c r="I484" s="12">
        <v>2</v>
      </c>
      <c r="J484" s="12" t="s">
        <v>66</v>
      </c>
      <c r="K484" s="12" t="s">
        <v>67</v>
      </c>
      <c r="L484" s="12" t="s">
        <v>67</v>
      </c>
      <c r="M484" s="12" t="s">
        <v>67</v>
      </c>
    </row>
    <row r="485" ht="16.5" spans="1:13">
      <c r="A485" s="12" t="s">
        <v>38</v>
      </c>
      <c r="B485" s="12" t="s">
        <v>39</v>
      </c>
      <c r="C485" s="75">
        <v>46080</v>
      </c>
      <c r="D485" s="74" t="s">
        <v>500</v>
      </c>
      <c r="E485" s="12" t="s">
        <v>168</v>
      </c>
      <c r="F485" s="74" t="s">
        <v>501</v>
      </c>
      <c r="G485" s="74" t="s">
        <v>736</v>
      </c>
      <c r="H485" s="118">
        <v>5</v>
      </c>
      <c r="I485" s="12">
        <v>4</v>
      </c>
      <c r="J485" s="12" t="s">
        <v>66</v>
      </c>
      <c r="K485" s="12" t="s">
        <v>67</v>
      </c>
      <c r="L485" s="12" t="s">
        <v>67</v>
      </c>
      <c r="M485" s="12" t="s">
        <v>67</v>
      </c>
    </row>
    <row r="486" ht="16.5" spans="1:13">
      <c r="A486" s="12" t="s">
        <v>38</v>
      </c>
      <c r="B486" s="12" t="s">
        <v>39</v>
      </c>
      <c r="C486" s="75">
        <v>46080</v>
      </c>
      <c r="D486" s="74" t="s">
        <v>62</v>
      </c>
      <c r="E486" s="12" t="s">
        <v>63</v>
      </c>
      <c r="F486" s="74" t="s">
        <v>737</v>
      </c>
      <c r="G486" s="74" t="s">
        <v>738</v>
      </c>
      <c r="H486" s="118">
        <v>4.93333333333333</v>
      </c>
      <c r="I486" s="12">
        <v>3</v>
      </c>
      <c r="J486" s="12" t="s">
        <v>66</v>
      </c>
      <c r="K486" s="12" t="s">
        <v>67</v>
      </c>
      <c r="L486" s="12" t="s">
        <v>67</v>
      </c>
      <c r="M486" s="12" t="s">
        <v>67</v>
      </c>
    </row>
    <row r="487" ht="16.5" spans="1:13">
      <c r="A487" s="12" t="s">
        <v>38</v>
      </c>
      <c r="B487" s="12" t="s">
        <v>39</v>
      </c>
      <c r="C487" s="75">
        <v>46080</v>
      </c>
      <c r="D487" s="74" t="s">
        <v>62</v>
      </c>
      <c r="E487" s="12" t="s">
        <v>63</v>
      </c>
      <c r="F487" s="74" t="s">
        <v>737</v>
      </c>
      <c r="G487" s="74" t="s">
        <v>739</v>
      </c>
      <c r="H487" s="118">
        <v>4.8</v>
      </c>
      <c r="I487" s="12">
        <v>3</v>
      </c>
      <c r="J487" s="12" t="s">
        <v>66</v>
      </c>
      <c r="K487" s="12" t="s">
        <v>67</v>
      </c>
      <c r="L487" s="12" t="s">
        <v>67</v>
      </c>
      <c r="M487" s="12" t="s">
        <v>67</v>
      </c>
    </row>
    <row r="488" ht="16.5" spans="1:13">
      <c r="A488" s="12" t="s">
        <v>33</v>
      </c>
      <c r="B488" s="12" t="s">
        <v>39</v>
      </c>
      <c r="C488" s="75">
        <v>46080</v>
      </c>
      <c r="D488" s="74" t="s">
        <v>740</v>
      </c>
      <c r="E488" s="12" t="s">
        <v>537</v>
      </c>
      <c r="F488" s="74" t="s">
        <v>741</v>
      </c>
      <c r="G488" s="74" t="s">
        <v>742</v>
      </c>
      <c r="H488" s="118">
        <v>5</v>
      </c>
      <c r="I488" s="12">
        <v>3</v>
      </c>
      <c r="J488" s="12" t="s">
        <v>66</v>
      </c>
      <c r="K488" s="12" t="s">
        <v>67</v>
      </c>
      <c r="L488" s="12" t="s">
        <v>67</v>
      </c>
      <c r="M488" s="12" t="s">
        <v>67</v>
      </c>
    </row>
    <row r="489" ht="16.5" spans="1:13">
      <c r="A489" s="12" t="s">
        <v>38</v>
      </c>
      <c r="B489" s="12" t="s">
        <v>39</v>
      </c>
      <c r="C489" s="75">
        <v>46080</v>
      </c>
      <c r="D489" s="74" t="s">
        <v>200</v>
      </c>
      <c r="E489" s="12" t="s">
        <v>75</v>
      </c>
      <c r="F489" s="74" t="s">
        <v>201</v>
      </c>
      <c r="G489" s="74" t="s">
        <v>743</v>
      </c>
      <c r="H489" s="118">
        <v>5</v>
      </c>
      <c r="I489" s="12">
        <v>4</v>
      </c>
      <c r="J489" s="12" t="s">
        <v>66</v>
      </c>
      <c r="K489" s="12" t="s">
        <v>67</v>
      </c>
      <c r="L489" s="12" t="s">
        <v>67</v>
      </c>
      <c r="M489" s="12" t="s">
        <v>67</v>
      </c>
    </row>
    <row r="490" ht="16.5" spans="1:13">
      <c r="A490" s="12" t="s">
        <v>35</v>
      </c>
      <c r="B490" s="12" t="s">
        <v>39</v>
      </c>
      <c r="C490" s="75">
        <v>46080</v>
      </c>
      <c r="D490" s="74" t="s">
        <v>584</v>
      </c>
      <c r="E490" s="12" t="s">
        <v>125</v>
      </c>
      <c r="F490" s="74" t="s">
        <v>585</v>
      </c>
      <c r="G490" s="74" t="s">
        <v>92</v>
      </c>
      <c r="H490" s="118">
        <v>5</v>
      </c>
      <c r="I490" s="12">
        <v>2</v>
      </c>
      <c r="J490" s="12" t="s">
        <v>66</v>
      </c>
      <c r="K490" s="12" t="s">
        <v>67</v>
      </c>
      <c r="L490" s="12" t="s">
        <v>67</v>
      </c>
      <c r="M490" s="12" t="s">
        <v>67</v>
      </c>
    </row>
    <row r="491" ht="16.5" spans="1:13">
      <c r="A491" s="12" t="s">
        <v>29</v>
      </c>
      <c r="B491" s="12" t="s">
        <v>39</v>
      </c>
      <c r="C491" s="75">
        <v>46080</v>
      </c>
      <c r="D491" s="74" t="s">
        <v>390</v>
      </c>
      <c r="E491" s="12" t="s">
        <v>130</v>
      </c>
      <c r="F491" s="74" t="s">
        <v>403</v>
      </c>
      <c r="G491" s="74" t="s">
        <v>198</v>
      </c>
      <c r="H491" s="118">
        <v>5</v>
      </c>
      <c r="I491" s="12">
        <v>5</v>
      </c>
      <c r="J491" s="12" t="s">
        <v>66</v>
      </c>
      <c r="K491" s="12" t="s">
        <v>67</v>
      </c>
      <c r="L491" s="12" t="s">
        <v>67</v>
      </c>
      <c r="M491" s="12" t="s">
        <v>67</v>
      </c>
    </row>
    <row r="492" ht="16.5" spans="1:13">
      <c r="A492" s="12" t="s">
        <v>38</v>
      </c>
      <c r="B492" s="12" t="s">
        <v>39</v>
      </c>
      <c r="C492" s="75">
        <v>46080</v>
      </c>
      <c r="D492" s="74" t="s">
        <v>200</v>
      </c>
      <c r="E492" s="12" t="s">
        <v>75</v>
      </c>
      <c r="F492" s="74" t="s">
        <v>201</v>
      </c>
      <c r="G492" s="74" t="s">
        <v>218</v>
      </c>
      <c r="H492" s="118">
        <v>5</v>
      </c>
      <c r="I492" s="12">
        <v>4</v>
      </c>
      <c r="J492" s="12" t="s">
        <v>66</v>
      </c>
      <c r="K492" s="12" t="s">
        <v>67</v>
      </c>
      <c r="L492" s="12" t="s">
        <v>67</v>
      </c>
      <c r="M492" s="12" t="s">
        <v>67</v>
      </c>
    </row>
    <row r="493" ht="16.5" spans="1:13">
      <c r="A493" s="12" t="s">
        <v>38</v>
      </c>
      <c r="B493" s="12" t="s">
        <v>39</v>
      </c>
      <c r="C493" s="75">
        <v>46080</v>
      </c>
      <c r="D493" s="74" t="s">
        <v>413</v>
      </c>
      <c r="E493" s="12" t="s">
        <v>70</v>
      </c>
      <c r="F493" s="74" t="s">
        <v>414</v>
      </c>
      <c r="G493" s="74" t="s">
        <v>744</v>
      </c>
      <c r="H493" s="118">
        <v>5</v>
      </c>
      <c r="I493" s="12">
        <v>5</v>
      </c>
      <c r="J493" s="12" t="s">
        <v>66</v>
      </c>
      <c r="K493" s="12" t="s">
        <v>67</v>
      </c>
      <c r="L493" s="12" t="s">
        <v>67</v>
      </c>
      <c r="M493" s="12" t="s">
        <v>67</v>
      </c>
    </row>
    <row r="494" ht="16.5" spans="1:13">
      <c r="A494" s="12" t="s">
        <v>38</v>
      </c>
      <c r="B494" s="12" t="s">
        <v>39</v>
      </c>
      <c r="C494" s="75">
        <v>46080</v>
      </c>
      <c r="D494" s="74" t="s">
        <v>413</v>
      </c>
      <c r="E494" s="12" t="s">
        <v>70</v>
      </c>
      <c r="F494" s="74" t="s">
        <v>414</v>
      </c>
      <c r="G494" s="74" t="s">
        <v>692</v>
      </c>
      <c r="H494" s="118">
        <v>5</v>
      </c>
      <c r="I494" s="12">
        <v>5</v>
      </c>
      <c r="J494" s="12" t="s">
        <v>66</v>
      </c>
      <c r="K494" s="12" t="s">
        <v>67</v>
      </c>
      <c r="L494" s="12" t="s">
        <v>67</v>
      </c>
      <c r="M494" s="12" t="s">
        <v>67</v>
      </c>
    </row>
    <row r="495" ht="16.5" spans="1:13">
      <c r="A495" s="12" t="s">
        <v>38</v>
      </c>
      <c r="B495" s="12" t="s">
        <v>39</v>
      </c>
      <c r="C495" s="75">
        <v>46080</v>
      </c>
      <c r="D495" s="74" t="s">
        <v>400</v>
      </c>
      <c r="E495" s="12" t="s">
        <v>75</v>
      </c>
      <c r="F495" s="74" t="s">
        <v>401</v>
      </c>
      <c r="G495" s="74" t="s">
        <v>745</v>
      </c>
      <c r="H495" s="118">
        <v>5</v>
      </c>
      <c r="I495" s="12">
        <v>3</v>
      </c>
      <c r="J495" s="12" t="s">
        <v>66</v>
      </c>
      <c r="K495" s="12" t="s">
        <v>67</v>
      </c>
      <c r="L495" s="12" t="s">
        <v>67</v>
      </c>
      <c r="M495" s="12" t="s">
        <v>67</v>
      </c>
    </row>
    <row r="496" ht="16.5" spans="1:13">
      <c r="A496" s="12" t="s">
        <v>38</v>
      </c>
      <c r="B496" s="12" t="s">
        <v>39</v>
      </c>
      <c r="C496" s="75">
        <v>46080</v>
      </c>
      <c r="D496" s="74" t="s">
        <v>614</v>
      </c>
      <c r="E496" s="12" t="s">
        <v>220</v>
      </c>
      <c r="F496" s="74" t="s">
        <v>615</v>
      </c>
      <c r="G496" s="74" t="s">
        <v>746</v>
      </c>
      <c r="H496" s="118">
        <v>5</v>
      </c>
      <c r="I496" s="12">
        <v>6</v>
      </c>
      <c r="J496" s="12" t="s">
        <v>66</v>
      </c>
      <c r="K496" s="12" t="s">
        <v>67</v>
      </c>
      <c r="L496" s="12" t="s">
        <v>67</v>
      </c>
      <c r="M496" s="12" t="s">
        <v>67</v>
      </c>
    </row>
    <row r="497" ht="16.5" spans="1:13">
      <c r="A497" s="12" t="s">
        <v>38</v>
      </c>
      <c r="B497" s="12" t="s">
        <v>39</v>
      </c>
      <c r="C497" s="75">
        <v>46080</v>
      </c>
      <c r="D497" s="74" t="s">
        <v>448</v>
      </c>
      <c r="E497" s="12" t="s">
        <v>125</v>
      </c>
      <c r="F497" s="74" t="s">
        <v>747</v>
      </c>
      <c r="G497" s="74" t="s">
        <v>300</v>
      </c>
      <c r="H497" s="118">
        <v>5</v>
      </c>
      <c r="I497" s="12">
        <v>4</v>
      </c>
      <c r="J497" s="12" t="s">
        <v>66</v>
      </c>
      <c r="K497" s="12" t="s">
        <v>67</v>
      </c>
      <c r="L497" s="12" t="s">
        <v>67</v>
      </c>
      <c r="M497" s="12" t="s">
        <v>67</v>
      </c>
    </row>
    <row r="498" ht="16.5" spans="1:13">
      <c r="A498" s="12" t="s">
        <v>29</v>
      </c>
      <c r="B498" s="12" t="s">
        <v>39</v>
      </c>
      <c r="C498" s="75">
        <v>46080</v>
      </c>
      <c r="D498" s="74" t="s">
        <v>390</v>
      </c>
      <c r="E498" s="12" t="s">
        <v>130</v>
      </c>
      <c r="F498" s="74" t="s">
        <v>403</v>
      </c>
      <c r="G498" s="74" t="s">
        <v>748</v>
      </c>
      <c r="H498" s="118">
        <v>5</v>
      </c>
      <c r="I498" s="12">
        <v>5</v>
      </c>
      <c r="J498" s="12" t="s">
        <v>66</v>
      </c>
      <c r="K498" s="12" t="s">
        <v>67</v>
      </c>
      <c r="L498" s="12" t="s">
        <v>67</v>
      </c>
      <c r="M498" s="12" t="s">
        <v>67</v>
      </c>
    </row>
    <row r="499" ht="16.5" spans="1:13">
      <c r="A499" s="12" t="s">
        <v>38</v>
      </c>
      <c r="B499" s="12" t="s">
        <v>39</v>
      </c>
      <c r="C499" s="75">
        <v>46080</v>
      </c>
      <c r="D499" s="74" t="s">
        <v>167</v>
      </c>
      <c r="E499" s="12" t="s">
        <v>168</v>
      </c>
      <c r="F499" s="74" t="s">
        <v>691</v>
      </c>
      <c r="G499" s="74" t="s">
        <v>159</v>
      </c>
      <c r="H499" s="118">
        <v>5</v>
      </c>
      <c r="I499" s="12">
        <v>2</v>
      </c>
      <c r="J499" s="12" t="s">
        <v>66</v>
      </c>
      <c r="K499" s="12" t="s">
        <v>67</v>
      </c>
      <c r="L499" s="12" t="s">
        <v>67</v>
      </c>
      <c r="M499" s="12" t="s">
        <v>67</v>
      </c>
    </row>
    <row r="500" ht="16.5" spans="1:13">
      <c r="A500" s="12" t="s">
        <v>38</v>
      </c>
      <c r="B500" s="12" t="s">
        <v>39</v>
      </c>
      <c r="C500" s="75">
        <v>46080</v>
      </c>
      <c r="D500" s="74" t="s">
        <v>614</v>
      </c>
      <c r="E500" s="12" t="s">
        <v>220</v>
      </c>
      <c r="F500" s="74" t="s">
        <v>615</v>
      </c>
      <c r="G500" s="74" t="s">
        <v>749</v>
      </c>
      <c r="H500" s="118">
        <v>5</v>
      </c>
      <c r="I500" s="12">
        <v>6</v>
      </c>
      <c r="J500" s="12" t="s">
        <v>66</v>
      </c>
      <c r="K500" s="12" t="s">
        <v>67</v>
      </c>
      <c r="L500" s="12" t="s">
        <v>67</v>
      </c>
      <c r="M500" s="12" t="s">
        <v>67</v>
      </c>
    </row>
    <row r="501" ht="16.5" spans="1:13">
      <c r="A501" s="12" t="s">
        <v>29</v>
      </c>
      <c r="B501" s="12" t="s">
        <v>39</v>
      </c>
      <c r="C501" s="75">
        <v>46080</v>
      </c>
      <c r="D501" s="74" t="s">
        <v>469</v>
      </c>
      <c r="E501" s="12" t="s">
        <v>130</v>
      </c>
      <c r="F501" s="74" t="s">
        <v>750</v>
      </c>
      <c r="G501" s="74" t="s">
        <v>751</v>
      </c>
      <c r="H501" s="118">
        <v>5</v>
      </c>
      <c r="I501" s="12">
        <v>5</v>
      </c>
      <c r="J501" s="12" t="s">
        <v>66</v>
      </c>
      <c r="K501" s="12" t="s">
        <v>67</v>
      </c>
      <c r="L501" s="12" t="s">
        <v>67</v>
      </c>
      <c r="M501" s="12" t="s">
        <v>67</v>
      </c>
    </row>
    <row r="502" ht="16.5" spans="1:13">
      <c r="A502" s="12" t="s">
        <v>38</v>
      </c>
      <c r="B502" s="12" t="s">
        <v>39</v>
      </c>
      <c r="C502" s="75">
        <v>46080</v>
      </c>
      <c r="D502" s="74" t="s">
        <v>82</v>
      </c>
      <c r="E502" s="12" t="s">
        <v>70</v>
      </c>
      <c r="F502" s="74" t="s">
        <v>673</v>
      </c>
      <c r="G502" s="74" t="s">
        <v>752</v>
      </c>
      <c r="H502" s="118">
        <v>5</v>
      </c>
      <c r="I502" s="12">
        <v>5</v>
      </c>
      <c r="J502" s="12" t="s">
        <v>66</v>
      </c>
      <c r="K502" s="12" t="s">
        <v>67</v>
      </c>
      <c r="L502" s="12" t="s">
        <v>67</v>
      </c>
      <c r="M502" s="12" t="s">
        <v>67</v>
      </c>
    </row>
    <row r="503" ht="16.5" spans="1:13">
      <c r="A503" s="12" t="s">
        <v>38</v>
      </c>
      <c r="B503" s="12" t="s">
        <v>39</v>
      </c>
      <c r="C503" s="75">
        <v>46080</v>
      </c>
      <c r="D503" s="74" t="s">
        <v>340</v>
      </c>
      <c r="E503" s="12" t="s">
        <v>148</v>
      </c>
      <c r="F503" s="74" t="s">
        <v>341</v>
      </c>
      <c r="G503" s="74" t="s">
        <v>77</v>
      </c>
      <c r="H503" s="118">
        <v>5</v>
      </c>
      <c r="I503" s="12">
        <v>5</v>
      </c>
      <c r="J503" s="12" t="s">
        <v>66</v>
      </c>
      <c r="K503" s="12" t="s">
        <v>67</v>
      </c>
      <c r="L503" s="12" t="s">
        <v>67</v>
      </c>
      <c r="M503" s="12" t="s">
        <v>67</v>
      </c>
    </row>
    <row r="504" ht="16.5" spans="1:13">
      <c r="A504" s="12" t="s">
        <v>38</v>
      </c>
      <c r="B504" s="12" t="s">
        <v>39</v>
      </c>
      <c r="C504" s="75">
        <v>46080</v>
      </c>
      <c r="D504" s="74" t="s">
        <v>340</v>
      </c>
      <c r="E504" s="12" t="s">
        <v>148</v>
      </c>
      <c r="F504" s="74" t="s">
        <v>341</v>
      </c>
      <c r="G504" s="74" t="s">
        <v>753</v>
      </c>
      <c r="H504" s="118">
        <v>5</v>
      </c>
      <c r="I504" s="12">
        <v>5</v>
      </c>
      <c r="J504" s="12" t="s">
        <v>66</v>
      </c>
      <c r="K504" s="12" t="s">
        <v>67</v>
      </c>
      <c r="L504" s="12" t="s">
        <v>67</v>
      </c>
      <c r="M504" s="12" t="s">
        <v>67</v>
      </c>
    </row>
    <row r="505" ht="16.5" spans="1:13">
      <c r="A505" s="12" t="s">
        <v>38</v>
      </c>
      <c r="B505" s="12" t="s">
        <v>39</v>
      </c>
      <c r="C505" s="75">
        <v>46080</v>
      </c>
      <c r="D505" s="74" t="s">
        <v>340</v>
      </c>
      <c r="E505" s="12" t="s">
        <v>148</v>
      </c>
      <c r="F505" s="74" t="s">
        <v>341</v>
      </c>
      <c r="G505" s="74" t="s">
        <v>754</v>
      </c>
      <c r="H505" s="118">
        <v>5</v>
      </c>
      <c r="I505" s="12">
        <v>5</v>
      </c>
      <c r="J505" s="12" t="s">
        <v>211</v>
      </c>
      <c r="K505" s="12" t="s">
        <v>67</v>
      </c>
      <c r="L505" s="12" t="s">
        <v>212</v>
      </c>
      <c r="M505" s="12" t="s">
        <v>212</v>
      </c>
    </row>
    <row r="506" ht="16.5" spans="1:13">
      <c r="A506" s="12" t="s">
        <v>31</v>
      </c>
      <c r="B506" s="12" t="s">
        <v>39</v>
      </c>
      <c r="C506" s="75">
        <v>46080</v>
      </c>
      <c r="D506" s="74" t="s">
        <v>89</v>
      </c>
      <c r="E506" s="12" t="s">
        <v>90</v>
      </c>
      <c r="F506" s="74" t="s">
        <v>91</v>
      </c>
      <c r="G506" s="74" t="s">
        <v>265</v>
      </c>
      <c r="H506" s="118">
        <v>5</v>
      </c>
      <c r="I506" s="12">
        <v>3</v>
      </c>
      <c r="J506" s="12" t="s">
        <v>66</v>
      </c>
      <c r="K506" s="12" t="s">
        <v>67</v>
      </c>
      <c r="L506" s="12" t="s">
        <v>67</v>
      </c>
      <c r="M506" s="12" t="s">
        <v>67</v>
      </c>
    </row>
    <row r="507" ht="16.5" spans="1:13">
      <c r="A507" s="12" t="s">
        <v>38</v>
      </c>
      <c r="B507" s="12" t="s">
        <v>39</v>
      </c>
      <c r="C507" s="75">
        <v>46080</v>
      </c>
      <c r="D507" s="74" t="s">
        <v>242</v>
      </c>
      <c r="E507" s="12" t="s">
        <v>70</v>
      </c>
      <c r="F507" s="74" t="s">
        <v>755</v>
      </c>
      <c r="G507" s="74" t="s">
        <v>756</v>
      </c>
      <c r="H507" s="118">
        <v>4.4</v>
      </c>
      <c r="I507" s="12">
        <v>5</v>
      </c>
      <c r="J507" s="12" t="s">
        <v>66</v>
      </c>
      <c r="K507" s="12" t="s">
        <v>67</v>
      </c>
      <c r="L507" s="12" t="s">
        <v>67</v>
      </c>
      <c r="M507" s="12" t="s">
        <v>67</v>
      </c>
    </row>
    <row r="508" ht="16.5" spans="1:13">
      <c r="A508" s="12" t="s">
        <v>38</v>
      </c>
      <c r="B508" s="12" t="s">
        <v>39</v>
      </c>
      <c r="C508" s="75">
        <v>46080</v>
      </c>
      <c r="D508" s="74" t="s">
        <v>233</v>
      </c>
      <c r="E508" s="12" t="s">
        <v>148</v>
      </c>
      <c r="F508" s="74" t="s">
        <v>234</v>
      </c>
      <c r="G508" s="74" t="s">
        <v>757</v>
      </c>
      <c r="H508" s="118">
        <v>5</v>
      </c>
      <c r="I508" s="12">
        <v>4</v>
      </c>
      <c r="J508" s="12" t="s">
        <v>66</v>
      </c>
      <c r="K508" s="12" t="s">
        <v>67</v>
      </c>
      <c r="L508" s="12" t="s">
        <v>67</v>
      </c>
      <c r="M508" s="12" t="s">
        <v>67</v>
      </c>
    </row>
    <row r="509" ht="16.5" spans="1:13">
      <c r="A509" s="12" t="s">
        <v>38</v>
      </c>
      <c r="B509" s="12" t="s">
        <v>39</v>
      </c>
      <c r="C509" s="75">
        <v>46080</v>
      </c>
      <c r="D509" s="74" t="s">
        <v>147</v>
      </c>
      <c r="E509" s="12" t="s">
        <v>148</v>
      </c>
      <c r="F509" s="74" t="s">
        <v>758</v>
      </c>
      <c r="G509" s="74" t="s">
        <v>92</v>
      </c>
      <c r="H509" s="118">
        <v>5</v>
      </c>
      <c r="I509" s="12">
        <v>3</v>
      </c>
      <c r="J509" s="12" t="s">
        <v>66</v>
      </c>
      <c r="K509" s="12" t="s">
        <v>67</v>
      </c>
      <c r="L509" s="12" t="s">
        <v>67</v>
      </c>
      <c r="M509" s="12" t="s">
        <v>67</v>
      </c>
    </row>
    <row r="510" ht="16.5" spans="1:13">
      <c r="A510" s="12" t="s">
        <v>31</v>
      </c>
      <c r="B510" s="12" t="s">
        <v>39</v>
      </c>
      <c r="C510" s="75">
        <v>46080</v>
      </c>
      <c r="D510" s="74" t="s">
        <v>245</v>
      </c>
      <c r="E510" s="12" t="s">
        <v>79</v>
      </c>
      <c r="F510" s="74" t="s">
        <v>231</v>
      </c>
      <c r="G510" s="74" t="s">
        <v>241</v>
      </c>
      <c r="H510" s="118">
        <v>5</v>
      </c>
      <c r="I510" s="12">
        <v>3</v>
      </c>
      <c r="J510" s="12" t="s">
        <v>66</v>
      </c>
      <c r="K510" s="12" t="s">
        <v>67</v>
      </c>
      <c r="L510" s="12" t="s">
        <v>67</v>
      </c>
      <c r="M510" s="12" t="s">
        <v>67</v>
      </c>
    </row>
    <row r="511" ht="16.5" spans="1:13">
      <c r="A511" s="12" t="s">
        <v>26</v>
      </c>
      <c r="B511" s="12" t="s">
        <v>39</v>
      </c>
      <c r="C511" s="75">
        <v>46080</v>
      </c>
      <c r="D511" s="74" t="s">
        <v>617</v>
      </c>
      <c r="E511" s="12" t="s">
        <v>121</v>
      </c>
      <c r="F511" s="74" t="s">
        <v>731</v>
      </c>
      <c r="G511" s="74" t="s">
        <v>759</v>
      </c>
      <c r="H511" s="118">
        <v>5</v>
      </c>
      <c r="I511" s="12">
        <v>4</v>
      </c>
      <c r="J511" s="12" t="s">
        <v>66</v>
      </c>
      <c r="K511" s="12" t="s">
        <v>67</v>
      </c>
      <c r="L511" s="12" t="s">
        <v>67</v>
      </c>
      <c r="M511" s="12" t="s">
        <v>67</v>
      </c>
    </row>
    <row r="512" ht="16.5" spans="1:13">
      <c r="A512" s="12" t="s">
        <v>38</v>
      </c>
      <c r="B512" s="12" t="s">
        <v>39</v>
      </c>
      <c r="C512" s="75">
        <v>46058</v>
      </c>
      <c r="D512" s="74" t="s">
        <v>430</v>
      </c>
      <c r="E512" s="12" t="s">
        <v>168</v>
      </c>
      <c r="F512" s="74" t="s">
        <v>431</v>
      </c>
      <c r="G512" s="74" t="s">
        <v>760</v>
      </c>
      <c r="H512" s="118">
        <v>5</v>
      </c>
      <c r="I512" s="12">
        <v>6</v>
      </c>
      <c r="J512" s="12" t="s">
        <v>66</v>
      </c>
      <c r="K512" s="12" t="s">
        <v>67</v>
      </c>
      <c r="L512" s="12" t="s">
        <v>67</v>
      </c>
      <c r="M512" s="12" t="s">
        <v>67</v>
      </c>
    </row>
    <row r="513" ht="16.5" spans="1:13">
      <c r="A513" s="12" t="s">
        <v>31</v>
      </c>
      <c r="B513" s="12" t="s">
        <v>39</v>
      </c>
      <c r="C513" s="75">
        <v>46080</v>
      </c>
      <c r="D513" s="74" t="s">
        <v>245</v>
      </c>
      <c r="E513" s="12" t="s">
        <v>79</v>
      </c>
      <c r="F513" s="74" t="s">
        <v>231</v>
      </c>
      <c r="G513" s="74" t="s">
        <v>92</v>
      </c>
      <c r="H513" s="118">
        <v>5</v>
      </c>
      <c r="I513" s="12">
        <v>3</v>
      </c>
      <c r="J513" s="12" t="s">
        <v>66</v>
      </c>
      <c r="K513" s="12" t="s">
        <v>67</v>
      </c>
      <c r="L513" s="12" t="s">
        <v>67</v>
      </c>
      <c r="M513" s="12" t="s">
        <v>67</v>
      </c>
    </row>
    <row r="514" ht="16.5" spans="1:13">
      <c r="A514" s="12" t="s">
        <v>38</v>
      </c>
      <c r="B514" s="12" t="s">
        <v>39</v>
      </c>
      <c r="C514" s="75">
        <v>46058</v>
      </c>
      <c r="D514" s="74" t="s">
        <v>430</v>
      </c>
      <c r="E514" s="12" t="s">
        <v>168</v>
      </c>
      <c r="F514" s="74" t="s">
        <v>431</v>
      </c>
      <c r="G514" s="74" t="s">
        <v>761</v>
      </c>
      <c r="H514" s="118">
        <v>5</v>
      </c>
      <c r="I514" s="12">
        <v>6</v>
      </c>
      <c r="J514" s="12" t="s">
        <v>66</v>
      </c>
      <c r="K514" s="12" t="s">
        <v>67</v>
      </c>
      <c r="L514" s="12" t="s">
        <v>67</v>
      </c>
      <c r="M514" s="12" t="s">
        <v>67</v>
      </c>
    </row>
    <row r="515" ht="16.5" spans="1:13">
      <c r="A515" s="12" t="s">
        <v>38</v>
      </c>
      <c r="B515" s="12" t="s">
        <v>39</v>
      </c>
      <c r="C515" s="75">
        <v>46080</v>
      </c>
      <c r="D515" s="74" t="s">
        <v>298</v>
      </c>
      <c r="E515" s="12" t="s">
        <v>168</v>
      </c>
      <c r="F515" s="74" t="s">
        <v>299</v>
      </c>
      <c r="G515" s="74" t="s">
        <v>301</v>
      </c>
      <c r="H515" s="118">
        <v>5</v>
      </c>
      <c r="I515" s="12">
        <v>4</v>
      </c>
      <c r="J515" s="12" t="s">
        <v>66</v>
      </c>
      <c r="K515" s="12" t="s">
        <v>67</v>
      </c>
      <c r="L515" s="12" t="s">
        <v>67</v>
      </c>
      <c r="M515" s="12" t="s">
        <v>67</v>
      </c>
    </row>
    <row r="516" ht="16.5" spans="1:13">
      <c r="A516" s="12" t="s">
        <v>38</v>
      </c>
      <c r="B516" s="12" t="s">
        <v>39</v>
      </c>
      <c r="C516" s="75">
        <v>46080</v>
      </c>
      <c r="D516" s="74" t="s">
        <v>298</v>
      </c>
      <c r="E516" s="12" t="s">
        <v>168</v>
      </c>
      <c r="F516" s="74" t="s">
        <v>299</v>
      </c>
      <c r="G516" s="74" t="s">
        <v>214</v>
      </c>
      <c r="H516" s="118">
        <v>5</v>
      </c>
      <c r="I516" s="12">
        <v>4</v>
      </c>
      <c r="J516" s="12" t="s">
        <v>66</v>
      </c>
      <c r="K516" s="12" t="s">
        <v>67</v>
      </c>
      <c r="L516" s="12" t="s">
        <v>67</v>
      </c>
      <c r="M516" s="12" t="s">
        <v>67</v>
      </c>
    </row>
    <row r="517" ht="16.5" spans="1:13">
      <c r="A517" s="12" t="s">
        <v>38</v>
      </c>
      <c r="B517" s="12" t="s">
        <v>39</v>
      </c>
      <c r="C517" s="75">
        <v>46080</v>
      </c>
      <c r="D517" s="74" t="s">
        <v>540</v>
      </c>
      <c r="E517" s="12" t="s">
        <v>220</v>
      </c>
      <c r="F517" s="74" t="s">
        <v>344</v>
      </c>
      <c r="G517" s="74" t="s">
        <v>214</v>
      </c>
      <c r="H517" s="118">
        <v>5</v>
      </c>
      <c r="I517" s="12">
        <v>3</v>
      </c>
      <c r="J517" s="12" t="s">
        <v>66</v>
      </c>
      <c r="K517" s="12" t="s">
        <v>67</v>
      </c>
      <c r="L517" s="12" t="s">
        <v>67</v>
      </c>
      <c r="M517" s="12" t="s">
        <v>67</v>
      </c>
    </row>
    <row r="518" ht="16.5" spans="1:13">
      <c r="A518" s="12" t="s">
        <v>31</v>
      </c>
      <c r="B518" s="12" t="s">
        <v>39</v>
      </c>
      <c r="C518" s="75">
        <v>46080</v>
      </c>
      <c r="D518" s="74" t="s">
        <v>89</v>
      </c>
      <c r="E518" s="12" t="s">
        <v>90</v>
      </c>
      <c r="F518" s="74" t="s">
        <v>91</v>
      </c>
      <c r="G518" s="74" t="s">
        <v>762</v>
      </c>
      <c r="H518" s="118">
        <v>5</v>
      </c>
      <c r="I518" s="12">
        <v>3</v>
      </c>
      <c r="J518" s="12" t="s">
        <v>66</v>
      </c>
      <c r="K518" s="12" t="s">
        <v>67</v>
      </c>
      <c r="L518" s="12" t="s">
        <v>67</v>
      </c>
      <c r="M518" s="12" t="s">
        <v>67</v>
      </c>
    </row>
    <row r="519" ht="16.5" spans="1:13">
      <c r="A519" s="12" t="s">
        <v>38</v>
      </c>
      <c r="B519" s="12" t="s">
        <v>39</v>
      </c>
      <c r="C519" s="75">
        <v>46080</v>
      </c>
      <c r="D519" s="74" t="s">
        <v>216</v>
      </c>
      <c r="E519" s="12" t="s">
        <v>144</v>
      </c>
      <c r="F519" s="74" t="s">
        <v>217</v>
      </c>
      <c r="G519" s="74" t="s">
        <v>77</v>
      </c>
      <c r="H519" s="118">
        <v>5</v>
      </c>
      <c r="I519" s="12">
        <v>5</v>
      </c>
      <c r="J519" s="12" t="s">
        <v>66</v>
      </c>
      <c r="K519" s="12" t="s">
        <v>67</v>
      </c>
      <c r="L519" s="12" t="s">
        <v>67</v>
      </c>
      <c r="M519" s="12" t="s">
        <v>67</v>
      </c>
    </row>
    <row r="520" ht="16.5" spans="1:13">
      <c r="A520" s="12" t="s">
        <v>38</v>
      </c>
      <c r="B520" s="12" t="s">
        <v>39</v>
      </c>
      <c r="C520" s="75">
        <v>46079</v>
      </c>
      <c r="D520" s="74" t="s">
        <v>216</v>
      </c>
      <c r="E520" s="12" t="s">
        <v>144</v>
      </c>
      <c r="F520" s="74" t="s">
        <v>217</v>
      </c>
      <c r="G520" s="74" t="s">
        <v>763</v>
      </c>
      <c r="H520" s="118">
        <v>5</v>
      </c>
      <c r="I520" s="12">
        <v>2</v>
      </c>
      <c r="J520" s="12" t="s">
        <v>211</v>
      </c>
      <c r="K520" s="12" t="s">
        <v>212</v>
      </c>
      <c r="L520" s="12" t="s">
        <v>212</v>
      </c>
      <c r="M520" s="12" t="s">
        <v>212</v>
      </c>
    </row>
    <row r="521" ht="16.5" spans="1:13">
      <c r="A521" s="12" t="s">
        <v>37</v>
      </c>
      <c r="B521" s="12" t="s">
        <v>39</v>
      </c>
      <c r="C521" s="75">
        <v>46080</v>
      </c>
      <c r="D521" s="74" t="s">
        <v>451</v>
      </c>
      <c r="E521" s="12" t="s">
        <v>152</v>
      </c>
      <c r="F521" s="74" t="s">
        <v>452</v>
      </c>
      <c r="G521" s="74" t="s">
        <v>764</v>
      </c>
      <c r="H521" s="118">
        <v>5</v>
      </c>
      <c r="I521" s="12">
        <v>6</v>
      </c>
      <c r="J521" s="12" t="s">
        <v>66</v>
      </c>
      <c r="K521" s="12" t="s">
        <v>67</v>
      </c>
      <c r="L521" s="12" t="s">
        <v>67</v>
      </c>
      <c r="M521" s="12" t="s">
        <v>67</v>
      </c>
    </row>
    <row r="522" ht="16.5" spans="1:13">
      <c r="A522" s="12" t="s">
        <v>35</v>
      </c>
      <c r="B522" s="12" t="s">
        <v>39</v>
      </c>
      <c r="C522" s="75">
        <v>46080</v>
      </c>
      <c r="D522" s="74" t="s">
        <v>448</v>
      </c>
      <c r="E522" s="12" t="s">
        <v>125</v>
      </c>
      <c r="F522" s="74" t="s">
        <v>765</v>
      </c>
      <c r="G522" s="74" t="s">
        <v>84</v>
      </c>
      <c r="H522" s="118">
        <v>5</v>
      </c>
      <c r="I522" s="12">
        <v>4</v>
      </c>
      <c r="J522" s="12" t="s">
        <v>66</v>
      </c>
      <c r="K522" s="12" t="s">
        <v>67</v>
      </c>
      <c r="L522" s="12" t="s">
        <v>67</v>
      </c>
      <c r="M522" s="12" t="s">
        <v>67</v>
      </c>
    </row>
    <row r="523" ht="16.5" spans="1:13">
      <c r="A523" s="12" t="s">
        <v>35</v>
      </c>
      <c r="B523" s="12" t="s">
        <v>39</v>
      </c>
      <c r="C523" s="75">
        <v>46080</v>
      </c>
      <c r="D523" s="74" t="s">
        <v>417</v>
      </c>
      <c r="E523" s="12" t="s">
        <v>125</v>
      </c>
      <c r="F523" s="74" t="s">
        <v>234</v>
      </c>
      <c r="G523" s="74" t="s">
        <v>766</v>
      </c>
      <c r="H523" s="118">
        <v>5</v>
      </c>
      <c r="I523" s="12">
        <v>4</v>
      </c>
      <c r="J523" s="12" t="s">
        <v>66</v>
      </c>
      <c r="K523" s="12" t="s">
        <v>67</v>
      </c>
      <c r="L523" s="12" t="s">
        <v>67</v>
      </c>
      <c r="M523" s="12" t="s">
        <v>67</v>
      </c>
    </row>
    <row r="524" ht="16.5" spans="1:13">
      <c r="A524" s="12" t="s">
        <v>38</v>
      </c>
      <c r="B524" s="12" t="s">
        <v>39</v>
      </c>
      <c r="C524" s="75">
        <v>46080</v>
      </c>
      <c r="D524" s="74" t="s">
        <v>258</v>
      </c>
      <c r="E524" s="12" t="s">
        <v>148</v>
      </c>
      <c r="F524" s="74" t="s">
        <v>767</v>
      </c>
      <c r="G524" s="74" t="s">
        <v>339</v>
      </c>
      <c r="H524" s="118">
        <v>5</v>
      </c>
      <c r="I524" s="12">
        <v>5</v>
      </c>
      <c r="J524" s="12" t="s">
        <v>66</v>
      </c>
      <c r="K524" s="12" t="s">
        <v>67</v>
      </c>
      <c r="L524" s="12" t="s">
        <v>67</v>
      </c>
      <c r="M524" s="12" t="s">
        <v>67</v>
      </c>
    </row>
    <row r="525" ht="16.5" spans="1:13">
      <c r="A525" s="12" t="s">
        <v>32</v>
      </c>
      <c r="B525" s="12" t="s">
        <v>39</v>
      </c>
      <c r="C525" s="75">
        <v>46080</v>
      </c>
      <c r="D525" s="74" t="s">
        <v>115</v>
      </c>
      <c r="E525" s="12" t="s">
        <v>105</v>
      </c>
      <c r="F525" s="74" t="s">
        <v>116</v>
      </c>
      <c r="G525" s="74" t="s">
        <v>768</v>
      </c>
      <c r="H525" s="118">
        <v>5</v>
      </c>
      <c r="I525" s="12">
        <v>4</v>
      </c>
      <c r="J525" s="12" t="s">
        <v>66</v>
      </c>
      <c r="K525" s="12" t="s">
        <v>67</v>
      </c>
      <c r="L525" s="12" t="s">
        <v>67</v>
      </c>
      <c r="M525" s="12" t="s">
        <v>67</v>
      </c>
    </row>
    <row r="526" ht="16.5" spans="1:13">
      <c r="A526" s="12" t="s">
        <v>38</v>
      </c>
      <c r="B526" s="12" t="s">
        <v>39</v>
      </c>
      <c r="C526" s="75">
        <v>46080</v>
      </c>
      <c r="D526" s="74" t="s">
        <v>258</v>
      </c>
      <c r="E526" s="12" t="s">
        <v>148</v>
      </c>
      <c r="F526" s="74" t="s">
        <v>767</v>
      </c>
      <c r="G526" s="74" t="s">
        <v>308</v>
      </c>
      <c r="H526" s="118">
        <v>5</v>
      </c>
      <c r="I526" s="12">
        <v>5</v>
      </c>
      <c r="J526" s="12" t="s">
        <v>66</v>
      </c>
      <c r="K526" s="12" t="s">
        <v>67</v>
      </c>
      <c r="L526" s="12" t="s">
        <v>67</v>
      </c>
      <c r="M526" s="12" t="s">
        <v>67</v>
      </c>
    </row>
    <row r="527" ht="16.5" spans="1:13">
      <c r="A527" s="12" t="s">
        <v>26</v>
      </c>
      <c r="B527" s="12" t="s">
        <v>39</v>
      </c>
      <c r="C527" s="75">
        <v>46080</v>
      </c>
      <c r="D527" s="74" t="s">
        <v>333</v>
      </c>
      <c r="E527" s="12" t="s">
        <v>121</v>
      </c>
      <c r="F527" s="74" t="s">
        <v>161</v>
      </c>
      <c r="G527" s="74" t="s">
        <v>769</v>
      </c>
      <c r="H527" s="118">
        <v>4.9</v>
      </c>
      <c r="I527" s="12">
        <v>4</v>
      </c>
      <c r="J527" s="12" t="s">
        <v>66</v>
      </c>
      <c r="K527" s="12" t="s">
        <v>67</v>
      </c>
      <c r="L527" s="12" t="s">
        <v>67</v>
      </c>
      <c r="M527" s="12" t="s">
        <v>67</v>
      </c>
    </row>
    <row r="528" ht="16.5" spans="1:13">
      <c r="A528" s="12" t="s">
        <v>31</v>
      </c>
      <c r="B528" s="12" t="s">
        <v>39</v>
      </c>
      <c r="C528" s="75">
        <v>46080</v>
      </c>
      <c r="D528" s="74" t="s">
        <v>466</v>
      </c>
      <c r="E528" s="12" t="s">
        <v>90</v>
      </c>
      <c r="F528" s="74" t="s">
        <v>467</v>
      </c>
      <c r="G528" s="74" t="s">
        <v>770</v>
      </c>
      <c r="H528" s="118">
        <v>5</v>
      </c>
      <c r="I528" s="12">
        <v>2</v>
      </c>
      <c r="J528" s="12" t="s">
        <v>66</v>
      </c>
      <c r="K528" s="12" t="s">
        <v>67</v>
      </c>
      <c r="L528" s="12" t="s">
        <v>67</v>
      </c>
      <c r="M528" s="12" t="s">
        <v>67</v>
      </c>
    </row>
    <row r="529" ht="16.5" spans="1:13">
      <c r="A529" s="12" t="s">
        <v>31</v>
      </c>
      <c r="B529" s="12" t="s">
        <v>39</v>
      </c>
      <c r="C529" s="75">
        <v>46080</v>
      </c>
      <c r="D529" s="74" t="s">
        <v>343</v>
      </c>
      <c r="E529" s="12" t="s">
        <v>79</v>
      </c>
      <c r="F529" s="74" t="s">
        <v>771</v>
      </c>
      <c r="G529" s="74" t="s">
        <v>772</v>
      </c>
      <c r="H529" s="118">
        <v>5</v>
      </c>
      <c r="I529" s="12">
        <v>3</v>
      </c>
      <c r="J529" s="12" t="s">
        <v>66</v>
      </c>
      <c r="K529" s="12" t="s">
        <v>67</v>
      </c>
      <c r="L529" s="12" t="s">
        <v>67</v>
      </c>
      <c r="M529" s="12" t="s">
        <v>67</v>
      </c>
    </row>
    <row r="530" ht="16.5" spans="1:13">
      <c r="A530" s="12" t="s">
        <v>31</v>
      </c>
      <c r="B530" s="12" t="s">
        <v>39</v>
      </c>
      <c r="C530" s="75">
        <v>46080</v>
      </c>
      <c r="D530" s="74" t="s">
        <v>466</v>
      </c>
      <c r="E530" s="12" t="s">
        <v>90</v>
      </c>
      <c r="F530" s="74" t="s">
        <v>467</v>
      </c>
      <c r="G530" s="74" t="s">
        <v>773</v>
      </c>
      <c r="H530" s="118">
        <v>5</v>
      </c>
      <c r="I530" s="12">
        <v>2</v>
      </c>
      <c r="J530" s="12" t="s">
        <v>66</v>
      </c>
      <c r="K530" s="12" t="s">
        <v>67</v>
      </c>
      <c r="L530" s="12" t="s">
        <v>67</v>
      </c>
      <c r="M530" s="12" t="s">
        <v>67</v>
      </c>
    </row>
    <row r="531" ht="16.5" spans="1:13">
      <c r="A531" s="12" t="s">
        <v>38</v>
      </c>
      <c r="B531" s="12" t="s">
        <v>39</v>
      </c>
      <c r="C531" s="75">
        <v>46080</v>
      </c>
      <c r="D531" s="74" t="s">
        <v>69</v>
      </c>
      <c r="E531" s="12" t="s">
        <v>70</v>
      </c>
      <c r="F531" s="74" t="s">
        <v>71</v>
      </c>
      <c r="G531" s="74" t="s">
        <v>722</v>
      </c>
      <c r="H531" s="118">
        <v>5</v>
      </c>
      <c r="I531" s="12">
        <v>5</v>
      </c>
      <c r="J531" s="12" t="s">
        <v>66</v>
      </c>
      <c r="K531" s="12" t="s">
        <v>67</v>
      </c>
      <c r="L531" s="12" t="s">
        <v>67</v>
      </c>
      <c r="M531" s="12" t="s">
        <v>67</v>
      </c>
    </row>
    <row r="532" ht="16.5" spans="1:13">
      <c r="A532" s="12" t="s">
        <v>38</v>
      </c>
      <c r="B532" s="12" t="s">
        <v>39</v>
      </c>
      <c r="C532" s="75">
        <v>46080</v>
      </c>
      <c r="D532" s="74" t="s">
        <v>494</v>
      </c>
      <c r="E532" s="12" t="s">
        <v>63</v>
      </c>
      <c r="F532" s="74" t="s">
        <v>454</v>
      </c>
      <c r="G532" s="74" t="s">
        <v>215</v>
      </c>
      <c r="H532" s="118">
        <v>4.75</v>
      </c>
      <c r="I532" s="12">
        <v>4</v>
      </c>
      <c r="J532" s="12" t="s">
        <v>66</v>
      </c>
      <c r="K532" s="12" t="s">
        <v>67</v>
      </c>
      <c r="L532" s="12" t="s">
        <v>67</v>
      </c>
      <c r="M532" s="12" t="s">
        <v>67</v>
      </c>
    </row>
    <row r="533" ht="16.5" spans="1:13">
      <c r="A533" s="12" t="s">
        <v>38</v>
      </c>
      <c r="B533" s="12" t="s">
        <v>39</v>
      </c>
      <c r="C533" s="75">
        <v>46080</v>
      </c>
      <c r="D533" s="74" t="s">
        <v>494</v>
      </c>
      <c r="E533" s="12" t="s">
        <v>63</v>
      </c>
      <c r="F533" s="74" t="s">
        <v>454</v>
      </c>
      <c r="G533" s="74" t="s">
        <v>214</v>
      </c>
      <c r="H533" s="118">
        <v>4.65</v>
      </c>
      <c r="I533" s="12">
        <v>4</v>
      </c>
      <c r="J533" s="12" t="s">
        <v>66</v>
      </c>
      <c r="K533" s="12" t="s">
        <v>67</v>
      </c>
      <c r="L533" s="12" t="s">
        <v>67</v>
      </c>
      <c r="M533" s="12" t="s">
        <v>67</v>
      </c>
    </row>
    <row r="534" ht="16.5" spans="1:13">
      <c r="A534" s="12" t="s">
        <v>37</v>
      </c>
      <c r="B534" s="12" t="s">
        <v>39</v>
      </c>
      <c r="C534" s="75">
        <v>46080</v>
      </c>
      <c r="D534" s="74" t="s">
        <v>451</v>
      </c>
      <c r="E534" s="12" t="s">
        <v>152</v>
      </c>
      <c r="F534" s="74" t="s">
        <v>452</v>
      </c>
      <c r="G534" s="74" t="s">
        <v>774</v>
      </c>
      <c r="H534" s="118">
        <v>5</v>
      </c>
      <c r="I534" s="12">
        <v>6</v>
      </c>
      <c r="J534" s="12" t="s">
        <v>66</v>
      </c>
      <c r="K534" s="12" t="s">
        <v>67</v>
      </c>
      <c r="L534" s="12" t="s">
        <v>67</v>
      </c>
      <c r="M534" s="12" t="s">
        <v>67</v>
      </c>
    </row>
    <row r="535" ht="16.5" spans="1:13">
      <c r="A535" s="12" t="s">
        <v>37</v>
      </c>
      <c r="B535" s="12" t="s">
        <v>39</v>
      </c>
      <c r="C535" s="75">
        <v>46080</v>
      </c>
      <c r="D535" s="74" t="s">
        <v>324</v>
      </c>
      <c r="E535" s="12" t="s">
        <v>152</v>
      </c>
      <c r="F535" s="74" t="s">
        <v>325</v>
      </c>
      <c r="G535" s="74" t="s">
        <v>775</v>
      </c>
      <c r="H535" s="118">
        <v>5</v>
      </c>
      <c r="I535" s="12">
        <v>4</v>
      </c>
      <c r="J535" s="12" t="s">
        <v>66</v>
      </c>
      <c r="K535" s="12" t="s">
        <v>67</v>
      </c>
      <c r="L535" s="12" t="s">
        <v>67</v>
      </c>
      <c r="M535" s="12" t="s">
        <v>67</v>
      </c>
    </row>
    <row r="536" ht="16.5" spans="1:13">
      <c r="A536" s="12" t="s">
        <v>37</v>
      </c>
      <c r="B536" s="12" t="s">
        <v>39</v>
      </c>
      <c r="C536" s="75">
        <v>46080</v>
      </c>
      <c r="D536" s="74" t="s">
        <v>324</v>
      </c>
      <c r="E536" s="12" t="s">
        <v>152</v>
      </c>
      <c r="F536" s="74" t="s">
        <v>325</v>
      </c>
      <c r="G536" s="74" t="s">
        <v>776</v>
      </c>
      <c r="H536" s="118">
        <v>5</v>
      </c>
      <c r="I536" s="12">
        <v>4</v>
      </c>
      <c r="J536" s="12" t="s">
        <v>66</v>
      </c>
      <c r="K536" s="12" t="s">
        <v>67</v>
      </c>
      <c r="L536" s="12" t="s">
        <v>67</v>
      </c>
      <c r="M536" s="12" t="s">
        <v>67</v>
      </c>
    </row>
    <row r="537" ht="16.5" spans="1:13">
      <c r="A537" s="12" t="s">
        <v>37</v>
      </c>
      <c r="B537" s="12" t="s">
        <v>39</v>
      </c>
      <c r="C537" s="75">
        <v>46080</v>
      </c>
      <c r="D537" s="74" t="s">
        <v>507</v>
      </c>
      <c r="E537" s="12" t="s">
        <v>152</v>
      </c>
      <c r="F537" s="74" t="s">
        <v>508</v>
      </c>
      <c r="G537" s="74" t="s">
        <v>777</v>
      </c>
      <c r="H537" s="118">
        <v>5</v>
      </c>
      <c r="I537" s="12">
        <v>3</v>
      </c>
      <c r="J537" s="12" t="s">
        <v>66</v>
      </c>
      <c r="K537" s="12" t="s">
        <v>67</v>
      </c>
      <c r="L537" s="12" t="s">
        <v>67</v>
      </c>
      <c r="M537" s="12" t="s">
        <v>67</v>
      </c>
    </row>
    <row r="538" ht="16.5" spans="1:13">
      <c r="A538" s="12" t="s">
        <v>32</v>
      </c>
      <c r="B538" s="12" t="s">
        <v>39</v>
      </c>
      <c r="C538" s="75">
        <v>46080</v>
      </c>
      <c r="D538" s="74" t="s">
        <v>192</v>
      </c>
      <c r="E538" s="12" t="s">
        <v>105</v>
      </c>
      <c r="F538" s="74" t="s">
        <v>193</v>
      </c>
      <c r="G538" s="74" t="s">
        <v>194</v>
      </c>
      <c r="H538" s="118">
        <v>5</v>
      </c>
      <c r="I538" s="12">
        <v>3</v>
      </c>
      <c r="J538" s="12" t="s">
        <v>66</v>
      </c>
      <c r="K538" s="12" t="s">
        <v>67</v>
      </c>
      <c r="L538" s="12" t="s">
        <v>67</v>
      </c>
      <c r="M538" s="12" t="s">
        <v>67</v>
      </c>
    </row>
    <row r="539" ht="16.5" spans="1:13">
      <c r="A539" s="12" t="s">
        <v>26</v>
      </c>
      <c r="B539" s="12" t="s">
        <v>39</v>
      </c>
      <c r="C539" s="75">
        <v>46080</v>
      </c>
      <c r="D539" s="74" t="s">
        <v>385</v>
      </c>
      <c r="E539" s="12" t="s">
        <v>121</v>
      </c>
      <c r="F539" s="74" t="s">
        <v>778</v>
      </c>
      <c r="G539" s="74" t="s">
        <v>779</v>
      </c>
      <c r="H539" s="118">
        <v>5</v>
      </c>
      <c r="I539" s="12">
        <v>3</v>
      </c>
      <c r="J539" s="12" t="s">
        <v>66</v>
      </c>
      <c r="K539" s="12" t="s">
        <v>67</v>
      </c>
      <c r="L539" s="12" t="s">
        <v>67</v>
      </c>
      <c r="M539" s="12" t="s">
        <v>67</v>
      </c>
    </row>
    <row r="540" ht="16.5" spans="1:13">
      <c r="A540" s="12" t="s">
        <v>37</v>
      </c>
      <c r="B540" s="12" t="s">
        <v>39</v>
      </c>
      <c r="C540" s="75">
        <v>46079</v>
      </c>
      <c r="D540" s="74" t="s">
        <v>108</v>
      </c>
      <c r="E540" s="12" t="s">
        <v>109</v>
      </c>
      <c r="F540" s="74" t="s">
        <v>110</v>
      </c>
      <c r="G540" s="74" t="s">
        <v>780</v>
      </c>
      <c r="H540" s="118">
        <v>5</v>
      </c>
      <c r="I540" s="12">
        <v>5</v>
      </c>
      <c r="J540" s="12" t="s">
        <v>66</v>
      </c>
      <c r="K540" s="12" t="s">
        <v>67</v>
      </c>
      <c r="L540" s="12" t="s">
        <v>67</v>
      </c>
      <c r="M540" s="12" t="s">
        <v>67</v>
      </c>
    </row>
    <row r="541" ht="16.5" spans="1:13">
      <c r="A541" s="12" t="s">
        <v>38</v>
      </c>
      <c r="B541" s="12" t="s">
        <v>39</v>
      </c>
      <c r="C541" s="75">
        <v>46079</v>
      </c>
      <c r="D541" s="74" t="s">
        <v>185</v>
      </c>
      <c r="E541" s="12" t="s">
        <v>144</v>
      </c>
      <c r="F541" s="74" t="s">
        <v>781</v>
      </c>
      <c r="G541" s="74" t="s">
        <v>92</v>
      </c>
      <c r="H541" s="118">
        <v>5</v>
      </c>
      <c r="I541" s="12">
        <v>6</v>
      </c>
      <c r="J541" s="12" t="s">
        <v>66</v>
      </c>
      <c r="K541" s="12" t="s">
        <v>67</v>
      </c>
      <c r="L541" s="12" t="s">
        <v>67</v>
      </c>
      <c r="M541" s="12" t="s">
        <v>67</v>
      </c>
    </row>
    <row r="542" ht="16.5" spans="1:13">
      <c r="A542" s="12" t="s">
        <v>37</v>
      </c>
      <c r="B542" s="12" t="s">
        <v>39</v>
      </c>
      <c r="C542" s="75">
        <v>46079</v>
      </c>
      <c r="D542" s="74" t="s">
        <v>108</v>
      </c>
      <c r="E542" s="12" t="s">
        <v>109</v>
      </c>
      <c r="F542" s="74" t="s">
        <v>110</v>
      </c>
      <c r="G542" s="74" t="s">
        <v>782</v>
      </c>
      <c r="H542" s="118">
        <v>5</v>
      </c>
      <c r="I542" s="12">
        <v>5</v>
      </c>
      <c r="J542" s="12" t="s">
        <v>66</v>
      </c>
      <c r="K542" s="12" t="s">
        <v>67</v>
      </c>
      <c r="L542" s="12" t="s">
        <v>67</v>
      </c>
      <c r="M542" s="12" t="s">
        <v>67</v>
      </c>
    </row>
    <row r="543" ht="16.5" spans="1:13">
      <c r="A543" s="12" t="s">
        <v>38</v>
      </c>
      <c r="B543" s="12" t="s">
        <v>39</v>
      </c>
      <c r="C543" s="75">
        <v>46079</v>
      </c>
      <c r="D543" s="74" t="s">
        <v>185</v>
      </c>
      <c r="E543" s="12" t="s">
        <v>144</v>
      </c>
      <c r="F543" s="74" t="s">
        <v>186</v>
      </c>
      <c r="G543" s="74" t="s">
        <v>783</v>
      </c>
      <c r="H543" s="118">
        <v>5</v>
      </c>
      <c r="I543" s="12">
        <v>6</v>
      </c>
      <c r="J543" s="12" t="s">
        <v>66</v>
      </c>
      <c r="K543" s="12" t="s">
        <v>67</v>
      </c>
      <c r="L543" s="12" t="s">
        <v>67</v>
      </c>
      <c r="M543" s="12" t="s">
        <v>67</v>
      </c>
    </row>
    <row r="544" ht="16.5" spans="1:13">
      <c r="A544" s="12" t="s">
        <v>38</v>
      </c>
      <c r="B544" s="12" t="s">
        <v>39</v>
      </c>
      <c r="C544" s="75">
        <v>46079</v>
      </c>
      <c r="D544" s="74" t="s">
        <v>205</v>
      </c>
      <c r="E544" s="12" t="s">
        <v>168</v>
      </c>
      <c r="F544" s="74" t="s">
        <v>784</v>
      </c>
      <c r="G544" s="74" t="s">
        <v>785</v>
      </c>
      <c r="H544" s="118">
        <v>5</v>
      </c>
      <c r="I544" s="12">
        <v>2</v>
      </c>
      <c r="J544" s="12" t="s">
        <v>66</v>
      </c>
      <c r="K544" s="12" t="s">
        <v>67</v>
      </c>
      <c r="L544" s="12" t="s">
        <v>67</v>
      </c>
      <c r="M544" s="12" t="s">
        <v>67</v>
      </c>
    </row>
    <row r="545" ht="16.5" spans="1:13">
      <c r="A545" s="12" t="s">
        <v>38</v>
      </c>
      <c r="B545" s="12" t="s">
        <v>39</v>
      </c>
      <c r="C545" s="75">
        <v>46079</v>
      </c>
      <c r="D545" s="74" t="s">
        <v>205</v>
      </c>
      <c r="E545" s="12" t="s">
        <v>168</v>
      </c>
      <c r="F545" s="74" t="s">
        <v>784</v>
      </c>
      <c r="G545" s="74" t="s">
        <v>786</v>
      </c>
      <c r="H545" s="118">
        <v>5</v>
      </c>
      <c r="I545" s="12">
        <v>2</v>
      </c>
      <c r="J545" s="12" t="s">
        <v>66</v>
      </c>
      <c r="K545" s="12" t="s">
        <v>67</v>
      </c>
      <c r="L545" s="12" t="s">
        <v>67</v>
      </c>
      <c r="M545" s="12" t="s">
        <v>67</v>
      </c>
    </row>
    <row r="546" ht="16.5" spans="1:13">
      <c r="A546" s="12" t="s">
        <v>37</v>
      </c>
      <c r="B546" s="12" t="s">
        <v>39</v>
      </c>
      <c r="C546" s="75">
        <v>46079</v>
      </c>
      <c r="D546" s="74" t="s">
        <v>137</v>
      </c>
      <c r="E546" s="12" t="s">
        <v>109</v>
      </c>
      <c r="F546" s="74" t="s">
        <v>138</v>
      </c>
      <c r="G546" s="74" t="s">
        <v>787</v>
      </c>
      <c r="H546" s="118">
        <v>5</v>
      </c>
      <c r="I546" s="12">
        <v>3</v>
      </c>
      <c r="J546" s="12" t="s">
        <v>66</v>
      </c>
      <c r="K546" s="12" t="s">
        <v>67</v>
      </c>
      <c r="L546" s="12" t="s">
        <v>67</v>
      </c>
      <c r="M546" s="12" t="s">
        <v>67</v>
      </c>
    </row>
    <row r="547" ht="16.5" spans="1:13">
      <c r="A547" s="12" t="s">
        <v>37</v>
      </c>
      <c r="B547" s="12" t="s">
        <v>39</v>
      </c>
      <c r="C547" s="75">
        <v>46079</v>
      </c>
      <c r="D547" s="74" t="s">
        <v>288</v>
      </c>
      <c r="E547" s="12" t="s">
        <v>152</v>
      </c>
      <c r="F547" s="74" t="s">
        <v>289</v>
      </c>
      <c r="G547" s="74" t="s">
        <v>788</v>
      </c>
      <c r="H547" s="118">
        <v>5</v>
      </c>
      <c r="I547" s="12">
        <v>4</v>
      </c>
      <c r="J547" s="12" t="s">
        <v>66</v>
      </c>
      <c r="K547" s="12" t="s">
        <v>67</v>
      </c>
      <c r="L547" s="12" t="s">
        <v>67</v>
      </c>
      <c r="M547" s="12" t="s">
        <v>67</v>
      </c>
    </row>
    <row r="548" ht="16.5" spans="1:13">
      <c r="A548" s="12" t="s">
        <v>38</v>
      </c>
      <c r="B548" s="12" t="s">
        <v>39</v>
      </c>
      <c r="C548" s="75">
        <v>46079</v>
      </c>
      <c r="D548" s="74" t="s">
        <v>392</v>
      </c>
      <c r="E548" s="12" t="s">
        <v>63</v>
      </c>
      <c r="F548" s="74" t="s">
        <v>393</v>
      </c>
      <c r="G548" s="74" t="s">
        <v>789</v>
      </c>
      <c r="H548" s="118">
        <v>5</v>
      </c>
      <c r="I548" s="12">
        <v>5</v>
      </c>
      <c r="J548" s="12" t="s">
        <v>66</v>
      </c>
      <c r="K548" s="12" t="s">
        <v>67</v>
      </c>
      <c r="L548" s="12" t="s">
        <v>67</v>
      </c>
      <c r="M548" s="12" t="s">
        <v>67</v>
      </c>
    </row>
    <row r="549" ht="16.5" spans="1:13">
      <c r="A549" s="12" t="s">
        <v>38</v>
      </c>
      <c r="B549" s="12" t="s">
        <v>39</v>
      </c>
      <c r="C549" s="75">
        <v>46079</v>
      </c>
      <c r="D549" s="74" t="s">
        <v>143</v>
      </c>
      <c r="E549" s="12" t="s">
        <v>144</v>
      </c>
      <c r="F549" s="74" t="s">
        <v>680</v>
      </c>
      <c r="G549" s="74" t="s">
        <v>790</v>
      </c>
      <c r="H549" s="118">
        <v>5</v>
      </c>
      <c r="I549" s="12">
        <v>3</v>
      </c>
      <c r="J549" s="12" t="s">
        <v>66</v>
      </c>
      <c r="K549" s="12" t="s">
        <v>67</v>
      </c>
      <c r="L549" s="12" t="s">
        <v>67</v>
      </c>
      <c r="M549" s="12" t="s">
        <v>67</v>
      </c>
    </row>
    <row r="550" ht="16.5" spans="1:13">
      <c r="A550" s="12" t="s">
        <v>36</v>
      </c>
      <c r="B550" s="12" t="s">
        <v>39</v>
      </c>
      <c r="C550" s="75">
        <v>46079</v>
      </c>
      <c r="D550" s="74" t="s">
        <v>309</v>
      </c>
      <c r="E550" s="12" t="s">
        <v>173</v>
      </c>
      <c r="F550" s="74" t="s">
        <v>310</v>
      </c>
      <c r="G550" s="74" t="s">
        <v>791</v>
      </c>
      <c r="H550" s="118">
        <v>5</v>
      </c>
      <c r="I550" s="12">
        <v>5</v>
      </c>
      <c r="J550" s="12" t="s">
        <v>66</v>
      </c>
      <c r="K550" s="12" t="s">
        <v>67</v>
      </c>
      <c r="L550" s="12" t="s">
        <v>67</v>
      </c>
      <c r="M550" s="12" t="s">
        <v>67</v>
      </c>
    </row>
    <row r="551" ht="16.5" spans="1:13">
      <c r="A551" s="12" t="s">
        <v>35</v>
      </c>
      <c r="B551" s="12" t="s">
        <v>39</v>
      </c>
      <c r="C551" s="75">
        <v>46079</v>
      </c>
      <c r="D551" s="74" t="s">
        <v>417</v>
      </c>
      <c r="E551" s="12" t="s">
        <v>125</v>
      </c>
      <c r="F551" s="74" t="s">
        <v>234</v>
      </c>
      <c r="G551" s="74" t="s">
        <v>792</v>
      </c>
      <c r="H551" s="118">
        <v>5</v>
      </c>
      <c r="I551" s="12">
        <v>3</v>
      </c>
      <c r="J551" s="12" t="s">
        <v>66</v>
      </c>
      <c r="K551" s="12" t="s">
        <v>67</v>
      </c>
      <c r="L551" s="12" t="s">
        <v>67</v>
      </c>
      <c r="M551" s="12" t="s">
        <v>67</v>
      </c>
    </row>
    <row r="552" ht="16.5" spans="1:13">
      <c r="A552" s="12" t="s">
        <v>35</v>
      </c>
      <c r="B552" s="12" t="s">
        <v>39</v>
      </c>
      <c r="C552" s="75">
        <v>46079</v>
      </c>
      <c r="D552" s="74" t="s">
        <v>584</v>
      </c>
      <c r="E552" s="12" t="s">
        <v>125</v>
      </c>
      <c r="F552" s="74" t="s">
        <v>585</v>
      </c>
      <c r="G552" s="74" t="s">
        <v>793</v>
      </c>
      <c r="H552" s="118">
        <v>5</v>
      </c>
      <c r="I552" s="12">
        <v>4</v>
      </c>
      <c r="J552" s="12" t="s">
        <v>66</v>
      </c>
      <c r="K552" s="12" t="s">
        <v>67</v>
      </c>
      <c r="L552" s="12" t="s">
        <v>67</v>
      </c>
      <c r="M552" s="12" t="s">
        <v>67</v>
      </c>
    </row>
    <row r="553" ht="16.5" spans="1:13">
      <c r="A553" s="12" t="s">
        <v>29</v>
      </c>
      <c r="B553" s="12" t="s">
        <v>39</v>
      </c>
      <c r="C553" s="75">
        <v>46062</v>
      </c>
      <c r="D553" s="74" t="s">
        <v>361</v>
      </c>
      <c r="E553" s="12" t="s">
        <v>130</v>
      </c>
      <c r="F553" s="74" t="s">
        <v>362</v>
      </c>
      <c r="G553" s="74" t="s">
        <v>794</v>
      </c>
      <c r="H553" s="118">
        <v>5</v>
      </c>
      <c r="I553" s="12">
        <v>4</v>
      </c>
      <c r="J553" s="12" t="s">
        <v>66</v>
      </c>
      <c r="K553" s="12" t="s">
        <v>67</v>
      </c>
      <c r="L553" s="12" t="s">
        <v>67</v>
      </c>
      <c r="M553" s="12" t="s">
        <v>67</v>
      </c>
    </row>
    <row r="554" ht="16.5" spans="1:13">
      <c r="A554" s="12" t="s">
        <v>38</v>
      </c>
      <c r="B554" s="12" t="s">
        <v>39</v>
      </c>
      <c r="C554" s="75">
        <v>46079</v>
      </c>
      <c r="D554" s="74" t="s">
        <v>368</v>
      </c>
      <c r="E554" s="12" t="s">
        <v>70</v>
      </c>
      <c r="F554" s="74" t="s">
        <v>369</v>
      </c>
      <c r="G554" s="74" t="s">
        <v>795</v>
      </c>
      <c r="H554" s="118">
        <v>5</v>
      </c>
      <c r="I554" s="12">
        <v>4</v>
      </c>
      <c r="J554" s="12" t="s">
        <v>66</v>
      </c>
      <c r="K554" s="12" t="s">
        <v>67</v>
      </c>
      <c r="L554" s="12" t="s">
        <v>67</v>
      </c>
      <c r="M554" s="12" t="s">
        <v>67</v>
      </c>
    </row>
    <row r="555" ht="16.5" spans="1:13">
      <c r="A555" s="12" t="s">
        <v>36</v>
      </c>
      <c r="B555" s="12" t="s">
        <v>39</v>
      </c>
      <c r="C555" s="75">
        <v>46079</v>
      </c>
      <c r="D555" s="74" t="s">
        <v>354</v>
      </c>
      <c r="E555" s="12" t="s">
        <v>173</v>
      </c>
      <c r="F555" s="74" t="s">
        <v>355</v>
      </c>
      <c r="G555" s="74" t="s">
        <v>796</v>
      </c>
      <c r="H555" s="118">
        <v>5</v>
      </c>
      <c r="I555" s="12">
        <v>8</v>
      </c>
      <c r="J555" s="12" t="s">
        <v>66</v>
      </c>
      <c r="K555" s="12" t="s">
        <v>67</v>
      </c>
      <c r="L555" s="12" t="s">
        <v>67</v>
      </c>
      <c r="M555" s="12" t="s">
        <v>67</v>
      </c>
    </row>
    <row r="556" ht="16.5" spans="1:13">
      <c r="A556" s="12" t="s">
        <v>36</v>
      </c>
      <c r="B556" s="12" t="s">
        <v>39</v>
      </c>
      <c r="C556" s="75">
        <v>46079</v>
      </c>
      <c r="D556" s="74" t="s">
        <v>354</v>
      </c>
      <c r="E556" s="12" t="s">
        <v>173</v>
      </c>
      <c r="F556" s="74" t="s">
        <v>355</v>
      </c>
      <c r="G556" s="74" t="s">
        <v>301</v>
      </c>
      <c r="H556" s="118">
        <v>5</v>
      </c>
      <c r="I556" s="12">
        <v>8</v>
      </c>
      <c r="J556" s="12" t="s">
        <v>66</v>
      </c>
      <c r="K556" s="12" t="s">
        <v>67</v>
      </c>
      <c r="L556" s="12" t="s">
        <v>67</v>
      </c>
      <c r="M556" s="12" t="s">
        <v>67</v>
      </c>
    </row>
    <row r="557" ht="16.5" spans="1:13">
      <c r="A557" s="12" t="s">
        <v>36</v>
      </c>
      <c r="B557" s="12" t="s">
        <v>39</v>
      </c>
      <c r="C557" s="75">
        <v>46079</v>
      </c>
      <c r="D557" s="74" t="s">
        <v>315</v>
      </c>
      <c r="E557" s="12" t="s">
        <v>173</v>
      </c>
      <c r="F557" s="74" t="s">
        <v>316</v>
      </c>
      <c r="G557" s="74" t="s">
        <v>797</v>
      </c>
      <c r="H557" s="118">
        <v>5</v>
      </c>
      <c r="I557" s="12">
        <v>3</v>
      </c>
      <c r="J557" s="12" t="s">
        <v>66</v>
      </c>
      <c r="K557" s="12" t="s">
        <v>67</v>
      </c>
      <c r="L557" s="12" t="s">
        <v>67</v>
      </c>
      <c r="M557" s="12" t="s">
        <v>67</v>
      </c>
    </row>
    <row r="558" ht="16.5" spans="1:13">
      <c r="A558" s="12" t="s">
        <v>38</v>
      </c>
      <c r="B558" s="12" t="s">
        <v>39</v>
      </c>
      <c r="C558" s="75">
        <v>46079</v>
      </c>
      <c r="D558" s="74" t="s">
        <v>368</v>
      </c>
      <c r="E558" s="12" t="s">
        <v>70</v>
      </c>
      <c r="F558" s="74" t="s">
        <v>369</v>
      </c>
      <c r="G558" s="74" t="s">
        <v>159</v>
      </c>
      <c r="H558" s="118">
        <v>5</v>
      </c>
      <c r="I558" s="12">
        <v>4</v>
      </c>
      <c r="J558" s="12" t="s">
        <v>66</v>
      </c>
      <c r="K558" s="12" t="s">
        <v>67</v>
      </c>
      <c r="L558" s="12" t="s">
        <v>67</v>
      </c>
      <c r="M558" s="12" t="s">
        <v>67</v>
      </c>
    </row>
    <row r="559" ht="16.5" spans="1:13">
      <c r="A559" s="12" t="s">
        <v>38</v>
      </c>
      <c r="B559" s="12" t="s">
        <v>39</v>
      </c>
      <c r="C559" s="75">
        <v>46079</v>
      </c>
      <c r="D559" s="74" t="s">
        <v>441</v>
      </c>
      <c r="E559" s="12" t="s">
        <v>220</v>
      </c>
      <c r="F559" s="74" t="s">
        <v>798</v>
      </c>
      <c r="G559" s="74" t="s">
        <v>799</v>
      </c>
      <c r="H559" s="118">
        <v>5</v>
      </c>
      <c r="I559" s="12">
        <v>6</v>
      </c>
      <c r="J559" s="12" t="s">
        <v>66</v>
      </c>
      <c r="K559" s="12" t="s">
        <v>67</v>
      </c>
      <c r="L559" s="12" t="s">
        <v>67</v>
      </c>
      <c r="M559" s="12" t="s">
        <v>67</v>
      </c>
    </row>
    <row r="560" ht="16.5" spans="1:13">
      <c r="A560" s="12" t="s">
        <v>38</v>
      </c>
      <c r="B560" s="12" t="s">
        <v>39</v>
      </c>
      <c r="C560" s="75">
        <v>46079</v>
      </c>
      <c r="D560" s="74" t="s">
        <v>437</v>
      </c>
      <c r="E560" s="12" t="s">
        <v>75</v>
      </c>
      <c r="F560" s="74" t="s">
        <v>800</v>
      </c>
      <c r="G560" s="74" t="s">
        <v>198</v>
      </c>
      <c r="H560" s="118">
        <v>4.85</v>
      </c>
      <c r="I560" s="12">
        <v>4</v>
      </c>
      <c r="J560" s="12" t="s">
        <v>66</v>
      </c>
      <c r="K560" s="12" t="s">
        <v>67</v>
      </c>
      <c r="L560" s="12" t="s">
        <v>67</v>
      </c>
      <c r="M560" s="12" t="s">
        <v>67</v>
      </c>
    </row>
    <row r="561" ht="16.5" spans="1:13">
      <c r="A561" s="12" t="s">
        <v>32</v>
      </c>
      <c r="B561" s="12" t="s">
        <v>39</v>
      </c>
      <c r="C561" s="75">
        <v>46079</v>
      </c>
      <c r="D561" s="74" t="s">
        <v>115</v>
      </c>
      <c r="E561" s="12" t="s">
        <v>105</v>
      </c>
      <c r="F561" s="74" t="s">
        <v>116</v>
      </c>
      <c r="G561" s="74" t="s">
        <v>801</v>
      </c>
      <c r="H561" s="118">
        <v>5</v>
      </c>
      <c r="I561" s="12">
        <v>4</v>
      </c>
      <c r="J561" s="12" t="s">
        <v>66</v>
      </c>
      <c r="K561" s="12" t="s">
        <v>67</v>
      </c>
      <c r="L561" s="12" t="s">
        <v>67</v>
      </c>
      <c r="M561" s="12" t="s">
        <v>67</v>
      </c>
    </row>
    <row r="562" ht="16.5" spans="1:13">
      <c r="A562" s="12" t="s">
        <v>35</v>
      </c>
      <c r="B562" s="12" t="s">
        <v>39</v>
      </c>
      <c r="C562" s="75">
        <v>46078</v>
      </c>
      <c r="D562" s="74" t="s">
        <v>463</v>
      </c>
      <c r="E562" s="12" t="s">
        <v>125</v>
      </c>
      <c r="F562" s="74" t="s">
        <v>464</v>
      </c>
      <c r="G562" s="74" t="s">
        <v>802</v>
      </c>
      <c r="H562" s="118">
        <v>5</v>
      </c>
      <c r="I562" s="12">
        <v>1</v>
      </c>
      <c r="J562" s="12" t="s">
        <v>66</v>
      </c>
      <c r="K562" s="12" t="s">
        <v>67</v>
      </c>
      <c r="L562" s="12" t="s">
        <v>67</v>
      </c>
      <c r="M562" s="12" t="s">
        <v>67</v>
      </c>
    </row>
    <row r="563" ht="16.5" spans="1:13">
      <c r="A563" s="12" t="s">
        <v>24</v>
      </c>
      <c r="B563" s="12" t="s">
        <v>39</v>
      </c>
      <c r="C563" s="75">
        <v>46078</v>
      </c>
      <c r="D563" s="74" t="s">
        <v>100</v>
      </c>
      <c r="E563" s="12" t="s">
        <v>101</v>
      </c>
      <c r="F563" s="74" t="s">
        <v>102</v>
      </c>
      <c r="G563" s="74" t="s">
        <v>803</v>
      </c>
      <c r="H563" s="118">
        <v>5</v>
      </c>
      <c r="I563" s="12">
        <v>4</v>
      </c>
      <c r="J563" s="12" t="s">
        <v>66</v>
      </c>
      <c r="K563" s="12" t="s">
        <v>67</v>
      </c>
      <c r="L563" s="12" t="s">
        <v>67</v>
      </c>
      <c r="M563" s="12" t="s">
        <v>67</v>
      </c>
    </row>
    <row r="564" ht="16.5" spans="1:13">
      <c r="A564" s="12" t="s">
        <v>24</v>
      </c>
      <c r="B564" s="12" t="s">
        <v>39</v>
      </c>
      <c r="C564" s="75">
        <v>46078</v>
      </c>
      <c r="D564" s="74" t="s">
        <v>100</v>
      </c>
      <c r="E564" s="12" t="s">
        <v>101</v>
      </c>
      <c r="F564" s="74" t="s">
        <v>102</v>
      </c>
      <c r="G564" s="74" t="s">
        <v>804</v>
      </c>
      <c r="H564" s="118">
        <v>5</v>
      </c>
      <c r="I564" s="12">
        <v>4</v>
      </c>
      <c r="J564" s="12" t="s">
        <v>66</v>
      </c>
      <c r="K564" s="12" t="s">
        <v>67</v>
      </c>
      <c r="L564" s="12" t="s">
        <v>67</v>
      </c>
      <c r="M564" s="12" t="s">
        <v>67</v>
      </c>
    </row>
    <row r="565" ht="16.5" spans="1:13">
      <c r="A565" s="12" t="s">
        <v>35</v>
      </c>
      <c r="B565" s="12" t="s">
        <v>39</v>
      </c>
      <c r="C565" s="75">
        <v>46078</v>
      </c>
      <c r="D565" s="74" t="s">
        <v>493</v>
      </c>
      <c r="E565" s="12" t="s">
        <v>125</v>
      </c>
      <c r="F565" s="74" t="s">
        <v>231</v>
      </c>
      <c r="G565" s="74" t="s">
        <v>92</v>
      </c>
      <c r="H565" s="118">
        <v>5</v>
      </c>
      <c r="I565" s="12">
        <v>3</v>
      </c>
      <c r="J565" s="12" t="s">
        <v>66</v>
      </c>
      <c r="K565" s="12" t="s">
        <v>67</v>
      </c>
      <c r="L565" s="12" t="s">
        <v>67</v>
      </c>
      <c r="M565" s="12" t="s">
        <v>67</v>
      </c>
    </row>
    <row r="566" ht="16.5" spans="1:13">
      <c r="A566" s="12" t="s">
        <v>38</v>
      </c>
      <c r="B566" s="12" t="s">
        <v>39</v>
      </c>
      <c r="C566" s="75">
        <v>46078</v>
      </c>
      <c r="D566" s="74" t="s">
        <v>347</v>
      </c>
      <c r="E566" s="12" t="s">
        <v>75</v>
      </c>
      <c r="F566" s="74" t="s">
        <v>348</v>
      </c>
      <c r="G566" s="74" t="s">
        <v>805</v>
      </c>
      <c r="H566" s="118">
        <v>5</v>
      </c>
      <c r="I566" s="12">
        <v>5</v>
      </c>
      <c r="J566" s="12" t="s">
        <v>66</v>
      </c>
      <c r="K566" s="12" t="s">
        <v>67</v>
      </c>
      <c r="L566" s="12" t="s">
        <v>67</v>
      </c>
      <c r="M566" s="12" t="s">
        <v>67</v>
      </c>
    </row>
    <row r="567" ht="16.5" spans="1:13">
      <c r="A567" s="12" t="s">
        <v>37</v>
      </c>
      <c r="B567" s="12" t="s">
        <v>39</v>
      </c>
      <c r="C567" s="75">
        <v>46078</v>
      </c>
      <c r="D567" s="74" t="s">
        <v>288</v>
      </c>
      <c r="E567" s="12" t="s">
        <v>152</v>
      </c>
      <c r="F567" s="74" t="s">
        <v>289</v>
      </c>
      <c r="G567" s="74" t="s">
        <v>806</v>
      </c>
      <c r="H567" s="118">
        <v>5</v>
      </c>
      <c r="I567" s="12">
        <v>4</v>
      </c>
      <c r="J567" s="12" t="s">
        <v>66</v>
      </c>
      <c r="K567" s="12" t="s">
        <v>67</v>
      </c>
      <c r="L567" s="12" t="s">
        <v>67</v>
      </c>
      <c r="M567" s="12" t="s">
        <v>67</v>
      </c>
    </row>
    <row r="568" ht="16.5" spans="1:13">
      <c r="A568" s="12" t="s">
        <v>38</v>
      </c>
      <c r="B568" s="12" t="s">
        <v>39</v>
      </c>
      <c r="C568" s="75">
        <v>46078</v>
      </c>
      <c r="D568" s="74" t="s">
        <v>319</v>
      </c>
      <c r="E568" s="12" t="s">
        <v>168</v>
      </c>
      <c r="F568" s="74" t="s">
        <v>161</v>
      </c>
      <c r="G568" s="74" t="s">
        <v>215</v>
      </c>
      <c r="H568" s="118">
        <v>5</v>
      </c>
      <c r="I568" s="12">
        <v>5</v>
      </c>
      <c r="J568" s="12" t="s">
        <v>66</v>
      </c>
      <c r="K568" s="12" t="s">
        <v>67</v>
      </c>
      <c r="L568" s="12" t="s">
        <v>67</v>
      </c>
      <c r="M568" s="12" t="s">
        <v>67</v>
      </c>
    </row>
    <row r="569" ht="16.5" spans="1:13">
      <c r="A569" s="12" t="s">
        <v>38</v>
      </c>
      <c r="B569" s="12" t="s">
        <v>39</v>
      </c>
      <c r="C569" s="75">
        <v>46078</v>
      </c>
      <c r="D569" s="74" t="s">
        <v>540</v>
      </c>
      <c r="E569" s="12" t="s">
        <v>220</v>
      </c>
      <c r="F569" s="74" t="s">
        <v>344</v>
      </c>
      <c r="G569" s="74" t="s">
        <v>215</v>
      </c>
      <c r="H569" s="118">
        <v>5</v>
      </c>
      <c r="I569" s="12">
        <v>3</v>
      </c>
      <c r="J569" s="12" t="s">
        <v>66</v>
      </c>
      <c r="K569" s="12" t="s">
        <v>67</v>
      </c>
      <c r="L569" s="12" t="s">
        <v>67</v>
      </c>
      <c r="M569" s="12" t="s">
        <v>67</v>
      </c>
    </row>
    <row r="570" ht="16.5" spans="1:13">
      <c r="A570" s="12" t="s">
        <v>38</v>
      </c>
      <c r="B570" s="12" t="s">
        <v>39</v>
      </c>
      <c r="C570" s="75">
        <v>46078</v>
      </c>
      <c r="D570" s="74" t="s">
        <v>437</v>
      </c>
      <c r="E570" s="12" t="s">
        <v>75</v>
      </c>
      <c r="F570" s="74" t="s">
        <v>517</v>
      </c>
      <c r="G570" s="74" t="s">
        <v>159</v>
      </c>
      <c r="H570" s="118">
        <v>4.75</v>
      </c>
      <c r="I570" s="12">
        <v>4</v>
      </c>
      <c r="J570" s="12" t="s">
        <v>66</v>
      </c>
      <c r="K570" s="12" t="s">
        <v>67</v>
      </c>
      <c r="L570" s="12" t="s">
        <v>67</v>
      </c>
      <c r="M570" s="12" t="s">
        <v>67</v>
      </c>
    </row>
    <row r="571" ht="16.5" spans="1:13">
      <c r="A571" s="12" t="s">
        <v>38</v>
      </c>
      <c r="B571" s="12" t="s">
        <v>39</v>
      </c>
      <c r="C571" s="75">
        <v>46078</v>
      </c>
      <c r="D571" s="74" t="s">
        <v>347</v>
      </c>
      <c r="E571" s="12" t="s">
        <v>75</v>
      </c>
      <c r="F571" s="74" t="s">
        <v>348</v>
      </c>
      <c r="G571" s="74" t="s">
        <v>807</v>
      </c>
      <c r="H571" s="118">
        <v>5</v>
      </c>
      <c r="I571" s="12">
        <v>5</v>
      </c>
      <c r="J571" s="12" t="s">
        <v>66</v>
      </c>
      <c r="K571" s="12" t="s">
        <v>67</v>
      </c>
      <c r="L571" s="12" t="s">
        <v>67</v>
      </c>
      <c r="M571" s="12" t="s">
        <v>67</v>
      </c>
    </row>
    <row r="572" ht="16.5" spans="1:13">
      <c r="A572" s="12" t="s">
        <v>38</v>
      </c>
      <c r="B572" s="12" t="s">
        <v>39</v>
      </c>
      <c r="C572" s="75">
        <v>46078</v>
      </c>
      <c r="D572" s="74" t="s">
        <v>531</v>
      </c>
      <c r="E572" s="12" t="s">
        <v>70</v>
      </c>
      <c r="F572" s="74" t="s">
        <v>808</v>
      </c>
      <c r="G572" s="74" t="s">
        <v>809</v>
      </c>
      <c r="H572" s="118">
        <v>4.9</v>
      </c>
      <c r="I572" s="12">
        <v>6</v>
      </c>
      <c r="J572" s="12" t="s">
        <v>66</v>
      </c>
      <c r="K572" s="12" t="s">
        <v>67</v>
      </c>
      <c r="L572" s="12" t="s">
        <v>67</v>
      </c>
      <c r="M572" s="12" t="s">
        <v>67</v>
      </c>
    </row>
    <row r="573" ht="16.5" spans="1:13">
      <c r="A573" s="12" t="s">
        <v>38</v>
      </c>
      <c r="B573" s="12" t="s">
        <v>39</v>
      </c>
      <c r="C573" s="75">
        <v>46078</v>
      </c>
      <c r="D573" s="74" t="s">
        <v>247</v>
      </c>
      <c r="E573" s="12" t="s">
        <v>70</v>
      </c>
      <c r="F573" s="74" t="s">
        <v>810</v>
      </c>
      <c r="G573" s="74" t="s">
        <v>811</v>
      </c>
      <c r="H573" s="118">
        <v>5</v>
      </c>
      <c r="I573" s="12">
        <v>3</v>
      </c>
      <c r="J573" s="12" t="s">
        <v>66</v>
      </c>
      <c r="K573" s="12" t="s">
        <v>67</v>
      </c>
      <c r="L573" s="12" t="s">
        <v>67</v>
      </c>
      <c r="M573" s="12" t="s">
        <v>67</v>
      </c>
    </row>
    <row r="574" ht="16.5" spans="1:13">
      <c r="A574" s="12" t="s">
        <v>38</v>
      </c>
      <c r="B574" s="12" t="s">
        <v>39</v>
      </c>
      <c r="C574" s="75">
        <v>46078</v>
      </c>
      <c r="D574" s="74" t="s">
        <v>247</v>
      </c>
      <c r="E574" s="12" t="s">
        <v>70</v>
      </c>
      <c r="F574" s="74" t="s">
        <v>810</v>
      </c>
      <c r="G574" s="74" t="s">
        <v>812</v>
      </c>
      <c r="H574" s="118">
        <v>5</v>
      </c>
      <c r="I574" s="12">
        <v>3</v>
      </c>
      <c r="J574" s="12" t="s">
        <v>66</v>
      </c>
      <c r="K574" s="12" t="s">
        <v>67</v>
      </c>
      <c r="L574" s="12" t="s">
        <v>67</v>
      </c>
      <c r="M574" s="12" t="s">
        <v>67</v>
      </c>
    </row>
    <row r="575" ht="16.5" spans="1:13">
      <c r="A575" s="12" t="s">
        <v>37</v>
      </c>
      <c r="B575" s="12" t="s">
        <v>39</v>
      </c>
      <c r="C575" s="75">
        <v>46078</v>
      </c>
      <c r="D575" s="74" t="s">
        <v>422</v>
      </c>
      <c r="E575" s="12" t="s">
        <v>109</v>
      </c>
      <c r="F575" s="74" t="s">
        <v>813</v>
      </c>
      <c r="G575" s="74" t="s">
        <v>814</v>
      </c>
      <c r="H575" s="118">
        <v>5</v>
      </c>
      <c r="I575" s="12">
        <v>5</v>
      </c>
      <c r="J575" s="12" t="s">
        <v>66</v>
      </c>
      <c r="K575" s="12" t="s">
        <v>67</v>
      </c>
      <c r="L575" s="12" t="s">
        <v>67</v>
      </c>
      <c r="M575" s="12" t="s">
        <v>67</v>
      </c>
    </row>
    <row r="576" ht="16.5" spans="1:13">
      <c r="A576" s="12" t="s">
        <v>37</v>
      </c>
      <c r="B576" s="12" t="s">
        <v>39</v>
      </c>
      <c r="C576" s="75">
        <v>46078</v>
      </c>
      <c r="D576" s="74" t="s">
        <v>527</v>
      </c>
      <c r="E576" s="12" t="s">
        <v>109</v>
      </c>
      <c r="F576" s="74" t="s">
        <v>528</v>
      </c>
      <c r="G576" s="74" t="s">
        <v>815</v>
      </c>
      <c r="H576" s="118">
        <v>5</v>
      </c>
      <c r="I576" s="12">
        <v>5</v>
      </c>
      <c r="J576" s="12" t="s">
        <v>66</v>
      </c>
      <c r="K576" s="12" t="s">
        <v>67</v>
      </c>
      <c r="L576" s="12" t="s">
        <v>67</v>
      </c>
      <c r="M576" s="12" t="s">
        <v>67</v>
      </c>
    </row>
    <row r="577" ht="16.5" spans="1:13">
      <c r="A577" s="12" t="s">
        <v>37</v>
      </c>
      <c r="B577" s="12" t="s">
        <v>39</v>
      </c>
      <c r="C577" s="75">
        <v>46078</v>
      </c>
      <c r="D577" s="74" t="s">
        <v>422</v>
      </c>
      <c r="E577" s="12" t="s">
        <v>109</v>
      </c>
      <c r="F577" s="74" t="s">
        <v>813</v>
      </c>
      <c r="G577" s="74" t="s">
        <v>816</v>
      </c>
      <c r="H577" s="118">
        <v>5</v>
      </c>
      <c r="I577" s="12">
        <v>5</v>
      </c>
      <c r="J577" s="12" t="s">
        <v>66</v>
      </c>
      <c r="K577" s="12" t="s">
        <v>67</v>
      </c>
      <c r="L577" s="12" t="s">
        <v>67</v>
      </c>
      <c r="M577" s="12" t="s">
        <v>67</v>
      </c>
    </row>
    <row r="578" ht="16.5" spans="1:13">
      <c r="A578" s="12" t="s">
        <v>36</v>
      </c>
      <c r="B578" s="12" t="s">
        <v>39</v>
      </c>
      <c r="C578" s="75">
        <v>46078</v>
      </c>
      <c r="D578" s="74" t="s">
        <v>433</v>
      </c>
      <c r="E578" s="12" t="s">
        <v>173</v>
      </c>
      <c r="F578" s="74" t="s">
        <v>434</v>
      </c>
      <c r="G578" s="74" t="s">
        <v>817</v>
      </c>
      <c r="H578" s="118">
        <v>5</v>
      </c>
      <c r="I578" s="12">
        <v>3</v>
      </c>
      <c r="J578" s="12" t="s">
        <v>66</v>
      </c>
      <c r="K578" s="12" t="s">
        <v>67</v>
      </c>
      <c r="L578" s="12" t="s">
        <v>67</v>
      </c>
      <c r="M578" s="12" t="s">
        <v>67</v>
      </c>
    </row>
    <row r="579" ht="16.5" spans="1:13">
      <c r="A579" s="12" t="s">
        <v>36</v>
      </c>
      <c r="B579" s="12" t="s">
        <v>39</v>
      </c>
      <c r="C579" s="75">
        <v>46078</v>
      </c>
      <c r="D579" s="74" t="s">
        <v>172</v>
      </c>
      <c r="E579" s="12" t="s">
        <v>173</v>
      </c>
      <c r="F579" s="74" t="s">
        <v>174</v>
      </c>
      <c r="G579" s="74" t="s">
        <v>818</v>
      </c>
      <c r="H579" s="118">
        <v>5</v>
      </c>
      <c r="I579" s="12">
        <v>3</v>
      </c>
      <c r="J579" s="12" t="s">
        <v>66</v>
      </c>
      <c r="K579" s="12" t="s">
        <v>67</v>
      </c>
      <c r="L579" s="12" t="s">
        <v>67</v>
      </c>
      <c r="M579" s="12" t="s">
        <v>67</v>
      </c>
    </row>
    <row r="580" ht="16.5" spans="1:13">
      <c r="A580" s="12" t="s">
        <v>36</v>
      </c>
      <c r="B580" s="12" t="s">
        <v>39</v>
      </c>
      <c r="C580" s="75">
        <v>46078</v>
      </c>
      <c r="D580" s="74" t="s">
        <v>172</v>
      </c>
      <c r="E580" s="12" t="s">
        <v>173</v>
      </c>
      <c r="F580" s="74" t="s">
        <v>174</v>
      </c>
      <c r="G580" s="74" t="s">
        <v>77</v>
      </c>
      <c r="H580" s="118">
        <v>4.93333333333333</v>
      </c>
      <c r="I580" s="12">
        <v>3</v>
      </c>
      <c r="J580" s="12" t="s">
        <v>66</v>
      </c>
      <c r="K580" s="12" t="s">
        <v>67</v>
      </c>
      <c r="L580" s="12" t="s">
        <v>67</v>
      </c>
      <c r="M580" s="12" t="s">
        <v>67</v>
      </c>
    </row>
    <row r="581" ht="16.5" spans="1:13">
      <c r="A581" s="12" t="s">
        <v>32</v>
      </c>
      <c r="B581" s="12" t="s">
        <v>39</v>
      </c>
      <c r="C581" s="75">
        <v>46078</v>
      </c>
      <c r="D581" s="74" t="s">
        <v>447</v>
      </c>
      <c r="E581" s="12" t="s">
        <v>105</v>
      </c>
      <c r="F581" s="74" t="s">
        <v>153</v>
      </c>
      <c r="G581" s="74" t="s">
        <v>819</v>
      </c>
      <c r="H581" s="118">
        <v>5</v>
      </c>
      <c r="I581" s="12">
        <v>2</v>
      </c>
      <c r="J581" s="12" t="s">
        <v>66</v>
      </c>
      <c r="K581" s="12" t="s">
        <v>67</v>
      </c>
      <c r="L581" s="12" t="s">
        <v>67</v>
      </c>
      <c r="M581" s="12" t="s">
        <v>67</v>
      </c>
    </row>
    <row r="582" ht="16.5" spans="1:13">
      <c r="A582" s="12" t="s">
        <v>34</v>
      </c>
      <c r="B582" s="12" t="s">
        <v>39</v>
      </c>
      <c r="C582" s="75">
        <v>46078</v>
      </c>
      <c r="D582" s="74" t="s">
        <v>350</v>
      </c>
      <c r="E582" s="12" t="s">
        <v>351</v>
      </c>
      <c r="F582" s="74" t="s">
        <v>352</v>
      </c>
      <c r="G582" s="74" t="s">
        <v>820</v>
      </c>
      <c r="H582" s="118">
        <v>5</v>
      </c>
      <c r="I582" s="12">
        <v>1</v>
      </c>
      <c r="J582" s="12" t="s">
        <v>66</v>
      </c>
      <c r="K582" s="12" t="s">
        <v>67</v>
      </c>
      <c r="L582" s="12" t="s">
        <v>67</v>
      </c>
      <c r="M582" s="12" t="s">
        <v>67</v>
      </c>
    </row>
    <row r="583" ht="16.5" spans="1:13">
      <c r="A583" s="12" t="s">
        <v>34</v>
      </c>
      <c r="B583" s="12" t="s">
        <v>39</v>
      </c>
      <c r="C583" s="75">
        <v>46078</v>
      </c>
      <c r="D583" s="74" t="s">
        <v>350</v>
      </c>
      <c r="E583" s="12" t="s">
        <v>351</v>
      </c>
      <c r="F583" s="74" t="s">
        <v>352</v>
      </c>
      <c r="G583" s="74" t="s">
        <v>92</v>
      </c>
      <c r="H583" s="118">
        <v>5</v>
      </c>
      <c r="I583" s="12">
        <v>2</v>
      </c>
      <c r="J583" s="12" t="s">
        <v>66</v>
      </c>
      <c r="K583" s="12" t="s">
        <v>67</v>
      </c>
      <c r="L583" s="12" t="s">
        <v>67</v>
      </c>
      <c r="M583" s="12" t="s">
        <v>67</v>
      </c>
    </row>
    <row r="584" ht="16.5" spans="1:13">
      <c r="A584" s="12" t="s">
        <v>36</v>
      </c>
      <c r="B584" s="12" t="s">
        <v>39</v>
      </c>
      <c r="C584" s="75">
        <v>46078</v>
      </c>
      <c r="D584" s="74" t="s">
        <v>433</v>
      </c>
      <c r="E584" s="12" t="s">
        <v>173</v>
      </c>
      <c r="F584" s="74" t="s">
        <v>434</v>
      </c>
      <c r="G584" s="74" t="s">
        <v>821</v>
      </c>
      <c r="H584" s="118">
        <v>5</v>
      </c>
      <c r="I584" s="12">
        <v>3</v>
      </c>
      <c r="J584" s="12" t="s">
        <v>66</v>
      </c>
      <c r="K584" s="12" t="s">
        <v>67</v>
      </c>
      <c r="L584" s="12" t="s">
        <v>67</v>
      </c>
      <c r="M584" s="12" t="s">
        <v>67</v>
      </c>
    </row>
    <row r="585" ht="16.5" spans="1:13">
      <c r="A585" s="12" t="s">
        <v>38</v>
      </c>
      <c r="B585" s="12" t="s">
        <v>39</v>
      </c>
      <c r="C585" s="75">
        <v>46078</v>
      </c>
      <c r="D585" s="74" t="s">
        <v>147</v>
      </c>
      <c r="E585" s="12" t="s">
        <v>148</v>
      </c>
      <c r="F585" s="74" t="s">
        <v>758</v>
      </c>
      <c r="G585" s="74" t="s">
        <v>265</v>
      </c>
      <c r="H585" s="118">
        <v>5</v>
      </c>
      <c r="I585" s="12">
        <v>3</v>
      </c>
      <c r="J585" s="12" t="s">
        <v>66</v>
      </c>
      <c r="K585" s="12" t="s">
        <v>67</v>
      </c>
      <c r="L585" s="12" t="s">
        <v>67</v>
      </c>
      <c r="M585" s="12" t="s">
        <v>67</v>
      </c>
    </row>
    <row r="586" ht="16.5" spans="1:13">
      <c r="A586" s="12" t="s">
        <v>37</v>
      </c>
      <c r="B586" s="12" t="s">
        <v>39</v>
      </c>
      <c r="C586" s="75">
        <v>46073</v>
      </c>
      <c r="D586" s="74" t="s">
        <v>507</v>
      </c>
      <c r="E586" s="12" t="s">
        <v>152</v>
      </c>
      <c r="F586" s="74" t="s">
        <v>508</v>
      </c>
      <c r="G586" s="74" t="s">
        <v>822</v>
      </c>
      <c r="H586" s="118">
        <v>5</v>
      </c>
      <c r="I586" s="12">
        <v>3</v>
      </c>
      <c r="J586" s="12" t="s">
        <v>66</v>
      </c>
      <c r="K586" s="12" t="s">
        <v>67</v>
      </c>
      <c r="L586" s="12" t="s">
        <v>67</v>
      </c>
      <c r="M586" s="12" t="s">
        <v>67</v>
      </c>
    </row>
    <row r="587" ht="16.5" spans="1:13">
      <c r="A587" s="12" t="s">
        <v>31</v>
      </c>
      <c r="B587" s="12" t="s">
        <v>39</v>
      </c>
      <c r="C587" s="75">
        <v>46073</v>
      </c>
      <c r="D587" s="74" t="s">
        <v>343</v>
      </c>
      <c r="E587" s="12" t="s">
        <v>79</v>
      </c>
      <c r="F587" s="74" t="s">
        <v>771</v>
      </c>
      <c r="G587" s="74" t="s">
        <v>823</v>
      </c>
      <c r="H587" s="118">
        <v>5</v>
      </c>
      <c r="I587" s="12">
        <v>3</v>
      </c>
      <c r="J587" s="12" t="s">
        <v>66</v>
      </c>
      <c r="K587" s="12" t="s">
        <v>67</v>
      </c>
      <c r="L587" s="12" t="s">
        <v>67</v>
      </c>
      <c r="M587" s="12" t="s">
        <v>67</v>
      </c>
    </row>
    <row r="588" ht="16.5" spans="1:13">
      <c r="A588" s="12" t="s">
        <v>29</v>
      </c>
      <c r="B588" s="12" t="s">
        <v>39</v>
      </c>
      <c r="C588" s="75">
        <v>46065</v>
      </c>
      <c r="D588" s="74" t="s">
        <v>380</v>
      </c>
      <c r="E588" s="12" t="s">
        <v>130</v>
      </c>
      <c r="F588" s="74" t="s">
        <v>381</v>
      </c>
      <c r="G588" s="74" t="s">
        <v>671</v>
      </c>
      <c r="H588" s="118">
        <v>5</v>
      </c>
      <c r="I588" s="12">
        <v>4</v>
      </c>
      <c r="J588" s="12" t="s">
        <v>66</v>
      </c>
      <c r="K588" s="12" t="s">
        <v>67</v>
      </c>
      <c r="L588" s="12" t="s">
        <v>67</v>
      </c>
      <c r="M588" s="12" t="s">
        <v>67</v>
      </c>
    </row>
    <row r="589" ht="16.5" spans="1:13">
      <c r="A589" s="12" t="s">
        <v>29</v>
      </c>
      <c r="B589" s="12" t="s">
        <v>39</v>
      </c>
      <c r="C589" s="75">
        <v>46065</v>
      </c>
      <c r="D589" s="74" t="s">
        <v>380</v>
      </c>
      <c r="E589" s="12" t="s">
        <v>130</v>
      </c>
      <c r="F589" s="74" t="s">
        <v>381</v>
      </c>
      <c r="G589" s="74" t="s">
        <v>824</v>
      </c>
      <c r="H589" s="118">
        <v>5</v>
      </c>
      <c r="I589" s="12">
        <v>4</v>
      </c>
      <c r="J589" s="12" t="s">
        <v>66</v>
      </c>
      <c r="K589" s="12" t="s">
        <v>67</v>
      </c>
      <c r="L589" s="12" t="s">
        <v>67</v>
      </c>
      <c r="M589" s="12" t="s">
        <v>67</v>
      </c>
    </row>
    <row r="590" ht="16.5" spans="1:13">
      <c r="A590" s="12" t="s">
        <v>38</v>
      </c>
      <c r="B590" s="12" t="s">
        <v>39</v>
      </c>
      <c r="C590" s="75">
        <v>46065</v>
      </c>
      <c r="D590" s="74" t="s">
        <v>620</v>
      </c>
      <c r="E590" s="12" t="s">
        <v>220</v>
      </c>
      <c r="F590" s="74" t="s">
        <v>161</v>
      </c>
      <c r="G590" s="74" t="s">
        <v>825</v>
      </c>
      <c r="H590" s="118">
        <v>5</v>
      </c>
      <c r="I590" s="12">
        <v>4</v>
      </c>
      <c r="J590" s="12" t="s">
        <v>66</v>
      </c>
      <c r="K590" s="12" t="s">
        <v>67</v>
      </c>
      <c r="L590" s="12" t="s">
        <v>67</v>
      </c>
      <c r="M590" s="12" t="s">
        <v>67</v>
      </c>
    </row>
    <row r="591" ht="16.5" spans="1:13">
      <c r="A591" s="12" t="s">
        <v>38</v>
      </c>
      <c r="B591" s="12" t="s">
        <v>39</v>
      </c>
      <c r="C591" s="75">
        <v>46064</v>
      </c>
      <c r="D591" s="74" t="s">
        <v>407</v>
      </c>
      <c r="E591" s="12" t="s">
        <v>75</v>
      </c>
      <c r="F591" s="74" t="s">
        <v>826</v>
      </c>
      <c r="G591" s="74" t="s">
        <v>827</v>
      </c>
      <c r="H591" s="118">
        <v>5</v>
      </c>
      <c r="I591" s="12">
        <v>3</v>
      </c>
      <c r="J591" s="12" t="s">
        <v>66</v>
      </c>
      <c r="K591" s="12" t="s">
        <v>67</v>
      </c>
      <c r="L591" s="12" t="s">
        <v>67</v>
      </c>
      <c r="M591" s="12" t="s">
        <v>67</v>
      </c>
    </row>
    <row r="592" ht="16.5" spans="1:13">
      <c r="A592" s="12" t="s">
        <v>26</v>
      </c>
      <c r="B592" s="12" t="s">
        <v>39</v>
      </c>
      <c r="C592" s="75">
        <v>46064</v>
      </c>
      <c r="D592" s="74" t="s">
        <v>333</v>
      </c>
      <c r="E592" s="12" t="s">
        <v>121</v>
      </c>
      <c r="F592" s="74" t="s">
        <v>161</v>
      </c>
      <c r="G592" s="74" t="s">
        <v>828</v>
      </c>
      <c r="H592" s="118">
        <v>4.73333333333333</v>
      </c>
      <c r="I592" s="12">
        <v>3</v>
      </c>
      <c r="J592" s="12" t="s">
        <v>66</v>
      </c>
      <c r="K592" s="12" t="s">
        <v>67</v>
      </c>
      <c r="L592" s="12" t="s">
        <v>67</v>
      </c>
      <c r="M592" s="12" t="s">
        <v>67</v>
      </c>
    </row>
    <row r="593" ht="16.5" spans="1:13">
      <c r="A593" s="12" t="s">
        <v>38</v>
      </c>
      <c r="B593" s="12" t="s">
        <v>39</v>
      </c>
      <c r="C593" s="75">
        <v>46064</v>
      </c>
      <c r="D593" s="74" t="s">
        <v>407</v>
      </c>
      <c r="E593" s="12" t="s">
        <v>75</v>
      </c>
      <c r="F593" s="74" t="s">
        <v>826</v>
      </c>
      <c r="G593" s="74" t="s">
        <v>829</v>
      </c>
      <c r="H593" s="118">
        <v>5</v>
      </c>
      <c r="I593" s="12">
        <v>3</v>
      </c>
      <c r="J593" s="12" t="s">
        <v>66</v>
      </c>
      <c r="K593" s="12" t="s">
        <v>67</v>
      </c>
      <c r="L593" s="12" t="s">
        <v>67</v>
      </c>
      <c r="M593" s="12" t="s">
        <v>67</v>
      </c>
    </row>
    <row r="594" ht="16.5" spans="1:13">
      <c r="A594" s="12" t="s">
        <v>38</v>
      </c>
      <c r="B594" s="12" t="s">
        <v>39</v>
      </c>
      <c r="C594" s="75">
        <v>46064</v>
      </c>
      <c r="D594" s="74" t="s">
        <v>392</v>
      </c>
      <c r="E594" s="12" t="s">
        <v>63</v>
      </c>
      <c r="F594" s="74" t="s">
        <v>393</v>
      </c>
      <c r="G594" s="74" t="s">
        <v>830</v>
      </c>
      <c r="H594" s="118">
        <v>5</v>
      </c>
      <c r="I594" s="12">
        <v>5</v>
      </c>
      <c r="J594" s="12" t="s">
        <v>66</v>
      </c>
      <c r="K594" s="12" t="s">
        <v>67</v>
      </c>
      <c r="L594" s="12" t="s">
        <v>67</v>
      </c>
      <c r="M594" s="12" t="s">
        <v>67</v>
      </c>
    </row>
    <row r="595" ht="16.5" spans="1:13">
      <c r="A595" s="12" t="s">
        <v>36</v>
      </c>
      <c r="B595" s="12" t="s">
        <v>39</v>
      </c>
      <c r="C595" s="75">
        <v>46063</v>
      </c>
      <c r="D595" s="74" t="s">
        <v>309</v>
      </c>
      <c r="E595" s="12" t="s">
        <v>173</v>
      </c>
      <c r="F595" s="74" t="s">
        <v>310</v>
      </c>
      <c r="G595" s="74" t="s">
        <v>754</v>
      </c>
      <c r="H595" s="118">
        <v>5</v>
      </c>
      <c r="I595" s="12">
        <v>5</v>
      </c>
      <c r="J595" s="12" t="s">
        <v>66</v>
      </c>
      <c r="K595" s="12" t="s">
        <v>67</v>
      </c>
      <c r="L595" s="12" t="s">
        <v>67</v>
      </c>
      <c r="M595" s="12" t="s">
        <v>67</v>
      </c>
    </row>
    <row r="596" ht="16.5" spans="1:13">
      <c r="A596" s="12" t="s">
        <v>35</v>
      </c>
      <c r="B596" s="12" t="s">
        <v>39</v>
      </c>
      <c r="C596" s="75">
        <v>46063</v>
      </c>
      <c r="D596" s="74" t="s">
        <v>444</v>
      </c>
      <c r="E596" s="12" t="s">
        <v>125</v>
      </c>
      <c r="F596" s="74" t="s">
        <v>445</v>
      </c>
      <c r="G596" s="74" t="s">
        <v>831</v>
      </c>
      <c r="H596" s="118">
        <v>5</v>
      </c>
      <c r="I596" s="12">
        <v>1</v>
      </c>
      <c r="J596" s="12" t="s">
        <v>66</v>
      </c>
      <c r="K596" s="12" t="s">
        <v>67</v>
      </c>
      <c r="L596" s="12" t="s">
        <v>67</v>
      </c>
      <c r="M596" s="12" t="s">
        <v>67</v>
      </c>
    </row>
    <row r="597" ht="16.5" spans="1:13">
      <c r="A597" s="12" t="s">
        <v>38</v>
      </c>
      <c r="B597" s="12" t="s">
        <v>39</v>
      </c>
      <c r="C597" s="75">
        <v>46063</v>
      </c>
      <c r="D597" s="74" t="s">
        <v>371</v>
      </c>
      <c r="E597" s="12" t="s">
        <v>148</v>
      </c>
      <c r="F597" s="74" t="s">
        <v>832</v>
      </c>
      <c r="G597" s="74" t="s">
        <v>833</v>
      </c>
      <c r="H597" s="118">
        <v>5</v>
      </c>
      <c r="I597" s="12">
        <v>5</v>
      </c>
      <c r="J597" s="12" t="s">
        <v>66</v>
      </c>
      <c r="K597" s="12" t="s">
        <v>67</v>
      </c>
      <c r="L597" s="12" t="s">
        <v>67</v>
      </c>
      <c r="M597" s="12" t="s">
        <v>67</v>
      </c>
    </row>
    <row r="598" ht="16.5" spans="1:13">
      <c r="A598" s="12" t="s">
        <v>36</v>
      </c>
      <c r="B598" s="12" t="s">
        <v>39</v>
      </c>
      <c r="C598" s="75">
        <v>46063</v>
      </c>
      <c r="D598" s="74" t="s">
        <v>315</v>
      </c>
      <c r="E598" s="12" t="s">
        <v>173</v>
      </c>
      <c r="F598" s="74" t="s">
        <v>316</v>
      </c>
      <c r="G598" s="74" t="s">
        <v>834</v>
      </c>
      <c r="H598" s="118">
        <v>5</v>
      </c>
      <c r="I598" s="12">
        <v>3</v>
      </c>
      <c r="J598" s="12" t="s">
        <v>66</v>
      </c>
      <c r="K598" s="12" t="s">
        <v>67</v>
      </c>
      <c r="L598" s="12" t="s">
        <v>67</v>
      </c>
      <c r="M598" s="12" t="s">
        <v>67</v>
      </c>
    </row>
    <row r="599" ht="16.5" spans="1:13">
      <c r="A599" s="12" t="s">
        <v>35</v>
      </c>
      <c r="B599" s="12" t="s">
        <v>39</v>
      </c>
      <c r="C599" s="75">
        <v>46063</v>
      </c>
      <c r="D599" s="74" t="s">
        <v>463</v>
      </c>
      <c r="E599" s="12" t="s">
        <v>125</v>
      </c>
      <c r="F599" s="74" t="s">
        <v>464</v>
      </c>
      <c r="G599" s="74" t="s">
        <v>835</v>
      </c>
      <c r="H599" s="118">
        <v>5</v>
      </c>
      <c r="I599" s="12">
        <v>4</v>
      </c>
      <c r="J599" s="12" t="s">
        <v>66</v>
      </c>
      <c r="K599" s="12" t="s">
        <v>67</v>
      </c>
      <c r="L599" s="12" t="s">
        <v>67</v>
      </c>
      <c r="M599" s="12" t="s">
        <v>67</v>
      </c>
    </row>
    <row r="600" ht="16.5" spans="1:13">
      <c r="A600" s="12" t="s">
        <v>35</v>
      </c>
      <c r="B600" s="12" t="s">
        <v>39</v>
      </c>
      <c r="C600" s="75">
        <v>46063</v>
      </c>
      <c r="D600" s="74" t="s">
        <v>597</v>
      </c>
      <c r="E600" s="12" t="s">
        <v>125</v>
      </c>
      <c r="F600" s="74" t="s">
        <v>598</v>
      </c>
      <c r="G600" s="74" t="s">
        <v>159</v>
      </c>
      <c r="H600" s="118">
        <v>5</v>
      </c>
      <c r="I600" s="12">
        <v>2</v>
      </c>
      <c r="J600" s="12" t="s">
        <v>66</v>
      </c>
      <c r="K600" s="12" t="s">
        <v>67</v>
      </c>
      <c r="L600" s="12" t="s">
        <v>67</v>
      </c>
      <c r="M600" s="12" t="s">
        <v>67</v>
      </c>
    </row>
    <row r="601" ht="16.5" spans="1:13">
      <c r="A601" s="12" t="s">
        <v>29</v>
      </c>
      <c r="B601" s="12" t="s">
        <v>39</v>
      </c>
      <c r="C601" s="75">
        <v>46063</v>
      </c>
      <c r="D601" s="74" t="s">
        <v>469</v>
      </c>
      <c r="E601" s="12" t="s">
        <v>130</v>
      </c>
      <c r="F601" s="74" t="s">
        <v>750</v>
      </c>
      <c r="G601" s="74" t="s">
        <v>836</v>
      </c>
      <c r="H601" s="118">
        <v>5</v>
      </c>
      <c r="I601" s="12">
        <v>5</v>
      </c>
      <c r="J601" s="12" t="s">
        <v>66</v>
      </c>
      <c r="K601" s="12" t="s">
        <v>67</v>
      </c>
      <c r="L601" s="12" t="s">
        <v>67</v>
      </c>
      <c r="M601" s="12" t="s">
        <v>67</v>
      </c>
    </row>
    <row r="602" ht="16.5" spans="1:13">
      <c r="A602" s="12" t="s">
        <v>38</v>
      </c>
      <c r="B602" s="12" t="s">
        <v>39</v>
      </c>
      <c r="C602" s="75">
        <v>46063</v>
      </c>
      <c r="D602" s="74" t="s">
        <v>376</v>
      </c>
      <c r="E602" s="12" t="s">
        <v>148</v>
      </c>
      <c r="F602" s="74" t="s">
        <v>377</v>
      </c>
      <c r="G602" s="74" t="s">
        <v>366</v>
      </c>
      <c r="H602" s="118">
        <v>5</v>
      </c>
      <c r="I602" s="12">
        <v>4</v>
      </c>
      <c r="J602" s="12" t="s">
        <v>66</v>
      </c>
      <c r="K602" s="12" t="s">
        <v>67</v>
      </c>
      <c r="L602" s="12" t="s">
        <v>67</v>
      </c>
      <c r="M602" s="12" t="s">
        <v>67</v>
      </c>
    </row>
    <row r="603" ht="16.5" spans="1:13">
      <c r="A603" s="12" t="s">
        <v>38</v>
      </c>
      <c r="B603" s="12" t="s">
        <v>39</v>
      </c>
      <c r="C603" s="75">
        <v>46063</v>
      </c>
      <c r="D603" s="74" t="s">
        <v>376</v>
      </c>
      <c r="E603" s="12" t="s">
        <v>148</v>
      </c>
      <c r="F603" s="74" t="s">
        <v>377</v>
      </c>
      <c r="G603" s="74" t="s">
        <v>837</v>
      </c>
      <c r="H603" s="118">
        <v>5</v>
      </c>
      <c r="I603" s="12">
        <v>4</v>
      </c>
      <c r="J603" s="12" t="s">
        <v>66</v>
      </c>
      <c r="K603" s="12" t="s">
        <v>67</v>
      </c>
      <c r="L603" s="12" t="s">
        <v>67</v>
      </c>
      <c r="M603" s="12" t="s">
        <v>67</v>
      </c>
    </row>
    <row r="604" ht="16.5" spans="1:13">
      <c r="A604" s="12" t="s">
        <v>36</v>
      </c>
      <c r="B604" s="12" t="s">
        <v>39</v>
      </c>
      <c r="C604" s="75">
        <v>46063</v>
      </c>
      <c r="D604" s="74" t="s">
        <v>587</v>
      </c>
      <c r="E604" s="12" t="s">
        <v>173</v>
      </c>
      <c r="F604" s="74" t="s">
        <v>838</v>
      </c>
      <c r="G604" s="74" t="s">
        <v>839</v>
      </c>
      <c r="H604" s="118">
        <v>5</v>
      </c>
      <c r="I604" s="12">
        <v>5</v>
      </c>
      <c r="J604" s="12" t="s">
        <v>66</v>
      </c>
      <c r="K604" s="12" t="s">
        <v>67</v>
      </c>
      <c r="L604" s="12" t="s">
        <v>67</v>
      </c>
      <c r="M604" s="12" t="s">
        <v>67</v>
      </c>
    </row>
    <row r="605" ht="16.5" spans="1:13">
      <c r="A605" s="12" t="s">
        <v>36</v>
      </c>
      <c r="B605" s="12" t="s">
        <v>39</v>
      </c>
      <c r="C605" s="75">
        <v>46063</v>
      </c>
      <c r="D605" s="74" t="s">
        <v>587</v>
      </c>
      <c r="E605" s="12" t="s">
        <v>173</v>
      </c>
      <c r="F605" s="74" t="s">
        <v>840</v>
      </c>
      <c r="G605" s="74" t="s">
        <v>841</v>
      </c>
      <c r="H605" s="118">
        <v>5</v>
      </c>
      <c r="I605" s="12">
        <v>5</v>
      </c>
      <c r="J605" s="12" t="s">
        <v>66</v>
      </c>
      <c r="K605" s="12" t="s">
        <v>67</v>
      </c>
      <c r="L605" s="12" t="s">
        <v>67</v>
      </c>
      <c r="M605" s="12" t="s">
        <v>67</v>
      </c>
    </row>
    <row r="606" ht="16.5" spans="1:13">
      <c r="A606" s="12" t="s">
        <v>38</v>
      </c>
      <c r="B606" s="12" t="s">
        <v>39</v>
      </c>
      <c r="C606" s="75">
        <v>46062</v>
      </c>
      <c r="D606" s="74" t="s">
        <v>95</v>
      </c>
      <c r="E606" s="12" t="s">
        <v>63</v>
      </c>
      <c r="F606" s="74" t="s">
        <v>96</v>
      </c>
      <c r="G606" s="74" t="s">
        <v>84</v>
      </c>
      <c r="H606" s="118">
        <v>5</v>
      </c>
      <c r="I606" s="12">
        <v>5</v>
      </c>
      <c r="J606" s="12" t="s">
        <v>66</v>
      </c>
      <c r="K606" s="12" t="s">
        <v>67</v>
      </c>
      <c r="L606" s="12" t="s">
        <v>67</v>
      </c>
      <c r="M606" s="12" t="s">
        <v>67</v>
      </c>
    </row>
    <row r="607" ht="16.5" spans="1:13">
      <c r="A607" s="12" t="s">
        <v>37</v>
      </c>
      <c r="B607" s="12" t="s">
        <v>39</v>
      </c>
      <c r="C607" s="75">
        <v>46062</v>
      </c>
      <c r="D607" s="74" t="s">
        <v>137</v>
      </c>
      <c r="E607" s="12" t="s">
        <v>109</v>
      </c>
      <c r="F607" s="74" t="s">
        <v>138</v>
      </c>
      <c r="G607" s="74" t="s">
        <v>842</v>
      </c>
      <c r="H607" s="118">
        <v>5</v>
      </c>
      <c r="I607" s="12">
        <v>3</v>
      </c>
      <c r="J607" s="12" t="s">
        <v>66</v>
      </c>
      <c r="K607" s="12" t="s">
        <v>67</v>
      </c>
      <c r="L607" s="12" t="s">
        <v>67</v>
      </c>
      <c r="M607" s="12" t="s">
        <v>67</v>
      </c>
    </row>
    <row r="608" ht="16.5" spans="1:13">
      <c r="A608" s="12" t="s">
        <v>38</v>
      </c>
      <c r="B608" s="12" t="s">
        <v>39</v>
      </c>
      <c r="C608" s="75">
        <v>46062</v>
      </c>
      <c r="D608" s="74" t="s">
        <v>322</v>
      </c>
      <c r="E608" s="12" t="s">
        <v>168</v>
      </c>
      <c r="F608" s="74" t="s">
        <v>153</v>
      </c>
      <c r="G608" s="74" t="s">
        <v>843</v>
      </c>
      <c r="H608" s="118">
        <v>5</v>
      </c>
      <c r="I608" s="12">
        <v>4</v>
      </c>
      <c r="J608" s="12" t="s">
        <v>66</v>
      </c>
      <c r="K608" s="12" t="s">
        <v>67</v>
      </c>
      <c r="L608" s="12" t="s">
        <v>67</v>
      </c>
      <c r="M608" s="12" t="s">
        <v>67</v>
      </c>
    </row>
    <row r="609" ht="16.5" spans="1:13">
      <c r="A609" s="12" t="s">
        <v>38</v>
      </c>
      <c r="B609" s="12" t="s">
        <v>39</v>
      </c>
      <c r="C609" s="75">
        <v>46062</v>
      </c>
      <c r="D609" s="74" t="s">
        <v>155</v>
      </c>
      <c r="E609" s="12" t="s">
        <v>144</v>
      </c>
      <c r="F609" s="74" t="s">
        <v>156</v>
      </c>
      <c r="G609" s="74" t="s">
        <v>844</v>
      </c>
      <c r="H609" s="118">
        <v>5</v>
      </c>
      <c r="I609" s="12">
        <v>5</v>
      </c>
      <c r="J609" s="12" t="s">
        <v>66</v>
      </c>
      <c r="K609" s="12" t="s">
        <v>67</v>
      </c>
      <c r="L609" s="12" t="s">
        <v>67</v>
      </c>
      <c r="M609" s="12" t="s">
        <v>67</v>
      </c>
    </row>
    <row r="610" ht="16.5" spans="1:13">
      <c r="A610" s="12" t="s">
        <v>33</v>
      </c>
      <c r="B610" s="12" t="s">
        <v>39</v>
      </c>
      <c r="C610" s="75">
        <v>46062</v>
      </c>
      <c r="D610" s="74" t="s">
        <v>740</v>
      </c>
      <c r="E610" s="12" t="s">
        <v>537</v>
      </c>
      <c r="F610" s="74" t="s">
        <v>845</v>
      </c>
      <c r="G610" s="74" t="s">
        <v>846</v>
      </c>
      <c r="H610" s="118">
        <v>5</v>
      </c>
      <c r="I610" s="12">
        <v>3</v>
      </c>
      <c r="J610" s="12" t="s">
        <v>66</v>
      </c>
      <c r="K610" s="12" t="s">
        <v>67</v>
      </c>
      <c r="L610" s="12" t="s">
        <v>67</v>
      </c>
      <c r="M610" s="12" t="s">
        <v>67</v>
      </c>
    </row>
    <row r="611" ht="16.5" spans="1:13">
      <c r="A611" s="12" t="s">
        <v>31</v>
      </c>
      <c r="B611" s="12" t="s">
        <v>39</v>
      </c>
      <c r="C611" s="75">
        <v>46062</v>
      </c>
      <c r="D611" s="74" t="s">
        <v>160</v>
      </c>
      <c r="E611" s="12" t="s">
        <v>79</v>
      </c>
      <c r="F611" s="74" t="s">
        <v>161</v>
      </c>
      <c r="G611" s="74" t="s">
        <v>769</v>
      </c>
      <c r="H611" s="118">
        <v>5</v>
      </c>
      <c r="I611" s="12">
        <v>3</v>
      </c>
      <c r="J611" s="12" t="s">
        <v>66</v>
      </c>
      <c r="K611" s="12" t="s">
        <v>67</v>
      </c>
      <c r="L611" s="12" t="s">
        <v>67</v>
      </c>
      <c r="M611" s="12" t="s">
        <v>67</v>
      </c>
    </row>
    <row r="612" ht="16.5" spans="1:13">
      <c r="A612" s="12" t="s">
        <v>29</v>
      </c>
      <c r="B612" s="12" t="s">
        <v>39</v>
      </c>
      <c r="C612" s="75">
        <v>46062</v>
      </c>
      <c r="D612" s="74" t="s">
        <v>361</v>
      </c>
      <c r="E612" s="12" t="s">
        <v>130</v>
      </c>
      <c r="F612" s="74" t="s">
        <v>847</v>
      </c>
      <c r="G612" s="74" t="s">
        <v>848</v>
      </c>
      <c r="H612" s="118">
        <v>5</v>
      </c>
      <c r="I612" s="12">
        <v>4</v>
      </c>
      <c r="J612" s="12" t="s">
        <v>66</v>
      </c>
      <c r="K612" s="12" t="s">
        <v>67</v>
      </c>
      <c r="L612" s="12" t="s">
        <v>67</v>
      </c>
      <c r="M612" s="12" t="s">
        <v>67</v>
      </c>
    </row>
    <row r="613" ht="16.5" spans="1:13">
      <c r="A613" s="12" t="s">
        <v>37</v>
      </c>
      <c r="B613" s="12" t="s">
        <v>39</v>
      </c>
      <c r="C613" s="75">
        <v>46080</v>
      </c>
      <c r="D613" s="74" t="s">
        <v>482</v>
      </c>
      <c r="E613" s="12" t="s">
        <v>152</v>
      </c>
      <c r="F613" s="74" t="s">
        <v>483</v>
      </c>
      <c r="G613" s="74" t="s">
        <v>849</v>
      </c>
      <c r="H613" s="118">
        <v>5</v>
      </c>
      <c r="I613" s="12">
        <v>4</v>
      </c>
      <c r="J613" s="12" t="s">
        <v>66</v>
      </c>
      <c r="K613" s="12" t="s">
        <v>67</v>
      </c>
      <c r="L613" s="12" t="s">
        <v>67</v>
      </c>
      <c r="M613" s="12" t="s">
        <v>67</v>
      </c>
    </row>
    <row r="614" ht="16.5" spans="1:13">
      <c r="A614" s="12" t="s">
        <v>37</v>
      </c>
      <c r="B614" s="12" t="s">
        <v>39</v>
      </c>
      <c r="C614" s="75">
        <v>46062</v>
      </c>
      <c r="D614" s="74" t="s">
        <v>237</v>
      </c>
      <c r="E614" s="12" t="s">
        <v>152</v>
      </c>
      <c r="F614" s="74" t="s">
        <v>238</v>
      </c>
      <c r="G614" s="74" t="s">
        <v>92</v>
      </c>
      <c r="H614" s="118">
        <v>5</v>
      </c>
      <c r="I614" s="12">
        <v>3</v>
      </c>
      <c r="J614" s="12" t="s">
        <v>66</v>
      </c>
      <c r="K614" s="12" t="s">
        <v>67</v>
      </c>
      <c r="L614" s="12" t="s">
        <v>67</v>
      </c>
      <c r="M614" s="12" t="s">
        <v>67</v>
      </c>
    </row>
    <row r="615" ht="16.5" spans="1:13">
      <c r="A615" s="12" t="s">
        <v>37</v>
      </c>
      <c r="B615" s="12" t="s">
        <v>39</v>
      </c>
      <c r="C615" s="75">
        <v>46061</v>
      </c>
      <c r="D615" s="74" t="s">
        <v>623</v>
      </c>
      <c r="E615" s="12" t="s">
        <v>152</v>
      </c>
      <c r="F615" s="74" t="s">
        <v>850</v>
      </c>
      <c r="G615" s="74" t="s">
        <v>851</v>
      </c>
      <c r="H615" s="118">
        <v>5</v>
      </c>
      <c r="I615" s="12">
        <v>5</v>
      </c>
      <c r="J615" s="12" t="s">
        <v>66</v>
      </c>
      <c r="K615" s="12" t="s">
        <v>67</v>
      </c>
      <c r="L615" s="12" t="s">
        <v>67</v>
      </c>
      <c r="M615" s="12" t="s">
        <v>67</v>
      </c>
    </row>
    <row r="616" ht="16.5" spans="1:13">
      <c r="A616" s="12" t="s">
        <v>32</v>
      </c>
      <c r="B616" s="12" t="s">
        <v>39</v>
      </c>
      <c r="C616" s="75">
        <v>46061</v>
      </c>
      <c r="D616" s="74" t="s">
        <v>312</v>
      </c>
      <c r="E616" s="12" t="s">
        <v>105</v>
      </c>
      <c r="F616" s="74" t="s">
        <v>852</v>
      </c>
      <c r="G616" s="74" t="s">
        <v>154</v>
      </c>
      <c r="H616" s="118">
        <v>5</v>
      </c>
      <c r="I616" s="12">
        <v>3</v>
      </c>
      <c r="J616" s="12" t="s">
        <v>66</v>
      </c>
      <c r="K616" s="12" t="s">
        <v>67</v>
      </c>
      <c r="L616" s="12" t="s">
        <v>67</v>
      </c>
      <c r="M616" s="12" t="s">
        <v>67</v>
      </c>
    </row>
    <row r="617" ht="16.5" spans="1:13">
      <c r="A617" s="12" t="s">
        <v>31</v>
      </c>
      <c r="B617" s="12" t="s">
        <v>39</v>
      </c>
      <c r="C617" s="75">
        <v>46061</v>
      </c>
      <c r="D617" s="74" t="s">
        <v>473</v>
      </c>
      <c r="E617" s="12" t="s">
        <v>90</v>
      </c>
      <c r="F617" s="74" t="s">
        <v>474</v>
      </c>
      <c r="G617" s="74" t="s">
        <v>853</v>
      </c>
      <c r="H617" s="118">
        <v>5</v>
      </c>
      <c r="I617" s="12">
        <v>4</v>
      </c>
      <c r="J617" s="12" t="s">
        <v>66</v>
      </c>
      <c r="K617" s="12" t="s">
        <v>67</v>
      </c>
      <c r="L617" s="12" t="s">
        <v>67</v>
      </c>
      <c r="M617" s="12" t="s">
        <v>67</v>
      </c>
    </row>
    <row r="618" ht="16.5" spans="1:13">
      <c r="A618" s="12" t="s">
        <v>37</v>
      </c>
      <c r="B618" s="12" t="s">
        <v>39</v>
      </c>
      <c r="C618" s="75">
        <v>46080</v>
      </c>
      <c r="D618" s="74" t="s">
        <v>482</v>
      </c>
      <c r="E618" s="12" t="s">
        <v>152</v>
      </c>
      <c r="F618" s="74" t="s">
        <v>483</v>
      </c>
      <c r="G618" s="74" t="s">
        <v>724</v>
      </c>
      <c r="H618" s="118">
        <v>5</v>
      </c>
      <c r="I618" s="12">
        <v>4</v>
      </c>
      <c r="J618" s="12" t="s">
        <v>66</v>
      </c>
      <c r="K618" s="12" t="s">
        <v>67</v>
      </c>
      <c r="L618" s="12" t="s">
        <v>67</v>
      </c>
      <c r="M618" s="12" t="s">
        <v>67</v>
      </c>
    </row>
    <row r="619" ht="16.5" spans="1:13">
      <c r="A619" s="12" t="s">
        <v>38</v>
      </c>
      <c r="B619" s="12" t="s">
        <v>39</v>
      </c>
      <c r="C619" s="75">
        <v>46061</v>
      </c>
      <c r="D619" s="74" t="s">
        <v>427</v>
      </c>
      <c r="E619" s="12" t="s">
        <v>220</v>
      </c>
      <c r="F619" s="74" t="s">
        <v>161</v>
      </c>
      <c r="G619" s="74" t="s">
        <v>854</v>
      </c>
      <c r="H619" s="118">
        <v>5</v>
      </c>
      <c r="I619" s="12">
        <v>6</v>
      </c>
      <c r="J619" s="12" t="s">
        <v>66</v>
      </c>
      <c r="K619" s="12" t="s">
        <v>67</v>
      </c>
      <c r="L619" s="12" t="s">
        <v>67</v>
      </c>
      <c r="M619" s="12" t="s">
        <v>67</v>
      </c>
    </row>
    <row r="620" ht="16.5" spans="1:13">
      <c r="A620" s="12" t="s">
        <v>31</v>
      </c>
      <c r="B620" s="12" t="s">
        <v>39</v>
      </c>
      <c r="C620" s="75">
        <v>46061</v>
      </c>
      <c r="D620" s="74" t="s">
        <v>160</v>
      </c>
      <c r="E620" s="12" t="s">
        <v>79</v>
      </c>
      <c r="F620" s="74" t="s">
        <v>161</v>
      </c>
      <c r="G620" s="74" t="s">
        <v>855</v>
      </c>
      <c r="H620" s="118">
        <v>5</v>
      </c>
      <c r="I620" s="12">
        <v>3</v>
      </c>
      <c r="J620" s="12" t="s">
        <v>66</v>
      </c>
      <c r="K620" s="12" t="s">
        <v>67</v>
      </c>
      <c r="L620" s="12" t="s">
        <v>67</v>
      </c>
      <c r="M620" s="12" t="s">
        <v>67</v>
      </c>
    </row>
    <row r="621" ht="16.5" spans="1:13">
      <c r="A621" s="12" t="s">
        <v>38</v>
      </c>
      <c r="B621" s="12" t="s">
        <v>39</v>
      </c>
      <c r="C621" s="75">
        <v>46061</v>
      </c>
      <c r="D621" s="74" t="s">
        <v>628</v>
      </c>
      <c r="E621" s="12" t="s">
        <v>70</v>
      </c>
      <c r="F621" s="74" t="s">
        <v>629</v>
      </c>
      <c r="G621" s="74" t="s">
        <v>856</v>
      </c>
      <c r="H621" s="118">
        <v>5</v>
      </c>
      <c r="I621" s="12">
        <v>4</v>
      </c>
      <c r="J621" s="12" t="s">
        <v>66</v>
      </c>
      <c r="K621" s="12" t="s">
        <v>67</v>
      </c>
      <c r="L621" s="12" t="s">
        <v>67</v>
      </c>
      <c r="M621" s="12" t="s">
        <v>67</v>
      </c>
    </row>
    <row r="622" ht="16.5" spans="1:13">
      <c r="A622" s="12" t="s">
        <v>38</v>
      </c>
      <c r="B622" s="12" t="s">
        <v>39</v>
      </c>
      <c r="C622" s="75">
        <v>46061</v>
      </c>
      <c r="D622" s="74" t="s">
        <v>319</v>
      </c>
      <c r="E622" s="12" t="s">
        <v>168</v>
      </c>
      <c r="F622" s="74" t="s">
        <v>161</v>
      </c>
      <c r="G622" s="74" t="s">
        <v>214</v>
      </c>
      <c r="H622" s="118">
        <v>5</v>
      </c>
      <c r="I622" s="12">
        <v>5</v>
      </c>
      <c r="J622" s="12" t="s">
        <v>66</v>
      </c>
      <c r="K622" s="12" t="s">
        <v>67</v>
      </c>
      <c r="L622" s="12" t="s">
        <v>67</v>
      </c>
      <c r="M622" s="12" t="s">
        <v>67</v>
      </c>
    </row>
    <row r="623" ht="16.5" spans="1:13">
      <c r="A623" s="12" t="s">
        <v>38</v>
      </c>
      <c r="B623" s="12" t="s">
        <v>39</v>
      </c>
      <c r="C623" s="75">
        <v>46061</v>
      </c>
      <c r="D623" s="74" t="s">
        <v>441</v>
      </c>
      <c r="E623" s="12" t="s">
        <v>220</v>
      </c>
      <c r="F623" s="74" t="s">
        <v>798</v>
      </c>
      <c r="G623" s="74" t="s">
        <v>857</v>
      </c>
      <c r="H623" s="118">
        <v>5</v>
      </c>
      <c r="I623" s="12">
        <v>7</v>
      </c>
      <c r="J623" s="12" t="s">
        <v>66</v>
      </c>
      <c r="K623" s="12" t="s">
        <v>67</v>
      </c>
      <c r="L623" s="12" t="s">
        <v>67</v>
      </c>
      <c r="M623" s="12" t="s">
        <v>67</v>
      </c>
    </row>
    <row r="624" ht="16.5" spans="1:13">
      <c r="A624" s="12" t="s">
        <v>38</v>
      </c>
      <c r="B624" s="12" t="s">
        <v>39</v>
      </c>
      <c r="C624" s="75">
        <v>46061</v>
      </c>
      <c r="D624" s="74" t="s">
        <v>400</v>
      </c>
      <c r="E624" s="12" t="s">
        <v>75</v>
      </c>
      <c r="F624" s="74" t="s">
        <v>401</v>
      </c>
      <c r="G624" s="74" t="s">
        <v>858</v>
      </c>
      <c r="H624" s="118">
        <v>5</v>
      </c>
      <c r="I624" s="12">
        <v>3</v>
      </c>
      <c r="J624" s="12" t="s">
        <v>66</v>
      </c>
      <c r="K624" s="12" t="s">
        <v>67</v>
      </c>
      <c r="L624" s="12" t="s">
        <v>67</v>
      </c>
      <c r="M624" s="12" t="s">
        <v>67</v>
      </c>
    </row>
    <row r="625" ht="16.5" spans="1:13">
      <c r="A625" s="12" t="s">
        <v>35</v>
      </c>
      <c r="B625" s="12" t="s">
        <v>39</v>
      </c>
      <c r="C625" s="75">
        <v>46061</v>
      </c>
      <c r="D625" s="74" t="s">
        <v>444</v>
      </c>
      <c r="E625" s="12" t="s">
        <v>125</v>
      </c>
      <c r="F625" s="74" t="s">
        <v>445</v>
      </c>
      <c r="G625" s="74" t="s">
        <v>859</v>
      </c>
      <c r="H625" s="118">
        <v>5</v>
      </c>
      <c r="I625" s="12">
        <v>3</v>
      </c>
      <c r="J625" s="12" t="s">
        <v>66</v>
      </c>
      <c r="K625" s="12" t="s">
        <v>67</v>
      </c>
      <c r="L625" s="12" t="s">
        <v>67</v>
      </c>
      <c r="M625" s="12" t="s">
        <v>67</v>
      </c>
    </row>
    <row r="626" ht="16.5" spans="1:13">
      <c r="A626" s="12" t="s">
        <v>35</v>
      </c>
      <c r="B626" s="12" t="s">
        <v>39</v>
      </c>
      <c r="C626" s="75">
        <v>46061</v>
      </c>
      <c r="D626" s="74" t="s">
        <v>605</v>
      </c>
      <c r="E626" s="12" t="s">
        <v>125</v>
      </c>
      <c r="F626" s="74" t="s">
        <v>606</v>
      </c>
      <c r="G626" s="74" t="s">
        <v>860</v>
      </c>
      <c r="H626" s="118">
        <v>5</v>
      </c>
      <c r="I626" s="12">
        <v>3</v>
      </c>
      <c r="J626" s="12" t="s">
        <v>66</v>
      </c>
      <c r="K626" s="12" t="s">
        <v>67</v>
      </c>
      <c r="L626" s="12" t="s">
        <v>67</v>
      </c>
      <c r="M626" s="12" t="s">
        <v>67</v>
      </c>
    </row>
    <row r="627" ht="16.5" spans="1:13">
      <c r="A627" s="12" t="s">
        <v>35</v>
      </c>
      <c r="B627" s="12" t="s">
        <v>39</v>
      </c>
      <c r="C627" s="75">
        <v>46061</v>
      </c>
      <c r="D627" s="74" t="s">
        <v>605</v>
      </c>
      <c r="E627" s="12" t="s">
        <v>125</v>
      </c>
      <c r="F627" s="74" t="s">
        <v>606</v>
      </c>
      <c r="G627" s="74" t="s">
        <v>861</v>
      </c>
      <c r="H627" s="118">
        <v>5</v>
      </c>
      <c r="I627" s="12">
        <v>3</v>
      </c>
      <c r="J627" s="12" t="s">
        <v>66</v>
      </c>
      <c r="K627" s="12" t="s">
        <v>67</v>
      </c>
      <c r="L627" s="12" t="s">
        <v>67</v>
      </c>
      <c r="M627" s="12" t="s">
        <v>67</v>
      </c>
    </row>
    <row r="628" ht="16.5" spans="1:13">
      <c r="A628" s="12" t="s">
        <v>38</v>
      </c>
      <c r="B628" s="12" t="s">
        <v>39</v>
      </c>
      <c r="C628" s="75">
        <v>46061</v>
      </c>
      <c r="D628" s="74" t="s">
        <v>411</v>
      </c>
      <c r="E628" s="12" t="s">
        <v>70</v>
      </c>
      <c r="F628" s="74" t="s">
        <v>412</v>
      </c>
      <c r="G628" s="74" t="s">
        <v>214</v>
      </c>
      <c r="H628" s="118">
        <v>5</v>
      </c>
      <c r="I628" s="12">
        <v>4</v>
      </c>
      <c r="J628" s="12" t="s">
        <v>66</v>
      </c>
      <c r="K628" s="12" t="s">
        <v>67</v>
      </c>
      <c r="L628" s="12" t="s">
        <v>67</v>
      </c>
      <c r="M628" s="12" t="s">
        <v>67</v>
      </c>
    </row>
    <row r="629" ht="16.5" spans="1:13">
      <c r="A629" s="12" t="s">
        <v>38</v>
      </c>
      <c r="B629" s="12" t="s">
        <v>39</v>
      </c>
      <c r="C629" s="75">
        <v>46061</v>
      </c>
      <c r="D629" s="74" t="s">
        <v>336</v>
      </c>
      <c r="E629" s="12" t="s">
        <v>70</v>
      </c>
      <c r="F629" s="74" t="s">
        <v>337</v>
      </c>
      <c r="G629" s="74" t="s">
        <v>862</v>
      </c>
      <c r="H629" s="118">
        <v>5</v>
      </c>
      <c r="I629" s="12">
        <v>5</v>
      </c>
      <c r="J629" s="12" t="s">
        <v>66</v>
      </c>
      <c r="K629" s="12" t="s">
        <v>67</v>
      </c>
      <c r="L629" s="12" t="s">
        <v>67</v>
      </c>
      <c r="M629" s="12" t="s">
        <v>67</v>
      </c>
    </row>
    <row r="630" ht="16.5" spans="1:13">
      <c r="A630" s="12" t="s">
        <v>37</v>
      </c>
      <c r="B630" s="12" t="s">
        <v>39</v>
      </c>
      <c r="C630" s="75">
        <v>46061</v>
      </c>
      <c r="D630" s="74" t="s">
        <v>237</v>
      </c>
      <c r="E630" s="12" t="s">
        <v>152</v>
      </c>
      <c r="F630" s="74" t="s">
        <v>238</v>
      </c>
      <c r="G630" s="74" t="s">
        <v>863</v>
      </c>
      <c r="H630" s="118">
        <v>5</v>
      </c>
      <c r="I630" s="12">
        <v>3</v>
      </c>
      <c r="J630" s="12" t="s">
        <v>66</v>
      </c>
      <c r="K630" s="12" t="s">
        <v>67</v>
      </c>
      <c r="L630" s="12" t="s">
        <v>67</v>
      </c>
      <c r="M630" s="12" t="s">
        <v>67</v>
      </c>
    </row>
    <row r="631" ht="16.5" spans="1:13">
      <c r="A631" s="12" t="s">
        <v>38</v>
      </c>
      <c r="B631" s="12" t="s">
        <v>39</v>
      </c>
      <c r="C631" s="75">
        <v>46060</v>
      </c>
      <c r="D631" s="74" t="s">
        <v>227</v>
      </c>
      <c r="E631" s="12" t="s">
        <v>148</v>
      </c>
      <c r="F631" s="74" t="s">
        <v>228</v>
      </c>
      <c r="G631" s="74" t="s">
        <v>632</v>
      </c>
      <c r="H631" s="118">
        <v>5</v>
      </c>
      <c r="I631" s="12">
        <v>3</v>
      </c>
      <c r="J631" s="12" t="s">
        <v>66</v>
      </c>
      <c r="K631" s="12" t="s">
        <v>67</v>
      </c>
      <c r="L631" s="12" t="s">
        <v>67</v>
      </c>
      <c r="M631" s="12" t="s">
        <v>67</v>
      </c>
    </row>
    <row r="632" ht="16.5" spans="1:13">
      <c r="A632" s="12" t="s">
        <v>32</v>
      </c>
      <c r="B632" s="12" t="s">
        <v>39</v>
      </c>
      <c r="C632" s="75">
        <v>46060</v>
      </c>
      <c r="D632" s="74" t="s">
        <v>312</v>
      </c>
      <c r="E632" s="12" t="s">
        <v>105</v>
      </c>
      <c r="F632" s="74" t="s">
        <v>852</v>
      </c>
      <c r="G632" s="74" t="s">
        <v>864</v>
      </c>
      <c r="H632" s="118">
        <v>5</v>
      </c>
      <c r="I632" s="12">
        <v>3</v>
      </c>
      <c r="J632" s="12" t="s">
        <v>66</v>
      </c>
      <c r="K632" s="12" t="s">
        <v>67</v>
      </c>
      <c r="L632" s="12" t="s">
        <v>67</v>
      </c>
      <c r="M632" s="12" t="s">
        <v>67</v>
      </c>
    </row>
    <row r="633" ht="16.5" spans="1:13">
      <c r="A633" s="12" t="s">
        <v>38</v>
      </c>
      <c r="B633" s="12" t="s">
        <v>39</v>
      </c>
      <c r="C633" s="75">
        <v>46060</v>
      </c>
      <c r="D633" s="74" t="s">
        <v>155</v>
      </c>
      <c r="E633" s="12" t="s">
        <v>144</v>
      </c>
      <c r="F633" s="74" t="s">
        <v>156</v>
      </c>
      <c r="G633" s="74" t="s">
        <v>865</v>
      </c>
      <c r="H633" s="118">
        <v>5</v>
      </c>
      <c r="I633" s="12">
        <v>5</v>
      </c>
      <c r="J633" s="12" t="s">
        <v>66</v>
      </c>
      <c r="K633" s="12" t="s">
        <v>67</v>
      </c>
      <c r="L633" s="12" t="s">
        <v>67</v>
      </c>
      <c r="M633" s="12" t="s">
        <v>67</v>
      </c>
    </row>
    <row r="634" ht="16.5" spans="1:13">
      <c r="A634" s="12" t="s">
        <v>32</v>
      </c>
      <c r="B634" s="12" t="s">
        <v>39</v>
      </c>
      <c r="C634" s="75">
        <v>46060</v>
      </c>
      <c r="D634" s="74" t="s">
        <v>487</v>
      </c>
      <c r="E634" s="12" t="s">
        <v>105</v>
      </c>
      <c r="F634" s="74" t="s">
        <v>488</v>
      </c>
      <c r="G634" s="74" t="s">
        <v>866</v>
      </c>
      <c r="H634" s="118">
        <v>5</v>
      </c>
      <c r="I634" s="12">
        <v>3</v>
      </c>
      <c r="J634" s="12" t="s">
        <v>66</v>
      </c>
      <c r="K634" s="12" t="s">
        <v>67</v>
      </c>
      <c r="L634" s="12" t="s">
        <v>67</v>
      </c>
      <c r="M634" s="12" t="s">
        <v>67</v>
      </c>
    </row>
    <row r="635" ht="16.5" spans="1:13">
      <c r="A635" s="12" t="s">
        <v>32</v>
      </c>
      <c r="B635" s="12" t="s">
        <v>39</v>
      </c>
      <c r="C635" s="75">
        <v>46060</v>
      </c>
      <c r="D635" s="74" t="s">
        <v>165</v>
      </c>
      <c r="E635" s="12" t="s">
        <v>105</v>
      </c>
      <c r="F635" s="74" t="s">
        <v>166</v>
      </c>
      <c r="G635" s="74" t="s">
        <v>301</v>
      </c>
      <c r="H635" s="118">
        <v>5</v>
      </c>
      <c r="I635" s="12">
        <v>2</v>
      </c>
      <c r="J635" s="12" t="s">
        <v>66</v>
      </c>
      <c r="K635" s="12" t="s">
        <v>67</v>
      </c>
      <c r="L635" s="12" t="s">
        <v>67</v>
      </c>
      <c r="M635" s="12" t="s">
        <v>67</v>
      </c>
    </row>
    <row r="636" ht="16.5" spans="1:13">
      <c r="A636" s="12" t="s">
        <v>38</v>
      </c>
      <c r="B636" s="12" t="s">
        <v>39</v>
      </c>
      <c r="C636" s="75">
        <v>46060</v>
      </c>
      <c r="D636" s="74" t="s">
        <v>411</v>
      </c>
      <c r="E636" s="12" t="s">
        <v>70</v>
      </c>
      <c r="F636" s="74" t="s">
        <v>412</v>
      </c>
      <c r="G636" s="74" t="s">
        <v>215</v>
      </c>
      <c r="H636" s="118">
        <v>5</v>
      </c>
      <c r="I636" s="12">
        <v>4</v>
      </c>
      <c r="J636" s="12" t="s">
        <v>66</v>
      </c>
      <c r="K636" s="12" t="s">
        <v>67</v>
      </c>
      <c r="L636" s="12" t="s">
        <v>67</v>
      </c>
      <c r="M636" s="12" t="s">
        <v>67</v>
      </c>
    </row>
    <row r="637" ht="16.5" spans="1:13">
      <c r="A637" s="12" t="s">
        <v>38</v>
      </c>
      <c r="B637" s="12" t="s">
        <v>39</v>
      </c>
      <c r="C637" s="75">
        <v>46059</v>
      </c>
      <c r="D637" s="74" t="s">
        <v>531</v>
      </c>
      <c r="E637" s="12" t="s">
        <v>70</v>
      </c>
      <c r="F637" s="74" t="s">
        <v>867</v>
      </c>
      <c r="G637" s="74" t="s">
        <v>349</v>
      </c>
      <c r="H637" s="118">
        <v>4.93333333333333</v>
      </c>
      <c r="I637" s="12">
        <v>6</v>
      </c>
      <c r="J637" s="12" t="s">
        <v>66</v>
      </c>
      <c r="K637" s="12" t="s">
        <v>67</v>
      </c>
      <c r="L637" s="12" t="s">
        <v>67</v>
      </c>
      <c r="M637" s="12" t="s">
        <v>67</v>
      </c>
    </row>
    <row r="638" ht="16.5" spans="1:13">
      <c r="A638" s="12" t="s">
        <v>31</v>
      </c>
      <c r="B638" s="12" t="s">
        <v>39</v>
      </c>
      <c r="C638" s="75">
        <v>46059</v>
      </c>
      <c r="D638" s="74" t="s">
        <v>78</v>
      </c>
      <c r="E638" s="12" t="s">
        <v>79</v>
      </c>
      <c r="F638" s="74" t="s">
        <v>662</v>
      </c>
      <c r="G638" s="74" t="s">
        <v>868</v>
      </c>
      <c r="H638" s="118">
        <v>5</v>
      </c>
      <c r="I638" s="12">
        <v>3</v>
      </c>
      <c r="J638" s="12" t="s">
        <v>66</v>
      </c>
      <c r="K638" s="12" t="s">
        <v>67</v>
      </c>
      <c r="L638" s="12" t="s">
        <v>67</v>
      </c>
      <c r="M638" s="12" t="s">
        <v>67</v>
      </c>
    </row>
    <row r="639" ht="16.5" spans="1:13">
      <c r="A639" s="12" t="s">
        <v>38</v>
      </c>
      <c r="B639" s="12" t="s">
        <v>39</v>
      </c>
      <c r="C639" s="75">
        <v>46059</v>
      </c>
      <c r="D639" s="74" t="s">
        <v>371</v>
      </c>
      <c r="E639" s="12" t="s">
        <v>148</v>
      </c>
      <c r="F639" s="74" t="s">
        <v>372</v>
      </c>
      <c r="G639" s="74" t="s">
        <v>366</v>
      </c>
      <c r="H639" s="118">
        <v>5</v>
      </c>
      <c r="I639" s="12">
        <v>5</v>
      </c>
      <c r="J639" s="12" t="s">
        <v>66</v>
      </c>
      <c r="K639" s="12" t="s">
        <v>67</v>
      </c>
      <c r="L639" s="12" t="s">
        <v>67</v>
      </c>
      <c r="M639" s="12" t="s">
        <v>67</v>
      </c>
    </row>
    <row r="640" ht="16.5" spans="1:13">
      <c r="A640" s="12" t="s">
        <v>38</v>
      </c>
      <c r="B640" s="12" t="s">
        <v>39</v>
      </c>
      <c r="C640" s="75">
        <v>46059</v>
      </c>
      <c r="D640" s="74" t="s">
        <v>294</v>
      </c>
      <c r="E640" s="12" t="s">
        <v>63</v>
      </c>
      <c r="F640" s="74" t="s">
        <v>295</v>
      </c>
      <c r="G640" s="74" t="s">
        <v>869</v>
      </c>
      <c r="H640" s="118">
        <v>5</v>
      </c>
      <c r="I640" s="12">
        <v>5</v>
      </c>
      <c r="J640" s="12" t="s">
        <v>66</v>
      </c>
      <c r="K640" s="12" t="s">
        <v>67</v>
      </c>
      <c r="L640" s="12" t="s">
        <v>67</v>
      </c>
      <c r="M640" s="12" t="s">
        <v>67</v>
      </c>
    </row>
    <row r="641" ht="16.5" spans="1:13">
      <c r="A641" s="12" t="s">
        <v>38</v>
      </c>
      <c r="B641" s="12" t="s">
        <v>39</v>
      </c>
      <c r="C641" s="75">
        <v>46059</v>
      </c>
      <c r="D641" s="74" t="s">
        <v>294</v>
      </c>
      <c r="E641" s="12" t="s">
        <v>63</v>
      </c>
      <c r="F641" s="74" t="s">
        <v>295</v>
      </c>
      <c r="G641" s="74" t="s">
        <v>870</v>
      </c>
      <c r="H641" s="118">
        <v>5</v>
      </c>
      <c r="I641" s="12">
        <v>5</v>
      </c>
      <c r="J641" s="12" t="s">
        <v>66</v>
      </c>
      <c r="K641" s="12" t="s">
        <v>67</v>
      </c>
      <c r="L641" s="12" t="s">
        <v>67</v>
      </c>
      <c r="M641" s="12" t="s">
        <v>67</v>
      </c>
    </row>
    <row r="642" ht="16.5" spans="1:13">
      <c r="A642" s="12" t="s">
        <v>38</v>
      </c>
      <c r="B642" s="12" t="s">
        <v>39</v>
      </c>
      <c r="C642" s="75">
        <v>46059</v>
      </c>
      <c r="D642" s="74" t="s">
        <v>512</v>
      </c>
      <c r="E642" s="12" t="s">
        <v>75</v>
      </c>
      <c r="F642" s="74" t="s">
        <v>513</v>
      </c>
      <c r="G642" s="74" t="s">
        <v>871</v>
      </c>
      <c r="H642" s="118">
        <v>5</v>
      </c>
      <c r="I642" s="12">
        <v>4</v>
      </c>
      <c r="J642" s="12" t="s">
        <v>66</v>
      </c>
      <c r="K642" s="12" t="s">
        <v>67</v>
      </c>
      <c r="L642" s="12" t="s">
        <v>67</v>
      </c>
      <c r="M642" s="12" t="s">
        <v>67</v>
      </c>
    </row>
    <row r="643" ht="16.5" spans="1:13">
      <c r="A643" s="12" t="s">
        <v>38</v>
      </c>
      <c r="B643" s="12" t="s">
        <v>39</v>
      </c>
      <c r="C643" s="75">
        <v>46059</v>
      </c>
      <c r="D643" s="74" t="s">
        <v>628</v>
      </c>
      <c r="E643" s="12" t="s">
        <v>70</v>
      </c>
      <c r="F643" s="74" t="s">
        <v>629</v>
      </c>
      <c r="G643" s="74" t="s">
        <v>872</v>
      </c>
      <c r="H643" s="118">
        <v>5</v>
      </c>
      <c r="I643" s="12">
        <v>4</v>
      </c>
      <c r="J643" s="12" t="s">
        <v>66</v>
      </c>
      <c r="K643" s="12" t="s">
        <v>67</v>
      </c>
      <c r="L643" s="12" t="s">
        <v>67</v>
      </c>
      <c r="M643" s="12" t="s">
        <v>67</v>
      </c>
    </row>
    <row r="644" ht="16.5" spans="1:13">
      <c r="A644" s="12" t="s">
        <v>32</v>
      </c>
      <c r="B644" s="12" t="s">
        <v>39</v>
      </c>
      <c r="C644" s="75">
        <v>46059</v>
      </c>
      <c r="D644" s="74" t="s">
        <v>165</v>
      </c>
      <c r="E644" s="12" t="s">
        <v>105</v>
      </c>
      <c r="F644" s="74" t="s">
        <v>166</v>
      </c>
      <c r="G644" s="74" t="s">
        <v>92</v>
      </c>
      <c r="H644" s="118">
        <v>5</v>
      </c>
      <c r="I644" s="12">
        <v>2</v>
      </c>
      <c r="J644" s="12" t="s">
        <v>66</v>
      </c>
      <c r="K644" s="12" t="s">
        <v>67</v>
      </c>
      <c r="L644" s="12" t="s">
        <v>67</v>
      </c>
      <c r="M644" s="12" t="s">
        <v>67</v>
      </c>
    </row>
    <row r="645" ht="16.5" spans="1:13">
      <c r="A645" s="12" t="s">
        <v>35</v>
      </c>
      <c r="B645" s="12" t="s">
        <v>39</v>
      </c>
      <c r="C645" s="75">
        <v>46058</v>
      </c>
      <c r="D645" s="74" t="s">
        <v>597</v>
      </c>
      <c r="E645" s="12" t="s">
        <v>125</v>
      </c>
      <c r="F645" s="74" t="s">
        <v>598</v>
      </c>
      <c r="G645" s="74" t="s">
        <v>460</v>
      </c>
      <c r="H645" s="118">
        <v>5</v>
      </c>
      <c r="I645" s="12">
        <v>3</v>
      </c>
      <c r="J645" s="12" t="s">
        <v>66</v>
      </c>
      <c r="K645" s="12" t="s">
        <v>67</v>
      </c>
      <c r="L645" s="12" t="s">
        <v>67</v>
      </c>
      <c r="M645" s="12" t="s">
        <v>67</v>
      </c>
    </row>
    <row r="646" ht="16.5" spans="1:13">
      <c r="A646" s="12" t="s">
        <v>33</v>
      </c>
      <c r="B646" s="12" t="s">
        <v>39</v>
      </c>
      <c r="C646" s="75">
        <v>46078</v>
      </c>
      <c r="D646" s="74" t="s">
        <v>536</v>
      </c>
      <c r="E646" s="12" t="s">
        <v>537</v>
      </c>
      <c r="F646" s="74" t="s">
        <v>873</v>
      </c>
      <c r="G646" s="74" t="s">
        <v>311</v>
      </c>
      <c r="H646" s="118">
        <v>5</v>
      </c>
      <c r="I646" s="12">
        <v>4</v>
      </c>
      <c r="J646" s="12" t="s">
        <v>66</v>
      </c>
      <c r="K646" s="12" t="s">
        <v>67</v>
      </c>
      <c r="L646" s="12" t="s">
        <v>67</v>
      </c>
      <c r="M646" s="12" t="s">
        <v>67</v>
      </c>
    </row>
    <row r="647" ht="16.5" spans="1:13">
      <c r="A647" s="12" t="s">
        <v>36</v>
      </c>
      <c r="B647" s="12" t="s">
        <v>39</v>
      </c>
      <c r="C647" s="75">
        <v>46058</v>
      </c>
      <c r="D647" s="74" t="s">
        <v>607</v>
      </c>
      <c r="E647" s="12" t="s">
        <v>173</v>
      </c>
      <c r="F647" s="74" t="s">
        <v>874</v>
      </c>
      <c r="G647" s="74" t="s">
        <v>875</v>
      </c>
      <c r="H647" s="118">
        <v>5</v>
      </c>
      <c r="I647" s="12">
        <v>6</v>
      </c>
      <c r="J647" s="12" t="s">
        <v>66</v>
      </c>
      <c r="K647" s="12" t="s">
        <v>67</v>
      </c>
      <c r="L647" s="12" t="s">
        <v>67</v>
      </c>
      <c r="M647" s="12" t="s">
        <v>67</v>
      </c>
    </row>
    <row r="648" ht="16.5" spans="1:13">
      <c r="A648" s="12" t="s">
        <v>33</v>
      </c>
      <c r="B648" s="12" t="s">
        <v>39</v>
      </c>
      <c r="C648" s="75">
        <v>46061</v>
      </c>
      <c r="D648" s="74" t="s">
        <v>536</v>
      </c>
      <c r="E648" s="12" t="s">
        <v>537</v>
      </c>
      <c r="F648" s="74" t="s">
        <v>538</v>
      </c>
      <c r="G648" s="74" t="s">
        <v>539</v>
      </c>
      <c r="H648" s="118">
        <v>5</v>
      </c>
      <c r="I648" s="12">
        <v>4</v>
      </c>
      <c r="J648" s="12" t="s">
        <v>66</v>
      </c>
      <c r="K648" s="12" t="s">
        <v>67</v>
      </c>
      <c r="L648" s="12" t="s">
        <v>67</v>
      </c>
      <c r="M648" s="12" t="s">
        <v>67</v>
      </c>
    </row>
    <row r="649" ht="16.5" spans="1:13">
      <c r="A649" s="12" t="s">
        <v>36</v>
      </c>
      <c r="B649" s="12" t="s">
        <v>39</v>
      </c>
      <c r="C649" s="75">
        <v>46080</v>
      </c>
      <c r="D649" s="74" t="s">
        <v>320</v>
      </c>
      <c r="E649" s="12" t="s">
        <v>173</v>
      </c>
      <c r="F649" s="74" t="s">
        <v>321</v>
      </c>
      <c r="G649" s="74" t="s">
        <v>97</v>
      </c>
      <c r="H649" s="118">
        <v>5</v>
      </c>
      <c r="I649" s="12">
        <v>4</v>
      </c>
      <c r="J649" s="12" t="s">
        <v>66</v>
      </c>
      <c r="K649" s="12" t="s">
        <v>67</v>
      </c>
      <c r="L649" s="12" t="s">
        <v>67</v>
      </c>
      <c r="M649" s="12" t="s">
        <v>67</v>
      </c>
    </row>
    <row r="650" ht="16.5" spans="1:13">
      <c r="A650" s="12" t="s">
        <v>36</v>
      </c>
      <c r="B650" s="12" t="s">
        <v>39</v>
      </c>
      <c r="C650" s="75">
        <v>46058</v>
      </c>
      <c r="D650" s="74" t="s">
        <v>607</v>
      </c>
      <c r="E650" s="12" t="s">
        <v>173</v>
      </c>
      <c r="F650" s="74" t="s">
        <v>874</v>
      </c>
      <c r="G650" s="74" t="s">
        <v>876</v>
      </c>
      <c r="H650" s="118">
        <v>5</v>
      </c>
      <c r="I650" s="12">
        <v>6</v>
      </c>
      <c r="J650" s="12" t="s">
        <v>66</v>
      </c>
      <c r="K650" s="12" t="s">
        <v>67</v>
      </c>
      <c r="L650" s="12" t="s">
        <v>67</v>
      </c>
      <c r="M650" s="12" t="s">
        <v>67</v>
      </c>
    </row>
    <row r="651" ht="16.5" spans="1:13">
      <c r="A651" s="12" t="s">
        <v>36</v>
      </c>
      <c r="B651" s="12" t="s">
        <v>39</v>
      </c>
      <c r="C651" s="75">
        <v>46058</v>
      </c>
      <c r="D651" s="74" t="s">
        <v>607</v>
      </c>
      <c r="E651" s="12" t="s">
        <v>173</v>
      </c>
      <c r="F651" s="74" t="s">
        <v>874</v>
      </c>
      <c r="G651" s="74" t="s">
        <v>877</v>
      </c>
      <c r="H651" s="118">
        <v>5</v>
      </c>
      <c r="I651" s="12">
        <v>6</v>
      </c>
      <c r="J651" s="12" t="s">
        <v>66</v>
      </c>
      <c r="K651" s="12" t="s">
        <v>67</v>
      </c>
      <c r="L651" s="12" t="s">
        <v>67</v>
      </c>
      <c r="M651" s="12" t="s">
        <v>67</v>
      </c>
    </row>
    <row r="652" ht="16.5" spans="1:13">
      <c r="A652" s="12" t="s">
        <v>36</v>
      </c>
      <c r="B652" s="12" t="s">
        <v>39</v>
      </c>
      <c r="C652" s="75">
        <v>46057</v>
      </c>
      <c r="D652" s="74" t="s">
        <v>320</v>
      </c>
      <c r="E652" s="12" t="s">
        <v>173</v>
      </c>
      <c r="F652" s="74" t="s">
        <v>321</v>
      </c>
      <c r="G652" s="74" t="s">
        <v>878</v>
      </c>
      <c r="H652" s="118">
        <v>5</v>
      </c>
      <c r="I652" s="12">
        <v>4</v>
      </c>
      <c r="J652" s="12" t="s">
        <v>66</v>
      </c>
      <c r="K652" s="12" t="s">
        <v>67</v>
      </c>
      <c r="L652" s="12" t="s">
        <v>67</v>
      </c>
      <c r="M652" s="12" t="s">
        <v>67</v>
      </c>
    </row>
    <row r="653" ht="16.5" spans="1:13">
      <c r="A653" s="12" t="s">
        <v>37</v>
      </c>
      <c r="B653" s="12" t="s">
        <v>39</v>
      </c>
      <c r="C653" s="75">
        <v>46057</v>
      </c>
      <c r="D653" s="74" t="s">
        <v>623</v>
      </c>
      <c r="E653" s="12" t="s">
        <v>152</v>
      </c>
      <c r="F653" s="74" t="s">
        <v>879</v>
      </c>
      <c r="G653" s="74" t="s">
        <v>880</v>
      </c>
      <c r="H653" s="118">
        <v>5</v>
      </c>
      <c r="I653" s="12">
        <v>5</v>
      </c>
      <c r="J653" s="12" t="s">
        <v>66</v>
      </c>
      <c r="K653" s="12" t="s">
        <v>67</v>
      </c>
      <c r="L653" s="12" t="s">
        <v>67</v>
      </c>
      <c r="M653" s="12" t="s">
        <v>67</v>
      </c>
    </row>
    <row r="654" ht="16.5" spans="1:13">
      <c r="A654" s="12" t="s">
        <v>38</v>
      </c>
      <c r="B654" s="12" t="s">
        <v>39</v>
      </c>
      <c r="C654" s="75">
        <v>46057</v>
      </c>
      <c r="D654" s="74" t="s">
        <v>512</v>
      </c>
      <c r="E654" s="12" t="s">
        <v>75</v>
      </c>
      <c r="F654" s="74" t="s">
        <v>513</v>
      </c>
      <c r="G654" s="74" t="s">
        <v>881</v>
      </c>
      <c r="H654" s="118">
        <v>5</v>
      </c>
      <c r="I654" s="12">
        <v>4</v>
      </c>
      <c r="J654" s="12" t="s">
        <v>66</v>
      </c>
      <c r="K654" s="12" t="s">
        <v>67</v>
      </c>
      <c r="L654" s="12" t="s">
        <v>67</v>
      </c>
      <c r="M654" s="12" t="s">
        <v>67</v>
      </c>
    </row>
    <row r="655" ht="16.5" spans="1:13">
      <c r="A655" s="12" t="s">
        <v>32</v>
      </c>
      <c r="B655" s="12" t="s">
        <v>39</v>
      </c>
      <c r="C655" s="75">
        <v>46056</v>
      </c>
      <c r="D655" s="74" t="s">
        <v>487</v>
      </c>
      <c r="E655" s="12" t="s">
        <v>105</v>
      </c>
      <c r="F655" s="74" t="s">
        <v>488</v>
      </c>
      <c r="G655" s="74" t="s">
        <v>882</v>
      </c>
      <c r="H655" s="118">
        <v>5</v>
      </c>
      <c r="I655" s="12">
        <v>3</v>
      </c>
      <c r="J655" s="12" t="s">
        <v>66</v>
      </c>
      <c r="K655" s="12" t="s">
        <v>67</v>
      </c>
      <c r="L655" s="12" t="s">
        <v>67</v>
      </c>
      <c r="M655" s="12" t="s">
        <v>67</v>
      </c>
    </row>
    <row r="656" ht="16.5" spans="1:13">
      <c r="A656" s="12" t="s">
        <v>38</v>
      </c>
      <c r="B656" s="12" t="s">
        <v>39</v>
      </c>
      <c r="C656" s="75">
        <v>46054</v>
      </c>
      <c r="D656" s="74" t="s">
        <v>602</v>
      </c>
      <c r="E656" s="12" t="s">
        <v>63</v>
      </c>
      <c r="F656" s="74" t="s">
        <v>883</v>
      </c>
      <c r="G656" s="74" t="s">
        <v>701</v>
      </c>
      <c r="H656" s="118">
        <v>5</v>
      </c>
      <c r="I656" s="12">
        <v>8</v>
      </c>
      <c r="J656" s="12" t="s">
        <v>66</v>
      </c>
      <c r="K656" s="12" t="s">
        <v>67</v>
      </c>
      <c r="L656" s="12" t="s">
        <v>67</v>
      </c>
      <c r="M656" s="12" t="s">
        <v>67</v>
      </c>
    </row>
    <row r="657" ht="16.5" spans="1:13">
      <c r="A657" s="12" t="s">
        <v>38</v>
      </c>
      <c r="B657" s="12" t="s">
        <v>39</v>
      </c>
      <c r="C657" s="75">
        <v>46054</v>
      </c>
      <c r="D657" s="74" t="s">
        <v>602</v>
      </c>
      <c r="E657" s="12" t="s">
        <v>63</v>
      </c>
      <c r="F657" s="74" t="s">
        <v>883</v>
      </c>
      <c r="G657" s="74" t="s">
        <v>92</v>
      </c>
      <c r="H657" s="118">
        <v>5</v>
      </c>
      <c r="I657" s="12">
        <v>8</v>
      </c>
      <c r="J657" s="12" t="s">
        <v>66</v>
      </c>
      <c r="K657" s="12" t="s">
        <v>67</v>
      </c>
      <c r="L657" s="12" t="s">
        <v>67</v>
      </c>
      <c r="M657" s="12" t="s">
        <v>67</v>
      </c>
    </row>
    <row r="658" ht="16.5" spans="1:13">
      <c r="A658" s="12" t="s">
        <v>38</v>
      </c>
      <c r="B658" s="12" t="s">
        <v>39</v>
      </c>
      <c r="C658" s="75">
        <v>46054</v>
      </c>
      <c r="D658" s="74" t="s">
        <v>620</v>
      </c>
      <c r="E658" s="12" t="s">
        <v>220</v>
      </c>
      <c r="F658" s="74" t="s">
        <v>161</v>
      </c>
      <c r="G658" s="74" t="s">
        <v>549</v>
      </c>
      <c r="H658" s="118">
        <v>5</v>
      </c>
      <c r="I658" s="12">
        <v>4</v>
      </c>
      <c r="J658" s="12" t="s">
        <v>66</v>
      </c>
      <c r="K658" s="12" t="s">
        <v>67</v>
      </c>
      <c r="L658" s="12" t="s">
        <v>67</v>
      </c>
      <c r="M658" s="12" t="s">
        <v>67</v>
      </c>
    </row>
    <row r="659" ht="16.5" spans="1:13">
      <c r="A659" s="12" t="s">
        <v>32</v>
      </c>
      <c r="B659" s="12" t="s">
        <v>39</v>
      </c>
      <c r="C659" s="75">
        <v>46054</v>
      </c>
      <c r="D659" s="74" t="s">
        <v>447</v>
      </c>
      <c r="E659" s="12" t="s">
        <v>105</v>
      </c>
      <c r="F659" s="74" t="s">
        <v>153</v>
      </c>
      <c r="G659" s="74" t="s">
        <v>97</v>
      </c>
      <c r="H659" s="118">
        <v>5</v>
      </c>
      <c r="I659" s="12">
        <v>2</v>
      </c>
      <c r="J659" s="12" t="s">
        <v>66</v>
      </c>
      <c r="K659" s="12" t="s">
        <v>67</v>
      </c>
      <c r="L659" s="12" t="s">
        <v>67</v>
      </c>
      <c r="M659" s="12" t="s">
        <v>67</v>
      </c>
    </row>
    <row r="660" ht="16.5" spans="1:13">
      <c r="A660" s="12" t="s">
        <v>26</v>
      </c>
      <c r="B660" s="12" t="s">
        <v>39</v>
      </c>
      <c r="C660" s="75">
        <v>46081</v>
      </c>
      <c r="D660" s="74" t="s">
        <v>385</v>
      </c>
      <c r="E660" s="12" t="s">
        <v>121</v>
      </c>
      <c r="F660" s="74" t="s">
        <v>778</v>
      </c>
      <c r="G660" s="74" t="s">
        <v>884</v>
      </c>
      <c r="H660" s="118">
        <v>5</v>
      </c>
      <c r="I660" s="12">
        <v>4</v>
      </c>
      <c r="J660" s="12" t="s">
        <v>66</v>
      </c>
      <c r="K660" s="12" t="s">
        <v>67</v>
      </c>
      <c r="L660" s="12" t="s">
        <v>67</v>
      </c>
      <c r="M660" s="12" t="s">
        <v>67</v>
      </c>
    </row>
    <row r="661" ht="16.5" spans="1:13">
      <c r="A661" s="74" t="s">
        <v>29</v>
      </c>
      <c r="B661" s="12" t="s">
        <v>39</v>
      </c>
      <c r="C661" s="75">
        <v>46081</v>
      </c>
      <c r="D661" s="74" t="s">
        <v>253</v>
      </c>
      <c r="E661" s="12" t="s">
        <v>130</v>
      </c>
      <c r="F661" s="74" t="s">
        <v>254</v>
      </c>
      <c r="G661" s="74" t="s">
        <v>103</v>
      </c>
      <c r="H661" s="118">
        <v>5</v>
      </c>
      <c r="I661" s="12">
        <v>4</v>
      </c>
      <c r="J661" s="12" t="s">
        <v>66</v>
      </c>
      <c r="K661" s="12" t="s">
        <v>67</v>
      </c>
      <c r="L661" s="12" t="s">
        <v>67</v>
      </c>
      <c r="M661" s="12" t="s">
        <v>67</v>
      </c>
    </row>
    <row r="662" ht="16.5" spans="1:13">
      <c r="A662" s="74" t="s">
        <v>29</v>
      </c>
      <c r="B662" s="12" t="s">
        <v>39</v>
      </c>
      <c r="C662" s="75">
        <v>46063</v>
      </c>
      <c r="D662" s="74" t="s">
        <v>253</v>
      </c>
      <c r="E662" s="12" t="s">
        <v>130</v>
      </c>
      <c r="F662" s="74" t="s">
        <v>254</v>
      </c>
      <c r="G662" s="74" t="s">
        <v>885</v>
      </c>
      <c r="H662" s="118">
        <v>5</v>
      </c>
      <c r="I662" s="12">
        <v>4</v>
      </c>
      <c r="J662" s="12" t="s">
        <v>66</v>
      </c>
      <c r="K662" s="12" t="s">
        <v>67</v>
      </c>
      <c r="L662" s="12" t="s">
        <v>67</v>
      </c>
      <c r="M662" s="12" t="s">
        <v>67</v>
      </c>
    </row>
  </sheetData>
  <autoFilter xmlns:etc="http://www.wps.cn/officeDocument/2017/etCustomData" ref="A2:V662" etc:filterBottomFollowUsedRange="0">
    <extLst/>
  </autoFilter>
  <mergeCells count="6">
    <mergeCell ref="A1:M1"/>
    <mergeCell ref="R1:V1"/>
    <mergeCell ref="P14:Q14"/>
    <mergeCell ref="P26:Q26"/>
    <mergeCell ref="P1:P2"/>
    <mergeCell ref="Q1:Q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S1678"/>
  <sheetViews>
    <sheetView topLeftCell="D1" workbookViewId="0">
      <pane ySplit="2" topLeftCell="A1548" activePane="bottomLeft" state="frozen"/>
      <selection/>
      <selection pane="bottomLeft" activeCell="J1701" sqref="J1701"/>
    </sheetView>
  </sheetViews>
  <sheetFormatPr defaultColWidth="8.89166666666667" defaultRowHeight="13.5"/>
  <cols>
    <col min="1" max="2" width="6.10833333333333" customWidth="1"/>
    <col min="3" max="3" width="11.4416666666667" customWidth="1"/>
    <col min="4" max="4" width="20.3333333333333" customWidth="1"/>
    <col min="5" max="5" width="24.4416666666667" customWidth="1"/>
    <col min="6" max="6" width="9.225" customWidth="1"/>
    <col min="7" max="8" width="10.6666666666667" customWidth="1"/>
    <col min="9" max="9" width="16.225" customWidth="1"/>
    <col min="10" max="10" width="15.8916666666667" customWidth="1"/>
    <col min="11" max="11" width="15.6666666666667" customWidth="1"/>
    <col min="12" max="12" width="10.6666666666667" customWidth="1"/>
    <col min="13" max="13" width="7.225" customWidth="1"/>
    <col min="14" max="14" width="13.1333333333333" customWidth="1"/>
    <col min="15" max="15" width="13.4416666666667" customWidth="1"/>
    <col min="16" max="16" width="12.4416666666667" customWidth="1"/>
    <col min="17" max="18" width="13.1083333333333" customWidth="1"/>
    <col min="19" max="19" width="10.6666666666667" customWidth="1"/>
  </cols>
  <sheetData>
    <row r="1" ht="29" customHeight="1" spans="1:19">
      <c r="A1" s="99" t="s">
        <v>886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</row>
    <row r="2" ht="18" spans="1:19">
      <c r="A2" s="100" t="s">
        <v>887</v>
      </c>
      <c r="B2" s="100" t="s">
        <v>2</v>
      </c>
      <c r="C2" s="100" t="s">
        <v>3</v>
      </c>
      <c r="D2" s="100" t="s">
        <v>888</v>
      </c>
      <c r="E2" s="100" t="s">
        <v>889</v>
      </c>
      <c r="F2" s="100" t="s">
        <v>890</v>
      </c>
      <c r="G2" s="100" t="s">
        <v>891</v>
      </c>
      <c r="H2" s="100" t="s">
        <v>892</v>
      </c>
      <c r="I2" s="100" t="s">
        <v>893</v>
      </c>
      <c r="J2" s="100" t="s">
        <v>894</v>
      </c>
      <c r="K2" s="100" t="s">
        <v>895</v>
      </c>
      <c r="L2" s="100" t="s">
        <v>896</v>
      </c>
      <c r="M2" s="100" t="s">
        <v>897</v>
      </c>
      <c r="N2" s="100" t="s">
        <v>50</v>
      </c>
      <c r="O2" s="100" t="s">
        <v>898</v>
      </c>
      <c r="P2" s="100" t="s">
        <v>899</v>
      </c>
      <c r="Q2" s="100" t="s">
        <v>900</v>
      </c>
      <c r="R2" s="100" t="s">
        <v>53</v>
      </c>
      <c r="S2" s="100" t="s">
        <v>901</v>
      </c>
    </row>
    <row r="3" s="98" customFormat="1" ht="16.5" hidden="1" spans="1:19">
      <c r="A3" s="46">
        <v>1</v>
      </c>
      <c r="B3" s="46" t="s">
        <v>23</v>
      </c>
      <c r="C3" s="46" t="s">
        <v>38</v>
      </c>
      <c r="D3" s="7" t="s">
        <v>27</v>
      </c>
      <c r="E3" s="7" t="s">
        <v>902</v>
      </c>
      <c r="F3" s="7" t="s">
        <v>903</v>
      </c>
      <c r="G3" s="46" t="s">
        <v>904</v>
      </c>
      <c r="H3" s="101">
        <v>1212</v>
      </c>
      <c r="I3" s="46" t="s">
        <v>905</v>
      </c>
      <c r="J3" s="6">
        <v>46035</v>
      </c>
      <c r="K3" s="7" t="s">
        <v>906</v>
      </c>
      <c r="L3" s="7" t="s">
        <v>907</v>
      </c>
      <c r="M3" s="46" t="s">
        <v>908</v>
      </c>
      <c r="N3" s="46" t="s">
        <v>63</v>
      </c>
      <c r="O3" s="46" t="s">
        <v>909</v>
      </c>
      <c r="P3" s="6">
        <v>45970</v>
      </c>
      <c r="Q3" s="102">
        <v>0</v>
      </c>
      <c r="R3" s="102">
        <v>0</v>
      </c>
      <c r="S3" s="7">
        <v>0</v>
      </c>
    </row>
    <row r="4" s="98" customFormat="1" ht="16.5" hidden="1" spans="1:19">
      <c r="A4" s="46">
        <v>2</v>
      </c>
      <c r="B4" s="46" t="s">
        <v>23</v>
      </c>
      <c r="C4" s="46" t="s">
        <v>38</v>
      </c>
      <c r="D4" s="7" t="s">
        <v>27</v>
      </c>
      <c r="E4" s="7" t="s">
        <v>902</v>
      </c>
      <c r="F4" s="7" t="s">
        <v>903</v>
      </c>
      <c r="G4" s="46" t="s">
        <v>904</v>
      </c>
      <c r="H4" s="101">
        <v>1212</v>
      </c>
      <c r="I4" s="46" t="s">
        <v>905</v>
      </c>
      <c r="J4" s="6">
        <v>46035</v>
      </c>
      <c r="K4" s="7" t="s">
        <v>910</v>
      </c>
      <c r="L4" s="7" t="s">
        <v>907</v>
      </c>
      <c r="M4" s="46" t="s">
        <v>911</v>
      </c>
      <c r="N4" s="46" t="s">
        <v>63</v>
      </c>
      <c r="O4" s="46" t="s">
        <v>909</v>
      </c>
      <c r="P4" s="6">
        <v>45749</v>
      </c>
      <c r="Q4" s="102">
        <v>0</v>
      </c>
      <c r="R4" s="102">
        <v>0</v>
      </c>
      <c r="S4" s="7">
        <v>0</v>
      </c>
    </row>
    <row r="5" s="98" customFormat="1" ht="16.5" hidden="1" spans="1:19">
      <c r="A5" s="46">
        <v>3</v>
      </c>
      <c r="B5" s="46" t="s">
        <v>23</v>
      </c>
      <c r="C5" s="46" t="s">
        <v>38</v>
      </c>
      <c r="D5" s="7" t="s">
        <v>27</v>
      </c>
      <c r="E5" s="7" t="s">
        <v>902</v>
      </c>
      <c r="F5" s="7" t="s">
        <v>903</v>
      </c>
      <c r="G5" s="46" t="s">
        <v>904</v>
      </c>
      <c r="H5" s="101">
        <v>1212</v>
      </c>
      <c r="I5" s="46" t="s">
        <v>905</v>
      </c>
      <c r="J5" s="6">
        <v>46035</v>
      </c>
      <c r="K5" s="7" t="s">
        <v>912</v>
      </c>
      <c r="L5" s="7" t="s">
        <v>907</v>
      </c>
      <c r="M5" s="46" t="s">
        <v>913</v>
      </c>
      <c r="N5" s="46" t="s">
        <v>63</v>
      </c>
      <c r="O5" s="46" t="s">
        <v>909</v>
      </c>
      <c r="P5" s="6">
        <v>45747</v>
      </c>
      <c r="Q5" s="102">
        <v>0</v>
      </c>
      <c r="R5" s="102">
        <v>0</v>
      </c>
      <c r="S5" s="7">
        <v>0</v>
      </c>
    </row>
    <row r="6" s="98" customFormat="1" ht="16.5" hidden="1" spans="1:19">
      <c r="A6" s="46">
        <v>4</v>
      </c>
      <c r="B6" s="46" t="s">
        <v>23</v>
      </c>
      <c r="C6" s="46" t="s">
        <v>38</v>
      </c>
      <c r="D6" s="7" t="s">
        <v>27</v>
      </c>
      <c r="E6" s="7" t="s">
        <v>902</v>
      </c>
      <c r="F6" s="7" t="s">
        <v>903</v>
      </c>
      <c r="G6" s="46" t="s">
        <v>904</v>
      </c>
      <c r="H6" s="101">
        <v>1212</v>
      </c>
      <c r="I6" s="46" t="s">
        <v>905</v>
      </c>
      <c r="J6" s="6">
        <v>46035</v>
      </c>
      <c r="K6" s="7" t="s">
        <v>914</v>
      </c>
      <c r="L6" s="7" t="s">
        <v>915</v>
      </c>
      <c r="M6" s="46" t="s">
        <v>916</v>
      </c>
      <c r="N6" s="46" t="s">
        <v>70</v>
      </c>
      <c r="O6" s="46" t="s">
        <v>909</v>
      </c>
      <c r="P6" s="6">
        <v>45905</v>
      </c>
      <c r="Q6" s="102">
        <v>5</v>
      </c>
      <c r="R6" s="102">
        <v>5</v>
      </c>
      <c r="S6" s="7">
        <v>107</v>
      </c>
    </row>
    <row r="7" s="98" customFormat="1" ht="16.5" hidden="1" spans="1:19">
      <c r="A7" s="46">
        <v>5</v>
      </c>
      <c r="B7" s="46" t="s">
        <v>23</v>
      </c>
      <c r="C7" s="46" t="s">
        <v>37</v>
      </c>
      <c r="D7" s="7" t="s">
        <v>27</v>
      </c>
      <c r="E7" s="7" t="s">
        <v>902</v>
      </c>
      <c r="F7" s="7" t="s">
        <v>903</v>
      </c>
      <c r="G7" s="46" t="s">
        <v>904</v>
      </c>
      <c r="H7" s="101">
        <v>1212</v>
      </c>
      <c r="I7" s="46" t="s">
        <v>905</v>
      </c>
      <c r="J7" s="6">
        <v>46035</v>
      </c>
      <c r="K7" s="7" t="s">
        <v>917</v>
      </c>
      <c r="L7" s="7" t="s">
        <v>915</v>
      </c>
      <c r="M7" s="46" t="s">
        <v>918</v>
      </c>
      <c r="N7" s="46" t="s">
        <v>109</v>
      </c>
      <c r="O7" s="46" t="s">
        <v>909</v>
      </c>
      <c r="P7" s="6">
        <v>45910</v>
      </c>
      <c r="Q7" s="102">
        <v>5</v>
      </c>
      <c r="R7" s="102">
        <v>5</v>
      </c>
      <c r="S7" s="7">
        <v>94</v>
      </c>
    </row>
    <row r="8" s="98" customFormat="1" ht="16.5" hidden="1" spans="1:19">
      <c r="A8" s="46">
        <v>6</v>
      </c>
      <c r="B8" s="46" t="s">
        <v>23</v>
      </c>
      <c r="C8" s="46" t="s">
        <v>38</v>
      </c>
      <c r="D8" s="7" t="s">
        <v>27</v>
      </c>
      <c r="E8" s="7" t="s">
        <v>902</v>
      </c>
      <c r="F8" s="7" t="s">
        <v>903</v>
      </c>
      <c r="G8" s="46" t="s">
        <v>904</v>
      </c>
      <c r="H8" s="101">
        <v>1212</v>
      </c>
      <c r="I8" s="46" t="s">
        <v>905</v>
      </c>
      <c r="J8" s="6">
        <v>46035</v>
      </c>
      <c r="K8" s="7" t="s">
        <v>919</v>
      </c>
      <c r="L8" s="7" t="s">
        <v>907</v>
      </c>
      <c r="M8" s="46" t="s">
        <v>920</v>
      </c>
      <c r="N8" s="46" t="s">
        <v>220</v>
      </c>
      <c r="O8" s="46" t="s">
        <v>921</v>
      </c>
      <c r="P8" s="6">
        <v>45812</v>
      </c>
      <c r="Q8" s="102">
        <v>0</v>
      </c>
      <c r="R8" s="102">
        <v>0</v>
      </c>
      <c r="S8" s="7">
        <v>0</v>
      </c>
    </row>
    <row r="9" s="98" customFormat="1" ht="16.5" hidden="1" spans="1:19">
      <c r="A9" s="46">
        <v>7</v>
      </c>
      <c r="B9" s="46" t="s">
        <v>23</v>
      </c>
      <c r="C9" s="46" t="s">
        <v>38</v>
      </c>
      <c r="D9" s="7" t="s">
        <v>27</v>
      </c>
      <c r="E9" s="7" t="s">
        <v>902</v>
      </c>
      <c r="F9" s="7" t="s">
        <v>903</v>
      </c>
      <c r="G9" s="46" t="s">
        <v>904</v>
      </c>
      <c r="H9" s="101">
        <v>1212</v>
      </c>
      <c r="I9" s="46" t="s">
        <v>905</v>
      </c>
      <c r="J9" s="6">
        <v>46035</v>
      </c>
      <c r="K9" s="7" t="s">
        <v>922</v>
      </c>
      <c r="L9" s="7" t="s">
        <v>907</v>
      </c>
      <c r="M9" s="46" t="s">
        <v>923</v>
      </c>
      <c r="N9" s="46" t="s">
        <v>75</v>
      </c>
      <c r="O9" s="46" t="s">
        <v>909</v>
      </c>
      <c r="P9" s="6">
        <v>45804</v>
      </c>
      <c r="Q9" s="102">
        <v>0</v>
      </c>
      <c r="R9" s="102">
        <v>0</v>
      </c>
      <c r="S9" s="7">
        <v>0</v>
      </c>
    </row>
    <row r="10" s="98" customFormat="1" ht="16.5" hidden="1" spans="1:19">
      <c r="A10" s="46">
        <v>8</v>
      </c>
      <c r="B10" s="46" t="s">
        <v>23</v>
      </c>
      <c r="C10" s="46" t="s">
        <v>38</v>
      </c>
      <c r="D10" s="7" t="s">
        <v>27</v>
      </c>
      <c r="E10" s="7" t="s">
        <v>902</v>
      </c>
      <c r="F10" s="7" t="s">
        <v>903</v>
      </c>
      <c r="G10" s="46" t="s">
        <v>904</v>
      </c>
      <c r="H10" s="101">
        <v>1212</v>
      </c>
      <c r="I10" s="46" t="s">
        <v>905</v>
      </c>
      <c r="J10" s="6">
        <v>46035</v>
      </c>
      <c r="K10" s="7" t="s">
        <v>924</v>
      </c>
      <c r="L10" s="7" t="s">
        <v>915</v>
      </c>
      <c r="M10" s="46" t="s">
        <v>925</v>
      </c>
      <c r="N10" s="46" t="s">
        <v>144</v>
      </c>
      <c r="O10" s="46" t="s">
        <v>909</v>
      </c>
      <c r="P10" s="6">
        <v>45864</v>
      </c>
      <c r="Q10" s="102">
        <v>5</v>
      </c>
      <c r="R10" s="102">
        <v>5</v>
      </c>
      <c r="S10" s="7">
        <v>87</v>
      </c>
    </row>
    <row r="11" s="98" customFormat="1" ht="16.5" hidden="1" spans="1:19">
      <c r="A11" s="46">
        <v>9</v>
      </c>
      <c r="B11" s="46" t="s">
        <v>23</v>
      </c>
      <c r="C11" s="46" t="s">
        <v>31</v>
      </c>
      <c r="D11" s="7" t="s">
        <v>27</v>
      </c>
      <c r="E11" s="7" t="s">
        <v>902</v>
      </c>
      <c r="F11" s="7" t="s">
        <v>903</v>
      </c>
      <c r="G11" s="46" t="s">
        <v>904</v>
      </c>
      <c r="H11" s="101">
        <v>1212</v>
      </c>
      <c r="I11" s="46" t="s">
        <v>905</v>
      </c>
      <c r="J11" s="6">
        <v>46035</v>
      </c>
      <c r="K11" s="7" t="s">
        <v>926</v>
      </c>
      <c r="L11" s="7" t="s">
        <v>907</v>
      </c>
      <c r="M11" s="46" t="s">
        <v>927</v>
      </c>
      <c r="N11" s="46" t="s">
        <v>79</v>
      </c>
      <c r="O11" s="46" t="s">
        <v>909</v>
      </c>
      <c r="P11" s="6">
        <v>45883</v>
      </c>
      <c r="Q11" s="102">
        <v>0</v>
      </c>
      <c r="R11" s="102">
        <v>0</v>
      </c>
      <c r="S11" s="7">
        <v>0</v>
      </c>
    </row>
    <row r="12" s="98" customFormat="1" ht="16.5" hidden="1" spans="1:19">
      <c r="A12" s="46">
        <v>10</v>
      </c>
      <c r="B12" s="46" t="s">
        <v>23</v>
      </c>
      <c r="C12" s="46" t="s">
        <v>38</v>
      </c>
      <c r="D12" s="7" t="s">
        <v>27</v>
      </c>
      <c r="E12" s="7" t="s">
        <v>902</v>
      </c>
      <c r="F12" s="7" t="s">
        <v>903</v>
      </c>
      <c r="G12" s="46" t="s">
        <v>904</v>
      </c>
      <c r="H12" s="101">
        <v>1212</v>
      </c>
      <c r="I12" s="46" t="s">
        <v>905</v>
      </c>
      <c r="J12" s="6">
        <v>46035</v>
      </c>
      <c r="K12" s="7" t="s">
        <v>928</v>
      </c>
      <c r="L12" s="7" t="s">
        <v>907</v>
      </c>
      <c r="M12" s="46" t="s">
        <v>929</v>
      </c>
      <c r="N12" s="46" t="s">
        <v>144</v>
      </c>
      <c r="O12" s="46" t="s">
        <v>909</v>
      </c>
      <c r="P12" s="6">
        <v>45872</v>
      </c>
      <c r="Q12" s="102">
        <v>0</v>
      </c>
      <c r="R12" s="102">
        <v>0</v>
      </c>
      <c r="S12" s="7">
        <v>0</v>
      </c>
    </row>
    <row r="13" s="98" customFormat="1" ht="16.5" hidden="1" spans="1:19">
      <c r="A13" s="46">
        <v>11</v>
      </c>
      <c r="B13" s="46" t="s">
        <v>23</v>
      </c>
      <c r="C13" s="46" t="s">
        <v>38</v>
      </c>
      <c r="D13" s="7" t="s">
        <v>27</v>
      </c>
      <c r="E13" s="7" t="s">
        <v>902</v>
      </c>
      <c r="F13" s="7" t="s">
        <v>903</v>
      </c>
      <c r="G13" s="46" t="s">
        <v>904</v>
      </c>
      <c r="H13" s="101">
        <v>1212</v>
      </c>
      <c r="I13" s="46" t="s">
        <v>905</v>
      </c>
      <c r="J13" s="6">
        <v>46035</v>
      </c>
      <c r="K13" s="7" t="s">
        <v>930</v>
      </c>
      <c r="L13" s="7" t="s">
        <v>907</v>
      </c>
      <c r="M13" s="46" t="s">
        <v>931</v>
      </c>
      <c r="N13" s="46" t="s">
        <v>144</v>
      </c>
      <c r="O13" s="46" t="s">
        <v>921</v>
      </c>
      <c r="P13" s="6">
        <v>45794</v>
      </c>
      <c r="Q13" s="102">
        <v>0</v>
      </c>
      <c r="R13" s="102">
        <v>0</v>
      </c>
      <c r="S13" s="7">
        <v>0</v>
      </c>
    </row>
    <row r="14" s="98" customFormat="1" ht="16.5" hidden="1" spans="1:19">
      <c r="A14" s="46">
        <v>12</v>
      </c>
      <c r="B14" s="46" t="s">
        <v>23</v>
      </c>
      <c r="C14" s="46" t="s">
        <v>37</v>
      </c>
      <c r="D14" s="7" t="s">
        <v>27</v>
      </c>
      <c r="E14" s="7" t="s">
        <v>902</v>
      </c>
      <c r="F14" s="7" t="s">
        <v>903</v>
      </c>
      <c r="G14" s="46" t="s">
        <v>904</v>
      </c>
      <c r="H14" s="101">
        <v>1212</v>
      </c>
      <c r="I14" s="46" t="s">
        <v>905</v>
      </c>
      <c r="J14" s="6">
        <v>46035</v>
      </c>
      <c r="K14" s="7" t="s">
        <v>932</v>
      </c>
      <c r="L14" s="7" t="s">
        <v>907</v>
      </c>
      <c r="M14" s="46" t="s">
        <v>933</v>
      </c>
      <c r="N14" s="46" t="s">
        <v>109</v>
      </c>
      <c r="O14" s="46" t="s">
        <v>909</v>
      </c>
      <c r="P14" s="6">
        <v>45881</v>
      </c>
      <c r="Q14" s="102">
        <v>0</v>
      </c>
      <c r="R14" s="102">
        <v>0</v>
      </c>
      <c r="S14" s="7">
        <v>0</v>
      </c>
    </row>
    <row r="15" s="98" customFormat="1" ht="16.5" hidden="1" spans="1:19">
      <c r="A15" s="46">
        <v>13</v>
      </c>
      <c r="B15" s="46" t="s">
        <v>23</v>
      </c>
      <c r="C15" s="46" t="s">
        <v>38</v>
      </c>
      <c r="D15" s="7" t="s">
        <v>27</v>
      </c>
      <c r="E15" s="7" t="s">
        <v>902</v>
      </c>
      <c r="F15" s="7" t="s">
        <v>903</v>
      </c>
      <c r="G15" s="46" t="s">
        <v>904</v>
      </c>
      <c r="H15" s="101">
        <v>1212</v>
      </c>
      <c r="I15" s="46" t="s">
        <v>905</v>
      </c>
      <c r="J15" s="6">
        <v>46035</v>
      </c>
      <c r="K15" s="7" t="s">
        <v>934</v>
      </c>
      <c r="L15" s="7" t="s">
        <v>907</v>
      </c>
      <c r="M15" s="46" t="s">
        <v>935</v>
      </c>
      <c r="N15" s="46" t="s">
        <v>144</v>
      </c>
      <c r="O15" s="46" t="s">
        <v>909</v>
      </c>
      <c r="P15" s="6">
        <v>45830</v>
      </c>
      <c r="Q15" s="102">
        <v>0</v>
      </c>
      <c r="R15" s="102">
        <v>0</v>
      </c>
      <c r="S15" s="7">
        <v>0</v>
      </c>
    </row>
    <row r="16" s="98" customFormat="1" ht="16.5" hidden="1" spans="1:19">
      <c r="A16" s="46">
        <v>14</v>
      </c>
      <c r="B16" s="46" t="s">
        <v>23</v>
      </c>
      <c r="C16" s="46" t="s">
        <v>38</v>
      </c>
      <c r="D16" s="7" t="s">
        <v>27</v>
      </c>
      <c r="E16" s="7" t="s">
        <v>902</v>
      </c>
      <c r="F16" s="7" t="s">
        <v>903</v>
      </c>
      <c r="G16" s="46" t="s">
        <v>904</v>
      </c>
      <c r="H16" s="101">
        <v>1212</v>
      </c>
      <c r="I16" s="46" t="s">
        <v>905</v>
      </c>
      <c r="J16" s="6">
        <v>46035</v>
      </c>
      <c r="K16" s="7" t="s">
        <v>936</v>
      </c>
      <c r="L16" s="7" t="s">
        <v>915</v>
      </c>
      <c r="M16" s="46" t="s">
        <v>937</v>
      </c>
      <c r="N16" s="46" t="s">
        <v>75</v>
      </c>
      <c r="O16" s="46" t="s">
        <v>909</v>
      </c>
      <c r="P16" s="6">
        <v>45976</v>
      </c>
      <c r="Q16" s="102">
        <v>5</v>
      </c>
      <c r="R16" s="102">
        <v>5</v>
      </c>
      <c r="S16" s="7">
        <v>117</v>
      </c>
    </row>
    <row r="17" s="98" customFormat="1" ht="16.5" hidden="1" spans="1:19">
      <c r="A17" s="46">
        <v>15</v>
      </c>
      <c r="B17" s="46" t="s">
        <v>23</v>
      </c>
      <c r="C17" s="46" t="s">
        <v>38</v>
      </c>
      <c r="D17" s="7" t="s">
        <v>27</v>
      </c>
      <c r="E17" s="7" t="s">
        <v>902</v>
      </c>
      <c r="F17" s="7" t="s">
        <v>903</v>
      </c>
      <c r="G17" s="46" t="s">
        <v>904</v>
      </c>
      <c r="H17" s="101">
        <v>1212</v>
      </c>
      <c r="I17" s="46" t="s">
        <v>905</v>
      </c>
      <c r="J17" s="6">
        <v>46035</v>
      </c>
      <c r="K17" s="7" t="s">
        <v>938</v>
      </c>
      <c r="L17" s="7" t="s">
        <v>915</v>
      </c>
      <c r="M17" s="46" t="s">
        <v>939</v>
      </c>
      <c r="N17" s="46" t="s">
        <v>75</v>
      </c>
      <c r="O17" s="46" t="s">
        <v>909</v>
      </c>
      <c r="P17" s="6">
        <v>45873</v>
      </c>
      <c r="Q17" s="102">
        <v>5</v>
      </c>
      <c r="R17" s="102">
        <v>5</v>
      </c>
      <c r="S17" s="7">
        <v>117</v>
      </c>
    </row>
    <row r="18" s="98" customFormat="1" ht="16.5" hidden="1" spans="1:19">
      <c r="A18" s="46">
        <v>16</v>
      </c>
      <c r="B18" s="46" t="s">
        <v>23</v>
      </c>
      <c r="C18" s="46" t="s">
        <v>38</v>
      </c>
      <c r="D18" s="7" t="s">
        <v>27</v>
      </c>
      <c r="E18" s="7" t="s">
        <v>902</v>
      </c>
      <c r="F18" s="7" t="s">
        <v>903</v>
      </c>
      <c r="G18" s="46" t="s">
        <v>904</v>
      </c>
      <c r="H18" s="101">
        <v>1212</v>
      </c>
      <c r="I18" s="46" t="s">
        <v>905</v>
      </c>
      <c r="J18" s="6">
        <v>46035</v>
      </c>
      <c r="K18" s="7" t="s">
        <v>940</v>
      </c>
      <c r="L18" s="7" t="s">
        <v>907</v>
      </c>
      <c r="M18" s="46" t="s">
        <v>941</v>
      </c>
      <c r="N18" s="46" t="s">
        <v>75</v>
      </c>
      <c r="O18" s="46" t="s">
        <v>909</v>
      </c>
      <c r="P18" s="6">
        <v>45836</v>
      </c>
      <c r="Q18" s="102">
        <v>0</v>
      </c>
      <c r="R18" s="102">
        <v>0</v>
      </c>
      <c r="S18" s="7">
        <v>0</v>
      </c>
    </row>
    <row r="19" s="98" customFormat="1" ht="16.5" hidden="1" spans="1:19">
      <c r="A19" s="46">
        <v>17</v>
      </c>
      <c r="B19" s="46" t="s">
        <v>23</v>
      </c>
      <c r="C19" s="46" t="s">
        <v>29</v>
      </c>
      <c r="D19" s="7" t="s">
        <v>27</v>
      </c>
      <c r="E19" s="7" t="s">
        <v>902</v>
      </c>
      <c r="F19" s="7" t="s">
        <v>903</v>
      </c>
      <c r="G19" s="46" t="s">
        <v>904</v>
      </c>
      <c r="H19" s="101">
        <v>1212</v>
      </c>
      <c r="I19" s="46" t="s">
        <v>905</v>
      </c>
      <c r="J19" s="6">
        <v>46035</v>
      </c>
      <c r="K19" s="7" t="s">
        <v>942</v>
      </c>
      <c r="L19" s="7" t="s">
        <v>915</v>
      </c>
      <c r="M19" s="46" t="s">
        <v>943</v>
      </c>
      <c r="N19" s="46" t="s">
        <v>130</v>
      </c>
      <c r="O19" s="46" t="s">
        <v>909</v>
      </c>
      <c r="P19" s="6">
        <v>45822</v>
      </c>
      <c r="Q19" s="102">
        <v>5</v>
      </c>
      <c r="R19" s="102">
        <v>5</v>
      </c>
      <c r="S19" s="7">
        <v>90</v>
      </c>
    </row>
    <row r="20" s="98" customFormat="1" ht="16.5" hidden="1" spans="1:19">
      <c r="A20" s="46">
        <v>18</v>
      </c>
      <c r="B20" s="46" t="s">
        <v>23</v>
      </c>
      <c r="C20" s="46" t="s">
        <v>36</v>
      </c>
      <c r="D20" s="7" t="s">
        <v>27</v>
      </c>
      <c r="E20" s="7" t="s">
        <v>902</v>
      </c>
      <c r="F20" s="7" t="s">
        <v>903</v>
      </c>
      <c r="G20" s="46" t="s">
        <v>904</v>
      </c>
      <c r="H20" s="101">
        <v>1212</v>
      </c>
      <c r="I20" s="46" t="s">
        <v>905</v>
      </c>
      <c r="J20" s="6">
        <v>46035</v>
      </c>
      <c r="K20" s="7" t="s">
        <v>944</v>
      </c>
      <c r="L20" s="7" t="s">
        <v>915</v>
      </c>
      <c r="M20" s="46" t="s">
        <v>945</v>
      </c>
      <c r="N20" s="46" t="s">
        <v>173</v>
      </c>
      <c r="O20" s="46" t="s">
        <v>909</v>
      </c>
      <c r="P20" s="6">
        <v>45913</v>
      </c>
      <c r="Q20" s="102">
        <v>5</v>
      </c>
      <c r="R20" s="102">
        <v>5</v>
      </c>
      <c r="S20" s="7">
        <v>90</v>
      </c>
    </row>
    <row r="21" s="98" customFormat="1" ht="16.5" hidden="1" spans="1:19">
      <c r="A21" s="46">
        <v>19</v>
      </c>
      <c r="B21" s="46" t="s">
        <v>23</v>
      </c>
      <c r="C21" s="46" t="s">
        <v>31</v>
      </c>
      <c r="D21" s="7" t="s">
        <v>27</v>
      </c>
      <c r="E21" s="7" t="s">
        <v>902</v>
      </c>
      <c r="F21" s="7" t="s">
        <v>903</v>
      </c>
      <c r="G21" s="46" t="s">
        <v>904</v>
      </c>
      <c r="H21" s="101">
        <v>1212</v>
      </c>
      <c r="I21" s="46" t="s">
        <v>905</v>
      </c>
      <c r="J21" s="6">
        <v>46035</v>
      </c>
      <c r="K21" s="7" t="s">
        <v>946</v>
      </c>
      <c r="L21" s="7" t="s">
        <v>907</v>
      </c>
      <c r="M21" s="46" t="s">
        <v>947</v>
      </c>
      <c r="N21" s="46" t="s">
        <v>79</v>
      </c>
      <c r="O21" s="46" t="s">
        <v>909</v>
      </c>
      <c r="P21" s="6">
        <v>45872</v>
      </c>
      <c r="Q21" s="102">
        <v>0</v>
      </c>
      <c r="R21" s="102">
        <v>0</v>
      </c>
      <c r="S21" s="7">
        <v>0</v>
      </c>
    </row>
    <row r="22" s="98" customFormat="1" ht="16.5" hidden="1" spans="1:19">
      <c r="A22" s="46">
        <v>20</v>
      </c>
      <c r="B22" s="46" t="s">
        <v>23</v>
      </c>
      <c r="C22" s="46" t="s">
        <v>36</v>
      </c>
      <c r="D22" s="7" t="s">
        <v>27</v>
      </c>
      <c r="E22" s="7" t="s">
        <v>902</v>
      </c>
      <c r="F22" s="7" t="s">
        <v>903</v>
      </c>
      <c r="G22" s="46" t="s">
        <v>904</v>
      </c>
      <c r="H22" s="101">
        <v>1212</v>
      </c>
      <c r="I22" s="46" t="s">
        <v>905</v>
      </c>
      <c r="J22" s="6">
        <v>46035</v>
      </c>
      <c r="K22" s="7" t="s">
        <v>948</v>
      </c>
      <c r="L22" s="7" t="s">
        <v>915</v>
      </c>
      <c r="M22" s="46" t="s">
        <v>949</v>
      </c>
      <c r="N22" s="46" t="s">
        <v>173</v>
      </c>
      <c r="O22" s="46" t="s">
        <v>909</v>
      </c>
      <c r="P22" s="6">
        <v>45876</v>
      </c>
      <c r="Q22" s="102">
        <v>5</v>
      </c>
      <c r="R22" s="102">
        <v>5</v>
      </c>
      <c r="S22" s="7">
        <v>80</v>
      </c>
    </row>
    <row r="23" s="98" customFormat="1" ht="16.5" hidden="1" spans="1:19">
      <c r="A23" s="46">
        <v>21</v>
      </c>
      <c r="B23" s="46" t="s">
        <v>23</v>
      </c>
      <c r="C23" s="46" t="s">
        <v>36</v>
      </c>
      <c r="D23" s="7" t="s">
        <v>27</v>
      </c>
      <c r="E23" s="7" t="s">
        <v>902</v>
      </c>
      <c r="F23" s="7" t="s">
        <v>903</v>
      </c>
      <c r="G23" s="46" t="s">
        <v>904</v>
      </c>
      <c r="H23" s="101">
        <v>1212</v>
      </c>
      <c r="I23" s="46" t="s">
        <v>905</v>
      </c>
      <c r="J23" s="6">
        <v>46035</v>
      </c>
      <c r="K23" s="7" t="s">
        <v>950</v>
      </c>
      <c r="L23" s="7" t="s">
        <v>915</v>
      </c>
      <c r="M23" s="46" t="s">
        <v>951</v>
      </c>
      <c r="N23" s="46" t="s">
        <v>173</v>
      </c>
      <c r="O23" s="46" t="s">
        <v>909</v>
      </c>
      <c r="P23" s="6">
        <v>45874</v>
      </c>
      <c r="Q23" s="102">
        <v>5</v>
      </c>
      <c r="R23" s="102">
        <v>5</v>
      </c>
      <c r="S23" s="7">
        <v>96</v>
      </c>
    </row>
    <row r="24" s="98" customFormat="1" ht="16.5" hidden="1" spans="1:19">
      <c r="A24" s="46">
        <v>22</v>
      </c>
      <c r="B24" s="46" t="s">
        <v>23</v>
      </c>
      <c r="C24" s="46" t="s">
        <v>38</v>
      </c>
      <c r="D24" s="7" t="s">
        <v>27</v>
      </c>
      <c r="E24" s="7" t="s">
        <v>902</v>
      </c>
      <c r="F24" s="7" t="s">
        <v>903</v>
      </c>
      <c r="G24" s="46" t="s">
        <v>904</v>
      </c>
      <c r="H24" s="101">
        <v>1212</v>
      </c>
      <c r="I24" s="46" t="s">
        <v>905</v>
      </c>
      <c r="J24" s="6">
        <v>46035</v>
      </c>
      <c r="K24" s="7" t="s">
        <v>952</v>
      </c>
      <c r="L24" s="7" t="s">
        <v>907</v>
      </c>
      <c r="M24" s="46" t="s">
        <v>953</v>
      </c>
      <c r="N24" s="46" t="s">
        <v>220</v>
      </c>
      <c r="O24" s="46" t="s">
        <v>909</v>
      </c>
      <c r="P24" s="6">
        <v>45909</v>
      </c>
      <c r="Q24" s="102">
        <v>0</v>
      </c>
      <c r="R24" s="102">
        <v>0</v>
      </c>
      <c r="S24" s="7">
        <v>0</v>
      </c>
    </row>
    <row r="25" s="98" customFormat="1" ht="16.5" hidden="1" spans="1:19">
      <c r="A25" s="46">
        <v>23</v>
      </c>
      <c r="B25" s="46" t="s">
        <v>23</v>
      </c>
      <c r="C25" s="46" t="s">
        <v>38</v>
      </c>
      <c r="D25" s="7" t="s">
        <v>27</v>
      </c>
      <c r="E25" s="7" t="s">
        <v>902</v>
      </c>
      <c r="F25" s="7" t="s">
        <v>903</v>
      </c>
      <c r="G25" s="46" t="s">
        <v>904</v>
      </c>
      <c r="H25" s="101">
        <v>1212</v>
      </c>
      <c r="I25" s="46" t="s">
        <v>905</v>
      </c>
      <c r="J25" s="6">
        <v>46035</v>
      </c>
      <c r="K25" s="7" t="s">
        <v>954</v>
      </c>
      <c r="L25" s="7" t="s">
        <v>907</v>
      </c>
      <c r="M25" s="46" t="s">
        <v>955</v>
      </c>
      <c r="N25" s="46" t="s">
        <v>220</v>
      </c>
      <c r="O25" s="46" t="s">
        <v>921</v>
      </c>
      <c r="P25" s="6">
        <v>45701</v>
      </c>
      <c r="Q25" s="102">
        <v>0</v>
      </c>
      <c r="R25" s="102">
        <v>0</v>
      </c>
      <c r="S25" s="7">
        <v>0</v>
      </c>
    </row>
    <row r="26" s="98" customFormat="1" ht="16.5" hidden="1" spans="1:19">
      <c r="A26" s="46">
        <v>24</v>
      </c>
      <c r="B26" s="46" t="s">
        <v>23</v>
      </c>
      <c r="C26" s="46" t="s">
        <v>38</v>
      </c>
      <c r="D26" s="7" t="s">
        <v>27</v>
      </c>
      <c r="E26" s="7" t="s">
        <v>902</v>
      </c>
      <c r="F26" s="7" t="s">
        <v>903</v>
      </c>
      <c r="G26" s="46" t="s">
        <v>904</v>
      </c>
      <c r="H26" s="101">
        <v>1212</v>
      </c>
      <c r="I26" s="46" t="s">
        <v>905</v>
      </c>
      <c r="J26" s="6">
        <v>46035</v>
      </c>
      <c r="K26" s="7" t="s">
        <v>956</v>
      </c>
      <c r="L26" s="7" t="s">
        <v>915</v>
      </c>
      <c r="M26" s="46" t="s">
        <v>957</v>
      </c>
      <c r="N26" s="46" t="s">
        <v>148</v>
      </c>
      <c r="O26" s="46" t="s">
        <v>909</v>
      </c>
      <c r="P26" s="6">
        <v>45861</v>
      </c>
      <c r="Q26" s="102">
        <v>0</v>
      </c>
      <c r="R26" s="102">
        <v>0</v>
      </c>
      <c r="S26" s="7">
        <v>120</v>
      </c>
    </row>
    <row r="27" s="98" customFormat="1" ht="16.5" hidden="1" spans="1:19">
      <c r="A27" s="46">
        <v>25</v>
      </c>
      <c r="B27" s="46" t="s">
        <v>23</v>
      </c>
      <c r="C27" s="46" t="s">
        <v>38</v>
      </c>
      <c r="D27" s="7" t="s">
        <v>27</v>
      </c>
      <c r="E27" s="7" t="s">
        <v>902</v>
      </c>
      <c r="F27" s="7" t="s">
        <v>903</v>
      </c>
      <c r="G27" s="46" t="s">
        <v>904</v>
      </c>
      <c r="H27" s="101">
        <v>1212</v>
      </c>
      <c r="I27" s="46" t="s">
        <v>905</v>
      </c>
      <c r="J27" s="6">
        <v>46035</v>
      </c>
      <c r="K27" s="7" t="s">
        <v>958</v>
      </c>
      <c r="L27" s="7" t="s">
        <v>915</v>
      </c>
      <c r="M27" s="46" t="s">
        <v>959</v>
      </c>
      <c r="N27" s="46" t="s">
        <v>148</v>
      </c>
      <c r="O27" s="46" t="s">
        <v>909</v>
      </c>
      <c r="P27" s="6">
        <v>45844</v>
      </c>
      <c r="Q27" s="102">
        <v>5</v>
      </c>
      <c r="R27" s="102">
        <v>5</v>
      </c>
      <c r="S27" s="7">
        <v>110</v>
      </c>
    </row>
    <row r="28" s="98" customFormat="1" ht="16.5" hidden="1" spans="1:19">
      <c r="A28" s="46">
        <v>26</v>
      </c>
      <c r="B28" s="46" t="s">
        <v>23</v>
      </c>
      <c r="C28" s="46" t="s">
        <v>38</v>
      </c>
      <c r="D28" s="7" t="s">
        <v>27</v>
      </c>
      <c r="E28" s="7" t="s">
        <v>902</v>
      </c>
      <c r="F28" s="7" t="s">
        <v>903</v>
      </c>
      <c r="G28" s="46" t="s">
        <v>904</v>
      </c>
      <c r="H28" s="101">
        <v>1212</v>
      </c>
      <c r="I28" s="46" t="s">
        <v>905</v>
      </c>
      <c r="J28" s="6">
        <v>46035</v>
      </c>
      <c r="K28" s="7" t="s">
        <v>960</v>
      </c>
      <c r="L28" s="7" t="s">
        <v>915</v>
      </c>
      <c r="M28" s="46" t="s">
        <v>961</v>
      </c>
      <c r="N28" s="46" t="s">
        <v>168</v>
      </c>
      <c r="O28" s="46" t="s">
        <v>909</v>
      </c>
      <c r="P28" s="6">
        <v>45927</v>
      </c>
      <c r="Q28" s="102">
        <v>5</v>
      </c>
      <c r="R28" s="102">
        <v>5</v>
      </c>
      <c r="S28" s="7">
        <v>110</v>
      </c>
    </row>
    <row r="29" s="98" customFormat="1" ht="16.5" hidden="1" spans="1:19">
      <c r="A29" s="46">
        <v>27</v>
      </c>
      <c r="B29" s="46" t="s">
        <v>23</v>
      </c>
      <c r="C29" s="46" t="s">
        <v>38</v>
      </c>
      <c r="D29" s="7" t="s">
        <v>27</v>
      </c>
      <c r="E29" s="7" t="s">
        <v>902</v>
      </c>
      <c r="F29" s="7" t="s">
        <v>903</v>
      </c>
      <c r="G29" s="46" t="s">
        <v>904</v>
      </c>
      <c r="H29" s="101">
        <v>1212</v>
      </c>
      <c r="I29" s="46" t="s">
        <v>905</v>
      </c>
      <c r="J29" s="6">
        <v>46035</v>
      </c>
      <c r="K29" s="7" t="s">
        <v>962</v>
      </c>
      <c r="L29" s="7" t="s">
        <v>907</v>
      </c>
      <c r="M29" s="46" t="s">
        <v>963</v>
      </c>
      <c r="N29" s="46" t="s">
        <v>70</v>
      </c>
      <c r="O29" s="46" t="s">
        <v>921</v>
      </c>
      <c r="P29" s="6">
        <v>45852</v>
      </c>
      <c r="Q29" s="102">
        <v>0</v>
      </c>
      <c r="R29" s="102">
        <v>0</v>
      </c>
      <c r="S29" s="7">
        <v>0</v>
      </c>
    </row>
    <row r="30" s="98" customFormat="1" ht="16.5" hidden="1" spans="1:19">
      <c r="A30" s="46">
        <v>28</v>
      </c>
      <c r="B30" s="46" t="s">
        <v>23</v>
      </c>
      <c r="C30" s="46" t="s">
        <v>38</v>
      </c>
      <c r="D30" s="7" t="s">
        <v>27</v>
      </c>
      <c r="E30" s="7" t="s">
        <v>902</v>
      </c>
      <c r="F30" s="7" t="s">
        <v>903</v>
      </c>
      <c r="G30" s="46" t="s">
        <v>904</v>
      </c>
      <c r="H30" s="101">
        <v>1212</v>
      </c>
      <c r="I30" s="46" t="s">
        <v>905</v>
      </c>
      <c r="J30" s="6">
        <v>46035</v>
      </c>
      <c r="K30" s="7" t="s">
        <v>964</v>
      </c>
      <c r="L30" s="7" t="s">
        <v>907</v>
      </c>
      <c r="M30" s="46" t="s">
        <v>965</v>
      </c>
      <c r="N30" s="46" t="s">
        <v>75</v>
      </c>
      <c r="O30" s="46" t="s">
        <v>909</v>
      </c>
      <c r="P30" s="6">
        <v>45738</v>
      </c>
      <c r="Q30" s="102">
        <v>0</v>
      </c>
      <c r="R30" s="102">
        <v>0</v>
      </c>
      <c r="S30" s="7">
        <v>0</v>
      </c>
    </row>
    <row r="31" s="98" customFormat="1" ht="16.5" hidden="1" spans="1:19">
      <c r="A31" s="46">
        <v>29</v>
      </c>
      <c r="B31" s="46" t="s">
        <v>23</v>
      </c>
      <c r="C31" s="46" t="s">
        <v>38</v>
      </c>
      <c r="D31" s="7" t="s">
        <v>27</v>
      </c>
      <c r="E31" s="7" t="s">
        <v>902</v>
      </c>
      <c r="F31" s="7" t="s">
        <v>903</v>
      </c>
      <c r="G31" s="46" t="s">
        <v>904</v>
      </c>
      <c r="H31" s="101">
        <v>1212</v>
      </c>
      <c r="I31" s="46" t="s">
        <v>905</v>
      </c>
      <c r="J31" s="6">
        <v>46035</v>
      </c>
      <c r="K31" s="7" t="s">
        <v>966</v>
      </c>
      <c r="L31" s="7" t="s">
        <v>915</v>
      </c>
      <c r="M31" s="46" t="s">
        <v>967</v>
      </c>
      <c r="N31" s="46" t="s">
        <v>63</v>
      </c>
      <c r="O31" s="46" t="s">
        <v>921</v>
      </c>
      <c r="P31" s="6">
        <v>45756</v>
      </c>
      <c r="Q31" s="102">
        <v>5</v>
      </c>
      <c r="R31" s="102">
        <v>5</v>
      </c>
      <c r="S31" s="7">
        <v>120</v>
      </c>
    </row>
    <row r="32" s="98" customFormat="1" ht="16.5" hidden="1" spans="1:19">
      <c r="A32" s="46">
        <v>30</v>
      </c>
      <c r="B32" s="46" t="s">
        <v>23</v>
      </c>
      <c r="C32" s="46" t="s">
        <v>38</v>
      </c>
      <c r="D32" s="7" t="s">
        <v>27</v>
      </c>
      <c r="E32" s="7" t="s">
        <v>902</v>
      </c>
      <c r="F32" s="7" t="s">
        <v>903</v>
      </c>
      <c r="G32" s="46" t="s">
        <v>904</v>
      </c>
      <c r="H32" s="101">
        <v>1212</v>
      </c>
      <c r="I32" s="46" t="s">
        <v>905</v>
      </c>
      <c r="J32" s="6">
        <v>46035</v>
      </c>
      <c r="K32" s="7" t="s">
        <v>968</v>
      </c>
      <c r="L32" s="7" t="s">
        <v>915</v>
      </c>
      <c r="M32" s="46" t="s">
        <v>969</v>
      </c>
      <c r="N32" s="46" t="s">
        <v>63</v>
      </c>
      <c r="O32" s="46" t="s">
        <v>921</v>
      </c>
      <c r="P32" s="6">
        <v>45702</v>
      </c>
      <c r="Q32" s="102">
        <v>2.75</v>
      </c>
      <c r="R32" s="102">
        <v>4.4</v>
      </c>
      <c r="S32" s="7">
        <v>120</v>
      </c>
    </row>
    <row r="33" s="98" customFormat="1" ht="16.5" hidden="1" spans="1:19">
      <c r="A33" s="46">
        <v>31</v>
      </c>
      <c r="B33" s="46" t="s">
        <v>23</v>
      </c>
      <c r="C33" s="46" t="s">
        <v>38</v>
      </c>
      <c r="D33" s="7" t="s">
        <v>27</v>
      </c>
      <c r="E33" s="7" t="s">
        <v>902</v>
      </c>
      <c r="F33" s="7" t="s">
        <v>903</v>
      </c>
      <c r="G33" s="46" t="s">
        <v>904</v>
      </c>
      <c r="H33" s="101">
        <v>1212</v>
      </c>
      <c r="I33" s="46" t="s">
        <v>905</v>
      </c>
      <c r="J33" s="6">
        <v>46035</v>
      </c>
      <c r="K33" s="7" t="s">
        <v>970</v>
      </c>
      <c r="L33" s="7" t="s">
        <v>907</v>
      </c>
      <c r="M33" s="46" t="s">
        <v>971</v>
      </c>
      <c r="N33" s="46" t="s">
        <v>148</v>
      </c>
      <c r="O33" s="46" t="s">
        <v>909</v>
      </c>
      <c r="P33" s="6">
        <v>45800</v>
      </c>
      <c r="Q33" s="102">
        <v>0</v>
      </c>
      <c r="R33" s="102">
        <v>0</v>
      </c>
      <c r="S33" s="7">
        <v>0</v>
      </c>
    </row>
    <row r="34" s="98" customFormat="1" ht="16.5" hidden="1" spans="1:19">
      <c r="A34" s="46">
        <v>32</v>
      </c>
      <c r="B34" s="46" t="s">
        <v>23</v>
      </c>
      <c r="C34" s="46" t="s">
        <v>38</v>
      </c>
      <c r="D34" s="7" t="s">
        <v>27</v>
      </c>
      <c r="E34" s="7" t="s">
        <v>902</v>
      </c>
      <c r="F34" s="7" t="s">
        <v>903</v>
      </c>
      <c r="G34" s="46" t="s">
        <v>904</v>
      </c>
      <c r="H34" s="101">
        <v>1212</v>
      </c>
      <c r="I34" s="46" t="s">
        <v>905</v>
      </c>
      <c r="J34" s="6">
        <v>46035</v>
      </c>
      <c r="K34" s="7" t="s">
        <v>972</v>
      </c>
      <c r="L34" s="7" t="s">
        <v>907</v>
      </c>
      <c r="M34" s="46" t="s">
        <v>973</v>
      </c>
      <c r="N34" s="46" t="s">
        <v>75</v>
      </c>
      <c r="O34" s="46" t="s">
        <v>909</v>
      </c>
      <c r="P34" s="6">
        <v>45855</v>
      </c>
      <c r="Q34" s="102">
        <v>0</v>
      </c>
      <c r="R34" s="102">
        <v>0</v>
      </c>
      <c r="S34" s="7">
        <v>0</v>
      </c>
    </row>
    <row r="35" s="98" customFormat="1" ht="16.5" hidden="1" spans="1:19">
      <c r="A35" s="46">
        <v>33</v>
      </c>
      <c r="B35" s="46" t="s">
        <v>23</v>
      </c>
      <c r="C35" s="46" t="s">
        <v>38</v>
      </c>
      <c r="D35" s="7" t="s">
        <v>27</v>
      </c>
      <c r="E35" s="7" t="s">
        <v>902</v>
      </c>
      <c r="F35" s="7" t="s">
        <v>903</v>
      </c>
      <c r="G35" s="46" t="s">
        <v>904</v>
      </c>
      <c r="H35" s="101">
        <v>1212</v>
      </c>
      <c r="I35" s="46" t="s">
        <v>905</v>
      </c>
      <c r="J35" s="6">
        <v>46035</v>
      </c>
      <c r="K35" s="7" t="s">
        <v>974</v>
      </c>
      <c r="L35" s="7" t="s">
        <v>907</v>
      </c>
      <c r="M35" s="46" t="s">
        <v>975</v>
      </c>
      <c r="N35" s="46" t="s">
        <v>75</v>
      </c>
      <c r="O35" s="46" t="s">
        <v>921</v>
      </c>
      <c r="P35" s="6">
        <v>45768</v>
      </c>
      <c r="Q35" s="102">
        <v>0</v>
      </c>
      <c r="R35" s="102">
        <v>0</v>
      </c>
      <c r="S35" s="7">
        <v>0</v>
      </c>
    </row>
    <row r="36" s="98" customFormat="1" ht="16.5" hidden="1" spans="1:19">
      <c r="A36" s="46">
        <v>34</v>
      </c>
      <c r="B36" s="46" t="s">
        <v>23</v>
      </c>
      <c r="C36" s="46" t="s">
        <v>29</v>
      </c>
      <c r="D36" s="7" t="s">
        <v>27</v>
      </c>
      <c r="E36" s="7" t="s">
        <v>902</v>
      </c>
      <c r="F36" s="7" t="s">
        <v>903</v>
      </c>
      <c r="G36" s="46" t="s">
        <v>904</v>
      </c>
      <c r="H36" s="101">
        <v>1212</v>
      </c>
      <c r="I36" s="46" t="s">
        <v>905</v>
      </c>
      <c r="J36" s="6">
        <v>46035</v>
      </c>
      <c r="K36" s="7" t="s">
        <v>976</v>
      </c>
      <c r="L36" s="7" t="s">
        <v>915</v>
      </c>
      <c r="M36" s="46" t="s">
        <v>977</v>
      </c>
      <c r="N36" s="46" t="s">
        <v>130</v>
      </c>
      <c r="O36" s="46" t="s">
        <v>909</v>
      </c>
      <c r="P36" s="6">
        <v>45870</v>
      </c>
      <c r="Q36" s="102">
        <v>5</v>
      </c>
      <c r="R36" s="102">
        <v>5</v>
      </c>
      <c r="S36" s="7">
        <v>80</v>
      </c>
    </row>
    <row r="37" s="98" customFormat="1" ht="16.5" hidden="1" spans="1:19">
      <c r="A37" s="46">
        <v>35</v>
      </c>
      <c r="B37" s="46" t="s">
        <v>23</v>
      </c>
      <c r="C37" s="46" t="s">
        <v>36</v>
      </c>
      <c r="D37" s="7" t="s">
        <v>27</v>
      </c>
      <c r="E37" s="7" t="s">
        <v>902</v>
      </c>
      <c r="F37" s="7" t="s">
        <v>903</v>
      </c>
      <c r="G37" s="46" t="s">
        <v>904</v>
      </c>
      <c r="H37" s="101">
        <v>1212</v>
      </c>
      <c r="I37" s="46" t="s">
        <v>905</v>
      </c>
      <c r="J37" s="6">
        <v>46035</v>
      </c>
      <c r="K37" s="7" t="s">
        <v>978</v>
      </c>
      <c r="L37" s="7" t="s">
        <v>915</v>
      </c>
      <c r="M37" s="46" t="s">
        <v>979</v>
      </c>
      <c r="N37" s="46" t="s">
        <v>173</v>
      </c>
      <c r="O37" s="46" t="s">
        <v>909</v>
      </c>
      <c r="P37" s="6">
        <v>45844</v>
      </c>
      <c r="Q37" s="102">
        <v>5</v>
      </c>
      <c r="R37" s="102">
        <v>5</v>
      </c>
      <c r="S37" s="7">
        <v>60</v>
      </c>
    </row>
    <row r="38" s="98" customFormat="1" ht="16.5" hidden="1" spans="1:19">
      <c r="A38" s="46">
        <v>36</v>
      </c>
      <c r="B38" s="46" t="s">
        <v>23</v>
      </c>
      <c r="C38" s="46" t="s">
        <v>36</v>
      </c>
      <c r="D38" s="7" t="s">
        <v>27</v>
      </c>
      <c r="E38" s="7" t="s">
        <v>902</v>
      </c>
      <c r="F38" s="7" t="s">
        <v>903</v>
      </c>
      <c r="G38" s="46" t="s">
        <v>904</v>
      </c>
      <c r="H38" s="101">
        <v>1212</v>
      </c>
      <c r="I38" s="46" t="s">
        <v>905</v>
      </c>
      <c r="J38" s="6">
        <v>46035</v>
      </c>
      <c r="K38" s="7" t="s">
        <v>980</v>
      </c>
      <c r="L38" s="7" t="s">
        <v>915</v>
      </c>
      <c r="M38" s="46" t="s">
        <v>981</v>
      </c>
      <c r="N38" s="46" t="s">
        <v>173</v>
      </c>
      <c r="O38" s="46" t="s">
        <v>909</v>
      </c>
      <c r="P38" s="6">
        <v>45833</v>
      </c>
      <c r="Q38" s="102">
        <v>5</v>
      </c>
      <c r="R38" s="102">
        <v>5</v>
      </c>
      <c r="S38" s="7">
        <v>100</v>
      </c>
    </row>
    <row r="39" s="98" customFormat="1" ht="16.5" hidden="1" spans="1:19">
      <c r="A39" s="46">
        <v>37</v>
      </c>
      <c r="B39" s="46" t="s">
        <v>23</v>
      </c>
      <c r="C39" s="46" t="s">
        <v>36</v>
      </c>
      <c r="D39" s="7" t="s">
        <v>27</v>
      </c>
      <c r="E39" s="7" t="s">
        <v>902</v>
      </c>
      <c r="F39" s="7" t="s">
        <v>903</v>
      </c>
      <c r="G39" s="46" t="s">
        <v>904</v>
      </c>
      <c r="H39" s="101">
        <v>1212</v>
      </c>
      <c r="I39" s="46" t="s">
        <v>905</v>
      </c>
      <c r="J39" s="6">
        <v>46035</v>
      </c>
      <c r="K39" s="7" t="s">
        <v>982</v>
      </c>
      <c r="L39" s="7" t="s">
        <v>915</v>
      </c>
      <c r="M39" s="46" t="s">
        <v>983</v>
      </c>
      <c r="N39" s="46" t="s">
        <v>173</v>
      </c>
      <c r="O39" s="46" t="s">
        <v>921</v>
      </c>
      <c r="P39" s="6">
        <v>45810</v>
      </c>
      <c r="Q39" s="102">
        <v>5</v>
      </c>
      <c r="R39" s="102">
        <v>5</v>
      </c>
      <c r="S39" s="7">
        <v>100</v>
      </c>
    </row>
    <row r="40" s="98" customFormat="1" ht="16.5" hidden="1" spans="1:19">
      <c r="A40" s="46">
        <v>38</v>
      </c>
      <c r="B40" s="46" t="s">
        <v>23</v>
      </c>
      <c r="C40" s="46" t="s">
        <v>38</v>
      </c>
      <c r="D40" s="7" t="s">
        <v>27</v>
      </c>
      <c r="E40" s="7" t="s">
        <v>902</v>
      </c>
      <c r="F40" s="7" t="s">
        <v>903</v>
      </c>
      <c r="G40" s="46" t="s">
        <v>904</v>
      </c>
      <c r="H40" s="101">
        <v>1212</v>
      </c>
      <c r="I40" s="46" t="s">
        <v>905</v>
      </c>
      <c r="J40" s="6">
        <v>46035</v>
      </c>
      <c r="K40" s="7" t="s">
        <v>984</v>
      </c>
      <c r="L40" s="7" t="s">
        <v>915</v>
      </c>
      <c r="M40" s="46" t="s">
        <v>985</v>
      </c>
      <c r="N40" s="46" t="s">
        <v>75</v>
      </c>
      <c r="O40" s="46" t="s">
        <v>909</v>
      </c>
      <c r="P40" s="6">
        <v>45812</v>
      </c>
      <c r="Q40" s="102">
        <v>5</v>
      </c>
      <c r="R40" s="102">
        <v>5</v>
      </c>
      <c r="S40" s="7">
        <v>87</v>
      </c>
    </row>
    <row r="41" s="98" customFormat="1" ht="16.5" hidden="1" spans="1:19">
      <c r="A41" s="46">
        <v>39</v>
      </c>
      <c r="B41" s="46" t="s">
        <v>23</v>
      </c>
      <c r="C41" s="46" t="s">
        <v>35</v>
      </c>
      <c r="D41" s="7" t="s">
        <v>27</v>
      </c>
      <c r="E41" s="7" t="s">
        <v>902</v>
      </c>
      <c r="F41" s="7" t="s">
        <v>903</v>
      </c>
      <c r="G41" s="46" t="s">
        <v>904</v>
      </c>
      <c r="H41" s="101">
        <v>1212</v>
      </c>
      <c r="I41" s="46" t="s">
        <v>905</v>
      </c>
      <c r="J41" s="6">
        <v>46035</v>
      </c>
      <c r="K41" s="7" t="s">
        <v>986</v>
      </c>
      <c r="L41" s="7" t="s">
        <v>915</v>
      </c>
      <c r="M41" s="46" t="s">
        <v>987</v>
      </c>
      <c r="N41" s="46" t="s">
        <v>125</v>
      </c>
      <c r="O41" s="46" t="s">
        <v>909</v>
      </c>
      <c r="P41" s="6">
        <v>45876</v>
      </c>
      <c r="Q41" s="102">
        <v>5</v>
      </c>
      <c r="R41" s="102">
        <v>5</v>
      </c>
      <c r="S41" s="7">
        <v>90</v>
      </c>
    </row>
    <row r="42" s="98" customFormat="1" ht="16.5" hidden="1" spans="1:19">
      <c r="A42" s="46">
        <v>40</v>
      </c>
      <c r="B42" s="46" t="s">
        <v>23</v>
      </c>
      <c r="C42" s="46" t="s">
        <v>38</v>
      </c>
      <c r="D42" s="7" t="s">
        <v>27</v>
      </c>
      <c r="E42" s="7" t="s">
        <v>902</v>
      </c>
      <c r="F42" s="7" t="s">
        <v>903</v>
      </c>
      <c r="G42" s="46" t="s">
        <v>904</v>
      </c>
      <c r="H42" s="101">
        <v>1212</v>
      </c>
      <c r="I42" s="46" t="s">
        <v>905</v>
      </c>
      <c r="J42" s="6">
        <v>46035</v>
      </c>
      <c r="K42" s="7" t="s">
        <v>988</v>
      </c>
      <c r="L42" s="7" t="s">
        <v>915</v>
      </c>
      <c r="M42" s="46" t="s">
        <v>989</v>
      </c>
      <c r="N42" s="46" t="s">
        <v>75</v>
      </c>
      <c r="O42" s="46" t="s">
        <v>921</v>
      </c>
      <c r="P42" s="6">
        <v>45665</v>
      </c>
      <c r="Q42" s="102">
        <v>4.75</v>
      </c>
      <c r="R42" s="102">
        <v>4.8</v>
      </c>
      <c r="S42" s="7">
        <v>100</v>
      </c>
    </row>
    <row r="43" s="98" customFormat="1" ht="16.5" hidden="1" spans="1:19">
      <c r="A43" s="46">
        <v>41</v>
      </c>
      <c r="B43" s="46" t="s">
        <v>23</v>
      </c>
      <c r="C43" s="46" t="s">
        <v>38</v>
      </c>
      <c r="D43" s="7" t="s">
        <v>27</v>
      </c>
      <c r="E43" s="7" t="s">
        <v>902</v>
      </c>
      <c r="F43" s="7" t="s">
        <v>903</v>
      </c>
      <c r="G43" s="46" t="s">
        <v>904</v>
      </c>
      <c r="H43" s="101">
        <v>1212</v>
      </c>
      <c r="I43" s="46" t="s">
        <v>905</v>
      </c>
      <c r="J43" s="6">
        <v>46035</v>
      </c>
      <c r="K43" s="7" t="s">
        <v>990</v>
      </c>
      <c r="L43" s="7" t="s">
        <v>907</v>
      </c>
      <c r="M43" s="46" t="s">
        <v>991</v>
      </c>
      <c r="N43" s="46" t="s">
        <v>168</v>
      </c>
      <c r="O43" s="46" t="s">
        <v>921</v>
      </c>
      <c r="P43" s="6">
        <v>45754</v>
      </c>
      <c r="Q43" s="102">
        <v>0</v>
      </c>
      <c r="R43" s="102">
        <v>0</v>
      </c>
      <c r="S43" s="7">
        <v>0</v>
      </c>
    </row>
    <row r="44" s="98" customFormat="1" ht="16.5" hidden="1" spans="1:19">
      <c r="A44" s="46">
        <v>42</v>
      </c>
      <c r="B44" s="46" t="s">
        <v>23</v>
      </c>
      <c r="C44" s="46" t="s">
        <v>38</v>
      </c>
      <c r="D44" s="7" t="s">
        <v>27</v>
      </c>
      <c r="E44" s="7" t="s">
        <v>902</v>
      </c>
      <c r="F44" s="7" t="s">
        <v>903</v>
      </c>
      <c r="G44" s="46" t="s">
        <v>904</v>
      </c>
      <c r="H44" s="101">
        <v>1212</v>
      </c>
      <c r="I44" s="46" t="s">
        <v>905</v>
      </c>
      <c r="J44" s="6">
        <v>46035</v>
      </c>
      <c r="K44" s="7" t="s">
        <v>992</v>
      </c>
      <c r="L44" s="7" t="s">
        <v>907</v>
      </c>
      <c r="M44" s="46" t="s">
        <v>993</v>
      </c>
      <c r="N44" s="46" t="s">
        <v>168</v>
      </c>
      <c r="O44" s="46" t="s">
        <v>921</v>
      </c>
      <c r="P44" s="6">
        <v>45738</v>
      </c>
      <c r="Q44" s="102">
        <v>0</v>
      </c>
      <c r="R44" s="102">
        <v>0</v>
      </c>
      <c r="S44" s="7">
        <v>0</v>
      </c>
    </row>
    <row r="45" s="98" customFormat="1" ht="16.5" hidden="1" spans="1:19">
      <c r="A45" s="46">
        <v>43</v>
      </c>
      <c r="B45" s="46" t="s">
        <v>23</v>
      </c>
      <c r="C45" s="46" t="s">
        <v>38</v>
      </c>
      <c r="D45" s="7" t="s">
        <v>27</v>
      </c>
      <c r="E45" s="7" t="s">
        <v>902</v>
      </c>
      <c r="F45" s="7" t="s">
        <v>903</v>
      </c>
      <c r="G45" s="46" t="s">
        <v>904</v>
      </c>
      <c r="H45" s="101">
        <v>1212</v>
      </c>
      <c r="I45" s="46" t="s">
        <v>905</v>
      </c>
      <c r="J45" s="6">
        <v>46035</v>
      </c>
      <c r="K45" s="7" t="s">
        <v>994</v>
      </c>
      <c r="L45" s="7" t="s">
        <v>907</v>
      </c>
      <c r="M45" s="46" t="s">
        <v>995</v>
      </c>
      <c r="N45" s="46" t="s">
        <v>70</v>
      </c>
      <c r="O45" s="46" t="s">
        <v>921</v>
      </c>
      <c r="P45" s="6">
        <v>45790</v>
      </c>
      <c r="Q45" s="102">
        <v>0</v>
      </c>
      <c r="R45" s="102">
        <v>0</v>
      </c>
      <c r="S45" s="7">
        <v>0</v>
      </c>
    </row>
    <row r="46" s="98" customFormat="1" ht="16.5" hidden="1" spans="1:19">
      <c r="A46" s="46">
        <v>44</v>
      </c>
      <c r="B46" s="46" t="s">
        <v>23</v>
      </c>
      <c r="C46" s="46" t="s">
        <v>38</v>
      </c>
      <c r="D46" s="7" t="s">
        <v>27</v>
      </c>
      <c r="E46" s="7" t="s">
        <v>902</v>
      </c>
      <c r="F46" s="7" t="s">
        <v>903</v>
      </c>
      <c r="G46" s="46" t="s">
        <v>904</v>
      </c>
      <c r="H46" s="101">
        <v>1212</v>
      </c>
      <c r="I46" s="46" t="s">
        <v>905</v>
      </c>
      <c r="J46" s="6">
        <v>46035</v>
      </c>
      <c r="K46" s="7" t="s">
        <v>996</v>
      </c>
      <c r="L46" s="7" t="s">
        <v>907</v>
      </c>
      <c r="M46" s="46" t="s">
        <v>997</v>
      </c>
      <c r="N46" s="46" t="s">
        <v>70</v>
      </c>
      <c r="O46" s="46" t="s">
        <v>921</v>
      </c>
      <c r="P46" s="6">
        <v>45437</v>
      </c>
      <c r="Q46" s="102">
        <v>0</v>
      </c>
      <c r="R46" s="102">
        <v>0</v>
      </c>
      <c r="S46" s="7">
        <v>0</v>
      </c>
    </row>
    <row r="47" s="98" customFormat="1" ht="16.5" hidden="1" spans="1:19">
      <c r="A47" s="46">
        <v>45</v>
      </c>
      <c r="B47" s="46" t="s">
        <v>23</v>
      </c>
      <c r="C47" s="46" t="s">
        <v>38</v>
      </c>
      <c r="D47" s="7" t="s">
        <v>27</v>
      </c>
      <c r="E47" s="7" t="s">
        <v>902</v>
      </c>
      <c r="F47" s="7" t="s">
        <v>903</v>
      </c>
      <c r="G47" s="46" t="s">
        <v>904</v>
      </c>
      <c r="H47" s="101">
        <v>1212</v>
      </c>
      <c r="I47" s="46" t="s">
        <v>905</v>
      </c>
      <c r="J47" s="6">
        <v>46035</v>
      </c>
      <c r="K47" s="7" t="s">
        <v>998</v>
      </c>
      <c r="L47" s="7" t="s">
        <v>907</v>
      </c>
      <c r="M47" s="46" t="s">
        <v>999</v>
      </c>
      <c r="N47" s="46" t="s">
        <v>220</v>
      </c>
      <c r="O47" s="46" t="s">
        <v>909</v>
      </c>
      <c r="P47" s="6">
        <v>45827</v>
      </c>
      <c r="Q47" s="102">
        <v>0</v>
      </c>
      <c r="R47" s="102">
        <v>0</v>
      </c>
      <c r="S47" s="7">
        <v>0</v>
      </c>
    </row>
    <row r="48" s="98" customFormat="1" ht="16.5" hidden="1" spans="1:19">
      <c r="A48" s="46">
        <v>46</v>
      </c>
      <c r="B48" s="46" t="s">
        <v>23</v>
      </c>
      <c r="C48" s="46" t="s">
        <v>26</v>
      </c>
      <c r="D48" s="7" t="s">
        <v>27</v>
      </c>
      <c r="E48" s="7" t="s">
        <v>902</v>
      </c>
      <c r="F48" s="7" t="s">
        <v>903</v>
      </c>
      <c r="G48" s="46" t="s">
        <v>904</v>
      </c>
      <c r="H48" s="101">
        <v>1212</v>
      </c>
      <c r="I48" s="46" t="s">
        <v>905</v>
      </c>
      <c r="J48" s="6">
        <v>46035</v>
      </c>
      <c r="K48" s="7" t="s">
        <v>1000</v>
      </c>
      <c r="L48" s="7" t="s">
        <v>915</v>
      </c>
      <c r="M48" s="46" t="s">
        <v>1001</v>
      </c>
      <c r="N48" s="46" t="s">
        <v>121</v>
      </c>
      <c r="O48" s="46" t="s">
        <v>909</v>
      </c>
      <c r="P48" s="6">
        <v>45856</v>
      </c>
      <c r="Q48" s="102">
        <v>5</v>
      </c>
      <c r="R48" s="102">
        <v>5</v>
      </c>
      <c r="S48" s="7">
        <v>80</v>
      </c>
    </row>
    <row r="49" s="98" customFormat="1" ht="16.5" hidden="1" spans="1:19">
      <c r="A49" s="46">
        <v>47</v>
      </c>
      <c r="B49" s="46" t="s">
        <v>23</v>
      </c>
      <c r="C49" s="46" t="s">
        <v>26</v>
      </c>
      <c r="D49" s="7" t="s">
        <v>27</v>
      </c>
      <c r="E49" s="7" t="s">
        <v>902</v>
      </c>
      <c r="F49" s="7" t="s">
        <v>903</v>
      </c>
      <c r="G49" s="46" t="s">
        <v>904</v>
      </c>
      <c r="H49" s="101">
        <v>1212</v>
      </c>
      <c r="I49" s="46" t="s">
        <v>905</v>
      </c>
      <c r="J49" s="6">
        <v>46035</v>
      </c>
      <c r="K49" s="7" t="s">
        <v>1002</v>
      </c>
      <c r="L49" s="7" t="s">
        <v>915</v>
      </c>
      <c r="M49" s="46" t="s">
        <v>1003</v>
      </c>
      <c r="N49" s="46" t="s">
        <v>121</v>
      </c>
      <c r="O49" s="46" t="s">
        <v>909</v>
      </c>
      <c r="P49" s="6">
        <v>45853</v>
      </c>
      <c r="Q49" s="102">
        <v>5</v>
      </c>
      <c r="R49" s="102">
        <v>5</v>
      </c>
      <c r="S49" s="7">
        <v>84</v>
      </c>
    </row>
    <row r="50" s="98" customFormat="1" ht="16.5" hidden="1" spans="1:19">
      <c r="A50" s="46">
        <v>48</v>
      </c>
      <c r="B50" s="46" t="s">
        <v>23</v>
      </c>
      <c r="C50" s="46" t="s">
        <v>38</v>
      </c>
      <c r="D50" s="7" t="s">
        <v>27</v>
      </c>
      <c r="E50" s="7" t="s">
        <v>902</v>
      </c>
      <c r="F50" s="7" t="s">
        <v>903</v>
      </c>
      <c r="G50" s="46" t="s">
        <v>904</v>
      </c>
      <c r="H50" s="101">
        <v>1212</v>
      </c>
      <c r="I50" s="46" t="s">
        <v>905</v>
      </c>
      <c r="J50" s="6">
        <v>46035</v>
      </c>
      <c r="K50" s="7" t="s">
        <v>1004</v>
      </c>
      <c r="L50" s="7" t="s">
        <v>915</v>
      </c>
      <c r="M50" s="46" t="s">
        <v>1005</v>
      </c>
      <c r="N50" s="46" t="s">
        <v>70</v>
      </c>
      <c r="O50" s="46" t="s">
        <v>909</v>
      </c>
      <c r="P50" s="6">
        <v>45879</v>
      </c>
      <c r="Q50" s="102">
        <v>5</v>
      </c>
      <c r="R50" s="102">
        <v>5</v>
      </c>
      <c r="S50" s="7">
        <v>80</v>
      </c>
    </row>
    <row r="51" s="98" customFormat="1" ht="16.5" hidden="1" spans="1:19">
      <c r="A51" s="46">
        <v>49</v>
      </c>
      <c r="B51" s="46" t="s">
        <v>23</v>
      </c>
      <c r="C51" s="46" t="s">
        <v>31</v>
      </c>
      <c r="D51" s="7" t="s">
        <v>27</v>
      </c>
      <c r="E51" s="7" t="s">
        <v>902</v>
      </c>
      <c r="F51" s="7" t="s">
        <v>903</v>
      </c>
      <c r="G51" s="46" t="s">
        <v>904</v>
      </c>
      <c r="H51" s="101">
        <v>1212</v>
      </c>
      <c r="I51" s="46" t="s">
        <v>905</v>
      </c>
      <c r="J51" s="6">
        <v>46035</v>
      </c>
      <c r="K51" s="7" t="s">
        <v>1006</v>
      </c>
      <c r="L51" s="7" t="s">
        <v>907</v>
      </c>
      <c r="M51" s="46" t="s">
        <v>1007</v>
      </c>
      <c r="N51" s="46" t="s">
        <v>79</v>
      </c>
      <c r="O51" s="46" t="s">
        <v>909</v>
      </c>
      <c r="P51" s="6">
        <v>45821</v>
      </c>
      <c r="Q51" s="102">
        <v>0</v>
      </c>
      <c r="R51" s="102">
        <v>0</v>
      </c>
      <c r="S51" s="7">
        <v>0</v>
      </c>
    </row>
    <row r="52" s="98" customFormat="1" ht="16.5" hidden="1" spans="1:19">
      <c r="A52" s="46">
        <v>50</v>
      </c>
      <c r="B52" s="46" t="s">
        <v>23</v>
      </c>
      <c r="C52" s="46" t="s">
        <v>35</v>
      </c>
      <c r="D52" s="7" t="s">
        <v>27</v>
      </c>
      <c r="E52" s="7" t="s">
        <v>902</v>
      </c>
      <c r="F52" s="7" t="s">
        <v>903</v>
      </c>
      <c r="G52" s="46" t="s">
        <v>904</v>
      </c>
      <c r="H52" s="101">
        <v>1212</v>
      </c>
      <c r="I52" s="46" t="s">
        <v>905</v>
      </c>
      <c r="J52" s="6">
        <v>46035</v>
      </c>
      <c r="K52" s="7" t="s">
        <v>1008</v>
      </c>
      <c r="L52" s="7" t="s">
        <v>915</v>
      </c>
      <c r="M52" s="46" t="s">
        <v>1009</v>
      </c>
      <c r="N52" s="46" t="s">
        <v>125</v>
      </c>
      <c r="O52" s="46" t="s">
        <v>909</v>
      </c>
      <c r="P52" s="6">
        <v>45866</v>
      </c>
      <c r="Q52" s="102">
        <v>5</v>
      </c>
      <c r="R52" s="102">
        <v>5</v>
      </c>
      <c r="S52" s="7">
        <v>90</v>
      </c>
    </row>
    <row r="53" s="98" customFormat="1" ht="16.5" hidden="1" spans="1:19">
      <c r="A53" s="46">
        <v>51</v>
      </c>
      <c r="B53" s="46" t="s">
        <v>23</v>
      </c>
      <c r="C53" s="46" t="s">
        <v>32</v>
      </c>
      <c r="D53" s="7" t="s">
        <v>27</v>
      </c>
      <c r="E53" s="7" t="s">
        <v>902</v>
      </c>
      <c r="F53" s="7" t="s">
        <v>903</v>
      </c>
      <c r="G53" s="46" t="s">
        <v>904</v>
      </c>
      <c r="H53" s="101">
        <v>1212</v>
      </c>
      <c r="I53" s="46" t="s">
        <v>905</v>
      </c>
      <c r="J53" s="6">
        <v>46035</v>
      </c>
      <c r="K53" s="7" t="s">
        <v>1010</v>
      </c>
      <c r="L53" s="7" t="s">
        <v>915</v>
      </c>
      <c r="M53" s="46" t="s">
        <v>1011</v>
      </c>
      <c r="N53" s="46" t="s">
        <v>105</v>
      </c>
      <c r="O53" s="46" t="s">
        <v>909</v>
      </c>
      <c r="P53" s="6">
        <v>45816</v>
      </c>
      <c r="Q53" s="102">
        <v>0</v>
      </c>
      <c r="R53" s="102">
        <v>0</v>
      </c>
      <c r="S53" s="7">
        <v>0</v>
      </c>
    </row>
    <row r="54" s="98" customFormat="1" ht="16.5" hidden="1" spans="1:19">
      <c r="A54" s="46">
        <v>52</v>
      </c>
      <c r="B54" s="46" t="s">
        <v>23</v>
      </c>
      <c r="C54" s="46" t="s">
        <v>35</v>
      </c>
      <c r="D54" s="7" t="s">
        <v>27</v>
      </c>
      <c r="E54" s="7" t="s">
        <v>902</v>
      </c>
      <c r="F54" s="7" t="s">
        <v>903</v>
      </c>
      <c r="G54" s="46" t="s">
        <v>904</v>
      </c>
      <c r="H54" s="101">
        <v>1212</v>
      </c>
      <c r="I54" s="46" t="s">
        <v>905</v>
      </c>
      <c r="J54" s="6">
        <v>46035</v>
      </c>
      <c r="K54" s="7" t="s">
        <v>1012</v>
      </c>
      <c r="L54" s="7" t="s">
        <v>915</v>
      </c>
      <c r="M54" s="46" t="s">
        <v>1013</v>
      </c>
      <c r="N54" s="46" t="s">
        <v>125</v>
      </c>
      <c r="O54" s="46" t="s">
        <v>909</v>
      </c>
      <c r="P54" s="6">
        <v>45833</v>
      </c>
      <c r="Q54" s="102">
        <v>5</v>
      </c>
      <c r="R54" s="102">
        <v>5</v>
      </c>
      <c r="S54" s="7">
        <v>100</v>
      </c>
    </row>
    <row r="55" s="98" customFormat="1" ht="16.5" hidden="1" spans="1:19">
      <c r="A55" s="46">
        <v>53</v>
      </c>
      <c r="B55" s="46" t="s">
        <v>23</v>
      </c>
      <c r="C55" s="46" t="s">
        <v>35</v>
      </c>
      <c r="D55" s="7" t="s">
        <v>27</v>
      </c>
      <c r="E55" s="7" t="s">
        <v>902</v>
      </c>
      <c r="F55" s="7" t="s">
        <v>903</v>
      </c>
      <c r="G55" s="46" t="s">
        <v>904</v>
      </c>
      <c r="H55" s="101">
        <v>1212</v>
      </c>
      <c r="I55" s="46" t="s">
        <v>905</v>
      </c>
      <c r="J55" s="6">
        <v>46035</v>
      </c>
      <c r="K55" s="7" t="s">
        <v>1014</v>
      </c>
      <c r="L55" s="7" t="s">
        <v>915</v>
      </c>
      <c r="M55" s="46" t="s">
        <v>1015</v>
      </c>
      <c r="N55" s="46" t="s">
        <v>125</v>
      </c>
      <c r="O55" s="46" t="s">
        <v>909</v>
      </c>
      <c r="P55" s="6">
        <v>45817</v>
      </c>
      <c r="Q55" s="102">
        <v>5</v>
      </c>
      <c r="R55" s="102">
        <v>5</v>
      </c>
      <c r="S55" s="7">
        <v>100</v>
      </c>
    </row>
    <row r="56" s="98" customFormat="1" ht="16.5" hidden="1" spans="1:19">
      <c r="A56" s="46">
        <v>54</v>
      </c>
      <c r="B56" s="46" t="s">
        <v>23</v>
      </c>
      <c r="C56" s="46" t="s">
        <v>38</v>
      </c>
      <c r="D56" s="7" t="s">
        <v>27</v>
      </c>
      <c r="E56" s="7" t="s">
        <v>902</v>
      </c>
      <c r="F56" s="7" t="s">
        <v>903</v>
      </c>
      <c r="G56" s="46" t="s">
        <v>904</v>
      </c>
      <c r="H56" s="101">
        <v>1212</v>
      </c>
      <c r="I56" s="46" t="s">
        <v>905</v>
      </c>
      <c r="J56" s="6">
        <v>46035</v>
      </c>
      <c r="K56" s="7" t="s">
        <v>1016</v>
      </c>
      <c r="L56" s="7" t="s">
        <v>907</v>
      </c>
      <c r="M56" s="46" t="s">
        <v>1017</v>
      </c>
      <c r="N56" s="46" t="s">
        <v>70</v>
      </c>
      <c r="O56" s="46" t="s">
        <v>921</v>
      </c>
      <c r="P56" s="6">
        <v>45699</v>
      </c>
      <c r="Q56" s="102">
        <v>0</v>
      </c>
      <c r="R56" s="102">
        <v>0</v>
      </c>
      <c r="S56" s="7">
        <v>0</v>
      </c>
    </row>
    <row r="57" s="98" customFormat="1" ht="16.5" hidden="1" spans="1:19">
      <c r="A57" s="46">
        <v>55</v>
      </c>
      <c r="B57" s="46" t="s">
        <v>23</v>
      </c>
      <c r="C57" s="46" t="s">
        <v>35</v>
      </c>
      <c r="D57" s="7" t="s">
        <v>27</v>
      </c>
      <c r="E57" s="7" t="s">
        <v>902</v>
      </c>
      <c r="F57" s="7" t="s">
        <v>903</v>
      </c>
      <c r="G57" s="46" t="s">
        <v>904</v>
      </c>
      <c r="H57" s="101">
        <v>1212</v>
      </c>
      <c r="I57" s="46" t="s">
        <v>905</v>
      </c>
      <c r="J57" s="6">
        <v>46035</v>
      </c>
      <c r="K57" s="7" t="s">
        <v>1018</v>
      </c>
      <c r="L57" s="7" t="s">
        <v>915</v>
      </c>
      <c r="M57" s="46" t="s">
        <v>1019</v>
      </c>
      <c r="N57" s="46" t="s">
        <v>125</v>
      </c>
      <c r="O57" s="46" t="s">
        <v>909</v>
      </c>
      <c r="P57" s="6">
        <v>45856</v>
      </c>
      <c r="Q57" s="102">
        <v>4.5</v>
      </c>
      <c r="R57" s="102">
        <v>4.8</v>
      </c>
      <c r="S57" s="7">
        <v>90</v>
      </c>
    </row>
    <row r="58" s="98" customFormat="1" ht="16.5" hidden="1" spans="1:19">
      <c r="A58" s="46">
        <v>56</v>
      </c>
      <c r="B58" s="46" t="s">
        <v>23</v>
      </c>
      <c r="C58" s="46" t="s">
        <v>38</v>
      </c>
      <c r="D58" s="7" t="s">
        <v>27</v>
      </c>
      <c r="E58" s="7" t="s">
        <v>902</v>
      </c>
      <c r="F58" s="7" t="s">
        <v>903</v>
      </c>
      <c r="G58" s="46" t="s">
        <v>904</v>
      </c>
      <c r="H58" s="101">
        <v>1212</v>
      </c>
      <c r="I58" s="46" t="s">
        <v>905</v>
      </c>
      <c r="J58" s="6">
        <v>46035</v>
      </c>
      <c r="K58" s="7" t="s">
        <v>1020</v>
      </c>
      <c r="L58" s="7" t="s">
        <v>907</v>
      </c>
      <c r="M58" s="46" t="s">
        <v>1021</v>
      </c>
      <c r="N58" s="46" t="s">
        <v>148</v>
      </c>
      <c r="O58" s="46" t="s">
        <v>909</v>
      </c>
      <c r="P58" s="6">
        <v>45844</v>
      </c>
      <c r="Q58" s="102">
        <v>0</v>
      </c>
      <c r="R58" s="102">
        <v>0</v>
      </c>
      <c r="S58" s="7">
        <v>0</v>
      </c>
    </row>
    <row r="59" s="98" customFormat="1" ht="16.5" hidden="1" spans="1:19">
      <c r="A59" s="46">
        <v>57</v>
      </c>
      <c r="B59" s="46" t="s">
        <v>23</v>
      </c>
      <c r="C59" s="46" t="s">
        <v>38</v>
      </c>
      <c r="D59" s="7" t="s">
        <v>27</v>
      </c>
      <c r="E59" s="7" t="s">
        <v>902</v>
      </c>
      <c r="F59" s="7" t="s">
        <v>903</v>
      </c>
      <c r="G59" s="46" t="s">
        <v>904</v>
      </c>
      <c r="H59" s="101">
        <v>1212</v>
      </c>
      <c r="I59" s="46" t="s">
        <v>905</v>
      </c>
      <c r="J59" s="6">
        <v>46035</v>
      </c>
      <c r="K59" s="7" t="s">
        <v>1022</v>
      </c>
      <c r="L59" s="7" t="s">
        <v>907</v>
      </c>
      <c r="M59" s="46" t="s">
        <v>1023</v>
      </c>
      <c r="N59" s="46" t="s">
        <v>168</v>
      </c>
      <c r="O59" s="46" t="s">
        <v>909</v>
      </c>
      <c r="P59" s="6">
        <v>45844</v>
      </c>
      <c r="Q59" s="102">
        <v>0</v>
      </c>
      <c r="R59" s="102">
        <v>0</v>
      </c>
      <c r="S59" s="7">
        <v>0</v>
      </c>
    </row>
    <row r="60" s="98" customFormat="1" ht="16.5" hidden="1" spans="1:19">
      <c r="A60" s="46">
        <v>58</v>
      </c>
      <c r="B60" s="46" t="s">
        <v>23</v>
      </c>
      <c r="C60" s="46" t="s">
        <v>38</v>
      </c>
      <c r="D60" s="7" t="s">
        <v>27</v>
      </c>
      <c r="E60" s="7" t="s">
        <v>902</v>
      </c>
      <c r="F60" s="7" t="s">
        <v>903</v>
      </c>
      <c r="G60" s="46" t="s">
        <v>904</v>
      </c>
      <c r="H60" s="101">
        <v>1212</v>
      </c>
      <c r="I60" s="46" t="s">
        <v>905</v>
      </c>
      <c r="J60" s="6">
        <v>46035</v>
      </c>
      <c r="K60" s="7" t="s">
        <v>1024</v>
      </c>
      <c r="L60" s="7" t="s">
        <v>907</v>
      </c>
      <c r="M60" s="46" t="s">
        <v>1025</v>
      </c>
      <c r="N60" s="46" t="s">
        <v>63</v>
      </c>
      <c r="O60" s="46" t="s">
        <v>909</v>
      </c>
      <c r="P60" s="6">
        <v>45858</v>
      </c>
      <c r="Q60" s="102">
        <v>5</v>
      </c>
      <c r="R60" s="102">
        <v>5</v>
      </c>
      <c r="S60" s="7">
        <v>116</v>
      </c>
    </row>
    <row r="61" s="98" customFormat="1" ht="16.5" hidden="1" spans="1:19">
      <c r="A61" s="46">
        <v>59</v>
      </c>
      <c r="B61" s="46" t="s">
        <v>23</v>
      </c>
      <c r="C61" s="46" t="s">
        <v>38</v>
      </c>
      <c r="D61" s="7" t="s">
        <v>27</v>
      </c>
      <c r="E61" s="7" t="s">
        <v>902</v>
      </c>
      <c r="F61" s="7" t="s">
        <v>903</v>
      </c>
      <c r="G61" s="46" t="s">
        <v>904</v>
      </c>
      <c r="H61" s="101">
        <v>1212</v>
      </c>
      <c r="I61" s="46" t="s">
        <v>905</v>
      </c>
      <c r="J61" s="6">
        <v>46035</v>
      </c>
      <c r="K61" s="7" t="s">
        <v>1026</v>
      </c>
      <c r="L61" s="7" t="s">
        <v>907</v>
      </c>
      <c r="M61" s="46" t="s">
        <v>1027</v>
      </c>
      <c r="N61" s="46" t="s">
        <v>63</v>
      </c>
      <c r="O61" s="46" t="s">
        <v>909</v>
      </c>
      <c r="P61" s="6">
        <v>45845</v>
      </c>
      <c r="Q61" s="102">
        <v>0</v>
      </c>
      <c r="R61" s="102">
        <v>0</v>
      </c>
      <c r="S61" s="7">
        <v>0</v>
      </c>
    </row>
    <row r="62" s="98" customFormat="1" ht="16.5" hidden="1" spans="1:19">
      <c r="A62" s="46">
        <v>60</v>
      </c>
      <c r="B62" s="46" t="s">
        <v>23</v>
      </c>
      <c r="C62" s="46" t="s">
        <v>37</v>
      </c>
      <c r="D62" s="7" t="s">
        <v>27</v>
      </c>
      <c r="E62" s="7" t="s">
        <v>902</v>
      </c>
      <c r="F62" s="7" t="s">
        <v>903</v>
      </c>
      <c r="G62" s="46" t="s">
        <v>904</v>
      </c>
      <c r="H62" s="101">
        <v>1212</v>
      </c>
      <c r="I62" s="46" t="s">
        <v>905</v>
      </c>
      <c r="J62" s="6">
        <v>46035</v>
      </c>
      <c r="K62" s="7" t="s">
        <v>1028</v>
      </c>
      <c r="L62" s="7" t="s">
        <v>915</v>
      </c>
      <c r="M62" s="46" t="s">
        <v>1029</v>
      </c>
      <c r="N62" s="46" t="s">
        <v>109</v>
      </c>
      <c r="O62" s="46" t="s">
        <v>909</v>
      </c>
      <c r="P62" s="6">
        <v>45730</v>
      </c>
      <c r="Q62" s="102">
        <v>5</v>
      </c>
      <c r="R62" s="102">
        <v>5</v>
      </c>
      <c r="S62" s="7">
        <v>104</v>
      </c>
    </row>
    <row r="63" s="98" customFormat="1" ht="16.5" hidden="1" spans="1:19">
      <c r="A63" s="46">
        <v>61</v>
      </c>
      <c r="B63" s="46" t="s">
        <v>23</v>
      </c>
      <c r="C63" s="46" t="s">
        <v>31</v>
      </c>
      <c r="D63" s="7" t="s">
        <v>27</v>
      </c>
      <c r="E63" s="7" t="s">
        <v>902</v>
      </c>
      <c r="F63" s="7" t="s">
        <v>903</v>
      </c>
      <c r="G63" s="46" t="s">
        <v>904</v>
      </c>
      <c r="H63" s="101">
        <v>1212</v>
      </c>
      <c r="I63" s="46" t="s">
        <v>905</v>
      </c>
      <c r="J63" s="6">
        <v>46035</v>
      </c>
      <c r="K63" s="7" t="s">
        <v>1030</v>
      </c>
      <c r="L63" s="7" t="s">
        <v>907</v>
      </c>
      <c r="M63" s="46" t="s">
        <v>1031</v>
      </c>
      <c r="N63" s="46" t="s">
        <v>79</v>
      </c>
      <c r="O63" s="46" t="s">
        <v>909</v>
      </c>
      <c r="P63" s="6">
        <v>45615</v>
      </c>
      <c r="Q63" s="102">
        <v>0</v>
      </c>
      <c r="R63" s="102">
        <v>0</v>
      </c>
      <c r="S63" s="7">
        <v>0</v>
      </c>
    </row>
    <row r="64" s="98" customFormat="1" ht="16.5" hidden="1" spans="1:19">
      <c r="A64" s="46">
        <v>62</v>
      </c>
      <c r="B64" s="46" t="s">
        <v>23</v>
      </c>
      <c r="C64" s="46" t="s">
        <v>38</v>
      </c>
      <c r="D64" s="7" t="s">
        <v>27</v>
      </c>
      <c r="E64" s="7" t="s">
        <v>902</v>
      </c>
      <c r="F64" s="7" t="s">
        <v>903</v>
      </c>
      <c r="G64" s="46" t="s">
        <v>904</v>
      </c>
      <c r="H64" s="101">
        <v>1212</v>
      </c>
      <c r="I64" s="46" t="s">
        <v>905</v>
      </c>
      <c r="J64" s="6">
        <v>46035</v>
      </c>
      <c r="K64" s="7" t="s">
        <v>1032</v>
      </c>
      <c r="L64" s="7" t="s">
        <v>907</v>
      </c>
      <c r="M64" s="46" t="s">
        <v>1033</v>
      </c>
      <c r="N64" s="46" t="s">
        <v>63</v>
      </c>
      <c r="O64" s="46" t="s">
        <v>909</v>
      </c>
      <c r="P64" s="6">
        <v>45814</v>
      </c>
      <c r="Q64" s="102">
        <v>0</v>
      </c>
      <c r="R64" s="102">
        <v>0</v>
      </c>
      <c r="S64" s="7">
        <v>0</v>
      </c>
    </row>
    <row r="65" s="98" customFormat="1" ht="16.5" hidden="1" spans="1:19">
      <c r="A65" s="46">
        <v>63</v>
      </c>
      <c r="B65" s="46" t="s">
        <v>23</v>
      </c>
      <c r="C65" s="46" t="s">
        <v>38</v>
      </c>
      <c r="D65" s="7" t="s">
        <v>27</v>
      </c>
      <c r="E65" s="7" t="s">
        <v>902</v>
      </c>
      <c r="F65" s="7" t="s">
        <v>903</v>
      </c>
      <c r="G65" s="46" t="s">
        <v>904</v>
      </c>
      <c r="H65" s="101">
        <v>1212</v>
      </c>
      <c r="I65" s="46" t="s">
        <v>905</v>
      </c>
      <c r="J65" s="6">
        <v>46035</v>
      </c>
      <c r="K65" s="7" t="s">
        <v>1034</v>
      </c>
      <c r="L65" s="7" t="s">
        <v>907</v>
      </c>
      <c r="M65" s="46" t="s">
        <v>1035</v>
      </c>
      <c r="N65" s="46" t="s">
        <v>63</v>
      </c>
      <c r="O65" s="46" t="s">
        <v>921</v>
      </c>
      <c r="P65" s="6">
        <v>45790</v>
      </c>
      <c r="Q65" s="102">
        <v>5</v>
      </c>
      <c r="R65" s="102">
        <v>5</v>
      </c>
      <c r="S65" s="7">
        <v>106</v>
      </c>
    </row>
    <row r="66" s="98" customFormat="1" ht="16.5" hidden="1" spans="1:19">
      <c r="A66" s="46">
        <v>64</v>
      </c>
      <c r="B66" s="46" t="s">
        <v>23</v>
      </c>
      <c r="C66" s="46" t="s">
        <v>38</v>
      </c>
      <c r="D66" s="7" t="s">
        <v>27</v>
      </c>
      <c r="E66" s="7" t="s">
        <v>902</v>
      </c>
      <c r="F66" s="7" t="s">
        <v>903</v>
      </c>
      <c r="G66" s="46" t="s">
        <v>904</v>
      </c>
      <c r="H66" s="101">
        <v>1212</v>
      </c>
      <c r="I66" s="46" t="s">
        <v>905</v>
      </c>
      <c r="J66" s="6">
        <v>46035</v>
      </c>
      <c r="K66" s="7" t="s">
        <v>1036</v>
      </c>
      <c r="L66" s="7" t="s">
        <v>907</v>
      </c>
      <c r="M66" s="46" t="s">
        <v>1037</v>
      </c>
      <c r="N66" s="46" t="s">
        <v>70</v>
      </c>
      <c r="O66" s="46" t="s">
        <v>909</v>
      </c>
      <c r="P66" s="6">
        <v>45838</v>
      </c>
      <c r="Q66" s="102">
        <v>0</v>
      </c>
      <c r="R66" s="102">
        <v>0</v>
      </c>
      <c r="S66" s="7">
        <v>0</v>
      </c>
    </row>
    <row r="67" s="98" customFormat="1" ht="16.5" hidden="1" spans="1:19">
      <c r="A67" s="46">
        <v>65</v>
      </c>
      <c r="B67" s="46" t="s">
        <v>23</v>
      </c>
      <c r="C67" s="46" t="s">
        <v>35</v>
      </c>
      <c r="D67" s="7" t="s">
        <v>27</v>
      </c>
      <c r="E67" s="7" t="s">
        <v>902</v>
      </c>
      <c r="F67" s="7" t="s">
        <v>903</v>
      </c>
      <c r="G67" s="46" t="s">
        <v>904</v>
      </c>
      <c r="H67" s="101">
        <v>1212</v>
      </c>
      <c r="I67" s="46" t="s">
        <v>905</v>
      </c>
      <c r="J67" s="6">
        <v>46035</v>
      </c>
      <c r="K67" s="7" t="s">
        <v>1038</v>
      </c>
      <c r="L67" s="7" t="s">
        <v>915</v>
      </c>
      <c r="M67" s="46" t="s">
        <v>1039</v>
      </c>
      <c r="N67" s="46" t="s">
        <v>125</v>
      </c>
      <c r="O67" s="46" t="s">
        <v>921</v>
      </c>
      <c r="P67" s="6">
        <v>44961</v>
      </c>
      <c r="Q67" s="102">
        <v>5</v>
      </c>
      <c r="R67" s="102">
        <v>5</v>
      </c>
      <c r="S67" s="7">
        <v>100</v>
      </c>
    </row>
    <row r="68" s="98" customFormat="1" ht="16.5" hidden="1" spans="1:19">
      <c r="A68" s="46">
        <v>66</v>
      </c>
      <c r="B68" s="46" t="s">
        <v>23</v>
      </c>
      <c r="C68" s="46" t="s">
        <v>38</v>
      </c>
      <c r="D68" s="7" t="s">
        <v>27</v>
      </c>
      <c r="E68" s="7" t="s">
        <v>902</v>
      </c>
      <c r="F68" s="7" t="s">
        <v>903</v>
      </c>
      <c r="G68" s="46" t="s">
        <v>904</v>
      </c>
      <c r="H68" s="101">
        <v>1212</v>
      </c>
      <c r="I68" s="46" t="s">
        <v>905</v>
      </c>
      <c r="J68" s="6">
        <v>46035</v>
      </c>
      <c r="K68" s="7" t="s">
        <v>1040</v>
      </c>
      <c r="L68" s="7" t="s">
        <v>907</v>
      </c>
      <c r="M68" s="46" t="s">
        <v>1041</v>
      </c>
      <c r="N68" s="46" t="s">
        <v>168</v>
      </c>
      <c r="O68" s="46" t="s">
        <v>909</v>
      </c>
      <c r="P68" s="6">
        <v>45883</v>
      </c>
      <c r="Q68" s="102">
        <v>0</v>
      </c>
      <c r="R68" s="102">
        <v>0</v>
      </c>
      <c r="S68" s="7">
        <v>0</v>
      </c>
    </row>
    <row r="69" s="98" customFormat="1" ht="16.5" hidden="1" spans="1:19">
      <c r="A69" s="46">
        <v>67</v>
      </c>
      <c r="B69" s="46" t="s">
        <v>23</v>
      </c>
      <c r="C69" s="46" t="s">
        <v>38</v>
      </c>
      <c r="D69" s="7" t="s">
        <v>27</v>
      </c>
      <c r="E69" s="7" t="s">
        <v>902</v>
      </c>
      <c r="F69" s="7" t="s">
        <v>903</v>
      </c>
      <c r="G69" s="46" t="s">
        <v>904</v>
      </c>
      <c r="H69" s="101">
        <v>1212</v>
      </c>
      <c r="I69" s="46" t="s">
        <v>905</v>
      </c>
      <c r="J69" s="6">
        <v>46035</v>
      </c>
      <c r="K69" s="7" t="s">
        <v>1042</v>
      </c>
      <c r="L69" s="7" t="s">
        <v>907</v>
      </c>
      <c r="M69" s="46" t="s">
        <v>1043</v>
      </c>
      <c r="N69" s="46" t="s">
        <v>168</v>
      </c>
      <c r="O69" s="46" t="s">
        <v>909</v>
      </c>
      <c r="P69" s="6">
        <v>45864</v>
      </c>
      <c r="Q69" s="102">
        <v>0</v>
      </c>
      <c r="R69" s="102">
        <v>0</v>
      </c>
      <c r="S69" s="7">
        <v>0</v>
      </c>
    </row>
    <row r="70" s="98" customFormat="1" ht="16.5" hidden="1" spans="1:19">
      <c r="A70" s="46">
        <v>68</v>
      </c>
      <c r="B70" s="46" t="s">
        <v>23</v>
      </c>
      <c r="C70" s="46" t="s">
        <v>38</v>
      </c>
      <c r="D70" s="7" t="s">
        <v>27</v>
      </c>
      <c r="E70" s="7" t="s">
        <v>902</v>
      </c>
      <c r="F70" s="7" t="s">
        <v>903</v>
      </c>
      <c r="G70" s="46" t="s">
        <v>904</v>
      </c>
      <c r="H70" s="101">
        <v>1212</v>
      </c>
      <c r="I70" s="46" t="s">
        <v>905</v>
      </c>
      <c r="J70" s="6">
        <v>46035</v>
      </c>
      <c r="K70" s="7" t="s">
        <v>1044</v>
      </c>
      <c r="L70" s="7" t="s">
        <v>907</v>
      </c>
      <c r="M70" s="46" t="s">
        <v>1045</v>
      </c>
      <c r="N70" s="46" t="s">
        <v>148</v>
      </c>
      <c r="O70" s="46" t="s">
        <v>909</v>
      </c>
      <c r="P70" s="6">
        <v>45881</v>
      </c>
      <c r="Q70" s="102">
        <v>0</v>
      </c>
      <c r="R70" s="102">
        <v>0</v>
      </c>
      <c r="S70" s="7">
        <v>0</v>
      </c>
    </row>
    <row r="71" s="98" customFormat="1" ht="16.5" hidden="1" spans="1:19">
      <c r="A71" s="46">
        <v>69</v>
      </c>
      <c r="B71" s="46" t="s">
        <v>23</v>
      </c>
      <c r="C71" s="46" t="s">
        <v>38</v>
      </c>
      <c r="D71" s="7" t="s">
        <v>27</v>
      </c>
      <c r="E71" s="7" t="s">
        <v>902</v>
      </c>
      <c r="F71" s="7" t="s">
        <v>903</v>
      </c>
      <c r="G71" s="46" t="s">
        <v>904</v>
      </c>
      <c r="H71" s="101">
        <v>1212</v>
      </c>
      <c r="I71" s="46" t="s">
        <v>905</v>
      </c>
      <c r="J71" s="6">
        <v>46035</v>
      </c>
      <c r="K71" s="7" t="s">
        <v>1046</v>
      </c>
      <c r="L71" s="7" t="s">
        <v>907</v>
      </c>
      <c r="M71" s="46" t="s">
        <v>1047</v>
      </c>
      <c r="N71" s="46" t="s">
        <v>148</v>
      </c>
      <c r="O71" s="46" t="s">
        <v>909</v>
      </c>
      <c r="P71" s="6">
        <v>45815</v>
      </c>
      <c r="Q71" s="102">
        <v>0</v>
      </c>
      <c r="R71" s="102">
        <v>0</v>
      </c>
      <c r="S71" s="7">
        <v>0</v>
      </c>
    </row>
    <row r="72" s="98" customFormat="1" ht="16.5" hidden="1" spans="1:19">
      <c r="A72" s="46">
        <v>70</v>
      </c>
      <c r="B72" s="46" t="s">
        <v>23</v>
      </c>
      <c r="C72" s="46" t="s">
        <v>38</v>
      </c>
      <c r="D72" s="7" t="s">
        <v>27</v>
      </c>
      <c r="E72" s="7" t="s">
        <v>902</v>
      </c>
      <c r="F72" s="7" t="s">
        <v>903</v>
      </c>
      <c r="G72" s="46" t="s">
        <v>904</v>
      </c>
      <c r="H72" s="101">
        <v>1212</v>
      </c>
      <c r="I72" s="46" t="s">
        <v>905</v>
      </c>
      <c r="J72" s="6">
        <v>46035</v>
      </c>
      <c r="K72" s="7" t="s">
        <v>1048</v>
      </c>
      <c r="L72" s="7" t="s">
        <v>907</v>
      </c>
      <c r="M72" s="46" t="s">
        <v>1049</v>
      </c>
      <c r="N72" s="46" t="s">
        <v>63</v>
      </c>
      <c r="O72" s="46" t="s">
        <v>909</v>
      </c>
      <c r="P72" s="6">
        <v>45882</v>
      </c>
      <c r="Q72" s="102">
        <v>0</v>
      </c>
      <c r="R72" s="102">
        <v>0</v>
      </c>
      <c r="S72" s="7">
        <v>0</v>
      </c>
    </row>
    <row r="73" s="98" customFormat="1" ht="16.5" hidden="1" spans="1:19">
      <c r="A73" s="46">
        <v>71</v>
      </c>
      <c r="B73" s="46" t="s">
        <v>23</v>
      </c>
      <c r="C73" s="46" t="s">
        <v>32</v>
      </c>
      <c r="D73" s="7" t="s">
        <v>27</v>
      </c>
      <c r="E73" s="7" t="s">
        <v>902</v>
      </c>
      <c r="F73" s="7" t="s">
        <v>903</v>
      </c>
      <c r="G73" s="46" t="s">
        <v>904</v>
      </c>
      <c r="H73" s="101">
        <v>1212</v>
      </c>
      <c r="I73" s="46" t="s">
        <v>905</v>
      </c>
      <c r="J73" s="6">
        <v>46035</v>
      </c>
      <c r="K73" s="7" t="s">
        <v>1050</v>
      </c>
      <c r="L73" s="7" t="s">
        <v>915</v>
      </c>
      <c r="M73" s="46" t="s">
        <v>1051</v>
      </c>
      <c r="N73" s="46" t="s">
        <v>105</v>
      </c>
      <c r="O73" s="46" t="s">
        <v>921</v>
      </c>
      <c r="P73" s="6">
        <v>45746</v>
      </c>
      <c r="Q73" s="102">
        <v>5</v>
      </c>
      <c r="R73" s="102">
        <v>5</v>
      </c>
      <c r="S73" s="7">
        <v>107</v>
      </c>
    </row>
    <row r="74" s="98" customFormat="1" ht="16.5" hidden="1" spans="1:19">
      <c r="A74" s="46">
        <v>72</v>
      </c>
      <c r="B74" s="46" t="s">
        <v>23</v>
      </c>
      <c r="C74" s="46" t="s">
        <v>38</v>
      </c>
      <c r="D74" s="7" t="s">
        <v>27</v>
      </c>
      <c r="E74" s="7" t="s">
        <v>902</v>
      </c>
      <c r="F74" s="7" t="s">
        <v>903</v>
      </c>
      <c r="G74" s="46" t="s">
        <v>904</v>
      </c>
      <c r="H74" s="101">
        <v>1212</v>
      </c>
      <c r="I74" s="46" t="s">
        <v>905</v>
      </c>
      <c r="J74" s="6">
        <v>46035</v>
      </c>
      <c r="K74" s="7" t="s">
        <v>1052</v>
      </c>
      <c r="L74" s="7" t="s">
        <v>907</v>
      </c>
      <c r="M74" s="46" t="s">
        <v>1053</v>
      </c>
      <c r="N74" s="46" t="s">
        <v>63</v>
      </c>
      <c r="O74" s="46" t="s">
        <v>909</v>
      </c>
      <c r="P74" s="6">
        <v>45855</v>
      </c>
      <c r="Q74" s="102">
        <v>0</v>
      </c>
      <c r="R74" s="102">
        <v>0</v>
      </c>
      <c r="S74" s="7">
        <v>0</v>
      </c>
    </row>
    <row r="75" s="98" customFormat="1" ht="16.5" hidden="1" spans="1:19">
      <c r="A75" s="46">
        <v>73</v>
      </c>
      <c r="B75" s="46" t="s">
        <v>23</v>
      </c>
      <c r="C75" s="46" t="s">
        <v>29</v>
      </c>
      <c r="D75" s="7" t="s">
        <v>27</v>
      </c>
      <c r="E75" s="7" t="s">
        <v>902</v>
      </c>
      <c r="F75" s="7" t="s">
        <v>903</v>
      </c>
      <c r="G75" s="46" t="s">
        <v>904</v>
      </c>
      <c r="H75" s="101">
        <v>1212</v>
      </c>
      <c r="I75" s="46" t="s">
        <v>905</v>
      </c>
      <c r="J75" s="6">
        <v>46035</v>
      </c>
      <c r="K75" s="7" t="s">
        <v>1054</v>
      </c>
      <c r="L75" s="7" t="s">
        <v>915</v>
      </c>
      <c r="M75" s="46" t="s">
        <v>1055</v>
      </c>
      <c r="N75" s="46" t="s">
        <v>130</v>
      </c>
      <c r="O75" s="46" t="s">
        <v>909</v>
      </c>
      <c r="P75" s="6">
        <v>45842</v>
      </c>
      <c r="Q75" s="102">
        <v>5</v>
      </c>
      <c r="R75" s="102">
        <v>5</v>
      </c>
      <c r="S75" s="7">
        <v>98</v>
      </c>
    </row>
    <row r="76" s="98" customFormat="1" ht="16.5" hidden="1" spans="1:19">
      <c r="A76" s="46">
        <v>74</v>
      </c>
      <c r="B76" s="46" t="s">
        <v>23</v>
      </c>
      <c r="C76" s="46" t="s">
        <v>37</v>
      </c>
      <c r="D76" s="7" t="s">
        <v>27</v>
      </c>
      <c r="E76" s="7" t="s">
        <v>902</v>
      </c>
      <c r="F76" s="7" t="s">
        <v>903</v>
      </c>
      <c r="G76" s="46" t="s">
        <v>904</v>
      </c>
      <c r="H76" s="101">
        <v>1212</v>
      </c>
      <c r="I76" s="46" t="s">
        <v>905</v>
      </c>
      <c r="J76" s="6">
        <v>46035</v>
      </c>
      <c r="K76" s="7" t="s">
        <v>1056</v>
      </c>
      <c r="L76" s="7" t="s">
        <v>915</v>
      </c>
      <c r="M76" s="46" t="s">
        <v>1057</v>
      </c>
      <c r="N76" s="46" t="s">
        <v>152</v>
      </c>
      <c r="O76" s="46" t="s">
        <v>921</v>
      </c>
      <c r="P76" s="6">
        <v>45701</v>
      </c>
      <c r="Q76" s="102">
        <v>5</v>
      </c>
      <c r="R76" s="102">
        <v>5</v>
      </c>
      <c r="S76" s="7">
        <v>120</v>
      </c>
    </row>
    <row r="77" s="98" customFormat="1" ht="16.5" hidden="1" spans="1:19">
      <c r="A77" s="46">
        <v>75</v>
      </c>
      <c r="B77" s="46" t="s">
        <v>23</v>
      </c>
      <c r="C77" s="46" t="s">
        <v>38</v>
      </c>
      <c r="D77" s="7" t="s">
        <v>27</v>
      </c>
      <c r="E77" s="7" t="s">
        <v>902</v>
      </c>
      <c r="F77" s="7" t="s">
        <v>903</v>
      </c>
      <c r="G77" s="46" t="s">
        <v>904</v>
      </c>
      <c r="H77" s="101">
        <v>1212</v>
      </c>
      <c r="I77" s="46" t="s">
        <v>905</v>
      </c>
      <c r="J77" s="6">
        <v>46035</v>
      </c>
      <c r="K77" s="7" t="s">
        <v>1058</v>
      </c>
      <c r="L77" s="7" t="s">
        <v>907</v>
      </c>
      <c r="M77" s="46" t="s">
        <v>1059</v>
      </c>
      <c r="N77" s="46" t="s">
        <v>75</v>
      </c>
      <c r="O77" s="46" t="s">
        <v>909</v>
      </c>
      <c r="P77" s="6">
        <v>45841</v>
      </c>
      <c r="Q77" s="102">
        <v>0</v>
      </c>
      <c r="R77" s="102">
        <v>0</v>
      </c>
      <c r="S77" s="7">
        <v>0</v>
      </c>
    </row>
    <row r="78" s="98" customFormat="1" ht="16.5" hidden="1" spans="1:19">
      <c r="A78" s="46">
        <v>76</v>
      </c>
      <c r="B78" s="46" t="s">
        <v>23</v>
      </c>
      <c r="C78" s="46" t="s">
        <v>38</v>
      </c>
      <c r="D78" s="7" t="s">
        <v>27</v>
      </c>
      <c r="E78" s="7" t="s">
        <v>902</v>
      </c>
      <c r="F78" s="7" t="s">
        <v>903</v>
      </c>
      <c r="G78" s="46" t="s">
        <v>904</v>
      </c>
      <c r="H78" s="101">
        <v>1212</v>
      </c>
      <c r="I78" s="46" t="s">
        <v>905</v>
      </c>
      <c r="J78" s="6">
        <v>46035</v>
      </c>
      <c r="K78" s="7" t="s">
        <v>1060</v>
      </c>
      <c r="L78" s="7" t="s">
        <v>915</v>
      </c>
      <c r="M78" s="46" t="s">
        <v>1061</v>
      </c>
      <c r="N78" s="46" t="s">
        <v>168</v>
      </c>
      <c r="O78" s="46" t="s">
        <v>909</v>
      </c>
      <c r="P78" s="6">
        <v>45844</v>
      </c>
      <c r="Q78" s="102">
        <v>5</v>
      </c>
      <c r="R78" s="102">
        <v>5</v>
      </c>
      <c r="S78" s="7">
        <v>107</v>
      </c>
    </row>
    <row r="79" s="98" customFormat="1" ht="16.5" hidden="1" spans="1:19">
      <c r="A79" s="46">
        <v>77</v>
      </c>
      <c r="B79" s="46" t="s">
        <v>23</v>
      </c>
      <c r="C79" s="46" t="s">
        <v>38</v>
      </c>
      <c r="D79" s="7" t="s">
        <v>27</v>
      </c>
      <c r="E79" s="7" t="s">
        <v>902</v>
      </c>
      <c r="F79" s="7" t="s">
        <v>903</v>
      </c>
      <c r="G79" s="46" t="s">
        <v>904</v>
      </c>
      <c r="H79" s="101">
        <v>1212</v>
      </c>
      <c r="I79" s="46" t="s">
        <v>905</v>
      </c>
      <c r="J79" s="6">
        <v>46035</v>
      </c>
      <c r="K79" s="7" t="s">
        <v>1062</v>
      </c>
      <c r="L79" s="7" t="s">
        <v>915</v>
      </c>
      <c r="M79" s="46" t="s">
        <v>1063</v>
      </c>
      <c r="N79" s="46" t="s">
        <v>70</v>
      </c>
      <c r="O79" s="46" t="s">
        <v>909</v>
      </c>
      <c r="P79" s="6">
        <v>45884</v>
      </c>
      <c r="Q79" s="102">
        <v>5</v>
      </c>
      <c r="R79" s="102">
        <v>5</v>
      </c>
      <c r="S79" s="7">
        <v>107</v>
      </c>
    </row>
    <row r="80" s="98" customFormat="1" ht="16.5" hidden="1" spans="1:19">
      <c r="A80" s="46">
        <v>78</v>
      </c>
      <c r="B80" s="46" t="s">
        <v>23</v>
      </c>
      <c r="C80" s="46" t="s">
        <v>38</v>
      </c>
      <c r="D80" s="7" t="s">
        <v>27</v>
      </c>
      <c r="E80" s="7" t="s">
        <v>902</v>
      </c>
      <c r="F80" s="7" t="s">
        <v>903</v>
      </c>
      <c r="G80" s="46" t="s">
        <v>904</v>
      </c>
      <c r="H80" s="101">
        <v>1212</v>
      </c>
      <c r="I80" s="46" t="s">
        <v>905</v>
      </c>
      <c r="J80" s="6">
        <v>46035</v>
      </c>
      <c r="K80" s="7" t="s">
        <v>1064</v>
      </c>
      <c r="L80" s="7" t="s">
        <v>907</v>
      </c>
      <c r="M80" s="46" t="s">
        <v>1065</v>
      </c>
      <c r="N80" s="46" t="s">
        <v>70</v>
      </c>
      <c r="O80" s="46" t="s">
        <v>909</v>
      </c>
      <c r="P80" s="6">
        <v>45849</v>
      </c>
      <c r="Q80" s="102">
        <v>0</v>
      </c>
      <c r="R80" s="102">
        <v>0</v>
      </c>
      <c r="S80" s="7">
        <v>0</v>
      </c>
    </row>
    <row r="81" s="98" customFormat="1" ht="16.5" hidden="1" spans="1:19">
      <c r="A81" s="46">
        <v>79</v>
      </c>
      <c r="B81" s="46" t="s">
        <v>23</v>
      </c>
      <c r="C81" s="46" t="s">
        <v>38</v>
      </c>
      <c r="D81" s="7" t="s">
        <v>27</v>
      </c>
      <c r="E81" s="7" t="s">
        <v>902</v>
      </c>
      <c r="F81" s="7" t="s">
        <v>903</v>
      </c>
      <c r="G81" s="46" t="s">
        <v>904</v>
      </c>
      <c r="H81" s="101">
        <v>1212</v>
      </c>
      <c r="I81" s="46" t="s">
        <v>905</v>
      </c>
      <c r="J81" s="6">
        <v>46035</v>
      </c>
      <c r="K81" s="7" t="s">
        <v>1066</v>
      </c>
      <c r="L81" s="7" t="s">
        <v>915</v>
      </c>
      <c r="M81" s="46" t="s">
        <v>1067</v>
      </c>
      <c r="N81" s="46" t="s">
        <v>70</v>
      </c>
      <c r="O81" s="46" t="s">
        <v>909</v>
      </c>
      <c r="P81" s="6">
        <v>45844</v>
      </c>
      <c r="Q81" s="102">
        <v>5</v>
      </c>
      <c r="R81" s="102">
        <v>5</v>
      </c>
      <c r="S81" s="7">
        <v>90</v>
      </c>
    </row>
    <row r="82" s="98" customFormat="1" ht="16.5" hidden="1" spans="1:19">
      <c r="A82" s="46">
        <v>80</v>
      </c>
      <c r="B82" s="46" t="s">
        <v>23</v>
      </c>
      <c r="C82" s="46" t="s">
        <v>31</v>
      </c>
      <c r="D82" s="7" t="s">
        <v>27</v>
      </c>
      <c r="E82" s="7" t="s">
        <v>902</v>
      </c>
      <c r="F82" s="7" t="s">
        <v>903</v>
      </c>
      <c r="G82" s="46" t="s">
        <v>904</v>
      </c>
      <c r="H82" s="101">
        <v>1212</v>
      </c>
      <c r="I82" s="46" t="s">
        <v>905</v>
      </c>
      <c r="J82" s="6">
        <v>46035</v>
      </c>
      <c r="K82" s="7" t="s">
        <v>1068</v>
      </c>
      <c r="L82" s="7" t="s">
        <v>907</v>
      </c>
      <c r="M82" s="46" t="s">
        <v>1069</v>
      </c>
      <c r="N82" s="46" t="s">
        <v>79</v>
      </c>
      <c r="O82" s="46" t="s">
        <v>921</v>
      </c>
      <c r="P82" s="6">
        <v>45740</v>
      </c>
      <c r="Q82" s="102">
        <v>0</v>
      </c>
      <c r="R82" s="102">
        <v>0</v>
      </c>
      <c r="S82" s="7">
        <v>0</v>
      </c>
    </row>
    <row r="83" s="98" customFormat="1" ht="16.5" hidden="1" spans="1:19">
      <c r="A83" s="46">
        <v>81</v>
      </c>
      <c r="B83" s="46" t="s">
        <v>23</v>
      </c>
      <c r="C83" s="46" t="s">
        <v>38</v>
      </c>
      <c r="D83" s="7" t="s">
        <v>27</v>
      </c>
      <c r="E83" s="7" t="s">
        <v>902</v>
      </c>
      <c r="F83" s="7" t="s">
        <v>903</v>
      </c>
      <c r="G83" s="46" t="s">
        <v>904</v>
      </c>
      <c r="H83" s="101">
        <v>1212</v>
      </c>
      <c r="I83" s="46" t="s">
        <v>905</v>
      </c>
      <c r="J83" s="6">
        <v>46035</v>
      </c>
      <c r="K83" s="7" t="s">
        <v>1070</v>
      </c>
      <c r="L83" s="7" t="s">
        <v>915</v>
      </c>
      <c r="M83" s="46" t="s">
        <v>1071</v>
      </c>
      <c r="N83" s="46" t="s">
        <v>220</v>
      </c>
      <c r="O83" s="46" t="s">
        <v>909</v>
      </c>
      <c r="P83" s="6">
        <v>45844</v>
      </c>
      <c r="Q83" s="102">
        <v>5</v>
      </c>
      <c r="R83" s="102">
        <v>4.8</v>
      </c>
      <c r="S83" s="7">
        <v>107</v>
      </c>
    </row>
    <row r="84" s="98" customFormat="1" ht="16.5" hidden="1" spans="1:19">
      <c r="A84" s="46">
        <v>82</v>
      </c>
      <c r="B84" s="46" t="s">
        <v>23</v>
      </c>
      <c r="C84" s="46" t="s">
        <v>38</v>
      </c>
      <c r="D84" s="7" t="s">
        <v>27</v>
      </c>
      <c r="E84" s="7" t="s">
        <v>902</v>
      </c>
      <c r="F84" s="7" t="s">
        <v>903</v>
      </c>
      <c r="G84" s="46" t="s">
        <v>904</v>
      </c>
      <c r="H84" s="101">
        <v>1212</v>
      </c>
      <c r="I84" s="46" t="s">
        <v>905</v>
      </c>
      <c r="J84" s="6">
        <v>46035</v>
      </c>
      <c r="K84" s="7" t="s">
        <v>1072</v>
      </c>
      <c r="L84" s="7" t="s">
        <v>915</v>
      </c>
      <c r="M84" s="46" t="s">
        <v>1073</v>
      </c>
      <c r="N84" s="46" t="s">
        <v>220</v>
      </c>
      <c r="O84" s="46" t="s">
        <v>921</v>
      </c>
      <c r="P84" s="6">
        <v>45826</v>
      </c>
      <c r="Q84" s="102">
        <v>5</v>
      </c>
      <c r="R84" s="102">
        <v>5</v>
      </c>
      <c r="S84" s="7">
        <v>90</v>
      </c>
    </row>
    <row r="85" s="98" customFormat="1" ht="16.5" hidden="1" spans="1:19">
      <c r="A85" s="46">
        <v>83</v>
      </c>
      <c r="B85" s="46" t="s">
        <v>23</v>
      </c>
      <c r="C85" s="46" t="s">
        <v>38</v>
      </c>
      <c r="D85" s="7" t="s">
        <v>27</v>
      </c>
      <c r="E85" s="7" t="s">
        <v>902</v>
      </c>
      <c r="F85" s="7" t="s">
        <v>903</v>
      </c>
      <c r="G85" s="46" t="s">
        <v>904</v>
      </c>
      <c r="H85" s="101">
        <v>1212</v>
      </c>
      <c r="I85" s="46" t="s">
        <v>905</v>
      </c>
      <c r="J85" s="6">
        <v>46035</v>
      </c>
      <c r="K85" s="7" t="s">
        <v>1074</v>
      </c>
      <c r="L85" s="7" t="s">
        <v>915</v>
      </c>
      <c r="M85" s="46" t="s">
        <v>1075</v>
      </c>
      <c r="N85" s="46" t="s">
        <v>220</v>
      </c>
      <c r="O85" s="46" t="s">
        <v>921</v>
      </c>
      <c r="P85" s="6">
        <v>45666</v>
      </c>
      <c r="Q85" s="102">
        <v>5</v>
      </c>
      <c r="R85" s="102">
        <v>5</v>
      </c>
      <c r="S85" s="7">
        <v>110</v>
      </c>
    </row>
    <row r="86" s="98" customFormat="1" ht="16.5" hidden="1" spans="1:19">
      <c r="A86" s="46">
        <v>84</v>
      </c>
      <c r="B86" s="46" t="s">
        <v>23</v>
      </c>
      <c r="C86" s="46" t="s">
        <v>38</v>
      </c>
      <c r="D86" s="7" t="s">
        <v>27</v>
      </c>
      <c r="E86" s="7" t="s">
        <v>1076</v>
      </c>
      <c r="F86" s="7" t="s">
        <v>1077</v>
      </c>
      <c r="G86" s="46" t="s">
        <v>904</v>
      </c>
      <c r="H86" s="101">
        <v>1212</v>
      </c>
      <c r="I86" s="46" t="s">
        <v>905</v>
      </c>
      <c r="J86" s="6">
        <v>46035</v>
      </c>
      <c r="K86" s="7" t="s">
        <v>1074</v>
      </c>
      <c r="L86" s="7" t="s">
        <v>915</v>
      </c>
      <c r="M86" s="46" t="s">
        <v>1075</v>
      </c>
      <c r="N86" s="46" t="s">
        <v>220</v>
      </c>
      <c r="O86" s="46" t="s">
        <v>921</v>
      </c>
      <c r="P86" s="6">
        <v>45666</v>
      </c>
      <c r="Q86" s="102">
        <v>5</v>
      </c>
      <c r="R86" s="102">
        <v>5</v>
      </c>
      <c r="S86" s="7">
        <v>100</v>
      </c>
    </row>
    <row r="87" s="98" customFormat="1" ht="16.5" hidden="1" spans="1:19">
      <c r="A87" s="46">
        <v>85</v>
      </c>
      <c r="B87" s="46" t="s">
        <v>23</v>
      </c>
      <c r="C87" s="46" t="s">
        <v>38</v>
      </c>
      <c r="D87" s="7" t="s">
        <v>27</v>
      </c>
      <c r="E87" s="7" t="s">
        <v>1076</v>
      </c>
      <c r="F87" s="7" t="s">
        <v>1077</v>
      </c>
      <c r="G87" s="46" t="s">
        <v>904</v>
      </c>
      <c r="H87" s="101">
        <v>1212</v>
      </c>
      <c r="I87" s="46" t="s">
        <v>905</v>
      </c>
      <c r="J87" s="6">
        <v>46035</v>
      </c>
      <c r="K87" s="7" t="s">
        <v>906</v>
      </c>
      <c r="L87" s="7" t="s">
        <v>907</v>
      </c>
      <c r="M87" s="46" t="s">
        <v>908</v>
      </c>
      <c r="N87" s="46" t="s">
        <v>63</v>
      </c>
      <c r="O87" s="46" t="s">
        <v>909</v>
      </c>
      <c r="P87" s="6">
        <v>45970</v>
      </c>
      <c r="Q87" s="102">
        <v>0</v>
      </c>
      <c r="R87" s="102">
        <v>0</v>
      </c>
      <c r="S87" s="7">
        <v>0</v>
      </c>
    </row>
    <row r="88" s="98" customFormat="1" ht="16.5" hidden="1" spans="1:19">
      <c r="A88" s="46">
        <v>86</v>
      </c>
      <c r="B88" s="46" t="s">
        <v>23</v>
      </c>
      <c r="C88" s="46" t="s">
        <v>38</v>
      </c>
      <c r="D88" s="7" t="s">
        <v>27</v>
      </c>
      <c r="E88" s="7" t="s">
        <v>1076</v>
      </c>
      <c r="F88" s="7" t="s">
        <v>1077</v>
      </c>
      <c r="G88" s="46" t="s">
        <v>904</v>
      </c>
      <c r="H88" s="101">
        <v>1212</v>
      </c>
      <c r="I88" s="46" t="s">
        <v>905</v>
      </c>
      <c r="J88" s="6">
        <v>46035</v>
      </c>
      <c r="K88" s="7" t="s">
        <v>910</v>
      </c>
      <c r="L88" s="7" t="s">
        <v>907</v>
      </c>
      <c r="M88" s="46" t="s">
        <v>911</v>
      </c>
      <c r="N88" s="46" t="s">
        <v>63</v>
      </c>
      <c r="O88" s="46" t="s">
        <v>909</v>
      </c>
      <c r="P88" s="6">
        <v>45749</v>
      </c>
      <c r="Q88" s="102">
        <v>0</v>
      </c>
      <c r="R88" s="102">
        <v>0</v>
      </c>
      <c r="S88" s="7">
        <v>0</v>
      </c>
    </row>
    <row r="89" s="98" customFormat="1" ht="16.5" hidden="1" spans="1:19">
      <c r="A89" s="46">
        <v>87</v>
      </c>
      <c r="B89" s="46" t="s">
        <v>23</v>
      </c>
      <c r="C89" s="46" t="s">
        <v>38</v>
      </c>
      <c r="D89" s="7" t="s">
        <v>27</v>
      </c>
      <c r="E89" s="7" t="s">
        <v>1076</v>
      </c>
      <c r="F89" s="7" t="s">
        <v>1077</v>
      </c>
      <c r="G89" s="46" t="s">
        <v>904</v>
      </c>
      <c r="H89" s="101">
        <v>1212</v>
      </c>
      <c r="I89" s="46" t="s">
        <v>905</v>
      </c>
      <c r="J89" s="6">
        <v>46035</v>
      </c>
      <c r="K89" s="7" t="s">
        <v>912</v>
      </c>
      <c r="L89" s="7" t="s">
        <v>907</v>
      </c>
      <c r="M89" s="46" t="s">
        <v>913</v>
      </c>
      <c r="N89" s="46" t="s">
        <v>63</v>
      </c>
      <c r="O89" s="46" t="s">
        <v>909</v>
      </c>
      <c r="P89" s="6">
        <v>45747</v>
      </c>
      <c r="Q89" s="102">
        <v>0</v>
      </c>
      <c r="R89" s="102">
        <v>0</v>
      </c>
      <c r="S89" s="7">
        <v>0</v>
      </c>
    </row>
    <row r="90" s="98" customFormat="1" ht="16.5" hidden="1" spans="1:19">
      <c r="A90" s="46">
        <v>88</v>
      </c>
      <c r="B90" s="46" t="s">
        <v>23</v>
      </c>
      <c r="C90" s="46" t="s">
        <v>38</v>
      </c>
      <c r="D90" s="7" t="s">
        <v>27</v>
      </c>
      <c r="E90" s="7" t="s">
        <v>1076</v>
      </c>
      <c r="F90" s="7" t="s">
        <v>1077</v>
      </c>
      <c r="G90" s="46" t="s">
        <v>904</v>
      </c>
      <c r="H90" s="101">
        <v>1212</v>
      </c>
      <c r="I90" s="46" t="s">
        <v>905</v>
      </c>
      <c r="J90" s="6">
        <v>46035</v>
      </c>
      <c r="K90" s="7" t="s">
        <v>914</v>
      </c>
      <c r="L90" s="7" t="s">
        <v>915</v>
      </c>
      <c r="M90" s="46" t="s">
        <v>916</v>
      </c>
      <c r="N90" s="46" t="s">
        <v>70</v>
      </c>
      <c r="O90" s="46" t="s">
        <v>909</v>
      </c>
      <c r="P90" s="6">
        <v>45905</v>
      </c>
      <c r="Q90" s="102">
        <v>5</v>
      </c>
      <c r="R90" s="102">
        <v>5</v>
      </c>
      <c r="S90" s="7">
        <v>100</v>
      </c>
    </row>
    <row r="91" s="98" customFormat="1" ht="16.5" hidden="1" spans="1:19">
      <c r="A91" s="46">
        <v>89</v>
      </c>
      <c r="B91" s="46" t="s">
        <v>23</v>
      </c>
      <c r="C91" s="46" t="s">
        <v>37</v>
      </c>
      <c r="D91" s="7" t="s">
        <v>27</v>
      </c>
      <c r="E91" s="7" t="s">
        <v>1076</v>
      </c>
      <c r="F91" s="7" t="s">
        <v>1077</v>
      </c>
      <c r="G91" s="46" t="s">
        <v>904</v>
      </c>
      <c r="H91" s="101">
        <v>1212</v>
      </c>
      <c r="I91" s="46" t="s">
        <v>905</v>
      </c>
      <c r="J91" s="6">
        <v>46035</v>
      </c>
      <c r="K91" s="7" t="s">
        <v>917</v>
      </c>
      <c r="L91" s="7" t="s">
        <v>915</v>
      </c>
      <c r="M91" s="46" t="s">
        <v>918</v>
      </c>
      <c r="N91" s="46" t="s">
        <v>109</v>
      </c>
      <c r="O91" s="46" t="s">
        <v>909</v>
      </c>
      <c r="P91" s="6">
        <v>45910</v>
      </c>
      <c r="Q91" s="102">
        <v>5</v>
      </c>
      <c r="R91" s="102">
        <v>5</v>
      </c>
      <c r="S91" s="7">
        <v>95</v>
      </c>
    </row>
    <row r="92" s="98" customFormat="1" ht="16.5" hidden="1" spans="1:19">
      <c r="A92" s="46">
        <v>90</v>
      </c>
      <c r="B92" s="46" t="s">
        <v>23</v>
      </c>
      <c r="C92" s="46" t="s">
        <v>38</v>
      </c>
      <c r="D92" s="7" t="s">
        <v>27</v>
      </c>
      <c r="E92" s="7" t="s">
        <v>1076</v>
      </c>
      <c r="F92" s="7" t="s">
        <v>1077</v>
      </c>
      <c r="G92" s="46" t="s">
        <v>904</v>
      </c>
      <c r="H92" s="101">
        <v>1212</v>
      </c>
      <c r="I92" s="46" t="s">
        <v>905</v>
      </c>
      <c r="J92" s="6">
        <v>46035</v>
      </c>
      <c r="K92" s="7" t="s">
        <v>919</v>
      </c>
      <c r="L92" s="7" t="s">
        <v>907</v>
      </c>
      <c r="M92" s="46" t="s">
        <v>920</v>
      </c>
      <c r="N92" s="46" t="s">
        <v>220</v>
      </c>
      <c r="O92" s="46" t="s">
        <v>921</v>
      </c>
      <c r="P92" s="6">
        <v>45812</v>
      </c>
      <c r="Q92" s="102">
        <v>0</v>
      </c>
      <c r="R92" s="102">
        <v>0</v>
      </c>
      <c r="S92" s="7">
        <v>0</v>
      </c>
    </row>
    <row r="93" s="98" customFormat="1" ht="16.5" hidden="1" spans="1:19">
      <c r="A93" s="46">
        <v>91</v>
      </c>
      <c r="B93" s="46" t="s">
        <v>23</v>
      </c>
      <c r="C93" s="46" t="s">
        <v>38</v>
      </c>
      <c r="D93" s="7" t="s">
        <v>27</v>
      </c>
      <c r="E93" s="7" t="s">
        <v>1076</v>
      </c>
      <c r="F93" s="7" t="s">
        <v>1077</v>
      </c>
      <c r="G93" s="46" t="s">
        <v>904</v>
      </c>
      <c r="H93" s="101">
        <v>1212</v>
      </c>
      <c r="I93" s="46" t="s">
        <v>905</v>
      </c>
      <c r="J93" s="6">
        <v>46035</v>
      </c>
      <c r="K93" s="7" t="s">
        <v>922</v>
      </c>
      <c r="L93" s="7" t="s">
        <v>907</v>
      </c>
      <c r="M93" s="46" t="s">
        <v>923</v>
      </c>
      <c r="N93" s="46" t="s">
        <v>75</v>
      </c>
      <c r="O93" s="46" t="s">
        <v>909</v>
      </c>
      <c r="P93" s="6">
        <v>45804</v>
      </c>
      <c r="Q93" s="102">
        <v>0</v>
      </c>
      <c r="R93" s="102">
        <v>0</v>
      </c>
      <c r="S93" s="7">
        <v>0</v>
      </c>
    </row>
    <row r="94" s="98" customFormat="1" ht="16.5" hidden="1" spans="1:19">
      <c r="A94" s="46">
        <v>92</v>
      </c>
      <c r="B94" s="46" t="s">
        <v>23</v>
      </c>
      <c r="C94" s="46" t="s">
        <v>38</v>
      </c>
      <c r="D94" s="7" t="s">
        <v>27</v>
      </c>
      <c r="E94" s="7" t="s">
        <v>1076</v>
      </c>
      <c r="F94" s="7" t="s">
        <v>1077</v>
      </c>
      <c r="G94" s="46" t="s">
        <v>904</v>
      </c>
      <c r="H94" s="101">
        <v>1212</v>
      </c>
      <c r="I94" s="46" t="s">
        <v>905</v>
      </c>
      <c r="J94" s="6">
        <v>46035</v>
      </c>
      <c r="K94" s="7" t="s">
        <v>924</v>
      </c>
      <c r="L94" s="7" t="s">
        <v>915</v>
      </c>
      <c r="M94" s="46" t="s">
        <v>925</v>
      </c>
      <c r="N94" s="46" t="s">
        <v>144</v>
      </c>
      <c r="O94" s="46" t="s">
        <v>909</v>
      </c>
      <c r="P94" s="6">
        <v>45864</v>
      </c>
      <c r="Q94" s="102">
        <v>5</v>
      </c>
      <c r="R94" s="102">
        <v>5</v>
      </c>
      <c r="S94" s="7">
        <v>100</v>
      </c>
    </row>
    <row r="95" s="98" customFormat="1" ht="16.5" hidden="1" spans="1:19">
      <c r="A95" s="46">
        <v>93</v>
      </c>
      <c r="B95" s="46" t="s">
        <v>23</v>
      </c>
      <c r="C95" s="46" t="s">
        <v>31</v>
      </c>
      <c r="D95" s="7" t="s">
        <v>27</v>
      </c>
      <c r="E95" s="7" t="s">
        <v>1076</v>
      </c>
      <c r="F95" s="7" t="s">
        <v>1077</v>
      </c>
      <c r="G95" s="46" t="s">
        <v>904</v>
      </c>
      <c r="H95" s="101">
        <v>1212</v>
      </c>
      <c r="I95" s="46" t="s">
        <v>905</v>
      </c>
      <c r="J95" s="6">
        <v>46035</v>
      </c>
      <c r="K95" s="7" t="s">
        <v>926</v>
      </c>
      <c r="L95" s="7" t="s">
        <v>907</v>
      </c>
      <c r="M95" s="46" t="s">
        <v>927</v>
      </c>
      <c r="N95" s="46" t="s">
        <v>79</v>
      </c>
      <c r="O95" s="46" t="s">
        <v>909</v>
      </c>
      <c r="P95" s="6">
        <v>45883</v>
      </c>
      <c r="Q95" s="102">
        <v>0</v>
      </c>
      <c r="R95" s="102">
        <v>0</v>
      </c>
      <c r="S95" s="7">
        <v>0</v>
      </c>
    </row>
    <row r="96" s="98" customFormat="1" ht="16.5" hidden="1" spans="1:19">
      <c r="A96" s="46">
        <v>94</v>
      </c>
      <c r="B96" s="46" t="s">
        <v>23</v>
      </c>
      <c r="C96" s="46" t="s">
        <v>38</v>
      </c>
      <c r="D96" s="7" t="s">
        <v>27</v>
      </c>
      <c r="E96" s="7" t="s">
        <v>1076</v>
      </c>
      <c r="F96" s="7" t="s">
        <v>1077</v>
      </c>
      <c r="G96" s="46" t="s">
        <v>904</v>
      </c>
      <c r="H96" s="101">
        <v>1212</v>
      </c>
      <c r="I96" s="46" t="s">
        <v>905</v>
      </c>
      <c r="J96" s="6">
        <v>46035</v>
      </c>
      <c r="K96" s="7" t="s">
        <v>928</v>
      </c>
      <c r="L96" s="7" t="s">
        <v>907</v>
      </c>
      <c r="M96" s="46" t="s">
        <v>929</v>
      </c>
      <c r="N96" s="46" t="s">
        <v>144</v>
      </c>
      <c r="O96" s="46" t="s">
        <v>909</v>
      </c>
      <c r="P96" s="6">
        <v>45872</v>
      </c>
      <c r="Q96" s="102">
        <v>0</v>
      </c>
      <c r="R96" s="102">
        <v>0</v>
      </c>
      <c r="S96" s="7">
        <v>0</v>
      </c>
    </row>
    <row r="97" s="98" customFormat="1" ht="16.5" hidden="1" spans="1:19">
      <c r="A97" s="46">
        <v>95</v>
      </c>
      <c r="B97" s="46" t="s">
        <v>23</v>
      </c>
      <c r="C97" s="46" t="s">
        <v>38</v>
      </c>
      <c r="D97" s="7" t="s">
        <v>27</v>
      </c>
      <c r="E97" s="7" t="s">
        <v>1076</v>
      </c>
      <c r="F97" s="7" t="s">
        <v>1077</v>
      </c>
      <c r="G97" s="46" t="s">
        <v>904</v>
      </c>
      <c r="H97" s="101">
        <v>1212</v>
      </c>
      <c r="I97" s="46" t="s">
        <v>905</v>
      </c>
      <c r="J97" s="6">
        <v>46035</v>
      </c>
      <c r="K97" s="7" t="s">
        <v>930</v>
      </c>
      <c r="L97" s="7" t="s">
        <v>907</v>
      </c>
      <c r="M97" s="46" t="s">
        <v>931</v>
      </c>
      <c r="N97" s="46" t="s">
        <v>144</v>
      </c>
      <c r="O97" s="46" t="s">
        <v>921</v>
      </c>
      <c r="P97" s="6">
        <v>45794</v>
      </c>
      <c r="Q97" s="102">
        <v>0</v>
      </c>
      <c r="R97" s="102">
        <v>0</v>
      </c>
      <c r="S97" s="7">
        <v>0</v>
      </c>
    </row>
    <row r="98" s="98" customFormat="1" ht="16.5" hidden="1" spans="1:19">
      <c r="A98" s="46">
        <v>96</v>
      </c>
      <c r="B98" s="46" t="s">
        <v>23</v>
      </c>
      <c r="C98" s="46" t="s">
        <v>37</v>
      </c>
      <c r="D98" s="7" t="s">
        <v>27</v>
      </c>
      <c r="E98" s="7" t="s">
        <v>1076</v>
      </c>
      <c r="F98" s="7" t="s">
        <v>1077</v>
      </c>
      <c r="G98" s="46" t="s">
        <v>904</v>
      </c>
      <c r="H98" s="101">
        <v>1212</v>
      </c>
      <c r="I98" s="46" t="s">
        <v>905</v>
      </c>
      <c r="J98" s="6">
        <v>46035</v>
      </c>
      <c r="K98" s="7" t="s">
        <v>932</v>
      </c>
      <c r="L98" s="7" t="s">
        <v>907</v>
      </c>
      <c r="M98" s="46" t="s">
        <v>933</v>
      </c>
      <c r="N98" s="46" t="s">
        <v>109</v>
      </c>
      <c r="O98" s="46" t="s">
        <v>909</v>
      </c>
      <c r="P98" s="6">
        <v>45881</v>
      </c>
      <c r="Q98" s="102">
        <v>0</v>
      </c>
      <c r="R98" s="102">
        <v>0</v>
      </c>
      <c r="S98" s="7">
        <v>0</v>
      </c>
    </row>
    <row r="99" s="98" customFormat="1" ht="16.5" hidden="1" spans="1:19">
      <c r="A99" s="46">
        <v>97</v>
      </c>
      <c r="B99" s="46" t="s">
        <v>23</v>
      </c>
      <c r="C99" s="46" t="s">
        <v>38</v>
      </c>
      <c r="D99" s="7" t="s">
        <v>27</v>
      </c>
      <c r="E99" s="7" t="s">
        <v>1076</v>
      </c>
      <c r="F99" s="7" t="s">
        <v>1077</v>
      </c>
      <c r="G99" s="46" t="s">
        <v>904</v>
      </c>
      <c r="H99" s="101">
        <v>1212</v>
      </c>
      <c r="I99" s="46" t="s">
        <v>905</v>
      </c>
      <c r="J99" s="6">
        <v>46035</v>
      </c>
      <c r="K99" s="7" t="s">
        <v>934</v>
      </c>
      <c r="L99" s="7" t="s">
        <v>907</v>
      </c>
      <c r="M99" s="46" t="s">
        <v>935</v>
      </c>
      <c r="N99" s="46" t="s">
        <v>144</v>
      </c>
      <c r="O99" s="46" t="s">
        <v>909</v>
      </c>
      <c r="P99" s="6">
        <v>45830</v>
      </c>
      <c r="Q99" s="102">
        <v>0</v>
      </c>
      <c r="R99" s="102">
        <v>0</v>
      </c>
      <c r="S99" s="7">
        <v>0</v>
      </c>
    </row>
    <row r="100" s="98" customFormat="1" ht="16.5" hidden="1" spans="1:19">
      <c r="A100" s="46">
        <v>98</v>
      </c>
      <c r="B100" s="46" t="s">
        <v>23</v>
      </c>
      <c r="C100" s="46" t="s">
        <v>38</v>
      </c>
      <c r="D100" s="7" t="s">
        <v>27</v>
      </c>
      <c r="E100" s="7" t="s">
        <v>1076</v>
      </c>
      <c r="F100" s="7" t="s">
        <v>1077</v>
      </c>
      <c r="G100" s="46" t="s">
        <v>904</v>
      </c>
      <c r="H100" s="101">
        <v>1212</v>
      </c>
      <c r="I100" s="46" t="s">
        <v>905</v>
      </c>
      <c r="J100" s="6">
        <v>46035</v>
      </c>
      <c r="K100" s="7" t="s">
        <v>936</v>
      </c>
      <c r="L100" s="7" t="s">
        <v>915</v>
      </c>
      <c r="M100" s="46" t="s">
        <v>937</v>
      </c>
      <c r="N100" s="46" t="s">
        <v>75</v>
      </c>
      <c r="O100" s="46" t="s">
        <v>909</v>
      </c>
      <c r="P100" s="6">
        <v>45976</v>
      </c>
      <c r="Q100" s="102">
        <v>4.75</v>
      </c>
      <c r="R100" s="102">
        <v>5</v>
      </c>
      <c r="S100" s="7">
        <v>80</v>
      </c>
    </row>
    <row r="101" s="98" customFormat="1" ht="16.5" hidden="1" spans="1:19">
      <c r="A101" s="46">
        <v>99</v>
      </c>
      <c r="B101" s="46" t="s">
        <v>23</v>
      </c>
      <c r="C101" s="46" t="s">
        <v>38</v>
      </c>
      <c r="D101" s="7" t="s">
        <v>27</v>
      </c>
      <c r="E101" s="7" t="s">
        <v>1076</v>
      </c>
      <c r="F101" s="7" t="s">
        <v>1077</v>
      </c>
      <c r="G101" s="46" t="s">
        <v>904</v>
      </c>
      <c r="H101" s="101">
        <v>1212</v>
      </c>
      <c r="I101" s="46" t="s">
        <v>905</v>
      </c>
      <c r="J101" s="6">
        <v>46035</v>
      </c>
      <c r="K101" s="7" t="s">
        <v>938</v>
      </c>
      <c r="L101" s="7" t="s">
        <v>915</v>
      </c>
      <c r="M101" s="46" t="s">
        <v>939</v>
      </c>
      <c r="N101" s="46" t="s">
        <v>75</v>
      </c>
      <c r="O101" s="46" t="s">
        <v>909</v>
      </c>
      <c r="P101" s="6">
        <v>45873</v>
      </c>
      <c r="Q101" s="102">
        <v>5</v>
      </c>
      <c r="R101" s="102">
        <v>5</v>
      </c>
      <c r="S101" s="7">
        <v>100</v>
      </c>
    </row>
    <row r="102" s="98" customFormat="1" ht="16.5" hidden="1" spans="1:19">
      <c r="A102" s="46">
        <v>100</v>
      </c>
      <c r="B102" s="46" t="s">
        <v>23</v>
      </c>
      <c r="C102" s="46" t="s">
        <v>38</v>
      </c>
      <c r="D102" s="7" t="s">
        <v>27</v>
      </c>
      <c r="E102" s="7" t="s">
        <v>1076</v>
      </c>
      <c r="F102" s="7" t="s">
        <v>1077</v>
      </c>
      <c r="G102" s="46" t="s">
        <v>904</v>
      </c>
      <c r="H102" s="101">
        <v>1212</v>
      </c>
      <c r="I102" s="46" t="s">
        <v>905</v>
      </c>
      <c r="J102" s="6">
        <v>46035</v>
      </c>
      <c r="K102" s="7" t="s">
        <v>940</v>
      </c>
      <c r="L102" s="7" t="s">
        <v>907</v>
      </c>
      <c r="M102" s="46" t="s">
        <v>941</v>
      </c>
      <c r="N102" s="46" t="s">
        <v>75</v>
      </c>
      <c r="O102" s="46" t="s">
        <v>909</v>
      </c>
      <c r="P102" s="6">
        <v>45836</v>
      </c>
      <c r="Q102" s="102">
        <v>0</v>
      </c>
      <c r="R102" s="102">
        <v>0</v>
      </c>
      <c r="S102" s="7">
        <v>0</v>
      </c>
    </row>
    <row r="103" s="98" customFormat="1" ht="16.5" hidden="1" spans="1:19">
      <c r="A103" s="46">
        <v>101</v>
      </c>
      <c r="B103" s="46" t="s">
        <v>23</v>
      </c>
      <c r="C103" s="46" t="s">
        <v>29</v>
      </c>
      <c r="D103" s="7" t="s">
        <v>27</v>
      </c>
      <c r="E103" s="7" t="s">
        <v>1076</v>
      </c>
      <c r="F103" s="7" t="s">
        <v>1077</v>
      </c>
      <c r="G103" s="46" t="s">
        <v>904</v>
      </c>
      <c r="H103" s="101">
        <v>1212</v>
      </c>
      <c r="I103" s="46" t="s">
        <v>905</v>
      </c>
      <c r="J103" s="6">
        <v>46035</v>
      </c>
      <c r="K103" s="7" t="s">
        <v>942</v>
      </c>
      <c r="L103" s="7" t="s">
        <v>915</v>
      </c>
      <c r="M103" s="46" t="s">
        <v>943</v>
      </c>
      <c r="N103" s="46" t="s">
        <v>130</v>
      </c>
      <c r="O103" s="46" t="s">
        <v>909</v>
      </c>
      <c r="P103" s="6">
        <v>45822</v>
      </c>
      <c r="Q103" s="102">
        <v>5</v>
      </c>
      <c r="R103" s="102">
        <v>5</v>
      </c>
      <c r="S103" s="7">
        <v>90</v>
      </c>
    </row>
    <row r="104" s="98" customFormat="1" ht="16.5" hidden="1" spans="1:19">
      <c r="A104" s="46">
        <v>102</v>
      </c>
      <c r="B104" s="46" t="s">
        <v>23</v>
      </c>
      <c r="C104" s="46" t="s">
        <v>36</v>
      </c>
      <c r="D104" s="7" t="s">
        <v>27</v>
      </c>
      <c r="E104" s="7" t="s">
        <v>1076</v>
      </c>
      <c r="F104" s="7" t="s">
        <v>1077</v>
      </c>
      <c r="G104" s="46" t="s">
        <v>904</v>
      </c>
      <c r="H104" s="101">
        <v>1212</v>
      </c>
      <c r="I104" s="46" t="s">
        <v>905</v>
      </c>
      <c r="J104" s="6">
        <v>46035</v>
      </c>
      <c r="K104" s="7" t="s">
        <v>944</v>
      </c>
      <c r="L104" s="7" t="s">
        <v>915</v>
      </c>
      <c r="M104" s="46" t="s">
        <v>945</v>
      </c>
      <c r="N104" s="46" t="s">
        <v>173</v>
      </c>
      <c r="O104" s="46" t="s">
        <v>909</v>
      </c>
      <c r="P104" s="6">
        <v>45913</v>
      </c>
      <c r="Q104" s="102">
        <v>5</v>
      </c>
      <c r="R104" s="102">
        <v>5</v>
      </c>
      <c r="S104" s="7">
        <v>80</v>
      </c>
    </row>
    <row r="105" s="98" customFormat="1" ht="16.5" hidden="1" spans="1:19">
      <c r="A105" s="46">
        <v>103</v>
      </c>
      <c r="B105" s="46" t="s">
        <v>23</v>
      </c>
      <c r="C105" s="46" t="s">
        <v>31</v>
      </c>
      <c r="D105" s="7" t="s">
        <v>27</v>
      </c>
      <c r="E105" s="7" t="s">
        <v>1076</v>
      </c>
      <c r="F105" s="7" t="s">
        <v>1077</v>
      </c>
      <c r="G105" s="46" t="s">
        <v>904</v>
      </c>
      <c r="H105" s="101">
        <v>1212</v>
      </c>
      <c r="I105" s="46" t="s">
        <v>905</v>
      </c>
      <c r="J105" s="6">
        <v>46035</v>
      </c>
      <c r="K105" s="7" t="s">
        <v>946</v>
      </c>
      <c r="L105" s="7" t="s">
        <v>907</v>
      </c>
      <c r="M105" s="46" t="s">
        <v>947</v>
      </c>
      <c r="N105" s="46" t="s">
        <v>79</v>
      </c>
      <c r="O105" s="46" t="s">
        <v>909</v>
      </c>
      <c r="P105" s="6">
        <v>45872</v>
      </c>
      <c r="Q105" s="102">
        <v>0</v>
      </c>
      <c r="R105" s="102">
        <v>0</v>
      </c>
      <c r="S105" s="7">
        <v>0</v>
      </c>
    </row>
    <row r="106" s="98" customFormat="1" ht="16.5" hidden="1" spans="1:19">
      <c r="A106" s="46">
        <v>104</v>
      </c>
      <c r="B106" s="46" t="s">
        <v>23</v>
      </c>
      <c r="C106" s="46" t="s">
        <v>36</v>
      </c>
      <c r="D106" s="7" t="s">
        <v>27</v>
      </c>
      <c r="E106" s="7" t="s">
        <v>1076</v>
      </c>
      <c r="F106" s="7" t="s">
        <v>1077</v>
      </c>
      <c r="G106" s="46" t="s">
        <v>904</v>
      </c>
      <c r="H106" s="101">
        <v>1212</v>
      </c>
      <c r="I106" s="46" t="s">
        <v>905</v>
      </c>
      <c r="J106" s="6">
        <v>46035</v>
      </c>
      <c r="K106" s="7" t="s">
        <v>948</v>
      </c>
      <c r="L106" s="7" t="s">
        <v>915</v>
      </c>
      <c r="M106" s="46" t="s">
        <v>949</v>
      </c>
      <c r="N106" s="46" t="s">
        <v>173</v>
      </c>
      <c r="O106" s="46" t="s">
        <v>909</v>
      </c>
      <c r="P106" s="6">
        <v>45876</v>
      </c>
      <c r="Q106" s="102">
        <v>5</v>
      </c>
      <c r="R106" s="102">
        <v>5</v>
      </c>
      <c r="S106" s="7">
        <v>80</v>
      </c>
    </row>
    <row r="107" s="98" customFormat="1" ht="16.5" hidden="1" spans="1:19">
      <c r="A107" s="46">
        <v>105</v>
      </c>
      <c r="B107" s="46" t="s">
        <v>23</v>
      </c>
      <c r="C107" s="46" t="s">
        <v>36</v>
      </c>
      <c r="D107" s="7" t="s">
        <v>27</v>
      </c>
      <c r="E107" s="7" t="s">
        <v>1076</v>
      </c>
      <c r="F107" s="7" t="s">
        <v>1077</v>
      </c>
      <c r="G107" s="46" t="s">
        <v>904</v>
      </c>
      <c r="H107" s="101">
        <v>1212</v>
      </c>
      <c r="I107" s="46" t="s">
        <v>905</v>
      </c>
      <c r="J107" s="6">
        <v>46035</v>
      </c>
      <c r="K107" s="7" t="s">
        <v>950</v>
      </c>
      <c r="L107" s="7" t="s">
        <v>915</v>
      </c>
      <c r="M107" s="46" t="s">
        <v>951</v>
      </c>
      <c r="N107" s="46" t="s">
        <v>173</v>
      </c>
      <c r="O107" s="46" t="s">
        <v>909</v>
      </c>
      <c r="P107" s="6">
        <v>45874</v>
      </c>
      <c r="Q107" s="102">
        <v>5</v>
      </c>
      <c r="R107" s="102">
        <v>5</v>
      </c>
      <c r="S107" s="7">
        <v>100</v>
      </c>
    </row>
    <row r="108" s="98" customFormat="1" ht="16.5" hidden="1" spans="1:19">
      <c r="A108" s="46">
        <v>106</v>
      </c>
      <c r="B108" s="46" t="s">
        <v>23</v>
      </c>
      <c r="C108" s="46" t="s">
        <v>38</v>
      </c>
      <c r="D108" s="7" t="s">
        <v>27</v>
      </c>
      <c r="E108" s="7" t="s">
        <v>1076</v>
      </c>
      <c r="F108" s="7" t="s">
        <v>1077</v>
      </c>
      <c r="G108" s="46" t="s">
        <v>904</v>
      </c>
      <c r="H108" s="101">
        <v>1212</v>
      </c>
      <c r="I108" s="46" t="s">
        <v>905</v>
      </c>
      <c r="J108" s="6">
        <v>46035</v>
      </c>
      <c r="K108" s="7" t="s">
        <v>952</v>
      </c>
      <c r="L108" s="7" t="s">
        <v>907</v>
      </c>
      <c r="M108" s="46" t="s">
        <v>953</v>
      </c>
      <c r="N108" s="46" t="s">
        <v>220</v>
      </c>
      <c r="O108" s="46" t="s">
        <v>909</v>
      </c>
      <c r="P108" s="6">
        <v>45909</v>
      </c>
      <c r="Q108" s="102">
        <v>0</v>
      </c>
      <c r="R108" s="102">
        <v>0</v>
      </c>
      <c r="S108" s="7">
        <v>0</v>
      </c>
    </row>
    <row r="109" s="98" customFormat="1" ht="16.5" hidden="1" spans="1:19">
      <c r="A109" s="46">
        <v>107</v>
      </c>
      <c r="B109" s="46" t="s">
        <v>23</v>
      </c>
      <c r="C109" s="46" t="s">
        <v>38</v>
      </c>
      <c r="D109" s="7" t="s">
        <v>27</v>
      </c>
      <c r="E109" s="7" t="s">
        <v>1076</v>
      </c>
      <c r="F109" s="7" t="s">
        <v>1077</v>
      </c>
      <c r="G109" s="46" t="s">
        <v>904</v>
      </c>
      <c r="H109" s="101">
        <v>1212</v>
      </c>
      <c r="I109" s="46" t="s">
        <v>905</v>
      </c>
      <c r="J109" s="6">
        <v>46035</v>
      </c>
      <c r="K109" s="7" t="s">
        <v>954</v>
      </c>
      <c r="L109" s="7" t="s">
        <v>907</v>
      </c>
      <c r="M109" s="46" t="s">
        <v>955</v>
      </c>
      <c r="N109" s="46" t="s">
        <v>220</v>
      </c>
      <c r="O109" s="46" t="s">
        <v>921</v>
      </c>
      <c r="P109" s="6">
        <v>45701</v>
      </c>
      <c r="Q109" s="102">
        <v>0</v>
      </c>
      <c r="R109" s="102">
        <v>0</v>
      </c>
      <c r="S109" s="7">
        <v>0</v>
      </c>
    </row>
    <row r="110" s="98" customFormat="1" ht="16.5" hidden="1" spans="1:19">
      <c r="A110" s="46">
        <v>108</v>
      </c>
      <c r="B110" s="46" t="s">
        <v>23</v>
      </c>
      <c r="C110" s="46" t="s">
        <v>38</v>
      </c>
      <c r="D110" s="7" t="s">
        <v>27</v>
      </c>
      <c r="E110" s="7" t="s">
        <v>1076</v>
      </c>
      <c r="F110" s="7" t="s">
        <v>1077</v>
      </c>
      <c r="G110" s="46" t="s">
        <v>904</v>
      </c>
      <c r="H110" s="101">
        <v>1212</v>
      </c>
      <c r="I110" s="46" t="s">
        <v>905</v>
      </c>
      <c r="J110" s="6">
        <v>46035</v>
      </c>
      <c r="K110" s="7" t="s">
        <v>956</v>
      </c>
      <c r="L110" s="7" t="s">
        <v>915</v>
      </c>
      <c r="M110" s="46" t="s">
        <v>957</v>
      </c>
      <c r="N110" s="46" t="s">
        <v>148</v>
      </c>
      <c r="O110" s="46" t="s">
        <v>909</v>
      </c>
      <c r="P110" s="6">
        <v>45861</v>
      </c>
      <c r="Q110" s="102">
        <v>5</v>
      </c>
      <c r="R110" s="102">
        <v>5</v>
      </c>
      <c r="S110" s="7">
        <v>80</v>
      </c>
    </row>
    <row r="111" s="98" customFormat="1" ht="16.5" hidden="1" spans="1:19">
      <c r="A111" s="46">
        <v>109</v>
      </c>
      <c r="B111" s="46" t="s">
        <v>23</v>
      </c>
      <c r="C111" s="46" t="s">
        <v>38</v>
      </c>
      <c r="D111" s="7" t="s">
        <v>27</v>
      </c>
      <c r="E111" s="7" t="s">
        <v>1076</v>
      </c>
      <c r="F111" s="7" t="s">
        <v>1077</v>
      </c>
      <c r="G111" s="46" t="s">
        <v>904</v>
      </c>
      <c r="H111" s="101">
        <v>1212</v>
      </c>
      <c r="I111" s="46" t="s">
        <v>905</v>
      </c>
      <c r="J111" s="6">
        <v>46035</v>
      </c>
      <c r="K111" s="7" t="s">
        <v>958</v>
      </c>
      <c r="L111" s="7" t="s">
        <v>915</v>
      </c>
      <c r="M111" s="46" t="s">
        <v>959</v>
      </c>
      <c r="N111" s="46" t="s">
        <v>148</v>
      </c>
      <c r="O111" s="46" t="s">
        <v>909</v>
      </c>
      <c r="P111" s="6">
        <v>45844</v>
      </c>
      <c r="Q111" s="102">
        <v>5</v>
      </c>
      <c r="R111" s="102">
        <v>5</v>
      </c>
      <c r="S111" s="7">
        <v>80</v>
      </c>
    </row>
    <row r="112" s="98" customFormat="1" ht="16.5" hidden="1" spans="1:19">
      <c r="A112" s="46">
        <v>110</v>
      </c>
      <c r="B112" s="46" t="s">
        <v>23</v>
      </c>
      <c r="C112" s="46" t="s">
        <v>38</v>
      </c>
      <c r="D112" s="7" t="s">
        <v>27</v>
      </c>
      <c r="E112" s="7" t="s">
        <v>1076</v>
      </c>
      <c r="F112" s="7" t="s">
        <v>1077</v>
      </c>
      <c r="G112" s="46" t="s">
        <v>904</v>
      </c>
      <c r="H112" s="101">
        <v>1212</v>
      </c>
      <c r="I112" s="46" t="s">
        <v>905</v>
      </c>
      <c r="J112" s="6">
        <v>46035</v>
      </c>
      <c r="K112" s="7" t="s">
        <v>960</v>
      </c>
      <c r="L112" s="7" t="s">
        <v>915</v>
      </c>
      <c r="M112" s="46" t="s">
        <v>961</v>
      </c>
      <c r="N112" s="46" t="s">
        <v>168</v>
      </c>
      <c r="O112" s="46" t="s">
        <v>909</v>
      </c>
      <c r="P112" s="6">
        <v>45927</v>
      </c>
      <c r="Q112" s="102">
        <v>5</v>
      </c>
      <c r="R112" s="102">
        <v>5</v>
      </c>
      <c r="S112" s="7">
        <v>80</v>
      </c>
    </row>
    <row r="113" s="98" customFormat="1" ht="16.5" hidden="1" spans="1:19">
      <c r="A113" s="46">
        <v>111</v>
      </c>
      <c r="B113" s="46" t="s">
        <v>23</v>
      </c>
      <c r="C113" s="46" t="s">
        <v>38</v>
      </c>
      <c r="D113" s="7" t="s">
        <v>27</v>
      </c>
      <c r="E113" s="7" t="s">
        <v>1076</v>
      </c>
      <c r="F113" s="7" t="s">
        <v>1077</v>
      </c>
      <c r="G113" s="46" t="s">
        <v>904</v>
      </c>
      <c r="H113" s="101">
        <v>1212</v>
      </c>
      <c r="I113" s="46" t="s">
        <v>905</v>
      </c>
      <c r="J113" s="6">
        <v>46035</v>
      </c>
      <c r="K113" s="7" t="s">
        <v>962</v>
      </c>
      <c r="L113" s="7" t="s">
        <v>907</v>
      </c>
      <c r="M113" s="46" t="s">
        <v>963</v>
      </c>
      <c r="N113" s="46" t="s">
        <v>70</v>
      </c>
      <c r="O113" s="46" t="s">
        <v>921</v>
      </c>
      <c r="P113" s="6">
        <v>45852</v>
      </c>
      <c r="Q113" s="102">
        <v>0</v>
      </c>
      <c r="R113" s="102">
        <v>0</v>
      </c>
      <c r="S113" s="7">
        <v>0</v>
      </c>
    </row>
    <row r="114" s="98" customFormat="1" ht="16.5" hidden="1" spans="1:19">
      <c r="A114" s="46">
        <v>112</v>
      </c>
      <c r="B114" s="46" t="s">
        <v>23</v>
      </c>
      <c r="C114" s="46" t="s">
        <v>38</v>
      </c>
      <c r="D114" s="7" t="s">
        <v>27</v>
      </c>
      <c r="E114" s="7" t="s">
        <v>1076</v>
      </c>
      <c r="F114" s="7" t="s">
        <v>1077</v>
      </c>
      <c r="G114" s="46" t="s">
        <v>904</v>
      </c>
      <c r="H114" s="101">
        <v>1212</v>
      </c>
      <c r="I114" s="46" t="s">
        <v>905</v>
      </c>
      <c r="J114" s="6">
        <v>46035</v>
      </c>
      <c r="K114" s="7" t="s">
        <v>964</v>
      </c>
      <c r="L114" s="7" t="s">
        <v>907</v>
      </c>
      <c r="M114" s="46" t="s">
        <v>965</v>
      </c>
      <c r="N114" s="46" t="s">
        <v>75</v>
      </c>
      <c r="O114" s="46" t="s">
        <v>909</v>
      </c>
      <c r="P114" s="6">
        <v>45738</v>
      </c>
      <c r="Q114" s="102">
        <v>0</v>
      </c>
      <c r="R114" s="102">
        <v>0</v>
      </c>
      <c r="S114" s="7">
        <v>0</v>
      </c>
    </row>
    <row r="115" s="98" customFormat="1" ht="16.5" hidden="1" spans="1:19">
      <c r="A115" s="46">
        <v>113</v>
      </c>
      <c r="B115" s="46" t="s">
        <v>23</v>
      </c>
      <c r="C115" s="46" t="s">
        <v>38</v>
      </c>
      <c r="D115" s="7" t="s">
        <v>27</v>
      </c>
      <c r="E115" s="7" t="s">
        <v>1076</v>
      </c>
      <c r="F115" s="7" t="s">
        <v>1077</v>
      </c>
      <c r="G115" s="46" t="s">
        <v>904</v>
      </c>
      <c r="H115" s="101">
        <v>1212</v>
      </c>
      <c r="I115" s="46" t="s">
        <v>905</v>
      </c>
      <c r="J115" s="6">
        <v>46035</v>
      </c>
      <c r="K115" s="7" t="s">
        <v>966</v>
      </c>
      <c r="L115" s="7" t="s">
        <v>915</v>
      </c>
      <c r="M115" s="46" t="s">
        <v>967</v>
      </c>
      <c r="N115" s="46" t="s">
        <v>63</v>
      </c>
      <c r="O115" s="46" t="s">
        <v>921</v>
      </c>
      <c r="P115" s="6">
        <v>45756</v>
      </c>
      <c r="Q115" s="102">
        <v>5</v>
      </c>
      <c r="R115" s="102">
        <v>5</v>
      </c>
      <c r="S115" s="7">
        <v>85</v>
      </c>
    </row>
    <row r="116" s="98" customFormat="1" ht="16.5" hidden="1" spans="1:19">
      <c r="A116" s="46">
        <v>114</v>
      </c>
      <c r="B116" s="46" t="s">
        <v>23</v>
      </c>
      <c r="C116" s="46" t="s">
        <v>38</v>
      </c>
      <c r="D116" s="7" t="s">
        <v>27</v>
      </c>
      <c r="E116" s="7" t="s">
        <v>1076</v>
      </c>
      <c r="F116" s="7" t="s">
        <v>1077</v>
      </c>
      <c r="G116" s="46" t="s">
        <v>904</v>
      </c>
      <c r="H116" s="101">
        <v>1212</v>
      </c>
      <c r="I116" s="46" t="s">
        <v>905</v>
      </c>
      <c r="J116" s="6">
        <v>46035</v>
      </c>
      <c r="K116" s="7" t="s">
        <v>968</v>
      </c>
      <c r="L116" s="7" t="s">
        <v>915</v>
      </c>
      <c r="M116" s="46" t="s">
        <v>969</v>
      </c>
      <c r="N116" s="46" t="s">
        <v>63</v>
      </c>
      <c r="O116" s="46" t="s">
        <v>921</v>
      </c>
      <c r="P116" s="6">
        <v>45702</v>
      </c>
      <c r="Q116" s="102">
        <v>3.75</v>
      </c>
      <c r="R116" s="102">
        <v>4.4</v>
      </c>
      <c r="S116" s="7">
        <v>100</v>
      </c>
    </row>
    <row r="117" s="98" customFormat="1" ht="16.5" hidden="1" spans="1:19">
      <c r="A117" s="46">
        <v>115</v>
      </c>
      <c r="B117" s="46" t="s">
        <v>23</v>
      </c>
      <c r="C117" s="46" t="s">
        <v>38</v>
      </c>
      <c r="D117" s="7" t="s">
        <v>27</v>
      </c>
      <c r="E117" s="7" t="s">
        <v>1076</v>
      </c>
      <c r="F117" s="7" t="s">
        <v>1077</v>
      </c>
      <c r="G117" s="46" t="s">
        <v>904</v>
      </c>
      <c r="H117" s="101">
        <v>1212</v>
      </c>
      <c r="I117" s="46" t="s">
        <v>905</v>
      </c>
      <c r="J117" s="6">
        <v>46035</v>
      </c>
      <c r="K117" s="7" t="s">
        <v>972</v>
      </c>
      <c r="L117" s="7" t="s">
        <v>907</v>
      </c>
      <c r="M117" s="46" t="s">
        <v>973</v>
      </c>
      <c r="N117" s="46" t="s">
        <v>75</v>
      </c>
      <c r="O117" s="46" t="s">
        <v>909</v>
      </c>
      <c r="P117" s="6">
        <v>45855</v>
      </c>
      <c r="Q117" s="102">
        <v>0</v>
      </c>
      <c r="R117" s="102">
        <v>0</v>
      </c>
      <c r="S117" s="7">
        <v>0</v>
      </c>
    </row>
    <row r="118" s="98" customFormat="1" ht="16.5" hidden="1" spans="1:19">
      <c r="A118" s="46">
        <v>116</v>
      </c>
      <c r="B118" s="46" t="s">
        <v>23</v>
      </c>
      <c r="C118" s="46" t="s">
        <v>38</v>
      </c>
      <c r="D118" s="7" t="s">
        <v>27</v>
      </c>
      <c r="E118" s="7" t="s">
        <v>1076</v>
      </c>
      <c r="F118" s="7" t="s">
        <v>1077</v>
      </c>
      <c r="G118" s="46" t="s">
        <v>904</v>
      </c>
      <c r="H118" s="101">
        <v>1212</v>
      </c>
      <c r="I118" s="46" t="s">
        <v>905</v>
      </c>
      <c r="J118" s="6">
        <v>46035</v>
      </c>
      <c r="K118" s="7" t="s">
        <v>974</v>
      </c>
      <c r="L118" s="7" t="s">
        <v>907</v>
      </c>
      <c r="M118" s="46" t="s">
        <v>975</v>
      </c>
      <c r="N118" s="46" t="s">
        <v>75</v>
      </c>
      <c r="O118" s="46" t="s">
        <v>921</v>
      </c>
      <c r="P118" s="6">
        <v>45768</v>
      </c>
      <c r="Q118" s="102">
        <v>0</v>
      </c>
      <c r="R118" s="102">
        <v>0</v>
      </c>
      <c r="S118" s="7">
        <v>0</v>
      </c>
    </row>
    <row r="119" s="98" customFormat="1" ht="16.5" hidden="1" spans="1:19">
      <c r="A119" s="46">
        <v>117</v>
      </c>
      <c r="B119" s="46" t="s">
        <v>23</v>
      </c>
      <c r="C119" s="46" t="s">
        <v>29</v>
      </c>
      <c r="D119" s="7" t="s">
        <v>27</v>
      </c>
      <c r="E119" s="7" t="s">
        <v>1076</v>
      </c>
      <c r="F119" s="7" t="s">
        <v>1077</v>
      </c>
      <c r="G119" s="46" t="s">
        <v>904</v>
      </c>
      <c r="H119" s="101">
        <v>1212</v>
      </c>
      <c r="I119" s="46" t="s">
        <v>905</v>
      </c>
      <c r="J119" s="6">
        <v>46035</v>
      </c>
      <c r="K119" s="7" t="s">
        <v>976</v>
      </c>
      <c r="L119" s="7" t="s">
        <v>915</v>
      </c>
      <c r="M119" s="46" t="s">
        <v>977</v>
      </c>
      <c r="N119" s="46" t="s">
        <v>130</v>
      </c>
      <c r="O119" s="46" t="s">
        <v>909</v>
      </c>
      <c r="P119" s="6">
        <v>45870</v>
      </c>
      <c r="Q119" s="102">
        <v>5</v>
      </c>
      <c r="R119" s="102">
        <v>5</v>
      </c>
      <c r="S119" s="7">
        <v>80</v>
      </c>
    </row>
    <row r="120" s="98" customFormat="1" ht="16.5" hidden="1" spans="1:19">
      <c r="A120" s="46">
        <v>118</v>
      </c>
      <c r="B120" s="46" t="s">
        <v>23</v>
      </c>
      <c r="C120" s="46" t="s">
        <v>36</v>
      </c>
      <c r="D120" s="7" t="s">
        <v>27</v>
      </c>
      <c r="E120" s="7" t="s">
        <v>1076</v>
      </c>
      <c r="F120" s="7" t="s">
        <v>1077</v>
      </c>
      <c r="G120" s="46" t="s">
        <v>904</v>
      </c>
      <c r="H120" s="101">
        <v>1212</v>
      </c>
      <c r="I120" s="46" t="s">
        <v>905</v>
      </c>
      <c r="J120" s="6">
        <v>46035</v>
      </c>
      <c r="K120" s="7" t="s">
        <v>978</v>
      </c>
      <c r="L120" s="7" t="s">
        <v>915</v>
      </c>
      <c r="M120" s="46" t="s">
        <v>979</v>
      </c>
      <c r="N120" s="46" t="s">
        <v>173</v>
      </c>
      <c r="O120" s="46" t="s">
        <v>909</v>
      </c>
      <c r="P120" s="6">
        <v>45844</v>
      </c>
      <c r="Q120" s="102">
        <v>5</v>
      </c>
      <c r="R120" s="102">
        <v>5</v>
      </c>
      <c r="S120" s="7">
        <v>60</v>
      </c>
    </row>
    <row r="121" s="98" customFormat="1" ht="16.5" hidden="1" spans="1:19">
      <c r="A121" s="46">
        <v>119</v>
      </c>
      <c r="B121" s="46" t="s">
        <v>23</v>
      </c>
      <c r="C121" s="46" t="s">
        <v>36</v>
      </c>
      <c r="D121" s="7" t="s">
        <v>27</v>
      </c>
      <c r="E121" s="7" t="s">
        <v>1076</v>
      </c>
      <c r="F121" s="7" t="s">
        <v>1077</v>
      </c>
      <c r="G121" s="46" t="s">
        <v>904</v>
      </c>
      <c r="H121" s="101">
        <v>1212</v>
      </c>
      <c r="I121" s="46" t="s">
        <v>905</v>
      </c>
      <c r="J121" s="6">
        <v>46035</v>
      </c>
      <c r="K121" s="7" t="s">
        <v>980</v>
      </c>
      <c r="L121" s="7" t="s">
        <v>915</v>
      </c>
      <c r="M121" s="46" t="s">
        <v>981</v>
      </c>
      <c r="N121" s="46" t="s">
        <v>173</v>
      </c>
      <c r="O121" s="46" t="s">
        <v>909</v>
      </c>
      <c r="P121" s="6">
        <v>45833</v>
      </c>
      <c r="Q121" s="102">
        <v>5</v>
      </c>
      <c r="R121" s="102">
        <v>5</v>
      </c>
      <c r="S121" s="7">
        <v>100</v>
      </c>
    </row>
    <row r="122" s="98" customFormat="1" ht="16.5" hidden="1" spans="1:19">
      <c r="A122" s="46">
        <v>120</v>
      </c>
      <c r="B122" s="46" t="s">
        <v>23</v>
      </c>
      <c r="C122" s="46" t="s">
        <v>36</v>
      </c>
      <c r="D122" s="7" t="s">
        <v>27</v>
      </c>
      <c r="E122" s="7" t="s">
        <v>1076</v>
      </c>
      <c r="F122" s="7" t="s">
        <v>1077</v>
      </c>
      <c r="G122" s="46" t="s">
        <v>904</v>
      </c>
      <c r="H122" s="101">
        <v>1212</v>
      </c>
      <c r="I122" s="46" t="s">
        <v>905</v>
      </c>
      <c r="J122" s="6">
        <v>46035</v>
      </c>
      <c r="K122" s="7" t="s">
        <v>982</v>
      </c>
      <c r="L122" s="7" t="s">
        <v>915</v>
      </c>
      <c r="M122" s="46" t="s">
        <v>983</v>
      </c>
      <c r="N122" s="46" t="s">
        <v>173</v>
      </c>
      <c r="O122" s="46" t="s">
        <v>921</v>
      </c>
      <c r="P122" s="6">
        <v>45810</v>
      </c>
      <c r="Q122" s="102">
        <v>5</v>
      </c>
      <c r="R122" s="102">
        <v>5</v>
      </c>
      <c r="S122" s="7">
        <v>80</v>
      </c>
    </row>
    <row r="123" s="98" customFormat="1" ht="16.5" hidden="1" spans="1:19">
      <c r="A123" s="46">
        <v>121</v>
      </c>
      <c r="B123" s="46" t="s">
        <v>23</v>
      </c>
      <c r="C123" s="46" t="s">
        <v>38</v>
      </c>
      <c r="D123" s="7" t="s">
        <v>27</v>
      </c>
      <c r="E123" s="7" t="s">
        <v>1076</v>
      </c>
      <c r="F123" s="7" t="s">
        <v>1077</v>
      </c>
      <c r="G123" s="46" t="s">
        <v>904</v>
      </c>
      <c r="H123" s="101">
        <v>1212</v>
      </c>
      <c r="I123" s="46" t="s">
        <v>905</v>
      </c>
      <c r="J123" s="6">
        <v>46035</v>
      </c>
      <c r="K123" s="7" t="s">
        <v>984</v>
      </c>
      <c r="L123" s="7" t="s">
        <v>915</v>
      </c>
      <c r="M123" s="46" t="s">
        <v>985</v>
      </c>
      <c r="N123" s="46" t="s">
        <v>75</v>
      </c>
      <c r="O123" s="46" t="s">
        <v>909</v>
      </c>
      <c r="P123" s="6">
        <v>45812</v>
      </c>
      <c r="Q123" s="102">
        <v>5</v>
      </c>
      <c r="R123" s="102">
        <v>5</v>
      </c>
      <c r="S123" s="7">
        <v>80</v>
      </c>
    </row>
    <row r="124" s="98" customFormat="1" ht="16.5" hidden="1" spans="1:19">
      <c r="A124" s="46">
        <v>122</v>
      </c>
      <c r="B124" s="46" t="s">
        <v>23</v>
      </c>
      <c r="C124" s="46" t="s">
        <v>35</v>
      </c>
      <c r="D124" s="7" t="s">
        <v>27</v>
      </c>
      <c r="E124" s="7" t="s">
        <v>1076</v>
      </c>
      <c r="F124" s="7" t="s">
        <v>1077</v>
      </c>
      <c r="G124" s="46" t="s">
        <v>904</v>
      </c>
      <c r="H124" s="101">
        <v>1212</v>
      </c>
      <c r="I124" s="46" t="s">
        <v>905</v>
      </c>
      <c r="J124" s="6">
        <v>46035</v>
      </c>
      <c r="K124" s="7" t="s">
        <v>986</v>
      </c>
      <c r="L124" s="7" t="s">
        <v>915</v>
      </c>
      <c r="M124" s="46" t="s">
        <v>987</v>
      </c>
      <c r="N124" s="46" t="s">
        <v>125</v>
      </c>
      <c r="O124" s="46" t="s">
        <v>909</v>
      </c>
      <c r="P124" s="6">
        <v>45876</v>
      </c>
      <c r="Q124" s="102">
        <v>5</v>
      </c>
      <c r="R124" s="102">
        <v>5</v>
      </c>
      <c r="S124" s="7">
        <v>100</v>
      </c>
    </row>
    <row r="125" s="98" customFormat="1" ht="16.5" hidden="1" spans="1:19">
      <c r="A125" s="46">
        <v>123</v>
      </c>
      <c r="B125" s="46" t="s">
        <v>23</v>
      </c>
      <c r="C125" s="46" t="s">
        <v>38</v>
      </c>
      <c r="D125" s="7" t="s">
        <v>27</v>
      </c>
      <c r="E125" s="7" t="s">
        <v>1076</v>
      </c>
      <c r="F125" s="7" t="s">
        <v>1077</v>
      </c>
      <c r="G125" s="46" t="s">
        <v>904</v>
      </c>
      <c r="H125" s="101">
        <v>1212</v>
      </c>
      <c r="I125" s="46" t="s">
        <v>905</v>
      </c>
      <c r="J125" s="6">
        <v>46035</v>
      </c>
      <c r="K125" s="7" t="s">
        <v>988</v>
      </c>
      <c r="L125" s="7" t="s">
        <v>915</v>
      </c>
      <c r="M125" s="46" t="s">
        <v>989</v>
      </c>
      <c r="N125" s="46" t="s">
        <v>75</v>
      </c>
      <c r="O125" s="46" t="s">
        <v>921</v>
      </c>
      <c r="P125" s="6">
        <v>45665</v>
      </c>
      <c r="Q125" s="102">
        <v>5</v>
      </c>
      <c r="R125" s="102">
        <v>5</v>
      </c>
      <c r="S125" s="7">
        <v>80</v>
      </c>
    </row>
    <row r="126" s="98" customFormat="1" ht="16.5" hidden="1" spans="1:19">
      <c r="A126" s="46">
        <v>124</v>
      </c>
      <c r="B126" s="46" t="s">
        <v>23</v>
      </c>
      <c r="C126" s="46" t="s">
        <v>38</v>
      </c>
      <c r="D126" s="7" t="s">
        <v>27</v>
      </c>
      <c r="E126" s="7" t="s">
        <v>1076</v>
      </c>
      <c r="F126" s="7" t="s">
        <v>1077</v>
      </c>
      <c r="G126" s="46" t="s">
        <v>904</v>
      </c>
      <c r="H126" s="101">
        <v>1212</v>
      </c>
      <c r="I126" s="46" t="s">
        <v>905</v>
      </c>
      <c r="J126" s="6">
        <v>46035</v>
      </c>
      <c r="K126" s="7" t="s">
        <v>990</v>
      </c>
      <c r="L126" s="7" t="s">
        <v>907</v>
      </c>
      <c r="M126" s="46" t="s">
        <v>991</v>
      </c>
      <c r="N126" s="46" t="s">
        <v>168</v>
      </c>
      <c r="O126" s="46" t="s">
        <v>921</v>
      </c>
      <c r="P126" s="6">
        <v>45754</v>
      </c>
      <c r="Q126" s="102">
        <v>0</v>
      </c>
      <c r="R126" s="102">
        <v>0</v>
      </c>
      <c r="S126" s="7">
        <v>0</v>
      </c>
    </row>
    <row r="127" s="98" customFormat="1" ht="16.5" hidden="1" spans="1:19">
      <c r="A127" s="46">
        <v>125</v>
      </c>
      <c r="B127" s="46" t="s">
        <v>23</v>
      </c>
      <c r="C127" s="46" t="s">
        <v>38</v>
      </c>
      <c r="D127" s="7" t="s">
        <v>27</v>
      </c>
      <c r="E127" s="7" t="s">
        <v>1076</v>
      </c>
      <c r="F127" s="7" t="s">
        <v>1077</v>
      </c>
      <c r="G127" s="46" t="s">
        <v>904</v>
      </c>
      <c r="H127" s="101">
        <v>1212</v>
      </c>
      <c r="I127" s="46" t="s">
        <v>905</v>
      </c>
      <c r="J127" s="6">
        <v>46035</v>
      </c>
      <c r="K127" s="7" t="s">
        <v>992</v>
      </c>
      <c r="L127" s="7" t="s">
        <v>907</v>
      </c>
      <c r="M127" s="46" t="s">
        <v>993</v>
      </c>
      <c r="N127" s="46" t="s">
        <v>168</v>
      </c>
      <c r="O127" s="46" t="s">
        <v>921</v>
      </c>
      <c r="P127" s="6">
        <v>45738</v>
      </c>
      <c r="Q127" s="102">
        <v>0</v>
      </c>
      <c r="R127" s="102">
        <v>0</v>
      </c>
      <c r="S127" s="7">
        <v>0</v>
      </c>
    </row>
    <row r="128" s="98" customFormat="1" ht="16.5" hidden="1" spans="1:19">
      <c r="A128" s="46">
        <v>126</v>
      </c>
      <c r="B128" s="46" t="s">
        <v>23</v>
      </c>
      <c r="C128" s="46" t="s">
        <v>33</v>
      </c>
      <c r="D128" s="7" t="s">
        <v>27</v>
      </c>
      <c r="E128" s="7" t="s">
        <v>1076</v>
      </c>
      <c r="F128" s="7" t="s">
        <v>1077</v>
      </c>
      <c r="G128" s="46" t="s">
        <v>904</v>
      </c>
      <c r="H128" s="101">
        <v>1212</v>
      </c>
      <c r="I128" s="46" t="s">
        <v>905</v>
      </c>
      <c r="J128" s="6">
        <v>46035</v>
      </c>
      <c r="K128" s="7" t="s">
        <v>1078</v>
      </c>
      <c r="L128" s="7" t="s">
        <v>915</v>
      </c>
      <c r="M128" s="46" t="s">
        <v>1079</v>
      </c>
      <c r="N128" s="46" t="s">
        <v>537</v>
      </c>
      <c r="O128" s="46" t="s">
        <v>921</v>
      </c>
      <c r="P128" s="6">
        <v>45929</v>
      </c>
      <c r="Q128" s="102">
        <v>5</v>
      </c>
      <c r="R128" s="102">
        <v>5</v>
      </c>
      <c r="S128" s="7">
        <v>80</v>
      </c>
    </row>
    <row r="129" s="98" customFormat="1" ht="16.5" hidden="1" spans="1:19">
      <c r="A129" s="46">
        <v>127</v>
      </c>
      <c r="B129" s="46" t="s">
        <v>23</v>
      </c>
      <c r="C129" s="46" t="s">
        <v>38</v>
      </c>
      <c r="D129" s="7" t="s">
        <v>27</v>
      </c>
      <c r="E129" s="7" t="s">
        <v>1076</v>
      </c>
      <c r="F129" s="7" t="s">
        <v>1077</v>
      </c>
      <c r="G129" s="46" t="s">
        <v>904</v>
      </c>
      <c r="H129" s="101">
        <v>1212</v>
      </c>
      <c r="I129" s="46" t="s">
        <v>905</v>
      </c>
      <c r="J129" s="6">
        <v>46035</v>
      </c>
      <c r="K129" s="7" t="s">
        <v>994</v>
      </c>
      <c r="L129" s="7" t="s">
        <v>907</v>
      </c>
      <c r="M129" s="46" t="s">
        <v>995</v>
      </c>
      <c r="N129" s="46" t="s">
        <v>70</v>
      </c>
      <c r="O129" s="46" t="s">
        <v>921</v>
      </c>
      <c r="P129" s="6">
        <v>45790</v>
      </c>
      <c r="Q129" s="102">
        <v>0</v>
      </c>
      <c r="R129" s="102">
        <v>0</v>
      </c>
      <c r="S129" s="7">
        <v>0</v>
      </c>
    </row>
    <row r="130" s="98" customFormat="1" ht="16.5" hidden="1" spans="1:19">
      <c r="A130" s="46">
        <v>128</v>
      </c>
      <c r="B130" s="46" t="s">
        <v>23</v>
      </c>
      <c r="C130" s="46" t="s">
        <v>38</v>
      </c>
      <c r="D130" s="7" t="s">
        <v>27</v>
      </c>
      <c r="E130" s="7" t="s">
        <v>1076</v>
      </c>
      <c r="F130" s="7" t="s">
        <v>1077</v>
      </c>
      <c r="G130" s="46" t="s">
        <v>904</v>
      </c>
      <c r="H130" s="101">
        <v>1212</v>
      </c>
      <c r="I130" s="46" t="s">
        <v>905</v>
      </c>
      <c r="J130" s="6">
        <v>46035</v>
      </c>
      <c r="K130" s="7" t="s">
        <v>996</v>
      </c>
      <c r="L130" s="7" t="s">
        <v>907</v>
      </c>
      <c r="M130" s="46" t="s">
        <v>997</v>
      </c>
      <c r="N130" s="46" t="s">
        <v>70</v>
      </c>
      <c r="O130" s="46" t="s">
        <v>921</v>
      </c>
      <c r="P130" s="6">
        <v>45437</v>
      </c>
      <c r="Q130" s="102">
        <v>0</v>
      </c>
      <c r="R130" s="102">
        <v>0</v>
      </c>
      <c r="S130" s="7">
        <v>0</v>
      </c>
    </row>
    <row r="131" s="98" customFormat="1" ht="16.5" hidden="1" spans="1:19">
      <c r="A131" s="46">
        <v>129</v>
      </c>
      <c r="B131" s="46" t="s">
        <v>23</v>
      </c>
      <c r="C131" s="46" t="s">
        <v>38</v>
      </c>
      <c r="D131" s="7" t="s">
        <v>27</v>
      </c>
      <c r="E131" s="7" t="s">
        <v>1076</v>
      </c>
      <c r="F131" s="7" t="s">
        <v>1077</v>
      </c>
      <c r="G131" s="46" t="s">
        <v>904</v>
      </c>
      <c r="H131" s="101">
        <v>1212</v>
      </c>
      <c r="I131" s="46" t="s">
        <v>905</v>
      </c>
      <c r="J131" s="6">
        <v>46035</v>
      </c>
      <c r="K131" s="7" t="s">
        <v>998</v>
      </c>
      <c r="L131" s="7" t="s">
        <v>907</v>
      </c>
      <c r="M131" s="46" t="s">
        <v>999</v>
      </c>
      <c r="N131" s="46" t="s">
        <v>220</v>
      </c>
      <c r="O131" s="46" t="s">
        <v>909</v>
      </c>
      <c r="P131" s="6">
        <v>45827</v>
      </c>
      <c r="Q131" s="102">
        <v>0</v>
      </c>
      <c r="R131" s="102">
        <v>0</v>
      </c>
      <c r="S131" s="7">
        <v>0</v>
      </c>
    </row>
    <row r="132" s="98" customFormat="1" ht="16.5" hidden="1" spans="1:19">
      <c r="A132" s="46">
        <v>130</v>
      </c>
      <c r="B132" s="46" t="s">
        <v>23</v>
      </c>
      <c r="C132" s="46" t="s">
        <v>26</v>
      </c>
      <c r="D132" s="7" t="s">
        <v>27</v>
      </c>
      <c r="E132" s="7" t="s">
        <v>1076</v>
      </c>
      <c r="F132" s="7" t="s">
        <v>1077</v>
      </c>
      <c r="G132" s="46" t="s">
        <v>904</v>
      </c>
      <c r="H132" s="101">
        <v>1212</v>
      </c>
      <c r="I132" s="46" t="s">
        <v>905</v>
      </c>
      <c r="J132" s="6">
        <v>46035</v>
      </c>
      <c r="K132" s="7" t="s">
        <v>1000</v>
      </c>
      <c r="L132" s="7" t="s">
        <v>915</v>
      </c>
      <c r="M132" s="46" t="s">
        <v>1001</v>
      </c>
      <c r="N132" s="46" t="s">
        <v>121</v>
      </c>
      <c r="O132" s="46" t="s">
        <v>909</v>
      </c>
      <c r="P132" s="6">
        <v>45856</v>
      </c>
      <c r="Q132" s="102">
        <v>5</v>
      </c>
      <c r="R132" s="102">
        <v>5</v>
      </c>
      <c r="S132" s="7">
        <v>80</v>
      </c>
    </row>
    <row r="133" s="98" customFormat="1" ht="16.5" hidden="1" spans="1:19">
      <c r="A133" s="46">
        <v>131</v>
      </c>
      <c r="B133" s="46" t="s">
        <v>23</v>
      </c>
      <c r="C133" s="46" t="s">
        <v>26</v>
      </c>
      <c r="D133" s="7" t="s">
        <v>27</v>
      </c>
      <c r="E133" s="7" t="s">
        <v>1076</v>
      </c>
      <c r="F133" s="7" t="s">
        <v>1077</v>
      </c>
      <c r="G133" s="46" t="s">
        <v>904</v>
      </c>
      <c r="H133" s="101">
        <v>1212</v>
      </c>
      <c r="I133" s="46" t="s">
        <v>905</v>
      </c>
      <c r="J133" s="6">
        <v>46035</v>
      </c>
      <c r="K133" s="7" t="s">
        <v>1002</v>
      </c>
      <c r="L133" s="7" t="s">
        <v>915</v>
      </c>
      <c r="M133" s="46" t="s">
        <v>1003</v>
      </c>
      <c r="N133" s="46" t="s">
        <v>121</v>
      </c>
      <c r="O133" s="46" t="s">
        <v>909</v>
      </c>
      <c r="P133" s="6">
        <v>45853</v>
      </c>
      <c r="Q133" s="102">
        <v>5</v>
      </c>
      <c r="R133" s="102">
        <v>5</v>
      </c>
      <c r="S133" s="7">
        <v>80</v>
      </c>
    </row>
    <row r="134" s="98" customFormat="1" ht="16.5" hidden="1" spans="1:19">
      <c r="A134" s="46">
        <v>132</v>
      </c>
      <c r="B134" s="46" t="s">
        <v>23</v>
      </c>
      <c r="C134" s="46" t="s">
        <v>38</v>
      </c>
      <c r="D134" s="7" t="s">
        <v>27</v>
      </c>
      <c r="E134" s="7" t="s">
        <v>1076</v>
      </c>
      <c r="F134" s="7" t="s">
        <v>1077</v>
      </c>
      <c r="G134" s="46" t="s">
        <v>904</v>
      </c>
      <c r="H134" s="101">
        <v>1212</v>
      </c>
      <c r="I134" s="46" t="s">
        <v>905</v>
      </c>
      <c r="J134" s="6">
        <v>46035</v>
      </c>
      <c r="K134" s="7" t="s">
        <v>1004</v>
      </c>
      <c r="L134" s="7" t="s">
        <v>915</v>
      </c>
      <c r="M134" s="46" t="s">
        <v>1005</v>
      </c>
      <c r="N134" s="46" t="s">
        <v>70</v>
      </c>
      <c r="O134" s="46" t="s">
        <v>909</v>
      </c>
      <c r="P134" s="6">
        <v>45879</v>
      </c>
      <c r="Q134" s="102">
        <v>5</v>
      </c>
      <c r="R134" s="102">
        <v>5</v>
      </c>
      <c r="S134" s="7">
        <v>80</v>
      </c>
    </row>
    <row r="135" s="98" customFormat="1" ht="16.5" hidden="1" spans="1:19">
      <c r="A135" s="46">
        <v>133</v>
      </c>
      <c r="B135" s="46" t="s">
        <v>23</v>
      </c>
      <c r="C135" s="46" t="s">
        <v>31</v>
      </c>
      <c r="D135" s="7" t="s">
        <v>27</v>
      </c>
      <c r="E135" s="7" t="s">
        <v>1076</v>
      </c>
      <c r="F135" s="7" t="s">
        <v>1077</v>
      </c>
      <c r="G135" s="46" t="s">
        <v>904</v>
      </c>
      <c r="H135" s="101">
        <v>1212</v>
      </c>
      <c r="I135" s="46" t="s">
        <v>905</v>
      </c>
      <c r="J135" s="6">
        <v>46035</v>
      </c>
      <c r="K135" s="7" t="s">
        <v>1006</v>
      </c>
      <c r="L135" s="7" t="s">
        <v>907</v>
      </c>
      <c r="M135" s="46" t="s">
        <v>1007</v>
      </c>
      <c r="N135" s="46" t="s">
        <v>79</v>
      </c>
      <c r="O135" s="46" t="s">
        <v>909</v>
      </c>
      <c r="P135" s="6">
        <v>45821</v>
      </c>
      <c r="Q135" s="102">
        <v>0</v>
      </c>
      <c r="R135" s="102">
        <v>0</v>
      </c>
      <c r="S135" s="7">
        <v>0</v>
      </c>
    </row>
    <row r="136" s="98" customFormat="1" ht="16.5" hidden="1" spans="1:19">
      <c r="A136" s="46">
        <v>134</v>
      </c>
      <c r="B136" s="46" t="s">
        <v>23</v>
      </c>
      <c r="C136" s="46" t="s">
        <v>35</v>
      </c>
      <c r="D136" s="7" t="s">
        <v>27</v>
      </c>
      <c r="E136" s="7" t="s">
        <v>1076</v>
      </c>
      <c r="F136" s="7" t="s">
        <v>1077</v>
      </c>
      <c r="G136" s="46" t="s">
        <v>904</v>
      </c>
      <c r="H136" s="101">
        <v>1212</v>
      </c>
      <c r="I136" s="46" t="s">
        <v>905</v>
      </c>
      <c r="J136" s="6">
        <v>46035</v>
      </c>
      <c r="K136" s="7" t="s">
        <v>1008</v>
      </c>
      <c r="L136" s="7" t="s">
        <v>915</v>
      </c>
      <c r="M136" s="46" t="s">
        <v>1009</v>
      </c>
      <c r="N136" s="46" t="s">
        <v>125</v>
      </c>
      <c r="O136" s="46" t="s">
        <v>909</v>
      </c>
      <c r="P136" s="6">
        <v>45866</v>
      </c>
      <c r="Q136" s="102">
        <v>5</v>
      </c>
      <c r="R136" s="102">
        <v>5</v>
      </c>
      <c r="S136" s="7">
        <v>100</v>
      </c>
    </row>
    <row r="137" s="98" customFormat="1" ht="16.5" hidden="1" spans="1:19">
      <c r="A137" s="46">
        <v>135</v>
      </c>
      <c r="B137" s="46" t="s">
        <v>23</v>
      </c>
      <c r="C137" s="46" t="s">
        <v>32</v>
      </c>
      <c r="D137" s="7" t="s">
        <v>27</v>
      </c>
      <c r="E137" s="7" t="s">
        <v>1076</v>
      </c>
      <c r="F137" s="7" t="s">
        <v>1077</v>
      </c>
      <c r="G137" s="46" t="s">
        <v>904</v>
      </c>
      <c r="H137" s="101">
        <v>1212</v>
      </c>
      <c r="I137" s="46" t="s">
        <v>905</v>
      </c>
      <c r="J137" s="6">
        <v>46035</v>
      </c>
      <c r="K137" s="7" t="s">
        <v>1010</v>
      </c>
      <c r="L137" s="7" t="s">
        <v>915</v>
      </c>
      <c r="M137" s="46" t="s">
        <v>1011</v>
      </c>
      <c r="N137" s="46" t="s">
        <v>105</v>
      </c>
      <c r="O137" s="46" t="s">
        <v>909</v>
      </c>
      <c r="P137" s="6">
        <v>45816</v>
      </c>
      <c r="Q137" s="102">
        <v>0</v>
      </c>
      <c r="R137" s="102">
        <v>0</v>
      </c>
      <c r="S137" s="7">
        <v>0</v>
      </c>
    </row>
    <row r="138" s="98" customFormat="1" ht="16.5" hidden="1" spans="1:19">
      <c r="A138" s="46">
        <v>136</v>
      </c>
      <c r="B138" s="46" t="s">
        <v>23</v>
      </c>
      <c r="C138" s="46" t="s">
        <v>35</v>
      </c>
      <c r="D138" s="7" t="s">
        <v>27</v>
      </c>
      <c r="E138" s="7" t="s">
        <v>1076</v>
      </c>
      <c r="F138" s="7" t="s">
        <v>1077</v>
      </c>
      <c r="G138" s="46" t="s">
        <v>904</v>
      </c>
      <c r="H138" s="101">
        <v>1212</v>
      </c>
      <c r="I138" s="46" t="s">
        <v>905</v>
      </c>
      <c r="J138" s="6">
        <v>46035</v>
      </c>
      <c r="K138" s="7" t="s">
        <v>1012</v>
      </c>
      <c r="L138" s="7" t="s">
        <v>915</v>
      </c>
      <c r="M138" s="46" t="s">
        <v>1013</v>
      </c>
      <c r="N138" s="46" t="s">
        <v>125</v>
      </c>
      <c r="O138" s="46" t="s">
        <v>909</v>
      </c>
      <c r="P138" s="6">
        <v>45833</v>
      </c>
      <c r="Q138" s="102">
        <v>5</v>
      </c>
      <c r="R138" s="102">
        <v>5</v>
      </c>
      <c r="S138" s="7">
        <v>100</v>
      </c>
    </row>
    <row r="139" s="98" customFormat="1" ht="16.5" hidden="1" spans="1:19">
      <c r="A139" s="46">
        <v>137</v>
      </c>
      <c r="B139" s="46" t="s">
        <v>23</v>
      </c>
      <c r="C139" s="46" t="s">
        <v>35</v>
      </c>
      <c r="D139" s="7" t="s">
        <v>27</v>
      </c>
      <c r="E139" s="7" t="s">
        <v>1076</v>
      </c>
      <c r="F139" s="7" t="s">
        <v>1077</v>
      </c>
      <c r="G139" s="46" t="s">
        <v>904</v>
      </c>
      <c r="H139" s="101">
        <v>1212</v>
      </c>
      <c r="I139" s="46" t="s">
        <v>905</v>
      </c>
      <c r="J139" s="6">
        <v>46035</v>
      </c>
      <c r="K139" s="7" t="s">
        <v>1014</v>
      </c>
      <c r="L139" s="7" t="s">
        <v>915</v>
      </c>
      <c r="M139" s="46" t="s">
        <v>1015</v>
      </c>
      <c r="N139" s="46" t="s">
        <v>125</v>
      </c>
      <c r="O139" s="46" t="s">
        <v>909</v>
      </c>
      <c r="P139" s="6">
        <v>45817</v>
      </c>
      <c r="Q139" s="102">
        <v>5</v>
      </c>
      <c r="R139" s="102">
        <v>5</v>
      </c>
      <c r="S139" s="7">
        <v>100</v>
      </c>
    </row>
    <row r="140" s="98" customFormat="1" ht="16.5" hidden="1" spans="1:19">
      <c r="A140" s="46">
        <v>138</v>
      </c>
      <c r="B140" s="46" t="s">
        <v>23</v>
      </c>
      <c r="C140" s="46" t="s">
        <v>38</v>
      </c>
      <c r="D140" s="7" t="s">
        <v>27</v>
      </c>
      <c r="E140" s="7" t="s">
        <v>1076</v>
      </c>
      <c r="F140" s="7" t="s">
        <v>1077</v>
      </c>
      <c r="G140" s="46" t="s">
        <v>904</v>
      </c>
      <c r="H140" s="101">
        <v>1212</v>
      </c>
      <c r="I140" s="46" t="s">
        <v>905</v>
      </c>
      <c r="J140" s="6">
        <v>46035</v>
      </c>
      <c r="K140" s="7" t="s">
        <v>1016</v>
      </c>
      <c r="L140" s="7" t="s">
        <v>907</v>
      </c>
      <c r="M140" s="46" t="s">
        <v>1017</v>
      </c>
      <c r="N140" s="46" t="s">
        <v>70</v>
      </c>
      <c r="O140" s="46" t="s">
        <v>921</v>
      </c>
      <c r="P140" s="6">
        <v>45699</v>
      </c>
      <c r="Q140" s="102">
        <v>0</v>
      </c>
      <c r="R140" s="102">
        <v>0</v>
      </c>
      <c r="S140" s="7">
        <v>0</v>
      </c>
    </row>
    <row r="141" s="98" customFormat="1" ht="16.5" hidden="1" spans="1:19">
      <c r="A141" s="46">
        <v>139</v>
      </c>
      <c r="B141" s="46" t="s">
        <v>23</v>
      </c>
      <c r="C141" s="46" t="s">
        <v>35</v>
      </c>
      <c r="D141" s="7" t="s">
        <v>27</v>
      </c>
      <c r="E141" s="7" t="s">
        <v>1076</v>
      </c>
      <c r="F141" s="7" t="s">
        <v>1077</v>
      </c>
      <c r="G141" s="46" t="s">
        <v>904</v>
      </c>
      <c r="H141" s="101">
        <v>1212</v>
      </c>
      <c r="I141" s="46" t="s">
        <v>905</v>
      </c>
      <c r="J141" s="6">
        <v>46035</v>
      </c>
      <c r="K141" s="7" t="s">
        <v>1018</v>
      </c>
      <c r="L141" s="7" t="s">
        <v>915</v>
      </c>
      <c r="M141" s="46" t="s">
        <v>1019</v>
      </c>
      <c r="N141" s="46" t="s">
        <v>125</v>
      </c>
      <c r="O141" s="46" t="s">
        <v>909</v>
      </c>
      <c r="P141" s="6">
        <v>45856</v>
      </c>
      <c r="Q141" s="102">
        <v>0</v>
      </c>
      <c r="R141" s="102">
        <v>0</v>
      </c>
      <c r="S141" s="7">
        <v>80</v>
      </c>
    </row>
    <row r="142" s="98" customFormat="1" ht="16.5" hidden="1" spans="1:19">
      <c r="A142" s="46">
        <v>140</v>
      </c>
      <c r="B142" s="46" t="s">
        <v>23</v>
      </c>
      <c r="C142" s="46" t="s">
        <v>38</v>
      </c>
      <c r="D142" s="7" t="s">
        <v>27</v>
      </c>
      <c r="E142" s="7" t="s">
        <v>1076</v>
      </c>
      <c r="F142" s="7" t="s">
        <v>1077</v>
      </c>
      <c r="G142" s="46" t="s">
        <v>904</v>
      </c>
      <c r="H142" s="101">
        <v>1212</v>
      </c>
      <c r="I142" s="46" t="s">
        <v>905</v>
      </c>
      <c r="J142" s="6">
        <v>46035</v>
      </c>
      <c r="K142" s="7" t="s">
        <v>1020</v>
      </c>
      <c r="L142" s="7" t="s">
        <v>907</v>
      </c>
      <c r="M142" s="46" t="s">
        <v>1021</v>
      </c>
      <c r="N142" s="46" t="s">
        <v>148</v>
      </c>
      <c r="O142" s="46" t="s">
        <v>909</v>
      </c>
      <c r="P142" s="6">
        <v>45844</v>
      </c>
      <c r="Q142" s="102">
        <v>0</v>
      </c>
      <c r="R142" s="102">
        <v>0</v>
      </c>
      <c r="S142" s="7">
        <v>0</v>
      </c>
    </row>
    <row r="143" s="98" customFormat="1" ht="16.5" hidden="1" spans="1:19">
      <c r="A143" s="46">
        <v>141</v>
      </c>
      <c r="B143" s="46" t="s">
        <v>23</v>
      </c>
      <c r="C143" s="46" t="s">
        <v>38</v>
      </c>
      <c r="D143" s="7" t="s">
        <v>27</v>
      </c>
      <c r="E143" s="7" t="s">
        <v>1076</v>
      </c>
      <c r="F143" s="7" t="s">
        <v>1077</v>
      </c>
      <c r="G143" s="46" t="s">
        <v>904</v>
      </c>
      <c r="H143" s="101">
        <v>1212</v>
      </c>
      <c r="I143" s="46" t="s">
        <v>905</v>
      </c>
      <c r="J143" s="6">
        <v>46035</v>
      </c>
      <c r="K143" s="7" t="s">
        <v>1022</v>
      </c>
      <c r="L143" s="7" t="s">
        <v>907</v>
      </c>
      <c r="M143" s="46" t="s">
        <v>1023</v>
      </c>
      <c r="N143" s="46" t="s">
        <v>168</v>
      </c>
      <c r="O143" s="46" t="s">
        <v>909</v>
      </c>
      <c r="P143" s="6">
        <v>45844</v>
      </c>
      <c r="Q143" s="102">
        <v>0</v>
      </c>
      <c r="R143" s="102">
        <v>0</v>
      </c>
      <c r="S143" s="7">
        <v>0</v>
      </c>
    </row>
    <row r="144" s="98" customFormat="1" ht="16.5" hidden="1" spans="1:19">
      <c r="A144" s="46">
        <v>142</v>
      </c>
      <c r="B144" s="46" t="s">
        <v>23</v>
      </c>
      <c r="C144" s="46" t="s">
        <v>38</v>
      </c>
      <c r="D144" s="7" t="s">
        <v>27</v>
      </c>
      <c r="E144" s="7" t="s">
        <v>1076</v>
      </c>
      <c r="F144" s="7" t="s">
        <v>1077</v>
      </c>
      <c r="G144" s="46" t="s">
        <v>904</v>
      </c>
      <c r="H144" s="101">
        <v>1212</v>
      </c>
      <c r="I144" s="46" t="s">
        <v>905</v>
      </c>
      <c r="J144" s="6">
        <v>46035</v>
      </c>
      <c r="K144" s="7" t="s">
        <v>1026</v>
      </c>
      <c r="L144" s="7" t="s">
        <v>907</v>
      </c>
      <c r="M144" s="46" t="s">
        <v>1027</v>
      </c>
      <c r="N144" s="46" t="s">
        <v>63</v>
      </c>
      <c r="O144" s="46" t="s">
        <v>909</v>
      </c>
      <c r="P144" s="6">
        <v>45845</v>
      </c>
      <c r="Q144" s="102">
        <v>0</v>
      </c>
      <c r="R144" s="102">
        <v>0</v>
      </c>
      <c r="S144" s="7">
        <v>0</v>
      </c>
    </row>
    <row r="145" s="98" customFormat="1" ht="16.5" hidden="1" spans="1:19">
      <c r="A145" s="46">
        <v>143</v>
      </c>
      <c r="B145" s="46" t="s">
        <v>23</v>
      </c>
      <c r="C145" s="46" t="s">
        <v>37</v>
      </c>
      <c r="D145" s="7" t="s">
        <v>27</v>
      </c>
      <c r="E145" s="7" t="s">
        <v>1076</v>
      </c>
      <c r="F145" s="7" t="s">
        <v>1077</v>
      </c>
      <c r="G145" s="46" t="s">
        <v>904</v>
      </c>
      <c r="H145" s="101">
        <v>1212</v>
      </c>
      <c r="I145" s="46" t="s">
        <v>905</v>
      </c>
      <c r="J145" s="6">
        <v>46035</v>
      </c>
      <c r="K145" s="7" t="s">
        <v>1028</v>
      </c>
      <c r="L145" s="7" t="s">
        <v>915</v>
      </c>
      <c r="M145" s="46" t="s">
        <v>1029</v>
      </c>
      <c r="N145" s="46" t="s">
        <v>109</v>
      </c>
      <c r="O145" s="46" t="s">
        <v>909</v>
      </c>
      <c r="P145" s="6">
        <v>45730</v>
      </c>
      <c r="Q145" s="102">
        <v>5</v>
      </c>
      <c r="R145" s="102">
        <v>5</v>
      </c>
      <c r="S145" s="7">
        <v>100</v>
      </c>
    </row>
    <row r="146" s="98" customFormat="1" ht="16.5" hidden="1" spans="1:19">
      <c r="A146" s="46">
        <v>144</v>
      </c>
      <c r="B146" s="46" t="s">
        <v>23</v>
      </c>
      <c r="C146" s="46" t="s">
        <v>31</v>
      </c>
      <c r="D146" s="7" t="s">
        <v>27</v>
      </c>
      <c r="E146" s="7" t="s">
        <v>1076</v>
      </c>
      <c r="F146" s="7" t="s">
        <v>1077</v>
      </c>
      <c r="G146" s="46" t="s">
        <v>904</v>
      </c>
      <c r="H146" s="101">
        <v>1212</v>
      </c>
      <c r="I146" s="46" t="s">
        <v>905</v>
      </c>
      <c r="J146" s="6">
        <v>46035</v>
      </c>
      <c r="K146" s="7" t="s">
        <v>1030</v>
      </c>
      <c r="L146" s="7" t="s">
        <v>907</v>
      </c>
      <c r="M146" s="46" t="s">
        <v>1031</v>
      </c>
      <c r="N146" s="46" t="s">
        <v>79</v>
      </c>
      <c r="O146" s="46" t="s">
        <v>909</v>
      </c>
      <c r="P146" s="6">
        <v>45615</v>
      </c>
      <c r="Q146" s="102">
        <v>0</v>
      </c>
      <c r="R146" s="102">
        <v>0</v>
      </c>
      <c r="S146" s="7">
        <v>0</v>
      </c>
    </row>
    <row r="147" s="98" customFormat="1" ht="16.5" hidden="1" spans="1:19">
      <c r="A147" s="46">
        <v>145</v>
      </c>
      <c r="B147" s="46" t="s">
        <v>23</v>
      </c>
      <c r="C147" s="46" t="s">
        <v>38</v>
      </c>
      <c r="D147" s="7" t="s">
        <v>27</v>
      </c>
      <c r="E147" s="7" t="s">
        <v>1076</v>
      </c>
      <c r="F147" s="7" t="s">
        <v>1077</v>
      </c>
      <c r="G147" s="46" t="s">
        <v>904</v>
      </c>
      <c r="H147" s="101">
        <v>1212</v>
      </c>
      <c r="I147" s="46" t="s">
        <v>905</v>
      </c>
      <c r="J147" s="6">
        <v>46035</v>
      </c>
      <c r="K147" s="7" t="s">
        <v>1032</v>
      </c>
      <c r="L147" s="7" t="s">
        <v>907</v>
      </c>
      <c r="M147" s="46" t="s">
        <v>1033</v>
      </c>
      <c r="N147" s="46" t="s">
        <v>63</v>
      </c>
      <c r="O147" s="46" t="s">
        <v>909</v>
      </c>
      <c r="P147" s="6">
        <v>45814</v>
      </c>
      <c r="Q147" s="102">
        <v>0</v>
      </c>
      <c r="R147" s="102">
        <v>0</v>
      </c>
      <c r="S147" s="7">
        <v>0</v>
      </c>
    </row>
    <row r="148" s="98" customFormat="1" ht="16.5" hidden="1" spans="1:19">
      <c r="A148" s="46">
        <v>146</v>
      </c>
      <c r="B148" s="46" t="s">
        <v>23</v>
      </c>
      <c r="C148" s="46" t="s">
        <v>38</v>
      </c>
      <c r="D148" s="7" t="s">
        <v>27</v>
      </c>
      <c r="E148" s="7" t="s">
        <v>1076</v>
      </c>
      <c r="F148" s="7" t="s">
        <v>1077</v>
      </c>
      <c r="G148" s="46" t="s">
        <v>904</v>
      </c>
      <c r="H148" s="101">
        <v>1212</v>
      </c>
      <c r="I148" s="46" t="s">
        <v>905</v>
      </c>
      <c r="J148" s="6">
        <v>46035</v>
      </c>
      <c r="K148" s="7" t="s">
        <v>1036</v>
      </c>
      <c r="L148" s="7" t="s">
        <v>907</v>
      </c>
      <c r="M148" s="46" t="s">
        <v>1037</v>
      </c>
      <c r="N148" s="46" t="s">
        <v>70</v>
      </c>
      <c r="O148" s="46" t="s">
        <v>909</v>
      </c>
      <c r="P148" s="6">
        <v>45838</v>
      </c>
      <c r="Q148" s="102">
        <v>0</v>
      </c>
      <c r="R148" s="102">
        <v>0</v>
      </c>
      <c r="S148" s="7">
        <v>0</v>
      </c>
    </row>
    <row r="149" s="98" customFormat="1" ht="16.5" hidden="1" spans="1:19">
      <c r="A149" s="46">
        <v>147</v>
      </c>
      <c r="B149" s="46" t="s">
        <v>23</v>
      </c>
      <c r="C149" s="46" t="s">
        <v>35</v>
      </c>
      <c r="D149" s="7" t="s">
        <v>27</v>
      </c>
      <c r="E149" s="7" t="s">
        <v>1076</v>
      </c>
      <c r="F149" s="7" t="s">
        <v>1077</v>
      </c>
      <c r="G149" s="46" t="s">
        <v>904</v>
      </c>
      <c r="H149" s="101">
        <v>1212</v>
      </c>
      <c r="I149" s="46" t="s">
        <v>905</v>
      </c>
      <c r="J149" s="6">
        <v>46035</v>
      </c>
      <c r="K149" s="7" t="s">
        <v>1038</v>
      </c>
      <c r="L149" s="7" t="s">
        <v>915</v>
      </c>
      <c r="M149" s="46" t="s">
        <v>1039</v>
      </c>
      <c r="N149" s="46" t="s">
        <v>125</v>
      </c>
      <c r="O149" s="46" t="s">
        <v>921</v>
      </c>
      <c r="P149" s="6">
        <v>44961</v>
      </c>
      <c r="Q149" s="102">
        <v>5</v>
      </c>
      <c r="R149" s="102">
        <v>5</v>
      </c>
      <c r="S149" s="7">
        <v>100</v>
      </c>
    </row>
    <row r="150" s="98" customFormat="1" ht="16.5" hidden="1" spans="1:19">
      <c r="A150" s="46">
        <v>148</v>
      </c>
      <c r="B150" s="46" t="s">
        <v>23</v>
      </c>
      <c r="C150" s="46" t="s">
        <v>38</v>
      </c>
      <c r="D150" s="7" t="s">
        <v>27</v>
      </c>
      <c r="E150" s="7" t="s">
        <v>1076</v>
      </c>
      <c r="F150" s="7" t="s">
        <v>1077</v>
      </c>
      <c r="G150" s="46" t="s">
        <v>904</v>
      </c>
      <c r="H150" s="101">
        <v>1212</v>
      </c>
      <c r="I150" s="46" t="s">
        <v>905</v>
      </c>
      <c r="J150" s="6">
        <v>46035</v>
      </c>
      <c r="K150" s="7" t="s">
        <v>1040</v>
      </c>
      <c r="L150" s="7" t="s">
        <v>907</v>
      </c>
      <c r="M150" s="46" t="s">
        <v>1041</v>
      </c>
      <c r="N150" s="46" t="s">
        <v>168</v>
      </c>
      <c r="O150" s="46" t="s">
        <v>909</v>
      </c>
      <c r="P150" s="6">
        <v>45883</v>
      </c>
      <c r="Q150" s="102">
        <v>0</v>
      </c>
      <c r="R150" s="102">
        <v>0</v>
      </c>
      <c r="S150" s="7">
        <v>0</v>
      </c>
    </row>
    <row r="151" s="98" customFormat="1" ht="16.5" hidden="1" spans="1:19">
      <c r="A151" s="46">
        <v>149</v>
      </c>
      <c r="B151" s="46" t="s">
        <v>23</v>
      </c>
      <c r="C151" s="46" t="s">
        <v>38</v>
      </c>
      <c r="D151" s="7" t="s">
        <v>27</v>
      </c>
      <c r="E151" s="7" t="s">
        <v>1076</v>
      </c>
      <c r="F151" s="7" t="s">
        <v>1077</v>
      </c>
      <c r="G151" s="46" t="s">
        <v>904</v>
      </c>
      <c r="H151" s="101">
        <v>1212</v>
      </c>
      <c r="I151" s="46" t="s">
        <v>905</v>
      </c>
      <c r="J151" s="6">
        <v>46035</v>
      </c>
      <c r="K151" s="7" t="s">
        <v>1042</v>
      </c>
      <c r="L151" s="7" t="s">
        <v>907</v>
      </c>
      <c r="M151" s="46" t="s">
        <v>1043</v>
      </c>
      <c r="N151" s="46" t="s">
        <v>168</v>
      </c>
      <c r="O151" s="46" t="s">
        <v>909</v>
      </c>
      <c r="P151" s="6">
        <v>45864</v>
      </c>
      <c r="Q151" s="102">
        <v>0</v>
      </c>
      <c r="R151" s="102">
        <v>0</v>
      </c>
      <c r="S151" s="7">
        <v>0</v>
      </c>
    </row>
    <row r="152" s="98" customFormat="1" ht="16.5" hidden="1" spans="1:19">
      <c r="A152" s="46">
        <v>150</v>
      </c>
      <c r="B152" s="46" t="s">
        <v>23</v>
      </c>
      <c r="C152" s="46" t="s">
        <v>38</v>
      </c>
      <c r="D152" s="7" t="s">
        <v>27</v>
      </c>
      <c r="E152" s="7" t="s">
        <v>1076</v>
      </c>
      <c r="F152" s="7" t="s">
        <v>1077</v>
      </c>
      <c r="G152" s="46" t="s">
        <v>904</v>
      </c>
      <c r="H152" s="101">
        <v>1212</v>
      </c>
      <c r="I152" s="46" t="s">
        <v>905</v>
      </c>
      <c r="J152" s="6">
        <v>46035</v>
      </c>
      <c r="K152" s="7" t="s">
        <v>1044</v>
      </c>
      <c r="L152" s="7" t="s">
        <v>907</v>
      </c>
      <c r="M152" s="46" t="s">
        <v>1045</v>
      </c>
      <c r="N152" s="46" t="s">
        <v>148</v>
      </c>
      <c r="O152" s="46" t="s">
        <v>909</v>
      </c>
      <c r="P152" s="6">
        <v>45881</v>
      </c>
      <c r="Q152" s="102">
        <v>0</v>
      </c>
      <c r="R152" s="102">
        <v>0</v>
      </c>
      <c r="S152" s="7">
        <v>0</v>
      </c>
    </row>
    <row r="153" s="98" customFormat="1" ht="16.5" hidden="1" spans="1:19">
      <c r="A153" s="46">
        <v>151</v>
      </c>
      <c r="B153" s="46" t="s">
        <v>23</v>
      </c>
      <c r="C153" s="46" t="s">
        <v>38</v>
      </c>
      <c r="D153" s="7" t="s">
        <v>27</v>
      </c>
      <c r="E153" s="7" t="s">
        <v>1076</v>
      </c>
      <c r="F153" s="7" t="s">
        <v>1077</v>
      </c>
      <c r="G153" s="46" t="s">
        <v>904</v>
      </c>
      <c r="H153" s="101">
        <v>1212</v>
      </c>
      <c r="I153" s="46" t="s">
        <v>905</v>
      </c>
      <c r="J153" s="6">
        <v>46035</v>
      </c>
      <c r="K153" s="7" t="s">
        <v>1046</v>
      </c>
      <c r="L153" s="7" t="s">
        <v>907</v>
      </c>
      <c r="M153" s="46" t="s">
        <v>1047</v>
      </c>
      <c r="N153" s="46" t="s">
        <v>148</v>
      </c>
      <c r="O153" s="46" t="s">
        <v>909</v>
      </c>
      <c r="P153" s="6">
        <v>45815</v>
      </c>
      <c r="Q153" s="102">
        <v>0</v>
      </c>
      <c r="R153" s="102">
        <v>0</v>
      </c>
      <c r="S153" s="7">
        <v>0</v>
      </c>
    </row>
    <row r="154" s="98" customFormat="1" ht="16.5" hidden="1" spans="1:19">
      <c r="A154" s="46">
        <v>152</v>
      </c>
      <c r="B154" s="46" t="s">
        <v>23</v>
      </c>
      <c r="C154" s="46" t="s">
        <v>38</v>
      </c>
      <c r="D154" s="7" t="s">
        <v>27</v>
      </c>
      <c r="E154" s="7" t="s">
        <v>1076</v>
      </c>
      <c r="F154" s="7" t="s">
        <v>1077</v>
      </c>
      <c r="G154" s="46" t="s">
        <v>904</v>
      </c>
      <c r="H154" s="101">
        <v>1212</v>
      </c>
      <c r="I154" s="46" t="s">
        <v>905</v>
      </c>
      <c r="J154" s="6">
        <v>46035</v>
      </c>
      <c r="K154" s="7" t="s">
        <v>1048</v>
      </c>
      <c r="L154" s="7" t="s">
        <v>907</v>
      </c>
      <c r="M154" s="46" t="s">
        <v>1049</v>
      </c>
      <c r="N154" s="46" t="s">
        <v>63</v>
      </c>
      <c r="O154" s="46" t="s">
        <v>909</v>
      </c>
      <c r="P154" s="6">
        <v>45882</v>
      </c>
      <c r="Q154" s="102">
        <v>0</v>
      </c>
      <c r="R154" s="102">
        <v>0</v>
      </c>
      <c r="S154" s="7">
        <v>0</v>
      </c>
    </row>
    <row r="155" s="98" customFormat="1" ht="16.5" hidden="1" spans="1:19">
      <c r="A155" s="46">
        <v>153</v>
      </c>
      <c r="B155" s="46" t="s">
        <v>23</v>
      </c>
      <c r="C155" s="46" t="s">
        <v>32</v>
      </c>
      <c r="D155" s="7" t="s">
        <v>27</v>
      </c>
      <c r="E155" s="7" t="s">
        <v>1076</v>
      </c>
      <c r="F155" s="7" t="s">
        <v>1077</v>
      </c>
      <c r="G155" s="46" t="s">
        <v>904</v>
      </c>
      <c r="H155" s="101">
        <v>1212</v>
      </c>
      <c r="I155" s="46" t="s">
        <v>905</v>
      </c>
      <c r="J155" s="6">
        <v>46035</v>
      </c>
      <c r="K155" s="7" t="s">
        <v>1050</v>
      </c>
      <c r="L155" s="7" t="s">
        <v>915</v>
      </c>
      <c r="M155" s="46" t="s">
        <v>1051</v>
      </c>
      <c r="N155" s="46" t="s">
        <v>105</v>
      </c>
      <c r="O155" s="46" t="s">
        <v>921</v>
      </c>
      <c r="P155" s="6">
        <v>45746</v>
      </c>
      <c r="Q155" s="102">
        <v>5</v>
      </c>
      <c r="R155" s="102">
        <v>5</v>
      </c>
      <c r="S155" s="7">
        <v>100</v>
      </c>
    </row>
    <row r="156" s="98" customFormat="1" ht="16.5" hidden="1" spans="1:19">
      <c r="A156" s="46">
        <v>154</v>
      </c>
      <c r="B156" s="46" t="s">
        <v>23</v>
      </c>
      <c r="C156" s="46" t="s">
        <v>38</v>
      </c>
      <c r="D156" s="7" t="s">
        <v>27</v>
      </c>
      <c r="E156" s="7" t="s">
        <v>1076</v>
      </c>
      <c r="F156" s="7" t="s">
        <v>1077</v>
      </c>
      <c r="G156" s="46" t="s">
        <v>904</v>
      </c>
      <c r="H156" s="101">
        <v>1212</v>
      </c>
      <c r="I156" s="46" t="s">
        <v>905</v>
      </c>
      <c r="J156" s="6">
        <v>46035</v>
      </c>
      <c r="K156" s="7" t="s">
        <v>1052</v>
      </c>
      <c r="L156" s="7" t="s">
        <v>907</v>
      </c>
      <c r="M156" s="46" t="s">
        <v>1053</v>
      </c>
      <c r="N156" s="46" t="s">
        <v>63</v>
      </c>
      <c r="O156" s="46" t="s">
        <v>909</v>
      </c>
      <c r="P156" s="6">
        <v>45855</v>
      </c>
      <c r="Q156" s="102">
        <v>0</v>
      </c>
      <c r="R156" s="102">
        <v>0</v>
      </c>
      <c r="S156" s="7">
        <v>0</v>
      </c>
    </row>
    <row r="157" s="98" customFormat="1" ht="16.5" hidden="1" spans="1:19">
      <c r="A157" s="46">
        <v>155</v>
      </c>
      <c r="B157" s="46" t="s">
        <v>23</v>
      </c>
      <c r="C157" s="46" t="s">
        <v>29</v>
      </c>
      <c r="D157" s="7" t="s">
        <v>27</v>
      </c>
      <c r="E157" s="7" t="s">
        <v>1076</v>
      </c>
      <c r="F157" s="7" t="s">
        <v>1077</v>
      </c>
      <c r="G157" s="46" t="s">
        <v>904</v>
      </c>
      <c r="H157" s="101">
        <v>1212</v>
      </c>
      <c r="I157" s="46" t="s">
        <v>905</v>
      </c>
      <c r="J157" s="6">
        <v>46035</v>
      </c>
      <c r="K157" s="7" t="s">
        <v>1054</v>
      </c>
      <c r="L157" s="7" t="s">
        <v>915</v>
      </c>
      <c r="M157" s="46" t="s">
        <v>1055</v>
      </c>
      <c r="N157" s="46" t="s">
        <v>130</v>
      </c>
      <c r="O157" s="46" t="s">
        <v>909</v>
      </c>
      <c r="P157" s="6">
        <v>45842</v>
      </c>
      <c r="Q157" s="102">
        <v>5</v>
      </c>
      <c r="R157" s="102">
        <v>5</v>
      </c>
      <c r="S157" s="7">
        <v>90</v>
      </c>
    </row>
    <row r="158" s="98" customFormat="1" ht="16.5" hidden="1" spans="1:19">
      <c r="A158" s="46">
        <v>156</v>
      </c>
      <c r="B158" s="46" t="s">
        <v>23</v>
      </c>
      <c r="C158" s="46" t="s">
        <v>37</v>
      </c>
      <c r="D158" s="7" t="s">
        <v>27</v>
      </c>
      <c r="E158" s="7" t="s">
        <v>1076</v>
      </c>
      <c r="F158" s="7" t="s">
        <v>1077</v>
      </c>
      <c r="G158" s="46" t="s">
        <v>904</v>
      </c>
      <c r="H158" s="101">
        <v>1212</v>
      </c>
      <c r="I158" s="46" t="s">
        <v>905</v>
      </c>
      <c r="J158" s="6">
        <v>46035</v>
      </c>
      <c r="K158" s="7" t="s">
        <v>1056</v>
      </c>
      <c r="L158" s="7" t="s">
        <v>915</v>
      </c>
      <c r="M158" s="46" t="s">
        <v>1057</v>
      </c>
      <c r="N158" s="46" t="s">
        <v>152</v>
      </c>
      <c r="O158" s="46" t="s">
        <v>921</v>
      </c>
      <c r="P158" s="6">
        <v>45701</v>
      </c>
      <c r="Q158" s="102">
        <v>5</v>
      </c>
      <c r="R158" s="102">
        <v>5</v>
      </c>
      <c r="S158" s="7">
        <v>80</v>
      </c>
    </row>
    <row r="159" s="98" customFormat="1" ht="16.5" hidden="1" spans="1:19">
      <c r="A159" s="46">
        <v>157</v>
      </c>
      <c r="B159" s="46" t="s">
        <v>23</v>
      </c>
      <c r="C159" s="46" t="s">
        <v>38</v>
      </c>
      <c r="D159" s="7" t="s">
        <v>27</v>
      </c>
      <c r="E159" s="7" t="s">
        <v>1076</v>
      </c>
      <c r="F159" s="7" t="s">
        <v>1077</v>
      </c>
      <c r="G159" s="46" t="s">
        <v>904</v>
      </c>
      <c r="H159" s="101">
        <v>1212</v>
      </c>
      <c r="I159" s="46" t="s">
        <v>905</v>
      </c>
      <c r="J159" s="6">
        <v>46035</v>
      </c>
      <c r="K159" s="7" t="s">
        <v>1058</v>
      </c>
      <c r="L159" s="7" t="s">
        <v>907</v>
      </c>
      <c r="M159" s="46" t="s">
        <v>1059</v>
      </c>
      <c r="N159" s="46" t="s">
        <v>75</v>
      </c>
      <c r="O159" s="46" t="s">
        <v>909</v>
      </c>
      <c r="P159" s="6">
        <v>45841</v>
      </c>
      <c r="Q159" s="102">
        <v>0</v>
      </c>
      <c r="R159" s="102">
        <v>0</v>
      </c>
      <c r="S159" s="7">
        <v>0</v>
      </c>
    </row>
    <row r="160" s="98" customFormat="1" ht="16.5" hidden="1" spans="1:19">
      <c r="A160" s="46">
        <v>158</v>
      </c>
      <c r="B160" s="46" t="s">
        <v>23</v>
      </c>
      <c r="C160" s="46" t="s">
        <v>38</v>
      </c>
      <c r="D160" s="7" t="s">
        <v>27</v>
      </c>
      <c r="E160" s="7" t="s">
        <v>1076</v>
      </c>
      <c r="F160" s="7" t="s">
        <v>1077</v>
      </c>
      <c r="G160" s="46" t="s">
        <v>904</v>
      </c>
      <c r="H160" s="101">
        <v>1212</v>
      </c>
      <c r="I160" s="46" t="s">
        <v>905</v>
      </c>
      <c r="J160" s="6">
        <v>46035</v>
      </c>
      <c r="K160" s="7" t="s">
        <v>1060</v>
      </c>
      <c r="L160" s="7" t="s">
        <v>915</v>
      </c>
      <c r="M160" s="46" t="s">
        <v>1061</v>
      </c>
      <c r="N160" s="46" t="s">
        <v>168</v>
      </c>
      <c r="O160" s="46" t="s">
        <v>909</v>
      </c>
      <c r="P160" s="6">
        <v>45844</v>
      </c>
      <c r="Q160" s="102">
        <v>5</v>
      </c>
      <c r="R160" s="102">
        <v>5</v>
      </c>
      <c r="S160" s="7">
        <v>100</v>
      </c>
    </row>
    <row r="161" s="98" customFormat="1" ht="16.5" hidden="1" spans="1:19">
      <c r="A161" s="46">
        <v>159</v>
      </c>
      <c r="B161" s="46" t="s">
        <v>23</v>
      </c>
      <c r="C161" s="46" t="s">
        <v>38</v>
      </c>
      <c r="D161" s="7" t="s">
        <v>27</v>
      </c>
      <c r="E161" s="7" t="s">
        <v>1076</v>
      </c>
      <c r="F161" s="7" t="s">
        <v>1077</v>
      </c>
      <c r="G161" s="46" t="s">
        <v>904</v>
      </c>
      <c r="H161" s="101">
        <v>1212</v>
      </c>
      <c r="I161" s="46" t="s">
        <v>905</v>
      </c>
      <c r="J161" s="6">
        <v>46035</v>
      </c>
      <c r="K161" s="7" t="s">
        <v>1062</v>
      </c>
      <c r="L161" s="7" t="s">
        <v>915</v>
      </c>
      <c r="M161" s="46" t="s">
        <v>1063</v>
      </c>
      <c r="N161" s="46" t="s">
        <v>70</v>
      </c>
      <c r="O161" s="46" t="s">
        <v>909</v>
      </c>
      <c r="P161" s="6">
        <v>45884</v>
      </c>
      <c r="Q161" s="102">
        <v>5</v>
      </c>
      <c r="R161" s="102">
        <v>5</v>
      </c>
      <c r="S161" s="7">
        <v>80</v>
      </c>
    </row>
    <row r="162" s="98" customFormat="1" ht="16.5" hidden="1" spans="1:19">
      <c r="A162" s="46">
        <v>160</v>
      </c>
      <c r="B162" s="46" t="s">
        <v>23</v>
      </c>
      <c r="C162" s="46" t="s">
        <v>38</v>
      </c>
      <c r="D162" s="7" t="s">
        <v>27</v>
      </c>
      <c r="E162" s="7" t="s">
        <v>1076</v>
      </c>
      <c r="F162" s="7" t="s">
        <v>1077</v>
      </c>
      <c r="G162" s="46" t="s">
        <v>904</v>
      </c>
      <c r="H162" s="101">
        <v>1212</v>
      </c>
      <c r="I162" s="46" t="s">
        <v>905</v>
      </c>
      <c r="J162" s="6">
        <v>46035</v>
      </c>
      <c r="K162" s="7" t="s">
        <v>1064</v>
      </c>
      <c r="L162" s="7" t="s">
        <v>907</v>
      </c>
      <c r="M162" s="46" t="s">
        <v>1065</v>
      </c>
      <c r="N162" s="46" t="s">
        <v>70</v>
      </c>
      <c r="O162" s="46" t="s">
        <v>909</v>
      </c>
      <c r="P162" s="6">
        <v>45849</v>
      </c>
      <c r="Q162" s="102">
        <v>0</v>
      </c>
      <c r="R162" s="102">
        <v>0</v>
      </c>
      <c r="S162" s="7">
        <v>0</v>
      </c>
    </row>
    <row r="163" s="98" customFormat="1" ht="16.5" hidden="1" spans="1:19">
      <c r="A163" s="46">
        <v>161</v>
      </c>
      <c r="B163" s="46" t="s">
        <v>23</v>
      </c>
      <c r="C163" s="46" t="s">
        <v>38</v>
      </c>
      <c r="D163" s="7" t="s">
        <v>27</v>
      </c>
      <c r="E163" s="7" t="s">
        <v>1076</v>
      </c>
      <c r="F163" s="7" t="s">
        <v>1077</v>
      </c>
      <c r="G163" s="46" t="s">
        <v>904</v>
      </c>
      <c r="H163" s="101">
        <v>1212</v>
      </c>
      <c r="I163" s="46" t="s">
        <v>905</v>
      </c>
      <c r="J163" s="6">
        <v>46035</v>
      </c>
      <c r="K163" s="7" t="s">
        <v>1066</v>
      </c>
      <c r="L163" s="7" t="s">
        <v>915</v>
      </c>
      <c r="M163" s="46" t="s">
        <v>1067</v>
      </c>
      <c r="N163" s="46" t="s">
        <v>70</v>
      </c>
      <c r="O163" s="46" t="s">
        <v>909</v>
      </c>
      <c r="P163" s="6">
        <v>45844</v>
      </c>
      <c r="Q163" s="102">
        <v>5</v>
      </c>
      <c r="R163" s="102">
        <v>5</v>
      </c>
      <c r="S163" s="7">
        <v>100</v>
      </c>
    </row>
    <row r="164" s="98" customFormat="1" ht="16.5" hidden="1" spans="1:19">
      <c r="A164" s="46">
        <v>162</v>
      </c>
      <c r="B164" s="46" t="s">
        <v>23</v>
      </c>
      <c r="C164" s="46" t="s">
        <v>31</v>
      </c>
      <c r="D164" s="7" t="s">
        <v>27</v>
      </c>
      <c r="E164" s="7" t="s">
        <v>1076</v>
      </c>
      <c r="F164" s="7" t="s">
        <v>1077</v>
      </c>
      <c r="G164" s="46" t="s">
        <v>904</v>
      </c>
      <c r="H164" s="101">
        <v>1212</v>
      </c>
      <c r="I164" s="46" t="s">
        <v>905</v>
      </c>
      <c r="J164" s="6">
        <v>46035</v>
      </c>
      <c r="K164" s="7" t="s">
        <v>1068</v>
      </c>
      <c r="L164" s="7" t="s">
        <v>907</v>
      </c>
      <c r="M164" s="46" t="s">
        <v>1069</v>
      </c>
      <c r="N164" s="46" t="s">
        <v>79</v>
      </c>
      <c r="O164" s="46" t="s">
        <v>921</v>
      </c>
      <c r="P164" s="6">
        <v>45740</v>
      </c>
      <c r="Q164" s="102">
        <v>0</v>
      </c>
      <c r="R164" s="102">
        <v>0</v>
      </c>
      <c r="S164" s="7">
        <v>0</v>
      </c>
    </row>
    <row r="165" s="98" customFormat="1" ht="16.5" hidden="1" spans="1:19">
      <c r="A165" s="46">
        <v>163</v>
      </c>
      <c r="B165" s="46" t="s">
        <v>23</v>
      </c>
      <c r="C165" s="46" t="s">
        <v>38</v>
      </c>
      <c r="D165" s="7" t="s">
        <v>27</v>
      </c>
      <c r="E165" s="7" t="s">
        <v>1076</v>
      </c>
      <c r="F165" s="7" t="s">
        <v>1077</v>
      </c>
      <c r="G165" s="46" t="s">
        <v>904</v>
      </c>
      <c r="H165" s="101">
        <v>1212</v>
      </c>
      <c r="I165" s="46" t="s">
        <v>905</v>
      </c>
      <c r="J165" s="6">
        <v>46035</v>
      </c>
      <c r="K165" s="7" t="s">
        <v>1070</v>
      </c>
      <c r="L165" s="7" t="s">
        <v>915</v>
      </c>
      <c r="M165" s="46" t="s">
        <v>1071</v>
      </c>
      <c r="N165" s="46" t="s">
        <v>220</v>
      </c>
      <c r="O165" s="46" t="s">
        <v>909</v>
      </c>
      <c r="P165" s="6">
        <v>45844</v>
      </c>
      <c r="Q165" s="102">
        <v>5</v>
      </c>
      <c r="R165" s="102">
        <v>5</v>
      </c>
      <c r="S165" s="7">
        <v>100</v>
      </c>
    </row>
    <row r="166" s="98" customFormat="1" ht="16.5" hidden="1" spans="1:19">
      <c r="A166" s="46">
        <v>164</v>
      </c>
      <c r="B166" s="46" t="s">
        <v>23</v>
      </c>
      <c r="C166" s="46" t="s">
        <v>38</v>
      </c>
      <c r="D166" s="7" t="s">
        <v>27</v>
      </c>
      <c r="E166" s="7" t="s">
        <v>1076</v>
      </c>
      <c r="F166" s="7" t="s">
        <v>1077</v>
      </c>
      <c r="G166" s="46" t="s">
        <v>904</v>
      </c>
      <c r="H166" s="101">
        <v>1212</v>
      </c>
      <c r="I166" s="46" t="s">
        <v>905</v>
      </c>
      <c r="J166" s="6">
        <v>46035</v>
      </c>
      <c r="K166" s="7" t="s">
        <v>1072</v>
      </c>
      <c r="L166" s="7" t="s">
        <v>915</v>
      </c>
      <c r="M166" s="46" t="s">
        <v>1073</v>
      </c>
      <c r="N166" s="46" t="s">
        <v>220</v>
      </c>
      <c r="O166" s="46" t="s">
        <v>921</v>
      </c>
      <c r="P166" s="6">
        <v>45826</v>
      </c>
      <c r="Q166" s="102">
        <v>5</v>
      </c>
      <c r="R166" s="102">
        <v>5</v>
      </c>
      <c r="S166" s="7">
        <v>100</v>
      </c>
    </row>
    <row r="167" s="98" customFormat="1" ht="16.5" hidden="1" spans="1:19">
      <c r="A167" s="46">
        <v>165</v>
      </c>
      <c r="B167" s="46" t="s">
        <v>23</v>
      </c>
      <c r="C167" s="46" t="s">
        <v>38</v>
      </c>
      <c r="D167" s="7" t="s">
        <v>27</v>
      </c>
      <c r="E167" s="7" t="s">
        <v>1076</v>
      </c>
      <c r="F167" s="7" t="s">
        <v>1077</v>
      </c>
      <c r="G167" s="46" t="s">
        <v>904</v>
      </c>
      <c r="H167" s="101">
        <v>1212</v>
      </c>
      <c r="I167" s="46" t="s">
        <v>905</v>
      </c>
      <c r="J167" s="6">
        <v>46035</v>
      </c>
      <c r="K167" s="7" t="s">
        <v>1034</v>
      </c>
      <c r="L167" s="7" t="s">
        <v>907</v>
      </c>
      <c r="M167" s="46" t="s">
        <v>1035</v>
      </c>
      <c r="N167" s="46" t="s">
        <v>63</v>
      </c>
      <c r="O167" s="46" t="s">
        <v>921</v>
      </c>
      <c r="P167" s="6">
        <v>45790</v>
      </c>
      <c r="Q167" s="102">
        <v>5</v>
      </c>
      <c r="R167" s="102">
        <v>5</v>
      </c>
      <c r="S167" s="7">
        <v>0</v>
      </c>
    </row>
    <row r="168" s="98" customFormat="1" ht="16.5" hidden="1" spans="1:19">
      <c r="A168" s="46">
        <v>166</v>
      </c>
      <c r="B168" s="46" t="s">
        <v>23</v>
      </c>
      <c r="C168" s="46" t="s">
        <v>38</v>
      </c>
      <c r="D168" s="7" t="s">
        <v>27</v>
      </c>
      <c r="E168" s="7" t="s">
        <v>1076</v>
      </c>
      <c r="F168" s="7" t="s">
        <v>1077</v>
      </c>
      <c r="G168" s="46" t="s">
        <v>904</v>
      </c>
      <c r="H168" s="101">
        <v>1212</v>
      </c>
      <c r="I168" s="46" t="s">
        <v>905</v>
      </c>
      <c r="J168" s="6">
        <v>46035</v>
      </c>
      <c r="K168" s="7" t="s">
        <v>1024</v>
      </c>
      <c r="L168" s="7" t="s">
        <v>907</v>
      </c>
      <c r="M168" s="46" t="s">
        <v>1025</v>
      </c>
      <c r="N168" s="46" t="s">
        <v>63</v>
      </c>
      <c r="O168" s="46" t="s">
        <v>909</v>
      </c>
      <c r="P168" s="6">
        <v>45858</v>
      </c>
      <c r="Q168" s="102">
        <v>5</v>
      </c>
      <c r="R168" s="102">
        <v>5</v>
      </c>
      <c r="S168" s="7">
        <v>0</v>
      </c>
    </row>
    <row r="169" s="98" customFormat="1" ht="16.5" hidden="1" spans="1:19">
      <c r="A169" s="46">
        <v>167</v>
      </c>
      <c r="B169" s="46" t="s">
        <v>23</v>
      </c>
      <c r="C169" s="46" t="s">
        <v>38</v>
      </c>
      <c r="D169" s="7" t="s">
        <v>27</v>
      </c>
      <c r="E169" s="7" t="s">
        <v>1076</v>
      </c>
      <c r="F169" s="7" t="s">
        <v>1077</v>
      </c>
      <c r="G169" s="46" t="s">
        <v>904</v>
      </c>
      <c r="H169" s="101">
        <v>1212</v>
      </c>
      <c r="I169" s="46" t="s">
        <v>905</v>
      </c>
      <c r="J169" s="6">
        <v>46035</v>
      </c>
      <c r="K169" s="7" t="s">
        <v>970</v>
      </c>
      <c r="L169" s="7" t="s">
        <v>907</v>
      </c>
      <c r="M169" s="46" t="s">
        <v>971</v>
      </c>
      <c r="N169" s="46" t="s">
        <v>148</v>
      </c>
      <c r="O169" s="46" t="s">
        <v>909</v>
      </c>
      <c r="P169" s="6">
        <v>45800</v>
      </c>
      <c r="Q169" s="102">
        <v>0</v>
      </c>
      <c r="R169" s="102">
        <v>0</v>
      </c>
      <c r="S169" s="7">
        <v>0</v>
      </c>
    </row>
    <row r="170" s="98" customFormat="1" ht="16.5" hidden="1" spans="1:19">
      <c r="A170" s="46">
        <v>168</v>
      </c>
      <c r="B170" s="46" t="s">
        <v>23</v>
      </c>
      <c r="C170" s="46" t="s">
        <v>38</v>
      </c>
      <c r="D170" s="7" t="s">
        <v>27</v>
      </c>
      <c r="E170" s="7" t="s">
        <v>1080</v>
      </c>
      <c r="F170" s="7" t="s">
        <v>1077</v>
      </c>
      <c r="G170" s="46" t="s">
        <v>904</v>
      </c>
      <c r="H170" s="101">
        <v>1212</v>
      </c>
      <c r="I170" s="46" t="s">
        <v>905</v>
      </c>
      <c r="J170" s="6">
        <v>46035</v>
      </c>
      <c r="K170" s="7" t="s">
        <v>906</v>
      </c>
      <c r="L170" s="7" t="s">
        <v>907</v>
      </c>
      <c r="M170" s="46" t="s">
        <v>908</v>
      </c>
      <c r="N170" s="46" t="s">
        <v>63</v>
      </c>
      <c r="O170" s="46" t="s">
        <v>909</v>
      </c>
      <c r="P170" s="6">
        <v>45970</v>
      </c>
      <c r="Q170" s="102">
        <v>0</v>
      </c>
      <c r="R170" s="102">
        <v>0</v>
      </c>
      <c r="S170" s="7">
        <v>0</v>
      </c>
    </row>
    <row r="171" s="98" customFormat="1" ht="16.5" hidden="1" spans="1:19">
      <c r="A171" s="46">
        <v>169</v>
      </c>
      <c r="B171" s="46" t="s">
        <v>23</v>
      </c>
      <c r="C171" s="46" t="s">
        <v>38</v>
      </c>
      <c r="D171" s="7" t="s">
        <v>27</v>
      </c>
      <c r="E171" s="7" t="s">
        <v>1080</v>
      </c>
      <c r="F171" s="7" t="s">
        <v>1077</v>
      </c>
      <c r="G171" s="46" t="s">
        <v>904</v>
      </c>
      <c r="H171" s="101">
        <v>1212</v>
      </c>
      <c r="I171" s="46" t="s">
        <v>905</v>
      </c>
      <c r="J171" s="6">
        <v>46035</v>
      </c>
      <c r="K171" s="7" t="s">
        <v>910</v>
      </c>
      <c r="L171" s="7" t="s">
        <v>907</v>
      </c>
      <c r="M171" s="46" t="s">
        <v>911</v>
      </c>
      <c r="N171" s="46" t="s">
        <v>63</v>
      </c>
      <c r="O171" s="46" t="s">
        <v>909</v>
      </c>
      <c r="P171" s="6">
        <v>45749</v>
      </c>
      <c r="Q171" s="102">
        <v>0</v>
      </c>
      <c r="R171" s="102">
        <v>0</v>
      </c>
      <c r="S171" s="7">
        <v>0</v>
      </c>
    </row>
    <row r="172" s="98" customFormat="1" ht="16.5" hidden="1" spans="1:19">
      <c r="A172" s="46">
        <v>170</v>
      </c>
      <c r="B172" s="46" t="s">
        <v>23</v>
      </c>
      <c r="C172" s="46" t="s">
        <v>38</v>
      </c>
      <c r="D172" s="7" t="s">
        <v>27</v>
      </c>
      <c r="E172" s="7" t="s">
        <v>1080</v>
      </c>
      <c r="F172" s="7" t="s">
        <v>1077</v>
      </c>
      <c r="G172" s="46" t="s">
        <v>904</v>
      </c>
      <c r="H172" s="101">
        <v>1212</v>
      </c>
      <c r="I172" s="46" t="s">
        <v>905</v>
      </c>
      <c r="J172" s="6">
        <v>46035</v>
      </c>
      <c r="K172" s="7" t="s">
        <v>912</v>
      </c>
      <c r="L172" s="7" t="s">
        <v>907</v>
      </c>
      <c r="M172" s="46" t="s">
        <v>913</v>
      </c>
      <c r="N172" s="46" t="s">
        <v>63</v>
      </c>
      <c r="O172" s="46" t="s">
        <v>909</v>
      </c>
      <c r="P172" s="6">
        <v>45747</v>
      </c>
      <c r="Q172" s="102">
        <v>0</v>
      </c>
      <c r="R172" s="102">
        <v>0</v>
      </c>
      <c r="S172" s="7">
        <v>0</v>
      </c>
    </row>
    <row r="173" s="98" customFormat="1" ht="16.5" hidden="1" spans="1:19">
      <c r="A173" s="46">
        <v>171</v>
      </c>
      <c r="B173" s="46" t="s">
        <v>23</v>
      </c>
      <c r="C173" s="46" t="s">
        <v>38</v>
      </c>
      <c r="D173" s="7" t="s">
        <v>27</v>
      </c>
      <c r="E173" s="7" t="s">
        <v>1080</v>
      </c>
      <c r="F173" s="7" t="s">
        <v>1077</v>
      </c>
      <c r="G173" s="46" t="s">
        <v>904</v>
      </c>
      <c r="H173" s="101">
        <v>1212</v>
      </c>
      <c r="I173" s="46" t="s">
        <v>905</v>
      </c>
      <c r="J173" s="6">
        <v>46035</v>
      </c>
      <c r="K173" s="7" t="s">
        <v>914</v>
      </c>
      <c r="L173" s="7" t="s">
        <v>915</v>
      </c>
      <c r="M173" s="46" t="s">
        <v>916</v>
      </c>
      <c r="N173" s="46" t="s">
        <v>70</v>
      </c>
      <c r="O173" s="46" t="s">
        <v>909</v>
      </c>
      <c r="P173" s="6">
        <v>45905</v>
      </c>
      <c r="Q173" s="102">
        <v>5</v>
      </c>
      <c r="R173" s="102">
        <v>5</v>
      </c>
      <c r="S173" s="7">
        <v>86</v>
      </c>
    </row>
    <row r="174" s="98" customFormat="1" ht="16.5" hidden="1" spans="1:19">
      <c r="A174" s="46">
        <v>172</v>
      </c>
      <c r="B174" s="46" t="s">
        <v>23</v>
      </c>
      <c r="C174" s="46" t="s">
        <v>37</v>
      </c>
      <c r="D174" s="7" t="s">
        <v>27</v>
      </c>
      <c r="E174" s="7" t="s">
        <v>1080</v>
      </c>
      <c r="F174" s="7" t="s">
        <v>1077</v>
      </c>
      <c r="G174" s="46" t="s">
        <v>904</v>
      </c>
      <c r="H174" s="101">
        <v>1212</v>
      </c>
      <c r="I174" s="46" t="s">
        <v>905</v>
      </c>
      <c r="J174" s="6">
        <v>46035</v>
      </c>
      <c r="K174" s="7" t="s">
        <v>917</v>
      </c>
      <c r="L174" s="7" t="s">
        <v>915</v>
      </c>
      <c r="M174" s="46" t="s">
        <v>918</v>
      </c>
      <c r="N174" s="46" t="s">
        <v>109</v>
      </c>
      <c r="O174" s="46" t="s">
        <v>909</v>
      </c>
      <c r="P174" s="6">
        <v>45910</v>
      </c>
      <c r="Q174" s="102">
        <v>5</v>
      </c>
      <c r="R174" s="102">
        <v>5</v>
      </c>
      <c r="S174" s="7">
        <v>95</v>
      </c>
    </row>
    <row r="175" s="98" customFormat="1" ht="16.5" hidden="1" spans="1:19">
      <c r="A175" s="46">
        <v>173</v>
      </c>
      <c r="B175" s="46" t="s">
        <v>23</v>
      </c>
      <c r="C175" s="46" t="s">
        <v>38</v>
      </c>
      <c r="D175" s="7" t="s">
        <v>27</v>
      </c>
      <c r="E175" s="7" t="s">
        <v>1080</v>
      </c>
      <c r="F175" s="7" t="s">
        <v>1077</v>
      </c>
      <c r="G175" s="46" t="s">
        <v>904</v>
      </c>
      <c r="H175" s="101">
        <v>1212</v>
      </c>
      <c r="I175" s="46" t="s">
        <v>905</v>
      </c>
      <c r="J175" s="6">
        <v>46035</v>
      </c>
      <c r="K175" s="7" t="s">
        <v>919</v>
      </c>
      <c r="L175" s="7" t="s">
        <v>907</v>
      </c>
      <c r="M175" s="46" t="s">
        <v>920</v>
      </c>
      <c r="N175" s="46" t="s">
        <v>220</v>
      </c>
      <c r="O175" s="46" t="s">
        <v>921</v>
      </c>
      <c r="P175" s="6">
        <v>45812</v>
      </c>
      <c r="Q175" s="102">
        <v>0</v>
      </c>
      <c r="R175" s="102">
        <v>0</v>
      </c>
      <c r="S175" s="7">
        <v>0</v>
      </c>
    </row>
    <row r="176" s="98" customFormat="1" ht="16.5" hidden="1" spans="1:19">
      <c r="A176" s="46">
        <v>174</v>
      </c>
      <c r="B176" s="46" t="s">
        <v>23</v>
      </c>
      <c r="C176" s="46" t="s">
        <v>38</v>
      </c>
      <c r="D176" s="7" t="s">
        <v>27</v>
      </c>
      <c r="E176" s="7" t="s">
        <v>1080</v>
      </c>
      <c r="F176" s="7" t="s">
        <v>1077</v>
      </c>
      <c r="G176" s="46" t="s">
        <v>904</v>
      </c>
      <c r="H176" s="101">
        <v>1212</v>
      </c>
      <c r="I176" s="46" t="s">
        <v>905</v>
      </c>
      <c r="J176" s="6">
        <v>46035</v>
      </c>
      <c r="K176" s="7" t="s">
        <v>922</v>
      </c>
      <c r="L176" s="7" t="s">
        <v>907</v>
      </c>
      <c r="M176" s="46" t="s">
        <v>923</v>
      </c>
      <c r="N176" s="46" t="s">
        <v>75</v>
      </c>
      <c r="O176" s="46" t="s">
        <v>909</v>
      </c>
      <c r="P176" s="6">
        <v>45804</v>
      </c>
      <c r="Q176" s="102">
        <v>0</v>
      </c>
      <c r="R176" s="102">
        <v>0</v>
      </c>
      <c r="S176" s="7">
        <v>0</v>
      </c>
    </row>
    <row r="177" s="98" customFormat="1" ht="16.5" hidden="1" spans="1:19">
      <c r="A177" s="46">
        <v>175</v>
      </c>
      <c r="B177" s="46" t="s">
        <v>23</v>
      </c>
      <c r="C177" s="46" t="s">
        <v>38</v>
      </c>
      <c r="D177" s="7" t="s">
        <v>27</v>
      </c>
      <c r="E177" s="7" t="s">
        <v>1080</v>
      </c>
      <c r="F177" s="7" t="s">
        <v>1077</v>
      </c>
      <c r="G177" s="46" t="s">
        <v>904</v>
      </c>
      <c r="H177" s="101">
        <v>1212</v>
      </c>
      <c r="I177" s="46" t="s">
        <v>905</v>
      </c>
      <c r="J177" s="6">
        <v>46035</v>
      </c>
      <c r="K177" s="7" t="s">
        <v>924</v>
      </c>
      <c r="L177" s="7" t="s">
        <v>915</v>
      </c>
      <c r="M177" s="46" t="s">
        <v>925</v>
      </c>
      <c r="N177" s="46" t="s">
        <v>144</v>
      </c>
      <c r="O177" s="46" t="s">
        <v>909</v>
      </c>
      <c r="P177" s="6">
        <v>45864</v>
      </c>
      <c r="Q177" s="102">
        <v>5</v>
      </c>
      <c r="R177" s="102">
        <v>5</v>
      </c>
      <c r="S177" s="7">
        <v>80</v>
      </c>
    </row>
    <row r="178" s="98" customFormat="1" ht="16.5" hidden="1" spans="1:19">
      <c r="A178" s="46">
        <v>176</v>
      </c>
      <c r="B178" s="46" t="s">
        <v>23</v>
      </c>
      <c r="C178" s="46" t="s">
        <v>31</v>
      </c>
      <c r="D178" s="7" t="s">
        <v>27</v>
      </c>
      <c r="E178" s="7" t="s">
        <v>1080</v>
      </c>
      <c r="F178" s="7" t="s">
        <v>1077</v>
      </c>
      <c r="G178" s="46" t="s">
        <v>904</v>
      </c>
      <c r="H178" s="101">
        <v>1212</v>
      </c>
      <c r="I178" s="46" t="s">
        <v>905</v>
      </c>
      <c r="J178" s="6">
        <v>46035</v>
      </c>
      <c r="K178" s="7" t="s">
        <v>926</v>
      </c>
      <c r="L178" s="7" t="s">
        <v>907</v>
      </c>
      <c r="M178" s="46" t="s">
        <v>927</v>
      </c>
      <c r="N178" s="46" t="s">
        <v>79</v>
      </c>
      <c r="O178" s="46" t="s">
        <v>909</v>
      </c>
      <c r="P178" s="6">
        <v>45883</v>
      </c>
      <c r="Q178" s="102">
        <v>0</v>
      </c>
      <c r="R178" s="102">
        <v>0</v>
      </c>
      <c r="S178" s="7">
        <v>0</v>
      </c>
    </row>
    <row r="179" s="98" customFormat="1" ht="16.5" hidden="1" spans="1:19">
      <c r="A179" s="46">
        <v>177</v>
      </c>
      <c r="B179" s="46" t="s">
        <v>23</v>
      </c>
      <c r="C179" s="46" t="s">
        <v>38</v>
      </c>
      <c r="D179" s="7" t="s">
        <v>27</v>
      </c>
      <c r="E179" s="7" t="s">
        <v>1080</v>
      </c>
      <c r="F179" s="7" t="s">
        <v>1077</v>
      </c>
      <c r="G179" s="46" t="s">
        <v>904</v>
      </c>
      <c r="H179" s="101">
        <v>1212</v>
      </c>
      <c r="I179" s="46" t="s">
        <v>905</v>
      </c>
      <c r="J179" s="6">
        <v>46035</v>
      </c>
      <c r="K179" s="7" t="s">
        <v>928</v>
      </c>
      <c r="L179" s="7" t="s">
        <v>907</v>
      </c>
      <c r="M179" s="46" t="s">
        <v>929</v>
      </c>
      <c r="N179" s="46" t="s">
        <v>144</v>
      </c>
      <c r="O179" s="46" t="s">
        <v>909</v>
      </c>
      <c r="P179" s="6">
        <v>45872</v>
      </c>
      <c r="Q179" s="102">
        <v>0</v>
      </c>
      <c r="R179" s="102">
        <v>0</v>
      </c>
      <c r="S179" s="7">
        <v>0</v>
      </c>
    </row>
    <row r="180" s="98" customFormat="1" ht="16.5" hidden="1" spans="1:19">
      <c r="A180" s="46">
        <v>178</v>
      </c>
      <c r="B180" s="46" t="s">
        <v>23</v>
      </c>
      <c r="C180" s="46" t="s">
        <v>38</v>
      </c>
      <c r="D180" s="7" t="s">
        <v>27</v>
      </c>
      <c r="E180" s="7" t="s">
        <v>1080</v>
      </c>
      <c r="F180" s="7" t="s">
        <v>1077</v>
      </c>
      <c r="G180" s="46" t="s">
        <v>904</v>
      </c>
      <c r="H180" s="101">
        <v>1212</v>
      </c>
      <c r="I180" s="46" t="s">
        <v>905</v>
      </c>
      <c r="J180" s="6">
        <v>46035</v>
      </c>
      <c r="K180" s="7" t="s">
        <v>930</v>
      </c>
      <c r="L180" s="7" t="s">
        <v>907</v>
      </c>
      <c r="M180" s="46" t="s">
        <v>931</v>
      </c>
      <c r="N180" s="46" t="s">
        <v>144</v>
      </c>
      <c r="O180" s="46" t="s">
        <v>921</v>
      </c>
      <c r="P180" s="6">
        <v>45794</v>
      </c>
      <c r="Q180" s="102">
        <v>0</v>
      </c>
      <c r="R180" s="102">
        <v>0</v>
      </c>
      <c r="S180" s="7">
        <v>0</v>
      </c>
    </row>
    <row r="181" s="98" customFormat="1" ht="16.5" hidden="1" spans="1:19">
      <c r="A181" s="46">
        <v>179</v>
      </c>
      <c r="B181" s="46" t="s">
        <v>23</v>
      </c>
      <c r="C181" s="46" t="s">
        <v>37</v>
      </c>
      <c r="D181" s="7" t="s">
        <v>27</v>
      </c>
      <c r="E181" s="7" t="s">
        <v>1080</v>
      </c>
      <c r="F181" s="7" t="s">
        <v>1077</v>
      </c>
      <c r="G181" s="46" t="s">
        <v>904</v>
      </c>
      <c r="H181" s="101">
        <v>1212</v>
      </c>
      <c r="I181" s="46" t="s">
        <v>905</v>
      </c>
      <c r="J181" s="6">
        <v>46035</v>
      </c>
      <c r="K181" s="7" t="s">
        <v>932</v>
      </c>
      <c r="L181" s="7" t="s">
        <v>907</v>
      </c>
      <c r="M181" s="46" t="s">
        <v>933</v>
      </c>
      <c r="N181" s="46" t="s">
        <v>109</v>
      </c>
      <c r="O181" s="46" t="s">
        <v>909</v>
      </c>
      <c r="P181" s="6">
        <v>45881</v>
      </c>
      <c r="Q181" s="102">
        <v>0</v>
      </c>
      <c r="R181" s="102">
        <v>0</v>
      </c>
      <c r="S181" s="7">
        <v>0</v>
      </c>
    </row>
    <row r="182" s="98" customFormat="1" ht="16.5" hidden="1" spans="1:19">
      <c r="A182" s="46">
        <v>180</v>
      </c>
      <c r="B182" s="46" t="s">
        <v>23</v>
      </c>
      <c r="C182" s="46" t="s">
        <v>38</v>
      </c>
      <c r="D182" s="7" t="s">
        <v>27</v>
      </c>
      <c r="E182" s="7" t="s">
        <v>1080</v>
      </c>
      <c r="F182" s="7" t="s">
        <v>1077</v>
      </c>
      <c r="G182" s="46" t="s">
        <v>904</v>
      </c>
      <c r="H182" s="101">
        <v>1212</v>
      </c>
      <c r="I182" s="46" t="s">
        <v>905</v>
      </c>
      <c r="J182" s="6">
        <v>46035</v>
      </c>
      <c r="K182" s="7" t="s">
        <v>934</v>
      </c>
      <c r="L182" s="7" t="s">
        <v>907</v>
      </c>
      <c r="M182" s="46" t="s">
        <v>935</v>
      </c>
      <c r="N182" s="46" t="s">
        <v>144</v>
      </c>
      <c r="O182" s="46" t="s">
        <v>909</v>
      </c>
      <c r="P182" s="6">
        <v>45830</v>
      </c>
      <c r="Q182" s="102">
        <v>0</v>
      </c>
      <c r="R182" s="102">
        <v>0</v>
      </c>
      <c r="S182" s="7">
        <v>0</v>
      </c>
    </row>
    <row r="183" s="98" customFormat="1" ht="16.5" hidden="1" spans="1:19">
      <c r="A183" s="46">
        <v>181</v>
      </c>
      <c r="B183" s="46" t="s">
        <v>23</v>
      </c>
      <c r="C183" s="46" t="s">
        <v>38</v>
      </c>
      <c r="D183" s="7" t="s">
        <v>27</v>
      </c>
      <c r="E183" s="7" t="s">
        <v>1080</v>
      </c>
      <c r="F183" s="7" t="s">
        <v>1077</v>
      </c>
      <c r="G183" s="46" t="s">
        <v>904</v>
      </c>
      <c r="H183" s="101">
        <v>1212</v>
      </c>
      <c r="I183" s="46" t="s">
        <v>905</v>
      </c>
      <c r="J183" s="6">
        <v>46035</v>
      </c>
      <c r="K183" s="7" t="s">
        <v>936</v>
      </c>
      <c r="L183" s="7" t="s">
        <v>915</v>
      </c>
      <c r="M183" s="46" t="s">
        <v>937</v>
      </c>
      <c r="N183" s="46" t="s">
        <v>75</v>
      </c>
      <c r="O183" s="46" t="s">
        <v>909</v>
      </c>
      <c r="P183" s="6">
        <v>45976</v>
      </c>
      <c r="Q183" s="102">
        <v>5</v>
      </c>
      <c r="R183" s="102">
        <v>5</v>
      </c>
      <c r="S183" s="7">
        <v>69</v>
      </c>
    </row>
    <row r="184" s="98" customFormat="1" ht="16.5" hidden="1" spans="1:19">
      <c r="A184" s="46">
        <v>182</v>
      </c>
      <c r="B184" s="46" t="s">
        <v>23</v>
      </c>
      <c r="C184" s="46" t="s">
        <v>38</v>
      </c>
      <c r="D184" s="7" t="s">
        <v>27</v>
      </c>
      <c r="E184" s="7" t="s">
        <v>1080</v>
      </c>
      <c r="F184" s="7" t="s">
        <v>1077</v>
      </c>
      <c r="G184" s="46" t="s">
        <v>904</v>
      </c>
      <c r="H184" s="101">
        <v>1212</v>
      </c>
      <c r="I184" s="46" t="s">
        <v>905</v>
      </c>
      <c r="J184" s="6">
        <v>46035</v>
      </c>
      <c r="K184" s="7" t="s">
        <v>938</v>
      </c>
      <c r="L184" s="7" t="s">
        <v>915</v>
      </c>
      <c r="M184" s="46" t="s">
        <v>939</v>
      </c>
      <c r="N184" s="46" t="s">
        <v>75</v>
      </c>
      <c r="O184" s="46" t="s">
        <v>909</v>
      </c>
      <c r="P184" s="6">
        <v>45873</v>
      </c>
      <c r="Q184" s="102">
        <v>5</v>
      </c>
      <c r="R184" s="102">
        <v>5</v>
      </c>
      <c r="S184" s="7">
        <v>80</v>
      </c>
    </row>
    <row r="185" s="98" customFormat="1" ht="16.5" hidden="1" spans="1:19">
      <c r="A185" s="46">
        <v>183</v>
      </c>
      <c r="B185" s="46" t="s">
        <v>23</v>
      </c>
      <c r="C185" s="46" t="s">
        <v>38</v>
      </c>
      <c r="D185" s="7" t="s">
        <v>27</v>
      </c>
      <c r="E185" s="7" t="s">
        <v>1080</v>
      </c>
      <c r="F185" s="7" t="s">
        <v>1077</v>
      </c>
      <c r="G185" s="46" t="s">
        <v>904</v>
      </c>
      <c r="H185" s="101">
        <v>1212</v>
      </c>
      <c r="I185" s="46" t="s">
        <v>905</v>
      </c>
      <c r="J185" s="6">
        <v>46035</v>
      </c>
      <c r="K185" s="7" t="s">
        <v>940</v>
      </c>
      <c r="L185" s="7" t="s">
        <v>907</v>
      </c>
      <c r="M185" s="46" t="s">
        <v>941</v>
      </c>
      <c r="N185" s="46" t="s">
        <v>75</v>
      </c>
      <c r="O185" s="46" t="s">
        <v>909</v>
      </c>
      <c r="P185" s="6">
        <v>45836</v>
      </c>
      <c r="Q185" s="102">
        <v>0</v>
      </c>
      <c r="R185" s="102">
        <v>0</v>
      </c>
      <c r="S185" s="7">
        <v>0</v>
      </c>
    </row>
    <row r="186" s="98" customFormat="1" ht="16.5" hidden="1" spans="1:19">
      <c r="A186" s="46">
        <v>184</v>
      </c>
      <c r="B186" s="46" t="s">
        <v>23</v>
      </c>
      <c r="C186" s="46" t="s">
        <v>29</v>
      </c>
      <c r="D186" s="7" t="s">
        <v>27</v>
      </c>
      <c r="E186" s="7" t="s">
        <v>1080</v>
      </c>
      <c r="F186" s="7" t="s">
        <v>1077</v>
      </c>
      <c r="G186" s="46" t="s">
        <v>904</v>
      </c>
      <c r="H186" s="101">
        <v>1212</v>
      </c>
      <c r="I186" s="46" t="s">
        <v>905</v>
      </c>
      <c r="J186" s="6">
        <v>46035</v>
      </c>
      <c r="K186" s="7" t="s">
        <v>942</v>
      </c>
      <c r="L186" s="7" t="s">
        <v>915</v>
      </c>
      <c r="M186" s="46" t="s">
        <v>943</v>
      </c>
      <c r="N186" s="46" t="s">
        <v>130</v>
      </c>
      <c r="O186" s="46" t="s">
        <v>909</v>
      </c>
      <c r="P186" s="6">
        <v>45822</v>
      </c>
      <c r="Q186" s="102">
        <v>5</v>
      </c>
      <c r="R186" s="102">
        <v>5</v>
      </c>
      <c r="S186" s="7">
        <v>80</v>
      </c>
    </row>
    <row r="187" s="98" customFormat="1" ht="16.5" hidden="1" spans="1:19">
      <c r="A187" s="46">
        <v>185</v>
      </c>
      <c r="B187" s="46" t="s">
        <v>23</v>
      </c>
      <c r="C187" s="46" t="s">
        <v>36</v>
      </c>
      <c r="D187" s="7" t="s">
        <v>27</v>
      </c>
      <c r="E187" s="7" t="s">
        <v>1080</v>
      </c>
      <c r="F187" s="7" t="s">
        <v>1077</v>
      </c>
      <c r="G187" s="46" t="s">
        <v>904</v>
      </c>
      <c r="H187" s="101">
        <v>1212</v>
      </c>
      <c r="I187" s="46" t="s">
        <v>905</v>
      </c>
      <c r="J187" s="6">
        <v>46035</v>
      </c>
      <c r="K187" s="7" t="s">
        <v>944</v>
      </c>
      <c r="L187" s="7" t="s">
        <v>915</v>
      </c>
      <c r="M187" s="46" t="s">
        <v>945</v>
      </c>
      <c r="N187" s="46" t="s">
        <v>173</v>
      </c>
      <c r="O187" s="46" t="s">
        <v>909</v>
      </c>
      <c r="P187" s="6">
        <v>45913</v>
      </c>
      <c r="Q187" s="102">
        <v>5</v>
      </c>
      <c r="R187" s="102">
        <v>5</v>
      </c>
      <c r="S187" s="7">
        <v>80</v>
      </c>
    </row>
    <row r="188" s="98" customFormat="1" ht="16.5" hidden="1" spans="1:19">
      <c r="A188" s="46">
        <v>186</v>
      </c>
      <c r="B188" s="46" t="s">
        <v>23</v>
      </c>
      <c r="C188" s="46" t="s">
        <v>31</v>
      </c>
      <c r="D188" s="7" t="s">
        <v>27</v>
      </c>
      <c r="E188" s="7" t="s">
        <v>1080</v>
      </c>
      <c r="F188" s="7" t="s">
        <v>1077</v>
      </c>
      <c r="G188" s="46" t="s">
        <v>904</v>
      </c>
      <c r="H188" s="101">
        <v>1212</v>
      </c>
      <c r="I188" s="46" t="s">
        <v>905</v>
      </c>
      <c r="J188" s="6">
        <v>46035</v>
      </c>
      <c r="K188" s="7" t="s">
        <v>946</v>
      </c>
      <c r="L188" s="7" t="s">
        <v>907</v>
      </c>
      <c r="M188" s="46" t="s">
        <v>947</v>
      </c>
      <c r="N188" s="46" t="s">
        <v>79</v>
      </c>
      <c r="O188" s="46" t="s">
        <v>909</v>
      </c>
      <c r="P188" s="6">
        <v>45872</v>
      </c>
      <c r="Q188" s="102">
        <v>0</v>
      </c>
      <c r="R188" s="102">
        <v>0</v>
      </c>
      <c r="S188" s="7">
        <v>0</v>
      </c>
    </row>
    <row r="189" s="98" customFormat="1" ht="16.5" hidden="1" spans="1:19">
      <c r="A189" s="46">
        <v>187</v>
      </c>
      <c r="B189" s="46" t="s">
        <v>23</v>
      </c>
      <c r="C189" s="46" t="s">
        <v>36</v>
      </c>
      <c r="D189" s="7" t="s">
        <v>27</v>
      </c>
      <c r="E189" s="7" t="s">
        <v>1080</v>
      </c>
      <c r="F189" s="7" t="s">
        <v>1077</v>
      </c>
      <c r="G189" s="46" t="s">
        <v>904</v>
      </c>
      <c r="H189" s="101">
        <v>1212</v>
      </c>
      <c r="I189" s="46" t="s">
        <v>905</v>
      </c>
      <c r="J189" s="6">
        <v>46035</v>
      </c>
      <c r="K189" s="7" t="s">
        <v>948</v>
      </c>
      <c r="L189" s="7" t="s">
        <v>915</v>
      </c>
      <c r="M189" s="46" t="s">
        <v>949</v>
      </c>
      <c r="N189" s="46" t="s">
        <v>173</v>
      </c>
      <c r="O189" s="46" t="s">
        <v>909</v>
      </c>
      <c r="P189" s="6">
        <v>45876</v>
      </c>
      <c r="Q189" s="102">
        <v>5</v>
      </c>
      <c r="R189" s="102">
        <v>5</v>
      </c>
      <c r="S189" s="7">
        <v>80</v>
      </c>
    </row>
    <row r="190" s="98" customFormat="1" ht="16.5" hidden="1" spans="1:19">
      <c r="A190" s="46">
        <v>188</v>
      </c>
      <c r="B190" s="46" t="s">
        <v>23</v>
      </c>
      <c r="C190" s="46" t="s">
        <v>36</v>
      </c>
      <c r="D190" s="7" t="s">
        <v>27</v>
      </c>
      <c r="E190" s="7" t="s">
        <v>1080</v>
      </c>
      <c r="F190" s="7" t="s">
        <v>1077</v>
      </c>
      <c r="G190" s="46" t="s">
        <v>904</v>
      </c>
      <c r="H190" s="101">
        <v>1212</v>
      </c>
      <c r="I190" s="46" t="s">
        <v>905</v>
      </c>
      <c r="J190" s="6">
        <v>46035</v>
      </c>
      <c r="K190" s="7" t="s">
        <v>950</v>
      </c>
      <c r="L190" s="7" t="s">
        <v>915</v>
      </c>
      <c r="M190" s="46" t="s">
        <v>951</v>
      </c>
      <c r="N190" s="46" t="s">
        <v>173</v>
      </c>
      <c r="O190" s="46" t="s">
        <v>909</v>
      </c>
      <c r="P190" s="6">
        <v>45874</v>
      </c>
      <c r="Q190" s="102">
        <v>5</v>
      </c>
      <c r="R190" s="102">
        <v>5</v>
      </c>
      <c r="S190" s="7">
        <v>80</v>
      </c>
    </row>
    <row r="191" s="98" customFormat="1" ht="16.5" hidden="1" spans="1:19">
      <c r="A191" s="46">
        <v>189</v>
      </c>
      <c r="B191" s="46" t="s">
        <v>23</v>
      </c>
      <c r="C191" s="46" t="s">
        <v>38</v>
      </c>
      <c r="D191" s="7" t="s">
        <v>27</v>
      </c>
      <c r="E191" s="7" t="s">
        <v>1080</v>
      </c>
      <c r="F191" s="7" t="s">
        <v>1077</v>
      </c>
      <c r="G191" s="46" t="s">
        <v>904</v>
      </c>
      <c r="H191" s="101">
        <v>1212</v>
      </c>
      <c r="I191" s="46" t="s">
        <v>905</v>
      </c>
      <c r="J191" s="6">
        <v>46035</v>
      </c>
      <c r="K191" s="7" t="s">
        <v>952</v>
      </c>
      <c r="L191" s="7" t="s">
        <v>907</v>
      </c>
      <c r="M191" s="46" t="s">
        <v>953</v>
      </c>
      <c r="N191" s="46" t="s">
        <v>220</v>
      </c>
      <c r="O191" s="46" t="s">
        <v>909</v>
      </c>
      <c r="P191" s="6">
        <v>45909</v>
      </c>
      <c r="Q191" s="102">
        <v>0</v>
      </c>
      <c r="R191" s="102">
        <v>0</v>
      </c>
      <c r="S191" s="7">
        <v>0</v>
      </c>
    </row>
    <row r="192" s="98" customFormat="1" ht="16.5" hidden="1" spans="1:19">
      <c r="A192" s="46">
        <v>190</v>
      </c>
      <c r="B192" s="46" t="s">
        <v>23</v>
      </c>
      <c r="C192" s="46" t="s">
        <v>38</v>
      </c>
      <c r="D192" s="7" t="s">
        <v>27</v>
      </c>
      <c r="E192" s="7" t="s">
        <v>1080</v>
      </c>
      <c r="F192" s="7" t="s">
        <v>1077</v>
      </c>
      <c r="G192" s="46" t="s">
        <v>904</v>
      </c>
      <c r="H192" s="101">
        <v>1212</v>
      </c>
      <c r="I192" s="46" t="s">
        <v>905</v>
      </c>
      <c r="J192" s="6">
        <v>46035</v>
      </c>
      <c r="K192" s="7" t="s">
        <v>954</v>
      </c>
      <c r="L192" s="7" t="s">
        <v>907</v>
      </c>
      <c r="M192" s="46" t="s">
        <v>955</v>
      </c>
      <c r="N192" s="46" t="s">
        <v>220</v>
      </c>
      <c r="O192" s="46" t="s">
        <v>921</v>
      </c>
      <c r="P192" s="6">
        <v>45701</v>
      </c>
      <c r="Q192" s="102">
        <v>0</v>
      </c>
      <c r="R192" s="102">
        <v>0</v>
      </c>
      <c r="S192" s="7">
        <v>0</v>
      </c>
    </row>
    <row r="193" s="98" customFormat="1" ht="16.5" hidden="1" spans="1:19">
      <c r="A193" s="46">
        <v>191</v>
      </c>
      <c r="B193" s="46" t="s">
        <v>23</v>
      </c>
      <c r="C193" s="46" t="s">
        <v>38</v>
      </c>
      <c r="D193" s="7" t="s">
        <v>27</v>
      </c>
      <c r="E193" s="7" t="s">
        <v>1080</v>
      </c>
      <c r="F193" s="7" t="s">
        <v>1077</v>
      </c>
      <c r="G193" s="46" t="s">
        <v>904</v>
      </c>
      <c r="H193" s="101">
        <v>1212</v>
      </c>
      <c r="I193" s="46" t="s">
        <v>905</v>
      </c>
      <c r="J193" s="6">
        <v>46035</v>
      </c>
      <c r="K193" s="7" t="s">
        <v>956</v>
      </c>
      <c r="L193" s="7" t="s">
        <v>915</v>
      </c>
      <c r="M193" s="46" t="s">
        <v>957</v>
      </c>
      <c r="N193" s="46" t="s">
        <v>148</v>
      </c>
      <c r="O193" s="46" t="s">
        <v>909</v>
      </c>
      <c r="P193" s="6">
        <v>45861</v>
      </c>
      <c r="Q193" s="102">
        <v>5</v>
      </c>
      <c r="R193" s="102">
        <v>5</v>
      </c>
      <c r="S193" s="7">
        <v>96</v>
      </c>
    </row>
    <row r="194" s="98" customFormat="1" ht="16.5" hidden="1" spans="1:19">
      <c r="A194" s="46">
        <v>192</v>
      </c>
      <c r="B194" s="46" t="s">
        <v>23</v>
      </c>
      <c r="C194" s="46" t="s">
        <v>38</v>
      </c>
      <c r="D194" s="7" t="s">
        <v>27</v>
      </c>
      <c r="E194" s="7" t="s">
        <v>1080</v>
      </c>
      <c r="F194" s="7" t="s">
        <v>1077</v>
      </c>
      <c r="G194" s="46" t="s">
        <v>904</v>
      </c>
      <c r="H194" s="101">
        <v>1212</v>
      </c>
      <c r="I194" s="46" t="s">
        <v>905</v>
      </c>
      <c r="J194" s="6">
        <v>46035</v>
      </c>
      <c r="K194" s="7" t="s">
        <v>958</v>
      </c>
      <c r="L194" s="7" t="s">
        <v>915</v>
      </c>
      <c r="M194" s="46" t="s">
        <v>959</v>
      </c>
      <c r="N194" s="46" t="s">
        <v>148</v>
      </c>
      <c r="O194" s="46" t="s">
        <v>909</v>
      </c>
      <c r="P194" s="6">
        <v>45844</v>
      </c>
      <c r="Q194" s="102">
        <v>5</v>
      </c>
      <c r="R194" s="102">
        <v>5</v>
      </c>
      <c r="S194" s="7">
        <v>96</v>
      </c>
    </row>
    <row r="195" s="98" customFormat="1" ht="16.5" hidden="1" spans="1:19">
      <c r="A195" s="46">
        <v>193</v>
      </c>
      <c r="B195" s="46" t="s">
        <v>23</v>
      </c>
      <c r="C195" s="46" t="s">
        <v>38</v>
      </c>
      <c r="D195" s="7" t="s">
        <v>27</v>
      </c>
      <c r="E195" s="7" t="s">
        <v>1080</v>
      </c>
      <c r="F195" s="7" t="s">
        <v>1077</v>
      </c>
      <c r="G195" s="46" t="s">
        <v>904</v>
      </c>
      <c r="H195" s="101">
        <v>1212</v>
      </c>
      <c r="I195" s="46" t="s">
        <v>905</v>
      </c>
      <c r="J195" s="6">
        <v>46035</v>
      </c>
      <c r="K195" s="7" t="s">
        <v>960</v>
      </c>
      <c r="L195" s="7" t="s">
        <v>915</v>
      </c>
      <c r="M195" s="46" t="s">
        <v>961</v>
      </c>
      <c r="N195" s="46" t="s">
        <v>168</v>
      </c>
      <c r="O195" s="46" t="s">
        <v>909</v>
      </c>
      <c r="P195" s="6">
        <v>45927</v>
      </c>
      <c r="Q195" s="102">
        <v>5</v>
      </c>
      <c r="R195" s="102">
        <v>5</v>
      </c>
      <c r="S195" s="7">
        <v>86</v>
      </c>
    </row>
    <row r="196" s="98" customFormat="1" ht="16.5" hidden="1" spans="1:19">
      <c r="A196" s="46">
        <v>194</v>
      </c>
      <c r="B196" s="46" t="s">
        <v>23</v>
      </c>
      <c r="C196" s="46" t="s">
        <v>38</v>
      </c>
      <c r="D196" s="7" t="s">
        <v>27</v>
      </c>
      <c r="E196" s="7" t="s">
        <v>1080</v>
      </c>
      <c r="F196" s="7" t="s">
        <v>1077</v>
      </c>
      <c r="G196" s="46" t="s">
        <v>904</v>
      </c>
      <c r="H196" s="101">
        <v>1212</v>
      </c>
      <c r="I196" s="46" t="s">
        <v>905</v>
      </c>
      <c r="J196" s="6">
        <v>46035</v>
      </c>
      <c r="K196" s="7" t="s">
        <v>962</v>
      </c>
      <c r="L196" s="7" t="s">
        <v>907</v>
      </c>
      <c r="M196" s="46" t="s">
        <v>963</v>
      </c>
      <c r="N196" s="46" t="s">
        <v>70</v>
      </c>
      <c r="O196" s="46" t="s">
        <v>921</v>
      </c>
      <c r="P196" s="6">
        <v>45852</v>
      </c>
      <c r="Q196" s="102">
        <v>0</v>
      </c>
      <c r="R196" s="102">
        <v>0</v>
      </c>
      <c r="S196" s="7">
        <v>0</v>
      </c>
    </row>
    <row r="197" s="98" customFormat="1" ht="16.5" hidden="1" spans="1:19">
      <c r="A197" s="46">
        <v>195</v>
      </c>
      <c r="B197" s="46" t="s">
        <v>23</v>
      </c>
      <c r="C197" s="46" t="s">
        <v>38</v>
      </c>
      <c r="D197" s="7" t="s">
        <v>27</v>
      </c>
      <c r="E197" s="7" t="s">
        <v>1080</v>
      </c>
      <c r="F197" s="7" t="s">
        <v>1077</v>
      </c>
      <c r="G197" s="46" t="s">
        <v>904</v>
      </c>
      <c r="H197" s="101">
        <v>1212</v>
      </c>
      <c r="I197" s="46" t="s">
        <v>905</v>
      </c>
      <c r="J197" s="6">
        <v>46035</v>
      </c>
      <c r="K197" s="7" t="s">
        <v>964</v>
      </c>
      <c r="L197" s="7" t="s">
        <v>907</v>
      </c>
      <c r="M197" s="46" t="s">
        <v>965</v>
      </c>
      <c r="N197" s="46" t="s">
        <v>75</v>
      </c>
      <c r="O197" s="46" t="s">
        <v>909</v>
      </c>
      <c r="P197" s="6">
        <v>45738</v>
      </c>
      <c r="Q197" s="102">
        <v>0</v>
      </c>
      <c r="R197" s="102">
        <v>0</v>
      </c>
      <c r="S197" s="7">
        <v>0</v>
      </c>
    </row>
    <row r="198" s="98" customFormat="1" ht="16.5" hidden="1" spans="1:19">
      <c r="A198" s="46">
        <v>196</v>
      </c>
      <c r="B198" s="46" t="s">
        <v>23</v>
      </c>
      <c r="C198" s="46" t="s">
        <v>38</v>
      </c>
      <c r="D198" s="7" t="s">
        <v>27</v>
      </c>
      <c r="E198" s="7" t="s">
        <v>1080</v>
      </c>
      <c r="F198" s="7" t="s">
        <v>1077</v>
      </c>
      <c r="G198" s="46" t="s">
        <v>904</v>
      </c>
      <c r="H198" s="101">
        <v>1212</v>
      </c>
      <c r="I198" s="46" t="s">
        <v>905</v>
      </c>
      <c r="J198" s="6">
        <v>46035</v>
      </c>
      <c r="K198" s="7" t="s">
        <v>966</v>
      </c>
      <c r="L198" s="7" t="s">
        <v>915</v>
      </c>
      <c r="M198" s="46" t="s">
        <v>967</v>
      </c>
      <c r="N198" s="46" t="s">
        <v>63</v>
      </c>
      <c r="O198" s="46" t="s">
        <v>921</v>
      </c>
      <c r="P198" s="6">
        <v>45756</v>
      </c>
      <c r="Q198" s="102">
        <v>5</v>
      </c>
      <c r="R198" s="102">
        <v>5</v>
      </c>
      <c r="S198" s="7">
        <v>87</v>
      </c>
    </row>
    <row r="199" s="98" customFormat="1" ht="16.5" hidden="1" spans="1:19">
      <c r="A199" s="46">
        <v>197</v>
      </c>
      <c r="B199" s="46" t="s">
        <v>23</v>
      </c>
      <c r="C199" s="46" t="s">
        <v>38</v>
      </c>
      <c r="D199" s="7" t="s">
        <v>27</v>
      </c>
      <c r="E199" s="7" t="s">
        <v>1080</v>
      </c>
      <c r="F199" s="7" t="s">
        <v>1077</v>
      </c>
      <c r="G199" s="46" t="s">
        <v>904</v>
      </c>
      <c r="H199" s="101">
        <v>1212</v>
      </c>
      <c r="I199" s="46" t="s">
        <v>905</v>
      </c>
      <c r="J199" s="6">
        <v>46035</v>
      </c>
      <c r="K199" s="7" t="s">
        <v>968</v>
      </c>
      <c r="L199" s="7" t="s">
        <v>915</v>
      </c>
      <c r="M199" s="46" t="s">
        <v>969</v>
      </c>
      <c r="N199" s="46" t="s">
        <v>63</v>
      </c>
      <c r="O199" s="46" t="s">
        <v>921</v>
      </c>
      <c r="P199" s="6">
        <v>45702</v>
      </c>
      <c r="Q199" s="102">
        <v>2.25</v>
      </c>
      <c r="R199" s="102">
        <v>3.2</v>
      </c>
      <c r="S199" s="7">
        <v>87</v>
      </c>
    </row>
    <row r="200" s="98" customFormat="1" ht="16.5" hidden="1" spans="1:19">
      <c r="A200" s="46">
        <v>198</v>
      </c>
      <c r="B200" s="46" t="s">
        <v>23</v>
      </c>
      <c r="C200" s="46" t="s">
        <v>38</v>
      </c>
      <c r="D200" s="7" t="s">
        <v>27</v>
      </c>
      <c r="E200" s="7" t="s">
        <v>1080</v>
      </c>
      <c r="F200" s="7" t="s">
        <v>1077</v>
      </c>
      <c r="G200" s="46" t="s">
        <v>904</v>
      </c>
      <c r="H200" s="101">
        <v>1212</v>
      </c>
      <c r="I200" s="46" t="s">
        <v>905</v>
      </c>
      <c r="J200" s="6">
        <v>46035</v>
      </c>
      <c r="K200" s="7" t="s">
        <v>970</v>
      </c>
      <c r="L200" s="7" t="s">
        <v>915</v>
      </c>
      <c r="M200" s="46" t="s">
        <v>971</v>
      </c>
      <c r="N200" s="46" t="s">
        <v>148</v>
      </c>
      <c r="O200" s="46" t="s">
        <v>909</v>
      </c>
      <c r="P200" s="6">
        <v>45800</v>
      </c>
      <c r="Q200" s="102">
        <v>5</v>
      </c>
      <c r="R200" s="102">
        <v>5</v>
      </c>
      <c r="S200" s="7">
        <v>57</v>
      </c>
    </row>
    <row r="201" s="98" customFormat="1" ht="16.5" hidden="1" spans="1:19">
      <c r="A201" s="46">
        <v>199</v>
      </c>
      <c r="B201" s="46" t="s">
        <v>23</v>
      </c>
      <c r="C201" s="46" t="s">
        <v>38</v>
      </c>
      <c r="D201" s="7" t="s">
        <v>27</v>
      </c>
      <c r="E201" s="7" t="s">
        <v>1080</v>
      </c>
      <c r="F201" s="7" t="s">
        <v>1077</v>
      </c>
      <c r="G201" s="46" t="s">
        <v>904</v>
      </c>
      <c r="H201" s="101">
        <v>1212</v>
      </c>
      <c r="I201" s="46" t="s">
        <v>905</v>
      </c>
      <c r="J201" s="6">
        <v>46035</v>
      </c>
      <c r="K201" s="7" t="s">
        <v>972</v>
      </c>
      <c r="L201" s="7" t="s">
        <v>907</v>
      </c>
      <c r="M201" s="46" t="s">
        <v>973</v>
      </c>
      <c r="N201" s="46" t="s">
        <v>75</v>
      </c>
      <c r="O201" s="46" t="s">
        <v>909</v>
      </c>
      <c r="P201" s="6">
        <v>45855</v>
      </c>
      <c r="Q201" s="102">
        <v>0</v>
      </c>
      <c r="R201" s="102">
        <v>0</v>
      </c>
      <c r="S201" s="7">
        <v>0</v>
      </c>
    </row>
    <row r="202" s="98" customFormat="1" ht="16.5" hidden="1" spans="1:19">
      <c r="A202" s="46">
        <v>200</v>
      </c>
      <c r="B202" s="46" t="s">
        <v>23</v>
      </c>
      <c r="C202" s="46" t="s">
        <v>29</v>
      </c>
      <c r="D202" s="7" t="s">
        <v>27</v>
      </c>
      <c r="E202" s="7" t="s">
        <v>1080</v>
      </c>
      <c r="F202" s="7" t="s">
        <v>1077</v>
      </c>
      <c r="G202" s="46" t="s">
        <v>904</v>
      </c>
      <c r="H202" s="101">
        <v>1212</v>
      </c>
      <c r="I202" s="46" t="s">
        <v>905</v>
      </c>
      <c r="J202" s="6">
        <v>46035</v>
      </c>
      <c r="K202" s="7" t="s">
        <v>976</v>
      </c>
      <c r="L202" s="7" t="s">
        <v>915</v>
      </c>
      <c r="M202" s="46" t="s">
        <v>977</v>
      </c>
      <c r="N202" s="46" t="s">
        <v>130</v>
      </c>
      <c r="O202" s="46" t="s">
        <v>909</v>
      </c>
      <c r="P202" s="6">
        <v>45870</v>
      </c>
      <c r="Q202" s="102">
        <v>5</v>
      </c>
      <c r="R202" s="102">
        <v>5</v>
      </c>
      <c r="S202" s="7">
        <v>84</v>
      </c>
    </row>
    <row r="203" s="98" customFormat="1" ht="16.5" hidden="1" spans="1:19">
      <c r="A203" s="46">
        <v>201</v>
      </c>
      <c r="B203" s="46" t="s">
        <v>23</v>
      </c>
      <c r="C203" s="46" t="s">
        <v>36</v>
      </c>
      <c r="D203" s="7" t="s">
        <v>27</v>
      </c>
      <c r="E203" s="7" t="s">
        <v>1080</v>
      </c>
      <c r="F203" s="7" t="s">
        <v>1077</v>
      </c>
      <c r="G203" s="46" t="s">
        <v>904</v>
      </c>
      <c r="H203" s="101">
        <v>1212</v>
      </c>
      <c r="I203" s="46" t="s">
        <v>905</v>
      </c>
      <c r="J203" s="6">
        <v>46035</v>
      </c>
      <c r="K203" s="7" t="s">
        <v>978</v>
      </c>
      <c r="L203" s="7" t="s">
        <v>915</v>
      </c>
      <c r="M203" s="46" t="s">
        <v>979</v>
      </c>
      <c r="N203" s="46" t="s">
        <v>173</v>
      </c>
      <c r="O203" s="46" t="s">
        <v>909</v>
      </c>
      <c r="P203" s="6">
        <v>45844</v>
      </c>
      <c r="Q203" s="102">
        <v>5</v>
      </c>
      <c r="R203" s="102">
        <v>5</v>
      </c>
      <c r="S203" s="7">
        <v>56</v>
      </c>
    </row>
    <row r="204" s="98" customFormat="1" ht="16.5" hidden="1" spans="1:19">
      <c r="A204" s="46">
        <v>202</v>
      </c>
      <c r="B204" s="46" t="s">
        <v>23</v>
      </c>
      <c r="C204" s="46" t="s">
        <v>36</v>
      </c>
      <c r="D204" s="7" t="s">
        <v>27</v>
      </c>
      <c r="E204" s="7" t="s">
        <v>1080</v>
      </c>
      <c r="F204" s="7" t="s">
        <v>1077</v>
      </c>
      <c r="G204" s="46" t="s">
        <v>904</v>
      </c>
      <c r="H204" s="101">
        <v>1212</v>
      </c>
      <c r="I204" s="46" t="s">
        <v>905</v>
      </c>
      <c r="J204" s="6">
        <v>46035</v>
      </c>
      <c r="K204" s="7" t="s">
        <v>980</v>
      </c>
      <c r="L204" s="7" t="s">
        <v>915</v>
      </c>
      <c r="M204" s="46" t="s">
        <v>981</v>
      </c>
      <c r="N204" s="46" t="s">
        <v>173</v>
      </c>
      <c r="O204" s="46" t="s">
        <v>909</v>
      </c>
      <c r="P204" s="6">
        <v>45833</v>
      </c>
      <c r="Q204" s="102">
        <v>5</v>
      </c>
      <c r="R204" s="102">
        <v>5</v>
      </c>
      <c r="S204" s="7">
        <v>95</v>
      </c>
    </row>
    <row r="205" s="98" customFormat="1" ht="16.5" hidden="1" spans="1:19">
      <c r="A205" s="46">
        <v>203</v>
      </c>
      <c r="B205" s="46" t="s">
        <v>23</v>
      </c>
      <c r="C205" s="46" t="s">
        <v>36</v>
      </c>
      <c r="D205" s="7" t="s">
        <v>27</v>
      </c>
      <c r="E205" s="7" t="s">
        <v>1080</v>
      </c>
      <c r="F205" s="7" t="s">
        <v>1077</v>
      </c>
      <c r="G205" s="46" t="s">
        <v>904</v>
      </c>
      <c r="H205" s="101">
        <v>1212</v>
      </c>
      <c r="I205" s="46" t="s">
        <v>905</v>
      </c>
      <c r="J205" s="6">
        <v>46035</v>
      </c>
      <c r="K205" s="7" t="s">
        <v>982</v>
      </c>
      <c r="L205" s="7" t="s">
        <v>915</v>
      </c>
      <c r="M205" s="46" t="s">
        <v>983</v>
      </c>
      <c r="N205" s="46" t="s">
        <v>173</v>
      </c>
      <c r="O205" s="46" t="s">
        <v>921</v>
      </c>
      <c r="P205" s="6">
        <v>45810</v>
      </c>
      <c r="Q205" s="102">
        <v>5</v>
      </c>
      <c r="R205" s="102">
        <v>5</v>
      </c>
      <c r="S205" s="7">
        <v>80</v>
      </c>
    </row>
    <row r="206" s="98" customFormat="1" ht="16.5" hidden="1" spans="1:19">
      <c r="A206" s="46">
        <v>204</v>
      </c>
      <c r="B206" s="46" t="s">
        <v>23</v>
      </c>
      <c r="C206" s="46" t="s">
        <v>38</v>
      </c>
      <c r="D206" s="7" t="s">
        <v>27</v>
      </c>
      <c r="E206" s="7" t="s">
        <v>1080</v>
      </c>
      <c r="F206" s="7" t="s">
        <v>1077</v>
      </c>
      <c r="G206" s="46" t="s">
        <v>904</v>
      </c>
      <c r="H206" s="101">
        <v>1212</v>
      </c>
      <c r="I206" s="46" t="s">
        <v>905</v>
      </c>
      <c r="J206" s="6">
        <v>46035</v>
      </c>
      <c r="K206" s="7" t="s">
        <v>984</v>
      </c>
      <c r="L206" s="7" t="s">
        <v>915</v>
      </c>
      <c r="M206" s="46" t="s">
        <v>985</v>
      </c>
      <c r="N206" s="46" t="s">
        <v>75</v>
      </c>
      <c r="O206" s="46" t="s">
        <v>909</v>
      </c>
      <c r="P206" s="6">
        <v>45812</v>
      </c>
      <c r="Q206" s="102">
        <v>5</v>
      </c>
      <c r="R206" s="102">
        <v>5</v>
      </c>
      <c r="S206" s="7">
        <v>90</v>
      </c>
    </row>
    <row r="207" s="98" customFormat="1" ht="16.5" hidden="1" spans="1:19">
      <c r="A207" s="46">
        <v>205</v>
      </c>
      <c r="B207" s="46" t="s">
        <v>23</v>
      </c>
      <c r="C207" s="46" t="s">
        <v>35</v>
      </c>
      <c r="D207" s="7" t="s">
        <v>27</v>
      </c>
      <c r="E207" s="7" t="s">
        <v>1080</v>
      </c>
      <c r="F207" s="7" t="s">
        <v>1077</v>
      </c>
      <c r="G207" s="46" t="s">
        <v>904</v>
      </c>
      <c r="H207" s="101">
        <v>1212</v>
      </c>
      <c r="I207" s="46" t="s">
        <v>905</v>
      </c>
      <c r="J207" s="6">
        <v>46035</v>
      </c>
      <c r="K207" s="7" t="s">
        <v>986</v>
      </c>
      <c r="L207" s="7" t="s">
        <v>915</v>
      </c>
      <c r="M207" s="46" t="s">
        <v>987</v>
      </c>
      <c r="N207" s="46" t="s">
        <v>125</v>
      </c>
      <c r="O207" s="46" t="s">
        <v>909</v>
      </c>
      <c r="P207" s="6">
        <v>45876</v>
      </c>
      <c r="Q207" s="102">
        <v>5</v>
      </c>
      <c r="R207" s="102">
        <v>5</v>
      </c>
      <c r="S207" s="7">
        <v>88</v>
      </c>
    </row>
    <row r="208" s="98" customFormat="1" ht="16.5" hidden="1" spans="1:19">
      <c r="A208" s="46">
        <v>206</v>
      </c>
      <c r="B208" s="46" t="s">
        <v>23</v>
      </c>
      <c r="C208" s="46" t="s">
        <v>38</v>
      </c>
      <c r="D208" s="7" t="s">
        <v>27</v>
      </c>
      <c r="E208" s="7" t="s">
        <v>1080</v>
      </c>
      <c r="F208" s="7" t="s">
        <v>1077</v>
      </c>
      <c r="G208" s="46" t="s">
        <v>904</v>
      </c>
      <c r="H208" s="101">
        <v>1212</v>
      </c>
      <c r="I208" s="46" t="s">
        <v>905</v>
      </c>
      <c r="J208" s="6">
        <v>46035</v>
      </c>
      <c r="K208" s="7" t="s">
        <v>988</v>
      </c>
      <c r="L208" s="7" t="s">
        <v>915</v>
      </c>
      <c r="M208" s="46" t="s">
        <v>989</v>
      </c>
      <c r="N208" s="46" t="s">
        <v>75</v>
      </c>
      <c r="O208" s="46" t="s">
        <v>921</v>
      </c>
      <c r="P208" s="6">
        <v>45665</v>
      </c>
      <c r="Q208" s="102">
        <v>5</v>
      </c>
      <c r="R208" s="102">
        <v>5</v>
      </c>
      <c r="S208" s="7">
        <v>97</v>
      </c>
    </row>
    <row r="209" s="98" customFormat="1" ht="16.5" hidden="1" spans="1:19">
      <c r="A209" s="46">
        <v>207</v>
      </c>
      <c r="B209" s="46" t="s">
        <v>23</v>
      </c>
      <c r="C209" s="46" t="s">
        <v>38</v>
      </c>
      <c r="D209" s="7" t="s">
        <v>27</v>
      </c>
      <c r="E209" s="7" t="s">
        <v>1080</v>
      </c>
      <c r="F209" s="7" t="s">
        <v>1077</v>
      </c>
      <c r="G209" s="46" t="s">
        <v>904</v>
      </c>
      <c r="H209" s="101">
        <v>1212</v>
      </c>
      <c r="I209" s="46" t="s">
        <v>905</v>
      </c>
      <c r="J209" s="6">
        <v>46035</v>
      </c>
      <c r="K209" s="7" t="s">
        <v>990</v>
      </c>
      <c r="L209" s="7" t="s">
        <v>907</v>
      </c>
      <c r="M209" s="46" t="s">
        <v>991</v>
      </c>
      <c r="N209" s="46" t="s">
        <v>168</v>
      </c>
      <c r="O209" s="46" t="s">
        <v>921</v>
      </c>
      <c r="P209" s="6">
        <v>45754</v>
      </c>
      <c r="Q209" s="102">
        <v>0</v>
      </c>
      <c r="R209" s="102">
        <v>0</v>
      </c>
      <c r="S209" s="7">
        <v>0</v>
      </c>
    </row>
    <row r="210" s="98" customFormat="1" ht="16.5" hidden="1" spans="1:19">
      <c r="A210" s="46">
        <v>208</v>
      </c>
      <c r="B210" s="46" t="s">
        <v>23</v>
      </c>
      <c r="C210" s="46" t="s">
        <v>38</v>
      </c>
      <c r="D210" s="7" t="s">
        <v>27</v>
      </c>
      <c r="E210" s="7" t="s">
        <v>1080</v>
      </c>
      <c r="F210" s="7" t="s">
        <v>1077</v>
      </c>
      <c r="G210" s="46" t="s">
        <v>904</v>
      </c>
      <c r="H210" s="101">
        <v>1212</v>
      </c>
      <c r="I210" s="46" t="s">
        <v>905</v>
      </c>
      <c r="J210" s="6">
        <v>46035</v>
      </c>
      <c r="K210" s="7" t="s">
        <v>992</v>
      </c>
      <c r="L210" s="7" t="s">
        <v>907</v>
      </c>
      <c r="M210" s="46" t="s">
        <v>993</v>
      </c>
      <c r="N210" s="46" t="s">
        <v>168</v>
      </c>
      <c r="O210" s="46" t="s">
        <v>921</v>
      </c>
      <c r="P210" s="6">
        <v>45738</v>
      </c>
      <c r="Q210" s="102">
        <v>0</v>
      </c>
      <c r="R210" s="102">
        <v>0</v>
      </c>
      <c r="S210" s="7">
        <v>0</v>
      </c>
    </row>
    <row r="211" s="98" customFormat="1" ht="16.5" hidden="1" spans="1:19">
      <c r="A211" s="46">
        <v>209</v>
      </c>
      <c r="B211" s="46" t="s">
        <v>23</v>
      </c>
      <c r="C211" s="46" t="s">
        <v>38</v>
      </c>
      <c r="D211" s="7" t="s">
        <v>27</v>
      </c>
      <c r="E211" s="7" t="s">
        <v>1080</v>
      </c>
      <c r="F211" s="7" t="s">
        <v>1077</v>
      </c>
      <c r="G211" s="46" t="s">
        <v>904</v>
      </c>
      <c r="H211" s="101">
        <v>1212</v>
      </c>
      <c r="I211" s="46" t="s">
        <v>905</v>
      </c>
      <c r="J211" s="6">
        <v>46035</v>
      </c>
      <c r="K211" s="7" t="s">
        <v>994</v>
      </c>
      <c r="L211" s="7" t="s">
        <v>907</v>
      </c>
      <c r="M211" s="46" t="s">
        <v>995</v>
      </c>
      <c r="N211" s="46" t="s">
        <v>70</v>
      </c>
      <c r="O211" s="46" t="s">
        <v>921</v>
      </c>
      <c r="P211" s="6">
        <v>45790</v>
      </c>
      <c r="Q211" s="102">
        <v>0</v>
      </c>
      <c r="R211" s="102">
        <v>0</v>
      </c>
      <c r="S211" s="7">
        <v>0</v>
      </c>
    </row>
    <row r="212" s="98" customFormat="1" ht="16.5" hidden="1" spans="1:19">
      <c r="A212" s="46">
        <v>210</v>
      </c>
      <c r="B212" s="46" t="s">
        <v>23</v>
      </c>
      <c r="C212" s="46" t="s">
        <v>38</v>
      </c>
      <c r="D212" s="7" t="s">
        <v>27</v>
      </c>
      <c r="E212" s="7" t="s">
        <v>1080</v>
      </c>
      <c r="F212" s="7" t="s">
        <v>1077</v>
      </c>
      <c r="G212" s="46" t="s">
        <v>904</v>
      </c>
      <c r="H212" s="101">
        <v>1212</v>
      </c>
      <c r="I212" s="46" t="s">
        <v>905</v>
      </c>
      <c r="J212" s="6">
        <v>46035</v>
      </c>
      <c r="K212" s="7" t="s">
        <v>998</v>
      </c>
      <c r="L212" s="7" t="s">
        <v>907</v>
      </c>
      <c r="M212" s="46" t="s">
        <v>999</v>
      </c>
      <c r="N212" s="46" t="s">
        <v>220</v>
      </c>
      <c r="O212" s="46" t="s">
        <v>909</v>
      </c>
      <c r="P212" s="6">
        <v>45827</v>
      </c>
      <c r="Q212" s="102">
        <v>0</v>
      </c>
      <c r="R212" s="102">
        <v>0</v>
      </c>
      <c r="S212" s="7">
        <v>0</v>
      </c>
    </row>
    <row r="213" s="98" customFormat="1" ht="16.5" hidden="1" spans="1:19">
      <c r="A213" s="46">
        <v>211</v>
      </c>
      <c r="B213" s="46" t="s">
        <v>23</v>
      </c>
      <c r="C213" s="46" t="s">
        <v>26</v>
      </c>
      <c r="D213" s="7" t="s">
        <v>27</v>
      </c>
      <c r="E213" s="7" t="s">
        <v>1080</v>
      </c>
      <c r="F213" s="7" t="s">
        <v>1077</v>
      </c>
      <c r="G213" s="46" t="s">
        <v>904</v>
      </c>
      <c r="H213" s="101">
        <v>1212</v>
      </c>
      <c r="I213" s="46" t="s">
        <v>905</v>
      </c>
      <c r="J213" s="6">
        <v>46035</v>
      </c>
      <c r="K213" s="7" t="s">
        <v>1000</v>
      </c>
      <c r="L213" s="7" t="s">
        <v>915</v>
      </c>
      <c r="M213" s="46" t="s">
        <v>1001</v>
      </c>
      <c r="N213" s="46" t="s">
        <v>121</v>
      </c>
      <c r="O213" s="46" t="s">
        <v>909</v>
      </c>
      <c r="P213" s="6">
        <v>45856</v>
      </c>
      <c r="Q213" s="102">
        <v>5</v>
      </c>
      <c r="R213" s="102">
        <v>5</v>
      </c>
      <c r="S213" s="7">
        <v>80</v>
      </c>
    </row>
    <row r="214" s="98" customFormat="1" ht="16.5" hidden="1" spans="1:19">
      <c r="A214" s="46">
        <v>212</v>
      </c>
      <c r="B214" s="46" t="s">
        <v>23</v>
      </c>
      <c r="C214" s="46" t="s">
        <v>26</v>
      </c>
      <c r="D214" s="7" t="s">
        <v>27</v>
      </c>
      <c r="E214" s="7" t="s">
        <v>1080</v>
      </c>
      <c r="F214" s="7" t="s">
        <v>1077</v>
      </c>
      <c r="G214" s="46" t="s">
        <v>904</v>
      </c>
      <c r="H214" s="101">
        <v>1212</v>
      </c>
      <c r="I214" s="46" t="s">
        <v>905</v>
      </c>
      <c r="J214" s="6">
        <v>46035</v>
      </c>
      <c r="K214" s="7" t="s">
        <v>1002</v>
      </c>
      <c r="L214" s="7" t="s">
        <v>915</v>
      </c>
      <c r="M214" s="46" t="s">
        <v>1003</v>
      </c>
      <c r="N214" s="46" t="s">
        <v>121</v>
      </c>
      <c r="O214" s="46" t="s">
        <v>909</v>
      </c>
      <c r="P214" s="6">
        <v>45853</v>
      </c>
      <c r="Q214" s="102">
        <v>5</v>
      </c>
      <c r="R214" s="102">
        <v>5</v>
      </c>
      <c r="S214" s="7">
        <v>90</v>
      </c>
    </row>
    <row r="215" s="98" customFormat="1" ht="16.5" hidden="1" spans="1:19">
      <c r="A215" s="46">
        <v>213</v>
      </c>
      <c r="B215" s="46" t="s">
        <v>23</v>
      </c>
      <c r="C215" s="46" t="s">
        <v>38</v>
      </c>
      <c r="D215" s="7" t="s">
        <v>27</v>
      </c>
      <c r="E215" s="7" t="s">
        <v>1080</v>
      </c>
      <c r="F215" s="7" t="s">
        <v>1077</v>
      </c>
      <c r="G215" s="46" t="s">
        <v>904</v>
      </c>
      <c r="H215" s="101">
        <v>1212</v>
      </c>
      <c r="I215" s="46" t="s">
        <v>905</v>
      </c>
      <c r="J215" s="6">
        <v>46035</v>
      </c>
      <c r="K215" s="7" t="s">
        <v>1004</v>
      </c>
      <c r="L215" s="7" t="s">
        <v>915</v>
      </c>
      <c r="M215" s="46" t="s">
        <v>1005</v>
      </c>
      <c r="N215" s="46" t="s">
        <v>70</v>
      </c>
      <c r="O215" s="46" t="s">
        <v>909</v>
      </c>
      <c r="P215" s="6">
        <v>45879</v>
      </c>
      <c r="Q215" s="102">
        <v>5</v>
      </c>
      <c r="R215" s="102">
        <v>5</v>
      </c>
      <c r="S215" s="7">
        <v>97</v>
      </c>
    </row>
    <row r="216" s="98" customFormat="1" ht="16.5" hidden="1" spans="1:19">
      <c r="A216" s="46">
        <v>214</v>
      </c>
      <c r="B216" s="46" t="s">
        <v>23</v>
      </c>
      <c r="C216" s="46" t="s">
        <v>31</v>
      </c>
      <c r="D216" s="7" t="s">
        <v>27</v>
      </c>
      <c r="E216" s="7" t="s">
        <v>1080</v>
      </c>
      <c r="F216" s="7" t="s">
        <v>1077</v>
      </c>
      <c r="G216" s="46" t="s">
        <v>904</v>
      </c>
      <c r="H216" s="101">
        <v>1212</v>
      </c>
      <c r="I216" s="46" t="s">
        <v>905</v>
      </c>
      <c r="J216" s="6">
        <v>46035</v>
      </c>
      <c r="K216" s="7" t="s">
        <v>1006</v>
      </c>
      <c r="L216" s="7" t="s">
        <v>907</v>
      </c>
      <c r="M216" s="46" t="s">
        <v>1007</v>
      </c>
      <c r="N216" s="46" t="s">
        <v>79</v>
      </c>
      <c r="O216" s="46" t="s">
        <v>909</v>
      </c>
      <c r="P216" s="6">
        <v>45821</v>
      </c>
      <c r="Q216" s="102">
        <v>0</v>
      </c>
      <c r="R216" s="102">
        <v>0</v>
      </c>
      <c r="S216" s="7">
        <v>0</v>
      </c>
    </row>
    <row r="217" s="98" customFormat="1" ht="16.5" hidden="1" spans="1:19">
      <c r="A217" s="46">
        <v>215</v>
      </c>
      <c r="B217" s="46" t="s">
        <v>23</v>
      </c>
      <c r="C217" s="46" t="s">
        <v>35</v>
      </c>
      <c r="D217" s="7" t="s">
        <v>27</v>
      </c>
      <c r="E217" s="7" t="s">
        <v>1080</v>
      </c>
      <c r="F217" s="7" t="s">
        <v>1077</v>
      </c>
      <c r="G217" s="46" t="s">
        <v>904</v>
      </c>
      <c r="H217" s="101">
        <v>1212</v>
      </c>
      <c r="I217" s="46" t="s">
        <v>905</v>
      </c>
      <c r="J217" s="6">
        <v>46035</v>
      </c>
      <c r="K217" s="7" t="s">
        <v>1008</v>
      </c>
      <c r="L217" s="7" t="s">
        <v>915</v>
      </c>
      <c r="M217" s="46" t="s">
        <v>1009</v>
      </c>
      <c r="N217" s="46" t="s">
        <v>125</v>
      </c>
      <c r="O217" s="46" t="s">
        <v>909</v>
      </c>
      <c r="P217" s="6">
        <v>45866</v>
      </c>
      <c r="Q217" s="102">
        <v>5</v>
      </c>
      <c r="R217" s="102">
        <v>5</v>
      </c>
      <c r="S217" s="7">
        <v>77</v>
      </c>
    </row>
    <row r="218" s="98" customFormat="1" ht="16.5" hidden="1" spans="1:19">
      <c r="A218" s="46">
        <v>216</v>
      </c>
      <c r="B218" s="46" t="s">
        <v>23</v>
      </c>
      <c r="C218" s="46" t="s">
        <v>32</v>
      </c>
      <c r="D218" s="7" t="s">
        <v>27</v>
      </c>
      <c r="E218" s="7" t="s">
        <v>1080</v>
      </c>
      <c r="F218" s="7" t="s">
        <v>1077</v>
      </c>
      <c r="G218" s="46" t="s">
        <v>904</v>
      </c>
      <c r="H218" s="101">
        <v>1212</v>
      </c>
      <c r="I218" s="46" t="s">
        <v>905</v>
      </c>
      <c r="J218" s="6">
        <v>46035</v>
      </c>
      <c r="K218" s="7" t="s">
        <v>1010</v>
      </c>
      <c r="L218" s="7" t="s">
        <v>915</v>
      </c>
      <c r="M218" s="46" t="s">
        <v>1011</v>
      </c>
      <c r="N218" s="46" t="s">
        <v>105</v>
      </c>
      <c r="O218" s="46" t="s">
        <v>909</v>
      </c>
      <c r="P218" s="6">
        <v>45816</v>
      </c>
      <c r="Q218" s="102">
        <v>0</v>
      </c>
      <c r="R218" s="102">
        <v>0</v>
      </c>
      <c r="S218" s="7">
        <v>0</v>
      </c>
    </row>
    <row r="219" s="98" customFormat="1" ht="16.5" hidden="1" spans="1:19">
      <c r="A219" s="46">
        <v>217</v>
      </c>
      <c r="B219" s="46" t="s">
        <v>23</v>
      </c>
      <c r="C219" s="46" t="s">
        <v>35</v>
      </c>
      <c r="D219" s="7" t="s">
        <v>27</v>
      </c>
      <c r="E219" s="7" t="s">
        <v>1080</v>
      </c>
      <c r="F219" s="7" t="s">
        <v>1077</v>
      </c>
      <c r="G219" s="46" t="s">
        <v>904</v>
      </c>
      <c r="H219" s="101">
        <v>1212</v>
      </c>
      <c r="I219" s="46" t="s">
        <v>905</v>
      </c>
      <c r="J219" s="6">
        <v>46035</v>
      </c>
      <c r="K219" s="7" t="s">
        <v>1012</v>
      </c>
      <c r="L219" s="7" t="s">
        <v>915</v>
      </c>
      <c r="M219" s="46" t="s">
        <v>1013</v>
      </c>
      <c r="N219" s="46" t="s">
        <v>125</v>
      </c>
      <c r="O219" s="46" t="s">
        <v>909</v>
      </c>
      <c r="P219" s="6">
        <v>45833</v>
      </c>
      <c r="Q219" s="102">
        <v>5</v>
      </c>
      <c r="R219" s="102">
        <v>5</v>
      </c>
      <c r="S219" s="7">
        <v>71</v>
      </c>
    </row>
    <row r="220" s="98" customFormat="1" ht="16.5" hidden="1" spans="1:19">
      <c r="A220" s="46">
        <v>218</v>
      </c>
      <c r="B220" s="46" t="s">
        <v>23</v>
      </c>
      <c r="C220" s="46" t="s">
        <v>35</v>
      </c>
      <c r="D220" s="7" t="s">
        <v>27</v>
      </c>
      <c r="E220" s="7" t="s">
        <v>1080</v>
      </c>
      <c r="F220" s="7" t="s">
        <v>1077</v>
      </c>
      <c r="G220" s="46" t="s">
        <v>904</v>
      </c>
      <c r="H220" s="101">
        <v>1212</v>
      </c>
      <c r="I220" s="46" t="s">
        <v>905</v>
      </c>
      <c r="J220" s="6">
        <v>46035</v>
      </c>
      <c r="K220" s="7" t="s">
        <v>1014</v>
      </c>
      <c r="L220" s="7" t="s">
        <v>915</v>
      </c>
      <c r="M220" s="46" t="s">
        <v>1015</v>
      </c>
      <c r="N220" s="46" t="s">
        <v>125</v>
      </c>
      <c r="O220" s="46" t="s">
        <v>909</v>
      </c>
      <c r="P220" s="6">
        <v>45817</v>
      </c>
      <c r="Q220" s="102">
        <v>5</v>
      </c>
      <c r="R220" s="102">
        <v>5</v>
      </c>
      <c r="S220" s="7">
        <v>90</v>
      </c>
    </row>
    <row r="221" s="98" customFormat="1" ht="16.5" hidden="1" spans="1:19">
      <c r="A221" s="46">
        <v>219</v>
      </c>
      <c r="B221" s="46" t="s">
        <v>23</v>
      </c>
      <c r="C221" s="46" t="s">
        <v>38</v>
      </c>
      <c r="D221" s="7" t="s">
        <v>27</v>
      </c>
      <c r="E221" s="7" t="s">
        <v>1080</v>
      </c>
      <c r="F221" s="7" t="s">
        <v>1077</v>
      </c>
      <c r="G221" s="46" t="s">
        <v>904</v>
      </c>
      <c r="H221" s="101">
        <v>1212</v>
      </c>
      <c r="I221" s="46" t="s">
        <v>905</v>
      </c>
      <c r="J221" s="6">
        <v>46035</v>
      </c>
      <c r="K221" s="7" t="s">
        <v>1016</v>
      </c>
      <c r="L221" s="7" t="s">
        <v>907</v>
      </c>
      <c r="M221" s="46" t="s">
        <v>1017</v>
      </c>
      <c r="N221" s="46" t="s">
        <v>70</v>
      </c>
      <c r="O221" s="46" t="s">
        <v>921</v>
      </c>
      <c r="P221" s="6">
        <v>45699</v>
      </c>
      <c r="Q221" s="102">
        <v>0</v>
      </c>
      <c r="R221" s="102">
        <v>0</v>
      </c>
      <c r="S221" s="7">
        <v>0</v>
      </c>
    </row>
    <row r="222" s="98" customFormat="1" ht="16.5" hidden="1" spans="1:19">
      <c r="A222" s="46">
        <v>220</v>
      </c>
      <c r="B222" s="46" t="s">
        <v>23</v>
      </c>
      <c r="C222" s="46" t="s">
        <v>35</v>
      </c>
      <c r="D222" s="7" t="s">
        <v>27</v>
      </c>
      <c r="E222" s="7" t="s">
        <v>1080</v>
      </c>
      <c r="F222" s="7" t="s">
        <v>1077</v>
      </c>
      <c r="G222" s="46" t="s">
        <v>904</v>
      </c>
      <c r="H222" s="101">
        <v>1212</v>
      </c>
      <c r="I222" s="46" t="s">
        <v>905</v>
      </c>
      <c r="J222" s="6">
        <v>46035</v>
      </c>
      <c r="K222" s="7" t="s">
        <v>1018</v>
      </c>
      <c r="L222" s="7" t="s">
        <v>915</v>
      </c>
      <c r="M222" s="46" t="s">
        <v>1019</v>
      </c>
      <c r="N222" s="46" t="s">
        <v>125</v>
      </c>
      <c r="O222" s="46" t="s">
        <v>909</v>
      </c>
      <c r="P222" s="6">
        <v>45856</v>
      </c>
      <c r="Q222" s="102">
        <v>4.75</v>
      </c>
      <c r="R222" s="102">
        <v>5</v>
      </c>
      <c r="S222" s="7">
        <v>100</v>
      </c>
    </row>
    <row r="223" s="98" customFormat="1" ht="16.5" hidden="1" spans="1:19">
      <c r="A223" s="46">
        <v>221</v>
      </c>
      <c r="B223" s="46" t="s">
        <v>23</v>
      </c>
      <c r="C223" s="46" t="s">
        <v>38</v>
      </c>
      <c r="D223" s="7" t="s">
        <v>27</v>
      </c>
      <c r="E223" s="7" t="s">
        <v>1080</v>
      </c>
      <c r="F223" s="7" t="s">
        <v>1077</v>
      </c>
      <c r="G223" s="46" t="s">
        <v>904</v>
      </c>
      <c r="H223" s="101">
        <v>1212</v>
      </c>
      <c r="I223" s="46" t="s">
        <v>905</v>
      </c>
      <c r="J223" s="6">
        <v>46035</v>
      </c>
      <c r="K223" s="7" t="s">
        <v>1020</v>
      </c>
      <c r="L223" s="7" t="s">
        <v>907</v>
      </c>
      <c r="M223" s="46" t="s">
        <v>1021</v>
      </c>
      <c r="N223" s="46" t="s">
        <v>148</v>
      </c>
      <c r="O223" s="46" t="s">
        <v>909</v>
      </c>
      <c r="P223" s="6">
        <v>45844</v>
      </c>
      <c r="Q223" s="102">
        <v>0</v>
      </c>
      <c r="R223" s="102">
        <v>0</v>
      </c>
      <c r="S223" s="7">
        <v>0</v>
      </c>
    </row>
    <row r="224" s="98" customFormat="1" ht="16.5" hidden="1" spans="1:19">
      <c r="A224" s="46">
        <v>222</v>
      </c>
      <c r="B224" s="46" t="s">
        <v>23</v>
      </c>
      <c r="C224" s="46" t="s">
        <v>38</v>
      </c>
      <c r="D224" s="7" t="s">
        <v>27</v>
      </c>
      <c r="E224" s="7" t="s">
        <v>1080</v>
      </c>
      <c r="F224" s="7" t="s">
        <v>1077</v>
      </c>
      <c r="G224" s="46" t="s">
        <v>904</v>
      </c>
      <c r="H224" s="101">
        <v>1212</v>
      </c>
      <c r="I224" s="46" t="s">
        <v>905</v>
      </c>
      <c r="J224" s="6">
        <v>46035</v>
      </c>
      <c r="K224" s="7" t="s">
        <v>1022</v>
      </c>
      <c r="L224" s="7" t="s">
        <v>907</v>
      </c>
      <c r="M224" s="46" t="s">
        <v>1023</v>
      </c>
      <c r="N224" s="46" t="s">
        <v>168</v>
      </c>
      <c r="O224" s="46" t="s">
        <v>909</v>
      </c>
      <c r="P224" s="6">
        <v>45844</v>
      </c>
      <c r="Q224" s="102">
        <v>0</v>
      </c>
      <c r="R224" s="102">
        <v>0</v>
      </c>
      <c r="S224" s="7">
        <v>0</v>
      </c>
    </row>
    <row r="225" s="98" customFormat="1" ht="16.5" hidden="1" spans="1:19">
      <c r="A225" s="46">
        <v>223</v>
      </c>
      <c r="B225" s="46" t="s">
        <v>23</v>
      </c>
      <c r="C225" s="46" t="s">
        <v>38</v>
      </c>
      <c r="D225" s="7" t="s">
        <v>27</v>
      </c>
      <c r="E225" s="7" t="s">
        <v>1080</v>
      </c>
      <c r="F225" s="7" t="s">
        <v>1077</v>
      </c>
      <c r="G225" s="46" t="s">
        <v>904</v>
      </c>
      <c r="H225" s="101">
        <v>1212</v>
      </c>
      <c r="I225" s="46" t="s">
        <v>905</v>
      </c>
      <c r="J225" s="6">
        <v>46035</v>
      </c>
      <c r="K225" s="7" t="s">
        <v>1024</v>
      </c>
      <c r="L225" s="7" t="s">
        <v>907</v>
      </c>
      <c r="M225" s="46" t="s">
        <v>1025</v>
      </c>
      <c r="N225" s="46" t="s">
        <v>63</v>
      </c>
      <c r="O225" s="46" t="s">
        <v>909</v>
      </c>
      <c r="P225" s="6">
        <v>45858</v>
      </c>
      <c r="Q225" s="102">
        <v>5</v>
      </c>
      <c r="R225" s="102">
        <v>5</v>
      </c>
      <c r="S225" s="7">
        <v>100</v>
      </c>
    </row>
    <row r="226" s="98" customFormat="1" ht="16.5" hidden="1" spans="1:19">
      <c r="A226" s="46">
        <v>224</v>
      </c>
      <c r="B226" s="46" t="s">
        <v>23</v>
      </c>
      <c r="C226" s="46" t="s">
        <v>38</v>
      </c>
      <c r="D226" s="7" t="s">
        <v>27</v>
      </c>
      <c r="E226" s="7" t="s">
        <v>1080</v>
      </c>
      <c r="F226" s="7" t="s">
        <v>1077</v>
      </c>
      <c r="G226" s="46" t="s">
        <v>904</v>
      </c>
      <c r="H226" s="101">
        <v>1212</v>
      </c>
      <c r="I226" s="46" t="s">
        <v>905</v>
      </c>
      <c r="J226" s="6">
        <v>46035</v>
      </c>
      <c r="K226" s="7" t="s">
        <v>1026</v>
      </c>
      <c r="L226" s="7" t="s">
        <v>907</v>
      </c>
      <c r="M226" s="46" t="s">
        <v>1027</v>
      </c>
      <c r="N226" s="46" t="s">
        <v>63</v>
      </c>
      <c r="O226" s="46" t="s">
        <v>909</v>
      </c>
      <c r="P226" s="6">
        <v>45845</v>
      </c>
      <c r="Q226" s="102">
        <v>0</v>
      </c>
      <c r="R226" s="102">
        <v>0</v>
      </c>
      <c r="S226" s="7">
        <v>0</v>
      </c>
    </row>
    <row r="227" s="98" customFormat="1" ht="16.5" hidden="1" spans="1:19">
      <c r="A227" s="46">
        <v>225</v>
      </c>
      <c r="B227" s="46" t="s">
        <v>23</v>
      </c>
      <c r="C227" s="46" t="s">
        <v>37</v>
      </c>
      <c r="D227" s="7" t="s">
        <v>27</v>
      </c>
      <c r="E227" s="7" t="s">
        <v>1080</v>
      </c>
      <c r="F227" s="7" t="s">
        <v>1077</v>
      </c>
      <c r="G227" s="46" t="s">
        <v>904</v>
      </c>
      <c r="H227" s="101">
        <v>1212</v>
      </c>
      <c r="I227" s="46" t="s">
        <v>905</v>
      </c>
      <c r="J227" s="6">
        <v>46035</v>
      </c>
      <c r="K227" s="7" t="s">
        <v>1028</v>
      </c>
      <c r="L227" s="7" t="s">
        <v>915</v>
      </c>
      <c r="M227" s="46" t="s">
        <v>1029</v>
      </c>
      <c r="N227" s="46" t="s">
        <v>109</v>
      </c>
      <c r="O227" s="46" t="s">
        <v>909</v>
      </c>
      <c r="P227" s="6">
        <v>45730</v>
      </c>
      <c r="Q227" s="102">
        <v>5</v>
      </c>
      <c r="R227" s="102">
        <v>5</v>
      </c>
      <c r="S227" s="7">
        <v>95</v>
      </c>
    </row>
    <row r="228" s="98" customFormat="1" ht="16.5" hidden="1" spans="1:19">
      <c r="A228" s="46">
        <v>226</v>
      </c>
      <c r="B228" s="46" t="s">
        <v>23</v>
      </c>
      <c r="C228" s="46" t="s">
        <v>31</v>
      </c>
      <c r="D228" s="7" t="s">
        <v>27</v>
      </c>
      <c r="E228" s="7" t="s">
        <v>1080</v>
      </c>
      <c r="F228" s="7" t="s">
        <v>1077</v>
      </c>
      <c r="G228" s="46" t="s">
        <v>904</v>
      </c>
      <c r="H228" s="101">
        <v>1212</v>
      </c>
      <c r="I228" s="46" t="s">
        <v>905</v>
      </c>
      <c r="J228" s="6">
        <v>46035</v>
      </c>
      <c r="K228" s="7" t="s">
        <v>1030</v>
      </c>
      <c r="L228" s="7" t="s">
        <v>907</v>
      </c>
      <c r="M228" s="46" t="s">
        <v>1031</v>
      </c>
      <c r="N228" s="46" t="s">
        <v>79</v>
      </c>
      <c r="O228" s="46" t="s">
        <v>909</v>
      </c>
      <c r="P228" s="6">
        <v>45615</v>
      </c>
      <c r="Q228" s="102">
        <v>0</v>
      </c>
      <c r="R228" s="102">
        <v>0</v>
      </c>
      <c r="S228" s="7">
        <v>0</v>
      </c>
    </row>
    <row r="229" s="98" customFormat="1" ht="16.5" hidden="1" spans="1:19">
      <c r="A229" s="46">
        <v>227</v>
      </c>
      <c r="B229" s="46" t="s">
        <v>23</v>
      </c>
      <c r="C229" s="46" t="s">
        <v>38</v>
      </c>
      <c r="D229" s="7" t="s">
        <v>27</v>
      </c>
      <c r="E229" s="7" t="s">
        <v>1080</v>
      </c>
      <c r="F229" s="7" t="s">
        <v>1077</v>
      </c>
      <c r="G229" s="46" t="s">
        <v>904</v>
      </c>
      <c r="H229" s="101">
        <v>1212</v>
      </c>
      <c r="I229" s="46" t="s">
        <v>905</v>
      </c>
      <c r="J229" s="6">
        <v>46035</v>
      </c>
      <c r="K229" s="7" t="s">
        <v>1032</v>
      </c>
      <c r="L229" s="7" t="s">
        <v>907</v>
      </c>
      <c r="M229" s="46" t="s">
        <v>1033</v>
      </c>
      <c r="N229" s="46" t="s">
        <v>63</v>
      </c>
      <c r="O229" s="46" t="s">
        <v>909</v>
      </c>
      <c r="P229" s="6">
        <v>45814</v>
      </c>
      <c r="Q229" s="102">
        <v>0</v>
      </c>
      <c r="R229" s="102">
        <v>0</v>
      </c>
      <c r="S229" s="7">
        <v>0</v>
      </c>
    </row>
    <row r="230" s="98" customFormat="1" ht="16.5" hidden="1" spans="1:19">
      <c r="A230" s="46">
        <v>228</v>
      </c>
      <c r="B230" s="46" t="s">
        <v>23</v>
      </c>
      <c r="C230" s="46" t="s">
        <v>38</v>
      </c>
      <c r="D230" s="7" t="s">
        <v>27</v>
      </c>
      <c r="E230" s="7" t="s">
        <v>1080</v>
      </c>
      <c r="F230" s="7" t="s">
        <v>1077</v>
      </c>
      <c r="G230" s="46" t="s">
        <v>904</v>
      </c>
      <c r="H230" s="101">
        <v>1212</v>
      </c>
      <c r="I230" s="46" t="s">
        <v>905</v>
      </c>
      <c r="J230" s="6">
        <v>46035</v>
      </c>
      <c r="K230" s="7" t="s">
        <v>1034</v>
      </c>
      <c r="L230" s="7" t="s">
        <v>907</v>
      </c>
      <c r="M230" s="46" t="s">
        <v>1035</v>
      </c>
      <c r="N230" s="46" t="s">
        <v>63</v>
      </c>
      <c r="O230" s="46" t="s">
        <v>921</v>
      </c>
      <c r="P230" s="6">
        <v>45790</v>
      </c>
      <c r="Q230" s="102">
        <v>5</v>
      </c>
      <c r="R230" s="102">
        <v>5</v>
      </c>
      <c r="S230" s="7">
        <v>100</v>
      </c>
    </row>
    <row r="231" s="98" customFormat="1" ht="16.5" hidden="1" spans="1:19">
      <c r="A231" s="46">
        <v>229</v>
      </c>
      <c r="B231" s="46" t="s">
        <v>23</v>
      </c>
      <c r="C231" s="46" t="s">
        <v>38</v>
      </c>
      <c r="D231" s="7" t="s">
        <v>27</v>
      </c>
      <c r="E231" s="7" t="s">
        <v>1080</v>
      </c>
      <c r="F231" s="7" t="s">
        <v>1077</v>
      </c>
      <c r="G231" s="46" t="s">
        <v>904</v>
      </c>
      <c r="H231" s="101">
        <v>1212</v>
      </c>
      <c r="I231" s="46" t="s">
        <v>905</v>
      </c>
      <c r="J231" s="6">
        <v>46035</v>
      </c>
      <c r="K231" s="7" t="s">
        <v>1036</v>
      </c>
      <c r="L231" s="7" t="s">
        <v>907</v>
      </c>
      <c r="M231" s="46" t="s">
        <v>1037</v>
      </c>
      <c r="N231" s="46" t="s">
        <v>70</v>
      </c>
      <c r="O231" s="46" t="s">
        <v>909</v>
      </c>
      <c r="P231" s="6">
        <v>45838</v>
      </c>
      <c r="Q231" s="102">
        <v>0</v>
      </c>
      <c r="R231" s="102">
        <v>0</v>
      </c>
      <c r="S231" s="7">
        <v>0</v>
      </c>
    </row>
    <row r="232" s="98" customFormat="1" ht="16.5" hidden="1" spans="1:19">
      <c r="A232" s="46">
        <v>230</v>
      </c>
      <c r="B232" s="46" t="s">
        <v>23</v>
      </c>
      <c r="C232" s="46" t="s">
        <v>38</v>
      </c>
      <c r="D232" s="7" t="s">
        <v>27</v>
      </c>
      <c r="E232" s="7" t="s">
        <v>1080</v>
      </c>
      <c r="F232" s="7" t="s">
        <v>1077</v>
      </c>
      <c r="G232" s="46" t="s">
        <v>904</v>
      </c>
      <c r="H232" s="101">
        <v>1212</v>
      </c>
      <c r="I232" s="46" t="s">
        <v>905</v>
      </c>
      <c r="J232" s="6">
        <v>46035</v>
      </c>
      <c r="K232" s="7" t="s">
        <v>1040</v>
      </c>
      <c r="L232" s="7" t="s">
        <v>907</v>
      </c>
      <c r="M232" s="46" t="s">
        <v>1041</v>
      </c>
      <c r="N232" s="46" t="s">
        <v>168</v>
      </c>
      <c r="O232" s="46" t="s">
        <v>909</v>
      </c>
      <c r="P232" s="6">
        <v>45883</v>
      </c>
      <c r="Q232" s="102">
        <v>0</v>
      </c>
      <c r="R232" s="102">
        <v>0</v>
      </c>
      <c r="S232" s="7">
        <v>0</v>
      </c>
    </row>
    <row r="233" s="98" customFormat="1" ht="16.5" hidden="1" spans="1:19">
      <c r="A233" s="46">
        <v>231</v>
      </c>
      <c r="B233" s="46" t="s">
        <v>23</v>
      </c>
      <c r="C233" s="46" t="s">
        <v>38</v>
      </c>
      <c r="D233" s="7" t="s">
        <v>27</v>
      </c>
      <c r="E233" s="7" t="s">
        <v>1080</v>
      </c>
      <c r="F233" s="7" t="s">
        <v>1077</v>
      </c>
      <c r="G233" s="46" t="s">
        <v>904</v>
      </c>
      <c r="H233" s="101">
        <v>1212</v>
      </c>
      <c r="I233" s="46" t="s">
        <v>905</v>
      </c>
      <c r="J233" s="6">
        <v>46035</v>
      </c>
      <c r="K233" s="7" t="s">
        <v>1042</v>
      </c>
      <c r="L233" s="7" t="s">
        <v>907</v>
      </c>
      <c r="M233" s="46" t="s">
        <v>1043</v>
      </c>
      <c r="N233" s="46" t="s">
        <v>168</v>
      </c>
      <c r="O233" s="46" t="s">
        <v>909</v>
      </c>
      <c r="P233" s="6">
        <v>45864</v>
      </c>
      <c r="Q233" s="102">
        <v>0</v>
      </c>
      <c r="R233" s="102">
        <v>0</v>
      </c>
      <c r="S233" s="7">
        <v>0</v>
      </c>
    </row>
    <row r="234" s="98" customFormat="1" ht="16.5" hidden="1" spans="1:19">
      <c r="A234" s="46">
        <v>232</v>
      </c>
      <c r="B234" s="46" t="s">
        <v>23</v>
      </c>
      <c r="C234" s="46" t="s">
        <v>38</v>
      </c>
      <c r="D234" s="7" t="s">
        <v>27</v>
      </c>
      <c r="E234" s="7" t="s">
        <v>1080</v>
      </c>
      <c r="F234" s="7" t="s">
        <v>1077</v>
      </c>
      <c r="G234" s="46" t="s">
        <v>904</v>
      </c>
      <c r="H234" s="101">
        <v>1212</v>
      </c>
      <c r="I234" s="46" t="s">
        <v>905</v>
      </c>
      <c r="J234" s="6">
        <v>46035</v>
      </c>
      <c r="K234" s="7" t="s">
        <v>1044</v>
      </c>
      <c r="L234" s="7" t="s">
        <v>907</v>
      </c>
      <c r="M234" s="46" t="s">
        <v>1045</v>
      </c>
      <c r="N234" s="46" t="s">
        <v>148</v>
      </c>
      <c r="O234" s="46" t="s">
        <v>909</v>
      </c>
      <c r="P234" s="6">
        <v>45881</v>
      </c>
      <c r="Q234" s="102">
        <v>0</v>
      </c>
      <c r="R234" s="102">
        <v>0</v>
      </c>
      <c r="S234" s="7">
        <v>0</v>
      </c>
    </row>
    <row r="235" s="98" customFormat="1" ht="16.5" hidden="1" spans="1:19">
      <c r="A235" s="46">
        <v>233</v>
      </c>
      <c r="B235" s="46" t="s">
        <v>23</v>
      </c>
      <c r="C235" s="46" t="s">
        <v>38</v>
      </c>
      <c r="D235" s="7" t="s">
        <v>27</v>
      </c>
      <c r="E235" s="7" t="s">
        <v>1080</v>
      </c>
      <c r="F235" s="7" t="s">
        <v>1077</v>
      </c>
      <c r="G235" s="46" t="s">
        <v>904</v>
      </c>
      <c r="H235" s="101">
        <v>1212</v>
      </c>
      <c r="I235" s="46" t="s">
        <v>905</v>
      </c>
      <c r="J235" s="6">
        <v>46035</v>
      </c>
      <c r="K235" s="7" t="s">
        <v>1046</v>
      </c>
      <c r="L235" s="7" t="s">
        <v>907</v>
      </c>
      <c r="M235" s="46" t="s">
        <v>1047</v>
      </c>
      <c r="N235" s="46" t="s">
        <v>148</v>
      </c>
      <c r="O235" s="46" t="s">
        <v>909</v>
      </c>
      <c r="P235" s="6">
        <v>45815</v>
      </c>
      <c r="Q235" s="102">
        <v>0</v>
      </c>
      <c r="R235" s="102">
        <v>0</v>
      </c>
      <c r="S235" s="7">
        <v>0</v>
      </c>
    </row>
    <row r="236" s="98" customFormat="1" ht="16.5" hidden="1" spans="1:19">
      <c r="A236" s="46">
        <v>234</v>
      </c>
      <c r="B236" s="46" t="s">
        <v>23</v>
      </c>
      <c r="C236" s="46" t="s">
        <v>38</v>
      </c>
      <c r="D236" s="7" t="s">
        <v>27</v>
      </c>
      <c r="E236" s="7" t="s">
        <v>1080</v>
      </c>
      <c r="F236" s="7" t="s">
        <v>1077</v>
      </c>
      <c r="G236" s="46" t="s">
        <v>904</v>
      </c>
      <c r="H236" s="101">
        <v>1212</v>
      </c>
      <c r="I236" s="46" t="s">
        <v>905</v>
      </c>
      <c r="J236" s="6">
        <v>46035</v>
      </c>
      <c r="K236" s="7" t="s">
        <v>1048</v>
      </c>
      <c r="L236" s="7" t="s">
        <v>907</v>
      </c>
      <c r="M236" s="46" t="s">
        <v>1049</v>
      </c>
      <c r="N236" s="46" t="s">
        <v>63</v>
      </c>
      <c r="O236" s="46" t="s">
        <v>909</v>
      </c>
      <c r="P236" s="6">
        <v>45882</v>
      </c>
      <c r="Q236" s="102">
        <v>0</v>
      </c>
      <c r="R236" s="102">
        <v>0</v>
      </c>
      <c r="S236" s="7">
        <v>0</v>
      </c>
    </row>
    <row r="237" s="98" customFormat="1" ht="16.5" hidden="1" spans="1:19">
      <c r="A237" s="46">
        <v>235</v>
      </c>
      <c r="B237" s="46" t="s">
        <v>23</v>
      </c>
      <c r="C237" s="46" t="s">
        <v>32</v>
      </c>
      <c r="D237" s="7" t="s">
        <v>27</v>
      </c>
      <c r="E237" s="7" t="s">
        <v>1080</v>
      </c>
      <c r="F237" s="7" t="s">
        <v>1077</v>
      </c>
      <c r="G237" s="46" t="s">
        <v>904</v>
      </c>
      <c r="H237" s="101">
        <v>1212</v>
      </c>
      <c r="I237" s="46" t="s">
        <v>905</v>
      </c>
      <c r="J237" s="6">
        <v>46035</v>
      </c>
      <c r="K237" s="7" t="s">
        <v>1050</v>
      </c>
      <c r="L237" s="7" t="s">
        <v>915</v>
      </c>
      <c r="M237" s="46" t="s">
        <v>1051</v>
      </c>
      <c r="N237" s="46" t="s">
        <v>105</v>
      </c>
      <c r="O237" s="46" t="s">
        <v>921</v>
      </c>
      <c r="P237" s="6">
        <v>45746</v>
      </c>
      <c r="Q237" s="102">
        <v>5</v>
      </c>
      <c r="R237" s="102">
        <v>5</v>
      </c>
      <c r="S237" s="7">
        <v>87</v>
      </c>
    </row>
    <row r="238" s="98" customFormat="1" ht="16.5" hidden="1" spans="1:19">
      <c r="A238" s="46">
        <v>236</v>
      </c>
      <c r="B238" s="46" t="s">
        <v>23</v>
      </c>
      <c r="C238" s="46" t="s">
        <v>38</v>
      </c>
      <c r="D238" s="7" t="s">
        <v>27</v>
      </c>
      <c r="E238" s="7" t="s">
        <v>1080</v>
      </c>
      <c r="F238" s="7" t="s">
        <v>1077</v>
      </c>
      <c r="G238" s="46" t="s">
        <v>904</v>
      </c>
      <c r="H238" s="101">
        <v>1212</v>
      </c>
      <c r="I238" s="46" t="s">
        <v>905</v>
      </c>
      <c r="J238" s="6">
        <v>46035</v>
      </c>
      <c r="K238" s="7" t="s">
        <v>1052</v>
      </c>
      <c r="L238" s="7" t="s">
        <v>907</v>
      </c>
      <c r="M238" s="46" t="s">
        <v>1053</v>
      </c>
      <c r="N238" s="46" t="s">
        <v>63</v>
      </c>
      <c r="O238" s="46" t="s">
        <v>909</v>
      </c>
      <c r="P238" s="6">
        <v>45855</v>
      </c>
      <c r="Q238" s="102">
        <v>0</v>
      </c>
      <c r="R238" s="102">
        <v>0</v>
      </c>
      <c r="S238" s="7">
        <v>0</v>
      </c>
    </row>
    <row r="239" s="98" customFormat="1" ht="16.5" hidden="1" spans="1:19">
      <c r="A239" s="46">
        <v>237</v>
      </c>
      <c r="B239" s="46" t="s">
        <v>23</v>
      </c>
      <c r="C239" s="46" t="s">
        <v>29</v>
      </c>
      <c r="D239" s="7" t="s">
        <v>27</v>
      </c>
      <c r="E239" s="7" t="s">
        <v>1080</v>
      </c>
      <c r="F239" s="7" t="s">
        <v>1077</v>
      </c>
      <c r="G239" s="46" t="s">
        <v>904</v>
      </c>
      <c r="H239" s="101">
        <v>1212</v>
      </c>
      <c r="I239" s="46" t="s">
        <v>905</v>
      </c>
      <c r="J239" s="6">
        <v>46035</v>
      </c>
      <c r="K239" s="7" t="s">
        <v>1054</v>
      </c>
      <c r="L239" s="7" t="s">
        <v>915</v>
      </c>
      <c r="M239" s="46" t="s">
        <v>1055</v>
      </c>
      <c r="N239" s="46" t="s">
        <v>130</v>
      </c>
      <c r="O239" s="46" t="s">
        <v>909</v>
      </c>
      <c r="P239" s="6">
        <v>45842</v>
      </c>
      <c r="Q239" s="102">
        <v>5</v>
      </c>
      <c r="R239" s="102">
        <v>5</v>
      </c>
      <c r="S239" s="7">
        <v>81</v>
      </c>
    </row>
    <row r="240" s="98" customFormat="1" ht="16.5" hidden="1" spans="1:19">
      <c r="A240" s="46">
        <v>238</v>
      </c>
      <c r="B240" s="46" t="s">
        <v>23</v>
      </c>
      <c r="C240" s="46" t="s">
        <v>37</v>
      </c>
      <c r="D240" s="7" t="s">
        <v>27</v>
      </c>
      <c r="E240" s="7" t="s">
        <v>1080</v>
      </c>
      <c r="F240" s="7" t="s">
        <v>1077</v>
      </c>
      <c r="G240" s="46" t="s">
        <v>904</v>
      </c>
      <c r="H240" s="101">
        <v>1212</v>
      </c>
      <c r="I240" s="46" t="s">
        <v>905</v>
      </c>
      <c r="J240" s="6">
        <v>46035</v>
      </c>
      <c r="K240" s="7" t="s">
        <v>1056</v>
      </c>
      <c r="L240" s="7" t="s">
        <v>915</v>
      </c>
      <c r="M240" s="46" t="s">
        <v>1057</v>
      </c>
      <c r="N240" s="46" t="s">
        <v>152</v>
      </c>
      <c r="O240" s="46" t="s">
        <v>921</v>
      </c>
      <c r="P240" s="6">
        <v>45701</v>
      </c>
      <c r="Q240" s="102">
        <v>5</v>
      </c>
      <c r="R240" s="102">
        <v>5</v>
      </c>
      <c r="S240" s="7">
        <v>90</v>
      </c>
    </row>
    <row r="241" s="98" customFormat="1" ht="16.5" hidden="1" spans="1:19">
      <c r="A241" s="46">
        <v>239</v>
      </c>
      <c r="B241" s="46" t="s">
        <v>23</v>
      </c>
      <c r="C241" s="46" t="s">
        <v>38</v>
      </c>
      <c r="D241" s="7" t="s">
        <v>27</v>
      </c>
      <c r="E241" s="7" t="s">
        <v>1080</v>
      </c>
      <c r="F241" s="7" t="s">
        <v>1077</v>
      </c>
      <c r="G241" s="46" t="s">
        <v>904</v>
      </c>
      <c r="H241" s="101">
        <v>1212</v>
      </c>
      <c r="I241" s="46" t="s">
        <v>905</v>
      </c>
      <c r="J241" s="6">
        <v>46035</v>
      </c>
      <c r="K241" s="7" t="s">
        <v>1058</v>
      </c>
      <c r="L241" s="7" t="s">
        <v>907</v>
      </c>
      <c r="M241" s="46" t="s">
        <v>1059</v>
      </c>
      <c r="N241" s="46" t="s">
        <v>75</v>
      </c>
      <c r="O241" s="46" t="s">
        <v>909</v>
      </c>
      <c r="P241" s="6">
        <v>45841</v>
      </c>
      <c r="Q241" s="102">
        <v>0</v>
      </c>
      <c r="R241" s="102">
        <v>0</v>
      </c>
      <c r="S241" s="7">
        <v>0</v>
      </c>
    </row>
    <row r="242" s="98" customFormat="1" ht="16.5" hidden="1" spans="1:19">
      <c r="A242" s="46">
        <v>240</v>
      </c>
      <c r="B242" s="46" t="s">
        <v>23</v>
      </c>
      <c r="C242" s="46" t="s">
        <v>38</v>
      </c>
      <c r="D242" s="7" t="s">
        <v>27</v>
      </c>
      <c r="E242" s="7" t="s">
        <v>1080</v>
      </c>
      <c r="F242" s="7" t="s">
        <v>1077</v>
      </c>
      <c r="G242" s="46" t="s">
        <v>904</v>
      </c>
      <c r="H242" s="101">
        <v>1212</v>
      </c>
      <c r="I242" s="46" t="s">
        <v>905</v>
      </c>
      <c r="J242" s="6">
        <v>46035</v>
      </c>
      <c r="K242" s="7" t="s">
        <v>1060</v>
      </c>
      <c r="L242" s="7" t="s">
        <v>915</v>
      </c>
      <c r="M242" s="46" t="s">
        <v>1061</v>
      </c>
      <c r="N242" s="46" t="s">
        <v>168</v>
      </c>
      <c r="O242" s="46" t="s">
        <v>909</v>
      </c>
      <c r="P242" s="6">
        <v>45844</v>
      </c>
      <c r="Q242" s="102">
        <v>5</v>
      </c>
      <c r="R242" s="102">
        <v>5</v>
      </c>
      <c r="S242" s="7">
        <v>96</v>
      </c>
    </row>
    <row r="243" s="98" customFormat="1" ht="16.5" hidden="1" spans="1:19">
      <c r="A243" s="46">
        <v>241</v>
      </c>
      <c r="B243" s="46" t="s">
        <v>23</v>
      </c>
      <c r="C243" s="46" t="s">
        <v>38</v>
      </c>
      <c r="D243" s="7" t="s">
        <v>27</v>
      </c>
      <c r="E243" s="7" t="s">
        <v>1080</v>
      </c>
      <c r="F243" s="7" t="s">
        <v>1077</v>
      </c>
      <c r="G243" s="46" t="s">
        <v>904</v>
      </c>
      <c r="H243" s="101">
        <v>1212</v>
      </c>
      <c r="I243" s="46" t="s">
        <v>905</v>
      </c>
      <c r="J243" s="6">
        <v>46035</v>
      </c>
      <c r="K243" s="7" t="s">
        <v>1062</v>
      </c>
      <c r="L243" s="7" t="s">
        <v>915</v>
      </c>
      <c r="M243" s="46" t="s">
        <v>1063</v>
      </c>
      <c r="N243" s="46" t="s">
        <v>70</v>
      </c>
      <c r="O243" s="46" t="s">
        <v>909</v>
      </c>
      <c r="P243" s="6">
        <v>45884</v>
      </c>
      <c r="Q243" s="102">
        <v>5</v>
      </c>
      <c r="R243" s="102">
        <v>5</v>
      </c>
      <c r="S243" s="7">
        <v>80</v>
      </c>
    </row>
    <row r="244" s="98" customFormat="1" ht="16.5" hidden="1" spans="1:19">
      <c r="A244" s="46">
        <v>242</v>
      </c>
      <c r="B244" s="46" t="s">
        <v>23</v>
      </c>
      <c r="C244" s="46" t="s">
        <v>38</v>
      </c>
      <c r="D244" s="7" t="s">
        <v>27</v>
      </c>
      <c r="E244" s="7" t="s">
        <v>1080</v>
      </c>
      <c r="F244" s="7" t="s">
        <v>1077</v>
      </c>
      <c r="G244" s="46" t="s">
        <v>904</v>
      </c>
      <c r="H244" s="101">
        <v>1212</v>
      </c>
      <c r="I244" s="46" t="s">
        <v>905</v>
      </c>
      <c r="J244" s="6">
        <v>46035</v>
      </c>
      <c r="K244" s="7" t="s">
        <v>1064</v>
      </c>
      <c r="L244" s="7" t="s">
        <v>907</v>
      </c>
      <c r="M244" s="46" t="s">
        <v>1065</v>
      </c>
      <c r="N244" s="46" t="s">
        <v>70</v>
      </c>
      <c r="O244" s="46" t="s">
        <v>909</v>
      </c>
      <c r="P244" s="6">
        <v>45849</v>
      </c>
      <c r="Q244" s="102">
        <v>0</v>
      </c>
      <c r="R244" s="102">
        <v>0</v>
      </c>
      <c r="S244" s="7">
        <v>0</v>
      </c>
    </row>
    <row r="245" s="98" customFormat="1" ht="16.5" hidden="1" spans="1:19">
      <c r="A245" s="46">
        <v>243</v>
      </c>
      <c r="B245" s="46" t="s">
        <v>23</v>
      </c>
      <c r="C245" s="46" t="s">
        <v>38</v>
      </c>
      <c r="D245" s="7" t="s">
        <v>27</v>
      </c>
      <c r="E245" s="7" t="s">
        <v>1080</v>
      </c>
      <c r="F245" s="7" t="s">
        <v>1077</v>
      </c>
      <c r="G245" s="46" t="s">
        <v>904</v>
      </c>
      <c r="H245" s="101">
        <v>1212</v>
      </c>
      <c r="I245" s="46" t="s">
        <v>905</v>
      </c>
      <c r="J245" s="6">
        <v>46035</v>
      </c>
      <c r="K245" s="7" t="s">
        <v>1066</v>
      </c>
      <c r="L245" s="7" t="s">
        <v>915</v>
      </c>
      <c r="M245" s="46" t="s">
        <v>1067</v>
      </c>
      <c r="N245" s="46" t="s">
        <v>70</v>
      </c>
      <c r="O245" s="46" t="s">
        <v>909</v>
      </c>
      <c r="P245" s="6">
        <v>45844</v>
      </c>
      <c r="Q245" s="102">
        <v>5</v>
      </c>
      <c r="R245" s="102">
        <v>5</v>
      </c>
      <c r="S245" s="7">
        <v>80</v>
      </c>
    </row>
    <row r="246" s="98" customFormat="1" ht="16.5" hidden="1" spans="1:19">
      <c r="A246" s="46">
        <v>244</v>
      </c>
      <c r="B246" s="46" t="s">
        <v>23</v>
      </c>
      <c r="C246" s="46" t="s">
        <v>38</v>
      </c>
      <c r="D246" s="7" t="s">
        <v>27</v>
      </c>
      <c r="E246" s="7" t="s">
        <v>1080</v>
      </c>
      <c r="F246" s="7" t="s">
        <v>1077</v>
      </c>
      <c r="G246" s="46" t="s">
        <v>904</v>
      </c>
      <c r="H246" s="101">
        <v>1212</v>
      </c>
      <c r="I246" s="46" t="s">
        <v>905</v>
      </c>
      <c r="J246" s="6">
        <v>46035</v>
      </c>
      <c r="K246" s="7" t="s">
        <v>1070</v>
      </c>
      <c r="L246" s="7" t="s">
        <v>915</v>
      </c>
      <c r="M246" s="46" t="s">
        <v>1071</v>
      </c>
      <c r="N246" s="46" t="s">
        <v>220</v>
      </c>
      <c r="O246" s="46" t="s">
        <v>909</v>
      </c>
      <c r="P246" s="6">
        <v>45844</v>
      </c>
      <c r="Q246" s="102">
        <v>5</v>
      </c>
      <c r="R246" s="102">
        <v>5</v>
      </c>
      <c r="S246" s="7">
        <v>84</v>
      </c>
    </row>
    <row r="247" s="98" customFormat="1" ht="16.5" hidden="1" spans="1:19">
      <c r="A247" s="46">
        <v>245</v>
      </c>
      <c r="B247" s="46" t="s">
        <v>23</v>
      </c>
      <c r="C247" s="46" t="s">
        <v>38</v>
      </c>
      <c r="D247" s="7" t="s">
        <v>27</v>
      </c>
      <c r="E247" s="7" t="s">
        <v>1080</v>
      </c>
      <c r="F247" s="7" t="s">
        <v>1077</v>
      </c>
      <c r="G247" s="46" t="s">
        <v>904</v>
      </c>
      <c r="H247" s="101">
        <v>1212</v>
      </c>
      <c r="I247" s="46" t="s">
        <v>905</v>
      </c>
      <c r="J247" s="6">
        <v>46035</v>
      </c>
      <c r="K247" s="7" t="s">
        <v>1072</v>
      </c>
      <c r="L247" s="7" t="s">
        <v>915</v>
      </c>
      <c r="M247" s="46" t="s">
        <v>1073</v>
      </c>
      <c r="N247" s="46" t="s">
        <v>220</v>
      </c>
      <c r="O247" s="46" t="s">
        <v>921</v>
      </c>
      <c r="P247" s="6">
        <v>45826</v>
      </c>
      <c r="Q247" s="102">
        <v>5</v>
      </c>
      <c r="R247" s="102">
        <v>5</v>
      </c>
      <c r="S247" s="7">
        <v>80</v>
      </c>
    </row>
    <row r="248" s="98" customFormat="1" ht="16.5" hidden="1" spans="1:19">
      <c r="A248" s="46">
        <v>246</v>
      </c>
      <c r="B248" s="46" t="s">
        <v>23</v>
      </c>
      <c r="C248" s="46" t="s">
        <v>38</v>
      </c>
      <c r="D248" s="7" t="s">
        <v>27</v>
      </c>
      <c r="E248" s="7" t="s">
        <v>1080</v>
      </c>
      <c r="F248" s="7" t="s">
        <v>1077</v>
      </c>
      <c r="G248" s="46" t="s">
        <v>904</v>
      </c>
      <c r="H248" s="101">
        <v>1212</v>
      </c>
      <c r="I248" s="46" t="s">
        <v>905</v>
      </c>
      <c r="J248" s="6">
        <v>46035</v>
      </c>
      <c r="K248" s="7" t="s">
        <v>1074</v>
      </c>
      <c r="L248" s="7" t="s">
        <v>915</v>
      </c>
      <c r="M248" s="46" t="s">
        <v>1075</v>
      </c>
      <c r="N248" s="46" t="s">
        <v>220</v>
      </c>
      <c r="O248" s="46" t="s">
        <v>921</v>
      </c>
      <c r="P248" s="6">
        <v>45666</v>
      </c>
      <c r="Q248" s="102">
        <v>5</v>
      </c>
      <c r="R248" s="102">
        <v>5</v>
      </c>
      <c r="S248" s="7">
        <v>89</v>
      </c>
    </row>
    <row r="249" s="98" customFormat="1" ht="16.5" hidden="1" spans="1:19">
      <c r="A249" s="46">
        <v>247</v>
      </c>
      <c r="B249" s="46" t="s">
        <v>23</v>
      </c>
      <c r="C249" s="46" t="s">
        <v>36</v>
      </c>
      <c r="D249" s="7" t="s">
        <v>30</v>
      </c>
      <c r="E249" s="7" t="s">
        <v>1081</v>
      </c>
      <c r="F249" s="7" t="s">
        <v>1082</v>
      </c>
      <c r="G249" s="46" t="s">
        <v>1083</v>
      </c>
      <c r="H249" s="101" t="s">
        <v>615</v>
      </c>
      <c r="I249" s="46" t="s">
        <v>1084</v>
      </c>
      <c r="J249" s="6">
        <v>46031</v>
      </c>
      <c r="K249" s="7" t="s">
        <v>320</v>
      </c>
      <c r="L249" s="7" t="s">
        <v>915</v>
      </c>
      <c r="M249" s="46" t="s">
        <v>1085</v>
      </c>
      <c r="N249" s="46" t="s">
        <v>173</v>
      </c>
      <c r="O249" s="46" t="s">
        <v>1086</v>
      </c>
      <c r="P249" s="6">
        <v>45502</v>
      </c>
      <c r="Q249" s="102">
        <v>5</v>
      </c>
      <c r="R249" s="102">
        <v>5</v>
      </c>
      <c r="S249" s="7">
        <v>0</v>
      </c>
    </row>
    <row r="250" s="98" customFormat="1" ht="16.5" hidden="1" spans="1:19">
      <c r="A250" s="46">
        <v>248</v>
      </c>
      <c r="B250" s="46" t="s">
        <v>23</v>
      </c>
      <c r="C250" s="46" t="s">
        <v>38</v>
      </c>
      <c r="D250" s="7" t="s">
        <v>30</v>
      </c>
      <c r="E250" s="7" t="s">
        <v>1081</v>
      </c>
      <c r="F250" s="7" t="s">
        <v>1082</v>
      </c>
      <c r="G250" s="46" t="s">
        <v>1083</v>
      </c>
      <c r="H250" s="101" t="s">
        <v>615</v>
      </c>
      <c r="I250" s="46" t="s">
        <v>1084</v>
      </c>
      <c r="J250" s="6">
        <v>46031</v>
      </c>
      <c r="K250" s="7" t="s">
        <v>531</v>
      </c>
      <c r="L250" s="7" t="s">
        <v>915</v>
      </c>
      <c r="M250" s="46" t="s">
        <v>1087</v>
      </c>
      <c r="N250" s="46" t="s">
        <v>148</v>
      </c>
      <c r="O250" s="46" t="s">
        <v>909</v>
      </c>
      <c r="P250" s="6">
        <v>45269</v>
      </c>
      <c r="Q250" s="102">
        <v>5</v>
      </c>
      <c r="R250" s="102">
        <v>5</v>
      </c>
      <c r="S250" s="7">
        <v>0</v>
      </c>
    </row>
    <row r="251" s="98" customFormat="1" ht="16.5" hidden="1" spans="1:19">
      <c r="A251" s="46">
        <v>249</v>
      </c>
      <c r="B251" s="46" t="s">
        <v>23</v>
      </c>
      <c r="C251" s="46" t="s">
        <v>35</v>
      </c>
      <c r="D251" s="7" t="s">
        <v>30</v>
      </c>
      <c r="E251" s="7" t="s">
        <v>1081</v>
      </c>
      <c r="F251" s="7" t="s">
        <v>1082</v>
      </c>
      <c r="G251" s="46" t="s">
        <v>1083</v>
      </c>
      <c r="H251" s="101" t="s">
        <v>615</v>
      </c>
      <c r="I251" s="46" t="s">
        <v>1084</v>
      </c>
      <c r="J251" s="6">
        <v>46031</v>
      </c>
      <c r="K251" s="7" t="s">
        <v>463</v>
      </c>
      <c r="L251" s="7" t="s">
        <v>915</v>
      </c>
      <c r="M251" s="46" t="s">
        <v>1088</v>
      </c>
      <c r="N251" s="46" t="s">
        <v>125</v>
      </c>
      <c r="O251" s="46" t="s">
        <v>1089</v>
      </c>
      <c r="P251" s="6">
        <v>45400</v>
      </c>
      <c r="Q251" s="102">
        <v>5</v>
      </c>
      <c r="R251" s="102">
        <v>5</v>
      </c>
      <c r="S251" s="7">
        <v>0</v>
      </c>
    </row>
    <row r="252" s="98" customFormat="1" ht="16.5" hidden="1" spans="1:19">
      <c r="A252" s="46">
        <v>250</v>
      </c>
      <c r="B252" s="46" t="s">
        <v>23</v>
      </c>
      <c r="C252" s="46" t="s">
        <v>38</v>
      </c>
      <c r="D252" s="7" t="s">
        <v>30</v>
      </c>
      <c r="E252" s="7" t="s">
        <v>1081</v>
      </c>
      <c r="F252" s="7" t="s">
        <v>1090</v>
      </c>
      <c r="G252" s="46" t="s">
        <v>1083</v>
      </c>
      <c r="H252" s="101" t="s">
        <v>615</v>
      </c>
      <c r="I252" s="46" t="s">
        <v>1084</v>
      </c>
      <c r="J252" s="6">
        <v>46031</v>
      </c>
      <c r="K252" s="7" t="s">
        <v>227</v>
      </c>
      <c r="L252" s="7" t="s">
        <v>915</v>
      </c>
      <c r="M252" s="46" t="s">
        <v>1091</v>
      </c>
      <c r="N252" s="46" t="s">
        <v>148</v>
      </c>
      <c r="O252" s="46" t="s">
        <v>921</v>
      </c>
      <c r="P252" s="6">
        <v>45706</v>
      </c>
      <c r="Q252" s="102">
        <v>5</v>
      </c>
      <c r="R252" s="102">
        <v>5</v>
      </c>
      <c r="S252" s="7">
        <v>0</v>
      </c>
    </row>
    <row r="253" s="98" customFormat="1" ht="16.5" hidden="1" spans="1:19">
      <c r="A253" s="46">
        <v>251</v>
      </c>
      <c r="B253" s="46" t="s">
        <v>23</v>
      </c>
      <c r="C253" s="46" t="s">
        <v>32</v>
      </c>
      <c r="D253" s="7" t="s">
        <v>30</v>
      </c>
      <c r="E253" s="7" t="s">
        <v>1081</v>
      </c>
      <c r="F253" s="7" t="s">
        <v>1090</v>
      </c>
      <c r="G253" s="46" t="s">
        <v>1083</v>
      </c>
      <c r="H253" s="101" t="s">
        <v>615</v>
      </c>
      <c r="I253" s="46" t="s">
        <v>1084</v>
      </c>
      <c r="J253" s="6">
        <v>46031</v>
      </c>
      <c r="K253" s="7" t="s">
        <v>192</v>
      </c>
      <c r="L253" s="7" t="s">
        <v>915</v>
      </c>
      <c r="M253" s="46" t="s">
        <v>1092</v>
      </c>
      <c r="N253" s="46" t="s">
        <v>105</v>
      </c>
      <c r="O253" s="46" t="s">
        <v>1089</v>
      </c>
      <c r="P253" s="6">
        <v>44351</v>
      </c>
      <c r="Q253" s="102">
        <v>0</v>
      </c>
      <c r="R253" s="102">
        <v>0</v>
      </c>
      <c r="S253" s="7">
        <v>0</v>
      </c>
    </row>
    <row r="254" s="98" customFormat="1" ht="16.5" hidden="1" spans="1:19">
      <c r="A254" s="46">
        <v>252</v>
      </c>
      <c r="B254" s="46" t="s">
        <v>23</v>
      </c>
      <c r="C254" s="46" t="s">
        <v>38</v>
      </c>
      <c r="D254" s="7" t="s">
        <v>30</v>
      </c>
      <c r="E254" s="7" t="s">
        <v>1081</v>
      </c>
      <c r="F254" s="7" t="s">
        <v>1090</v>
      </c>
      <c r="G254" s="46" t="s">
        <v>1083</v>
      </c>
      <c r="H254" s="101" t="s">
        <v>615</v>
      </c>
      <c r="I254" s="46" t="s">
        <v>1084</v>
      </c>
      <c r="J254" s="6">
        <v>46031</v>
      </c>
      <c r="K254" s="7" t="s">
        <v>540</v>
      </c>
      <c r="L254" s="7" t="s">
        <v>915</v>
      </c>
      <c r="M254" s="46" t="s">
        <v>1093</v>
      </c>
      <c r="N254" s="46" t="s">
        <v>220</v>
      </c>
      <c r="O254" s="46" t="s">
        <v>1089</v>
      </c>
      <c r="P254" s="6">
        <v>45545</v>
      </c>
      <c r="Q254" s="102">
        <v>0</v>
      </c>
      <c r="R254" s="102">
        <v>0</v>
      </c>
      <c r="S254" s="7">
        <v>0</v>
      </c>
    </row>
    <row r="255" s="98" customFormat="1" ht="16.5" hidden="1" spans="1:19">
      <c r="A255" s="46">
        <v>253</v>
      </c>
      <c r="B255" s="46" t="s">
        <v>23</v>
      </c>
      <c r="C255" s="46" t="s">
        <v>38</v>
      </c>
      <c r="D255" s="7" t="s">
        <v>30</v>
      </c>
      <c r="E255" s="7" t="s">
        <v>1081</v>
      </c>
      <c r="F255" s="7" t="s">
        <v>1090</v>
      </c>
      <c r="G255" s="46" t="s">
        <v>1083</v>
      </c>
      <c r="H255" s="101" t="s">
        <v>615</v>
      </c>
      <c r="I255" s="46" t="s">
        <v>1084</v>
      </c>
      <c r="J255" s="6">
        <v>46031</v>
      </c>
      <c r="K255" s="7" t="s">
        <v>205</v>
      </c>
      <c r="L255" s="7" t="s">
        <v>915</v>
      </c>
      <c r="M255" s="46" t="s">
        <v>1094</v>
      </c>
      <c r="N255" s="46" t="s">
        <v>168</v>
      </c>
      <c r="O255" s="46" t="s">
        <v>1089</v>
      </c>
      <c r="P255" s="6">
        <v>45763</v>
      </c>
      <c r="Q255" s="102">
        <v>0</v>
      </c>
      <c r="R255" s="102">
        <v>0</v>
      </c>
      <c r="S255" s="7">
        <v>0</v>
      </c>
    </row>
    <row r="256" s="98" customFormat="1" ht="16.5" hidden="1" spans="1:19">
      <c r="A256" s="46">
        <v>254</v>
      </c>
      <c r="B256" s="46" t="s">
        <v>23</v>
      </c>
      <c r="C256" s="46" t="s">
        <v>32</v>
      </c>
      <c r="D256" s="7" t="s">
        <v>30</v>
      </c>
      <c r="E256" s="7" t="s">
        <v>1081</v>
      </c>
      <c r="F256" s="7" t="s">
        <v>1090</v>
      </c>
      <c r="G256" s="46" t="s">
        <v>1083</v>
      </c>
      <c r="H256" s="101" t="s">
        <v>615</v>
      </c>
      <c r="I256" s="46" t="s">
        <v>1084</v>
      </c>
      <c r="J256" s="6">
        <v>46031</v>
      </c>
      <c r="K256" s="7" t="s">
        <v>165</v>
      </c>
      <c r="L256" s="7" t="s">
        <v>915</v>
      </c>
      <c r="M256" s="46" t="s">
        <v>1095</v>
      </c>
      <c r="N256" s="46" t="s">
        <v>105</v>
      </c>
      <c r="O256" s="46" t="s">
        <v>921</v>
      </c>
      <c r="P256" s="6">
        <v>45699</v>
      </c>
      <c r="Q256" s="102">
        <v>5</v>
      </c>
      <c r="R256" s="102">
        <v>5</v>
      </c>
      <c r="S256" s="7">
        <v>0</v>
      </c>
    </row>
    <row r="257" s="98" customFormat="1" ht="16.5" hidden="1" spans="1:19">
      <c r="A257" s="46">
        <v>255</v>
      </c>
      <c r="B257" s="46" t="s">
        <v>23</v>
      </c>
      <c r="C257" s="46" t="s">
        <v>38</v>
      </c>
      <c r="D257" s="7" t="s">
        <v>30</v>
      </c>
      <c r="E257" s="7" t="s">
        <v>1081</v>
      </c>
      <c r="F257" s="7" t="s">
        <v>1090</v>
      </c>
      <c r="G257" s="46" t="s">
        <v>1083</v>
      </c>
      <c r="H257" s="101" t="s">
        <v>615</v>
      </c>
      <c r="I257" s="46" t="s">
        <v>1084</v>
      </c>
      <c r="J257" s="6">
        <v>46031</v>
      </c>
      <c r="K257" s="7" t="s">
        <v>95</v>
      </c>
      <c r="L257" s="7" t="s">
        <v>915</v>
      </c>
      <c r="M257" s="46" t="s">
        <v>1096</v>
      </c>
      <c r="N257" s="46" t="s">
        <v>63</v>
      </c>
      <c r="O257" s="46" t="s">
        <v>1089</v>
      </c>
      <c r="P257" s="6">
        <v>45661</v>
      </c>
      <c r="Q257" s="102">
        <v>0</v>
      </c>
      <c r="R257" s="102">
        <v>0</v>
      </c>
      <c r="S257" s="7">
        <v>0</v>
      </c>
    </row>
    <row r="258" s="98" customFormat="1" ht="16.5" hidden="1" spans="1:19">
      <c r="A258" s="46">
        <v>256</v>
      </c>
      <c r="B258" s="46" t="s">
        <v>23</v>
      </c>
      <c r="C258" s="46" t="s">
        <v>38</v>
      </c>
      <c r="D258" s="7" t="s">
        <v>30</v>
      </c>
      <c r="E258" s="7" t="s">
        <v>1081</v>
      </c>
      <c r="F258" s="7" t="s">
        <v>1090</v>
      </c>
      <c r="G258" s="46" t="s">
        <v>1083</v>
      </c>
      <c r="H258" s="101" t="s">
        <v>615</v>
      </c>
      <c r="I258" s="46" t="s">
        <v>1084</v>
      </c>
      <c r="J258" s="6">
        <v>46031</v>
      </c>
      <c r="K258" s="7" t="s">
        <v>253</v>
      </c>
      <c r="L258" s="7" t="s">
        <v>915</v>
      </c>
      <c r="M258" s="46" t="s">
        <v>1097</v>
      </c>
      <c r="N258" s="46" t="s">
        <v>63</v>
      </c>
      <c r="O258" s="46" t="s">
        <v>1086</v>
      </c>
      <c r="P258" s="6">
        <v>45604</v>
      </c>
      <c r="Q258" s="102">
        <v>5</v>
      </c>
      <c r="R258" s="102">
        <v>5</v>
      </c>
      <c r="S258" s="7">
        <v>0</v>
      </c>
    </row>
    <row r="259" s="98" customFormat="1" ht="16.5" hidden="1" spans="1:19">
      <c r="A259" s="46">
        <v>257</v>
      </c>
      <c r="B259" s="46" t="s">
        <v>23</v>
      </c>
      <c r="C259" s="46" t="s">
        <v>38</v>
      </c>
      <c r="D259" s="7" t="s">
        <v>30</v>
      </c>
      <c r="E259" s="7" t="s">
        <v>1081</v>
      </c>
      <c r="F259" s="7" t="s">
        <v>1098</v>
      </c>
      <c r="G259" s="46" t="s">
        <v>1083</v>
      </c>
      <c r="H259" s="101" t="s">
        <v>615</v>
      </c>
      <c r="I259" s="46" t="s">
        <v>1084</v>
      </c>
      <c r="J259" s="6">
        <v>46031</v>
      </c>
      <c r="K259" s="7" t="s">
        <v>481</v>
      </c>
      <c r="L259" s="7" t="s">
        <v>915</v>
      </c>
      <c r="M259" s="46" t="s">
        <v>1099</v>
      </c>
      <c r="N259" s="46" t="s">
        <v>63</v>
      </c>
      <c r="O259" s="46" t="s">
        <v>1089</v>
      </c>
      <c r="P259" s="6">
        <v>45698</v>
      </c>
      <c r="Q259" s="102">
        <v>5</v>
      </c>
      <c r="R259" s="102">
        <v>5</v>
      </c>
      <c r="S259" s="7">
        <v>0</v>
      </c>
    </row>
    <row r="260" s="98" customFormat="1" ht="16.5" hidden="1" spans="1:19">
      <c r="A260" s="46">
        <v>258</v>
      </c>
      <c r="B260" s="46" t="s">
        <v>23</v>
      </c>
      <c r="C260" s="46" t="s">
        <v>38</v>
      </c>
      <c r="D260" s="7" t="s">
        <v>30</v>
      </c>
      <c r="E260" s="7" t="s">
        <v>1081</v>
      </c>
      <c r="F260" s="7" t="s">
        <v>1098</v>
      </c>
      <c r="G260" s="46" t="s">
        <v>1083</v>
      </c>
      <c r="H260" s="101" t="s">
        <v>615</v>
      </c>
      <c r="I260" s="46" t="s">
        <v>1084</v>
      </c>
      <c r="J260" s="6">
        <v>46031</v>
      </c>
      <c r="K260" s="7" t="s">
        <v>147</v>
      </c>
      <c r="L260" s="7" t="s">
        <v>915</v>
      </c>
      <c r="M260" s="46" t="s">
        <v>1100</v>
      </c>
      <c r="N260" s="46" t="s">
        <v>148</v>
      </c>
      <c r="O260" s="46" t="s">
        <v>1089</v>
      </c>
      <c r="P260" s="6">
        <v>45669</v>
      </c>
      <c r="Q260" s="102">
        <v>5</v>
      </c>
      <c r="R260" s="102">
        <v>5</v>
      </c>
      <c r="S260" s="7">
        <v>0</v>
      </c>
    </row>
    <row r="261" s="98" customFormat="1" ht="16.5" hidden="1" spans="1:19">
      <c r="A261" s="46">
        <v>259</v>
      </c>
      <c r="B261" s="46" t="s">
        <v>23</v>
      </c>
      <c r="C261" s="46" t="s">
        <v>35</v>
      </c>
      <c r="D261" s="7" t="s">
        <v>30</v>
      </c>
      <c r="E261" s="7" t="s">
        <v>1081</v>
      </c>
      <c r="F261" s="7" t="s">
        <v>1098</v>
      </c>
      <c r="G261" s="46" t="s">
        <v>1083</v>
      </c>
      <c r="H261" s="101" t="s">
        <v>615</v>
      </c>
      <c r="I261" s="46" t="s">
        <v>1084</v>
      </c>
      <c r="J261" s="6">
        <v>46031</v>
      </c>
      <c r="K261" s="7" t="s">
        <v>584</v>
      </c>
      <c r="L261" s="7" t="s">
        <v>915</v>
      </c>
      <c r="M261" s="46" t="s">
        <v>1101</v>
      </c>
      <c r="N261" s="46" t="s">
        <v>125</v>
      </c>
      <c r="O261" s="46" t="s">
        <v>1089</v>
      </c>
      <c r="P261" s="6">
        <v>45791</v>
      </c>
      <c r="Q261" s="102">
        <v>0</v>
      </c>
      <c r="R261" s="102">
        <v>0</v>
      </c>
      <c r="S261" s="7">
        <v>0</v>
      </c>
    </row>
    <row r="262" s="98" customFormat="1" ht="16.5" hidden="1" spans="1:19">
      <c r="A262" s="46">
        <v>260</v>
      </c>
      <c r="B262" s="46" t="s">
        <v>23</v>
      </c>
      <c r="C262" s="46" t="s">
        <v>35</v>
      </c>
      <c r="D262" s="7" t="s">
        <v>30</v>
      </c>
      <c r="E262" s="7" t="s">
        <v>1081</v>
      </c>
      <c r="F262" s="7" t="s">
        <v>1098</v>
      </c>
      <c r="G262" s="46" t="s">
        <v>1083</v>
      </c>
      <c r="H262" s="101" t="s">
        <v>615</v>
      </c>
      <c r="I262" s="46" t="s">
        <v>1084</v>
      </c>
      <c r="J262" s="6">
        <v>46031</v>
      </c>
      <c r="K262" s="7" t="s">
        <v>493</v>
      </c>
      <c r="L262" s="7" t="s">
        <v>915</v>
      </c>
      <c r="M262" s="46" t="s">
        <v>1102</v>
      </c>
      <c r="N262" s="46" t="s">
        <v>125</v>
      </c>
      <c r="O262" s="46" t="s">
        <v>1089</v>
      </c>
      <c r="P262" s="6">
        <v>45427</v>
      </c>
      <c r="Q262" s="102">
        <v>5</v>
      </c>
      <c r="R262" s="102">
        <v>5</v>
      </c>
      <c r="S262" s="7">
        <v>0</v>
      </c>
    </row>
    <row r="263" s="98" customFormat="1" ht="16.5" hidden="1" spans="1:19">
      <c r="A263" s="46">
        <v>261</v>
      </c>
      <c r="B263" s="46" t="s">
        <v>23</v>
      </c>
      <c r="C263" s="46" t="s">
        <v>31</v>
      </c>
      <c r="D263" s="7" t="s">
        <v>30</v>
      </c>
      <c r="E263" s="7" t="s">
        <v>1081</v>
      </c>
      <c r="F263" s="7" t="s">
        <v>1098</v>
      </c>
      <c r="G263" s="46" t="s">
        <v>1083</v>
      </c>
      <c r="H263" s="101" t="s">
        <v>615</v>
      </c>
      <c r="I263" s="46" t="s">
        <v>1084</v>
      </c>
      <c r="J263" s="6">
        <v>46031</v>
      </c>
      <c r="K263" s="7" t="s">
        <v>78</v>
      </c>
      <c r="L263" s="7" t="s">
        <v>915</v>
      </c>
      <c r="M263" s="46" t="s">
        <v>1103</v>
      </c>
      <c r="N263" s="46" t="s">
        <v>79</v>
      </c>
      <c r="O263" s="46" t="s">
        <v>1086</v>
      </c>
      <c r="P263" s="6">
        <v>45649</v>
      </c>
      <c r="Q263" s="102">
        <v>5</v>
      </c>
      <c r="R263" s="102">
        <v>5</v>
      </c>
      <c r="S263" s="7">
        <v>0</v>
      </c>
    </row>
    <row r="264" s="98" customFormat="1" ht="16.5" hidden="1" spans="1:19">
      <c r="A264" s="46">
        <v>262</v>
      </c>
      <c r="B264" s="46" t="s">
        <v>23</v>
      </c>
      <c r="C264" s="46" t="s">
        <v>37</v>
      </c>
      <c r="D264" s="7" t="s">
        <v>30</v>
      </c>
      <c r="E264" s="7" t="s">
        <v>1081</v>
      </c>
      <c r="F264" s="7" t="s">
        <v>1098</v>
      </c>
      <c r="G264" s="46" t="s">
        <v>1083</v>
      </c>
      <c r="H264" s="101" t="s">
        <v>615</v>
      </c>
      <c r="I264" s="46" t="s">
        <v>1084</v>
      </c>
      <c r="J264" s="6">
        <v>46031</v>
      </c>
      <c r="K264" s="7" t="s">
        <v>203</v>
      </c>
      <c r="L264" s="7" t="s">
        <v>915</v>
      </c>
      <c r="M264" s="46" t="s">
        <v>1104</v>
      </c>
      <c r="N264" s="46" t="s">
        <v>109</v>
      </c>
      <c r="O264" s="46" t="s">
        <v>1086</v>
      </c>
      <c r="P264" s="6">
        <v>45011</v>
      </c>
      <c r="Q264" s="102">
        <v>0</v>
      </c>
      <c r="R264" s="102">
        <v>0</v>
      </c>
      <c r="S264" s="7">
        <v>0</v>
      </c>
    </row>
    <row r="265" s="98" customFormat="1" ht="16.5" hidden="1" spans="1:19">
      <c r="A265" s="46">
        <v>263</v>
      </c>
      <c r="B265" s="46" t="s">
        <v>23</v>
      </c>
      <c r="C265" s="46" t="s">
        <v>31</v>
      </c>
      <c r="D265" s="7" t="s">
        <v>30</v>
      </c>
      <c r="E265" s="7" t="s">
        <v>1081</v>
      </c>
      <c r="F265" s="7" t="s">
        <v>1098</v>
      </c>
      <c r="G265" s="46" t="s">
        <v>1083</v>
      </c>
      <c r="H265" s="101" t="s">
        <v>615</v>
      </c>
      <c r="I265" s="46" t="s">
        <v>1084</v>
      </c>
      <c r="J265" s="6">
        <v>46031</v>
      </c>
      <c r="K265" s="7" t="s">
        <v>245</v>
      </c>
      <c r="L265" s="7" t="s">
        <v>915</v>
      </c>
      <c r="M265" s="46" t="s">
        <v>1105</v>
      </c>
      <c r="N265" s="46" t="s">
        <v>79</v>
      </c>
      <c r="O265" s="46" t="s">
        <v>1086</v>
      </c>
      <c r="P265" s="6">
        <v>45581</v>
      </c>
      <c r="Q265" s="102">
        <v>5</v>
      </c>
      <c r="R265" s="102">
        <v>5</v>
      </c>
      <c r="S265" s="7">
        <v>0</v>
      </c>
    </row>
    <row r="266" s="98" customFormat="1" ht="16.5" hidden="1" spans="1:19">
      <c r="A266" s="46">
        <v>264</v>
      </c>
      <c r="B266" s="46" t="s">
        <v>23</v>
      </c>
      <c r="C266" s="46" t="s">
        <v>32</v>
      </c>
      <c r="D266" s="7" t="s">
        <v>30</v>
      </c>
      <c r="E266" s="7" t="s">
        <v>1081</v>
      </c>
      <c r="F266" s="7" t="s">
        <v>1098</v>
      </c>
      <c r="G266" s="46" t="s">
        <v>1083</v>
      </c>
      <c r="H266" s="101" t="s">
        <v>615</v>
      </c>
      <c r="I266" s="46" t="s">
        <v>1084</v>
      </c>
      <c r="J266" s="6">
        <v>46031</v>
      </c>
      <c r="K266" s="7" t="s">
        <v>1106</v>
      </c>
      <c r="L266" s="7" t="s">
        <v>915</v>
      </c>
      <c r="M266" s="46" t="s">
        <v>1107</v>
      </c>
      <c r="N266" s="46" t="s">
        <v>105</v>
      </c>
      <c r="O266" s="46" t="s">
        <v>909</v>
      </c>
      <c r="P266" s="6">
        <v>45915</v>
      </c>
      <c r="Q266" s="102">
        <v>0</v>
      </c>
      <c r="R266" s="102">
        <v>0</v>
      </c>
      <c r="S266" s="7">
        <v>0</v>
      </c>
    </row>
    <row r="267" s="98" customFormat="1" ht="16.5" hidden="1" spans="1:19">
      <c r="A267" s="46">
        <v>265</v>
      </c>
      <c r="B267" s="46" t="s">
        <v>23</v>
      </c>
      <c r="C267" s="46" t="s">
        <v>37</v>
      </c>
      <c r="D267" s="7" t="s">
        <v>30</v>
      </c>
      <c r="E267" s="7" t="s">
        <v>1081</v>
      </c>
      <c r="F267" s="7" t="s">
        <v>1098</v>
      </c>
      <c r="G267" s="46" t="s">
        <v>1083</v>
      </c>
      <c r="H267" s="101" t="s">
        <v>615</v>
      </c>
      <c r="I267" s="46" t="s">
        <v>1084</v>
      </c>
      <c r="J267" s="6">
        <v>46031</v>
      </c>
      <c r="K267" s="7" t="s">
        <v>237</v>
      </c>
      <c r="L267" s="7" t="s">
        <v>915</v>
      </c>
      <c r="M267" s="46" t="s">
        <v>1108</v>
      </c>
      <c r="N267" s="46" t="s">
        <v>109</v>
      </c>
      <c r="O267" s="46" t="s">
        <v>1086</v>
      </c>
      <c r="P267" s="6">
        <v>45390</v>
      </c>
      <c r="Q267" s="102">
        <v>5</v>
      </c>
      <c r="R267" s="102">
        <v>5</v>
      </c>
      <c r="S267" s="7">
        <v>0</v>
      </c>
    </row>
    <row r="268" s="98" customFormat="1" ht="16.5" hidden="1" spans="1:19">
      <c r="A268" s="46">
        <v>266</v>
      </c>
      <c r="B268" s="46" t="s">
        <v>23</v>
      </c>
      <c r="C268" s="46" t="s">
        <v>37</v>
      </c>
      <c r="D268" s="7" t="s">
        <v>30</v>
      </c>
      <c r="E268" s="7" t="s">
        <v>1081</v>
      </c>
      <c r="F268" s="7" t="s">
        <v>1098</v>
      </c>
      <c r="G268" s="46" t="s">
        <v>1083</v>
      </c>
      <c r="H268" s="101" t="s">
        <v>615</v>
      </c>
      <c r="I268" s="46" t="s">
        <v>1084</v>
      </c>
      <c r="J268" s="6">
        <v>46031</v>
      </c>
      <c r="K268" s="7" t="s">
        <v>251</v>
      </c>
      <c r="L268" s="7" t="s">
        <v>915</v>
      </c>
      <c r="M268" s="46" t="s">
        <v>1109</v>
      </c>
      <c r="N268" s="46" t="s">
        <v>109</v>
      </c>
      <c r="O268" s="46" t="s">
        <v>1086</v>
      </c>
      <c r="P268" s="6">
        <v>45599</v>
      </c>
      <c r="Q268" s="102">
        <v>5</v>
      </c>
      <c r="R268" s="102">
        <v>5</v>
      </c>
      <c r="S268" s="7">
        <v>0</v>
      </c>
    </row>
    <row r="269" s="98" customFormat="1" ht="16.5" hidden="1" spans="1:19">
      <c r="A269" s="46">
        <v>267</v>
      </c>
      <c r="B269" s="46" t="s">
        <v>23</v>
      </c>
      <c r="C269" s="46" t="s">
        <v>35</v>
      </c>
      <c r="D269" s="7" t="s">
        <v>30</v>
      </c>
      <c r="E269" s="7" t="s">
        <v>1110</v>
      </c>
      <c r="F269" s="7" t="s">
        <v>1111</v>
      </c>
      <c r="G269" s="46" t="s">
        <v>904</v>
      </c>
      <c r="H269" s="101">
        <v>1212</v>
      </c>
      <c r="I269" s="46" t="s">
        <v>1084</v>
      </c>
      <c r="J269" s="6">
        <v>46037</v>
      </c>
      <c r="K269" s="7" t="s">
        <v>463</v>
      </c>
      <c r="L269" s="7" t="s">
        <v>915</v>
      </c>
      <c r="M269" s="46" t="s">
        <v>1088</v>
      </c>
      <c r="N269" s="46" t="s">
        <v>125</v>
      </c>
      <c r="O269" s="46" t="s">
        <v>1089</v>
      </c>
      <c r="P269" s="6">
        <v>45400</v>
      </c>
      <c r="Q269" s="102">
        <v>5</v>
      </c>
      <c r="R269" s="102">
        <v>5</v>
      </c>
      <c r="S269" s="7">
        <v>0</v>
      </c>
    </row>
    <row r="270" s="98" customFormat="1" ht="16.5" hidden="1" spans="1:19">
      <c r="A270" s="46">
        <v>268</v>
      </c>
      <c r="B270" s="46" t="s">
        <v>23</v>
      </c>
      <c r="C270" s="46" t="s">
        <v>38</v>
      </c>
      <c r="D270" s="7" t="s">
        <v>30</v>
      </c>
      <c r="E270" s="7" t="s">
        <v>1110</v>
      </c>
      <c r="F270" s="7" t="s">
        <v>1111</v>
      </c>
      <c r="G270" s="46" t="s">
        <v>904</v>
      </c>
      <c r="H270" s="101">
        <v>1212</v>
      </c>
      <c r="I270" s="46" t="s">
        <v>1084</v>
      </c>
      <c r="J270" s="6">
        <v>46037</v>
      </c>
      <c r="K270" s="7" t="s">
        <v>205</v>
      </c>
      <c r="L270" s="7" t="s">
        <v>915</v>
      </c>
      <c r="M270" s="46" t="s">
        <v>1094</v>
      </c>
      <c r="N270" s="46" t="s">
        <v>168</v>
      </c>
      <c r="O270" s="46" t="s">
        <v>1089</v>
      </c>
      <c r="P270" s="6">
        <v>45763</v>
      </c>
      <c r="Q270" s="102">
        <v>5</v>
      </c>
      <c r="R270" s="102">
        <v>5</v>
      </c>
      <c r="S270" s="7">
        <v>0</v>
      </c>
    </row>
    <row r="271" s="98" customFormat="1" ht="16.5" hidden="1" spans="1:19">
      <c r="A271" s="46">
        <v>269</v>
      </c>
      <c r="B271" s="46" t="s">
        <v>23</v>
      </c>
      <c r="C271" s="46" t="s">
        <v>38</v>
      </c>
      <c r="D271" s="7" t="s">
        <v>30</v>
      </c>
      <c r="E271" s="7" t="s">
        <v>1110</v>
      </c>
      <c r="F271" s="7" t="s">
        <v>1111</v>
      </c>
      <c r="G271" s="46" t="s">
        <v>904</v>
      </c>
      <c r="H271" s="101">
        <v>1212</v>
      </c>
      <c r="I271" s="46" t="s">
        <v>1084</v>
      </c>
      <c r="J271" s="6">
        <v>46037</v>
      </c>
      <c r="K271" s="7" t="s">
        <v>540</v>
      </c>
      <c r="L271" s="7" t="s">
        <v>915</v>
      </c>
      <c r="M271" s="46" t="s">
        <v>1093</v>
      </c>
      <c r="N271" s="46" t="s">
        <v>220</v>
      </c>
      <c r="O271" s="46" t="s">
        <v>1089</v>
      </c>
      <c r="P271" s="6">
        <v>45545</v>
      </c>
      <c r="Q271" s="102">
        <v>5</v>
      </c>
      <c r="R271" s="102">
        <v>5</v>
      </c>
      <c r="S271" s="7">
        <v>0</v>
      </c>
    </row>
    <row r="272" s="98" customFormat="1" ht="16.5" hidden="1" spans="1:19">
      <c r="A272" s="46">
        <v>270</v>
      </c>
      <c r="B272" s="46" t="s">
        <v>23</v>
      </c>
      <c r="C272" s="46" t="s">
        <v>38</v>
      </c>
      <c r="D272" s="7" t="s">
        <v>30</v>
      </c>
      <c r="E272" s="7" t="s">
        <v>1110</v>
      </c>
      <c r="F272" s="7" t="s">
        <v>1111</v>
      </c>
      <c r="G272" s="46" t="s">
        <v>904</v>
      </c>
      <c r="H272" s="101">
        <v>1212</v>
      </c>
      <c r="I272" s="46" t="s">
        <v>1084</v>
      </c>
      <c r="J272" s="6">
        <v>46037</v>
      </c>
      <c r="K272" s="7" t="s">
        <v>147</v>
      </c>
      <c r="L272" s="7" t="s">
        <v>915</v>
      </c>
      <c r="M272" s="46" t="s">
        <v>1100</v>
      </c>
      <c r="N272" s="46" t="s">
        <v>148</v>
      </c>
      <c r="O272" s="46" t="s">
        <v>1089</v>
      </c>
      <c r="P272" s="6">
        <v>45669</v>
      </c>
      <c r="Q272" s="102">
        <v>5</v>
      </c>
      <c r="R272" s="102">
        <v>5</v>
      </c>
      <c r="S272" s="7">
        <v>0</v>
      </c>
    </row>
    <row r="273" s="98" customFormat="1" ht="16.5" hidden="1" spans="1:19">
      <c r="A273" s="46">
        <v>271</v>
      </c>
      <c r="B273" s="46" t="s">
        <v>23</v>
      </c>
      <c r="C273" s="46" t="s">
        <v>32</v>
      </c>
      <c r="D273" s="7" t="s">
        <v>30</v>
      </c>
      <c r="E273" s="7" t="s">
        <v>1110</v>
      </c>
      <c r="F273" s="7" t="s">
        <v>1111</v>
      </c>
      <c r="G273" s="46" t="s">
        <v>904</v>
      </c>
      <c r="H273" s="101">
        <v>1212</v>
      </c>
      <c r="I273" s="46" t="s">
        <v>1084</v>
      </c>
      <c r="J273" s="6">
        <v>46037</v>
      </c>
      <c r="K273" s="7" t="s">
        <v>192</v>
      </c>
      <c r="L273" s="7" t="s">
        <v>915</v>
      </c>
      <c r="M273" s="46" t="s">
        <v>1092</v>
      </c>
      <c r="N273" s="46" t="s">
        <v>105</v>
      </c>
      <c r="O273" s="46" t="s">
        <v>1089</v>
      </c>
      <c r="P273" s="6">
        <v>44351</v>
      </c>
      <c r="Q273" s="102">
        <v>0</v>
      </c>
      <c r="R273" s="102">
        <v>0</v>
      </c>
      <c r="S273" s="7">
        <v>0</v>
      </c>
    </row>
    <row r="274" s="98" customFormat="1" ht="16.5" hidden="1" spans="1:19">
      <c r="A274" s="46">
        <v>272</v>
      </c>
      <c r="B274" s="46" t="s">
        <v>23</v>
      </c>
      <c r="C274" s="46" t="s">
        <v>38</v>
      </c>
      <c r="D274" s="7" t="s">
        <v>30</v>
      </c>
      <c r="E274" s="7" t="s">
        <v>1110</v>
      </c>
      <c r="F274" s="7" t="s">
        <v>1111</v>
      </c>
      <c r="G274" s="46" t="s">
        <v>904</v>
      </c>
      <c r="H274" s="101">
        <v>1212</v>
      </c>
      <c r="I274" s="46" t="s">
        <v>1084</v>
      </c>
      <c r="J274" s="6">
        <v>46037</v>
      </c>
      <c r="K274" s="7" t="s">
        <v>227</v>
      </c>
      <c r="L274" s="7" t="s">
        <v>915</v>
      </c>
      <c r="M274" s="46" t="s">
        <v>1091</v>
      </c>
      <c r="N274" s="46" t="s">
        <v>148</v>
      </c>
      <c r="O274" s="46" t="s">
        <v>921</v>
      </c>
      <c r="P274" s="6">
        <v>45706</v>
      </c>
      <c r="Q274" s="102">
        <v>5</v>
      </c>
      <c r="R274" s="102">
        <v>5</v>
      </c>
      <c r="S274" s="7">
        <v>0</v>
      </c>
    </row>
    <row r="275" s="98" customFormat="1" ht="16.5" hidden="1" spans="1:19">
      <c r="A275" s="46">
        <v>273</v>
      </c>
      <c r="B275" s="46" t="s">
        <v>23</v>
      </c>
      <c r="C275" s="46" t="s">
        <v>36</v>
      </c>
      <c r="D275" s="7" t="s">
        <v>30</v>
      </c>
      <c r="E275" s="7" t="s">
        <v>1110</v>
      </c>
      <c r="F275" s="7" t="s">
        <v>1111</v>
      </c>
      <c r="G275" s="46" t="s">
        <v>904</v>
      </c>
      <c r="H275" s="101">
        <v>1212</v>
      </c>
      <c r="I275" s="46" t="s">
        <v>1084</v>
      </c>
      <c r="J275" s="6">
        <v>46037</v>
      </c>
      <c r="K275" s="7" t="s">
        <v>320</v>
      </c>
      <c r="L275" s="7" t="s">
        <v>915</v>
      </c>
      <c r="M275" s="46" t="s">
        <v>1085</v>
      </c>
      <c r="N275" s="46" t="s">
        <v>173</v>
      </c>
      <c r="O275" s="46" t="s">
        <v>1086</v>
      </c>
      <c r="P275" s="6">
        <v>45502</v>
      </c>
      <c r="Q275" s="102">
        <v>5</v>
      </c>
      <c r="R275" s="102">
        <v>5</v>
      </c>
      <c r="S275" s="7">
        <v>0</v>
      </c>
    </row>
    <row r="276" s="98" customFormat="1" ht="16.5" hidden="1" spans="1:19">
      <c r="A276" s="46">
        <v>274</v>
      </c>
      <c r="B276" s="46" t="s">
        <v>23</v>
      </c>
      <c r="C276" s="46" t="s">
        <v>38</v>
      </c>
      <c r="D276" s="7" t="s">
        <v>30</v>
      </c>
      <c r="E276" s="7" t="s">
        <v>1110</v>
      </c>
      <c r="F276" s="7" t="s">
        <v>1111</v>
      </c>
      <c r="G276" s="46" t="s">
        <v>904</v>
      </c>
      <c r="H276" s="101">
        <v>1212</v>
      </c>
      <c r="I276" s="46" t="s">
        <v>1084</v>
      </c>
      <c r="J276" s="6">
        <v>46037</v>
      </c>
      <c r="K276" s="7" t="s">
        <v>294</v>
      </c>
      <c r="L276" s="7" t="s">
        <v>915</v>
      </c>
      <c r="M276" s="46" t="s">
        <v>1112</v>
      </c>
      <c r="N276" s="46" t="s">
        <v>63</v>
      </c>
      <c r="O276" s="46" t="s">
        <v>1113</v>
      </c>
      <c r="P276" s="6">
        <v>44725</v>
      </c>
      <c r="Q276" s="102">
        <v>0</v>
      </c>
      <c r="R276" s="102">
        <v>0</v>
      </c>
      <c r="S276" s="7">
        <v>0</v>
      </c>
    </row>
    <row r="277" s="98" customFormat="1" ht="16.5" hidden="1" spans="1:19">
      <c r="A277" s="46">
        <v>275</v>
      </c>
      <c r="B277" s="46" t="s">
        <v>23</v>
      </c>
      <c r="C277" s="46" t="s">
        <v>38</v>
      </c>
      <c r="D277" s="7" t="s">
        <v>30</v>
      </c>
      <c r="E277" s="7" t="s">
        <v>1110</v>
      </c>
      <c r="F277" s="7" t="s">
        <v>1111</v>
      </c>
      <c r="G277" s="46" t="s">
        <v>904</v>
      </c>
      <c r="H277" s="101">
        <v>1212</v>
      </c>
      <c r="I277" s="46" t="s">
        <v>1084</v>
      </c>
      <c r="J277" s="6">
        <v>46037</v>
      </c>
      <c r="K277" s="7" t="s">
        <v>95</v>
      </c>
      <c r="L277" s="7" t="s">
        <v>915</v>
      </c>
      <c r="M277" s="46" t="s">
        <v>1096</v>
      </c>
      <c r="N277" s="46" t="s">
        <v>63</v>
      </c>
      <c r="O277" s="46" t="s">
        <v>1089</v>
      </c>
      <c r="P277" s="6">
        <v>45661</v>
      </c>
      <c r="Q277" s="102">
        <v>0</v>
      </c>
      <c r="R277" s="102">
        <v>0</v>
      </c>
      <c r="S277" s="7">
        <v>0</v>
      </c>
    </row>
    <row r="278" s="98" customFormat="1" ht="16.5" hidden="1" spans="1:19">
      <c r="A278" s="46">
        <v>276</v>
      </c>
      <c r="B278" s="46" t="s">
        <v>23</v>
      </c>
      <c r="C278" s="46" t="s">
        <v>38</v>
      </c>
      <c r="D278" s="7" t="s">
        <v>30</v>
      </c>
      <c r="E278" s="7" t="s">
        <v>1110</v>
      </c>
      <c r="F278" s="7" t="s">
        <v>1111</v>
      </c>
      <c r="G278" s="46" t="s">
        <v>904</v>
      </c>
      <c r="H278" s="101">
        <v>1212</v>
      </c>
      <c r="I278" s="46" t="s">
        <v>1084</v>
      </c>
      <c r="J278" s="6">
        <v>46037</v>
      </c>
      <c r="K278" s="7" t="s">
        <v>481</v>
      </c>
      <c r="L278" s="7" t="s">
        <v>915</v>
      </c>
      <c r="M278" s="46" t="s">
        <v>1099</v>
      </c>
      <c r="N278" s="46" t="s">
        <v>63</v>
      </c>
      <c r="O278" s="46" t="s">
        <v>1089</v>
      </c>
      <c r="P278" s="6">
        <v>45698</v>
      </c>
      <c r="Q278" s="102">
        <v>5</v>
      </c>
      <c r="R278" s="102">
        <v>5</v>
      </c>
      <c r="S278" s="7">
        <v>0</v>
      </c>
    </row>
    <row r="279" s="98" customFormat="1" ht="16.5" hidden="1" spans="1:19">
      <c r="A279" s="46">
        <v>277</v>
      </c>
      <c r="B279" s="46" t="s">
        <v>23</v>
      </c>
      <c r="C279" s="46" t="s">
        <v>31</v>
      </c>
      <c r="D279" s="7" t="s">
        <v>30</v>
      </c>
      <c r="E279" s="7" t="s">
        <v>1110</v>
      </c>
      <c r="F279" s="7" t="s">
        <v>1111</v>
      </c>
      <c r="G279" s="46" t="s">
        <v>904</v>
      </c>
      <c r="H279" s="101">
        <v>1212</v>
      </c>
      <c r="I279" s="46" t="s">
        <v>1084</v>
      </c>
      <c r="J279" s="6">
        <v>46037</v>
      </c>
      <c r="K279" s="7" t="s">
        <v>78</v>
      </c>
      <c r="L279" s="7" t="s">
        <v>915</v>
      </c>
      <c r="M279" s="46" t="s">
        <v>1103</v>
      </c>
      <c r="N279" s="46" t="s">
        <v>79</v>
      </c>
      <c r="O279" s="46" t="s">
        <v>1086</v>
      </c>
      <c r="P279" s="6">
        <v>45649</v>
      </c>
      <c r="Q279" s="102">
        <v>5</v>
      </c>
      <c r="R279" s="102">
        <v>5</v>
      </c>
      <c r="S279" s="7">
        <v>0</v>
      </c>
    </row>
    <row r="280" s="98" customFormat="1" ht="16.5" hidden="1" spans="1:19">
      <c r="A280" s="46">
        <v>278</v>
      </c>
      <c r="B280" s="46" t="s">
        <v>23</v>
      </c>
      <c r="C280" s="46" t="s">
        <v>35</v>
      </c>
      <c r="D280" s="7" t="s">
        <v>30</v>
      </c>
      <c r="E280" s="7" t="s">
        <v>1110</v>
      </c>
      <c r="F280" s="7" t="s">
        <v>1111</v>
      </c>
      <c r="G280" s="46" t="s">
        <v>904</v>
      </c>
      <c r="H280" s="101">
        <v>1212</v>
      </c>
      <c r="I280" s="46" t="s">
        <v>1084</v>
      </c>
      <c r="J280" s="6">
        <v>46037</v>
      </c>
      <c r="K280" s="7" t="s">
        <v>493</v>
      </c>
      <c r="L280" s="7" t="s">
        <v>915</v>
      </c>
      <c r="M280" s="46" t="s">
        <v>1102</v>
      </c>
      <c r="N280" s="46" t="s">
        <v>125</v>
      </c>
      <c r="O280" s="46" t="s">
        <v>1089</v>
      </c>
      <c r="P280" s="6">
        <v>45427</v>
      </c>
      <c r="Q280" s="102">
        <v>5</v>
      </c>
      <c r="R280" s="102">
        <v>5</v>
      </c>
      <c r="S280" s="7">
        <v>0</v>
      </c>
    </row>
    <row r="281" s="98" customFormat="1" ht="16.5" hidden="1" spans="1:19">
      <c r="A281" s="46">
        <v>279</v>
      </c>
      <c r="B281" s="46" t="s">
        <v>23</v>
      </c>
      <c r="C281" s="46" t="s">
        <v>32</v>
      </c>
      <c r="D281" s="7" t="s">
        <v>30</v>
      </c>
      <c r="E281" s="7" t="s">
        <v>1110</v>
      </c>
      <c r="F281" s="7" t="s">
        <v>1111</v>
      </c>
      <c r="G281" s="46" t="s">
        <v>904</v>
      </c>
      <c r="H281" s="101">
        <v>1212</v>
      </c>
      <c r="I281" s="46" t="s">
        <v>1084</v>
      </c>
      <c r="J281" s="6">
        <v>46037</v>
      </c>
      <c r="K281" s="7" t="s">
        <v>165</v>
      </c>
      <c r="L281" s="7" t="s">
        <v>915</v>
      </c>
      <c r="M281" s="46" t="s">
        <v>1095</v>
      </c>
      <c r="N281" s="46" t="s">
        <v>105</v>
      </c>
      <c r="O281" s="46" t="s">
        <v>921</v>
      </c>
      <c r="P281" s="6">
        <v>45699</v>
      </c>
      <c r="Q281" s="102">
        <v>0</v>
      </c>
      <c r="R281" s="102">
        <v>0</v>
      </c>
      <c r="S281" s="7">
        <v>0</v>
      </c>
    </row>
    <row r="282" s="98" customFormat="1" ht="16.5" hidden="1" spans="1:19">
      <c r="A282" s="46">
        <v>280</v>
      </c>
      <c r="B282" s="46" t="s">
        <v>23</v>
      </c>
      <c r="C282" s="46" t="s">
        <v>38</v>
      </c>
      <c r="D282" s="7" t="s">
        <v>30</v>
      </c>
      <c r="E282" s="7" t="s">
        <v>1110</v>
      </c>
      <c r="F282" s="7" t="s">
        <v>1111</v>
      </c>
      <c r="G282" s="46" t="s">
        <v>904</v>
      </c>
      <c r="H282" s="101">
        <v>1212</v>
      </c>
      <c r="I282" s="46" t="s">
        <v>1084</v>
      </c>
      <c r="J282" s="6">
        <v>46037</v>
      </c>
      <c r="K282" s="7" t="s">
        <v>253</v>
      </c>
      <c r="L282" s="7" t="s">
        <v>915</v>
      </c>
      <c r="M282" s="46" t="s">
        <v>1097</v>
      </c>
      <c r="N282" s="46" t="s">
        <v>63</v>
      </c>
      <c r="O282" s="46" t="s">
        <v>1086</v>
      </c>
      <c r="P282" s="6">
        <v>45604</v>
      </c>
      <c r="Q282" s="102">
        <v>0</v>
      </c>
      <c r="R282" s="102">
        <v>0</v>
      </c>
      <c r="S282" s="7">
        <v>0</v>
      </c>
    </row>
    <row r="283" s="98" customFormat="1" ht="16.5" hidden="1" spans="1:19">
      <c r="A283" s="46">
        <v>281</v>
      </c>
      <c r="B283" s="46" t="s">
        <v>23</v>
      </c>
      <c r="C283" s="46" t="s">
        <v>35</v>
      </c>
      <c r="D283" s="7" t="s">
        <v>30</v>
      </c>
      <c r="E283" s="7" t="s">
        <v>1110</v>
      </c>
      <c r="F283" s="7" t="s">
        <v>1111</v>
      </c>
      <c r="G283" s="46" t="s">
        <v>904</v>
      </c>
      <c r="H283" s="101">
        <v>1212</v>
      </c>
      <c r="I283" s="46" t="s">
        <v>1084</v>
      </c>
      <c r="J283" s="6">
        <v>46037</v>
      </c>
      <c r="K283" s="7" t="s">
        <v>584</v>
      </c>
      <c r="L283" s="7" t="s">
        <v>915</v>
      </c>
      <c r="M283" s="46" t="s">
        <v>1101</v>
      </c>
      <c r="N283" s="46" t="s">
        <v>125</v>
      </c>
      <c r="O283" s="46" t="s">
        <v>1089</v>
      </c>
      <c r="P283" s="6">
        <v>45791</v>
      </c>
      <c r="Q283" s="102">
        <v>5</v>
      </c>
      <c r="R283" s="102">
        <v>5</v>
      </c>
      <c r="S283" s="7">
        <v>0</v>
      </c>
    </row>
    <row r="284" s="98" customFormat="1" ht="16.5" hidden="1" spans="1:19">
      <c r="A284" s="46">
        <v>282</v>
      </c>
      <c r="B284" s="46" t="s">
        <v>23</v>
      </c>
      <c r="C284" s="46" t="s">
        <v>37</v>
      </c>
      <c r="D284" s="7" t="s">
        <v>30</v>
      </c>
      <c r="E284" s="7" t="s">
        <v>1110</v>
      </c>
      <c r="F284" s="7" t="s">
        <v>1111</v>
      </c>
      <c r="G284" s="46" t="s">
        <v>904</v>
      </c>
      <c r="H284" s="101">
        <v>1212</v>
      </c>
      <c r="I284" s="46" t="s">
        <v>1084</v>
      </c>
      <c r="J284" s="6">
        <v>46037</v>
      </c>
      <c r="K284" s="7" t="s">
        <v>251</v>
      </c>
      <c r="L284" s="7" t="s">
        <v>915</v>
      </c>
      <c r="M284" s="46" t="s">
        <v>1109</v>
      </c>
      <c r="N284" s="46" t="s">
        <v>109</v>
      </c>
      <c r="O284" s="46" t="s">
        <v>1086</v>
      </c>
      <c r="P284" s="6">
        <v>45599</v>
      </c>
      <c r="Q284" s="102">
        <v>0</v>
      </c>
      <c r="R284" s="102">
        <v>0</v>
      </c>
      <c r="S284" s="7">
        <v>0</v>
      </c>
    </row>
    <row r="285" s="98" customFormat="1" ht="16.5" hidden="1" spans="1:19">
      <c r="A285" s="46">
        <v>283</v>
      </c>
      <c r="B285" s="46" t="s">
        <v>23</v>
      </c>
      <c r="C285" s="46" t="s">
        <v>37</v>
      </c>
      <c r="D285" s="7" t="s">
        <v>30</v>
      </c>
      <c r="E285" s="7" t="s">
        <v>1110</v>
      </c>
      <c r="F285" s="7" t="s">
        <v>1111</v>
      </c>
      <c r="G285" s="46" t="s">
        <v>904</v>
      </c>
      <c r="H285" s="101">
        <v>1212</v>
      </c>
      <c r="I285" s="46" t="s">
        <v>1084</v>
      </c>
      <c r="J285" s="6">
        <v>46037</v>
      </c>
      <c r="K285" s="7" t="s">
        <v>203</v>
      </c>
      <c r="L285" s="7" t="s">
        <v>915</v>
      </c>
      <c r="M285" s="46" t="s">
        <v>1104</v>
      </c>
      <c r="N285" s="46" t="s">
        <v>109</v>
      </c>
      <c r="O285" s="46" t="s">
        <v>1086</v>
      </c>
      <c r="P285" s="6">
        <v>45011</v>
      </c>
      <c r="Q285" s="102">
        <v>0</v>
      </c>
      <c r="R285" s="102">
        <v>0</v>
      </c>
      <c r="S285" s="7">
        <v>0</v>
      </c>
    </row>
    <row r="286" s="98" customFormat="1" ht="16.5" hidden="1" spans="1:19">
      <c r="A286" s="46">
        <v>284</v>
      </c>
      <c r="B286" s="46" t="s">
        <v>23</v>
      </c>
      <c r="C286" s="46" t="s">
        <v>31</v>
      </c>
      <c r="D286" s="7" t="s">
        <v>30</v>
      </c>
      <c r="E286" s="7" t="s">
        <v>1110</v>
      </c>
      <c r="F286" s="7" t="s">
        <v>1111</v>
      </c>
      <c r="G286" s="46" t="s">
        <v>904</v>
      </c>
      <c r="H286" s="101">
        <v>1212</v>
      </c>
      <c r="I286" s="46" t="s">
        <v>1084</v>
      </c>
      <c r="J286" s="6">
        <v>46037</v>
      </c>
      <c r="K286" s="7" t="s">
        <v>245</v>
      </c>
      <c r="L286" s="7" t="s">
        <v>915</v>
      </c>
      <c r="M286" s="46" t="s">
        <v>1105</v>
      </c>
      <c r="N286" s="46" t="s">
        <v>79</v>
      </c>
      <c r="O286" s="46" t="s">
        <v>1086</v>
      </c>
      <c r="P286" s="6">
        <v>45581</v>
      </c>
      <c r="Q286" s="102">
        <v>5</v>
      </c>
      <c r="R286" s="102">
        <v>5</v>
      </c>
      <c r="S286" s="7">
        <v>0</v>
      </c>
    </row>
    <row r="287" s="98" customFormat="1" ht="16.5" hidden="1" spans="1:19">
      <c r="A287" s="46">
        <v>285</v>
      </c>
      <c r="B287" s="46" t="s">
        <v>23</v>
      </c>
      <c r="C287" s="46" t="s">
        <v>32</v>
      </c>
      <c r="D287" s="7" t="s">
        <v>30</v>
      </c>
      <c r="E287" s="7" t="s">
        <v>1110</v>
      </c>
      <c r="F287" s="7" t="s">
        <v>1111</v>
      </c>
      <c r="G287" s="46" t="s">
        <v>904</v>
      </c>
      <c r="H287" s="101">
        <v>1212</v>
      </c>
      <c r="I287" s="46" t="s">
        <v>1084</v>
      </c>
      <c r="J287" s="6">
        <v>46037</v>
      </c>
      <c r="K287" s="7" t="s">
        <v>1106</v>
      </c>
      <c r="L287" s="7" t="s">
        <v>915</v>
      </c>
      <c r="M287" s="46" t="s">
        <v>1107</v>
      </c>
      <c r="N287" s="46" t="s">
        <v>105</v>
      </c>
      <c r="O287" s="46" t="s">
        <v>909</v>
      </c>
      <c r="P287" s="6">
        <v>45915</v>
      </c>
      <c r="Q287" s="102">
        <v>0</v>
      </c>
      <c r="R287" s="102">
        <v>0</v>
      </c>
      <c r="S287" s="7">
        <v>0</v>
      </c>
    </row>
    <row r="288" s="98" customFormat="1" ht="16.5" hidden="1" spans="1:19">
      <c r="A288" s="46">
        <v>286</v>
      </c>
      <c r="B288" s="46" t="s">
        <v>23</v>
      </c>
      <c r="C288" s="46" t="s">
        <v>37</v>
      </c>
      <c r="D288" s="7" t="s">
        <v>30</v>
      </c>
      <c r="E288" s="7" t="s">
        <v>1110</v>
      </c>
      <c r="F288" s="7" t="s">
        <v>1111</v>
      </c>
      <c r="G288" s="46" t="s">
        <v>904</v>
      </c>
      <c r="H288" s="101">
        <v>1212</v>
      </c>
      <c r="I288" s="46" t="s">
        <v>1084</v>
      </c>
      <c r="J288" s="6">
        <v>46037</v>
      </c>
      <c r="K288" s="7" t="s">
        <v>237</v>
      </c>
      <c r="L288" s="7" t="s">
        <v>915</v>
      </c>
      <c r="M288" s="46" t="s">
        <v>1108</v>
      </c>
      <c r="N288" s="46" t="s">
        <v>109</v>
      </c>
      <c r="O288" s="46" t="s">
        <v>1086</v>
      </c>
      <c r="P288" s="6">
        <v>45390</v>
      </c>
      <c r="Q288" s="102">
        <v>5</v>
      </c>
      <c r="R288" s="102">
        <v>5</v>
      </c>
      <c r="S288" s="7">
        <v>0</v>
      </c>
    </row>
    <row r="289" s="98" customFormat="1" ht="16.5" hidden="1" spans="1:19">
      <c r="A289" s="46">
        <v>287</v>
      </c>
      <c r="B289" s="46" t="s">
        <v>23</v>
      </c>
      <c r="C289" s="46" t="s">
        <v>38</v>
      </c>
      <c r="D289" s="7" t="s">
        <v>30</v>
      </c>
      <c r="E289" s="7" t="s">
        <v>1110</v>
      </c>
      <c r="F289" s="7" t="s">
        <v>1111</v>
      </c>
      <c r="G289" s="46" t="s">
        <v>904</v>
      </c>
      <c r="H289" s="101">
        <v>1212</v>
      </c>
      <c r="I289" s="46" t="s">
        <v>1084</v>
      </c>
      <c r="J289" s="6">
        <v>46037</v>
      </c>
      <c r="K289" s="7" t="s">
        <v>531</v>
      </c>
      <c r="L289" s="7" t="s">
        <v>915</v>
      </c>
      <c r="M289" s="46" t="s">
        <v>1087</v>
      </c>
      <c r="N289" s="46" t="s">
        <v>148</v>
      </c>
      <c r="O289" s="46" t="s">
        <v>909</v>
      </c>
      <c r="P289" s="6">
        <v>45269</v>
      </c>
      <c r="Q289" s="102">
        <v>5</v>
      </c>
      <c r="R289" s="102">
        <v>5</v>
      </c>
      <c r="S289" s="7">
        <v>0</v>
      </c>
    </row>
    <row r="290" s="98" customFormat="1" ht="16.5" hidden="1" spans="1:19">
      <c r="A290" s="46">
        <v>288</v>
      </c>
      <c r="B290" s="46" t="s">
        <v>23</v>
      </c>
      <c r="C290" s="46" t="s">
        <v>38</v>
      </c>
      <c r="D290" s="7" t="s">
        <v>30</v>
      </c>
      <c r="E290" s="7" t="s">
        <v>1114</v>
      </c>
      <c r="F290" s="7" t="s">
        <v>1115</v>
      </c>
      <c r="G290" s="46" t="s">
        <v>904</v>
      </c>
      <c r="H290" s="101">
        <v>1212</v>
      </c>
      <c r="I290" s="46" t="s">
        <v>1084</v>
      </c>
      <c r="J290" s="6">
        <v>46036</v>
      </c>
      <c r="K290" s="7" t="s">
        <v>531</v>
      </c>
      <c r="L290" s="7" t="s">
        <v>915</v>
      </c>
      <c r="M290" s="46" t="s">
        <v>1087</v>
      </c>
      <c r="N290" s="46" t="s">
        <v>148</v>
      </c>
      <c r="O290" s="46" t="s">
        <v>909</v>
      </c>
      <c r="P290" s="6">
        <v>45269</v>
      </c>
      <c r="Q290" s="102">
        <v>5</v>
      </c>
      <c r="R290" s="102">
        <v>5</v>
      </c>
      <c r="S290" s="7">
        <v>0</v>
      </c>
    </row>
    <row r="291" s="98" customFormat="1" ht="16.5" hidden="1" spans="1:19">
      <c r="A291" s="46">
        <v>289</v>
      </c>
      <c r="B291" s="46" t="s">
        <v>23</v>
      </c>
      <c r="C291" s="46" t="s">
        <v>35</v>
      </c>
      <c r="D291" s="7" t="s">
        <v>30</v>
      </c>
      <c r="E291" s="7" t="s">
        <v>1114</v>
      </c>
      <c r="F291" s="7" t="s">
        <v>1115</v>
      </c>
      <c r="G291" s="46" t="s">
        <v>904</v>
      </c>
      <c r="H291" s="101">
        <v>1212</v>
      </c>
      <c r="I291" s="46" t="s">
        <v>1084</v>
      </c>
      <c r="J291" s="6">
        <v>46036</v>
      </c>
      <c r="K291" s="7" t="s">
        <v>463</v>
      </c>
      <c r="L291" s="7" t="s">
        <v>915</v>
      </c>
      <c r="M291" s="46" t="s">
        <v>1088</v>
      </c>
      <c r="N291" s="46" t="s">
        <v>125</v>
      </c>
      <c r="O291" s="46" t="s">
        <v>1089</v>
      </c>
      <c r="P291" s="6">
        <v>45400</v>
      </c>
      <c r="Q291" s="102">
        <v>5</v>
      </c>
      <c r="R291" s="102">
        <v>5</v>
      </c>
      <c r="S291" s="7">
        <v>0</v>
      </c>
    </row>
    <row r="292" s="98" customFormat="1" ht="16.5" hidden="1" spans="1:19">
      <c r="A292" s="46">
        <v>290</v>
      </c>
      <c r="B292" s="46" t="s">
        <v>23</v>
      </c>
      <c r="C292" s="46" t="s">
        <v>38</v>
      </c>
      <c r="D292" s="7" t="s">
        <v>30</v>
      </c>
      <c r="E292" s="7" t="s">
        <v>1114</v>
      </c>
      <c r="F292" s="7" t="s">
        <v>1115</v>
      </c>
      <c r="G292" s="46" t="s">
        <v>904</v>
      </c>
      <c r="H292" s="101">
        <v>1212</v>
      </c>
      <c r="I292" s="46" t="s">
        <v>1084</v>
      </c>
      <c r="J292" s="6">
        <v>46036</v>
      </c>
      <c r="K292" s="7" t="s">
        <v>205</v>
      </c>
      <c r="L292" s="7" t="s">
        <v>915</v>
      </c>
      <c r="M292" s="46" t="s">
        <v>1094</v>
      </c>
      <c r="N292" s="46" t="s">
        <v>168</v>
      </c>
      <c r="O292" s="46" t="s">
        <v>1089</v>
      </c>
      <c r="P292" s="6">
        <v>45763</v>
      </c>
      <c r="Q292" s="102">
        <v>5</v>
      </c>
      <c r="R292" s="102">
        <v>5</v>
      </c>
      <c r="S292" s="7">
        <v>0</v>
      </c>
    </row>
    <row r="293" s="98" customFormat="1" ht="16.5" hidden="1" spans="1:19">
      <c r="A293" s="46">
        <v>291</v>
      </c>
      <c r="B293" s="46" t="s">
        <v>23</v>
      </c>
      <c r="C293" s="46" t="s">
        <v>38</v>
      </c>
      <c r="D293" s="7" t="s">
        <v>30</v>
      </c>
      <c r="E293" s="7" t="s">
        <v>1114</v>
      </c>
      <c r="F293" s="7" t="s">
        <v>1115</v>
      </c>
      <c r="G293" s="46" t="s">
        <v>904</v>
      </c>
      <c r="H293" s="101">
        <v>1212</v>
      </c>
      <c r="I293" s="46" t="s">
        <v>1084</v>
      </c>
      <c r="J293" s="6">
        <v>46036</v>
      </c>
      <c r="K293" s="7" t="s">
        <v>540</v>
      </c>
      <c r="L293" s="7" t="s">
        <v>915</v>
      </c>
      <c r="M293" s="46" t="s">
        <v>1093</v>
      </c>
      <c r="N293" s="46" t="s">
        <v>220</v>
      </c>
      <c r="O293" s="46" t="s">
        <v>1089</v>
      </c>
      <c r="P293" s="6">
        <v>45545</v>
      </c>
      <c r="Q293" s="102">
        <v>5</v>
      </c>
      <c r="R293" s="102">
        <v>5</v>
      </c>
      <c r="S293" s="7">
        <v>0</v>
      </c>
    </row>
    <row r="294" s="98" customFormat="1" ht="16.5" hidden="1" spans="1:19">
      <c r="A294" s="46">
        <v>292</v>
      </c>
      <c r="B294" s="46" t="s">
        <v>23</v>
      </c>
      <c r="C294" s="46" t="s">
        <v>38</v>
      </c>
      <c r="D294" s="7" t="s">
        <v>30</v>
      </c>
      <c r="E294" s="7" t="s">
        <v>1114</v>
      </c>
      <c r="F294" s="7" t="s">
        <v>1115</v>
      </c>
      <c r="G294" s="46" t="s">
        <v>904</v>
      </c>
      <c r="H294" s="101">
        <v>1212</v>
      </c>
      <c r="I294" s="46" t="s">
        <v>1084</v>
      </c>
      <c r="J294" s="6">
        <v>46036</v>
      </c>
      <c r="K294" s="7" t="s">
        <v>147</v>
      </c>
      <c r="L294" s="7" t="s">
        <v>915</v>
      </c>
      <c r="M294" s="46" t="s">
        <v>1100</v>
      </c>
      <c r="N294" s="46" t="s">
        <v>148</v>
      </c>
      <c r="O294" s="46" t="s">
        <v>1089</v>
      </c>
      <c r="P294" s="6">
        <v>45669</v>
      </c>
      <c r="Q294" s="102">
        <v>5</v>
      </c>
      <c r="R294" s="102">
        <v>5</v>
      </c>
      <c r="S294" s="7">
        <v>0</v>
      </c>
    </row>
    <row r="295" s="98" customFormat="1" ht="16.5" hidden="1" spans="1:19">
      <c r="A295" s="46">
        <v>293</v>
      </c>
      <c r="B295" s="46" t="s">
        <v>23</v>
      </c>
      <c r="C295" s="46" t="s">
        <v>32</v>
      </c>
      <c r="D295" s="7" t="s">
        <v>30</v>
      </c>
      <c r="E295" s="7" t="s">
        <v>1114</v>
      </c>
      <c r="F295" s="7" t="s">
        <v>1115</v>
      </c>
      <c r="G295" s="46" t="s">
        <v>904</v>
      </c>
      <c r="H295" s="101">
        <v>1212</v>
      </c>
      <c r="I295" s="46" t="s">
        <v>1084</v>
      </c>
      <c r="J295" s="6">
        <v>46036</v>
      </c>
      <c r="K295" s="7" t="s">
        <v>192</v>
      </c>
      <c r="L295" s="7" t="s">
        <v>915</v>
      </c>
      <c r="M295" s="46" t="s">
        <v>1092</v>
      </c>
      <c r="N295" s="46" t="s">
        <v>105</v>
      </c>
      <c r="O295" s="46" t="s">
        <v>1089</v>
      </c>
      <c r="P295" s="6">
        <v>44351</v>
      </c>
      <c r="Q295" s="102">
        <v>0</v>
      </c>
      <c r="R295" s="102">
        <v>0</v>
      </c>
      <c r="S295" s="7">
        <v>0</v>
      </c>
    </row>
    <row r="296" s="98" customFormat="1" ht="16.5" hidden="1" spans="1:19">
      <c r="A296" s="46">
        <v>294</v>
      </c>
      <c r="B296" s="46" t="s">
        <v>23</v>
      </c>
      <c r="C296" s="46" t="s">
        <v>38</v>
      </c>
      <c r="D296" s="7" t="s">
        <v>30</v>
      </c>
      <c r="E296" s="7" t="s">
        <v>1114</v>
      </c>
      <c r="F296" s="7" t="s">
        <v>1115</v>
      </c>
      <c r="G296" s="46" t="s">
        <v>904</v>
      </c>
      <c r="H296" s="101">
        <v>1212</v>
      </c>
      <c r="I296" s="46" t="s">
        <v>1084</v>
      </c>
      <c r="J296" s="6">
        <v>46036</v>
      </c>
      <c r="K296" s="7" t="s">
        <v>227</v>
      </c>
      <c r="L296" s="7" t="s">
        <v>915</v>
      </c>
      <c r="M296" s="46" t="s">
        <v>1091</v>
      </c>
      <c r="N296" s="46" t="s">
        <v>148</v>
      </c>
      <c r="O296" s="46" t="s">
        <v>921</v>
      </c>
      <c r="P296" s="6">
        <v>45706</v>
      </c>
      <c r="Q296" s="102">
        <v>5</v>
      </c>
      <c r="R296" s="102">
        <v>5</v>
      </c>
      <c r="S296" s="7">
        <v>0</v>
      </c>
    </row>
    <row r="297" s="98" customFormat="1" ht="16.5" hidden="1" spans="1:19">
      <c r="A297" s="46">
        <v>295</v>
      </c>
      <c r="B297" s="46" t="s">
        <v>23</v>
      </c>
      <c r="C297" s="46" t="s">
        <v>36</v>
      </c>
      <c r="D297" s="7" t="s">
        <v>30</v>
      </c>
      <c r="E297" s="7" t="s">
        <v>1114</v>
      </c>
      <c r="F297" s="7" t="s">
        <v>1115</v>
      </c>
      <c r="G297" s="46" t="s">
        <v>904</v>
      </c>
      <c r="H297" s="101">
        <v>1212</v>
      </c>
      <c r="I297" s="46" t="s">
        <v>1084</v>
      </c>
      <c r="J297" s="6">
        <v>46036</v>
      </c>
      <c r="K297" s="7" t="s">
        <v>320</v>
      </c>
      <c r="L297" s="7" t="s">
        <v>915</v>
      </c>
      <c r="M297" s="46" t="s">
        <v>1085</v>
      </c>
      <c r="N297" s="46" t="s">
        <v>173</v>
      </c>
      <c r="O297" s="46" t="s">
        <v>1086</v>
      </c>
      <c r="P297" s="6">
        <v>45502</v>
      </c>
      <c r="Q297" s="102">
        <v>5</v>
      </c>
      <c r="R297" s="102">
        <v>5</v>
      </c>
      <c r="S297" s="7">
        <v>0</v>
      </c>
    </row>
    <row r="298" s="98" customFormat="1" ht="16.5" hidden="1" spans="1:19">
      <c r="A298" s="46">
        <v>296</v>
      </c>
      <c r="B298" s="46" t="s">
        <v>23</v>
      </c>
      <c r="C298" s="46" t="s">
        <v>38</v>
      </c>
      <c r="D298" s="7" t="s">
        <v>30</v>
      </c>
      <c r="E298" s="7" t="s">
        <v>1114</v>
      </c>
      <c r="F298" s="7" t="s">
        <v>1115</v>
      </c>
      <c r="G298" s="46" t="s">
        <v>904</v>
      </c>
      <c r="H298" s="101">
        <v>1212</v>
      </c>
      <c r="I298" s="46" t="s">
        <v>1084</v>
      </c>
      <c r="J298" s="6">
        <v>46036</v>
      </c>
      <c r="K298" s="7" t="s">
        <v>294</v>
      </c>
      <c r="L298" s="7" t="s">
        <v>915</v>
      </c>
      <c r="M298" s="46" t="s">
        <v>1112</v>
      </c>
      <c r="N298" s="46" t="s">
        <v>63</v>
      </c>
      <c r="O298" s="46" t="s">
        <v>1113</v>
      </c>
      <c r="P298" s="6">
        <v>44725</v>
      </c>
      <c r="Q298" s="102">
        <v>0</v>
      </c>
      <c r="R298" s="102">
        <v>0</v>
      </c>
      <c r="S298" s="7">
        <v>0</v>
      </c>
    </row>
    <row r="299" s="98" customFormat="1" ht="16.5" hidden="1" spans="1:19">
      <c r="A299" s="46">
        <v>297</v>
      </c>
      <c r="B299" s="46" t="s">
        <v>23</v>
      </c>
      <c r="C299" s="46" t="s">
        <v>38</v>
      </c>
      <c r="D299" s="7" t="s">
        <v>30</v>
      </c>
      <c r="E299" s="7" t="s">
        <v>1114</v>
      </c>
      <c r="F299" s="7" t="s">
        <v>1115</v>
      </c>
      <c r="G299" s="46" t="s">
        <v>904</v>
      </c>
      <c r="H299" s="101">
        <v>1212</v>
      </c>
      <c r="I299" s="46" t="s">
        <v>1084</v>
      </c>
      <c r="J299" s="6">
        <v>46036</v>
      </c>
      <c r="K299" s="7" t="s">
        <v>95</v>
      </c>
      <c r="L299" s="7" t="s">
        <v>915</v>
      </c>
      <c r="M299" s="46" t="s">
        <v>1096</v>
      </c>
      <c r="N299" s="46" t="s">
        <v>63</v>
      </c>
      <c r="O299" s="46" t="s">
        <v>1089</v>
      </c>
      <c r="P299" s="6">
        <v>45661</v>
      </c>
      <c r="Q299" s="102">
        <v>5</v>
      </c>
      <c r="R299" s="102">
        <v>5</v>
      </c>
      <c r="S299" s="7">
        <v>0</v>
      </c>
    </row>
    <row r="300" s="98" customFormat="1" ht="16.5" hidden="1" spans="1:19">
      <c r="A300" s="46">
        <v>298</v>
      </c>
      <c r="B300" s="46" t="s">
        <v>23</v>
      </c>
      <c r="C300" s="46" t="s">
        <v>38</v>
      </c>
      <c r="D300" s="7" t="s">
        <v>30</v>
      </c>
      <c r="E300" s="7" t="s">
        <v>1114</v>
      </c>
      <c r="F300" s="7" t="s">
        <v>1115</v>
      </c>
      <c r="G300" s="46" t="s">
        <v>904</v>
      </c>
      <c r="H300" s="101">
        <v>1212</v>
      </c>
      <c r="I300" s="46" t="s">
        <v>1084</v>
      </c>
      <c r="J300" s="6">
        <v>46036</v>
      </c>
      <c r="K300" s="7" t="s">
        <v>481</v>
      </c>
      <c r="L300" s="7" t="s">
        <v>915</v>
      </c>
      <c r="M300" s="46" t="s">
        <v>1099</v>
      </c>
      <c r="N300" s="46" t="s">
        <v>63</v>
      </c>
      <c r="O300" s="46" t="s">
        <v>1089</v>
      </c>
      <c r="P300" s="6">
        <v>45698</v>
      </c>
      <c r="Q300" s="102">
        <v>5</v>
      </c>
      <c r="R300" s="102">
        <v>5</v>
      </c>
      <c r="S300" s="7">
        <v>0</v>
      </c>
    </row>
    <row r="301" s="98" customFormat="1" ht="16.5" hidden="1" spans="1:19">
      <c r="A301" s="46">
        <v>299</v>
      </c>
      <c r="B301" s="46" t="s">
        <v>23</v>
      </c>
      <c r="C301" s="46" t="s">
        <v>31</v>
      </c>
      <c r="D301" s="7" t="s">
        <v>30</v>
      </c>
      <c r="E301" s="7" t="s">
        <v>1114</v>
      </c>
      <c r="F301" s="7" t="s">
        <v>1115</v>
      </c>
      <c r="G301" s="46" t="s">
        <v>904</v>
      </c>
      <c r="H301" s="101">
        <v>1212</v>
      </c>
      <c r="I301" s="46" t="s">
        <v>1084</v>
      </c>
      <c r="J301" s="6">
        <v>46036</v>
      </c>
      <c r="K301" s="7" t="s">
        <v>78</v>
      </c>
      <c r="L301" s="7" t="s">
        <v>915</v>
      </c>
      <c r="M301" s="46" t="s">
        <v>1103</v>
      </c>
      <c r="N301" s="46" t="s">
        <v>79</v>
      </c>
      <c r="O301" s="46" t="s">
        <v>1086</v>
      </c>
      <c r="P301" s="6">
        <v>45649</v>
      </c>
      <c r="Q301" s="102">
        <v>5</v>
      </c>
      <c r="R301" s="102">
        <v>5</v>
      </c>
      <c r="S301" s="7">
        <v>0</v>
      </c>
    </row>
    <row r="302" s="98" customFormat="1" ht="16.5" hidden="1" spans="1:19">
      <c r="A302" s="46">
        <v>300</v>
      </c>
      <c r="B302" s="46" t="s">
        <v>23</v>
      </c>
      <c r="C302" s="46" t="s">
        <v>35</v>
      </c>
      <c r="D302" s="7" t="s">
        <v>30</v>
      </c>
      <c r="E302" s="7" t="s">
        <v>1114</v>
      </c>
      <c r="F302" s="7" t="s">
        <v>1115</v>
      </c>
      <c r="G302" s="46" t="s">
        <v>904</v>
      </c>
      <c r="H302" s="101">
        <v>1212</v>
      </c>
      <c r="I302" s="46" t="s">
        <v>1084</v>
      </c>
      <c r="J302" s="6">
        <v>46036</v>
      </c>
      <c r="K302" s="7" t="s">
        <v>493</v>
      </c>
      <c r="L302" s="7" t="s">
        <v>915</v>
      </c>
      <c r="M302" s="46" t="s">
        <v>1102</v>
      </c>
      <c r="N302" s="46" t="s">
        <v>125</v>
      </c>
      <c r="O302" s="46" t="s">
        <v>1089</v>
      </c>
      <c r="P302" s="6">
        <v>45427</v>
      </c>
      <c r="Q302" s="102">
        <v>5</v>
      </c>
      <c r="R302" s="102">
        <v>5</v>
      </c>
      <c r="S302" s="7">
        <v>0</v>
      </c>
    </row>
    <row r="303" s="98" customFormat="1" ht="16.5" hidden="1" spans="1:19">
      <c r="A303" s="46">
        <v>301</v>
      </c>
      <c r="B303" s="46" t="s">
        <v>23</v>
      </c>
      <c r="C303" s="46" t="s">
        <v>32</v>
      </c>
      <c r="D303" s="7" t="s">
        <v>30</v>
      </c>
      <c r="E303" s="7" t="s">
        <v>1114</v>
      </c>
      <c r="F303" s="7" t="s">
        <v>1115</v>
      </c>
      <c r="G303" s="46" t="s">
        <v>904</v>
      </c>
      <c r="H303" s="101">
        <v>1212</v>
      </c>
      <c r="I303" s="46" t="s">
        <v>1084</v>
      </c>
      <c r="J303" s="6">
        <v>46036</v>
      </c>
      <c r="K303" s="7" t="s">
        <v>165</v>
      </c>
      <c r="L303" s="7" t="s">
        <v>915</v>
      </c>
      <c r="M303" s="46" t="s">
        <v>1095</v>
      </c>
      <c r="N303" s="46" t="s">
        <v>105</v>
      </c>
      <c r="O303" s="46" t="s">
        <v>921</v>
      </c>
      <c r="P303" s="6">
        <v>45699</v>
      </c>
      <c r="Q303" s="102">
        <v>5</v>
      </c>
      <c r="R303" s="102">
        <v>5</v>
      </c>
      <c r="S303" s="7">
        <v>0</v>
      </c>
    </row>
    <row r="304" s="98" customFormat="1" ht="16.5" hidden="1" spans="1:19">
      <c r="A304" s="46">
        <v>302</v>
      </c>
      <c r="B304" s="46" t="s">
        <v>23</v>
      </c>
      <c r="C304" s="46" t="s">
        <v>38</v>
      </c>
      <c r="D304" s="7" t="s">
        <v>30</v>
      </c>
      <c r="E304" s="7" t="s">
        <v>1114</v>
      </c>
      <c r="F304" s="7" t="s">
        <v>1115</v>
      </c>
      <c r="G304" s="46" t="s">
        <v>904</v>
      </c>
      <c r="H304" s="101">
        <v>1212</v>
      </c>
      <c r="I304" s="46" t="s">
        <v>1084</v>
      </c>
      <c r="J304" s="6">
        <v>46036</v>
      </c>
      <c r="K304" s="7" t="s">
        <v>253</v>
      </c>
      <c r="L304" s="7" t="s">
        <v>915</v>
      </c>
      <c r="M304" s="46" t="s">
        <v>1097</v>
      </c>
      <c r="N304" s="46" t="s">
        <v>63</v>
      </c>
      <c r="O304" s="46" t="s">
        <v>1086</v>
      </c>
      <c r="P304" s="6">
        <v>45604</v>
      </c>
      <c r="Q304" s="102">
        <v>5</v>
      </c>
      <c r="R304" s="102">
        <v>5</v>
      </c>
      <c r="S304" s="7">
        <v>0</v>
      </c>
    </row>
    <row r="305" s="98" customFormat="1" ht="16.5" hidden="1" spans="1:19">
      <c r="A305" s="46">
        <v>303</v>
      </c>
      <c r="B305" s="46" t="s">
        <v>23</v>
      </c>
      <c r="C305" s="46" t="s">
        <v>35</v>
      </c>
      <c r="D305" s="7" t="s">
        <v>30</v>
      </c>
      <c r="E305" s="7" t="s">
        <v>1114</v>
      </c>
      <c r="F305" s="7" t="s">
        <v>1115</v>
      </c>
      <c r="G305" s="46" t="s">
        <v>904</v>
      </c>
      <c r="H305" s="101">
        <v>1212</v>
      </c>
      <c r="I305" s="46" t="s">
        <v>1084</v>
      </c>
      <c r="J305" s="6">
        <v>46036</v>
      </c>
      <c r="K305" s="7" t="s">
        <v>584</v>
      </c>
      <c r="L305" s="7" t="s">
        <v>915</v>
      </c>
      <c r="M305" s="46" t="s">
        <v>1101</v>
      </c>
      <c r="N305" s="46" t="s">
        <v>125</v>
      </c>
      <c r="O305" s="46" t="s">
        <v>1089</v>
      </c>
      <c r="P305" s="6">
        <v>45791</v>
      </c>
      <c r="Q305" s="102">
        <v>5</v>
      </c>
      <c r="R305" s="102">
        <v>5</v>
      </c>
      <c r="S305" s="7">
        <v>0</v>
      </c>
    </row>
    <row r="306" s="98" customFormat="1" ht="16.5" hidden="1" spans="1:19">
      <c r="A306" s="46">
        <v>304</v>
      </c>
      <c r="B306" s="46" t="s">
        <v>23</v>
      </c>
      <c r="C306" s="46" t="s">
        <v>37</v>
      </c>
      <c r="D306" s="7" t="s">
        <v>30</v>
      </c>
      <c r="E306" s="7" t="s">
        <v>1114</v>
      </c>
      <c r="F306" s="7" t="s">
        <v>1115</v>
      </c>
      <c r="G306" s="46" t="s">
        <v>904</v>
      </c>
      <c r="H306" s="101">
        <v>1212</v>
      </c>
      <c r="I306" s="46" t="s">
        <v>1084</v>
      </c>
      <c r="J306" s="6">
        <v>46036</v>
      </c>
      <c r="K306" s="7" t="s">
        <v>251</v>
      </c>
      <c r="L306" s="7" t="s">
        <v>915</v>
      </c>
      <c r="M306" s="46" t="s">
        <v>1109</v>
      </c>
      <c r="N306" s="46" t="s">
        <v>109</v>
      </c>
      <c r="O306" s="46" t="s">
        <v>1086</v>
      </c>
      <c r="P306" s="6">
        <v>45599</v>
      </c>
      <c r="Q306" s="102">
        <v>5</v>
      </c>
      <c r="R306" s="102">
        <v>5</v>
      </c>
      <c r="S306" s="7">
        <v>0</v>
      </c>
    </row>
    <row r="307" s="98" customFormat="1" ht="16.5" hidden="1" spans="1:19">
      <c r="A307" s="46">
        <v>305</v>
      </c>
      <c r="B307" s="46" t="s">
        <v>23</v>
      </c>
      <c r="C307" s="46" t="s">
        <v>37</v>
      </c>
      <c r="D307" s="7" t="s">
        <v>30</v>
      </c>
      <c r="E307" s="7" t="s">
        <v>1114</v>
      </c>
      <c r="F307" s="7" t="s">
        <v>1115</v>
      </c>
      <c r="G307" s="46" t="s">
        <v>904</v>
      </c>
      <c r="H307" s="101">
        <v>1212</v>
      </c>
      <c r="I307" s="46" t="s">
        <v>1084</v>
      </c>
      <c r="J307" s="6">
        <v>46036</v>
      </c>
      <c r="K307" s="7" t="s">
        <v>203</v>
      </c>
      <c r="L307" s="7" t="s">
        <v>915</v>
      </c>
      <c r="M307" s="46" t="s">
        <v>1104</v>
      </c>
      <c r="N307" s="46" t="s">
        <v>109</v>
      </c>
      <c r="O307" s="46" t="s">
        <v>1086</v>
      </c>
      <c r="P307" s="6">
        <v>45011</v>
      </c>
      <c r="Q307" s="102">
        <v>5</v>
      </c>
      <c r="R307" s="102">
        <v>5</v>
      </c>
      <c r="S307" s="7">
        <v>0</v>
      </c>
    </row>
    <row r="308" s="98" customFormat="1" ht="16.5" hidden="1" spans="1:19">
      <c r="A308" s="46">
        <v>306</v>
      </c>
      <c r="B308" s="46" t="s">
        <v>23</v>
      </c>
      <c r="C308" s="46" t="s">
        <v>31</v>
      </c>
      <c r="D308" s="7" t="s">
        <v>30</v>
      </c>
      <c r="E308" s="7" t="s">
        <v>1114</v>
      </c>
      <c r="F308" s="7" t="s">
        <v>1115</v>
      </c>
      <c r="G308" s="46" t="s">
        <v>904</v>
      </c>
      <c r="H308" s="101">
        <v>1212</v>
      </c>
      <c r="I308" s="46" t="s">
        <v>1084</v>
      </c>
      <c r="J308" s="6">
        <v>46036</v>
      </c>
      <c r="K308" s="7" t="s">
        <v>245</v>
      </c>
      <c r="L308" s="7" t="s">
        <v>915</v>
      </c>
      <c r="M308" s="46" t="s">
        <v>1105</v>
      </c>
      <c r="N308" s="46" t="s">
        <v>79</v>
      </c>
      <c r="O308" s="46" t="s">
        <v>1086</v>
      </c>
      <c r="P308" s="6">
        <v>45581</v>
      </c>
      <c r="Q308" s="102">
        <v>5</v>
      </c>
      <c r="R308" s="102">
        <v>5</v>
      </c>
      <c r="S308" s="7">
        <v>0</v>
      </c>
    </row>
    <row r="309" s="98" customFormat="1" ht="16.5" hidden="1" spans="1:19">
      <c r="A309" s="46">
        <v>307</v>
      </c>
      <c r="B309" s="46" t="s">
        <v>23</v>
      </c>
      <c r="C309" s="46" t="s">
        <v>32</v>
      </c>
      <c r="D309" s="7" t="s">
        <v>30</v>
      </c>
      <c r="E309" s="7" t="s">
        <v>1114</v>
      </c>
      <c r="F309" s="7" t="s">
        <v>1115</v>
      </c>
      <c r="G309" s="46" t="s">
        <v>904</v>
      </c>
      <c r="H309" s="101">
        <v>1212</v>
      </c>
      <c r="I309" s="46" t="s">
        <v>1084</v>
      </c>
      <c r="J309" s="6">
        <v>46036</v>
      </c>
      <c r="K309" s="7" t="s">
        <v>1106</v>
      </c>
      <c r="L309" s="7" t="s">
        <v>915</v>
      </c>
      <c r="M309" s="46" t="s">
        <v>1107</v>
      </c>
      <c r="N309" s="46" t="s">
        <v>105</v>
      </c>
      <c r="O309" s="46" t="s">
        <v>909</v>
      </c>
      <c r="P309" s="6">
        <v>45915</v>
      </c>
      <c r="Q309" s="102">
        <v>0</v>
      </c>
      <c r="R309" s="102">
        <v>0</v>
      </c>
      <c r="S309" s="7">
        <v>0</v>
      </c>
    </row>
    <row r="310" s="98" customFormat="1" ht="16.5" hidden="1" spans="1:19">
      <c r="A310" s="46">
        <v>308</v>
      </c>
      <c r="B310" s="46" t="s">
        <v>23</v>
      </c>
      <c r="C310" s="46" t="s">
        <v>37</v>
      </c>
      <c r="D310" s="7" t="s">
        <v>30</v>
      </c>
      <c r="E310" s="7" t="s">
        <v>1114</v>
      </c>
      <c r="F310" s="7" t="s">
        <v>1115</v>
      </c>
      <c r="G310" s="46" t="s">
        <v>904</v>
      </c>
      <c r="H310" s="101">
        <v>1212</v>
      </c>
      <c r="I310" s="46" t="s">
        <v>1084</v>
      </c>
      <c r="J310" s="6">
        <v>46036</v>
      </c>
      <c r="K310" s="7" t="s">
        <v>237</v>
      </c>
      <c r="L310" s="7" t="s">
        <v>915</v>
      </c>
      <c r="M310" s="46" t="s">
        <v>1108</v>
      </c>
      <c r="N310" s="46" t="s">
        <v>109</v>
      </c>
      <c r="O310" s="46" t="s">
        <v>1086</v>
      </c>
      <c r="P310" s="6">
        <v>45390</v>
      </c>
      <c r="Q310" s="102">
        <v>5</v>
      </c>
      <c r="R310" s="102">
        <v>5</v>
      </c>
      <c r="S310" s="7">
        <v>0</v>
      </c>
    </row>
    <row r="311" s="98" customFormat="1" ht="16.5" hidden="1" spans="1:19">
      <c r="A311" s="46">
        <v>309</v>
      </c>
      <c r="B311" s="46" t="s">
        <v>23</v>
      </c>
      <c r="C311" s="46" t="s">
        <v>35</v>
      </c>
      <c r="D311" s="7" t="s">
        <v>30</v>
      </c>
      <c r="E311" s="7" t="s">
        <v>1116</v>
      </c>
      <c r="F311" s="7" t="s">
        <v>1077</v>
      </c>
      <c r="G311" s="46" t="s">
        <v>904</v>
      </c>
      <c r="H311" s="101">
        <v>1212</v>
      </c>
      <c r="I311" s="46" t="s">
        <v>1084</v>
      </c>
      <c r="J311" s="6">
        <v>46036</v>
      </c>
      <c r="K311" s="7" t="s">
        <v>463</v>
      </c>
      <c r="L311" s="7" t="s">
        <v>915</v>
      </c>
      <c r="M311" s="46" t="s">
        <v>1088</v>
      </c>
      <c r="N311" s="46" t="s">
        <v>125</v>
      </c>
      <c r="O311" s="46" t="s">
        <v>1089</v>
      </c>
      <c r="P311" s="6">
        <v>45400</v>
      </c>
      <c r="Q311" s="102">
        <v>5</v>
      </c>
      <c r="R311" s="102">
        <v>5</v>
      </c>
      <c r="S311" s="7">
        <v>0</v>
      </c>
    </row>
    <row r="312" s="98" customFormat="1" ht="16.5" hidden="1" spans="1:19">
      <c r="A312" s="46">
        <v>310</v>
      </c>
      <c r="B312" s="46" t="s">
        <v>23</v>
      </c>
      <c r="C312" s="46" t="s">
        <v>38</v>
      </c>
      <c r="D312" s="7" t="s">
        <v>30</v>
      </c>
      <c r="E312" s="7" t="s">
        <v>1116</v>
      </c>
      <c r="F312" s="7" t="s">
        <v>1077</v>
      </c>
      <c r="G312" s="46" t="s">
        <v>904</v>
      </c>
      <c r="H312" s="101">
        <v>1212</v>
      </c>
      <c r="I312" s="46" t="s">
        <v>1084</v>
      </c>
      <c r="J312" s="6">
        <v>46036</v>
      </c>
      <c r="K312" s="7" t="s">
        <v>205</v>
      </c>
      <c r="L312" s="7" t="s">
        <v>915</v>
      </c>
      <c r="M312" s="46" t="s">
        <v>1094</v>
      </c>
      <c r="N312" s="46" t="s">
        <v>168</v>
      </c>
      <c r="O312" s="46" t="s">
        <v>1089</v>
      </c>
      <c r="P312" s="6">
        <v>45763</v>
      </c>
      <c r="Q312" s="102">
        <v>5</v>
      </c>
      <c r="R312" s="102">
        <v>5</v>
      </c>
      <c r="S312" s="7">
        <v>0</v>
      </c>
    </row>
    <row r="313" s="98" customFormat="1" ht="16.5" hidden="1" spans="1:19">
      <c r="A313" s="46">
        <v>311</v>
      </c>
      <c r="B313" s="46" t="s">
        <v>23</v>
      </c>
      <c r="C313" s="46" t="s">
        <v>38</v>
      </c>
      <c r="D313" s="7" t="s">
        <v>30</v>
      </c>
      <c r="E313" s="7" t="s">
        <v>1116</v>
      </c>
      <c r="F313" s="7" t="s">
        <v>1077</v>
      </c>
      <c r="G313" s="46" t="s">
        <v>904</v>
      </c>
      <c r="H313" s="101">
        <v>1212</v>
      </c>
      <c r="I313" s="46" t="s">
        <v>1084</v>
      </c>
      <c r="J313" s="6">
        <v>46036</v>
      </c>
      <c r="K313" s="7" t="s">
        <v>540</v>
      </c>
      <c r="L313" s="7" t="s">
        <v>915</v>
      </c>
      <c r="M313" s="46" t="s">
        <v>1093</v>
      </c>
      <c r="N313" s="46" t="s">
        <v>220</v>
      </c>
      <c r="O313" s="46" t="s">
        <v>1089</v>
      </c>
      <c r="P313" s="6">
        <v>45545</v>
      </c>
      <c r="Q313" s="102">
        <v>5</v>
      </c>
      <c r="R313" s="102">
        <v>5</v>
      </c>
      <c r="S313" s="7">
        <v>0</v>
      </c>
    </row>
    <row r="314" s="98" customFormat="1" ht="16.5" hidden="1" spans="1:19">
      <c r="A314" s="46">
        <v>312</v>
      </c>
      <c r="B314" s="46" t="s">
        <v>23</v>
      </c>
      <c r="C314" s="46" t="s">
        <v>38</v>
      </c>
      <c r="D314" s="7" t="s">
        <v>30</v>
      </c>
      <c r="E314" s="7" t="s">
        <v>1116</v>
      </c>
      <c r="F314" s="7" t="s">
        <v>1077</v>
      </c>
      <c r="G314" s="46" t="s">
        <v>904</v>
      </c>
      <c r="H314" s="101">
        <v>1212</v>
      </c>
      <c r="I314" s="46" t="s">
        <v>1084</v>
      </c>
      <c r="J314" s="6">
        <v>46036</v>
      </c>
      <c r="K314" s="7" t="s">
        <v>147</v>
      </c>
      <c r="L314" s="7" t="s">
        <v>915</v>
      </c>
      <c r="M314" s="46" t="s">
        <v>1100</v>
      </c>
      <c r="N314" s="46" t="s">
        <v>148</v>
      </c>
      <c r="O314" s="46" t="s">
        <v>1089</v>
      </c>
      <c r="P314" s="6">
        <v>45669</v>
      </c>
      <c r="Q314" s="102">
        <v>5</v>
      </c>
      <c r="R314" s="102">
        <v>5</v>
      </c>
      <c r="S314" s="7">
        <v>0</v>
      </c>
    </row>
    <row r="315" s="98" customFormat="1" ht="16.5" hidden="1" spans="1:19">
      <c r="A315" s="46">
        <v>313</v>
      </c>
      <c r="B315" s="46" t="s">
        <v>23</v>
      </c>
      <c r="C315" s="46" t="s">
        <v>32</v>
      </c>
      <c r="D315" s="7" t="s">
        <v>30</v>
      </c>
      <c r="E315" s="7" t="s">
        <v>1116</v>
      </c>
      <c r="F315" s="7" t="s">
        <v>1077</v>
      </c>
      <c r="G315" s="46" t="s">
        <v>904</v>
      </c>
      <c r="H315" s="101">
        <v>1212</v>
      </c>
      <c r="I315" s="46" t="s">
        <v>1084</v>
      </c>
      <c r="J315" s="6">
        <v>46036</v>
      </c>
      <c r="K315" s="7" t="s">
        <v>192</v>
      </c>
      <c r="L315" s="7" t="s">
        <v>915</v>
      </c>
      <c r="M315" s="46" t="s">
        <v>1092</v>
      </c>
      <c r="N315" s="46" t="s">
        <v>105</v>
      </c>
      <c r="O315" s="46" t="s">
        <v>1089</v>
      </c>
      <c r="P315" s="6">
        <v>44351</v>
      </c>
      <c r="Q315" s="102">
        <v>5</v>
      </c>
      <c r="R315" s="102">
        <v>5</v>
      </c>
      <c r="S315" s="7">
        <v>0</v>
      </c>
    </row>
    <row r="316" s="98" customFormat="1" ht="16.5" hidden="1" spans="1:19">
      <c r="A316" s="46">
        <v>314</v>
      </c>
      <c r="B316" s="46" t="s">
        <v>23</v>
      </c>
      <c r="C316" s="46" t="s">
        <v>38</v>
      </c>
      <c r="D316" s="7" t="s">
        <v>30</v>
      </c>
      <c r="E316" s="7" t="s">
        <v>1116</v>
      </c>
      <c r="F316" s="7" t="s">
        <v>1077</v>
      </c>
      <c r="G316" s="46" t="s">
        <v>904</v>
      </c>
      <c r="H316" s="101">
        <v>1212</v>
      </c>
      <c r="I316" s="46" t="s">
        <v>1084</v>
      </c>
      <c r="J316" s="6">
        <v>46036</v>
      </c>
      <c r="K316" s="7" t="s">
        <v>227</v>
      </c>
      <c r="L316" s="7" t="s">
        <v>915</v>
      </c>
      <c r="M316" s="46" t="s">
        <v>1091</v>
      </c>
      <c r="N316" s="46" t="s">
        <v>148</v>
      </c>
      <c r="O316" s="46" t="s">
        <v>921</v>
      </c>
      <c r="P316" s="6">
        <v>45706</v>
      </c>
      <c r="Q316" s="102">
        <v>5</v>
      </c>
      <c r="R316" s="102">
        <v>5</v>
      </c>
      <c r="S316" s="7">
        <v>0</v>
      </c>
    </row>
    <row r="317" s="98" customFormat="1" ht="16.5" hidden="1" spans="1:19">
      <c r="A317" s="46">
        <v>315</v>
      </c>
      <c r="B317" s="46" t="s">
        <v>23</v>
      </c>
      <c r="C317" s="46" t="s">
        <v>36</v>
      </c>
      <c r="D317" s="7" t="s">
        <v>30</v>
      </c>
      <c r="E317" s="7" t="s">
        <v>1116</v>
      </c>
      <c r="F317" s="7" t="s">
        <v>1077</v>
      </c>
      <c r="G317" s="46" t="s">
        <v>904</v>
      </c>
      <c r="H317" s="101">
        <v>1212</v>
      </c>
      <c r="I317" s="46" t="s">
        <v>1084</v>
      </c>
      <c r="J317" s="6">
        <v>46036</v>
      </c>
      <c r="K317" s="7" t="s">
        <v>320</v>
      </c>
      <c r="L317" s="7" t="s">
        <v>915</v>
      </c>
      <c r="M317" s="46" t="s">
        <v>1085</v>
      </c>
      <c r="N317" s="46" t="s">
        <v>173</v>
      </c>
      <c r="O317" s="46" t="s">
        <v>1086</v>
      </c>
      <c r="P317" s="6">
        <v>45502</v>
      </c>
      <c r="Q317" s="102">
        <v>5</v>
      </c>
      <c r="R317" s="102">
        <v>5</v>
      </c>
      <c r="S317" s="7">
        <v>0</v>
      </c>
    </row>
    <row r="318" s="98" customFormat="1" ht="16.5" hidden="1" spans="1:19">
      <c r="A318" s="46">
        <v>316</v>
      </c>
      <c r="B318" s="46" t="s">
        <v>23</v>
      </c>
      <c r="C318" s="46" t="s">
        <v>38</v>
      </c>
      <c r="D318" s="7" t="s">
        <v>30</v>
      </c>
      <c r="E318" s="7" t="s">
        <v>1116</v>
      </c>
      <c r="F318" s="7" t="s">
        <v>1077</v>
      </c>
      <c r="G318" s="46" t="s">
        <v>904</v>
      </c>
      <c r="H318" s="101">
        <v>1212</v>
      </c>
      <c r="I318" s="46" t="s">
        <v>1084</v>
      </c>
      <c r="J318" s="6">
        <v>46036</v>
      </c>
      <c r="K318" s="7" t="s">
        <v>294</v>
      </c>
      <c r="L318" s="7" t="s">
        <v>915</v>
      </c>
      <c r="M318" s="46" t="s">
        <v>1112</v>
      </c>
      <c r="N318" s="46" t="s">
        <v>63</v>
      </c>
      <c r="O318" s="46" t="s">
        <v>1113</v>
      </c>
      <c r="P318" s="6">
        <v>44725</v>
      </c>
      <c r="Q318" s="102">
        <v>0</v>
      </c>
      <c r="R318" s="102">
        <v>0</v>
      </c>
      <c r="S318" s="7">
        <v>0</v>
      </c>
    </row>
    <row r="319" s="98" customFormat="1" ht="16.5" hidden="1" spans="1:19">
      <c r="A319" s="46">
        <v>317</v>
      </c>
      <c r="B319" s="46" t="s">
        <v>23</v>
      </c>
      <c r="C319" s="46" t="s">
        <v>38</v>
      </c>
      <c r="D319" s="7" t="s">
        <v>30</v>
      </c>
      <c r="E319" s="7" t="s">
        <v>1116</v>
      </c>
      <c r="F319" s="7" t="s">
        <v>1077</v>
      </c>
      <c r="G319" s="46" t="s">
        <v>904</v>
      </c>
      <c r="H319" s="101">
        <v>1212</v>
      </c>
      <c r="I319" s="46" t="s">
        <v>1084</v>
      </c>
      <c r="J319" s="6">
        <v>46036</v>
      </c>
      <c r="K319" s="7" t="s">
        <v>95</v>
      </c>
      <c r="L319" s="7" t="s">
        <v>915</v>
      </c>
      <c r="M319" s="46" t="s">
        <v>1096</v>
      </c>
      <c r="N319" s="46" t="s">
        <v>63</v>
      </c>
      <c r="O319" s="46" t="s">
        <v>1089</v>
      </c>
      <c r="P319" s="6">
        <v>45661</v>
      </c>
      <c r="Q319" s="102">
        <v>5</v>
      </c>
      <c r="R319" s="102">
        <v>5</v>
      </c>
      <c r="S319" s="7">
        <v>0</v>
      </c>
    </row>
    <row r="320" s="98" customFormat="1" ht="16.5" hidden="1" spans="1:19">
      <c r="A320" s="46">
        <v>318</v>
      </c>
      <c r="B320" s="46" t="s">
        <v>23</v>
      </c>
      <c r="C320" s="46" t="s">
        <v>38</v>
      </c>
      <c r="D320" s="7" t="s">
        <v>30</v>
      </c>
      <c r="E320" s="7" t="s">
        <v>1116</v>
      </c>
      <c r="F320" s="7" t="s">
        <v>1077</v>
      </c>
      <c r="G320" s="46" t="s">
        <v>904</v>
      </c>
      <c r="H320" s="101">
        <v>1212</v>
      </c>
      <c r="I320" s="46" t="s">
        <v>1084</v>
      </c>
      <c r="J320" s="6">
        <v>46036</v>
      </c>
      <c r="K320" s="7" t="s">
        <v>481</v>
      </c>
      <c r="L320" s="7" t="s">
        <v>915</v>
      </c>
      <c r="M320" s="46" t="s">
        <v>1099</v>
      </c>
      <c r="N320" s="46" t="s">
        <v>63</v>
      </c>
      <c r="O320" s="46" t="s">
        <v>1089</v>
      </c>
      <c r="P320" s="6">
        <v>45698</v>
      </c>
      <c r="Q320" s="102">
        <v>5</v>
      </c>
      <c r="R320" s="102">
        <v>5</v>
      </c>
      <c r="S320" s="7">
        <v>0</v>
      </c>
    </row>
    <row r="321" s="98" customFormat="1" ht="16.5" hidden="1" spans="1:19">
      <c r="A321" s="46">
        <v>319</v>
      </c>
      <c r="B321" s="46" t="s">
        <v>23</v>
      </c>
      <c r="C321" s="46" t="s">
        <v>31</v>
      </c>
      <c r="D321" s="7" t="s">
        <v>30</v>
      </c>
      <c r="E321" s="7" t="s">
        <v>1116</v>
      </c>
      <c r="F321" s="7" t="s">
        <v>1077</v>
      </c>
      <c r="G321" s="46" t="s">
        <v>904</v>
      </c>
      <c r="H321" s="101">
        <v>1212</v>
      </c>
      <c r="I321" s="46" t="s">
        <v>1084</v>
      </c>
      <c r="J321" s="6">
        <v>46036</v>
      </c>
      <c r="K321" s="7" t="s">
        <v>78</v>
      </c>
      <c r="L321" s="7" t="s">
        <v>915</v>
      </c>
      <c r="M321" s="46" t="s">
        <v>1103</v>
      </c>
      <c r="N321" s="46" t="s">
        <v>79</v>
      </c>
      <c r="O321" s="46" t="s">
        <v>1086</v>
      </c>
      <c r="P321" s="6">
        <v>45649</v>
      </c>
      <c r="Q321" s="102">
        <v>5</v>
      </c>
      <c r="R321" s="102">
        <v>5</v>
      </c>
      <c r="S321" s="7">
        <v>0</v>
      </c>
    </row>
    <row r="322" s="98" customFormat="1" ht="16.5" hidden="1" spans="1:19">
      <c r="A322" s="46">
        <v>320</v>
      </c>
      <c r="B322" s="46" t="s">
        <v>23</v>
      </c>
      <c r="C322" s="46" t="s">
        <v>35</v>
      </c>
      <c r="D322" s="7" t="s">
        <v>30</v>
      </c>
      <c r="E322" s="7" t="s">
        <v>1116</v>
      </c>
      <c r="F322" s="7" t="s">
        <v>1077</v>
      </c>
      <c r="G322" s="46" t="s">
        <v>904</v>
      </c>
      <c r="H322" s="101">
        <v>1212</v>
      </c>
      <c r="I322" s="46" t="s">
        <v>1084</v>
      </c>
      <c r="J322" s="6">
        <v>46036</v>
      </c>
      <c r="K322" s="7" t="s">
        <v>493</v>
      </c>
      <c r="L322" s="7" t="s">
        <v>915</v>
      </c>
      <c r="M322" s="46" t="s">
        <v>1102</v>
      </c>
      <c r="N322" s="46" t="s">
        <v>125</v>
      </c>
      <c r="O322" s="46" t="s">
        <v>1089</v>
      </c>
      <c r="P322" s="6">
        <v>45427</v>
      </c>
      <c r="Q322" s="102">
        <v>5</v>
      </c>
      <c r="R322" s="102">
        <v>5</v>
      </c>
      <c r="S322" s="7">
        <v>0</v>
      </c>
    </row>
    <row r="323" s="98" customFormat="1" ht="16.5" hidden="1" spans="1:19">
      <c r="A323" s="46">
        <v>321</v>
      </c>
      <c r="B323" s="46" t="s">
        <v>23</v>
      </c>
      <c r="C323" s="46" t="s">
        <v>32</v>
      </c>
      <c r="D323" s="7" t="s">
        <v>30</v>
      </c>
      <c r="E323" s="7" t="s">
        <v>1116</v>
      </c>
      <c r="F323" s="7" t="s">
        <v>1077</v>
      </c>
      <c r="G323" s="46" t="s">
        <v>904</v>
      </c>
      <c r="H323" s="101">
        <v>1212</v>
      </c>
      <c r="I323" s="46" t="s">
        <v>1084</v>
      </c>
      <c r="J323" s="6">
        <v>46036</v>
      </c>
      <c r="K323" s="7" t="s">
        <v>165</v>
      </c>
      <c r="L323" s="7" t="s">
        <v>915</v>
      </c>
      <c r="M323" s="46" t="s">
        <v>1095</v>
      </c>
      <c r="N323" s="46" t="s">
        <v>105</v>
      </c>
      <c r="O323" s="46" t="s">
        <v>921</v>
      </c>
      <c r="P323" s="6">
        <v>45699</v>
      </c>
      <c r="Q323" s="102">
        <v>5</v>
      </c>
      <c r="R323" s="102">
        <v>5</v>
      </c>
      <c r="S323" s="7">
        <v>0</v>
      </c>
    </row>
    <row r="324" s="98" customFormat="1" ht="16.5" hidden="1" spans="1:19">
      <c r="A324" s="46">
        <v>322</v>
      </c>
      <c r="B324" s="46" t="s">
        <v>23</v>
      </c>
      <c r="C324" s="46" t="s">
        <v>38</v>
      </c>
      <c r="D324" s="7" t="s">
        <v>30</v>
      </c>
      <c r="E324" s="7" t="s">
        <v>1116</v>
      </c>
      <c r="F324" s="7" t="s">
        <v>1077</v>
      </c>
      <c r="G324" s="46" t="s">
        <v>904</v>
      </c>
      <c r="H324" s="101">
        <v>1212</v>
      </c>
      <c r="I324" s="46" t="s">
        <v>1084</v>
      </c>
      <c r="J324" s="6">
        <v>46036</v>
      </c>
      <c r="K324" s="7" t="s">
        <v>253</v>
      </c>
      <c r="L324" s="7" t="s">
        <v>915</v>
      </c>
      <c r="M324" s="46" t="s">
        <v>1097</v>
      </c>
      <c r="N324" s="46" t="s">
        <v>63</v>
      </c>
      <c r="O324" s="46" t="s">
        <v>1086</v>
      </c>
      <c r="P324" s="6">
        <v>45604</v>
      </c>
      <c r="Q324" s="102">
        <v>5</v>
      </c>
      <c r="R324" s="102">
        <v>5</v>
      </c>
      <c r="S324" s="7">
        <v>0</v>
      </c>
    </row>
    <row r="325" s="98" customFormat="1" ht="16.5" hidden="1" spans="1:19">
      <c r="A325" s="46">
        <v>323</v>
      </c>
      <c r="B325" s="46" t="s">
        <v>23</v>
      </c>
      <c r="C325" s="46" t="s">
        <v>35</v>
      </c>
      <c r="D325" s="7" t="s">
        <v>30</v>
      </c>
      <c r="E325" s="7" t="s">
        <v>1116</v>
      </c>
      <c r="F325" s="7" t="s">
        <v>1077</v>
      </c>
      <c r="G325" s="46" t="s">
        <v>904</v>
      </c>
      <c r="H325" s="101">
        <v>1212</v>
      </c>
      <c r="I325" s="46" t="s">
        <v>1084</v>
      </c>
      <c r="J325" s="6">
        <v>46036</v>
      </c>
      <c r="K325" s="7" t="s">
        <v>584</v>
      </c>
      <c r="L325" s="7" t="s">
        <v>915</v>
      </c>
      <c r="M325" s="46" t="s">
        <v>1101</v>
      </c>
      <c r="N325" s="46" t="s">
        <v>125</v>
      </c>
      <c r="O325" s="46" t="s">
        <v>1089</v>
      </c>
      <c r="P325" s="6">
        <v>45791</v>
      </c>
      <c r="Q325" s="102">
        <v>5</v>
      </c>
      <c r="R325" s="102">
        <v>5</v>
      </c>
      <c r="S325" s="7">
        <v>0</v>
      </c>
    </row>
    <row r="326" s="98" customFormat="1" ht="16.5" hidden="1" spans="1:19">
      <c r="A326" s="46">
        <v>324</v>
      </c>
      <c r="B326" s="46" t="s">
        <v>23</v>
      </c>
      <c r="C326" s="46" t="s">
        <v>37</v>
      </c>
      <c r="D326" s="7" t="s">
        <v>30</v>
      </c>
      <c r="E326" s="7" t="s">
        <v>1116</v>
      </c>
      <c r="F326" s="7" t="s">
        <v>1077</v>
      </c>
      <c r="G326" s="46" t="s">
        <v>904</v>
      </c>
      <c r="H326" s="101">
        <v>1212</v>
      </c>
      <c r="I326" s="46" t="s">
        <v>1084</v>
      </c>
      <c r="J326" s="6">
        <v>46036</v>
      </c>
      <c r="K326" s="7" t="s">
        <v>251</v>
      </c>
      <c r="L326" s="7" t="s">
        <v>915</v>
      </c>
      <c r="M326" s="46" t="s">
        <v>1109</v>
      </c>
      <c r="N326" s="46" t="s">
        <v>109</v>
      </c>
      <c r="O326" s="46" t="s">
        <v>1086</v>
      </c>
      <c r="P326" s="6">
        <v>45599</v>
      </c>
      <c r="Q326" s="102">
        <v>5</v>
      </c>
      <c r="R326" s="102">
        <v>5</v>
      </c>
      <c r="S326" s="7">
        <v>0</v>
      </c>
    </row>
    <row r="327" s="98" customFormat="1" ht="16.5" hidden="1" spans="1:19">
      <c r="A327" s="46">
        <v>325</v>
      </c>
      <c r="B327" s="46" t="s">
        <v>23</v>
      </c>
      <c r="C327" s="46" t="s">
        <v>37</v>
      </c>
      <c r="D327" s="7" t="s">
        <v>30</v>
      </c>
      <c r="E327" s="7" t="s">
        <v>1116</v>
      </c>
      <c r="F327" s="7" t="s">
        <v>1077</v>
      </c>
      <c r="G327" s="46" t="s">
        <v>904</v>
      </c>
      <c r="H327" s="101">
        <v>1212</v>
      </c>
      <c r="I327" s="46" t="s">
        <v>1084</v>
      </c>
      <c r="J327" s="6">
        <v>46036</v>
      </c>
      <c r="K327" s="7" t="s">
        <v>203</v>
      </c>
      <c r="L327" s="7" t="s">
        <v>915</v>
      </c>
      <c r="M327" s="46" t="s">
        <v>1104</v>
      </c>
      <c r="N327" s="46" t="s">
        <v>109</v>
      </c>
      <c r="O327" s="46" t="s">
        <v>1086</v>
      </c>
      <c r="P327" s="6">
        <v>45011</v>
      </c>
      <c r="Q327" s="102">
        <v>0</v>
      </c>
      <c r="R327" s="102">
        <v>0</v>
      </c>
      <c r="S327" s="7">
        <v>0</v>
      </c>
    </row>
    <row r="328" s="98" customFormat="1" ht="16.5" hidden="1" spans="1:19">
      <c r="A328" s="46">
        <v>326</v>
      </c>
      <c r="B328" s="46" t="s">
        <v>23</v>
      </c>
      <c r="C328" s="46" t="s">
        <v>31</v>
      </c>
      <c r="D328" s="7" t="s">
        <v>30</v>
      </c>
      <c r="E328" s="7" t="s">
        <v>1116</v>
      </c>
      <c r="F328" s="7" t="s">
        <v>1077</v>
      </c>
      <c r="G328" s="46" t="s">
        <v>904</v>
      </c>
      <c r="H328" s="101">
        <v>1212</v>
      </c>
      <c r="I328" s="46" t="s">
        <v>1084</v>
      </c>
      <c r="J328" s="6">
        <v>46036</v>
      </c>
      <c r="K328" s="7" t="s">
        <v>245</v>
      </c>
      <c r="L328" s="7" t="s">
        <v>915</v>
      </c>
      <c r="M328" s="46" t="s">
        <v>1105</v>
      </c>
      <c r="N328" s="46" t="s">
        <v>79</v>
      </c>
      <c r="O328" s="46" t="s">
        <v>1086</v>
      </c>
      <c r="P328" s="6">
        <v>45581</v>
      </c>
      <c r="Q328" s="102">
        <v>5</v>
      </c>
      <c r="R328" s="102">
        <v>5</v>
      </c>
      <c r="S328" s="7">
        <v>0</v>
      </c>
    </row>
    <row r="329" s="98" customFormat="1" ht="16.5" hidden="1" spans="1:19">
      <c r="A329" s="46">
        <v>327</v>
      </c>
      <c r="B329" s="46" t="s">
        <v>23</v>
      </c>
      <c r="C329" s="46" t="s">
        <v>32</v>
      </c>
      <c r="D329" s="7" t="s">
        <v>30</v>
      </c>
      <c r="E329" s="7" t="s">
        <v>1116</v>
      </c>
      <c r="F329" s="7" t="s">
        <v>1077</v>
      </c>
      <c r="G329" s="46" t="s">
        <v>904</v>
      </c>
      <c r="H329" s="101">
        <v>1212</v>
      </c>
      <c r="I329" s="46" t="s">
        <v>1084</v>
      </c>
      <c r="J329" s="6">
        <v>46036</v>
      </c>
      <c r="K329" s="7" t="s">
        <v>1106</v>
      </c>
      <c r="L329" s="7" t="s">
        <v>915</v>
      </c>
      <c r="M329" s="46" t="s">
        <v>1107</v>
      </c>
      <c r="N329" s="46" t="s">
        <v>105</v>
      </c>
      <c r="O329" s="46" t="s">
        <v>909</v>
      </c>
      <c r="P329" s="6">
        <v>45915</v>
      </c>
      <c r="Q329" s="102">
        <v>0</v>
      </c>
      <c r="R329" s="102">
        <v>0</v>
      </c>
      <c r="S329" s="7">
        <v>0</v>
      </c>
    </row>
    <row r="330" s="98" customFormat="1" ht="16.5" hidden="1" spans="1:19">
      <c r="A330" s="46">
        <v>328</v>
      </c>
      <c r="B330" s="46" t="s">
        <v>23</v>
      </c>
      <c r="C330" s="46" t="s">
        <v>37</v>
      </c>
      <c r="D330" s="7" t="s">
        <v>30</v>
      </c>
      <c r="E330" s="7" t="s">
        <v>1116</v>
      </c>
      <c r="F330" s="7" t="s">
        <v>1077</v>
      </c>
      <c r="G330" s="46" t="s">
        <v>904</v>
      </c>
      <c r="H330" s="101">
        <v>1212</v>
      </c>
      <c r="I330" s="46" t="s">
        <v>1084</v>
      </c>
      <c r="J330" s="6">
        <v>46036</v>
      </c>
      <c r="K330" s="7" t="s">
        <v>237</v>
      </c>
      <c r="L330" s="7" t="s">
        <v>915</v>
      </c>
      <c r="M330" s="46" t="s">
        <v>1108</v>
      </c>
      <c r="N330" s="46" t="s">
        <v>109</v>
      </c>
      <c r="O330" s="46" t="s">
        <v>1086</v>
      </c>
      <c r="P330" s="6">
        <v>45390</v>
      </c>
      <c r="Q330" s="102">
        <v>5</v>
      </c>
      <c r="R330" s="102">
        <v>5</v>
      </c>
      <c r="S330" s="7">
        <v>0</v>
      </c>
    </row>
    <row r="331" s="98" customFormat="1" ht="16.5" hidden="1" spans="1:19">
      <c r="A331" s="46">
        <v>329</v>
      </c>
      <c r="B331" s="46" t="s">
        <v>23</v>
      </c>
      <c r="C331" s="46" t="s">
        <v>38</v>
      </c>
      <c r="D331" s="7" t="s">
        <v>30</v>
      </c>
      <c r="E331" s="7" t="s">
        <v>1116</v>
      </c>
      <c r="F331" s="7" t="s">
        <v>1077</v>
      </c>
      <c r="G331" s="46" t="s">
        <v>904</v>
      </c>
      <c r="H331" s="101">
        <v>1212</v>
      </c>
      <c r="I331" s="46" t="s">
        <v>1084</v>
      </c>
      <c r="J331" s="6">
        <v>46036</v>
      </c>
      <c r="K331" s="7" t="s">
        <v>531</v>
      </c>
      <c r="L331" s="7" t="s">
        <v>915</v>
      </c>
      <c r="M331" s="46" t="s">
        <v>1087</v>
      </c>
      <c r="N331" s="46" t="s">
        <v>148</v>
      </c>
      <c r="O331" s="46" t="s">
        <v>909</v>
      </c>
      <c r="P331" s="6">
        <v>45269</v>
      </c>
      <c r="Q331" s="102">
        <v>5</v>
      </c>
      <c r="R331" s="102">
        <v>5</v>
      </c>
      <c r="S331" s="7">
        <v>0</v>
      </c>
    </row>
    <row r="332" s="98" customFormat="1" ht="16.5" hidden="1" spans="1:19">
      <c r="A332" s="46">
        <v>330</v>
      </c>
      <c r="B332" s="46" t="s">
        <v>23</v>
      </c>
      <c r="C332" s="46" t="s">
        <v>38</v>
      </c>
      <c r="D332" s="7" t="s">
        <v>30</v>
      </c>
      <c r="E332" s="7" t="s">
        <v>1117</v>
      </c>
      <c r="F332" s="7" t="s">
        <v>1077</v>
      </c>
      <c r="G332" s="46" t="s">
        <v>904</v>
      </c>
      <c r="H332" s="101">
        <v>1212</v>
      </c>
      <c r="I332" s="46" t="s">
        <v>1084</v>
      </c>
      <c r="J332" s="6">
        <v>46050</v>
      </c>
      <c r="K332" s="7" t="s">
        <v>531</v>
      </c>
      <c r="L332" s="7" t="s">
        <v>915</v>
      </c>
      <c r="M332" s="46" t="s">
        <v>1087</v>
      </c>
      <c r="N332" s="46" t="s">
        <v>70</v>
      </c>
      <c r="O332" s="46" t="s">
        <v>1089</v>
      </c>
      <c r="P332" s="6">
        <v>45269</v>
      </c>
      <c r="Q332" s="102">
        <v>5</v>
      </c>
      <c r="R332" s="102">
        <v>5</v>
      </c>
      <c r="S332" s="7">
        <v>0</v>
      </c>
    </row>
    <row r="333" s="98" customFormat="1" ht="16.5" hidden="1" spans="1:19">
      <c r="A333" s="46">
        <v>331</v>
      </c>
      <c r="B333" s="46" t="s">
        <v>23</v>
      </c>
      <c r="C333" s="46" t="s">
        <v>35</v>
      </c>
      <c r="D333" s="7" t="s">
        <v>30</v>
      </c>
      <c r="E333" s="7" t="s">
        <v>1117</v>
      </c>
      <c r="F333" s="7" t="s">
        <v>1077</v>
      </c>
      <c r="G333" s="46" t="s">
        <v>904</v>
      </c>
      <c r="H333" s="101">
        <v>1212</v>
      </c>
      <c r="I333" s="46" t="s">
        <v>1084</v>
      </c>
      <c r="J333" s="6">
        <v>46050</v>
      </c>
      <c r="K333" s="7" t="s">
        <v>463</v>
      </c>
      <c r="L333" s="7" t="s">
        <v>915</v>
      </c>
      <c r="M333" s="46" t="s">
        <v>1088</v>
      </c>
      <c r="N333" s="46" t="s">
        <v>125</v>
      </c>
      <c r="O333" s="46" t="s">
        <v>1089</v>
      </c>
      <c r="P333" s="6">
        <v>45400</v>
      </c>
      <c r="Q333" s="102">
        <v>5</v>
      </c>
      <c r="R333" s="102">
        <v>5</v>
      </c>
      <c r="S333" s="7">
        <v>0</v>
      </c>
    </row>
    <row r="334" s="98" customFormat="1" ht="16.5" hidden="1" spans="1:19">
      <c r="A334" s="46">
        <v>332</v>
      </c>
      <c r="B334" s="46" t="s">
        <v>23</v>
      </c>
      <c r="C334" s="46" t="s">
        <v>38</v>
      </c>
      <c r="D334" s="7" t="s">
        <v>30</v>
      </c>
      <c r="E334" s="7" t="s">
        <v>1117</v>
      </c>
      <c r="F334" s="7" t="s">
        <v>1077</v>
      </c>
      <c r="G334" s="46" t="s">
        <v>904</v>
      </c>
      <c r="H334" s="101">
        <v>1212</v>
      </c>
      <c r="I334" s="46" t="s">
        <v>1084</v>
      </c>
      <c r="J334" s="6">
        <v>46050</v>
      </c>
      <c r="K334" s="7" t="s">
        <v>205</v>
      </c>
      <c r="L334" s="7" t="s">
        <v>915</v>
      </c>
      <c r="M334" s="46" t="s">
        <v>1094</v>
      </c>
      <c r="N334" s="46" t="s">
        <v>168</v>
      </c>
      <c r="O334" s="46" t="s">
        <v>1089</v>
      </c>
      <c r="P334" s="6">
        <v>45763</v>
      </c>
      <c r="Q334" s="102">
        <v>5</v>
      </c>
      <c r="R334" s="102">
        <v>5</v>
      </c>
      <c r="S334" s="7">
        <v>0</v>
      </c>
    </row>
    <row r="335" s="98" customFormat="1" ht="16.5" hidden="1" spans="1:19">
      <c r="A335" s="46">
        <v>333</v>
      </c>
      <c r="B335" s="46" t="s">
        <v>23</v>
      </c>
      <c r="C335" s="46" t="s">
        <v>38</v>
      </c>
      <c r="D335" s="7" t="s">
        <v>30</v>
      </c>
      <c r="E335" s="7" t="s">
        <v>1117</v>
      </c>
      <c r="F335" s="7" t="s">
        <v>1077</v>
      </c>
      <c r="G335" s="46" t="s">
        <v>904</v>
      </c>
      <c r="H335" s="101">
        <v>1212</v>
      </c>
      <c r="I335" s="46" t="s">
        <v>1084</v>
      </c>
      <c r="J335" s="6">
        <v>46050</v>
      </c>
      <c r="K335" s="7" t="s">
        <v>540</v>
      </c>
      <c r="L335" s="7" t="s">
        <v>915</v>
      </c>
      <c r="M335" s="46" t="s">
        <v>1093</v>
      </c>
      <c r="N335" s="46" t="s">
        <v>220</v>
      </c>
      <c r="O335" s="46" t="s">
        <v>1089</v>
      </c>
      <c r="P335" s="6">
        <v>45545</v>
      </c>
      <c r="Q335" s="102">
        <v>5</v>
      </c>
      <c r="R335" s="102">
        <v>5</v>
      </c>
      <c r="S335" s="7">
        <v>0</v>
      </c>
    </row>
    <row r="336" s="98" customFormat="1" ht="16.5" hidden="1" spans="1:19">
      <c r="A336" s="46">
        <v>334</v>
      </c>
      <c r="B336" s="46" t="s">
        <v>23</v>
      </c>
      <c r="C336" s="46" t="s">
        <v>38</v>
      </c>
      <c r="D336" s="7" t="s">
        <v>30</v>
      </c>
      <c r="E336" s="7" t="s">
        <v>1117</v>
      </c>
      <c r="F336" s="7" t="s">
        <v>1077</v>
      </c>
      <c r="G336" s="46" t="s">
        <v>904</v>
      </c>
      <c r="H336" s="101">
        <v>1212</v>
      </c>
      <c r="I336" s="46" t="s">
        <v>1084</v>
      </c>
      <c r="J336" s="6">
        <v>46050</v>
      </c>
      <c r="K336" s="7" t="s">
        <v>147</v>
      </c>
      <c r="L336" s="7" t="s">
        <v>915</v>
      </c>
      <c r="M336" s="46" t="s">
        <v>1100</v>
      </c>
      <c r="N336" s="46" t="s">
        <v>148</v>
      </c>
      <c r="O336" s="46" t="s">
        <v>1089</v>
      </c>
      <c r="P336" s="6">
        <v>45669</v>
      </c>
      <c r="Q336" s="102">
        <v>5</v>
      </c>
      <c r="R336" s="102">
        <v>5</v>
      </c>
      <c r="S336" s="7">
        <v>0</v>
      </c>
    </row>
    <row r="337" s="98" customFormat="1" ht="16.5" hidden="1" spans="1:19">
      <c r="A337" s="46">
        <v>335</v>
      </c>
      <c r="B337" s="46" t="s">
        <v>23</v>
      </c>
      <c r="C337" s="46" t="s">
        <v>32</v>
      </c>
      <c r="D337" s="7" t="s">
        <v>30</v>
      </c>
      <c r="E337" s="7" t="s">
        <v>1117</v>
      </c>
      <c r="F337" s="7" t="s">
        <v>1077</v>
      </c>
      <c r="G337" s="46" t="s">
        <v>904</v>
      </c>
      <c r="H337" s="101">
        <v>1212</v>
      </c>
      <c r="I337" s="46" t="s">
        <v>1084</v>
      </c>
      <c r="J337" s="6">
        <v>46050</v>
      </c>
      <c r="K337" s="7" t="s">
        <v>192</v>
      </c>
      <c r="L337" s="7" t="s">
        <v>915</v>
      </c>
      <c r="M337" s="46" t="s">
        <v>1092</v>
      </c>
      <c r="N337" s="46" t="s">
        <v>105</v>
      </c>
      <c r="O337" s="46" t="s">
        <v>1089</v>
      </c>
      <c r="P337" s="6">
        <v>44351</v>
      </c>
      <c r="Q337" s="102">
        <v>0</v>
      </c>
      <c r="R337" s="102">
        <v>0</v>
      </c>
      <c r="S337" s="7">
        <v>0</v>
      </c>
    </row>
    <row r="338" s="98" customFormat="1" ht="16.5" hidden="1" spans="1:19">
      <c r="A338" s="46">
        <v>336</v>
      </c>
      <c r="B338" s="46" t="s">
        <v>23</v>
      </c>
      <c r="C338" s="46" t="s">
        <v>38</v>
      </c>
      <c r="D338" s="7" t="s">
        <v>30</v>
      </c>
      <c r="E338" s="7" t="s">
        <v>1117</v>
      </c>
      <c r="F338" s="7" t="s">
        <v>1077</v>
      </c>
      <c r="G338" s="46" t="s">
        <v>904</v>
      </c>
      <c r="H338" s="101">
        <v>1212</v>
      </c>
      <c r="I338" s="46" t="s">
        <v>1084</v>
      </c>
      <c r="J338" s="6">
        <v>46050</v>
      </c>
      <c r="K338" s="7" t="s">
        <v>227</v>
      </c>
      <c r="L338" s="7" t="s">
        <v>915</v>
      </c>
      <c r="M338" s="46" t="s">
        <v>1091</v>
      </c>
      <c r="N338" s="46" t="s">
        <v>148</v>
      </c>
      <c r="O338" s="46" t="s">
        <v>1089</v>
      </c>
      <c r="P338" s="6">
        <v>45706</v>
      </c>
      <c r="Q338" s="102">
        <v>0</v>
      </c>
      <c r="R338" s="102">
        <v>0</v>
      </c>
      <c r="S338" s="7">
        <v>0</v>
      </c>
    </row>
    <row r="339" s="98" customFormat="1" ht="16.5" hidden="1" spans="1:19">
      <c r="A339" s="46">
        <v>337</v>
      </c>
      <c r="B339" s="46" t="s">
        <v>23</v>
      </c>
      <c r="C339" s="46" t="s">
        <v>36</v>
      </c>
      <c r="D339" s="7" t="s">
        <v>30</v>
      </c>
      <c r="E339" s="7" t="s">
        <v>1117</v>
      </c>
      <c r="F339" s="7" t="s">
        <v>1077</v>
      </c>
      <c r="G339" s="46" t="s">
        <v>904</v>
      </c>
      <c r="H339" s="101">
        <v>1212</v>
      </c>
      <c r="I339" s="46" t="s">
        <v>1084</v>
      </c>
      <c r="J339" s="6">
        <v>46050</v>
      </c>
      <c r="K339" s="7" t="s">
        <v>320</v>
      </c>
      <c r="L339" s="7" t="s">
        <v>915</v>
      </c>
      <c r="M339" s="46" t="s">
        <v>1085</v>
      </c>
      <c r="N339" s="46" t="s">
        <v>173</v>
      </c>
      <c r="O339" s="46" t="s">
        <v>1089</v>
      </c>
      <c r="P339" s="6">
        <v>45502</v>
      </c>
      <c r="Q339" s="102">
        <v>5</v>
      </c>
      <c r="R339" s="102">
        <v>5</v>
      </c>
      <c r="S339" s="7">
        <v>0</v>
      </c>
    </row>
    <row r="340" s="98" customFormat="1" ht="16.5" hidden="1" spans="1:19">
      <c r="A340" s="46">
        <v>338</v>
      </c>
      <c r="B340" s="46" t="s">
        <v>23</v>
      </c>
      <c r="C340" s="46" t="s">
        <v>38</v>
      </c>
      <c r="D340" s="7" t="s">
        <v>30</v>
      </c>
      <c r="E340" s="7" t="s">
        <v>1117</v>
      </c>
      <c r="F340" s="7" t="s">
        <v>1077</v>
      </c>
      <c r="G340" s="46" t="s">
        <v>904</v>
      </c>
      <c r="H340" s="101">
        <v>1212</v>
      </c>
      <c r="I340" s="46" t="s">
        <v>1084</v>
      </c>
      <c r="J340" s="6">
        <v>46050</v>
      </c>
      <c r="K340" s="7" t="s">
        <v>294</v>
      </c>
      <c r="L340" s="7" t="s">
        <v>915</v>
      </c>
      <c r="M340" s="46" t="s">
        <v>1112</v>
      </c>
      <c r="N340" s="46" t="s">
        <v>63</v>
      </c>
      <c r="O340" s="46" t="s">
        <v>1113</v>
      </c>
      <c r="P340" s="6">
        <v>44725</v>
      </c>
      <c r="Q340" s="102">
        <v>0</v>
      </c>
      <c r="R340" s="102">
        <v>0</v>
      </c>
      <c r="S340" s="7">
        <v>0</v>
      </c>
    </row>
    <row r="341" s="98" customFormat="1" ht="16.5" hidden="1" spans="1:19">
      <c r="A341" s="46">
        <v>339</v>
      </c>
      <c r="B341" s="46" t="s">
        <v>23</v>
      </c>
      <c r="C341" s="46" t="s">
        <v>38</v>
      </c>
      <c r="D341" s="7" t="s">
        <v>30</v>
      </c>
      <c r="E341" s="7" t="s">
        <v>1117</v>
      </c>
      <c r="F341" s="7" t="s">
        <v>1077</v>
      </c>
      <c r="G341" s="46" t="s">
        <v>904</v>
      </c>
      <c r="H341" s="101">
        <v>1212</v>
      </c>
      <c r="I341" s="46" t="s">
        <v>1084</v>
      </c>
      <c r="J341" s="6">
        <v>46050</v>
      </c>
      <c r="K341" s="7" t="s">
        <v>95</v>
      </c>
      <c r="L341" s="7" t="s">
        <v>915</v>
      </c>
      <c r="M341" s="46" t="s">
        <v>1096</v>
      </c>
      <c r="N341" s="46" t="s">
        <v>63</v>
      </c>
      <c r="O341" s="46" t="s">
        <v>1089</v>
      </c>
      <c r="P341" s="6">
        <v>45661</v>
      </c>
      <c r="Q341" s="102">
        <v>0</v>
      </c>
      <c r="R341" s="102">
        <v>0</v>
      </c>
      <c r="S341" s="7">
        <v>0</v>
      </c>
    </row>
    <row r="342" s="98" customFormat="1" ht="16.5" hidden="1" spans="1:19">
      <c r="A342" s="46">
        <v>340</v>
      </c>
      <c r="B342" s="46" t="s">
        <v>23</v>
      </c>
      <c r="C342" s="46" t="s">
        <v>38</v>
      </c>
      <c r="D342" s="7" t="s">
        <v>30</v>
      </c>
      <c r="E342" s="7" t="s">
        <v>1117</v>
      </c>
      <c r="F342" s="7" t="s">
        <v>1077</v>
      </c>
      <c r="G342" s="46" t="s">
        <v>904</v>
      </c>
      <c r="H342" s="101">
        <v>1212</v>
      </c>
      <c r="I342" s="46" t="s">
        <v>1084</v>
      </c>
      <c r="J342" s="6">
        <v>46050</v>
      </c>
      <c r="K342" s="7" t="s">
        <v>481</v>
      </c>
      <c r="L342" s="7" t="s">
        <v>915</v>
      </c>
      <c r="M342" s="46" t="s">
        <v>1099</v>
      </c>
      <c r="N342" s="46" t="s">
        <v>63</v>
      </c>
      <c r="O342" s="46" t="s">
        <v>1089</v>
      </c>
      <c r="P342" s="6">
        <v>45698</v>
      </c>
      <c r="Q342" s="102">
        <v>0</v>
      </c>
      <c r="R342" s="102">
        <v>0</v>
      </c>
      <c r="S342" s="7">
        <v>0</v>
      </c>
    </row>
    <row r="343" s="98" customFormat="1" ht="16.5" hidden="1" spans="1:19">
      <c r="A343" s="46">
        <v>341</v>
      </c>
      <c r="B343" s="46" t="s">
        <v>23</v>
      </c>
      <c r="C343" s="46" t="s">
        <v>31</v>
      </c>
      <c r="D343" s="7" t="s">
        <v>30</v>
      </c>
      <c r="E343" s="7" t="s">
        <v>1117</v>
      </c>
      <c r="F343" s="7" t="s">
        <v>1077</v>
      </c>
      <c r="G343" s="46" t="s">
        <v>904</v>
      </c>
      <c r="H343" s="101">
        <v>1212</v>
      </c>
      <c r="I343" s="46" t="s">
        <v>1084</v>
      </c>
      <c r="J343" s="6">
        <v>46050</v>
      </c>
      <c r="K343" s="7" t="s">
        <v>78</v>
      </c>
      <c r="L343" s="7" t="s">
        <v>915</v>
      </c>
      <c r="M343" s="46" t="s">
        <v>1103</v>
      </c>
      <c r="N343" s="46" t="s">
        <v>79</v>
      </c>
      <c r="O343" s="46" t="s">
        <v>1089</v>
      </c>
      <c r="P343" s="6">
        <v>45649</v>
      </c>
      <c r="Q343" s="102">
        <v>0</v>
      </c>
      <c r="R343" s="102">
        <v>0</v>
      </c>
      <c r="S343" s="7">
        <v>0</v>
      </c>
    </row>
    <row r="344" s="98" customFormat="1" ht="16.5" hidden="1" spans="1:19">
      <c r="A344" s="46">
        <v>342</v>
      </c>
      <c r="B344" s="46" t="s">
        <v>23</v>
      </c>
      <c r="C344" s="46" t="s">
        <v>35</v>
      </c>
      <c r="D344" s="7" t="s">
        <v>30</v>
      </c>
      <c r="E344" s="7" t="s">
        <v>1117</v>
      </c>
      <c r="F344" s="7" t="s">
        <v>1077</v>
      </c>
      <c r="G344" s="46" t="s">
        <v>904</v>
      </c>
      <c r="H344" s="101">
        <v>1212</v>
      </c>
      <c r="I344" s="46" t="s">
        <v>1084</v>
      </c>
      <c r="J344" s="6">
        <v>46050</v>
      </c>
      <c r="K344" s="7" t="s">
        <v>493</v>
      </c>
      <c r="L344" s="7" t="s">
        <v>915</v>
      </c>
      <c r="M344" s="46" t="s">
        <v>1102</v>
      </c>
      <c r="N344" s="46" t="s">
        <v>125</v>
      </c>
      <c r="O344" s="46" t="s">
        <v>1089</v>
      </c>
      <c r="P344" s="6">
        <v>45427</v>
      </c>
      <c r="Q344" s="102">
        <v>5</v>
      </c>
      <c r="R344" s="102">
        <v>5</v>
      </c>
      <c r="S344" s="7">
        <v>0</v>
      </c>
    </row>
    <row r="345" s="98" customFormat="1" ht="16.5" hidden="1" spans="1:19">
      <c r="A345" s="46">
        <v>343</v>
      </c>
      <c r="B345" s="46" t="s">
        <v>23</v>
      </c>
      <c r="C345" s="46" t="s">
        <v>32</v>
      </c>
      <c r="D345" s="7" t="s">
        <v>30</v>
      </c>
      <c r="E345" s="7" t="s">
        <v>1117</v>
      </c>
      <c r="F345" s="7" t="s">
        <v>1077</v>
      </c>
      <c r="G345" s="46" t="s">
        <v>904</v>
      </c>
      <c r="H345" s="101">
        <v>1212</v>
      </c>
      <c r="I345" s="46" t="s">
        <v>1084</v>
      </c>
      <c r="J345" s="6">
        <v>46050</v>
      </c>
      <c r="K345" s="7" t="s">
        <v>165</v>
      </c>
      <c r="L345" s="7" t="s">
        <v>915</v>
      </c>
      <c r="M345" s="46" t="s">
        <v>1095</v>
      </c>
      <c r="N345" s="46" t="s">
        <v>105</v>
      </c>
      <c r="O345" s="46" t="s">
        <v>1089</v>
      </c>
      <c r="P345" s="6">
        <v>45699</v>
      </c>
      <c r="Q345" s="102">
        <v>5</v>
      </c>
      <c r="R345" s="102">
        <v>5</v>
      </c>
      <c r="S345" s="7">
        <v>0</v>
      </c>
    </row>
    <row r="346" s="98" customFormat="1" ht="16.5" hidden="1" spans="1:19">
      <c r="A346" s="46">
        <v>344</v>
      </c>
      <c r="B346" s="46" t="s">
        <v>23</v>
      </c>
      <c r="C346" s="46" t="s">
        <v>29</v>
      </c>
      <c r="D346" s="7" t="s">
        <v>30</v>
      </c>
      <c r="E346" s="7" t="s">
        <v>1117</v>
      </c>
      <c r="F346" s="7" t="s">
        <v>1077</v>
      </c>
      <c r="G346" s="46" t="s">
        <v>904</v>
      </c>
      <c r="H346" s="101">
        <v>1212</v>
      </c>
      <c r="I346" s="46" t="s">
        <v>1084</v>
      </c>
      <c r="J346" s="6">
        <v>46050</v>
      </c>
      <c r="K346" s="7" t="s">
        <v>253</v>
      </c>
      <c r="L346" s="7" t="s">
        <v>915</v>
      </c>
      <c r="M346" s="46" t="s">
        <v>1097</v>
      </c>
      <c r="N346" s="46" t="s">
        <v>130</v>
      </c>
      <c r="O346" s="46" t="s">
        <v>1089</v>
      </c>
      <c r="P346" s="6">
        <v>45604</v>
      </c>
      <c r="Q346" s="102">
        <v>0</v>
      </c>
      <c r="R346" s="102">
        <v>0</v>
      </c>
      <c r="S346" s="7">
        <v>0</v>
      </c>
    </row>
    <row r="347" s="98" customFormat="1" ht="16.5" hidden="1" spans="1:19">
      <c r="A347" s="46">
        <v>345</v>
      </c>
      <c r="B347" s="46" t="s">
        <v>23</v>
      </c>
      <c r="C347" s="46" t="s">
        <v>35</v>
      </c>
      <c r="D347" s="7" t="s">
        <v>30</v>
      </c>
      <c r="E347" s="7" t="s">
        <v>1117</v>
      </c>
      <c r="F347" s="7" t="s">
        <v>1077</v>
      </c>
      <c r="G347" s="46" t="s">
        <v>904</v>
      </c>
      <c r="H347" s="101">
        <v>1212</v>
      </c>
      <c r="I347" s="46" t="s">
        <v>1084</v>
      </c>
      <c r="J347" s="6">
        <v>46050</v>
      </c>
      <c r="K347" s="7" t="s">
        <v>584</v>
      </c>
      <c r="L347" s="7" t="s">
        <v>915</v>
      </c>
      <c r="M347" s="46" t="s">
        <v>1101</v>
      </c>
      <c r="N347" s="46" t="s">
        <v>125</v>
      </c>
      <c r="O347" s="46" t="s">
        <v>1089</v>
      </c>
      <c r="P347" s="6">
        <v>45791</v>
      </c>
      <c r="Q347" s="102">
        <v>5</v>
      </c>
      <c r="R347" s="102">
        <v>5</v>
      </c>
      <c r="S347" s="7">
        <v>0</v>
      </c>
    </row>
    <row r="348" s="98" customFormat="1" ht="16.5" hidden="1" spans="1:19">
      <c r="A348" s="46">
        <v>346</v>
      </c>
      <c r="B348" s="46" t="s">
        <v>23</v>
      </c>
      <c r="C348" s="46" t="s">
        <v>37</v>
      </c>
      <c r="D348" s="7" t="s">
        <v>30</v>
      </c>
      <c r="E348" s="7" t="s">
        <v>1117</v>
      </c>
      <c r="F348" s="7" t="s">
        <v>1077</v>
      </c>
      <c r="G348" s="46" t="s">
        <v>904</v>
      </c>
      <c r="H348" s="101">
        <v>1212</v>
      </c>
      <c r="I348" s="46" t="s">
        <v>1084</v>
      </c>
      <c r="J348" s="6">
        <v>46050</v>
      </c>
      <c r="K348" s="7" t="s">
        <v>251</v>
      </c>
      <c r="L348" s="7" t="s">
        <v>915</v>
      </c>
      <c r="M348" s="46" t="s">
        <v>1109</v>
      </c>
      <c r="N348" s="46" t="s">
        <v>152</v>
      </c>
      <c r="O348" s="46" t="s">
        <v>1089</v>
      </c>
      <c r="P348" s="6">
        <v>45599</v>
      </c>
      <c r="Q348" s="102">
        <v>0</v>
      </c>
      <c r="R348" s="102">
        <v>0</v>
      </c>
      <c r="S348" s="7">
        <v>0</v>
      </c>
    </row>
    <row r="349" s="98" customFormat="1" ht="16.5" hidden="1" spans="1:19">
      <c r="A349" s="46">
        <v>347</v>
      </c>
      <c r="B349" s="46" t="s">
        <v>23</v>
      </c>
      <c r="C349" s="46" t="s">
        <v>37</v>
      </c>
      <c r="D349" s="7" t="s">
        <v>30</v>
      </c>
      <c r="E349" s="7" t="s">
        <v>1117</v>
      </c>
      <c r="F349" s="7" t="s">
        <v>1077</v>
      </c>
      <c r="G349" s="46" t="s">
        <v>904</v>
      </c>
      <c r="H349" s="101">
        <v>1212</v>
      </c>
      <c r="I349" s="46" t="s">
        <v>1084</v>
      </c>
      <c r="J349" s="6">
        <v>46050</v>
      </c>
      <c r="K349" s="7" t="s">
        <v>203</v>
      </c>
      <c r="L349" s="7" t="s">
        <v>915</v>
      </c>
      <c r="M349" s="46" t="s">
        <v>1104</v>
      </c>
      <c r="N349" s="46" t="s">
        <v>109</v>
      </c>
      <c r="O349" s="46" t="s">
        <v>1089</v>
      </c>
      <c r="P349" s="6">
        <v>45011</v>
      </c>
      <c r="Q349" s="102">
        <v>0</v>
      </c>
      <c r="R349" s="102">
        <v>0</v>
      </c>
      <c r="S349" s="7">
        <v>0</v>
      </c>
    </row>
    <row r="350" s="98" customFormat="1" ht="16.5" hidden="1" spans="1:19">
      <c r="A350" s="46">
        <v>348</v>
      </c>
      <c r="B350" s="46" t="s">
        <v>23</v>
      </c>
      <c r="C350" s="46" t="s">
        <v>31</v>
      </c>
      <c r="D350" s="7" t="s">
        <v>30</v>
      </c>
      <c r="E350" s="7" t="s">
        <v>1117</v>
      </c>
      <c r="F350" s="7" t="s">
        <v>1077</v>
      </c>
      <c r="G350" s="46" t="s">
        <v>904</v>
      </c>
      <c r="H350" s="101">
        <v>1212</v>
      </c>
      <c r="I350" s="46" t="s">
        <v>1084</v>
      </c>
      <c r="J350" s="6">
        <v>46050</v>
      </c>
      <c r="K350" s="7" t="s">
        <v>245</v>
      </c>
      <c r="L350" s="7" t="s">
        <v>915</v>
      </c>
      <c r="M350" s="46" t="s">
        <v>1105</v>
      </c>
      <c r="N350" s="46" t="s">
        <v>79</v>
      </c>
      <c r="O350" s="46" t="s">
        <v>1089</v>
      </c>
      <c r="P350" s="6">
        <v>45581</v>
      </c>
      <c r="Q350" s="102">
        <v>0</v>
      </c>
      <c r="R350" s="102">
        <v>0</v>
      </c>
      <c r="S350" s="7">
        <v>0</v>
      </c>
    </row>
    <row r="351" s="98" customFormat="1" ht="16.5" hidden="1" spans="1:19">
      <c r="A351" s="46">
        <v>349</v>
      </c>
      <c r="B351" s="46" t="s">
        <v>23</v>
      </c>
      <c r="C351" s="46" t="s">
        <v>32</v>
      </c>
      <c r="D351" s="7" t="s">
        <v>30</v>
      </c>
      <c r="E351" s="7" t="s">
        <v>1117</v>
      </c>
      <c r="F351" s="7" t="s">
        <v>1077</v>
      </c>
      <c r="G351" s="46" t="s">
        <v>904</v>
      </c>
      <c r="H351" s="101">
        <v>1212</v>
      </c>
      <c r="I351" s="46" t="s">
        <v>1084</v>
      </c>
      <c r="J351" s="6">
        <v>46050</v>
      </c>
      <c r="K351" s="7" t="s">
        <v>1106</v>
      </c>
      <c r="L351" s="7" t="s">
        <v>915</v>
      </c>
      <c r="M351" s="46" t="s">
        <v>1107</v>
      </c>
      <c r="N351" s="46" t="s">
        <v>105</v>
      </c>
      <c r="O351" s="46" t="s">
        <v>909</v>
      </c>
      <c r="P351" s="6">
        <v>45915</v>
      </c>
      <c r="Q351" s="102">
        <v>0</v>
      </c>
      <c r="R351" s="102">
        <v>0</v>
      </c>
      <c r="S351" s="7">
        <v>0</v>
      </c>
    </row>
    <row r="352" s="98" customFormat="1" ht="16.5" hidden="1" spans="1:19">
      <c r="A352" s="46">
        <v>350</v>
      </c>
      <c r="B352" s="46" t="s">
        <v>23</v>
      </c>
      <c r="C352" s="46" t="s">
        <v>37</v>
      </c>
      <c r="D352" s="7" t="s">
        <v>30</v>
      </c>
      <c r="E352" s="7" t="s">
        <v>1117</v>
      </c>
      <c r="F352" s="7" t="s">
        <v>1077</v>
      </c>
      <c r="G352" s="46" t="s">
        <v>904</v>
      </c>
      <c r="H352" s="101">
        <v>1212</v>
      </c>
      <c r="I352" s="46" t="s">
        <v>1084</v>
      </c>
      <c r="J352" s="6">
        <v>46050</v>
      </c>
      <c r="K352" s="7" t="s">
        <v>237</v>
      </c>
      <c r="L352" s="7" t="s">
        <v>915</v>
      </c>
      <c r="M352" s="46" t="s">
        <v>1108</v>
      </c>
      <c r="N352" s="46" t="s">
        <v>152</v>
      </c>
      <c r="O352" s="46" t="s">
        <v>1089</v>
      </c>
      <c r="P352" s="6">
        <v>45390</v>
      </c>
      <c r="Q352" s="102">
        <v>5</v>
      </c>
      <c r="R352" s="102">
        <v>5</v>
      </c>
      <c r="S352" s="7">
        <v>0</v>
      </c>
    </row>
    <row r="353" s="98" customFormat="1" ht="16.5" hidden="1" spans="1:19">
      <c r="A353" s="46">
        <v>351</v>
      </c>
      <c r="B353" s="46" t="s">
        <v>23</v>
      </c>
      <c r="C353" s="46" t="s">
        <v>35</v>
      </c>
      <c r="D353" s="7" t="s">
        <v>30</v>
      </c>
      <c r="E353" s="7" t="s">
        <v>1118</v>
      </c>
      <c r="F353" s="7" t="s">
        <v>1119</v>
      </c>
      <c r="G353" s="46" t="s">
        <v>904</v>
      </c>
      <c r="H353" s="101">
        <v>1212</v>
      </c>
      <c r="I353" s="46" t="s">
        <v>1084</v>
      </c>
      <c r="J353" s="6">
        <v>46049</v>
      </c>
      <c r="K353" s="7" t="s">
        <v>463</v>
      </c>
      <c r="L353" s="7" t="s">
        <v>915</v>
      </c>
      <c r="M353" s="46" t="s">
        <v>1088</v>
      </c>
      <c r="N353" s="46" t="s">
        <v>125</v>
      </c>
      <c r="O353" s="46" t="s">
        <v>1089</v>
      </c>
      <c r="P353" s="6">
        <v>45400</v>
      </c>
      <c r="Q353" s="102">
        <v>5</v>
      </c>
      <c r="R353" s="102">
        <v>5</v>
      </c>
      <c r="S353" s="7">
        <v>0</v>
      </c>
    </row>
    <row r="354" s="98" customFormat="1" ht="16.5" hidden="1" spans="1:19">
      <c r="A354" s="46">
        <v>352</v>
      </c>
      <c r="B354" s="46" t="s">
        <v>23</v>
      </c>
      <c r="C354" s="46" t="s">
        <v>38</v>
      </c>
      <c r="D354" s="7" t="s">
        <v>30</v>
      </c>
      <c r="E354" s="7" t="s">
        <v>1118</v>
      </c>
      <c r="F354" s="7" t="s">
        <v>1119</v>
      </c>
      <c r="G354" s="46" t="s">
        <v>904</v>
      </c>
      <c r="H354" s="101">
        <v>1212</v>
      </c>
      <c r="I354" s="46" t="s">
        <v>1084</v>
      </c>
      <c r="J354" s="6">
        <v>46049</v>
      </c>
      <c r="K354" s="7" t="s">
        <v>205</v>
      </c>
      <c r="L354" s="7" t="s">
        <v>915</v>
      </c>
      <c r="M354" s="46" t="s">
        <v>1094</v>
      </c>
      <c r="N354" s="46" t="s">
        <v>168</v>
      </c>
      <c r="O354" s="46" t="s">
        <v>1089</v>
      </c>
      <c r="P354" s="6">
        <v>45763</v>
      </c>
      <c r="Q354" s="102">
        <v>5</v>
      </c>
      <c r="R354" s="102">
        <v>5</v>
      </c>
      <c r="S354" s="7">
        <v>0</v>
      </c>
    </row>
    <row r="355" s="98" customFormat="1" ht="16.5" hidden="1" spans="1:19">
      <c r="A355" s="46">
        <v>353</v>
      </c>
      <c r="B355" s="46" t="s">
        <v>23</v>
      </c>
      <c r="C355" s="46" t="s">
        <v>38</v>
      </c>
      <c r="D355" s="7" t="s">
        <v>30</v>
      </c>
      <c r="E355" s="7" t="s">
        <v>1118</v>
      </c>
      <c r="F355" s="7" t="s">
        <v>1119</v>
      </c>
      <c r="G355" s="46" t="s">
        <v>904</v>
      </c>
      <c r="H355" s="101">
        <v>1212</v>
      </c>
      <c r="I355" s="46" t="s">
        <v>1084</v>
      </c>
      <c r="J355" s="6">
        <v>46049</v>
      </c>
      <c r="K355" s="7" t="s">
        <v>540</v>
      </c>
      <c r="L355" s="7" t="s">
        <v>915</v>
      </c>
      <c r="M355" s="46" t="s">
        <v>1093</v>
      </c>
      <c r="N355" s="46" t="s">
        <v>220</v>
      </c>
      <c r="O355" s="46" t="s">
        <v>1089</v>
      </c>
      <c r="P355" s="6">
        <v>45545</v>
      </c>
      <c r="Q355" s="102">
        <v>5</v>
      </c>
      <c r="R355" s="102">
        <v>5</v>
      </c>
      <c r="S355" s="7">
        <v>0</v>
      </c>
    </row>
    <row r="356" s="98" customFormat="1" ht="16.5" hidden="1" spans="1:19">
      <c r="A356" s="46">
        <v>354</v>
      </c>
      <c r="B356" s="46" t="s">
        <v>23</v>
      </c>
      <c r="C356" s="46" t="s">
        <v>38</v>
      </c>
      <c r="D356" s="7" t="s">
        <v>30</v>
      </c>
      <c r="E356" s="7" t="s">
        <v>1118</v>
      </c>
      <c r="F356" s="7" t="s">
        <v>1119</v>
      </c>
      <c r="G356" s="46" t="s">
        <v>904</v>
      </c>
      <c r="H356" s="101">
        <v>1212</v>
      </c>
      <c r="I356" s="46" t="s">
        <v>1084</v>
      </c>
      <c r="J356" s="6">
        <v>46049</v>
      </c>
      <c r="K356" s="7" t="s">
        <v>147</v>
      </c>
      <c r="L356" s="7" t="s">
        <v>915</v>
      </c>
      <c r="M356" s="46" t="s">
        <v>1100</v>
      </c>
      <c r="N356" s="46" t="s">
        <v>148</v>
      </c>
      <c r="O356" s="46" t="s">
        <v>1089</v>
      </c>
      <c r="P356" s="6">
        <v>45669</v>
      </c>
      <c r="Q356" s="102">
        <v>5</v>
      </c>
      <c r="R356" s="102">
        <v>5</v>
      </c>
      <c r="S356" s="7">
        <v>0</v>
      </c>
    </row>
    <row r="357" s="98" customFormat="1" ht="16.5" hidden="1" spans="1:19">
      <c r="A357" s="46">
        <v>355</v>
      </c>
      <c r="B357" s="46" t="s">
        <v>23</v>
      </c>
      <c r="C357" s="46" t="s">
        <v>32</v>
      </c>
      <c r="D357" s="7" t="s">
        <v>30</v>
      </c>
      <c r="E357" s="7" t="s">
        <v>1118</v>
      </c>
      <c r="F357" s="7" t="s">
        <v>1119</v>
      </c>
      <c r="G357" s="46" t="s">
        <v>904</v>
      </c>
      <c r="H357" s="101">
        <v>1212</v>
      </c>
      <c r="I357" s="46" t="s">
        <v>1084</v>
      </c>
      <c r="J357" s="6">
        <v>46049</v>
      </c>
      <c r="K357" s="7" t="s">
        <v>192</v>
      </c>
      <c r="L357" s="7" t="s">
        <v>915</v>
      </c>
      <c r="M357" s="46" t="s">
        <v>1092</v>
      </c>
      <c r="N357" s="46" t="s">
        <v>105</v>
      </c>
      <c r="O357" s="46" t="s">
        <v>1089</v>
      </c>
      <c r="P357" s="6">
        <v>44351</v>
      </c>
      <c r="Q357" s="102">
        <v>0</v>
      </c>
      <c r="R357" s="102">
        <v>0</v>
      </c>
      <c r="S357" s="7">
        <v>0</v>
      </c>
    </row>
    <row r="358" s="98" customFormat="1" ht="16.5" hidden="1" spans="1:19">
      <c r="A358" s="46">
        <v>356</v>
      </c>
      <c r="B358" s="46" t="s">
        <v>23</v>
      </c>
      <c r="C358" s="46" t="s">
        <v>38</v>
      </c>
      <c r="D358" s="7" t="s">
        <v>30</v>
      </c>
      <c r="E358" s="7" t="s">
        <v>1118</v>
      </c>
      <c r="F358" s="7" t="s">
        <v>1119</v>
      </c>
      <c r="G358" s="46" t="s">
        <v>904</v>
      </c>
      <c r="H358" s="101">
        <v>1212</v>
      </c>
      <c r="I358" s="46" t="s">
        <v>1084</v>
      </c>
      <c r="J358" s="6">
        <v>46049</v>
      </c>
      <c r="K358" s="7" t="s">
        <v>227</v>
      </c>
      <c r="L358" s="7" t="s">
        <v>915</v>
      </c>
      <c r="M358" s="46" t="s">
        <v>1091</v>
      </c>
      <c r="N358" s="46" t="s">
        <v>148</v>
      </c>
      <c r="O358" s="46" t="s">
        <v>1089</v>
      </c>
      <c r="P358" s="6">
        <v>45706</v>
      </c>
      <c r="Q358" s="102">
        <v>0</v>
      </c>
      <c r="R358" s="102">
        <v>0</v>
      </c>
      <c r="S358" s="7">
        <v>0</v>
      </c>
    </row>
    <row r="359" s="98" customFormat="1" ht="16.5" hidden="1" spans="1:19">
      <c r="A359" s="46">
        <v>357</v>
      </c>
      <c r="B359" s="46" t="s">
        <v>23</v>
      </c>
      <c r="C359" s="46" t="s">
        <v>36</v>
      </c>
      <c r="D359" s="7" t="s">
        <v>30</v>
      </c>
      <c r="E359" s="7" t="s">
        <v>1118</v>
      </c>
      <c r="F359" s="7" t="s">
        <v>1119</v>
      </c>
      <c r="G359" s="46" t="s">
        <v>904</v>
      </c>
      <c r="H359" s="101">
        <v>1212</v>
      </c>
      <c r="I359" s="46" t="s">
        <v>1084</v>
      </c>
      <c r="J359" s="6">
        <v>46049</v>
      </c>
      <c r="K359" s="7" t="s">
        <v>320</v>
      </c>
      <c r="L359" s="7" t="s">
        <v>915</v>
      </c>
      <c r="M359" s="46" t="s">
        <v>1085</v>
      </c>
      <c r="N359" s="46" t="s">
        <v>173</v>
      </c>
      <c r="O359" s="46" t="s">
        <v>1089</v>
      </c>
      <c r="P359" s="6">
        <v>45502</v>
      </c>
      <c r="Q359" s="102">
        <v>5</v>
      </c>
      <c r="R359" s="102">
        <v>5</v>
      </c>
      <c r="S359" s="7">
        <v>0</v>
      </c>
    </row>
    <row r="360" s="98" customFormat="1" ht="16.5" hidden="1" spans="1:19">
      <c r="A360" s="46">
        <v>358</v>
      </c>
      <c r="B360" s="46" t="s">
        <v>23</v>
      </c>
      <c r="C360" s="46" t="s">
        <v>38</v>
      </c>
      <c r="D360" s="7" t="s">
        <v>30</v>
      </c>
      <c r="E360" s="7" t="s">
        <v>1118</v>
      </c>
      <c r="F360" s="7" t="s">
        <v>1119</v>
      </c>
      <c r="G360" s="46" t="s">
        <v>904</v>
      </c>
      <c r="H360" s="101">
        <v>1212</v>
      </c>
      <c r="I360" s="46" t="s">
        <v>1084</v>
      </c>
      <c r="J360" s="6">
        <v>46049</v>
      </c>
      <c r="K360" s="7" t="s">
        <v>294</v>
      </c>
      <c r="L360" s="7" t="s">
        <v>915</v>
      </c>
      <c r="M360" s="46" t="s">
        <v>1112</v>
      </c>
      <c r="N360" s="46" t="s">
        <v>63</v>
      </c>
      <c r="O360" s="46" t="s">
        <v>1113</v>
      </c>
      <c r="P360" s="6">
        <v>44725</v>
      </c>
      <c r="Q360" s="102">
        <v>0</v>
      </c>
      <c r="R360" s="102">
        <v>0</v>
      </c>
      <c r="S360" s="7">
        <v>0</v>
      </c>
    </row>
    <row r="361" s="98" customFormat="1" ht="16.5" hidden="1" spans="1:19">
      <c r="A361" s="46">
        <v>359</v>
      </c>
      <c r="B361" s="46" t="s">
        <v>23</v>
      </c>
      <c r="C361" s="46" t="s">
        <v>38</v>
      </c>
      <c r="D361" s="7" t="s">
        <v>30</v>
      </c>
      <c r="E361" s="7" t="s">
        <v>1118</v>
      </c>
      <c r="F361" s="7" t="s">
        <v>1119</v>
      </c>
      <c r="G361" s="46" t="s">
        <v>904</v>
      </c>
      <c r="H361" s="101">
        <v>1212</v>
      </c>
      <c r="I361" s="46" t="s">
        <v>1084</v>
      </c>
      <c r="J361" s="6">
        <v>46049</v>
      </c>
      <c r="K361" s="7" t="s">
        <v>95</v>
      </c>
      <c r="L361" s="7" t="s">
        <v>915</v>
      </c>
      <c r="M361" s="46" t="s">
        <v>1096</v>
      </c>
      <c r="N361" s="46" t="s">
        <v>63</v>
      </c>
      <c r="O361" s="46" t="s">
        <v>1089</v>
      </c>
      <c r="P361" s="6">
        <v>45661</v>
      </c>
      <c r="Q361" s="102">
        <v>5</v>
      </c>
      <c r="R361" s="102">
        <v>5</v>
      </c>
      <c r="S361" s="7">
        <v>0</v>
      </c>
    </row>
    <row r="362" s="98" customFormat="1" ht="16.5" hidden="1" spans="1:19">
      <c r="A362" s="46">
        <v>360</v>
      </c>
      <c r="B362" s="46" t="s">
        <v>23</v>
      </c>
      <c r="C362" s="46" t="s">
        <v>38</v>
      </c>
      <c r="D362" s="7" t="s">
        <v>30</v>
      </c>
      <c r="E362" s="7" t="s">
        <v>1118</v>
      </c>
      <c r="F362" s="7" t="s">
        <v>1119</v>
      </c>
      <c r="G362" s="46" t="s">
        <v>904</v>
      </c>
      <c r="H362" s="101">
        <v>1212</v>
      </c>
      <c r="I362" s="46" t="s">
        <v>1084</v>
      </c>
      <c r="J362" s="6">
        <v>46049</v>
      </c>
      <c r="K362" s="7" t="s">
        <v>481</v>
      </c>
      <c r="L362" s="7" t="s">
        <v>915</v>
      </c>
      <c r="M362" s="46" t="s">
        <v>1099</v>
      </c>
      <c r="N362" s="46" t="s">
        <v>63</v>
      </c>
      <c r="O362" s="46" t="s">
        <v>1089</v>
      </c>
      <c r="P362" s="6">
        <v>45698</v>
      </c>
      <c r="Q362" s="102">
        <v>5</v>
      </c>
      <c r="R362" s="102">
        <v>5</v>
      </c>
      <c r="S362" s="7">
        <v>0</v>
      </c>
    </row>
    <row r="363" s="98" customFormat="1" ht="16.5" hidden="1" spans="1:19">
      <c r="A363" s="46">
        <v>361</v>
      </c>
      <c r="B363" s="46" t="s">
        <v>23</v>
      </c>
      <c r="C363" s="46" t="s">
        <v>31</v>
      </c>
      <c r="D363" s="7" t="s">
        <v>30</v>
      </c>
      <c r="E363" s="7" t="s">
        <v>1118</v>
      </c>
      <c r="F363" s="7" t="s">
        <v>1119</v>
      </c>
      <c r="G363" s="46" t="s">
        <v>904</v>
      </c>
      <c r="H363" s="101">
        <v>1212</v>
      </c>
      <c r="I363" s="46" t="s">
        <v>1084</v>
      </c>
      <c r="J363" s="6">
        <v>46049</v>
      </c>
      <c r="K363" s="7" t="s">
        <v>78</v>
      </c>
      <c r="L363" s="7" t="s">
        <v>915</v>
      </c>
      <c r="M363" s="46" t="s">
        <v>1103</v>
      </c>
      <c r="N363" s="46" t="s">
        <v>79</v>
      </c>
      <c r="O363" s="46" t="s">
        <v>1089</v>
      </c>
      <c r="P363" s="6">
        <v>45649</v>
      </c>
      <c r="Q363" s="102">
        <v>5</v>
      </c>
      <c r="R363" s="102">
        <v>5</v>
      </c>
      <c r="S363" s="7">
        <v>0</v>
      </c>
    </row>
    <row r="364" s="98" customFormat="1" ht="16.5" hidden="1" spans="1:19">
      <c r="A364" s="46">
        <v>362</v>
      </c>
      <c r="B364" s="46" t="s">
        <v>23</v>
      </c>
      <c r="C364" s="46" t="s">
        <v>35</v>
      </c>
      <c r="D364" s="7" t="s">
        <v>30</v>
      </c>
      <c r="E364" s="7" t="s">
        <v>1118</v>
      </c>
      <c r="F364" s="7" t="s">
        <v>1119</v>
      </c>
      <c r="G364" s="46" t="s">
        <v>904</v>
      </c>
      <c r="H364" s="101">
        <v>1212</v>
      </c>
      <c r="I364" s="46" t="s">
        <v>1084</v>
      </c>
      <c r="J364" s="6">
        <v>46049</v>
      </c>
      <c r="K364" s="7" t="s">
        <v>493</v>
      </c>
      <c r="L364" s="7" t="s">
        <v>915</v>
      </c>
      <c r="M364" s="46" t="s">
        <v>1102</v>
      </c>
      <c r="N364" s="46" t="s">
        <v>125</v>
      </c>
      <c r="O364" s="46" t="s">
        <v>1089</v>
      </c>
      <c r="P364" s="6">
        <v>45427</v>
      </c>
      <c r="Q364" s="102">
        <v>0</v>
      </c>
      <c r="R364" s="102">
        <v>0</v>
      </c>
      <c r="S364" s="7">
        <v>0</v>
      </c>
    </row>
    <row r="365" s="98" customFormat="1" ht="16.5" hidden="1" spans="1:19">
      <c r="A365" s="46">
        <v>363</v>
      </c>
      <c r="B365" s="46" t="s">
        <v>23</v>
      </c>
      <c r="C365" s="46" t="s">
        <v>32</v>
      </c>
      <c r="D365" s="7" t="s">
        <v>30</v>
      </c>
      <c r="E365" s="7" t="s">
        <v>1118</v>
      </c>
      <c r="F365" s="7" t="s">
        <v>1119</v>
      </c>
      <c r="G365" s="46" t="s">
        <v>904</v>
      </c>
      <c r="H365" s="101">
        <v>1212</v>
      </c>
      <c r="I365" s="46" t="s">
        <v>1084</v>
      </c>
      <c r="J365" s="6">
        <v>46049</v>
      </c>
      <c r="K365" s="7" t="s">
        <v>165</v>
      </c>
      <c r="L365" s="7" t="s">
        <v>915</v>
      </c>
      <c r="M365" s="46" t="s">
        <v>1095</v>
      </c>
      <c r="N365" s="46" t="s">
        <v>105</v>
      </c>
      <c r="O365" s="46" t="s">
        <v>1089</v>
      </c>
      <c r="P365" s="6">
        <v>45699</v>
      </c>
      <c r="Q365" s="102">
        <v>5</v>
      </c>
      <c r="R365" s="102">
        <v>5</v>
      </c>
      <c r="S365" s="7">
        <v>0</v>
      </c>
    </row>
    <row r="366" s="98" customFormat="1" ht="16.5" hidden="1" spans="1:19">
      <c r="A366" s="46">
        <v>364</v>
      </c>
      <c r="B366" s="46" t="s">
        <v>23</v>
      </c>
      <c r="C366" s="46" t="s">
        <v>29</v>
      </c>
      <c r="D366" s="7" t="s">
        <v>30</v>
      </c>
      <c r="E366" s="7" t="s">
        <v>1118</v>
      </c>
      <c r="F366" s="7" t="s">
        <v>1119</v>
      </c>
      <c r="G366" s="46" t="s">
        <v>904</v>
      </c>
      <c r="H366" s="101">
        <v>1212</v>
      </c>
      <c r="I366" s="46" t="s">
        <v>1084</v>
      </c>
      <c r="J366" s="6">
        <v>46049</v>
      </c>
      <c r="K366" s="7" t="s">
        <v>253</v>
      </c>
      <c r="L366" s="7" t="s">
        <v>915</v>
      </c>
      <c r="M366" s="46" t="s">
        <v>1097</v>
      </c>
      <c r="N366" s="46" t="s">
        <v>130</v>
      </c>
      <c r="O366" s="46" t="s">
        <v>1089</v>
      </c>
      <c r="P366" s="6">
        <v>45604</v>
      </c>
      <c r="Q366" s="102">
        <v>5</v>
      </c>
      <c r="R366" s="102">
        <v>5</v>
      </c>
      <c r="S366" s="7">
        <v>0</v>
      </c>
    </row>
    <row r="367" s="98" customFormat="1" ht="16.5" hidden="1" spans="1:19">
      <c r="A367" s="46">
        <v>365</v>
      </c>
      <c r="B367" s="46" t="s">
        <v>23</v>
      </c>
      <c r="C367" s="46" t="s">
        <v>35</v>
      </c>
      <c r="D367" s="7" t="s">
        <v>30</v>
      </c>
      <c r="E367" s="7" t="s">
        <v>1118</v>
      </c>
      <c r="F367" s="7" t="s">
        <v>1119</v>
      </c>
      <c r="G367" s="46" t="s">
        <v>904</v>
      </c>
      <c r="H367" s="101">
        <v>1212</v>
      </c>
      <c r="I367" s="46" t="s">
        <v>1084</v>
      </c>
      <c r="J367" s="6">
        <v>46049</v>
      </c>
      <c r="K367" s="7" t="s">
        <v>584</v>
      </c>
      <c r="L367" s="7" t="s">
        <v>915</v>
      </c>
      <c r="M367" s="46" t="s">
        <v>1101</v>
      </c>
      <c r="N367" s="46" t="s">
        <v>125</v>
      </c>
      <c r="O367" s="46" t="s">
        <v>1089</v>
      </c>
      <c r="P367" s="6">
        <v>45791</v>
      </c>
      <c r="Q367" s="102">
        <v>5</v>
      </c>
      <c r="R367" s="102">
        <v>5</v>
      </c>
      <c r="S367" s="7">
        <v>0</v>
      </c>
    </row>
    <row r="368" s="98" customFormat="1" ht="16.5" hidden="1" spans="1:19">
      <c r="A368" s="46">
        <v>366</v>
      </c>
      <c r="B368" s="46" t="s">
        <v>23</v>
      </c>
      <c r="C368" s="46" t="s">
        <v>37</v>
      </c>
      <c r="D368" s="7" t="s">
        <v>30</v>
      </c>
      <c r="E368" s="7" t="s">
        <v>1118</v>
      </c>
      <c r="F368" s="7" t="s">
        <v>1119</v>
      </c>
      <c r="G368" s="46" t="s">
        <v>904</v>
      </c>
      <c r="H368" s="101">
        <v>1212</v>
      </c>
      <c r="I368" s="46" t="s">
        <v>1084</v>
      </c>
      <c r="J368" s="6">
        <v>46049</v>
      </c>
      <c r="K368" s="7" t="s">
        <v>251</v>
      </c>
      <c r="L368" s="7" t="s">
        <v>915</v>
      </c>
      <c r="M368" s="46" t="s">
        <v>1109</v>
      </c>
      <c r="N368" s="46" t="s">
        <v>152</v>
      </c>
      <c r="O368" s="46" t="s">
        <v>1089</v>
      </c>
      <c r="P368" s="6">
        <v>45599</v>
      </c>
      <c r="Q368" s="102">
        <v>5</v>
      </c>
      <c r="R368" s="102">
        <v>5</v>
      </c>
      <c r="S368" s="7">
        <v>0</v>
      </c>
    </row>
    <row r="369" s="98" customFormat="1" ht="16.5" hidden="1" spans="1:19">
      <c r="A369" s="46">
        <v>367</v>
      </c>
      <c r="B369" s="46" t="s">
        <v>23</v>
      </c>
      <c r="C369" s="46" t="s">
        <v>37</v>
      </c>
      <c r="D369" s="7" t="s">
        <v>30</v>
      </c>
      <c r="E369" s="7" t="s">
        <v>1118</v>
      </c>
      <c r="F369" s="7" t="s">
        <v>1119</v>
      </c>
      <c r="G369" s="46" t="s">
        <v>904</v>
      </c>
      <c r="H369" s="101">
        <v>1212</v>
      </c>
      <c r="I369" s="46" t="s">
        <v>1084</v>
      </c>
      <c r="J369" s="6">
        <v>46049</v>
      </c>
      <c r="K369" s="7" t="s">
        <v>203</v>
      </c>
      <c r="L369" s="7" t="s">
        <v>915</v>
      </c>
      <c r="M369" s="46" t="s">
        <v>1104</v>
      </c>
      <c r="N369" s="46" t="s">
        <v>109</v>
      </c>
      <c r="O369" s="46" t="s">
        <v>1089</v>
      </c>
      <c r="P369" s="6">
        <v>45011</v>
      </c>
      <c r="Q369" s="102">
        <v>0</v>
      </c>
      <c r="R369" s="102">
        <v>0</v>
      </c>
      <c r="S369" s="7">
        <v>0</v>
      </c>
    </row>
    <row r="370" s="98" customFormat="1" ht="16.5" hidden="1" spans="1:19">
      <c r="A370" s="46">
        <v>368</v>
      </c>
      <c r="B370" s="46" t="s">
        <v>23</v>
      </c>
      <c r="C370" s="46" t="s">
        <v>31</v>
      </c>
      <c r="D370" s="7" t="s">
        <v>30</v>
      </c>
      <c r="E370" s="7" t="s">
        <v>1118</v>
      </c>
      <c r="F370" s="7" t="s">
        <v>1119</v>
      </c>
      <c r="G370" s="46" t="s">
        <v>904</v>
      </c>
      <c r="H370" s="101">
        <v>1212</v>
      </c>
      <c r="I370" s="46" t="s">
        <v>1084</v>
      </c>
      <c r="J370" s="6">
        <v>46049</v>
      </c>
      <c r="K370" s="7" t="s">
        <v>245</v>
      </c>
      <c r="L370" s="7" t="s">
        <v>915</v>
      </c>
      <c r="M370" s="46" t="s">
        <v>1105</v>
      </c>
      <c r="N370" s="46" t="s">
        <v>79</v>
      </c>
      <c r="O370" s="46" t="s">
        <v>1089</v>
      </c>
      <c r="P370" s="6">
        <v>45581</v>
      </c>
      <c r="Q370" s="102">
        <v>5</v>
      </c>
      <c r="R370" s="102">
        <v>5</v>
      </c>
      <c r="S370" s="7">
        <v>0</v>
      </c>
    </row>
    <row r="371" s="98" customFormat="1" ht="16.5" hidden="1" spans="1:19">
      <c r="A371" s="46">
        <v>369</v>
      </c>
      <c r="B371" s="46" t="s">
        <v>23</v>
      </c>
      <c r="C371" s="46" t="s">
        <v>32</v>
      </c>
      <c r="D371" s="7" t="s">
        <v>30</v>
      </c>
      <c r="E371" s="7" t="s">
        <v>1118</v>
      </c>
      <c r="F371" s="7" t="s">
        <v>1119</v>
      </c>
      <c r="G371" s="46" t="s">
        <v>904</v>
      </c>
      <c r="H371" s="101">
        <v>1212</v>
      </c>
      <c r="I371" s="46" t="s">
        <v>1084</v>
      </c>
      <c r="J371" s="6">
        <v>46049</v>
      </c>
      <c r="K371" s="7" t="s">
        <v>1106</v>
      </c>
      <c r="L371" s="7" t="s">
        <v>915</v>
      </c>
      <c r="M371" s="46" t="s">
        <v>1107</v>
      </c>
      <c r="N371" s="46" t="s">
        <v>105</v>
      </c>
      <c r="O371" s="46" t="s">
        <v>909</v>
      </c>
      <c r="P371" s="6">
        <v>45915</v>
      </c>
      <c r="Q371" s="102">
        <v>0</v>
      </c>
      <c r="R371" s="102">
        <v>0</v>
      </c>
      <c r="S371" s="7">
        <v>0</v>
      </c>
    </row>
    <row r="372" s="98" customFormat="1" ht="16.5" hidden="1" spans="1:19">
      <c r="A372" s="46">
        <v>370</v>
      </c>
      <c r="B372" s="46" t="s">
        <v>23</v>
      </c>
      <c r="C372" s="46" t="s">
        <v>37</v>
      </c>
      <c r="D372" s="7" t="s">
        <v>30</v>
      </c>
      <c r="E372" s="7" t="s">
        <v>1118</v>
      </c>
      <c r="F372" s="7" t="s">
        <v>1119</v>
      </c>
      <c r="G372" s="46" t="s">
        <v>904</v>
      </c>
      <c r="H372" s="101">
        <v>1212</v>
      </c>
      <c r="I372" s="46" t="s">
        <v>1084</v>
      </c>
      <c r="J372" s="6">
        <v>46049</v>
      </c>
      <c r="K372" s="7" t="s">
        <v>237</v>
      </c>
      <c r="L372" s="7" t="s">
        <v>915</v>
      </c>
      <c r="M372" s="46" t="s">
        <v>1108</v>
      </c>
      <c r="N372" s="46" t="s">
        <v>152</v>
      </c>
      <c r="O372" s="46" t="s">
        <v>1089</v>
      </c>
      <c r="P372" s="6">
        <v>45390</v>
      </c>
      <c r="Q372" s="102">
        <v>5</v>
      </c>
      <c r="R372" s="102">
        <v>5</v>
      </c>
      <c r="S372" s="7">
        <v>0</v>
      </c>
    </row>
    <row r="373" s="98" customFormat="1" ht="16.5" hidden="1" spans="1:19">
      <c r="A373" s="46">
        <v>371</v>
      </c>
      <c r="B373" s="46" t="s">
        <v>23</v>
      </c>
      <c r="C373" s="46" t="s">
        <v>38</v>
      </c>
      <c r="D373" s="7" t="s">
        <v>30</v>
      </c>
      <c r="E373" s="7" t="s">
        <v>1118</v>
      </c>
      <c r="F373" s="7" t="s">
        <v>1119</v>
      </c>
      <c r="G373" s="46" t="s">
        <v>904</v>
      </c>
      <c r="H373" s="101">
        <v>1212</v>
      </c>
      <c r="I373" s="46" t="s">
        <v>1084</v>
      </c>
      <c r="J373" s="6">
        <v>46049</v>
      </c>
      <c r="K373" s="7" t="s">
        <v>531</v>
      </c>
      <c r="L373" s="7" t="s">
        <v>915</v>
      </c>
      <c r="M373" s="46" t="s">
        <v>1087</v>
      </c>
      <c r="N373" s="46" t="s">
        <v>70</v>
      </c>
      <c r="O373" s="46" t="s">
        <v>1089</v>
      </c>
      <c r="P373" s="6">
        <v>45269</v>
      </c>
      <c r="Q373" s="102">
        <v>5</v>
      </c>
      <c r="R373" s="102">
        <v>5</v>
      </c>
      <c r="S373" s="7">
        <v>0</v>
      </c>
    </row>
    <row r="374" s="98" customFormat="1" ht="16.5" hidden="1" spans="1:19">
      <c r="A374" s="46">
        <v>372</v>
      </c>
      <c r="B374" s="46" t="s">
        <v>23</v>
      </c>
      <c r="C374" s="46" t="s">
        <v>38</v>
      </c>
      <c r="D374" s="7" t="s">
        <v>30</v>
      </c>
      <c r="E374" s="7" t="s">
        <v>1120</v>
      </c>
      <c r="F374" s="7" t="s">
        <v>1121</v>
      </c>
      <c r="G374" s="46" t="s">
        <v>904</v>
      </c>
      <c r="H374" s="101">
        <v>1212</v>
      </c>
      <c r="I374" s="46" t="s">
        <v>1084</v>
      </c>
      <c r="J374" s="6">
        <v>46049</v>
      </c>
      <c r="K374" s="7" t="s">
        <v>531</v>
      </c>
      <c r="L374" s="7" t="s">
        <v>915</v>
      </c>
      <c r="M374" s="46" t="s">
        <v>1087</v>
      </c>
      <c r="N374" s="46" t="s">
        <v>70</v>
      </c>
      <c r="O374" s="46" t="s">
        <v>1089</v>
      </c>
      <c r="P374" s="6">
        <v>45269</v>
      </c>
      <c r="Q374" s="102">
        <v>5</v>
      </c>
      <c r="R374" s="102">
        <v>5</v>
      </c>
      <c r="S374" s="7">
        <v>0</v>
      </c>
    </row>
    <row r="375" s="98" customFormat="1" ht="16.5" hidden="1" spans="1:19">
      <c r="A375" s="46">
        <v>373</v>
      </c>
      <c r="B375" s="46" t="s">
        <v>23</v>
      </c>
      <c r="C375" s="46" t="s">
        <v>35</v>
      </c>
      <c r="D375" s="7" t="s">
        <v>30</v>
      </c>
      <c r="E375" s="7" t="s">
        <v>1120</v>
      </c>
      <c r="F375" s="7" t="s">
        <v>1121</v>
      </c>
      <c r="G375" s="46" t="s">
        <v>904</v>
      </c>
      <c r="H375" s="101">
        <v>1212</v>
      </c>
      <c r="I375" s="46" t="s">
        <v>1084</v>
      </c>
      <c r="J375" s="6">
        <v>46049</v>
      </c>
      <c r="K375" s="7" t="s">
        <v>463</v>
      </c>
      <c r="L375" s="7" t="s">
        <v>915</v>
      </c>
      <c r="M375" s="46" t="s">
        <v>1088</v>
      </c>
      <c r="N375" s="46" t="s">
        <v>125</v>
      </c>
      <c r="O375" s="46" t="s">
        <v>1089</v>
      </c>
      <c r="P375" s="6">
        <v>45400</v>
      </c>
      <c r="Q375" s="102">
        <v>5</v>
      </c>
      <c r="R375" s="102">
        <v>5</v>
      </c>
      <c r="S375" s="7">
        <v>0</v>
      </c>
    </row>
    <row r="376" s="98" customFormat="1" ht="16.5" hidden="1" spans="1:19">
      <c r="A376" s="46">
        <v>374</v>
      </c>
      <c r="B376" s="46" t="s">
        <v>23</v>
      </c>
      <c r="C376" s="46" t="s">
        <v>38</v>
      </c>
      <c r="D376" s="7" t="s">
        <v>30</v>
      </c>
      <c r="E376" s="7" t="s">
        <v>1120</v>
      </c>
      <c r="F376" s="7" t="s">
        <v>1121</v>
      </c>
      <c r="G376" s="46" t="s">
        <v>904</v>
      </c>
      <c r="H376" s="101">
        <v>1212</v>
      </c>
      <c r="I376" s="46" t="s">
        <v>1084</v>
      </c>
      <c r="J376" s="6">
        <v>46049</v>
      </c>
      <c r="K376" s="7" t="s">
        <v>205</v>
      </c>
      <c r="L376" s="7" t="s">
        <v>915</v>
      </c>
      <c r="M376" s="46" t="s">
        <v>1094</v>
      </c>
      <c r="N376" s="46" t="s">
        <v>168</v>
      </c>
      <c r="O376" s="46" t="s">
        <v>1089</v>
      </c>
      <c r="P376" s="6">
        <v>45763</v>
      </c>
      <c r="Q376" s="102">
        <v>5</v>
      </c>
      <c r="R376" s="102">
        <v>5</v>
      </c>
      <c r="S376" s="7">
        <v>0</v>
      </c>
    </row>
    <row r="377" s="98" customFormat="1" ht="16.5" hidden="1" spans="1:19">
      <c r="A377" s="46">
        <v>375</v>
      </c>
      <c r="B377" s="46" t="s">
        <v>23</v>
      </c>
      <c r="C377" s="46" t="s">
        <v>38</v>
      </c>
      <c r="D377" s="7" t="s">
        <v>30</v>
      </c>
      <c r="E377" s="7" t="s">
        <v>1120</v>
      </c>
      <c r="F377" s="7" t="s">
        <v>1121</v>
      </c>
      <c r="G377" s="46" t="s">
        <v>904</v>
      </c>
      <c r="H377" s="101">
        <v>1212</v>
      </c>
      <c r="I377" s="46" t="s">
        <v>1084</v>
      </c>
      <c r="J377" s="6">
        <v>46049</v>
      </c>
      <c r="K377" s="7" t="s">
        <v>540</v>
      </c>
      <c r="L377" s="7" t="s">
        <v>915</v>
      </c>
      <c r="M377" s="46" t="s">
        <v>1093</v>
      </c>
      <c r="N377" s="46" t="s">
        <v>220</v>
      </c>
      <c r="O377" s="46" t="s">
        <v>1089</v>
      </c>
      <c r="P377" s="6">
        <v>45545</v>
      </c>
      <c r="Q377" s="102">
        <v>5</v>
      </c>
      <c r="R377" s="102">
        <v>5</v>
      </c>
      <c r="S377" s="7">
        <v>0</v>
      </c>
    </row>
    <row r="378" s="98" customFormat="1" ht="16.5" hidden="1" spans="1:19">
      <c r="A378" s="46">
        <v>376</v>
      </c>
      <c r="B378" s="46" t="s">
        <v>23</v>
      </c>
      <c r="C378" s="46" t="s">
        <v>38</v>
      </c>
      <c r="D378" s="7" t="s">
        <v>30</v>
      </c>
      <c r="E378" s="7" t="s">
        <v>1120</v>
      </c>
      <c r="F378" s="7" t="s">
        <v>1121</v>
      </c>
      <c r="G378" s="46" t="s">
        <v>904</v>
      </c>
      <c r="H378" s="101">
        <v>1212</v>
      </c>
      <c r="I378" s="46" t="s">
        <v>1084</v>
      </c>
      <c r="J378" s="6">
        <v>46049</v>
      </c>
      <c r="K378" s="7" t="s">
        <v>147</v>
      </c>
      <c r="L378" s="7" t="s">
        <v>915</v>
      </c>
      <c r="M378" s="46" t="s">
        <v>1100</v>
      </c>
      <c r="N378" s="46" t="s">
        <v>148</v>
      </c>
      <c r="O378" s="46" t="s">
        <v>1089</v>
      </c>
      <c r="P378" s="6">
        <v>45669</v>
      </c>
      <c r="Q378" s="102">
        <v>5</v>
      </c>
      <c r="R378" s="102">
        <v>5</v>
      </c>
      <c r="S378" s="7">
        <v>0</v>
      </c>
    </row>
    <row r="379" s="98" customFormat="1" ht="16.5" hidden="1" spans="1:19">
      <c r="A379" s="46">
        <v>377</v>
      </c>
      <c r="B379" s="46" t="s">
        <v>23</v>
      </c>
      <c r="C379" s="46" t="s">
        <v>32</v>
      </c>
      <c r="D379" s="7" t="s">
        <v>30</v>
      </c>
      <c r="E379" s="7" t="s">
        <v>1120</v>
      </c>
      <c r="F379" s="7" t="s">
        <v>1121</v>
      </c>
      <c r="G379" s="46" t="s">
        <v>904</v>
      </c>
      <c r="H379" s="101">
        <v>1212</v>
      </c>
      <c r="I379" s="46" t="s">
        <v>1084</v>
      </c>
      <c r="J379" s="6">
        <v>46049</v>
      </c>
      <c r="K379" s="7" t="s">
        <v>192</v>
      </c>
      <c r="L379" s="7" t="s">
        <v>915</v>
      </c>
      <c r="M379" s="46" t="s">
        <v>1092</v>
      </c>
      <c r="N379" s="46" t="s">
        <v>105</v>
      </c>
      <c r="O379" s="46" t="s">
        <v>1089</v>
      </c>
      <c r="P379" s="6">
        <v>44351</v>
      </c>
      <c r="Q379" s="102">
        <v>0</v>
      </c>
      <c r="R379" s="102">
        <v>0</v>
      </c>
      <c r="S379" s="7">
        <v>0</v>
      </c>
    </row>
    <row r="380" s="98" customFormat="1" ht="16.5" hidden="1" spans="1:19">
      <c r="A380" s="46">
        <v>378</v>
      </c>
      <c r="B380" s="46" t="s">
        <v>23</v>
      </c>
      <c r="C380" s="46" t="s">
        <v>38</v>
      </c>
      <c r="D380" s="7" t="s">
        <v>30</v>
      </c>
      <c r="E380" s="7" t="s">
        <v>1120</v>
      </c>
      <c r="F380" s="7" t="s">
        <v>1121</v>
      </c>
      <c r="G380" s="46" t="s">
        <v>904</v>
      </c>
      <c r="H380" s="101">
        <v>1212</v>
      </c>
      <c r="I380" s="46" t="s">
        <v>1084</v>
      </c>
      <c r="J380" s="6">
        <v>46049</v>
      </c>
      <c r="K380" s="7" t="s">
        <v>227</v>
      </c>
      <c r="L380" s="7" t="s">
        <v>915</v>
      </c>
      <c r="M380" s="46" t="s">
        <v>1091</v>
      </c>
      <c r="N380" s="46" t="s">
        <v>148</v>
      </c>
      <c r="O380" s="46" t="s">
        <v>1089</v>
      </c>
      <c r="P380" s="6">
        <v>45706</v>
      </c>
      <c r="Q380" s="102">
        <v>0</v>
      </c>
      <c r="R380" s="102">
        <v>0</v>
      </c>
      <c r="S380" s="7">
        <v>0</v>
      </c>
    </row>
    <row r="381" s="98" customFormat="1" ht="16.5" hidden="1" spans="1:19">
      <c r="A381" s="46">
        <v>379</v>
      </c>
      <c r="B381" s="46" t="s">
        <v>23</v>
      </c>
      <c r="C381" s="46" t="s">
        <v>36</v>
      </c>
      <c r="D381" s="7" t="s">
        <v>30</v>
      </c>
      <c r="E381" s="7" t="s">
        <v>1120</v>
      </c>
      <c r="F381" s="7" t="s">
        <v>1121</v>
      </c>
      <c r="G381" s="46" t="s">
        <v>904</v>
      </c>
      <c r="H381" s="101">
        <v>1212</v>
      </c>
      <c r="I381" s="46" t="s">
        <v>1084</v>
      </c>
      <c r="J381" s="6">
        <v>46049</v>
      </c>
      <c r="K381" s="7" t="s">
        <v>320</v>
      </c>
      <c r="L381" s="7" t="s">
        <v>915</v>
      </c>
      <c r="M381" s="46" t="s">
        <v>1085</v>
      </c>
      <c r="N381" s="46" t="s">
        <v>173</v>
      </c>
      <c r="O381" s="46" t="s">
        <v>1089</v>
      </c>
      <c r="P381" s="6">
        <v>45502</v>
      </c>
      <c r="Q381" s="102">
        <v>5</v>
      </c>
      <c r="R381" s="102">
        <v>5</v>
      </c>
      <c r="S381" s="7">
        <v>0</v>
      </c>
    </row>
    <row r="382" s="98" customFormat="1" ht="16.5" hidden="1" spans="1:19">
      <c r="A382" s="46">
        <v>380</v>
      </c>
      <c r="B382" s="46" t="s">
        <v>23</v>
      </c>
      <c r="C382" s="46" t="s">
        <v>38</v>
      </c>
      <c r="D382" s="7" t="s">
        <v>30</v>
      </c>
      <c r="E382" s="7" t="s">
        <v>1120</v>
      </c>
      <c r="F382" s="7" t="s">
        <v>1121</v>
      </c>
      <c r="G382" s="46" t="s">
        <v>904</v>
      </c>
      <c r="H382" s="101">
        <v>1212</v>
      </c>
      <c r="I382" s="46" t="s">
        <v>1084</v>
      </c>
      <c r="J382" s="6">
        <v>46049</v>
      </c>
      <c r="K382" s="7" t="s">
        <v>294</v>
      </c>
      <c r="L382" s="7" t="s">
        <v>915</v>
      </c>
      <c r="M382" s="46" t="s">
        <v>1112</v>
      </c>
      <c r="N382" s="46" t="s">
        <v>63</v>
      </c>
      <c r="O382" s="46" t="s">
        <v>1113</v>
      </c>
      <c r="P382" s="6">
        <v>44725</v>
      </c>
      <c r="Q382" s="102">
        <v>0</v>
      </c>
      <c r="R382" s="102">
        <v>0</v>
      </c>
      <c r="S382" s="7">
        <v>0</v>
      </c>
    </row>
    <row r="383" s="98" customFormat="1" ht="16.5" hidden="1" spans="1:19">
      <c r="A383" s="46">
        <v>381</v>
      </c>
      <c r="B383" s="46" t="s">
        <v>23</v>
      </c>
      <c r="C383" s="46" t="s">
        <v>38</v>
      </c>
      <c r="D383" s="7" t="s">
        <v>30</v>
      </c>
      <c r="E383" s="7" t="s">
        <v>1120</v>
      </c>
      <c r="F383" s="7" t="s">
        <v>1121</v>
      </c>
      <c r="G383" s="46" t="s">
        <v>904</v>
      </c>
      <c r="H383" s="101">
        <v>1212</v>
      </c>
      <c r="I383" s="46" t="s">
        <v>1084</v>
      </c>
      <c r="J383" s="6">
        <v>46049</v>
      </c>
      <c r="K383" s="7" t="s">
        <v>95</v>
      </c>
      <c r="L383" s="7" t="s">
        <v>915</v>
      </c>
      <c r="M383" s="46" t="s">
        <v>1096</v>
      </c>
      <c r="N383" s="46" t="s">
        <v>63</v>
      </c>
      <c r="O383" s="46" t="s">
        <v>1089</v>
      </c>
      <c r="P383" s="6">
        <v>45661</v>
      </c>
      <c r="Q383" s="102">
        <v>0</v>
      </c>
      <c r="R383" s="102">
        <v>0</v>
      </c>
      <c r="S383" s="7">
        <v>0</v>
      </c>
    </row>
    <row r="384" s="98" customFormat="1" ht="16.5" hidden="1" spans="1:19">
      <c r="A384" s="46">
        <v>382</v>
      </c>
      <c r="B384" s="46" t="s">
        <v>23</v>
      </c>
      <c r="C384" s="46" t="s">
        <v>38</v>
      </c>
      <c r="D384" s="7" t="s">
        <v>30</v>
      </c>
      <c r="E384" s="7" t="s">
        <v>1120</v>
      </c>
      <c r="F384" s="7" t="s">
        <v>1121</v>
      </c>
      <c r="G384" s="46" t="s">
        <v>904</v>
      </c>
      <c r="H384" s="101">
        <v>1212</v>
      </c>
      <c r="I384" s="46" t="s">
        <v>1084</v>
      </c>
      <c r="J384" s="6">
        <v>46049</v>
      </c>
      <c r="K384" s="7" t="s">
        <v>481</v>
      </c>
      <c r="L384" s="7" t="s">
        <v>915</v>
      </c>
      <c r="M384" s="46" t="s">
        <v>1099</v>
      </c>
      <c r="N384" s="46" t="s">
        <v>63</v>
      </c>
      <c r="O384" s="46" t="s">
        <v>1089</v>
      </c>
      <c r="P384" s="6">
        <v>45698</v>
      </c>
      <c r="Q384" s="102">
        <v>5</v>
      </c>
      <c r="R384" s="102">
        <v>5</v>
      </c>
      <c r="S384" s="7">
        <v>0</v>
      </c>
    </row>
    <row r="385" s="98" customFormat="1" ht="16.5" hidden="1" spans="1:19">
      <c r="A385" s="46">
        <v>383</v>
      </c>
      <c r="B385" s="46" t="s">
        <v>23</v>
      </c>
      <c r="C385" s="46" t="s">
        <v>31</v>
      </c>
      <c r="D385" s="7" t="s">
        <v>30</v>
      </c>
      <c r="E385" s="7" t="s">
        <v>1120</v>
      </c>
      <c r="F385" s="7" t="s">
        <v>1122</v>
      </c>
      <c r="G385" s="46" t="s">
        <v>904</v>
      </c>
      <c r="H385" s="101">
        <v>1212</v>
      </c>
      <c r="I385" s="46" t="s">
        <v>1084</v>
      </c>
      <c r="J385" s="6">
        <v>46049</v>
      </c>
      <c r="K385" s="7" t="s">
        <v>78</v>
      </c>
      <c r="L385" s="7" t="s">
        <v>915</v>
      </c>
      <c r="M385" s="46" t="s">
        <v>1103</v>
      </c>
      <c r="N385" s="46" t="s">
        <v>79</v>
      </c>
      <c r="O385" s="46" t="s">
        <v>1089</v>
      </c>
      <c r="P385" s="6">
        <v>45649</v>
      </c>
      <c r="Q385" s="102">
        <v>5</v>
      </c>
      <c r="R385" s="102">
        <v>5</v>
      </c>
      <c r="S385" s="7">
        <v>0</v>
      </c>
    </row>
    <row r="386" s="98" customFormat="1" ht="16.5" hidden="1" spans="1:19">
      <c r="A386" s="46">
        <v>384</v>
      </c>
      <c r="B386" s="46" t="s">
        <v>23</v>
      </c>
      <c r="C386" s="46" t="s">
        <v>35</v>
      </c>
      <c r="D386" s="7" t="s">
        <v>30</v>
      </c>
      <c r="E386" s="7" t="s">
        <v>1120</v>
      </c>
      <c r="F386" s="7" t="s">
        <v>1122</v>
      </c>
      <c r="G386" s="46" t="s">
        <v>904</v>
      </c>
      <c r="H386" s="101">
        <v>1212</v>
      </c>
      <c r="I386" s="46" t="s">
        <v>1084</v>
      </c>
      <c r="J386" s="6">
        <v>46049</v>
      </c>
      <c r="K386" s="7" t="s">
        <v>493</v>
      </c>
      <c r="L386" s="7" t="s">
        <v>915</v>
      </c>
      <c r="M386" s="46" t="s">
        <v>1102</v>
      </c>
      <c r="N386" s="46" t="s">
        <v>125</v>
      </c>
      <c r="O386" s="46" t="s">
        <v>1089</v>
      </c>
      <c r="P386" s="6">
        <v>45427</v>
      </c>
      <c r="Q386" s="102">
        <v>5</v>
      </c>
      <c r="R386" s="102">
        <v>5</v>
      </c>
      <c r="S386" s="7">
        <v>0</v>
      </c>
    </row>
    <row r="387" s="98" customFormat="1" ht="16.5" hidden="1" spans="1:19">
      <c r="A387" s="46">
        <v>385</v>
      </c>
      <c r="B387" s="46" t="s">
        <v>23</v>
      </c>
      <c r="C387" s="46" t="s">
        <v>32</v>
      </c>
      <c r="D387" s="7" t="s">
        <v>30</v>
      </c>
      <c r="E387" s="7" t="s">
        <v>1120</v>
      </c>
      <c r="F387" s="7" t="s">
        <v>1122</v>
      </c>
      <c r="G387" s="46" t="s">
        <v>904</v>
      </c>
      <c r="H387" s="101">
        <v>1212</v>
      </c>
      <c r="I387" s="46" t="s">
        <v>1084</v>
      </c>
      <c r="J387" s="6">
        <v>46049</v>
      </c>
      <c r="K387" s="7" t="s">
        <v>165</v>
      </c>
      <c r="L387" s="7" t="s">
        <v>915</v>
      </c>
      <c r="M387" s="46" t="s">
        <v>1095</v>
      </c>
      <c r="N387" s="46" t="s">
        <v>105</v>
      </c>
      <c r="O387" s="46" t="s">
        <v>1089</v>
      </c>
      <c r="P387" s="6">
        <v>45699</v>
      </c>
      <c r="Q387" s="102">
        <v>5</v>
      </c>
      <c r="R387" s="102">
        <v>5</v>
      </c>
      <c r="S387" s="7">
        <v>0</v>
      </c>
    </row>
    <row r="388" s="98" customFormat="1" ht="16.5" hidden="1" spans="1:19">
      <c r="A388" s="46">
        <v>386</v>
      </c>
      <c r="B388" s="46" t="s">
        <v>23</v>
      </c>
      <c r="C388" s="46" t="s">
        <v>29</v>
      </c>
      <c r="D388" s="7" t="s">
        <v>30</v>
      </c>
      <c r="E388" s="7" t="s">
        <v>1120</v>
      </c>
      <c r="F388" s="7" t="s">
        <v>1122</v>
      </c>
      <c r="G388" s="46" t="s">
        <v>904</v>
      </c>
      <c r="H388" s="101">
        <v>1212</v>
      </c>
      <c r="I388" s="46" t="s">
        <v>1084</v>
      </c>
      <c r="J388" s="6">
        <v>46049</v>
      </c>
      <c r="K388" s="7" t="s">
        <v>253</v>
      </c>
      <c r="L388" s="7" t="s">
        <v>915</v>
      </c>
      <c r="M388" s="46" t="s">
        <v>1097</v>
      </c>
      <c r="N388" s="46" t="s">
        <v>130</v>
      </c>
      <c r="O388" s="46" t="s">
        <v>1089</v>
      </c>
      <c r="P388" s="6">
        <v>45604</v>
      </c>
      <c r="Q388" s="102">
        <v>0</v>
      </c>
      <c r="R388" s="102">
        <v>0</v>
      </c>
      <c r="S388" s="7">
        <v>0</v>
      </c>
    </row>
    <row r="389" s="98" customFormat="1" ht="16.5" hidden="1" spans="1:19">
      <c r="A389" s="46">
        <v>387</v>
      </c>
      <c r="B389" s="46" t="s">
        <v>23</v>
      </c>
      <c r="C389" s="46" t="s">
        <v>35</v>
      </c>
      <c r="D389" s="7" t="s">
        <v>30</v>
      </c>
      <c r="E389" s="7" t="s">
        <v>1120</v>
      </c>
      <c r="F389" s="7" t="s">
        <v>1122</v>
      </c>
      <c r="G389" s="46" t="s">
        <v>904</v>
      </c>
      <c r="H389" s="101">
        <v>1212</v>
      </c>
      <c r="I389" s="46" t="s">
        <v>1084</v>
      </c>
      <c r="J389" s="6">
        <v>46049</v>
      </c>
      <c r="K389" s="7" t="s">
        <v>584</v>
      </c>
      <c r="L389" s="7" t="s">
        <v>915</v>
      </c>
      <c r="M389" s="46" t="s">
        <v>1101</v>
      </c>
      <c r="N389" s="46" t="s">
        <v>125</v>
      </c>
      <c r="O389" s="46" t="s">
        <v>1089</v>
      </c>
      <c r="P389" s="6">
        <v>45791</v>
      </c>
      <c r="Q389" s="102">
        <v>5</v>
      </c>
      <c r="R389" s="102">
        <v>5</v>
      </c>
      <c r="S389" s="7">
        <v>0</v>
      </c>
    </row>
    <row r="390" s="98" customFormat="1" ht="16.5" hidden="1" spans="1:19">
      <c r="A390" s="46">
        <v>388</v>
      </c>
      <c r="B390" s="46" t="s">
        <v>23</v>
      </c>
      <c r="C390" s="46" t="s">
        <v>37</v>
      </c>
      <c r="D390" s="7" t="s">
        <v>30</v>
      </c>
      <c r="E390" s="7" t="s">
        <v>1120</v>
      </c>
      <c r="F390" s="7" t="s">
        <v>1122</v>
      </c>
      <c r="G390" s="46" t="s">
        <v>904</v>
      </c>
      <c r="H390" s="101">
        <v>1212</v>
      </c>
      <c r="I390" s="46" t="s">
        <v>1084</v>
      </c>
      <c r="J390" s="6">
        <v>46049</v>
      </c>
      <c r="K390" s="7" t="s">
        <v>251</v>
      </c>
      <c r="L390" s="7" t="s">
        <v>915</v>
      </c>
      <c r="M390" s="46" t="s">
        <v>1109</v>
      </c>
      <c r="N390" s="46" t="s">
        <v>152</v>
      </c>
      <c r="O390" s="46" t="s">
        <v>1089</v>
      </c>
      <c r="P390" s="6">
        <v>45599</v>
      </c>
      <c r="Q390" s="102">
        <v>5</v>
      </c>
      <c r="R390" s="102">
        <v>5</v>
      </c>
      <c r="S390" s="7">
        <v>0</v>
      </c>
    </row>
    <row r="391" s="98" customFormat="1" ht="16.5" hidden="1" spans="1:19">
      <c r="A391" s="46">
        <v>389</v>
      </c>
      <c r="B391" s="46" t="s">
        <v>23</v>
      </c>
      <c r="C391" s="46" t="s">
        <v>37</v>
      </c>
      <c r="D391" s="7" t="s">
        <v>30</v>
      </c>
      <c r="E391" s="7" t="s">
        <v>1120</v>
      </c>
      <c r="F391" s="7" t="s">
        <v>1122</v>
      </c>
      <c r="G391" s="46" t="s">
        <v>904</v>
      </c>
      <c r="H391" s="101">
        <v>1212</v>
      </c>
      <c r="I391" s="46" t="s">
        <v>1084</v>
      </c>
      <c r="J391" s="6">
        <v>46049</v>
      </c>
      <c r="K391" s="7" t="s">
        <v>203</v>
      </c>
      <c r="L391" s="7" t="s">
        <v>915</v>
      </c>
      <c r="M391" s="46" t="s">
        <v>1104</v>
      </c>
      <c r="N391" s="46" t="s">
        <v>109</v>
      </c>
      <c r="O391" s="46" t="s">
        <v>1089</v>
      </c>
      <c r="P391" s="6">
        <v>45011</v>
      </c>
      <c r="Q391" s="102">
        <v>5</v>
      </c>
      <c r="R391" s="102">
        <v>5</v>
      </c>
      <c r="S391" s="7">
        <v>0</v>
      </c>
    </row>
    <row r="392" s="98" customFormat="1" ht="16.5" hidden="1" spans="1:19">
      <c r="A392" s="46">
        <v>390</v>
      </c>
      <c r="B392" s="46" t="s">
        <v>23</v>
      </c>
      <c r="C392" s="46" t="s">
        <v>31</v>
      </c>
      <c r="D392" s="7" t="s">
        <v>30</v>
      </c>
      <c r="E392" s="7" t="s">
        <v>1120</v>
      </c>
      <c r="F392" s="7" t="s">
        <v>1122</v>
      </c>
      <c r="G392" s="46" t="s">
        <v>904</v>
      </c>
      <c r="H392" s="101">
        <v>1212</v>
      </c>
      <c r="I392" s="46" t="s">
        <v>1084</v>
      </c>
      <c r="J392" s="6">
        <v>46049</v>
      </c>
      <c r="K392" s="7" t="s">
        <v>245</v>
      </c>
      <c r="L392" s="7" t="s">
        <v>915</v>
      </c>
      <c r="M392" s="46" t="s">
        <v>1105</v>
      </c>
      <c r="N392" s="46" t="s">
        <v>79</v>
      </c>
      <c r="O392" s="46" t="s">
        <v>1089</v>
      </c>
      <c r="P392" s="6">
        <v>45581</v>
      </c>
      <c r="Q392" s="102">
        <v>5</v>
      </c>
      <c r="R392" s="102">
        <v>5</v>
      </c>
      <c r="S392" s="7">
        <v>0</v>
      </c>
    </row>
    <row r="393" s="98" customFormat="1" ht="16.5" hidden="1" spans="1:19">
      <c r="A393" s="46">
        <v>391</v>
      </c>
      <c r="B393" s="46" t="s">
        <v>23</v>
      </c>
      <c r="C393" s="46" t="s">
        <v>32</v>
      </c>
      <c r="D393" s="7" t="s">
        <v>30</v>
      </c>
      <c r="E393" s="7" t="s">
        <v>1120</v>
      </c>
      <c r="F393" s="7" t="s">
        <v>1122</v>
      </c>
      <c r="G393" s="46" t="s">
        <v>904</v>
      </c>
      <c r="H393" s="101">
        <v>1212</v>
      </c>
      <c r="I393" s="46" t="s">
        <v>1084</v>
      </c>
      <c r="J393" s="6">
        <v>46049</v>
      </c>
      <c r="K393" s="7" t="s">
        <v>1106</v>
      </c>
      <c r="L393" s="7" t="s">
        <v>915</v>
      </c>
      <c r="M393" s="46" t="s">
        <v>1107</v>
      </c>
      <c r="N393" s="46" t="s">
        <v>105</v>
      </c>
      <c r="O393" s="46" t="s">
        <v>909</v>
      </c>
      <c r="P393" s="6">
        <v>45915</v>
      </c>
      <c r="Q393" s="102">
        <v>0</v>
      </c>
      <c r="R393" s="102">
        <v>0</v>
      </c>
      <c r="S393" s="7">
        <v>0</v>
      </c>
    </row>
    <row r="394" s="98" customFormat="1" ht="16.5" hidden="1" spans="1:19">
      <c r="A394" s="46">
        <v>392</v>
      </c>
      <c r="B394" s="46" t="s">
        <v>23</v>
      </c>
      <c r="C394" s="46" t="s">
        <v>37</v>
      </c>
      <c r="D394" s="7" t="s">
        <v>30</v>
      </c>
      <c r="E394" s="7" t="s">
        <v>1120</v>
      </c>
      <c r="F394" s="7" t="s">
        <v>1122</v>
      </c>
      <c r="G394" s="46" t="s">
        <v>904</v>
      </c>
      <c r="H394" s="101">
        <v>1212</v>
      </c>
      <c r="I394" s="46" t="s">
        <v>1084</v>
      </c>
      <c r="J394" s="6">
        <v>46049</v>
      </c>
      <c r="K394" s="7" t="s">
        <v>237</v>
      </c>
      <c r="L394" s="7" t="s">
        <v>915</v>
      </c>
      <c r="M394" s="46" t="s">
        <v>1108</v>
      </c>
      <c r="N394" s="46" t="s">
        <v>152</v>
      </c>
      <c r="O394" s="46" t="s">
        <v>1089</v>
      </c>
      <c r="P394" s="6">
        <v>45390</v>
      </c>
      <c r="Q394" s="102">
        <v>0</v>
      </c>
      <c r="R394" s="102">
        <v>0</v>
      </c>
      <c r="S394" s="7">
        <v>0</v>
      </c>
    </row>
    <row r="395" s="98" customFormat="1" ht="16.5" hidden="1" spans="1:19">
      <c r="A395" s="46">
        <v>393</v>
      </c>
      <c r="B395" s="46" t="s">
        <v>23</v>
      </c>
      <c r="C395" s="46" t="s">
        <v>38</v>
      </c>
      <c r="D395" s="7" t="s">
        <v>30</v>
      </c>
      <c r="E395" s="7" t="s">
        <v>1123</v>
      </c>
      <c r="F395" s="7" t="s">
        <v>1124</v>
      </c>
      <c r="G395" s="46" t="s">
        <v>904</v>
      </c>
      <c r="H395" s="101">
        <v>1212</v>
      </c>
      <c r="I395" s="46" t="s">
        <v>1084</v>
      </c>
      <c r="J395" s="6">
        <v>46044</v>
      </c>
      <c r="K395" s="7" t="s">
        <v>531</v>
      </c>
      <c r="L395" s="7" t="s">
        <v>915</v>
      </c>
      <c r="M395" s="46" t="s">
        <v>1087</v>
      </c>
      <c r="N395" s="46" t="s">
        <v>70</v>
      </c>
      <c r="O395" s="46" t="s">
        <v>1089</v>
      </c>
      <c r="P395" s="6">
        <v>45269</v>
      </c>
      <c r="Q395" s="102">
        <v>5</v>
      </c>
      <c r="R395" s="102">
        <v>5</v>
      </c>
      <c r="S395" s="7">
        <v>0</v>
      </c>
    </row>
    <row r="396" s="98" customFormat="1" ht="16.5" hidden="1" spans="1:19">
      <c r="A396" s="46">
        <v>394</v>
      </c>
      <c r="B396" s="46" t="s">
        <v>23</v>
      </c>
      <c r="C396" s="46" t="s">
        <v>35</v>
      </c>
      <c r="D396" s="7" t="s">
        <v>30</v>
      </c>
      <c r="E396" s="7" t="s">
        <v>1123</v>
      </c>
      <c r="F396" s="7" t="s">
        <v>1124</v>
      </c>
      <c r="G396" s="46" t="s">
        <v>904</v>
      </c>
      <c r="H396" s="101">
        <v>1212</v>
      </c>
      <c r="I396" s="46" t="s">
        <v>1084</v>
      </c>
      <c r="J396" s="6">
        <v>46044</v>
      </c>
      <c r="K396" s="7" t="s">
        <v>463</v>
      </c>
      <c r="L396" s="7" t="s">
        <v>915</v>
      </c>
      <c r="M396" s="46" t="s">
        <v>1088</v>
      </c>
      <c r="N396" s="46" t="s">
        <v>125</v>
      </c>
      <c r="O396" s="46" t="s">
        <v>1089</v>
      </c>
      <c r="P396" s="6">
        <v>45400</v>
      </c>
      <c r="Q396" s="102">
        <v>0</v>
      </c>
      <c r="R396" s="102">
        <v>0</v>
      </c>
      <c r="S396" s="7">
        <v>0</v>
      </c>
    </row>
    <row r="397" s="98" customFormat="1" ht="16.5" hidden="1" spans="1:19">
      <c r="A397" s="46">
        <v>395</v>
      </c>
      <c r="B397" s="46" t="s">
        <v>23</v>
      </c>
      <c r="C397" s="46" t="s">
        <v>38</v>
      </c>
      <c r="D397" s="7" t="s">
        <v>30</v>
      </c>
      <c r="E397" s="7" t="s">
        <v>1123</v>
      </c>
      <c r="F397" s="7" t="s">
        <v>1124</v>
      </c>
      <c r="G397" s="46" t="s">
        <v>904</v>
      </c>
      <c r="H397" s="101">
        <v>1212</v>
      </c>
      <c r="I397" s="46" t="s">
        <v>1084</v>
      </c>
      <c r="J397" s="6">
        <v>46044</v>
      </c>
      <c r="K397" s="7" t="s">
        <v>205</v>
      </c>
      <c r="L397" s="7" t="s">
        <v>915</v>
      </c>
      <c r="M397" s="46" t="s">
        <v>1094</v>
      </c>
      <c r="N397" s="46" t="s">
        <v>168</v>
      </c>
      <c r="O397" s="46" t="s">
        <v>1089</v>
      </c>
      <c r="P397" s="6">
        <v>45763</v>
      </c>
      <c r="Q397" s="102">
        <v>5</v>
      </c>
      <c r="R397" s="102">
        <v>5</v>
      </c>
      <c r="S397" s="7">
        <v>0</v>
      </c>
    </row>
    <row r="398" s="98" customFormat="1" ht="16.5" hidden="1" spans="1:19">
      <c r="A398" s="46">
        <v>396</v>
      </c>
      <c r="B398" s="46" t="s">
        <v>23</v>
      </c>
      <c r="C398" s="46" t="s">
        <v>38</v>
      </c>
      <c r="D398" s="7" t="s">
        <v>30</v>
      </c>
      <c r="E398" s="7" t="s">
        <v>1123</v>
      </c>
      <c r="F398" s="7" t="s">
        <v>1124</v>
      </c>
      <c r="G398" s="46" t="s">
        <v>904</v>
      </c>
      <c r="H398" s="101">
        <v>1212</v>
      </c>
      <c r="I398" s="46" t="s">
        <v>1084</v>
      </c>
      <c r="J398" s="6">
        <v>46044</v>
      </c>
      <c r="K398" s="7" t="s">
        <v>540</v>
      </c>
      <c r="L398" s="7" t="s">
        <v>915</v>
      </c>
      <c r="M398" s="46" t="s">
        <v>1093</v>
      </c>
      <c r="N398" s="46" t="s">
        <v>220</v>
      </c>
      <c r="O398" s="46" t="s">
        <v>1089</v>
      </c>
      <c r="P398" s="6">
        <v>45545</v>
      </c>
      <c r="Q398" s="102">
        <v>5</v>
      </c>
      <c r="R398" s="102">
        <v>5</v>
      </c>
      <c r="S398" s="7">
        <v>0</v>
      </c>
    </row>
    <row r="399" s="98" customFormat="1" ht="16.5" hidden="1" spans="1:19">
      <c r="A399" s="46">
        <v>397</v>
      </c>
      <c r="B399" s="46" t="s">
        <v>23</v>
      </c>
      <c r="C399" s="46" t="s">
        <v>38</v>
      </c>
      <c r="D399" s="7" t="s">
        <v>30</v>
      </c>
      <c r="E399" s="7" t="s">
        <v>1123</v>
      </c>
      <c r="F399" s="7" t="s">
        <v>1124</v>
      </c>
      <c r="G399" s="46" t="s">
        <v>904</v>
      </c>
      <c r="H399" s="101">
        <v>1212</v>
      </c>
      <c r="I399" s="46" t="s">
        <v>1084</v>
      </c>
      <c r="J399" s="6">
        <v>46044</v>
      </c>
      <c r="K399" s="7" t="s">
        <v>147</v>
      </c>
      <c r="L399" s="7" t="s">
        <v>915</v>
      </c>
      <c r="M399" s="46" t="s">
        <v>1100</v>
      </c>
      <c r="N399" s="46" t="s">
        <v>148</v>
      </c>
      <c r="O399" s="46" t="s">
        <v>1089</v>
      </c>
      <c r="P399" s="6">
        <v>45669</v>
      </c>
      <c r="Q399" s="102">
        <v>5</v>
      </c>
      <c r="R399" s="102">
        <v>5</v>
      </c>
      <c r="S399" s="7">
        <v>0</v>
      </c>
    </row>
    <row r="400" s="98" customFormat="1" ht="16.5" hidden="1" spans="1:19">
      <c r="A400" s="46">
        <v>398</v>
      </c>
      <c r="B400" s="46" t="s">
        <v>23</v>
      </c>
      <c r="C400" s="46" t="s">
        <v>32</v>
      </c>
      <c r="D400" s="7" t="s">
        <v>30</v>
      </c>
      <c r="E400" s="7" t="s">
        <v>1123</v>
      </c>
      <c r="F400" s="7" t="s">
        <v>1124</v>
      </c>
      <c r="G400" s="46" t="s">
        <v>904</v>
      </c>
      <c r="H400" s="101">
        <v>1212</v>
      </c>
      <c r="I400" s="46" t="s">
        <v>1084</v>
      </c>
      <c r="J400" s="6">
        <v>46044</v>
      </c>
      <c r="K400" s="7" t="s">
        <v>192</v>
      </c>
      <c r="L400" s="7" t="s">
        <v>915</v>
      </c>
      <c r="M400" s="46" t="s">
        <v>1092</v>
      </c>
      <c r="N400" s="46" t="s">
        <v>105</v>
      </c>
      <c r="O400" s="46" t="s">
        <v>1089</v>
      </c>
      <c r="P400" s="6">
        <v>44351</v>
      </c>
      <c r="Q400" s="102">
        <v>5</v>
      </c>
      <c r="R400" s="102">
        <v>5</v>
      </c>
      <c r="S400" s="7">
        <v>0</v>
      </c>
    </row>
    <row r="401" s="98" customFormat="1" ht="16.5" hidden="1" spans="1:19">
      <c r="A401" s="46">
        <v>399</v>
      </c>
      <c r="B401" s="46" t="s">
        <v>23</v>
      </c>
      <c r="C401" s="46" t="s">
        <v>38</v>
      </c>
      <c r="D401" s="7" t="s">
        <v>30</v>
      </c>
      <c r="E401" s="7" t="s">
        <v>1123</v>
      </c>
      <c r="F401" s="7" t="s">
        <v>1124</v>
      </c>
      <c r="G401" s="46" t="s">
        <v>904</v>
      </c>
      <c r="H401" s="101">
        <v>1212</v>
      </c>
      <c r="I401" s="46" t="s">
        <v>1084</v>
      </c>
      <c r="J401" s="6">
        <v>46044</v>
      </c>
      <c r="K401" s="7" t="s">
        <v>227</v>
      </c>
      <c r="L401" s="7" t="s">
        <v>915</v>
      </c>
      <c r="M401" s="46" t="s">
        <v>1091</v>
      </c>
      <c r="N401" s="46" t="s">
        <v>148</v>
      </c>
      <c r="O401" s="46" t="s">
        <v>1089</v>
      </c>
      <c r="P401" s="6">
        <v>45706</v>
      </c>
      <c r="Q401" s="102">
        <v>0</v>
      </c>
      <c r="R401" s="102">
        <v>0</v>
      </c>
      <c r="S401" s="7">
        <v>0</v>
      </c>
    </row>
    <row r="402" s="98" customFormat="1" ht="16.5" hidden="1" spans="1:19">
      <c r="A402" s="46">
        <v>400</v>
      </c>
      <c r="B402" s="46" t="s">
        <v>23</v>
      </c>
      <c r="C402" s="46" t="s">
        <v>36</v>
      </c>
      <c r="D402" s="7" t="s">
        <v>30</v>
      </c>
      <c r="E402" s="7" t="s">
        <v>1123</v>
      </c>
      <c r="F402" s="7" t="s">
        <v>1124</v>
      </c>
      <c r="G402" s="46" t="s">
        <v>904</v>
      </c>
      <c r="H402" s="101">
        <v>1212</v>
      </c>
      <c r="I402" s="46" t="s">
        <v>1084</v>
      </c>
      <c r="J402" s="6">
        <v>46044</v>
      </c>
      <c r="K402" s="7" t="s">
        <v>320</v>
      </c>
      <c r="L402" s="7" t="s">
        <v>915</v>
      </c>
      <c r="M402" s="46" t="s">
        <v>1085</v>
      </c>
      <c r="N402" s="46" t="s">
        <v>173</v>
      </c>
      <c r="O402" s="46" t="s">
        <v>1089</v>
      </c>
      <c r="P402" s="6">
        <v>45502</v>
      </c>
      <c r="Q402" s="102">
        <v>5</v>
      </c>
      <c r="R402" s="102">
        <v>5</v>
      </c>
      <c r="S402" s="7">
        <v>0</v>
      </c>
    </row>
    <row r="403" s="98" customFormat="1" ht="16.5" hidden="1" spans="1:19">
      <c r="A403" s="46">
        <v>401</v>
      </c>
      <c r="B403" s="46" t="s">
        <v>23</v>
      </c>
      <c r="C403" s="46" t="s">
        <v>38</v>
      </c>
      <c r="D403" s="7" t="s">
        <v>30</v>
      </c>
      <c r="E403" s="7" t="s">
        <v>1123</v>
      </c>
      <c r="F403" s="7" t="s">
        <v>1124</v>
      </c>
      <c r="G403" s="46" t="s">
        <v>904</v>
      </c>
      <c r="H403" s="101">
        <v>1212</v>
      </c>
      <c r="I403" s="46" t="s">
        <v>1084</v>
      </c>
      <c r="J403" s="6">
        <v>46044</v>
      </c>
      <c r="K403" s="7" t="s">
        <v>294</v>
      </c>
      <c r="L403" s="7" t="s">
        <v>915</v>
      </c>
      <c r="M403" s="46" t="s">
        <v>1112</v>
      </c>
      <c r="N403" s="46" t="s">
        <v>63</v>
      </c>
      <c r="O403" s="46" t="s">
        <v>1113</v>
      </c>
      <c r="P403" s="6">
        <v>44725</v>
      </c>
      <c r="Q403" s="102">
        <v>0</v>
      </c>
      <c r="R403" s="102">
        <v>0</v>
      </c>
      <c r="S403" s="7">
        <v>0</v>
      </c>
    </row>
    <row r="404" s="98" customFormat="1" ht="16.5" hidden="1" spans="1:19">
      <c r="A404" s="46">
        <v>402</v>
      </c>
      <c r="B404" s="46" t="s">
        <v>23</v>
      </c>
      <c r="C404" s="46" t="s">
        <v>38</v>
      </c>
      <c r="D404" s="7" t="s">
        <v>30</v>
      </c>
      <c r="E404" s="7" t="s">
        <v>1123</v>
      </c>
      <c r="F404" s="7" t="s">
        <v>1124</v>
      </c>
      <c r="G404" s="46" t="s">
        <v>904</v>
      </c>
      <c r="H404" s="101">
        <v>1212</v>
      </c>
      <c r="I404" s="46" t="s">
        <v>1084</v>
      </c>
      <c r="J404" s="6">
        <v>46044</v>
      </c>
      <c r="K404" s="7" t="s">
        <v>95</v>
      </c>
      <c r="L404" s="7" t="s">
        <v>915</v>
      </c>
      <c r="M404" s="46" t="s">
        <v>1096</v>
      </c>
      <c r="N404" s="46" t="s">
        <v>63</v>
      </c>
      <c r="O404" s="46" t="s">
        <v>1089</v>
      </c>
      <c r="P404" s="6">
        <v>45661</v>
      </c>
      <c r="Q404" s="102">
        <v>0</v>
      </c>
      <c r="R404" s="102">
        <v>0</v>
      </c>
      <c r="S404" s="7">
        <v>0</v>
      </c>
    </row>
    <row r="405" s="98" customFormat="1" ht="16.5" hidden="1" spans="1:19">
      <c r="A405" s="46">
        <v>403</v>
      </c>
      <c r="B405" s="46" t="s">
        <v>23</v>
      </c>
      <c r="C405" s="46" t="s">
        <v>38</v>
      </c>
      <c r="D405" s="7" t="s">
        <v>30</v>
      </c>
      <c r="E405" s="7" t="s">
        <v>1123</v>
      </c>
      <c r="F405" s="7" t="s">
        <v>1124</v>
      </c>
      <c r="G405" s="46" t="s">
        <v>904</v>
      </c>
      <c r="H405" s="101">
        <v>1212</v>
      </c>
      <c r="I405" s="46" t="s">
        <v>1084</v>
      </c>
      <c r="J405" s="6">
        <v>46044</v>
      </c>
      <c r="K405" s="7" t="s">
        <v>481</v>
      </c>
      <c r="L405" s="7" t="s">
        <v>915</v>
      </c>
      <c r="M405" s="46" t="s">
        <v>1099</v>
      </c>
      <c r="N405" s="46" t="s">
        <v>63</v>
      </c>
      <c r="O405" s="46" t="s">
        <v>1089</v>
      </c>
      <c r="P405" s="6">
        <v>45698</v>
      </c>
      <c r="Q405" s="102">
        <v>5</v>
      </c>
      <c r="R405" s="102">
        <v>5</v>
      </c>
      <c r="S405" s="7">
        <v>0</v>
      </c>
    </row>
    <row r="406" s="98" customFormat="1" ht="16.5" hidden="1" spans="1:19">
      <c r="A406" s="46">
        <v>404</v>
      </c>
      <c r="B406" s="46" t="s">
        <v>23</v>
      </c>
      <c r="C406" s="46" t="s">
        <v>31</v>
      </c>
      <c r="D406" s="7" t="s">
        <v>30</v>
      </c>
      <c r="E406" s="7" t="s">
        <v>1123</v>
      </c>
      <c r="F406" s="7" t="s">
        <v>1124</v>
      </c>
      <c r="G406" s="46" t="s">
        <v>904</v>
      </c>
      <c r="H406" s="101">
        <v>1212</v>
      </c>
      <c r="I406" s="46" t="s">
        <v>1084</v>
      </c>
      <c r="J406" s="6">
        <v>46044</v>
      </c>
      <c r="K406" s="7" t="s">
        <v>78</v>
      </c>
      <c r="L406" s="7" t="s">
        <v>915</v>
      </c>
      <c r="M406" s="46" t="s">
        <v>1103</v>
      </c>
      <c r="N406" s="46" t="s">
        <v>79</v>
      </c>
      <c r="O406" s="46" t="s">
        <v>1089</v>
      </c>
      <c r="P406" s="6">
        <v>45649</v>
      </c>
      <c r="Q406" s="102">
        <v>5</v>
      </c>
      <c r="R406" s="102">
        <v>5</v>
      </c>
      <c r="S406" s="7">
        <v>0</v>
      </c>
    </row>
    <row r="407" s="98" customFormat="1" ht="16.5" hidden="1" spans="1:19">
      <c r="A407" s="46">
        <v>405</v>
      </c>
      <c r="B407" s="46" t="s">
        <v>23</v>
      </c>
      <c r="C407" s="46" t="s">
        <v>35</v>
      </c>
      <c r="D407" s="7" t="s">
        <v>30</v>
      </c>
      <c r="E407" s="7" t="s">
        <v>1123</v>
      </c>
      <c r="F407" s="7" t="s">
        <v>1124</v>
      </c>
      <c r="G407" s="46" t="s">
        <v>904</v>
      </c>
      <c r="H407" s="101">
        <v>1212</v>
      </c>
      <c r="I407" s="46" t="s">
        <v>1084</v>
      </c>
      <c r="J407" s="6">
        <v>46044</v>
      </c>
      <c r="K407" s="7" t="s">
        <v>493</v>
      </c>
      <c r="L407" s="7" t="s">
        <v>915</v>
      </c>
      <c r="M407" s="46" t="s">
        <v>1102</v>
      </c>
      <c r="N407" s="46" t="s">
        <v>125</v>
      </c>
      <c r="O407" s="46" t="s">
        <v>1089</v>
      </c>
      <c r="P407" s="6">
        <v>45427</v>
      </c>
      <c r="Q407" s="102">
        <v>5</v>
      </c>
      <c r="R407" s="102">
        <v>5</v>
      </c>
      <c r="S407" s="7">
        <v>0</v>
      </c>
    </row>
    <row r="408" s="98" customFormat="1" ht="16.5" hidden="1" spans="1:19">
      <c r="A408" s="46">
        <v>406</v>
      </c>
      <c r="B408" s="46" t="s">
        <v>23</v>
      </c>
      <c r="C408" s="46" t="s">
        <v>32</v>
      </c>
      <c r="D408" s="7" t="s">
        <v>30</v>
      </c>
      <c r="E408" s="7" t="s">
        <v>1123</v>
      </c>
      <c r="F408" s="7" t="s">
        <v>1124</v>
      </c>
      <c r="G408" s="46" t="s">
        <v>904</v>
      </c>
      <c r="H408" s="101">
        <v>1212</v>
      </c>
      <c r="I408" s="46" t="s">
        <v>1084</v>
      </c>
      <c r="J408" s="6">
        <v>46044</v>
      </c>
      <c r="K408" s="7" t="s">
        <v>165</v>
      </c>
      <c r="L408" s="7" t="s">
        <v>915</v>
      </c>
      <c r="M408" s="46" t="s">
        <v>1095</v>
      </c>
      <c r="N408" s="46" t="s">
        <v>105</v>
      </c>
      <c r="O408" s="46" t="s">
        <v>1089</v>
      </c>
      <c r="P408" s="6">
        <v>45699</v>
      </c>
      <c r="Q408" s="102">
        <v>5</v>
      </c>
      <c r="R408" s="102">
        <v>5</v>
      </c>
      <c r="S408" s="7">
        <v>0</v>
      </c>
    </row>
    <row r="409" s="98" customFormat="1" ht="16.5" hidden="1" spans="1:19">
      <c r="A409" s="46">
        <v>407</v>
      </c>
      <c r="B409" s="46" t="s">
        <v>23</v>
      </c>
      <c r="C409" s="46" t="s">
        <v>29</v>
      </c>
      <c r="D409" s="7" t="s">
        <v>30</v>
      </c>
      <c r="E409" s="7" t="s">
        <v>1123</v>
      </c>
      <c r="F409" s="7" t="s">
        <v>1124</v>
      </c>
      <c r="G409" s="46" t="s">
        <v>904</v>
      </c>
      <c r="H409" s="101">
        <v>1212</v>
      </c>
      <c r="I409" s="46" t="s">
        <v>1084</v>
      </c>
      <c r="J409" s="6">
        <v>46044</v>
      </c>
      <c r="K409" s="7" t="s">
        <v>253</v>
      </c>
      <c r="L409" s="7" t="s">
        <v>915</v>
      </c>
      <c r="M409" s="46" t="s">
        <v>1097</v>
      </c>
      <c r="N409" s="46" t="s">
        <v>130</v>
      </c>
      <c r="O409" s="46" t="s">
        <v>1089</v>
      </c>
      <c r="P409" s="6">
        <v>45604</v>
      </c>
      <c r="Q409" s="102">
        <v>5</v>
      </c>
      <c r="R409" s="102">
        <v>5</v>
      </c>
      <c r="S409" s="7">
        <v>0</v>
      </c>
    </row>
    <row r="410" s="98" customFormat="1" ht="16.5" hidden="1" spans="1:19">
      <c r="A410" s="46">
        <v>408</v>
      </c>
      <c r="B410" s="46" t="s">
        <v>23</v>
      </c>
      <c r="C410" s="46" t="s">
        <v>35</v>
      </c>
      <c r="D410" s="7" t="s">
        <v>30</v>
      </c>
      <c r="E410" s="7" t="s">
        <v>1123</v>
      </c>
      <c r="F410" s="7" t="s">
        <v>1124</v>
      </c>
      <c r="G410" s="46" t="s">
        <v>904</v>
      </c>
      <c r="H410" s="101">
        <v>1212</v>
      </c>
      <c r="I410" s="46" t="s">
        <v>1084</v>
      </c>
      <c r="J410" s="6">
        <v>46044</v>
      </c>
      <c r="K410" s="7" t="s">
        <v>584</v>
      </c>
      <c r="L410" s="7" t="s">
        <v>915</v>
      </c>
      <c r="M410" s="46" t="s">
        <v>1101</v>
      </c>
      <c r="N410" s="46" t="s">
        <v>125</v>
      </c>
      <c r="O410" s="46" t="s">
        <v>1089</v>
      </c>
      <c r="P410" s="6">
        <v>45791</v>
      </c>
      <c r="Q410" s="102">
        <v>5</v>
      </c>
      <c r="R410" s="102">
        <v>5</v>
      </c>
      <c r="S410" s="7">
        <v>0</v>
      </c>
    </row>
    <row r="411" s="98" customFormat="1" ht="16.5" hidden="1" spans="1:19">
      <c r="A411" s="46">
        <v>409</v>
      </c>
      <c r="B411" s="46" t="s">
        <v>23</v>
      </c>
      <c r="C411" s="46" t="s">
        <v>37</v>
      </c>
      <c r="D411" s="7" t="s">
        <v>30</v>
      </c>
      <c r="E411" s="7" t="s">
        <v>1123</v>
      </c>
      <c r="F411" s="7" t="s">
        <v>1124</v>
      </c>
      <c r="G411" s="46" t="s">
        <v>904</v>
      </c>
      <c r="H411" s="101">
        <v>1212</v>
      </c>
      <c r="I411" s="46" t="s">
        <v>1084</v>
      </c>
      <c r="J411" s="6">
        <v>46044</v>
      </c>
      <c r="K411" s="7" t="s">
        <v>251</v>
      </c>
      <c r="L411" s="7" t="s">
        <v>915</v>
      </c>
      <c r="M411" s="46" t="s">
        <v>1109</v>
      </c>
      <c r="N411" s="46" t="s">
        <v>152</v>
      </c>
      <c r="O411" s="46" t="s">
        <v>1089</v>
      </c>
      <c r="P411" s="6">
        <v>45599</v>
      </c>
      <c r="Q411" s="102">
        <v>5</v>
      </c>
      <c r="R411" s="102">
        <v>5</v>
      </c>
      <c r="S411" s="7">
        <v>0</v>
      </c>
    </row>
    <row r="412" s="98" customFormat="1" ht="16.5" hidden="1" spans="1:19">
      <c r="A412" s="46">
        <v>410</v>
      </c>
      <c r="B412" s="46" t="s">
        <v>23</v>
      </c>
      <c r="C412" s="46" t="s">
        <v>37</v>
      </c>
      <c r="D412" s="7" t="s">
        <v>30</v>
      </c>
      <c r="E412" s="7" t="s">
        <v>1123</v>
      </c>
      <c r="F412" s="7" t="s">
        <v>1124</v>
      </c>
      <c r="G412" s="46" t="s">
        <v>904</v>
      </c>
      <c r="H412" s="101">
        <v>1212</v>
      </c>
      <c r="I412" s="46" t="s">
        <v>1084</v>
      </c>
      <c r="J412" s="6">
        <v>46044</v>
      </c>
      <c r="K412" s="7" t="s">
        <v>203</v>
      </c>
      <c r="L412" s="7" t="s">
        <v>915</v>
      </c>
      <c r="M412" s="46" t="s">
        <v>1104</v>
      </c>
      <c r="N412" s="46" t="s">
        <v>109</v>
      </c>
      <c r="O412" s="46" t="s">
        <v>1089</v>
      </c>
      <c r="P412" s="6">
        <v>45011</v>
      </c>
      <c r="Q412" s="102">
        <v>0</v>
      </c>
      <c r="R412" s="102">
        <v>0</v>
      </c>
      <c r="S412" s="7">
        <v>0</v>
      </c>
    </row>
    <row r="413" s="98" customFormat="1" ht="16.5" hidden="1" spans="1:19">
      <c r="A413" s="46">
        <v>411</v>
      </c>
      <c r="B413" s="46" t="s">
        <v>23</v>
      </c>
      <c r="C413" s="46" t="s">
        <v>31</v>
      </c>
      <c r="D413" s="7" t="s">
        <v>30</v>
      </c>
      <c r="E413" s="7" t="s">
        <v>1123</v>
      </c>
      <c r="F413" s="7" t="s">
        <v>1124</v>
      </c>
      <c r="G413" s="46" t="s">
        <v>904</v>
      </c>
      <c r="H413" s="101">
        <v>1212</v>
      </c>
      <c r="I413" s="46" t="s">
        <v>1084</v>
      </c>
      <c r="J413" s="6">
        <v>46044</v>
      </c>
      <c r="K413" s="7" t="s">
        <v>245</v>
      </c>
      <c r="L413" s="7" t="s">
        <v>915</v>
      </c>
      <c r="M413" s="46" t="s">
        <v>1105</v>
      </c>
      <c r="N413" s="46" t="s">
        <v>79</v>
      </c>
      <c r="O413" s="46" t="s">
        <v>1089</v>
      </c>
      <c r="P413" s="6">
        <v>45581</v>
      </c>
      <c r="Q413" s="102">
        <v>5</v>
      </c>
      <c r="R413" s="102">
        <v>5</v>
      </c>
      <c r="S413" s="7">
        <v>0</v>
      </c>
    </row>
    <row r="414" s="98" customFormat="1" ht="16.5" hidden="1" spans="1:19">
      <c r="A414" s="46">
        <v>412</v>
      </c>
      <c r="B414" s="46" t="s">
        <v>23</v>
      </c>
      <c r="C414" s="46" t="s">
        <v>32</v>
      </c>
      <c r="D414" s="7" t="s">
        <v>30</v>
      </c>
      <c r="E414" s="7" t="s">
        <v>1123</v>
      </c>
      <c r="F414" s="7" t="s">
        <v>1124</v>
      </c>
      <c r="G414" s="46" t="s">
        <v>904</v>
      </c>
      <c r="H414" s="101">
        <v>1212</v>
      </c>
      <c r="I414" s="46" t="s">
        <v>1084</v>
      </c>
      <c r="J414" s="6">
        <v>46044</v>
      </c>
      <c r="K414" s="7" t="s">
        <v>1106</v>
      </c>
      <c r="L414" s="7" t="s">
        <v>915</v>
      </c>
      <c r="M414" s="46" t="s">
        <v>1107</v>
      </c>
      <c r="N414" s="46" t="s">
        <v>105</v>
      </c>
      <c r="O414" s="46" t="s">
        <v>909</v>
      </c>
      <c r="P414" s="6">
        <v>45915</v>
      </c>
      <c r="Q414" s="102">
        <v>0</v>
      </c>
      <c r="R414" s="102">
        <v>0</v>
      </c>
      <c r="S414" s="7">
        <v>0</v>
      </c>
    </row>
    <row r="415" s="98" customFormat="1" ht="16.5" hidden="1" spans="1:19">
      <c r="A415" s="46">
        <v>413</v>
      </c>
      <c r="B415" s="46" t="s">
        <v>23</v>
      </c>
      <c r="C415" s="46" t="s">
        <v>37</v>
      </c>
      <c r="D415" s="7" t="s">
        <v>30</v>
      </c>
      <c r="E415" s="7" t="s">
        <v>1123</v>
      </c>
      <c r="F415" s="7" t="s">
        <v>1124</v>
      </c>
      <c r="G415" s="46" t="s">
        <v>904</v>
      </c>
      <c r="H415" s="101">
        <v>1212</v>
      </c>
      <c r="I415" s="46" t="s">
        <v>1084</v>
      </c>
      <c r="J415" s="6">
        <v>46044</v>
      </c>
      <c r="K415" s="7" t="s">
        <v>237</v>
      </c>
      <c r="L415" s="7" t="s">
        <v>915</v>
      </c>
      <c r="M415" s="46" t="s">
        <v>1108</v>
      </c>
      <c r="N415" s="46" t="s">
        <v>152</v>
      </c>
      <c r="O415" s="46" t="s">
        <v>1089</v>
      </c>
      <c r="P415" s="6">
        <v>45390</v>
      </c>
      <c r="Q415" s="102">
        <v>5</v>
      </c>
      <c r="R415" s="102">
        <v>5</v>
      </c>
      <c r="S415" s="7">
        <v>0</v>
      </c>
    </row>
    <row r="416" s="98" customFormat="1" ht="16.5" hidden="1" spans="1:19">
      <c r="A416" s="46">
        <v>414</v>
      </c>
      <c r="B416" s="46" t="s">
        <v>23</v>
      </c>
      <c r="C416" s="46" t="s">
        <v>38</v>
      </c>
      <c r="D416" s="7" t="s">
        <v>28</v>
      </c>
      <c r="E416" s="7" t="s">
        <v>1125</v>
      </c>
      <c r="F416" s="7" t="s">
        <v>1077</v>
      </c>
      <c r="G416" s="46" t="s">
        <v>1083</v>
      </c>
      <c r="H416" s="101">
        <v>1212</v>
      </c>
      <c r="I416" s="46" t="s">
        <v>1084</v>
      </c>
      <c r="J416" s="6">
        <v>46043</v>
      </c>
      <c r="K416" s="7" t="s">
        <v>413</v>
      </c>
      <c r="L416" s="7" t="s">
        <v>915</v>
      </c>
      <c r="M416" s="46" t="s">
        <v>1126</v>
      </c>
      <c r="N416" s="46" t="s">
        <v>70</v>
      </c>
      <c r="O416" s="46" t="s">
        <v>1127</v>
      </c>
      <c r="P416" s="6">
        <v>44919</v>
      </c>
      <c r="Q416" s="102">
        <v>0</v>
      </c>
      <c r="R416" s="102">
        <v>0</v>
      </c>
      <c r="S416" s="7">
        <v>0</v>
      </c>
    </row>
    <row r="417" s="98" customFormat="1" ht="16.5" hidden="1" spans="1:19">
      <c r="A417" s="46">
        <v>415</v>
      </c>
      <c r="B417" s="46" t="s">
        <v>23</v>
      </c>
      <c r="C417" s="46" t="s">
        <v>38</v>
      </c>
      <c r="D417" s="7" t="s">
        <v>28</v>
      </c>
      <c r="E417" s="7" t="s">
        <v>1125</v>
      </c>
      <c r="F417" s="7" t="s">
        <v>1077</v>
      </c>
      <c r="G417" s="46" t="s">
        <v>1083</v>
      </c>
      <c r="H417" s="101">
        <v>1212</v>
      </c>
      <c r="I417" s="46" t="s">
        <v>1084</v>
      </c>
      <c r="J417" s="6">
        <v>46043</v>
      </c>
      <c r="K417" s="7" t="s">
        <v>407</v>
      </c>
      <c r="L417" s="7" t="s">
        <v>915</v>
      </c>
      <c r="M417" s="46" t="s">
        <v>1128</v>
      </c>
      <c r="N417" s="46" t="s">
        <v>75</v>
      </c>
      <c r="O417" s="46" t="s">
        <v>1129</v>
      </c>
      <c r="P417" s="6">
        <v>44721</v>
      </c>
      <c r="Q417" s="102">
        <v>5</v>
      </c>
      <c r="R417" s="102">
        <v>5</v>
      </c>
      <c r="S417" s="7">
        <v>0</v>
      </c>
    </row>
    <row r="418" s="98" customFormat="1" ht="16.5" hidden="1" spans="1:19">
      <c r="A418" s="46">
        <v>416</v>
      </c>
      <c r="B418" s="46" t="s">
        <v>23</v>
      </c>
      <c r="C418" s="46" t="s">
        <v>38</v>
      </c>
      <c r="D418" s="7" t="s">
        <v>28</v>
      </c>
      <c r="E418" s="7" t="s">
        <v>1125</v>
      </c>
      <c r="F418" s="7" t="s">
        <v>1077</v>
      </c>
      <c r="G418" s="46" t="s">
        <v>1083</v>
      </c>
      <c r="H418" s="101">
        <v>1212</v>
      </c>
      <c r="I418" s="46" t="s">
        <v>1084</v>
      </c>
      <c r="J418" s="6">
        <v>46043</v>
      </c>
      <c r="K418" s="7" t="s">
        <v>512</v>
      </c>
      <c r="L418" s="7" t="s">
        <v>915</v>
      </c>
      <c r="M418" s="46" t="s">
        <v>1130</v>
      </c>
      <c r="N418" s="46" t="s">
        <v>75</v>
      </c>
      <c r="O418" s="46" t="s">
        <v>1127</v>
      </c>
      <c r="P418" s="6">
        <v>44623</v>
      </c>
      <c r="Q418" s="102">
        <v>5</v>
      </c>
      <c r="R418" s="102">
        <v>5</v>
      </c>
      <c r="S418" s="7">
        <v>0</v>
      </c>
    </row>
    <row r="419" s="98" customFormat="1" ht="16.5" hidden="1" spans="1:19">
      <c r="A419" s="46">
        <v>417</v>
      </c>
      <c r="B419" s="46" t="s">
        <v>23</v>
      </c>
      <c r="C419" s="46" t="s">
        <v>38</v>
      </c>
      <c r="D419" s="7" t="s">
        <v>28</v>
      </c>
      <c r="E419" s="7" t="s">
        <v>1125</v>
      </c>
      <c r="F419" s="7" t="s">
        <v>1077</v>
      </c>
      <c r="G419" s="46" t="s">
        <v>1083</v>
      </c>
      <c r="H419" s="101">
        <v>1212</v>
      </c>
      <c r="I419" s="46" t="s">
        <v>1084</v>
      </c>
      <c r="J419" s="6">
        <v>46043</v>
      </c>
      <c r="K419" s="7" t="s">
        <v>336</v>
      </c>
      <c r="L419" s="7" t="s">
        <v>915</v>
      </c>
      <c r="M419" s="46" t="s">
        <v>1131</v>
      </c>
      <c r="N419" s="46" t="s">
        <v>70</v>
      </c>
      <c r="O419" s="46" t="s">
        <v>1132</v>
      </c>
      <c r="P419" s="6">
        <v>44578</v>
      </c>
      <c r="Q419" s="102">
        <v>0</v>
      </c>
      <c r="R419" s="102">
        <v>0</v>
      </c>
      <c r="S419" s="7">
        <v>0</v>
      </c>
    </row>
    <row r="420" s="98" customFormat="1" ht="16.5" hidden="1" spans="1:19">
      <c r="A420" s="46">
        <v>418</v>
      </c>
      <c r="B420" s="46" t="s">
        <v>23</v>
      </c>
      <c r="C420" s="46" t="s">
        <v>38</v>
      </c>
      <c r="D420" s="7" t="s">
        <v>28</v>
      </c>
      <c r="E420" s="7" t="s">
        <v>1125</v>
      </c>
      <c r="F420" s="7" t="s">
        <v>1077</v>
      </c>
      <c r="G420" s="46" t="s">
        <v>1083</v>
      </c>
      <c r="H420" s="101">
        <v>1212</v>
      </c>
      <c r="I420" s="46" t="s">
        <v>1084</v>
      </c>
      <c r="J420" s="6">
        <v>46043</v>
      </c>
      <c r="K420" s="7" t="s">
        <v>376</v>
      </c>
      <c r="L420" s="7" t="s">
        <v>915</v>
      </c>
      <c r="M420" s="46" t="s">
        <v>1133</v>
      </c>
      <c r="N420" s="46" t="s">
        <v>148</v>
      </c>
      <c r="O420" s="46" t="s">
        <v>1127</v>
      </c>
      <c r="P420" s="6">
        <v>44504</v>
      </c>
      <c r="Q420" s="102">
        <v>0</v>
      </c>
      <c r="R420" s="102">
        <v>0</v>
      </c>
      <c r="S420" s="7">
        <v>0</v>
      </c>
    </row>
    <row r="421" s="98" customFormat="1" ht="16.5" hidden="1" spans="1:19">
      <c r="A421" s="46">
        <v>419</v>
      </c>
      <c r="B421" s="46" t="s">
        <v>23</v>
      </c>
      <c r="C421" s="46" t="s">
        <v>38</v>
      </c>
      <c r="D421" s="7" t="s">
        <v>28</v>
      </c>
      <c r="E421" s="7" t="s">
        <v>1125</v>
      </c>
      <c r="F421" s="7" t="s">
        <v>1077</v>
      </c>
      <c r="G421" s="46" t="s">
        <v>1083</v>
      </c>
      <c r="H421" s="101">
        <v>1212</v>
      </c>
      <c r="I421" s="46" t="s">
        <v>1084</v>
      </c>
      <c r="J421" s="6">
        <v>46043</v>
      </c>
      <c r="K421" s="7" t="s">
        <v>614</v>
      </c>
      <c r="L421" s="7" t="s">
        <v>915</v>
      </c>
      <c r="M421" s="46" t="s">
        <v>1134</v>
      </c>
      <c r="N421" s="46" t="s">
        <v>220</v>
      </c>
      <c r="O421" s="46" t="s">
        <v>1132</v>
      </c>
      <c r="P421" s="6">
        <v>44464</v>
      </c>
      <c r="Q421" s="102">
        <v>0</v>
      </c>
      <c r="R421" s="102">
        <v>0</v>
      </c>
      <c r="S421" s="7">
        <v>0</v>
      </c>
    </row>
    <row r="422" s="98" customFormat="1" ht="16.5" hidden="1" spans="1:19">
      <c r="A422" s="46">
        <v>420</v>
      </c>
      <c r="B422" s="46" t="s">
        <v>23</v>
      </c>
      <c r="C422" s="46" t="s">
        <v>38</v>
      </c>
      <c r="D422" s="7" t="s">
        <v>28</v>
      </c>
      <c r="E422" s="7" t="s">
        <v>1125</v>
      </c>
      <c r="F422" s="7" t="s">
        <v>1077</v>
      </c>
      <c r="G422" s="46" t="s">
        <v>1083</v>
      </c>
      <c r="H422" s="101">
        <v>1212</v>
      </c>
      <c r="I422" s="46" t="s">
        <v>1084</v>
      </c>
      <c r="J422" s="6">
        <v>46043</v>
      </c>
      <c r="K422" s="7" t="s">
        <v>155</v>
      </c>
      <c r="L422" s="7" t="s">
        <v>915</v>
      </c>
      <c r="M422" s="46" t="s">
        <v>1135</v>
      </c>
      <c r="N422" s="46" t="s">
        <v>144</v>
      </c>
      <c r="O422" s="46" t="s">
        <v>1129</v>
      </c>
      <c r="P422" s="6">
        <v>44272</v>
      </c>
      <c r="Q422" s="102">
        <v>0</v>
      </c>
      <c r="R422" s="102">
        <v>0</v>
      </c>
      <c r="S422" s="7">
        <v>0</v>
      </c>
    </row>
    <row r="423" s="98" customFormat="1" ht="16.5" hidden="1" spans="1:19">
      <c r="A423" s="46">
        <v>421</v>
      </c>
      <c r="B423" s="46" t="s">
        <v>23</v>
      </c>
      <c r="C423" s="46" t="s">
        <v>38</v>
      </c>
      <c r="D423" s="7" t="s">
        <v>28</v>
      </c>
      <c r="E423" s="7" t="s">
        <v>1125</v>
      </c>
      <c r="F423" s="7" t="s">
        <v>1077</v>
      </c>
      <c r="G423" s="46" t="s">
        <v>1083</v>
      </c>
      <c r="H423" s="101">
        <v>1212</v>
      </c>
      <c r="I423" s="46" t="s">
        <v>1084</v>
      </c>
      <c r="J423" s="6">
        <v>46043</v>
      </c>
      <c r="K423" s="7" t="s">
        <v>430</v>
      </c>
      <c r="L423" s="7" t="s">
        <v>915</v>
      </c>
      <c r="M423" s="46" t="s">
        <v>1136</v>
      </c>
      <c r="N423" s="46" t="s">
        <v>168</v>
      </c>
      <c r="O423" s="46" t="s">
        <v>1127</v>
      </c>
      <c r="P423" s="6">
        <v>44264</v>
      </c>
      <c r="Q423" s="102">
        <v>0</v>
      </c>
      <c r="R423" s="102">
        <v>0</v>
      </c>
      <c r="S423" s="7">
        <v>0</v>
      </c>
    </row>
    <row r="424" s="98" customFormat="1" ht="16.5" hidden="1" spans="1:19">
      <c r="A424" s="46">
        <v>422</v>
      </c>
      <c r="B424" s="46" t="s">
        <v>23</v>
      </c>
      <c r="C424" s="46" t="s">
        <v>38</v>
      </c>
      <c r="D424" s="7" t="s">
        <v>28</v>
      </c>
      <c r="E424" s="7" t="s">
        <v>1125</v>
      </c>
      <c r="F424" s="7" t="s">
        <v>1077</v>
      </c>
      <c r="G424" s="46" t="s">
        <v>1083</v>
      </c>
      <c r="H424" s="101">
        <v>1212</v>
      </c>
      <c r="I424" s="46" t="s">
        <v>1084</v>
      </c>
      <c r="J424" s="6">
        <v>46043</v>
      </c>
      <c r="K424" s="7" t="s">
        <v>322</v>
      </c>
      <c r="L424" s="7" t="s">
        <v>915</v>
      </c>
      <c r="M424" s="46" t="s">
        <v>1137</v>
      </c>
      <c r="N424" s="46" t="s">
        <v>168</v>
      </c>
      <c r="O424" s="46" t="s">
        <v>1129</v>
      </c>
      <c r="P424" s="6">
        <v>44139</v>
      </c>
      <c r="Q424" s="102">
        <v>5</v>
      </c>
      <c r="R424" s="102">
        <v>5</v>
      </c>
      <c r="S424" s="7">
        <v>0</v>
      </c>
    </row>
    <row r="425" s="98" customFormat="1" ht="16.5" hidden="1" spans="1:19">
      <c r="A425" s="46">
        <v>423</v>
      </c>
      <c r="B425" s="46" t="s">
        <v>23</v>
      </c>
      <c r="C425" s="46" t="s">
        <v>38</v>
      </c>
      <c r="D425" s="7" t="s">
        <v>28</v>
      </c>
      <c r="E425" s="7" t="s">
        <v>1125</v>
      </c>
      <c r="F425" s="7" t="s">
        <v>1077</v>
      </c>
      <c r="G425" s="46" t="s">
        <v>1083</v>
      </c>
      <c r="H425" s="101">
        <v>1212</v>
      </c>
      <c r="I425" s="46" t="s">
        <v>1084</v>
      </c>
      <c r="J425" s="6">
        <v>46043</v>
      </c>
      <c r="K425" s="7" t="s">
        <v>602</v>
      </c>
      <c r="L425" s="7" t="s">
        <v>915</v>
      </c>
      <c r="M425" s="46" t="s">
        <v>1138</v>
      </c>
      <c r="N425" s="46" t="s">
        <v>63</v>
      </c>
      <c r="O425" s="46" t="s">
        <v>1132</v>
      </c>
      <c r="P425" s="6">
        <v>43757</v>
      </c>
      <c r="Q425" s="102">
        <v>0</v>
      </c>
      <c r="R425" s="102">
        <v>0</v>
      </c>
      <c r="S425" s="7">
        <v>0</v>
      </c>
    </row>
    <row r="426" s="98" customFormat="1" ht="16.5" hidden="1" spans="1:19">
      <c r="A426" s="46">
        <v>424</v>
      </c>
      <c r="B426" s="46" t="s">
        <v>23</v>
      </c>
      <c r="C426" s="46" t="s">
        <v>38</v>
      </c>
      <c r="D426" s="7" t="s">
        <v>28</v>
      </c>
      <c r="E426" s="7" t="s">
        <v>1125</v>
      </c>
      <c r="F426" s="7" t="s">
        <v>1077</v>
      </c>
      <c r="G426" s="46" t="s">
        <v>1083</v>
      </c>
      <c r="H426" s="101">
        <v>1212</v>
      </c>
      <c r="I426" s="46" t="s">
        <v>1084</v>
      </c>
      <c r="J426" s="6">
        <v>46043</v>
      </c>
      <c r="K426" s="7" t="s">
        <v>427</v>
      </c>
      <c r="L426" s="7" t="s">
        <v>915</v>
      </c>
      <c r="M426" s="46" t="s">
        <v>1139</v>
      </c>
      <c r="N426" s="46" t="s">
        <v>220</v>
      </c>
      <c r="O426" s="46" t="s">
        <v>1129</v>
      </c>
      <c r="P426" s="6">
        <v>43743</v>
      </c>
      <c r="Q426" s="102">
        <v>0</v>
      </c>
      <c r="R426" s="102">
        <v>0</v>
      </c>
      <c r="S426" s="7">
        <v>0</v>
      </c>
    </row>
    <row r="427" s="98" customFormat="1" ht="16.5" hidden="1" spans="1:19">
      <c r="A427" s="46">
        <v>425</v>
      </c>
      <c r="B427" s="46" t="s">
        <v>23</v>
      </c>
      <c r="C427" s="46" t="s">
        <v>37</v>
      </c>
      <c r="D427" s="7" t="s">
        <v>28</v>
      </c>
      <c r="E427" s="7" t="s">
        <v>1125</v>
      </c>
      <c r="F427" s="7" t="s">
        <v>1077</v>
      </c>
      <c r="G427" s="46" t="s">
        <v>1083</v>
      </c>
      <c r="H427" s="101">
        <v>1212</v>
      </c>
      <c r="I427" s="46" t="s">
        <v>1084</v>
      </c>
      <c r="J427" s="6">
        <v>46043</v>
      </c>
      <c r="K427" s="7" t="s">
        <v>422</v>
      </c>
      <c r="L427" s="7" t="s">
        <v>915</v>
      </c>
      <c r="M427" s="46" t="s">
        <v>1140</v>
      </c>
      <c r="N427" s="46" t="s">
        <v>109</v>
      </c>
      <c r="O427" s="46" t="s">
        <v>1127</v>
      </c>
      <c r="P427" s="6">
        <v>44565</v>
      </c>
      <c r="Q427" s="102">
        <v>5</v>
      </c>
      <c r="R427" s="102">
        <v>5</v>
      </c>
      <c r="S427" s="7">
        <v>0</v>
      </c>
    </row>
    <row r="428" s="98" customFormat="1" ht="16.5" hidden="1" spans="1:19">
      <c r="A428" s="46">
        <v>426</v>
      </c>
      <c r="B428" s="46" t="s">
        <v>23</v>
      </c>
      <c r="C428" s="46" t="s">
        <v>37</v>
      </c>
      <c r="D428" s="7" t="s">
        <v>28</v>
      </c>
      <c r="E428" s="7" t="s">
        <v>1125</v>
      </c>
      <c r="F428" s="7" t="s">
        <v>1077</v>
      </c>
      <c r="G428" s="46" t="s">
        <v>1083</v>
      </c>
      <c r="H428" s="101">
        <v>1212</v>
      </c>
      <c r="I428" s="46" t="s">
        <v>1084</v>
      </c>
      <c r="J428" s="6">
        <v>46043</v>
      </c>
      <c r="K428" s="7" t="s">
        <v>451</v>
      </c>
      <c r="L428" s="7" t="s">
        <v>915</v>
      </c>
      <c r="M428" s="46" t="s">
        <v>1141</v>
      </c>
      <c r="N428" s="46" t="s">
        <v>152</v>
      </c>
      <c r="O428" s="46" t="s">
        <v>1129</v>
      </c>
      <c r="P428" s="6">
        <v>44153</v>
      </c>
      <c r="Q428" s="102">
        <v>0</v>
      </c>
      <c r="R428" s="102">
        <v>0</v>
      </c>
      <c r="S428" s="7">
        <v>0</v>
      </c>
    </row>
    <row r="429" s="98" customFormat="1" ht="16.5" hidden="1" spans="1:19">
      <c r="A429" s="46">
        <v>427</v>
      </c>
      <c r="B429" s="46" t="s">
        <v>23</v>
      </c>
      <c r="C429" s="46" t="s">
        <v>37</v>
      </c>
      <c r="D429" s="7" t="s">
        <v>28</v>
      </c>
      <c r="E429" s="7" t="s">
        <v>1125</v>
      </c>
      <c r="F429" s="7" t="s">
        <v>1077</v>
      </c>
      <c r="G429" s="46" t="s">
        <v>1083</v>
      </c>
      <c r="H429" s="101">
        <v>1212</v>
      </c>
      <c r="I429" s="46" t="s">
        <v>1084</v>
      </c>
      <c r="J429" s="6">
        <v>46043</v>
      </c>
      <c r="K429" s="7" t="s">
        <v>108</v>
      </c>
      <c r="L429" s="7" t="s">
        <v>915</v>
      </c>
      <c r="M429" s="46" t="s">
        <v>1142</v>
      </c>
      <c r="N429" s="46" t="s">
        <v>109</v>
      </c>
      <c r="O429" s="46" t="s">
        <v>1129</v>
      </c>
      <c r="P429" s="6">
        <v>44088</v>
      </c>
      <c r="Q429" s="102">
        <v>0</v>
      </c>
      <c r="R429" s="102">
        <v>0</v>
      </c>
      <c r="S429" s="7">
        <v>0</v>
      </c>
    </row>
    <row r="430" s="98" customFormat="1" ht="16.5" hidden="1" spans="1:19">
      <c r="A430" s="46">
        <v>428</v>
      </c>
      <c r="B430" s="46" t="s">
        <v>23</v>
      </c>
      <c r="C430" s="46" t="s">
        <v>37</v>
      </c>
      <c r="D430" s="7" t="s">
        <v>28</v>
      </c>
      <c r="E430" s="7" t="s">
        <v>1125</v>
      </c>
      <c r="F430" s="7" t="s">
        <v>1077</v>
      </c>
      <c r="G430" s="46" t="s">
        <v>1083</v>
      </c>
      <c r="H430" s="101">
        <v>1212</v>
      </c>
      <c r="I430" s="46" t="s">
        <v>1084</v>
      </c>
      <c r="J430" s="6">
        <v>46043</v>
      </c>
      <c r="K430" s="7" t="s">
        <v>1143</v>
      </c>
      <c r="L430" s="7" t="s">
        <v>915</v>
      </c>
      <c r="M430" s="46" t="s">
        <v>1144</v>
      </c>
      <c r="N430" s="46" t="s">
        <v>152</v>
      </c>
      <c r="O430" s="46" t="s">
        <v>1145</v>
      </c>
      <c r="P430" s="6">
        <v>43602</v>
      </c>
      <c r="Q430" s="102">
        <v>0</v>
      </c>
      <c r="R430" s="102">
        <v>0</v>
      </c>
      <c r="S430" s="7">
        <v>0</v>
      </c>
    </row>
    <row r="431" s="98" customFormat="1" ht="16.5" hidden="1" spans="1:19">
      <c r="A431" s="46">
        <v>429</v>
      </c>
      <c r="B431" s="46" t="s">
        <v>23</v>
      </c>
      <c r="C431" s="46" t="s">
        <v>36</v>
      </c>
      <c r="D431" s="7" t="s">
        <v>28</v>
      </c>
      <c r="E431" s="7" t="s">
        <v>1125</v>
      </c>
      <c r="F431" s="7" t="s">
        <v>1077</v>
      </c>
      <c r="G431" s="46" t="s">
        <v>1083</v>
      </c>
      <c r="H431" s="101">
        <v>1212</v>
      </c>
      <c r="I431" s="46" t="s">
        <v>1084</v>
      </c>
      <c r="J431" s="6">
        <v>46043</v>
      </c>
      <c r="K431" s="7" t="s">
        <v>309</v>
      </c>
      <c r="L431" s="7" t="s">
        <v>915</v>
      </c>
      <c r="M431" s="46" t="s">
        <v>1146</v>
      </c>
      <c r="N431" s="46" t="s">
        <v>173</v>
      </c>
      <c r="O431" s="46" t="s">
        <v>1127</v>
      </c>
      <c r="P431" s="6">
        <v>45009</v>
      </c>
      <c r="Q431" s="102">
        <v>0</v>
      </c>
      <c r="R431" s="102">
        <v>0</v>
      </c>
      <c r="S431" s="7">
        <v>0</v>
      </c>
    </row>
    <row r="432" s="98" customFormat="1" ht="16.5" hidden="1" spans="1:19">
      <c r="A432" s="46">
        <v>430</v>
      </c>
      <c r="B432" s="46" t="s">
        <v>23</v>
      </c>
      <c r="C432" s="46" t="s">
        <v>36</v>
      </c>
      <c r="D432" s="7" t="s">
        <v>28</v>
      </c>
      <c r="E432" s="7" t="s">
        <v>1125</v>
      </c>
      <c r="F432" s="7" t="s">
        <v>1077</v>
      </c>
      <c r="G432" s="46" t="s">
        <v>1083</v>
      </c>
      <c r="H432" s="101">
        <v>1212</v>
      </c>
      <c r="I432" s="46" t="s">
        <v>1084</v>
      </c>
      <c r="J432" s="6">
        <v>46043</v>
      </c>
      <c r="K432" s="7" t="s">
        <v>587</v>
      </c>
      <c r="L432" s="7" t="s">
        <v>915</v>
      </c>
      <c r="M432" s="46" t="s">
        <v>1147</v>
      </c>
      <c r="N432" s="46" t="s">
        <v>173</v>
      </c>
      <c r="O432" s="46" t="s">
        <v>1129</v>
      </c>
      <c r="P432" s="6">
        <v>44420</v>
      </c>
      <c r="Q432" s="102">
        <v>0</v>
      </c>
      <c r="R432" s="102">
        <v>0</v>
      </c>
      <c r="S432" s="7">
        <v>0</v>
      </c>
    </row>
    <row r="433" s="98" customFormat="1" ht="16.5" hidden="1" spans="1:19">
      <c r="A433" s="46">
        <v>431</v>
      </c>
      <c r="B433" s="46" t="s">
        <v>23</v>
      </c>
      <c r="C433" s="46" t="s">
        <v>36</v>
      </c>
      <c r="D433" s="7" t="s">
        <v>28</v>
      </c>
      <c r="E433" s="7" t="s">
        <v>1125</v>
      </c>
      <c r="F433" s="7" t="s">
        <v>1077</v>
      </c>
      <c r="G433" s="46" t="s">
        <v>1083</v>
      </c>
      <c r="H433" s="101">
        <v>1212</v>
      </c>
      <c r="I433" s="46" t="s">
        <v>1084</v>
      </c>
      <c r="J433" s="6">
        <v>46043</v>
      </c>
      <c r="K433" s="7" t="s">
        <v>433</v>
      </c>
      <c r="L433" s="7" t="s">
        <v>915</v>
      </c>
      <c r="M433" s="46" t="s">
        <v>1148</v>
      </c>
      <c r="N433" s="46" t="s">
        <v>173</v>
      </c>
      <c r="O433" s="46" t="s">
        <v>1149</v>
      </c>
      <c r="P433" s="6">
        <v>43904</v>
      </c>
      <c r="Q433" s="102">
        <v>0</v>
      </c>
      <c r="R433" s="102">
        <v>0</v>
      </c>
      <c r="S433" s="7">
        <v>0</v>
      </c>
    </row>
    <row r="434" s="98" customFormat="1" ht="16.5" hidden="1" spans="1:19">
      <c r="A434" s="46">
        <v>432</v>
      </c>
      <c r="B434" s="46" t="s">
        <v>23</v>
      </c>
      <c r="C434" s="46" t="s">
        <v>35</v>
      </c>
      <c r="D434" s="7" t="s">
        <v>28</v>
      </c>
      <c r="E434" s="7" t="s">
        <v>1125</v>
      </c>
      <c r="F434" s="7" t="s">
        <v>1077</v>
      </c>
      <c r="G434" s="46" t="s">
        <v>1083</v>
      </c>
      <c r="H434" s="101">
        <v>1212</v>
      </c>
      <c r="I434" s="46" t="s">
        <v>1084</v>
      </c>
      <c r="J434" s="6">
        <v>46043</v>
      </c>
      <c r="K434" s="7" t="s">
        <v>417</v>
      </c>
      <c r="L434" s="7" t="s">
        <v>915</v>
      </c>
      <c r="M434" s="46" t="s">
        <v>1150</v>
      </c>
      <c r="N434" s="46" t="s">
        <v>125</v>
      </c>
      <c r="O434" s="46" t="s">
        <v>1127</v>
      </c>
      <c r="P434" s="6">
        <v>44919</v>
      </c>
      <c r="Q434" s="102">
        <v>5</v>
      </c>
      <c r="R434" s="102">
        <v>5</v>
      </c>
      <c r="S434" s="7">
        <v>0</v>
      </c>
    </row>
    <row r="435" s="98" customFormat="1" ht="16.5" hidden="1" spans="1:19">
      <c r="A435" s="46">
        <v>433</v>
      </c>
      <c r="B435" s="46" t="s">
        <v>23</v>
      </c>
      <c r="C435" s="46" t="s">
        <v>35</v>
      </c>
      <c r="D435" s="7" t="s">
        <v>28</v>
      </c>
      <c r="E435" s="7" t="s">
        <v>1125</v>
      </c>
      <c r="F435" s="7" t="s">
        <v>1077</v>
      </c>
      <c r="G435" s="46" t="s">
        <v>1083</v>
      </c>
      <c r="H435" s="101">
        <v>1212</v>
      </c>
      <c r="I435" s="46" t="s">
        <v>1084</v>
      </c>
      <c r="J435" s="6">
        <v>46043</v>
      </c>
      <c r="K435" s="7" t="s">
        <v>444</v>
      </c>
      <c r="L435" s="7" t="s">
        <v>915</v>
      </c>
      <c r="M435" s="46" t="s">
        <v>1151</v>
      </c>
      <c r="N435" s="46" t="s">
        <v>125</v>
      </c>
      <c r="O435" s="46" t="s">
        <v>1132</v>
      </c>
      <c r="P435" s="6">
        <v>44426</v>
      </c>
      <c r="Q435" s="102">
        <v>0</v>
      </c>
      <c r="R435" s="102">
        <v>0</v>
      </c>
      <c r="S435" s="7">
        <v>0</v>
      </c>
    </row>
    <row r="436" s="98" customFormat="1" ht="16.5" hidden="1" spans="1:19">
      <c r="A436" s="46">
        <v>434</v>
      </c>
      <c r="B436" s="46" t="s">
        <v>23</v>
      </c>
      <c r="C436" s="46" t="s">
        <v>35</v>
      </c>
      <c r="D436" s="7" t="s">
        <v>28</v>
      </c>
      <c r="E436" s="7" t="s">
        <v>1125</v>
      </c>
      <c r="F436" s="7" t="s">
        <v>1077</v>
      </c>
      <c r="G436" s="46" t="s">
        <v>1083</v>
      </c>
      <c r="H436" s="101">
        <v>1212</v>
      </c>
      <c r="I436" s="46" t="s">
        <v>1084</v>
      </c>
      <c r="J436" s="6">
        <v>46043</v>
      </c>
      <c r="K436" s="7" t="s">
        <v>1152</v>
      </c>
      <c r="L436" s="7" t="s">
        <v>915</v>
      </c>
      <c r="M436" s="46" t="s">
        <v>1153</v>
      </c>
      <c r="N436" s="46" t="s">
        <v>125</v>
      </c>
      <c r="O436" s="46" t="s">
        <v>1145</v>
      </c>
      <c r="P436" s="6">
        <v>44054</v>
      </c>
      <c r="Q436" s="102">
        <v>0</v>
      </c>
      <c r="R436" s="102">
        <v>0</v>
      </c>
      <c r="S436" s="7">
        <v>0</v>
      </c>
    </row>
    <row r="437" s="98" customFormat="1" ht="16.5" hidden="1" spans="1:19">
      <c r="A437" s="46">
        <v>435</v>
      </c>
      <c r="B437" s="46" t="s">
        <v>23</v>
      </c>
      <c r="C437" s="46" t="s">
        <v>33</v>
      </c>
      <c r="D437" s="7" t="s">
        <v>28</v>
      </c>
      <c r="E437" s="7" t="s">
        <v>1125</v>
      </c>
      <c r="F437" s="7" t="s">
        <v>1077</v>
      </c>
      <c r="G437" s="46" t="s">
        <v>1083</v>
      </c>
      <c r="H437" s="101">
        <v>1212</v>
      </c>
      <c r="I437" s="46" t="s">
        <v>1084</v>
      </c>
      <c r="J437" s="6">
        <v>46043</v>
      </c>
      <c r="K437" s="7" t="s">
        <v>536</v>
      </c>
      <c r="L437" s="7" t="s">
        <v>915</v>
      </c>
      <c r="M437" s="46" t="s">
        <v>1154</v>
      </c>
      <c r="N437" s="46" t="s">
        <v>537</v>
      </c>
      <c r="O437" s="46" t="s">
        <v>1127</v>
      </c>
      <c r="P437" s="6">
        <v>44729</v>
      </c>
      <c r="Q437" s="102">
        <v>5</v>
      </c>
      <c r="R437" s="102">
        <v>5</v>
      </c>
      <c r="S437" s="7">
        <v>0</v>
      </c>
    </row>
    <row r="438" s="98" customFormat="1" ht="16.5" hidden="1" spans="1:19">
      <c r="A438" s="46">
        <v>436</v>
      </c>
      <c r="B438" s="46" t="s">
        <v>23</v>
      </c>
      <c r="C438" s="46" t="s">
        <v>33</v>
      </c>
      <c r="D438" s="7" t="s">
        <v>28</v>
      </c>
      <c r="E438" s="7" t="s">
        <v>1125</v>
      </c>
      <c r="F438" s="7" t="s">
        <v>1077</v>
      </c>
      <c r="G438" s="46" t="s">
        <v>1083</v>
      </c>
      <c r="H438" s="101">
        <v>1212</v>
      </c>
      <c r="I438" s="46" t="s">
        <v>1084</v>
      </c>
      <c r="J438" s="6">
        <v>46043</v>
      </c>
      <c r="K438" s="7" t="s">
        <v>740</v>
      </c>
      <c r="L438" s="7" t="s">
        <v>915</v>
      </c>
      <c r="M438" s="46" t="s">
        <v>1155</v>
      </c>
      <c r="N438" s="46" t="s">
        <v>537</v>
      </c>
      <c r="O438" s="46" t="s">
        <v>1149</v>
      </c>
      <c r="P438" s="6">
        <v>43904</v>
      </c>
      <c r="Q438" s="102">
        <v>5</v>
      </c>
      <c r="R438" s="102">
        <v>5</v>
      </c>
      <c r="S438" s="7">
        <v>0</v>
      </c>
    </row>
    <row r="439" s="98" customFormat="1" ht="16.5" hidden="1" spans="1:19">
      <c r="A439" s="46">
        <v>437</v>
      </c>
      <c r="B439" s="46" t="s">
        <v>23</v>
      </c>
      <c r="C439" s="46" t="s">
        <v>32</v>
      </c>
      <c r="D439" s="7" t="s">
        <v>28</v>
      </c>
      <c r="E439" s="7" t="s">
        <v>1125</v>
      </c>
      <c r="F439" s="7" t="s">
        <v>1077</v>
      </c>
      <c r="G439" s="46" t="s">
        <v>1083</v>
      </c>
      <c r="H439" s="101">
        <v>1212</v>
      </c>
      <c r="I439" s="46" t="s">
        <v>1084</v>
      </c>
      <c r="J439" s="6">
        <v>46043</v>
      </c>
      <c r="K439" s="7" t="s">
        <v>447</v>
      </c>
      <c r="L439" s="7" t="s">
        <v>915</v>
      </c>
      <c r="M439" s="46" t="s">
        <v>1156</v>
      </c>
      <c r="N439" s="46" t="s">
        <v>105</v>
      </c>
      <c r="O439" s="46" t="s">
        <v>1127</v>
      </c>
      <c r="P439" s="6">
        <v>44023</v>
      </c>
      <c r="Q439" s="102">
        <v>0</v>
      </c>
      <c r="R439" s="102">
        <v>0</v>
      </c>
      <c r="S439" s="7">
        <v>0</v>
      </c>
    </row>
    <row r="440" s="98" customFormat="1" ht="16.5" hidden="1" spans="1:19">
      <c r="A440" s="46">
        <v>438</v>
      </c>
      <c r="B440" s="46" t="s">
        <v>23</v>
      </c>
      <c r="C440" s="46" t="s">
        <v>32</v>
      </c>
      <c r="D440" s="7" t="s">
        <v>28</v>
      </c>
      <c r="E440" s="7" t="s">
        <v>1125</v>
      </c>
      <c r="F440" s="7" t="s">
        <v>1077</v>
      </c>
      <c r="G440" s="46" t="s">
        <v>1083</v>
      </c>
      <c r="H440" s="101">
        <v>1212</v>
      </c>
      <c r="I440" s="46" t="s">
        <v>1084</v>
      </c>
      <c r="J440" s="6">
        <v>46043</v>
      </c>
      <c r="K440" s="7" t="s">
        <v>179</v>
      </c>
      <c r="L440" s="7" t="s">
        <v>915</v>
      </c>
      <c r="M440" s="46" t="s">
        <v>1157</v>
      </c>
      <c r="N440" s="46" t="s">
        <v>105</v>
      </c>
      <c r="O440" s="46" t="s">
        <v>1149</v>
      </c>
      <c r="P440" s="6">
        <v>43997</v>
      </c>
      <c r="Q440" s="102">
        <v>0</v>
      </c>
      <c r="R440" s="102">
        <v>0</v>
      </c>
      <c r="S440" s="7">
        <v>0</v>
      </c>
    </row>
    <row r="441" s="98" customFormat="1" ht="16.5" hidden="1" spans="1:19">
      <c r="A441" s="46">
        <v>439</v>
      </c>
      <c r="B441" s="46" t="s">
        <v>23</v>
      </c>
      <c r="C441" s="46" t="s">
        <v>32</v>
      </c>
      <c r="D441" s="7" t="s">
        <v>28</v>
      </c>
      <c r="E441" s="7" t="s">
        <v>1125</v>
      </c>
      <c r="F441" s="7" t="s">
        <v>1077</v>
      </c>
      <c r="G441" s="46" t="s">
        <v>1083</v>
      </c>
      <c r="H441" s="101">
        <v>1212</v>
      </c>
      <c r="I441" s="46" t="s">
        <v>1084</v>
      </c>
      <c r="J441" s="6">
        <v>46043</v>
      </c>
      <c r="K441" s="7" t="s">
        <v>411</v>
      </c>
      <c r="L441" s="7" t="s">
        <v>915</v>
      </c>
      <c r="M441" s="46" t="s">
        <v>1158</v>
      </c>
      <c r="N441" s="46" t="s">
        <v>105</v>
      </c>
      <c r="O441" s="46" t="s">
        <v>1159</v>
      </c>
      <c r="P441" s="6">
        <v>43831</v>
      </c>
      <c r="Q441" s="102">
        <v>0</v>
      </c>
      <c r="R441" s="102">
        <v>0</v>
      </c>
      <c r="S441" s="7">
        <v>0</v>
      </c>
    </row>
    <row r="442" s="98" customFormat="1" ht="16.5" hidden="1" spans="1:19">
      <c r="A442" s="46">
        <v>440</v>
      </c>
      <c r="B442" s="46" t="s">
        <v>23</v>
      </c>
      <c r="C442" s="46" t="s">
        <v>32</v>
      </c>
      <c r="D442" s="7" t="s">
        <v>28</v>
      </c>
      <c r="E442" s="7" t="s">
        <v>1125</v>
      </c>
      <c r="F442" s="7" t="s">
        <v>1077</v>
      </c>
      <c r="G442" s="46" t="s">
        <v>1083</v>
      </c>
      <c r="H442" s="101">
        <v>1212</v>
      </c>
      <c r="I442" s="46" t="s">
        <v>1084</v>
      </c>
      <c r="J442" s="6">
        <v>46043</v>
      </c>
      <c r="K442" s="7" t="s">
        <v>556</v>
      </c>
      <c r="L442" s="7" t="s">
        <v>915</v>
      </c>
      <c r="M442" s="46" t="s">
        <v>1160</v>
      </c>
      <c r="N442" s="46" t="s">
        <v>105</v>
      </c>
      <c r="O442" s="46" t="s">
        <v>1127</v>
      </c>
      <c r="P442" s="6">
        <v>43572</v>
      </c>
      <c r="Q442" s="102">
        <v>0</v>
      </c>
      <c r="R442" s="102">
        <v>0</v>
      </c>
      <c r="S442" s="7">
        <v>0</v>
      </c>
    </row>
    <row r="443" s="98" customFormat="1" ht="16.5" hidden="1" spans="1:19">
      <c r="A443" s="46">
        <v>441</v>
      </c>
      <c r="B443" s="46" t="s">
        <v>23</v>
      </c>
      <c r="C443" s="46" t="s">
        <v>31</v>
      </c>
      <c r="D443" s="7" t="s">
        <v>28</v>
      </c>
      <c r="E443" s="7" t="s">
        <v>1125</v>
      </c>
      <c r="F443" s="7" t="s">
        <v>1077</v>
      </c>
      <c r="G443" s="46" t="s">
        <v>1083</v>
      </c>
      <c r="H443" s="101">
        <v>1212</v>
      </c>
      <c r="I443" s="46" t="s">
        <v>1084</v>
      </c>
      <c r="J443" s="6">
        <v>46043</v>
      </c>
      <c r="K443" s="7" t="s">
        <v>89</v>
      </c>
      <c r="L443" s="7" t="s">
        <v>915</v>
      </c>
      <c r="M443" s="46" t="s">
        <v>1161</v>
      </c>
      <c r="N443" s="46" t="s">
        <v>90</v>
      </c>
      <c r="O443" s="46" t="s">
        <v>1129</v>
      </c>
      <c r="P443" s="6">
        <v>44933</v>
      </c>
      <c r="Q443" s="102">
        <v>0</v>
      </c>
      <c r="R443" s="102">
        <v>0</v>
      </c>
      <c r="S443" s="7">
        <v>0</v>
      </c>
    </row>
    <row r="444" s="98" customFormat="1" ht="16.5" hidden="1" spans="1:19">
      <c r="A444" s="46">
        <v>442</v>
      </c>
      <c r="B444" s="46" t="s">
        <v>23</v>
      </c>
      <c r="C444" s="46" t="s">
        <v>31</v>
      </c>
      <c r="D444" s="7" t="s">
        <v>28</v>
      </c>
      <c r="E444" s="7" t="s">
        <v>1125</v>
      </c>
      <c r="F444" s="7" t="s">
        <v>1077</v>
      </c>
      <c r="G444" s="46" t="s">
        <v>1083</v>
      </c>
      <c r="H444" s="101">
        <v>1212</v>
      </c>
      <c r="I444" s="46" t="s">
        <v>1084</v>
      </c>
      <c r="J444" s="6">
        <v>46043</v>
      </c>
      <c r="K444" s="7" t="s">
        <v>189</v>
      </c>
      <c r="L444" s="7" t="s">
        <v>915</v>
      </c>
      <c r="M444" s="46" t="s">
        <v>1162</v>
      </c>
      <c r="N444" s="46" t="s">
        <v>79</v>
      </c>
      <c r="O444" s="46" t="s">
        <v>1129</v>
      </c>
      <c r="P444" s="6">
        <v>44698</v>
      </c>
      <c r="Q444" s="102">
        <v>5</v>
      </c>
      <c r="R444" s="102">
        <v>5</v>
      </c>
      <c r="S444" s="7">
        <v>0</v>
      </c>
    </row>
    <row r="445" s="98" customFormat="1" ht="16.5" hidden="1" spans="1:19">
      <c r="A445" s="46">
        <v>443</v>
      </c>
      <c r="B445" s="46" t="s">
        <v>23</v>
      </c>
      <c r="C445" s="46" t="s">
        <v>31</v>
      </c>
      <c r="D445" s="7" t="s">
        <v>28</v>
      </c>
      <c r="E445" s="7" t="s">
        <v>1125</v>
      </c>
      <c r="F445" s="7" t="s">
        <v>1077</v>
      </c>
      <c r="G445" s="46" t="s">
        <v>1083</v>
      </c>
      <c r="H445" s="101">
        <v>1212</v>
      </c>
      <c r="I445" s="46" t="s">
        <v>1084</v>
      </c>
      <c r="J445" s="6">
        <v>46043</v>
      </c>
      <c r="K445" s="7" t="s">
        <v>1163</v>
      </c>
      <c r="L445" s="7" t="s">
        <v>915</v>
      </c>
      <c r="M445" s="46" t="s">
        <v>1164</v>
      </c>
      <c r="N445" s="46" t="s">
        <v>79</v>
      </c>
      <c r="O445" s="46" t="s">
        <v>1145</v>
      </c>
      <c r="P445" s="6">
        <v>43519</v>
      </c>
      <c r="Q445" s="102">
        <v>0</v>
      </c>
      <c r="R445" s="102">
        <v>0</v>
      </c>
      <c r="S445" s="7">
        <v>0</v>
      </c>
    </row>
    <row r="446" s="98" customFormat="1" ht="16.5" hidden="1" spans="1:19">
      <c r="A446" s="46">
        <v>444</v>
      </c>
      <c r="B446" s="46" t="s">
        <v>23</v>
      </c>
      <c r="C446" s="46" t="s">
        <v>29</v>
      </c>
      <c r="D446" s="7" t="s">
        <v>28</v>
      </c>
      <c r="E446" s="7" t="s">
        <v>1125</v>
      </c>
      <c r="F446" s="7" t="s">
        <v>1077</v>
      </c>
      <c r="G446" s="46" t="s">
        <v>1083</v>
      </c>
      <c r="H446" s="101">
        <v>1212</v>
      </c>
      <c r="I446" s="46" t="s">
        <v>1084</v>
      </c>
      <c r="J446" s="6">
        <v>46043</v>
      </c>
      <c r="K446" s="7" t="s">
        <v>129</v>
      </c>
      <c r="L446" s="7" t="s">
        <v>915</v>
      </c>
      <c r="M446" s="46" t="s">
        <v>1165</v>
      </c>
      <c r="N446" s="46" t="s">
        <v>130</v>
      </c>
      <c r="O446" s="46" t="s">
        <v>1129</v>
      </c>
      <c r="P446" s="6">
        <v>44878</v>
      </c>
      <c r="Q446" s="102">
        <v>0</v>
      </c>
      <c r="R446" s="102">
        <v>0</v>
      </c>
      <c r="S446" s="7">
        <v>0</v>
      </c>
    </row>
    <row r="447" s="98" customFormat="1" ht="16.5" hidden="1" spans="1:19">
      <c r="A447" s="46">
        <v>445</v>
      </c>
      <c r="B447" s="46" t="s">
        <v>23</v>
      </c>
      <c r="C447" s="46" t="s">
        <v>29</v>
      </c>
      <c r="D447" s="7" t="s">
        <v>28</v>
      </c>
      <c r="E447" s="7" t="s">
        <v>1125</v>
      </c>
      <c r="F447" s="7" t="s">
        <v>1077</v>
      </c>
      <c r="G447" s="46" t="s">
        <v>1083</v>
      </c>
      <c r="H447" s="101">
        <v>1212</v>
      </c>
      <c r="I447" s="46" t="s">
        <v>1084</v>
      </c>
      <c r="J447" s="6">
        <v>46043</v>
      </c>
      <c r="K447" s="7" t="s">
        <v>364</v>
      </c>
      <c r="L447" s="7" t="s">
        <v>915</v>
      </c>
      <c r="M447" s="46" t="s">
        <v>1166</v>
      </c>
      <c r="N447" s="46" t="s">
        <v>130</v>
      </c>
      <c r="O447" s="46" t="s">
        <v>1129</v>
      </c>
      <c r="P447" s="6">
        <v>44555</v>
      </c>
      <c r="Q447" s="102">
        <v>0</v>
      </c>
      <c r="R447" s="102">
        <v>0</v>
      </c>
      <c r="S447" s="7">
        <v>0</v>
      </c>
    </row>
    <row r="448" s="98" customFormat="1" ht="16.5" hidden="1" spans="1:19">
      <c r="A448" s="46">
        <v>446</v>
      </c>
      <c r="B448" s="46" t="s">
        <v>23</v>
      </c>
      <c r="C448" s="46" t="s">
        <v>29</v>
      </c>
      <c r="D448" s="7" t="s">
        <v>28</v>
      </c>
      <c r="E448" s="7" t="s">
        <v>1125</v>
      </c>
      <c r="F448" s="7" t="s">
        <v>1077</v>
      </c>
      <c r="G448" s="46" t="s">
        <v>1083</v>
      </c>
      <c r="H448" s="101">
        <v>1212</v>
      </c>
      <c r="I448" s="46" t="s">
        <v>1084</v>
      </c>
      <c r="J448" s="6">
        <v>46043</v>
      </c>
      <c r="K448" s="7" t="s">
        <v>380</v>
      </c>
      <c r="L448" s="7" t="s">
        <v>915</v>
      </c>
      <c r="M448" s="46" t="s">
        <v>1167</v>
      </c>
      <c r="N448" s="46" t="s">
        <v>130</v>
      </c>
      <c r="O448" s="46" t="s">
        <v>1149</v>
      </c>
      <c r="P448" s="6">
        <v>43743</v>
      </c>
      <c r="Q448" s="102">
        <v>0</v>
      </c>
      <c r="R448" s="102">
        <v>0</v>
      </c>
      <c r="S448" s="7">
        <v>0</v>
      </c>
    </row>
    <row r="449" s="98" customFormat="1" ht="16.5" hidden="1" spans="1:19">
      <c r="A449" s="46">
        <v>447</v>
      </c>
      <c r="B449" s="46" t="s">
        <v>23</v>
      </c>
      <c r="C449" s="46" t="s">
        <v>26</v>
      </c>
      <c r="D449" s="7" t="s">
        <v>28</v>
      </c>
      <c r="E449" s="7" t="s">
        <v>1125</v>
      </c>
      <c r="F449" s="7" t="s">
        <v>1077</v>
      </c>
      <c r="G449" s="46" t="s">
        <v>1083</v>
      </c>
      <c r="H449" s="101">
        <v>1212</v>
      </c>
      <c r="I449" s="46" t="s">
        <v>1084</v>
      </c>
      <c r="J449" s="6">
        <v>46043</v>
      </c>
      <c r="K449" s="7" t="s">
        <v>617</v>
      </c>
      <c r="L449" s="7" t="s">
        <v>915</v>
      </c>
      <c r="M449" s="46" t="s">
        <v>1168</v>
      </c>
      <c r="N449" s="46" t="s">
        <v>121</v>
      </c>
      <c r="O449" s="46" t="s">
        <v>1127</v>
      </c>
      <c r="P449" s="6">
        <v>44552</v>
      </c>
      <c r="Q449" s="102">
        <v>0</v>
      </c>
      <c r="R449" s="102">
        <v>0</v>
      </c>
      <c r="S449" s="7">
        <v>0</v>
      </c>
    </row>
    <row r="450" s="98" customFormat="1" ht="16.5" hidden="1" spans="1:19">
      <c r="A450" s="46">
        <v>448</v>
      </c>
      <c r="B450" s="46" t="s">
        <v>23</v>
      </c>
      <c r="C450" s="46" t="s">
        <v>26</v>
      </c>
      <c r="D450" s="7" t="s">
        <v>28</v>
      </c>
      <c r="E450" s="7" t="s">
        <v>1125</v>
      </c>
      <c r="F450" s="7" t="s">
        <v>1077</v>
      </c>
      <c r="G450" s="46" t="s">
        <v>1083</v>
      </c>
      <c r="H450" s="101">
        <v>1212</v>
      </c>
      <c r="I450" s="46" t="s">
        <v>1084</v>
      </c>
      <c r="J450" s="6">
        <v>46043</v>
      </c>
      <c r="K450" s="7" t="s">
        <v>385</v>
      </c>
      <c r="L450" s="7" t="s">
        <v>915</v>
      </c>
      <c r="M450" s="46" t="s">
        <v>1169</v>
      </c>
      <c r="N450" s="46" t="s">
        <v>121</v>
      </c>
      <c r="O450" s="46" t="s">
        <v>1149</v>
      </c>
      <c r="P450" s="6">
        <v>43598</v>
      </c>
      <c r="Q450" s="102">
        <v>0</v>
      </c>
      <c r="R450" s="102">
        <v>0</v>
      </c>
      <c r="S450" s="7">
        <v>0</v>
      </c>
    </row>
    <row r="451" s="98" customFormat="1" ht="16.5" hidden="1" spans="1:19">
      <c r="A451" s="46">
        <v>449</v>
      </c>
      <c r="B451" s="46" t="s">
        <v>23</v>
      </c>
      <c r="C451" s="46" t="s">
        <v>38</v>
      </c>
      <c r="D451" s="7" t="s">
        <v>25</v>
      </c>
      <c r="E451" s="7" t="s">
        <v>1170</v>
      </c>
      <c r="F451" s="7" t="s">
        <v>903</v>
      </c>
      <c r="G451" s="46" t="s">
        <v>904</v>
      </c>
      <c r="H451" s="101">
        <v>1212</v>
      </c>
      <c r="I451" s="46" t="s">
        <v>905</v>
      </c>
      <c r="J451" s="6">
        <v>46051</v>
      </c>
      <c r="K451" s="7" t="s">
        <v>1171</v>
      </c>
      <c r="L451" s="7" t="s">
        <v>907</v>
      </c>
      <c r="M451" s="46" t="s">
        <v>1172</v>
      </c>
      <c r="N451" s="46" t="s">
        <v>63</v>
      </c>
      <c r="O451" s="46" t="s">
        <v>1173</v>
      </c>
      <c r="P451" s="6">
        <v>46017</v>
      </c>
      <c r="Q451" s="102">
        <v>0</v>
      </c>
      <c r="R451" s="102">
        <v>0</v>
      </c>
      <c r="S451" s="7">
        <v>0</v>
      </c>
    </row>
    <row r="452" s="98" customFormat="1" ht="16.5" hidden="1" spans="1:19">
      <c r="A452" s="46">
        <v>450</v>
      </c>
      <c r="B452" s="46" t="s">
        <v>23</v>
      </c>
      <c r="C452" s="46" t="s">
        <v>32</v>
      </c>
      <c r="D452" s="7" t="s">
        <v>25</v>
      </c>
      <c r="E452" s="7" t="s">
        <v>1170</v>
      </c>
      <c r="F452" s="7" t="s">
        <v>903</v>
      </c>
      <c r="G452" s="46" t="s">
        <v>904</v>
      </c>
      <c r="H452" s="101">
        <v>1212</v>
      </c>
      <c r="I452" s="46" t="s">
        <v>905</v>
      </c>
      <c r="J452" s="6">
        <v>46051</v>
      </c>
      <c r="K452" s="7" t="s">
        <v>1174</v>
      </c>
      <c r="L452" s="7" t="s">
        <v>915</v>
      </c>
      <c r="M452" s="46" t="s">
        <v>1175</v>
      </c>
      <c r="N452" s="46" t="s">
        <v>105</v>
      </c>
      <c r="O452" s="46" t="s">
        <v>1173</v>
      </c>
      <c r="P452" s="6">
        <v>46039</v>
      </c>
      <c r="Q452" s="102">
        <v>5</v>
      </c>
      <c r="R452" s="102">
        <v>5</v>
      </c>
      <c r="S452" s="7">
        <v>100</v>
      </c>
    </row>
    <row r="453" s="98" customFormat="1" ht="16.5" hidden="1" spans="1:19">
      <c r="A453" s="46">
        <v>451</v>
      </c>
      <c r="B453" s="46" t="s">
        <v>23</v>
      </c>
      <c r="C453" s="46" t="s">
        <v>32</v>
      </c>
      <c r="D453" s="7" t="s">
        <v>25</v>
      </c>
      <c r="E453" s="7" t="s">
        <v>1170</v>
      </c>
      <c r="F453" s="7" t="s">
        <v>903</v>
      </c>
      <c r="G453" s="46" t="s">
        <v>904</v>
      </c>
      <c r="H453" s="101">
        <v>1212</v>
      </c>
      <c r="I453" s="46" t="s">
        <v>905</v>
      </c>
      <c r="J453" s="6">
        <v>46051</v>
      </c>
      <c r="K453" s="7" t="s">
        <v>1176</v>
      </c>
      <c r="L453" s="7" t="s">
        <v>915</v>
      </c>
      <c r="M453" s="46" t="s">
        <v>1177</v>
      </c>
      <c r="N453" s="46" t="s">
        <v>105</v>
      </c>
      <c r="O453" s="46" t="s">
        <v>1173</v>
      </c>
      <c r="P453" s="6">
        <v>46015</v>
      </c>
      <c r="Q453" s="102">
        <v>0</v>
      </c>
      <c r="R453" s="102">
        <v>0</v>
      </c>
      <c r="S453" s="7">
        <v>100</v>
      </c>
    </row>
    <row r="454" s="98" customFormat="1" ht="16.5" hidden="1" spans="1:19">
      <c r="A454" s="46">
        <v>452</v>
      </c>
      <c r="B454" s="46" t="s">
        <v>23</v>
      </c>
      <c r="C454" s="46" t="s">
        <v>37</v>
      </c>
      <c r="D454" s="7" t="s">
        <v>25</v>
      </c>
      <c r="E454" s="7" t="s">
        <v>1170</v>
      </c>
      <c r="F454" s="7" t="s">
        <v>903</v>
      </c>
      <c r="G454" s="46" t="s">
        <v>904</v>
      </c>
      <c r="H454" s="101">
        <v>1212</v>
      </c>
      <c r="I454" s="46" t="s">
        <v>905</v>
      </c>
      <c r="J454" s="6">
        <v>46051</v>
      </c>
      <c r="K454" s="7" t="s">
        <v>1178</v>
      </c>
      <c r="L454" s="7" t="s">
        <v>915</v>
      </c>
      <c r="M454" s="46" t="s">
        <v>1179</v>
      </c>
      <c r="N454" s="46" t="s">
        <v>109</v>
      </c>
      <c r="O454" s="46" t="s">
        <v>1173</v>
      </c>
      <c r="P454" s="6">
        <v>45998</v>
      </c>
      <c r="Q454" s="102">
        <v>5</v>
      </c>
      <c r="R454" s="102">
        <v>5</v>
      </c>
      <c r="S454" s="7">
        <v>80</v>
      </c>
    </row>
    <row r="455" s="98" customFormat="1" ht="16.5" hidden="1" spans="1:19">
      <c r="A455" s="46">
        <v>453</v>
      </c>
      <c r="B455" s="46" t="s">
        <v>23</v>
      </c>
      <c r="C455" s="46" t="s">
        <v>37</v>
      </c>
      <c r="D455" s="7" t="s">
        <v>25</v>
      </c>
      <c r="E455" s="7" t="s">
        <v>1170</v>
      </c>
      <c r="F455" s="7" t="s">
        <v>903</v>
      </c>
      <c r="G455" s="46" t="s">
        <v>904</v>
      </c>
      <c r="H455" s="101">
        <v>1212</v>
      </c>
      <c r="I455" s="46" t="s">
        <v>905</v>
      </c>
      <c r="J455" s="6">
        <v>46051</v>
      </c>
      <c r="K455" s="7" t="s">
        <v>1180</v>
      </c>
      <c r="L455" s="7" t="s">
        <v>915</v>
      </c>
      <c r="M455" s="46" t="s">
        <v>1181</v>
      </c>
      <c r="N455" s="46" t="s">
        <v>109</v>
      </c>
      <c r="O455" s="46" t="s">
        <v>1173</v>
      </c>
      <c r="P455" s="6">
        <v>45983</v>
      </c>
      <c r="Q455" s="102">
        <v>5</v>
      </c>
      <c r="R455" s="102">
        <v>5</v>
      </c>
      <c r="S455" s="7">
        <v>100</v>
      </c>
    </row>
    <row r="456" s="98" customFormat="1" ht="16.5" hidden="1" spans="1:19">
      <c r="A456" s="46">
        <v>454</v>
      </c>
      <c r="B456" s="46" t="s">
        <v>23</v>
      </c>
      <c r="C456" s="46" t="s">
        <v>38</v>
      </c>
      <c r="D456" s="7" t="s">
        <v>25</v>
      </c>
      <c r="E456" s="7" t="s">
        <v>1170</v>
      </c>
      <c r="F456" s="7" t="s">
        <v>903</v>
      </c>
      <c r="G456" s="46" t="s">
        <v>904</v>
      </c>
      <c r="H456" s="101">
        <v>1212</v>
      </c>
      <c r="I456" s="46" t="s">
        <v>905</v>
      </c>
      <c r="J456" s="6">
        <v>46051</v>
      </c>
      <c r="K456" s="7" t="s">
        <v>1182</v>
      </c>
      <c r="L456" s="7" t="s">
        <v>907</v>
      </c>
      <c r="M456" s="46" t="s">
        <v>1183</v>
      </c>
      <c r="N456" s="46" t="s">
        <v>168</v>
      </c>
      <c r="O456" s="46" t="s">
        <v>1173</v>
      </c>
      <c r="P456" s="6">
        <v>46008</v>
      </c>
      <c r="Q456" s="102">
        <v>5</v>
      </c>
      <c r="R456" s="102">
        <v>5</v>
      </c>
      <c r="S456" s="7">
        <v>100</v>
      </c>
    </row>
    <row r="457" s="98" customFormat="1" ht="16.5" hidden="1" spans="1:19">
      <c r="A457" s="46">
        <v>455</v>
      </c>
      <c r="B457" s="46" t="s">
        <v>23</v>
      </c>
      <c r="C457" s="46" t="s">
        <v>38</v>
      </c>
      <c r="D457" s="7" t="s">
        <v>25</v>
      </c>
      <c r="E457" s="7" t="s">
        <v>1170</v>
      </c>
      <c r="F457" s="7" t="s">
        <v>903</v>
      </c>
      <c r="G457" s="46" t="s">
        <v>904</v>
      </c>
      <c r="H457" s="101">
        <v>1212</v>
      </c>
      <c r="I457" s="46" t="s">
        <v>905</v>
      </c>
      <c r="J457" s="6">
        <v>46051</v>
      </c>
      <c r="K457" s="7" t="s">
        <v>1184</v>
      </c>
      <c r="L457" s="7" t="s">
        <v>907</v>
      </c>
      <c r="M457" s="46" t="s">
        <v>1185</v>
      </c>
      <c r="N457" s="46" t="s">
        <v>148</v>
      </c>
      <c r="O457" s="46" t="s">
        <v>1173</v>
      </c>
      <c r="P457" s="6">
        <v>46019</v>
      </c>
      <c r="Q457" s="102">
        <v>0</v>
      </c>
      <c r="R457" s="102">
        <v>0</v>
      </c>
      <c r="S457" s="7">
        <v>0</v>
      </c>
    </row>
    <row r="458" s="98" customFormat="1" ht="16.5" hidden="1" spans="1:19">
      <c r="A458" s="46">
        <v>456</v>
      </c>
      <c r="B458" s="46" t="s">
        <v>23</v>
      </c>
      <c r="C458" s="46" t="s">
        <v>38</v>
      </c>
      <c r="D458" s="7" t="s">
        <v>25</v>
      </c>
      <c r="E458" s="7" t="s">
        <v>1170</v>
      </c>
      <c r="F458" s="7" t="s">
        <v>903</v>
      </c>
      <c r="G458" s="46" t="s">
        <v>904</v>
      </c>
      <c r="H458" s="101">
        <v>1212</v>
      </c>
      <c r="I458" s="46" t="s">
        <v>905</v>
      </c>
      <c r="J458" s="6">
        <v>46051</v>
      </c>
      <c r="K458" s="7" t="s">
        <v>1186</v>
      </c>
      <c r="L458" s="7" t="s">
        <v>915</v>
      </c>
      <c r="M458" s="46" t="s">
        <v>1187</v>
      </c>
      <c r="N458" s="46" t="s">
        <v>220</v>
      </c>
      <c r="O458" s="46" t="s">
        <v>1173</v>
      </c>
      <c r="P458" s="6">
        <v>46008</v>
      </c>
      <c r="Q458" s="102">
        <v>5</v>
      </c>
      <c r="R458" s="102">
        <v>5</v>
      </c>
      <c r="S458" s="7">
        <v>100</v>
      </c>
    </row>
    <row r="459" s="98" customFormat="1" ht="16.5" hidden="1" spans="1:19">
      <c r="A459" s="46">
        <v>457</v>
      </c>
      <c r="B459" s="46" t="s">
        <v>23</v>
      </c>
      <c r="C459" s="46" t="s">
        <v>29</v>
      </c>
      <c r="D459" s="7" t="s">
        <v>25</v>
      </c>
      <c r="E459" s="7" t="s">
        <v>1170</v>
      </c>
      <c r="F459" s="7" t="s">
        <v>903</v>
      </c>
      <c r="G459" s="46" t="s">
        <v>904</v>
      </c>
      <c r="H459" s="101">
        <v>1212</v>
      </c>
      <c r="I459" s="46" t="s">
        <v>905</v>
      </c>
      <c r="J459" s="6">
        <v>46051</v>
      </c>
      <c r="K459" s="7" t="s">
        <v>677</v>
      </c>
      <c r="L459" s="7" t="s">
        <v>915</v>
      </c>
      <c r="M459" s="46" t="s">
        <v>1188</v>
      </c>
      <c r="N459" s="46" t="s">
        <v>130</v>
      </c>
      <c r="O459" s="46" t="s">
        <v>1173</v>
      </c>
      <c r="P459" s="6">
        <v>46002</v>
      </c>
      <c r="Q459" s="102">
        <v>5</v>
      </c>
      <c r="R459" s="102">
        <v>5</v>
      </c>
      <c r="S459" s="7">
        <v>100</v>
      </c>
    </row>
    <row r="460" s="98" customFormat="1" ht="16.5" hidden="1" spans="1:19">
      <c r="A460" s="46">
        <v>458</v>
      </c>
      <c r="B460" s="46" t="s">
        <v>23</v>
      </c>
      <c r="C460" s="46" t="s">
        <v>29</v>
      </c>
      <c r="D460" s="7" t="s">
        <v>25</v>
      </c>
      <c r="E460" s="7" t="s">
        <v>1170</v>
      </c>
      <c r="F460" s="7" t="s">
        <v>903</v>
      </c>
      <c r="G460" s="46" t="s">
        <v>904</v>
      </c>
      <c r="H460" s="101">
        <v>1212</v>
      </c>
      <c r="I460" s="46" t="s">
        <v>905</v>
      </c>
      <c r="J460" s="6">
        <v>46051</v>
      </c>
      <c r="K460" s="7" t="s">
        <v>1189</v>
      </c>
      <c r="L460" s="7" t="s">
        <v>915</v>
      </c>
      <c r="M460" s="46" t="s">
        <v>1190</v>
      </c>
      <c r="N460" s="46" t="s">
        <v>130</v>
      </c>
      <c r="O460" s="46" t="s">
        <v>1173</v>
      </c>
      <c r="P460" s="6">
        <v>45998</v>
      </c>
      <c r="Q460" s="102">
        <v>5</v>
      </c>
      <c r="R460" s="102">
        <v>5</v>
      </c>
      <c r="S460" s="7">
        <v>100</v>
      </c>
    </row>
    <row r="461" s="98" customFormat="1" ht="16.5" hidden="1" spans="1:19">
      <c r="A461" s="46">
        <v>459</v>
      </c>
      <c r="B461" s="46" t="s">
        <v>23</v>
      </c>
      <c r="C461" s="46" t="s">
        <v>38</v>
      </c>
      <c r="D461" s="7" t="s">
        <v>25</v>
      </c>
      <c r="E461" s="7" t="s">
        <v>1170</v>
      </c>
      <c r="F461" s="7" t="s">
        <v>903</v>
      </c>
      <c r="G461" s="46" t="s">
        <v>904</v>
      </c>
      <c r="H461" s="101">
        <v>1212</v>
      </c>
      <c r="I461" s="46" t="s">
        <v>905</v>
      </c>
      <c r="J461" s="6">
        <v>46051</v>
      </c>
      <c r="K461" s="7" t="s">
        <v>1191</v>
      </c>
      <c r="L461" s="7" t="s">
        <v>907</v>
      </c>
      <c r="M461" s="46" t="s">
        <v>1192</v>
      </c>
      <c r="N461" s="46" t="s">
        <v>63</v>
      </c>
      <c r="O461" s="46" t="s">
        <v>1173</v>
      </c>
      <c r="P461" s="6">
        <v>46025</v>
      </c>
      <c r="Q461" s="102">
        <v>0</v>
      </c>
      <c r="R461" s="102">
        <v>0</v>
      </c>
      <c r="S461" s="7">
        <v>0</v>
      </c>
    </row>
    <row r="462" s="98" customFormat="1" ht="16.5" hidden="1" spans="1:19">
      <c r="A462" s="46">
        <v>460</v>
      </c>
      <c r="B462" s="46" t="s">
        <v>23</v>
      </c>
      <c r="C462" s="46" t="s">
        <v>38</v>
      </c>
      <c r="D462" s="7" t="s">
        <v>25</v>
      </c>
      <c r="E462" s="7" t="s">
        <v>1170</v>
      </c>
      <c r="F462" s="7" t="s">
        <v>903</v>
      </c>
      <c r="G462" s="46" t="s">
        <v>904</v>
      </c>
      <c r="H462" s="101">
        <v>1212</v>
      </c>
      <c r="I462" s="46" t="s">
        <v>905</v>
      </c>
      <c r="J462" s="6">
        <v>46051</v>
      </c>
      <c r="K462" s="7" t="s">
        <v>1193</v>
      </c>
      <c r="L462" s="7" t="s">
        <v>907</v>
      </c>
      <c r="M462" s="46" t="s">
        <v>1194</v>
      </c>
      <c r="N462" s="46" t="s">
        <v>63</v>
      </c>
      <c r="O462" s="46" t="s">
        <v>1173</v>
      </c>
      <c r="P462" s="6">
        <v>46022</v>
      </c>
      <c r="Q462" s="102">
        <v>0</v>
      </c>
      <c r="R462" s="102">
        <v>0</v>
      </c>
      <c r="S462" s="7">
        <v>0</v>
      </c>
    </row>
    <row r="463" s="98" customFormat="1" ht="16.5" hidden="1" spans="1:19">
      <c r="A463" s="46">
        <v>461</v>
      </c>
      <c r="B463" s="46" t="s">
        <v>23</v>
      </c>
      <c r="C463" s="46" t="s">
        <v>38</v>
      </c>
      <c r="D463" s="7" t="s">
        <v>25</v>
      </c>
      <c r="E463" s="7" t="s">
        <v>1170</v>
      </c>
      <c r="F463" s="7" t="s">
        <v>903</v>
      </c>
      <c r="G463" s="46" t="s">
        <v>904</v>
      </c>
      <c r="H463" s="101">
        <v>1212</v>
      </c>
      <c r="I463" s="46" t="s">
        <v>905</v>
      </c>
      <c r="J463" s="6">
        <v>46051</v>
      </c>
      <c r="K463" s="7" t="s">
        <v>1195</v>
      </c>
      <c r="L463" s="7" t="s">
        <v>907</v>
      </c>
      <c r="M463" s="46" t="s">
        <v>1196</v>
      </c>
      <c r="N463" s="46" t="s">
        <v>63</v>
      </c>
      <c r="O463" s="46" t="s">
        <v>1173</v>
      </c>
      <c r="P463" s="6">
        <v>45962</v>
      </c>
      <c r="Q463" s="102">
        <v>0</v>
      </c>
      <c r="R463" s="102">
        <v>0</v>
      </c>
      <c r="S463" s="7">
        <v>0</v>
      </c>
    </row>
    <row r="464" s="98" customFormat="1" ht="16.5" hidden="1" spans="1:19">
      <c r="A464" s="46">
        <v>462</v>
      </c>
      <c r="B464" s="46" t="s">
        <v>23</v>
      </c>
      <c r="C464" s="46" t="s">
        <v>38</v>
      </c>
      <c r="D464" s="7" t="s">
        <v>25</v>
      </c>
      <c r="E464" s="7" t="s">
        <v>1170</v>
      </c>
      <c r="F464" s="7" t="s">
        <v>903</v>
      </c>
      <c r="G464" s="46" t="s">
        <v>904</v>
      </c>
      <c r="H464" s="101">
        <v>1212</v>
      </c>
      <c r="I464" s="46" t="s">
        <v>905</v>
      </c>
      <c r="J464" s="6">
        <v>46051</v>
      </c>
      <c r="K464" s="7" t="s">
        <v>1197</v>
      </c>
      <c r="L464" s="7" t="s">
        <v>907</v>
      </c>
      <c r="M464" s="46" t="s">
        <v>1198</v>
      </c>
      <c r="N464" s="46" t="s">
        <v>70</v>
      </c>
      <c r="O464" s="46" t="s">
        <v>1173</v>
      </c>
      <c r="P464" s="6">
        <v>46021</v>
      </c>
      <c r="Q464" s="102">
        <v>0</v>
      </c>
      <c r="R464" s="102">
        <v>0</v>
      </c>
      <c r="S464" s="7">
        <v>0</v>
      </c>
    </row>
    <row r="465" s="98" customFormat="1" ht="16.5" hidden="1" spans="1:19">
      <c r="A465" s="46">
        <v>463</v>
      </c>
      <c r="B465" s="46" t="s">
        <v>23</v>
      </c>
      <c r="C465" s="46" t="s">
        <v>38</v>
      </c>
      <c r="D465" s="7" t="s">
        <v>25</v>
      </c>
      <c r="E465" s="7" t="s">
        <v>1170</v>
      </c>
      <c r="F465" s="7" t="s">
        <v>903</v>
      </c>
      <c r="G465" s="46" t="s">
        <v>904</v>
      </c>
      <c r="H465" s="101">
        <v>1212</v>
      </c>
      <c r="I465" s="46" t="s">
        <v>905</v>
      </c>
      <c r="J465" s="6">
        <v>46051</v>
      </c>
      <c r="K465" s="7" t="s">
        <v>1199</v>
      </c>
      <c r="L465" s="7" t="s">
        <v>907</v>
      </c>
      <c r="M465" s="46" t="s">
        <v>1200</v>
      </c>
      <c r="N465" s="46" t="s">
        <v>70</v>
      </c>
      <c r="O465" s="46" t="s">
        <v>1173</v>
      </c>
      <c r="P465" s="6">
        <v>45978</v>
      </c>
      <c r="Q465" s="102">
        <v>0</v>
      </c>
      <c r="R465" s="102">
        <v>0</v>
      </c>
      <c r="S465" s="7">
        <v>0</v>
      </c>
    </row>
    <row r="466" s="98" customFormat="1" ht="16.5" hidden="1" spans="1:19">
      <c r="A466" s="46">
        <v>464</v>
      </c>
      <c r="B466" s="46" t="s">
        <v>23</v>
      </c>
      <c r="C466" s="46" t="s">
        <v>38</v>
      </c>
      <c r="D466" s="7" t="s">
        <v>25</v>
      </c>
      <c r="E466" s="7" t="s">
        <v>1170</v>
      </c>
      <c r="F466" s="7" t="s">
        <v>903</v>
      </c>
      <c r="G466" s="46" t="s">
        <v>904</v>
      </c>
      <c r="H466" s="101">
        <v>1212</v>
      </c>
      <c r="I466" s="46" t="s">
        <v>905</v>
      </c>
      <c r="J466" s="6">
        <v>46051</v>
      </c>
      <c r="K466" s="7" t="s">
        <v>1201</v>
      </c>
      <c r="L466" s="7" t="s">
        <v>907</v>
      </c>
      <c r="M466" s="46" t="s">
        <v>1202</v>
      </c>
      <c r="N466" s="46" t="s">
        <v>75</v>
      </c>
      <c r="O466" s="46" t="s">
        <v>1173</v>
      </c>
      <c r="P466" s="6">
        <v>46027</v>
      </c>
      <c r="Q466" s="102">
        <v>0</v>
      </c>
      <c r="R466" s="102">
        <v>0</v>
      </c>
      <c r="S466" s="7">
        <v>0</v>
      </c>
    </row>
    <row r="467" s="98" customFormat="1" ht="16.5" hidden="1" spans="1:19">
      <c r="A467" s="46">
        <v>465</v>
      </c>
      <c r="B467" s="46" t="s">
        <v>23</v>
      </c>
      <c r="C467" s="46" t="s">
        <v>38</v>
      </c>
      <c r="D467" s="7" t="s">
        <v>25</v>
      </c>
      <c r="E467" s="7" t="s">
        <v>1170</v>
      </c>
      <c r="F467" s="7" t="s">
        <v>903</v>
      </c>
      <c r="G467" s="46" t="s">
        <v>904</v>
      </c>
      <c r="H467" s="101">
        <v>1212</v>
      </c>
      <c r="I467" s="46" t="s">
        <v>905</v>
      </c>
      <c r="J467" s="6">
        <v>46051</v>
      </c>
      <c r="K467" s="7" t="s">
        <v>1203</v>
      </c>
      <c r="L467" s="7" t="s">
        <v>907</v>
      </c>
      <c r="M467" s="46" t="s">
        <v>1204</v>
      </c>
      <c r="N467" s="46" t="s">
        <v>168</v>
      </c>
      <c r="O467" s="46" t="s">
        <v>1173</v>
      </c>
      <c r="P467" s="6">
        <v>45994</v>
      </c>
      <c r="Q467" s="102">
        <v>0</v>
      </c>
      <c r="R467" s="102">
        <v>0</v>
      </c>
      <c r="S467" s="7">
        <v>0</v>
      </c>
    </row>
    <row r="468" s="98" customFormat="1" ht="16.5" hidden="1" spans="1:19">
      <c r="A468" s="46">
        <v>466</v>
      </c>
      <c r="B468" s="46" t="s">
        <v>23</v>
      </c>
      <c r="C468" s="46" t="s">
        <v>29</v>
      </c>
      <c r="D468" s="7" t="s">
        <v>25</v>
      </c>
      <c r="E468" s="7" t="s">
        <v>1170</v>
      </c>
      <c r="F468" s="7" t="s">
        <v>903</v>
      </c>
      <c r="G468" s="46" t="s">
        <v>904</v>
      </c>
      <c r="H468" s="101">
        <v>1212</v>
      </c>
      <c r="I468" s="46" t="s">
        <v>905</v>
      </c>
      <c r="J468" s="6">
        <v>46051</v>
      </c>
      <c r="K468" s="7" t="s">
        <v>1205</v>
      </c>
      <c r="L468" s="7" t="s">
        <v>907</v>
      </c>
      <c r="M468" s="46" t="s">
        <v>1206</v>
      </c>
      <c r="N468" s="46" t="s">
        <v>130</v>
      </c>
      <c r="O468" s="46" t="s">
        <v>1173</v>
      </c>
      <c r="P468" s="6">
        <v>46011</v>
      </c>
      <c r="Q468" s="102">
        <v>0</v>
      </c>
      <c r="R468" s="102">
        <v>0</v>
      </c>
      <c r="S468" s="7">
        <v>0</v>
      </c>
    </row>
    <row r="469" s="98" customFormat="1" ht="16.5" hidden="1" spans="1:19">
      <c r="A469" s="46">
        <v>467</v>
      </c>
      <c r="B469" s="46" t="s">
        <v>23</v>
      </c>
      <c r="C469" s="46" t="s">
        <v>38</v>
      </c>
      <c r="D469" s="7" t="s">
        <v>25</v>
      </c>
      <c r="E469" s="7" t="s">
        <v>1170</v>
      </c>
      <c r="F469" s="7" t="s">
        <v>903</v>
      </c>
      <c r="G469" s="46" t="s">
        <v>904</v>
      </c>
      <c r="H469" s="101">
        <v>1212</v>
      </c>
      <c r="I469" s="46" t="s">
        <v>905</v>
      </c>
      <c r="J469" s="6">
        <v>46051</v>
      </c>
      <c r="K469" s="7" t="s">
        <v>1207</v>
      </c>
      <c r="L469" s="7" t="s">
        <v>907</v>
      </c>
      <c r="M469" s="46" t="s">
        <v>1208</v>
      </c>
      <c r="N469" s="46" t="s">
        <v>63</v>
      </c>
      <c r="O469" s="46" t="s">
        <v>1173</v>
      </c>
      <c r="P469" s="6">
        <v>46022</v>
      </c>
      <c r="Q469" s="102">
        <v>0</v>
      </c>
      <c r="R469" s="102">
        <v>0</v>
      </c>
      <c r="S469" s="7">
        <v>0</v>
      </c>
    </row>
    <row r="470" s="98" customFormat="1" ht="16.5" hidden="1" spans="1:19">
      <c r="A470" s="46">
        <v>468</v>
      </c>
      <c r="B470" s="46" t="s">
        <v>23</v>
      </c>
      <c r="C470" s="46" t="s">
        <v>38</v>
      </c>
      <c r="D470" s="7" t="s">
        <v>25</v>
      </c>
      <c r="E470" s="7" t="s">
        <v>1170</v>
      </c>
      <c r="F470" s="7" t="s">
        <v>903</v>
      </c>
      <c r="G470" s="46" t="s">
        <v>904</v>
      </c>
      <c r="H470" s="101">
        <v>1212</v>
      </c>
      <c r="I470" s="46" t="s">
        <v>905</v>
      </c>
      <c r="J470" s="6">
        <v>46051</v>
      </c>
      <c r="K470" s="7" t="s">
        <v>1209</v>
      </c>
      <c r="L470" s="7" t="s">
        <v>907</v>
      </c>
      <c r="M470" s="46" t="s">
        <v>1210</v>
      </c>
      <c r="N470" s="46" t="s">
        <v>63</v>
      </c>
      <c r="O470" s="46" t="s">
        <v>1173</v>
      </c>
      <c r="P470" s="6">
        <v>46022</v>
      </c>
      <c r="Q470" s="102">
        <v>0</v>
      </c>
      <c r="R470" s="102">
        <v>0</v>
      </c>
      <c r="S470" s="7">
        <v>0</v>
      </c>
    </row>
    <row r="471" s="98" customFormat="1" ht="16.5" hidden="1" spans="1:19">
      <c r="A471" s="46">
        <v>469</v>
      </c>
      <c r="B471" s="46" t="s">
        <v>23</v>
      </c>
      <c r="C471" s="46" t="s">
        <v>38</v>
      </c>
      <c r="D471" s="7" t="s">
        <v>25</v>
      </c>
      <c r="E471" s="7" t="s">
        <v>1170</v>
      </c>
      <c r="F471" s="7" t="s">
        <v>903</v>
      </c>
      <c r="G471" s="46" t="s">
        <v>904</v>
      </c>
      <c r="H471" s="101">
        <v>1212</v>
      </c>
      <c r="I471" s="46" t="s">
        <v>905</v>
      </c>
      <c r="J471" s="6">
        <v>46051</v>
      </c>
      <c r="K471" s="7" t="s">
        <v>1211</v>
      </c>
      <c r="L471" s="7" t="s">
        <v>907</v>
      </c>
      <c r="M471" s="46" t="s">
        <v>1212</v>
      </c>
      <c r="N471" s="46" t="s">
        <v>63</v>
      </c>
      <c r="O471" s="46" t="s">
        <v>1173</v>
      </c>
      <c r="P471" s="6">
        <v>46010</v>
      </c>
      <c r="Q471" s="102">
        <v>0</v>
      </c>
      <c r="R471" s="102">
        <v>0</v>
      </c>
      <c r="S471" s="7">
        <v>0</v>
      </c>
    </row>
    <row r="472" s="98" customFormat="1" ht="16.5" hidden="1" spans="1:19">
      <c r="A472" s="46">
        <v>470</v>
      </c>
      <c r="B472" s="46" t="s">
        <v>23</v>
      </c>
      <c r="C472" s="46" t="s">
        <v>38</v>
      </c>
      <c r="D472" s="7" t="s">
        <v>25</v>
      </c>
      <c r="E472" s="7" t="s">
        <v>1170</v>
      </c>
      <c r="F472" s="7" t="s">
        <v>903</v>
      </c>
      <c r="G472" s="46" t="s">
        <v>904</v>
      </c>
      <c r="H472" s="101">
        <v>1212</v>
      </c>
      <c r="I472" s="46" t="s">
        <v>905</v>
      </c>
      <c r="J472" s="6">
        <v>46051</v>
      </c>
      <c r="K472" s="7" t="s">
        <v>1213</v>
      </c>
      <c r="L472" s="7" t="s">
        <v>907</v>
      </c>
      <c r="M472" s="46" t="s">
        <v>1214</v>
      </c>
      <c r="N472" s="46" t="s">
        <v>63</v>
      </c>
      <c r="O472" s="46" t="s">
        <v>1173</v>
      </c>
      <c r="P472" s="6">
        <v>45896</v>
      </c>
      <c r="Q472" s="102">
        <v>0</v>
      </c>
      <c r="R472" s="102">
        <v>0</v>
      </c>
      <c r="S472" s="7">
        <v>0</v>
      </c>
    </row>
    <row r="473" s="98" customFormat="1" ht="16.5" hidden="1" spans="1:19">
      <c r="A473" s="46">
        <v>471</v>
      </c>
      <c r="B473" s="46" t="s">
        <v>23</v>
      </c>
      <c r="C473" s="46" t="s">
        <v>38</v>
      </c>
      <c r="D473" s="7" t="s">
        <v>25</v>
      </c>
      <c r="E473" s="7" t="s">
        <v>1170</v>
      </c>
      <c r="F473" s="7" t="s">
        <v>903</v>
      </c>
      <c r="G473" s="46" t="s">
        <v>904</v>
      </c>
      <c r="H473" s="101">
        <v>1212</v>
      </c>
      <c r="I473" s="46" t="s">
        <v>905</v>
      </c>
      <c r="J473" s="6">
        <v>46051</v>
      </c>
      <c r="K473" s="7" t="s">
        <v>1215</v>
      </c>
      <c r="L473" s="7" t="s">
        <v>907</v>
      </c>
      <c r="M473" s="46" t="s">
        <v>1216</v>
      </c>
      <c r="N473" s="46" t="s">
        <v>168</v>
      </c>
      <c r="O473" s="46" t="s">
        <v>1173</v>
      </c>
      <c r="P473" s="6">
        <v>46005</v>
      </c>
      <c r="Q473" s="102">
        <v>0</v>
      </c>
      <c r="R473" s="102">
        <v>0</v>
      </c>
      <c r="S473" s="7">
        <v>0</v>
      </c>
    </row>
    <row r="474" s="98" customFormat="1" ht="16.5" hidden="1" spans="1:19">
      <c r="A474" s="46">
        <v>472</v>
      </c>
      <c r="B474" s="46" t="s">
        <v>23</v>
      </c>
      <c r="C474" s="46" t="s">
        <v>38</v>
      </c>
      <c r="D474" s="7" t="s">
        <v>25</v>
      </c>
      <c r="E474" s="7" t="s">
        <v>1170</v>
      </c>
      <c r="F474" s="7" t="s">
        <v>903</v>
      </c>
      <c r="G474" s="46" t="s">
        <v>904</v>
      </c>
      <c r="H474" s="101">
        <v>1212</v>
      </c>
      <c r="I474" s="46" t="s">
        <v>905</v>
      </c>
      <c r="J474" s="6">
        <v>46051</v>
      </c>
      <c r="K474" s="7" t="s">
        <v>1217</v>
      </c>
      <c r="L474" s="7" t="s">
        <v>907</v>
      </c>
      <c r="M474" s="46" t="s">
        <v>1218</v>
      </c>
      <c r="N474" s="46" t="s">
        <v>168</v>
      </c>
      <c r="O474" s="46" t="s">
        <v>1173</v>
      </c>
      <c r="P474" s="6">
        <v>45999</v>
      </c>
      <c r="Q474" s="102">
        <v>0</v>
      </c>
      <c r="R474" s="102">
        <v>0</v>
      </c>
      <c r="S474" s="7">
        <v>0</v>
      </c>
    </row>
    <row r="475" s="98" customFormat="1" ht="16.5" hidden="1" spans="1:19">
      <c r="A475" s="46">
        <v>473</v>
      </c>
      <c r="B475" s="46" t="s">
        <v>23</v>
      </c>
      <c r="C475" s="46" t="s">
        <v>38</v>
      </c>
      <c r="D475" s="7" t="s">
        <v>25</v>
      </c>
      <c r="E475" s="7" t="s">
        <v>1170</v>
      </c>
      <c r="F475" s="7" t="s">
        <v>903</v>
      </c>
      <c r="G475" s="46" t="s">
        <v>904</v>
      </c>
      <c r="H475" s="101">
        <v>1212</v>
      </c>
      <c r="I475" s="46" t="s">
        <v>905</v>
      </c>
      <c r="J475" s="6">
        <v>46051</v>
      </c>
      <c r="K475" s="7" t="s">
        <v>1219</v>
      </c>
      <c r="L475" s="7" t="s">
        <v>915</v>
      </c>
      <c r="M475" s="46" t="s">
        <v>1220</v>
      </c>
      <c r="N475" s="46" t="s">
        <v>75</v>
      </c>
      <c r="O475" s="46" t="s">
        <v>1173</v>
      </c>
      <c r="P475" s="6">
        <v>46020</v>
      </c>
      <c r="Q475" s="102">
        <v>5</v>
      </c>
      <c r="R475" s="102">
        <v>5</v>
      </c>
      <c r="S475" s="7">
        <v>100</v>
      </c>
    </row>
    <row r="476" s="98" customFormat="1" ht="16.5" hidden="1" spans="1:19">
      <c r="A476" s="46">
        <v>474</v>
      </c>
      <c r="B476" s="46" t="s">
        <v>23</v>
      </c>
      <c r="C476" s="46" t="s">
        <v>38</v>
      </c>
      <c r="D476" s="7" t="s">
        <v>25</v>
      </c>
      <c r="E476" s="7" t="s">
        <v>1170</v>
      </c>
      <c r="F476" s="7" t="s">
        <v>903</v>
      </c>
      <c r="G476" s="46" t="s">
        <v>904</v>
      </c>
      <c r="H476" s="101">
        <v>1212</v>
      </c>
      <c r="I476" s="46" t="s">
        <v>905</v>
      </c>
      <c r="J476" s="6">
        <v>46051</v>
      </c>
      <c r="K476" s="7" t="s">
        <v>1221</v>
      </c>
      <c r="L476" s="7" t="s">
        <v>907</v>
      </c>
      <c r="M476" s="46" t="s">
        <v>1222</v>
      </c>
      <c r="N476" s="46" t="s">
        <v>75</v>
      </c>
      <c r="O476" s="46" t="s">
        <v>1173</v>
      </c>
      <c r="P476" s="6">
        <v>46017</v>
      </c>
      <c r="Q476" s="102">
        <v>0</v>
      </c>
      <c r="R476" s="102">
        <v>0</v>
      </c>
      <c r="S476" s="7">
        <v>0</v>
      </c>
    </row>
    <row r="477" s="98" customFormat="1" ht="16.5" hidden="1" spans="1:19">
      <c r="A477" s="46">
        <v>475</v>
      </c>
      <c r="B477" s="46" t="s">
        <v>23</v>
      </c>
      <c r="C477" s="46" t="s">
        <v>32</v>
      </c>
      <c r="D477" s="7" t="s">
        <v>25</v>
      </c>
      <c r="E477" s="7" t="s">
        <v>1170</v>
      </c>
      <c r="F477" s="7" t="s">
        <v>903</v>
      </c>
      <c r="G477" s="46" t="s">
        <v>904</v>
      </c>
      <c r="H477" s="101">
        <v>1212</v>
      </c>
      <c r="I477" s="46" t="s">
        <v>905</v>
      </c>
      <c r="J477" s="6">
        <v>46051</v>
      </c>
      <c r="K477" s="7" t="s">
        <v>1223</v>
      </c>
      <c r="L477" s="7" t="s">
        <v>907</v>
      </c>
      <c r="M477" s="46" t="s">
        <v>1224</v>
      </c>
      <c r="N477" s="46" t="s">
        <v>105</v>
      </c>
      <c r="O477" s="46" t="s">
        <v>1173</v>
      </c>
      <c r="P477" s="6">
        <v>46017</v>
      </c>
      <c r="Q477" s="102">
        <v>0</v>
      </c>
      <c r="R477" s="102">
        <v>0</v>
      </c>
      <c r="S477" s="7">
        <v>0</v>
      </c>
    </row>
    <row r="478" s="98" customFormat="1" ht="16.5" hidden="1" spans="1:19">
      <c r="A478" s="46">
        <v>476</v>
      </c>
      <c r="B478" s="46" t="s">
        <v>23</v>
      </c>
      <c r="C478" s="46" t="s">
        <v>31</v>
      </c>
      <c r="D478" s="7" t="s">
        <v>25</v>
      </c>
      <c r="E478" s="7" t="s">
        <v>1170</v>
      </c>
      <c r="F478" s="7" t="s">
        <v>903</v>
      </c>
      <c r="G478" s="46" t="s">
        <v>904</v>
      </c>
      <c r="H478" s="101">
        <v>1212</v>
      </c>
      <c r="I478" s="46" t="s">
        <v>905</v>
      </c>
      <c r="J478" s="6">
        <v>46051</v>
      </c>
      <c r="K478" s="7" t="s">
        <v>1225</v>
      </c>
      <c r="L478" s="7" t="s">
        <v>915</v>
      </c>
      <c r="M478" s="46" t="s">
        <v>1226</v>
      </c>
      <c r="N478" s="46" t="s">
        <v>90</v>
      </c>
      <c r="O478" s="46" t="s">
        <v>1173</v>
      </c>
      <c r="P478" s="6">
        <v>45946</v>
      </c>
      <c r="Q478" s="102">
        <v>5</v>
      </c>
      <c r="R478" s="102">
        <v>5</v>
      </c>
      <c r="S478" s="7">
        <v>100</v>
      </c>
    </row>
    <row r="479" s="98" customFormat="1" ht="16.5" hidden="1" spans="1:19">
      <c r="A479" s="46">
        <v>477</v>
      </c>
      <c r="B479" s="46" t="s">
        <v>23</v>
      </c>
      <c r="C479" s="46" t="s">
        <v>38</v>
      </c>
      <c r="D479" s="7" t="s">
        <v>25</v>
      </c>
      <c r="E479" s="7" t="s">
        <v>1170</v>
      </c>
      <c r="F479" s="7" t="s">
        <v>903</v>
      </c>
      <c r="G479" s="46" t="s">
        <v>904</v>
      </c>
      <c r="H479" s="101">
        <v>1212</v>
      </c>
      <c r="I479" s="46" t="s">
        <v>905</v>
      </c>
      <c r="J479" s="6">
        <v>46051</v>
      </c>
      <c r="K479" s="7" t="s">
        <v>1227</v>
      </c>
      <c r="L479" s="7" t="s">
        <v>907</v>
      </c>
      <c r="M479" s="46" t="s">
        <v>1228</v>
      </c>
      <c r="N479" s="46" t="s">
        <v>70</v>
      </c>
      <c r="O479" s="46" t="s">
        <v>1173</v>
      </c>
      <c r="P479" s="6">
        <v>45962</v>
      </c>
      <c r="Q479" s="102">
        <v>0</v>
      </c>
      <c r="R479" s="102">
        <v>0</v>
      </c>
      <c r="S479" s="7">
        <v>0</v>
      </c>
    </row>
    <row r="480" s="98" customFormat="1" ht="16.5" hidden="1" spans="1:19">
      <c r="A480" s="46">
        <v>478</v>
      </c>
      <c r="B480" s="46" t="s">
        <v>23</v>
      </c>
      <c r="C480" s="46" t="s">
        <v>38</v>
      </c>
      <c r="D480" s="7" t="s">
        <v>25</v>
      </c>
      <c r="E480" s="7" t="s">
        <v>1170</v>
      </c>
      <c r="F480" s="7" t="s">
        <v>903</v>
      </c>
      <c r="G480" s="46" t="s">
        <v>904</v>
      </c>
      <c r="H480" s="101">
        <v>1212</v>
      </c>
      <c r="I480" s="46" t="s">
        <v>905</v>
      </c>
      <c r="J480" s="6">
        <v>46051</v>
      </c>
      <c r="K480" s="7" t="s">
        <v>1229</v>
      </c>
      <c r="L480" s="7" t="s">
        <v>915</v>
      </c>
      <c r="M480" s="46" t="s">
        <v>1230</v>
      </c>
      <c r="N480" s="46" t="s">
        <v>70</v>
      </c>
      <c r="O480" s="46" t="s">
        <v>1173</v>
      </c>
      <c r="P480" s="6">
        <v>46022</v>
      </c>
      <c r="Q480" s="102">
        <v>5</v>
      </c>
      <c r="R480" s="102">
        <v>5</v>
      </c>
      <c r="S480" s="7">
        <v>100</v>
      </c>
    </row>
    <row r="481" s="98" customFormat="1" ht="16.5" hidden="1" spans="1:19">
      <c r="A481" s="46">
        <v>479</v>
      </c>
      <c r="B481" s="46" t="s">
        <v>23</v>
      </c>
      <c r="C481" s="46" t="s">
        <v>37</v>
      </c>
      <c r="D481" s="7" t="s">
        <v>25</v>
      </c>
      <c r="E481" s="7" t="s">
        <v>1170</v>
      </c>
      <c r="F481" s="7" t="s">
        <v>903</v>
      </c>
      <c r="G481" s="46" t="s">
        <v>904</v>
      </c>
      <c r="H481" s="101">
        <v>1212</v>
      </c>
      <c r="I481" s="46" t="s">
        <v>905</v>
      </c>
      <c r="J481" s="6">
        <v>46051</v>
      </c>
      <c r="K481" s="7" t="s">
        <v>1231</v>
      </c>
      <c r="L481" s="7" t="s">
        <v>915</v>
      </c>
      <c r="M481" s="46" t="s">
        <v>1232</v>
      </c>
      <c r="N481" s="46" t="s">
        <v>109</v>
      </c>
      <c r="O481" s="46" t="s">
        <v>1173</v>
      </c>
      <c r="P481" s="6">
        <v>46031</v>
      </c>
      <c r="Q481" s="102">
        <v>5</v>
      </c>
      <c r="R481" s="102">
        <v>5</v>
      </c>
      <c r="S481" s="7">
        <v>100</v>
      </c>
    </row>
    <row r="482" s="98" customFormat="1" ht="16.5" hidden="1" spans="1:19">
      <c r="A482" s="46">
        <v>480</v>
      </c>
      <c r="B482" s="46" t="s">
        <v>23</v>
      </c>
      <c r="C482" s="46" t="s">
        <v>32</v>
      </c>
      <c r="D482" s="7" t="s">
        <v>25</v>
      </c>
      <c r="E482" s="7" t="s">
        <v>1170</v>
      </c>
      <c r="F482" s="7" t="s">
        <v>903</v>
      </c>
      <c r="G482" s="46" t="s">
        <v>904</v>
      </c>
      <c r="H482" s="101">
        <v>1212</v>
      </c>
      <c r="I482" s="46" t="s">
        <v>905</v>
      </c>
      <c r="J482" s="6">
        <v>46051</v>
      </c>
      <c r="K482" s="7" t="s">
        <v>1233</v>
      </c>
      <c r="L482" s="7" t="s">
        <v>915</v>
      </c>
      <c r="M482" s="46" t="s">
        <v>1234</v>
      </c>
      <c r="N482" s="46" t="s">
        <v>105</v>
      </c>
      <c r="O482" s="46" t="s">
        <v>1173</v>
      </c>
      <c r="P482" s="6">
        <v>46014</v>
      </c>
      <c r="Q482" s="102">
        <v>5</v>
      </c>
      <c r="R482" s="102">
        <v>5</v>
      </c>
      <c r="S482" s="7">
        <v>100</v>
      </c>
    </row>
    <row r="483" s="98" customFormat="1" ht="16.5" hidden="1" spans="1:19">
      <c r="A483" s="46">
        <v>481</v>
      </c>
      <c r="B483" s="46" t="s">
        <v>23</v>
      </c>
      <c r="C483" s="46" t="s">
        <v>24</v>
      </c>
      <c r="D483" s="7" t="s">
        <v>25</v>
      </c>
      <c r="E483" s="7" t="s">
        <v>1170</v>
      </c>
      <c r="F483" s="7" t="s">
        <v>903</v>
      </c>
      <c r="G483" s="46" t="s">
        <v>904</v>
      </c>
      <c r="H483" s="101">
        <v>1212</v>
      </c>
      <c r="I483" s="46" t="s">
        <v>905</v>
      </c>
      <c r="J483" s="6">
        <v>46051</v>
      </c>
      <c r="K483" s="7" t="s">
        <v>1235</v>
      </c>
      <c r="L483" s="7" t="s">
        <v>915</v>
      </c>
      <c r="M483" s="46" t="s">
        <v>1236</v>
      </c>
      <c r="N483" s="46" t="s">
        <v>101</v>
      </c>
      <c r="O483" s="46" t="s">
        <v>1173</v>
      </c>
      <c r="P483" s="6">
        <v>45969</v>
      </c>
      <c r="Q483" s="102">
        <v>5</v>
      </c>
      <c r="R483" s="102">
        <v>5</v>
      </c>
      <c r="S483" s="7">
        <v>100</v>
      </c>
    </row>
    <row r="484" s="98" customFormat="1" ht="16.5" hidden="1" spans="1:19">
      <c r="A484" s="46">
        <v>482</v>
      </c>
      <c r="B484" s="46" t="s">
        <v>23</v>
      </c>
      <c r="C484" s="46" t="s">
        <v>38</v>
      </c>
      <c r="D484" s="7" t="s">
        <v>25</v>
      </c>
      <c r="E484" s="7" t="s">
        <v>1170</v>
      </c>
      <c r="F484" s="7" t="s">
        <v>903</v>
      </c>
      <c r="G484" s="46" t="s">
        <v>904</v>
      </c>
      <c r="H484" s="101">
        <v>1212</v>
      </c>
      <c r="I484" s="46" t="s">
        <v>905</v>
      </c>
      <c r="J484" s="6">
        <v>46051</v>
      </c>
      <c r="K484" s="7" t="s">
        <v>1237</v>
      </c>
      <c r="L484" s="7" t="s">
        <v>915</v>
      </c>
      <c r="M484" s="46" t="s">
        <v>1238</v>
      </c>
      <c r="N484" s="46" t="s">
        <v>70</v>
      </c>
      <c r="O484" s="46" t="s">
        <v>1173</v>
      </c>
      <c r="P484" s="6">
        <v>45998</v>
      </c>
      <c r="Q484" s="102">
        <v>5</v>
      </c>
      <c r="R484" s="102">
        <v>5</v>
      </c>
      <c r="S484" s="7">
        <v>100</v>
      </c>
    </row>
    <row r="485" s="98" customFormat="1" ht="16.5" hidden="1" spans="1:19">
      <c r="A485" s="46">
        <v>483</v>
      </c>
      <c r="B485" s="46" t="s">
        <v>23</v>
      </c>
      <c r="C485" s="46" t="s">
        <v>38</v>
      </c>
      <c r="D485" s="7" t="s">
        <v>25</v>
      </c>
      <c r="E485" s="7" t="s">
        <v>1170</v>
      </c>
      <c r="F485" s="7" t="s">
        <v>903</v>
      </c>
      <c r="G485" s="46" t="s">
        <v>904</v>
      </c>
      <c r="H485" s="101">
        <v>1212</v>
      </c>
      <c r="I485" s="46" t="s">
        <v>905</v>
      </c>
      <c r="J485" s="6">
        <v>46051</v>
      </c>
      <c r="K485" s="7" t="s">
        <v>1239</v>
      </c>
      <c r="L485" s="7" t="s">
        <v>915</v>
      </c>
      <c r="M485" s="46" t="s">
        <v>1240</v>
      </c>
      <c r="N485" s="46" t="s">
        <v>148</v>
      </c>
      <c r="O485" s="46" t="s">
        <v>1173</v>
      </c>
      <c r="P485" s="6">
        <v>45998</v>
      </c>
      <c r="Q485" s="102">
        <v>5</v>
      </c>
      <c r="R485" s="102">
        <v>5</v>
      </c>
      <c r="S485" s="7">
        <v>100</v>
      </c>
    </row>
    <row r="486" s="98" customFormat="1" ht="16.5" hidden="1" spans="1:19">
      <c r="A486" s="46">
        <v>484</v>
      </c>
      <c r="B486" s="46" t="s">
        <v>23</v>
      </c>
      <c r="C486" s="46" t="s">
        <v>38</v>
      </c>
      <c r="D486" s="7" t="s">
        <v>25</v>
      </c>
      <c r="E486" s="7" t="s">
        <v>1170</v>
      </c>
      <c r="F486" s="7" t="s">
        <v>903</v>
      </c>
      <c r="G486" s="46" t="s">
        <v>904</v>
      </c>
      <c r="H486" s="101">
        <v>1212</v>
      </c>
      <c r="I486" s="46" t="s">
        <v>905</v>
      </c>
      <c r="J486" s="6">
        <v>46051</v>
      </c>
      <c r="K486" s="7" t="s">
        <v>1241</v>
      </c>
      <c r="L486" s="7" t="s">
        <v>915</v>
      </c>
      <c r="M486" s="46" t="s">
        <v>1242</v>
      </c>
      <c r="N486" s="46" t="s">
        <v>148</v>
      </c>
      <c r="O486" s="46" t="s">
        <v>1173</v>
      </c>
      <c r="P486" s="6">
        <v>45990</v>
      </c>
      <c r="Q486" s="102">
        <v>5</v>
      </c>
      <c r="R486" s="102">
        <v>5</v>
      </c>
      <c r="S486" s="7">
        <v>100</v>
      </c>
    </row>
    <row r="487" s="98" customFormat="1" ht="16.5" hidden="1" spans="1:19">
      <c r="A487" s="46">
        <v>485</v>
      </c>
      <c r="B487" s="46" t="s">
        <v>23</v>
      </c>
      <c r="C487" s="46" t="s">
        <v>38</v>
      </c>
      <c r="D487" s="7" t="s">
        <v>25</v>
      </c>
      <c r="E487" s="7" t="s">
        <v>1170</v>
      </c>
      <c r="F487" s="7" t="s">
        <v>903</v>
      </c>
      <c r="G487" s="46" t="s">
        <v>904</v>
      </c>
      <c r="H487" s="101">
        <v>1212</v>
      </c>
      <c r="I487" s="46" t="s">
        <v>905</v>
      </c>
      <c r="J487" s="6">
        <v>46051</v>
      </c>
      <c r="K487" s="7" t="s">
        <v>1243</v>
      </c>
      <c r="L487" s="7" t="s">
        <v>907</v>
      </c>
      <c r="M487" s="46" t="s">
        <v>1244</v>
      </c>
      <c r="N487" s="46" t="s">
        <v>220</v>
      </c>
      <c r="O487" s="46" t="s">
        <v>1173</v>
      </c>
      <c r="P487" s="6">
        <v>46031</v>
      </c>
      <c r="Q487" s="102">
        <v>0</v>
      </c>
      <c r="R487" s="102">
        <v>0</v>
      </c>
      <c r="S487" s="7">
        <v>0</v>
      </c>
    </row>
    <row r="488" s="98" customFormat="1" ht="16.5" hidden="1" spans="1:19">
      <c r="A488" s="46">
        <v>486</v>
      </c>
      <c r="B488" s="46" t="s">
        <v>23</v>
      </c>
      <c r="C488" s="46" t="s">
        <v>38</v>
      </c>
      <c r="D488" s="7" t="s">
        <v>25</v>
      </c>
      <c r="E488" s="7" t="s">
        <v>1170</v>
      </c>
      <c r="F488" s="7" t="s">
        <v>903</v>
      </c>
      <c r="G488" s="46" t="s">
        <v>904</v>
      </c>
      <c r="H488" s="101">
        <v>1212</v>
      </c>
      <c r="I488" s="46" t="s">
        <v>905</v>
      </c>
      <c r="J488" s="6">
        <v>46051</v>
      </c>
      <c r="K488" s="7" t="s">
        <v>1245</v>
      </c>
      <c r="L488" s="7" t="s">
        <v>915</v>
      </c>
      <c r="M488" s="46" t="s">
        <v>1246</v>
      </c>
      <c r="N488" s="46" t="s">
        <v>75</v>
      </c>
      <c r="O488" s="46" t="s">
        <v>1173</v>
      </c>
      <c r="P488" s="6">
        <v>46022</v>
      </c>
      <c r="Q488" s="102">
        <v>5</v>
      </c>
      <c r="R488" s="102">
        <v>5</v>
      </c>
      <c r="S488" s="7">
        <v>100</v>
      </c>
    </row>
    <row r="489" s="98" customFormat="1" ht="16.5" hidden="1" spans="1:19">
      <c r="A489" s="46">
        <v>487</v>
      </c>
      <c r="B489" s="46" t="s">
        <v>23</v>
      </c>
      <c r="C489" s="46" t="s">
        <v>29</v>
      </c>
      <c r="D489" s="7" t="s">
        <v>25</v>
      </c>
      <c r="E489" s="7" t="s">
        <v>1170</v>
      </c>
      <c r="F489" s="7" t="s">
        <v>903</v>
      </c>
      <c r="G489" s="46" t="s">
        <v>904</v>
      </c>
      <c r="H489" s="101">
        <v>1212</v>
      </c>
      <c r="I489" s="46" t="s">
        <v>905</v>
      </c>
      <c r="J489" s="6">
        <v>46051</v>
      </c>
      <c r="K489" s="7" t="s">
        <v>1247</v>
      </c>
      <c r="L489" s="7" t="s">
        <v>915</v>
      </c>
      <c r="M489" s="46" t="s">
        <v>1248</v>
      </c>
      <c r="N489" s="46" t="s">
        <v>130</v>
      </c>
      <c r="O489" s="46" t="s">
        <v>1173</v>
      </c>
      <c r="P489" s="6">
        <v>46024</v>
      </c>
      <c r="Q489" s="102">
        <v>5</v>
      </c>
      <c r="R489" s="102">
        <v>5</v>
      </c>
      <c r="S489" s="7">
        <v>100</v>
      </c>
    </row>
    <row r="490" s="98" customFormat="1" ht="16.5" hidden="1" spans="1:19">
      <c r="A490" s="46">
        <v>488</v>
      </c>
      <c r="B490" s="46" t="s">
        <v>23</v>
      </c>
      <c r="C490" s="46" t="s">
        <v>35</v>
      </c>
      <c r="D490" s="7" t="s">
        <v>25</v>
      </c>
      <c r="E490" s="7" t="s">
        <v>1170</v>
      </c>
      <c r="F490" s="7" t="s">
        <v>903</v>
      </c>
      <c r="G490" s="46" t="s">
        <v>904</v>
      </c>
      <c r="H490" s="101">
        <v>1212</v>
      </c>
      <c r="I490" s="46" t="s">
        <v>905</v>
      </c>
      <c r="J490" s="6">
        <v>46051</v>
      </c>
      <c r="K490" s="7" t="s">
        <v>1249</v>
      </c>
      <c r="L490" s="7" t="s">
        <v>915</v>
      </c>
      <c r="M490" s="46" t="s">
        <v>1250</v>
      </c>
      <c r="N490" s="46" t="s">
        <v>125</v>
      </c>
      <c r="O490" s="46" t="s">
        <v>1173</v>
      </c>
      <c r="P490" s="6">
        <v>46020</v>
      </c>
      <c r="Q490" s="102">
        <v>0</v>
      </c>
      <c r="R490" s="102">
        <v>0</v>
      </c>
      <c r="S490" s="7">
        <v>100</v>
      </c>
    </row>
    <row r="491" s="98" customFormat="1" ht="16.5" hidden="1" spans="1:19">
      <c r="A491" s="46">
        <v>489</v>
      </c>
      <c r="B491" s="46" t="s">
        <v>23</v>
      </c>
      <c r="C491" s="46" t="s">
        <v>29</v>
      </c>
      <c r="D491" s="7" t="s">
        <v>25</v>
      </c>
      <c r="E491" s="7" t="s">
        <v>1170</v>
      </c>
      <c r="F491" s="7" t="s">
        <v>903</v>
      </c>
      <c r="G491" s="46" t="s">
        <v>904</v>
      </c>
      <c r="H491" s="101">
        <v>1212</v>
      </c>
      <c r="I491" s="46" t="s">
        <v>905</v>
      </c>
      <c r="J491" s="6">
        <v>46051</v>
      </c>
      <c r="K491" s="7" t="s">
        <v>1251</v>
      </c>
      <c r="L491" s="7" t="s">
        <v>915</v>
      </c>
      <c r="M491" s="46" t="s">
        <v>1252</v>
      </c>
      <c r="N491" s="46" t="s">
        <v>130</v>
      </c>
      <c r="O491" s="46" t="s">
        <v>1173</v>
      </c>
      <c r="P491" s="6">
        <v>46010</v>
      </c>
      <c r="Q491" s="102">
        <v>5</v>
      </c>
      <c r="R491" s="102">
        <v>5</v>
      </c>
      <c r="S491" s="7">
        <v>100</v>
      </c>
    </row>
    <row r="492" s="98" customFormat="1" ht="16.5" hidden="1" spans="1:19">
      <c r="A492" s="46">
        <v>490</v>
      </c>
      <c r="B492" s="46" t="s">
        <v>23</v>
      </c>
      <c r="C492" s="46" t="s">
        <v>34</v>
      </c>
      <c r="D492" s="7" t="s">
        <v>25</v>
      </c>
      <c r="E492" s="7" t="s">
        <v>1170</v>
      </c>
      <c r="F492" s="7" t="s">
        <v>903</v>
      </c>
      <c r="G492" s="46" t="s">
        <v>904</v>
      </c>
      <c r="H492" s="101">
        <v>1212</v>
      </c>
      <c r="I492" s="46" t="s">
        <v>905</v>
      </c>
      <c r="J492" s="6">
        <v>46051</v>
      </c>
      <c r="K492" s="7" t="s">
        <v>1253</v>
      </c>
      <c r="L492" s="7" t="s">
        <v>915</v>
      </c>
      <c r="M492" s="46" t="s">
        <v>1254</v>
      </c>
      <c r="N492" s="46" t="s">
        <v>351</v>
      </c>
      <c r="O492" s="46" t="s">
        <v>1173</v>
      </c>
      <c r="P492" s="6">
        <v>45958</v>
      </c>
      <c r="Q492" s="102">
        <v>5</v>
      </c>
      <c r="R492" s="102">
        <v>5</v>
      </c>
      <c r="S492" s="7">
        <v>100</v>
      </c>
    </row>
    <row r="493" s="98" customFormat="1" ht="16.5" hidden="1" spans="1:19">
      <c r="A493" s="46">
        <v>491</v>
      </c>
      <c r="B493" s="46" t="s">
        <v>23</v>
      </c>
      <c r="C493" s="46" t="s">
        <v>34</v>
      </c>
      <c r="D493" s="7" t="s">
        <v>25</v>
      </c>
      <c r="E493" s="7" t="s">
        <v>1170</v>
      </c>
      <c r="F493" s="7" t="s">
        <v>903</v>
      </c>
      <c r="G493" s="46" t="s">
        <v>904</v>
      </c>
      <c r="H493" s="101">
        <v>1212</v>
      </c>
      <c r="I493" s="46" t="s">
        <v>905</v>
      </c>
      <c r="J493" s="6">
        <v>46051</v>
      </c>
      <c r="K493" s="7" t="s">
        <v>1255</v>
      </c>
      <c r="L493" s="7" t="s">
        <v>915</v>
      </c>
      <c r="M493" s="46" t="s">
        <v>1256</v>
      </c>
      <c r="N493" s="46" t="s">
        <v>351</v>
      </c>
      <c r="O493" s="46" t="s">
        <v>1173</v>
      </c>
      <c r="P493" s="6">
        <v>45958</v>
      </c>
      <c r="Q493" s="102">
        <v>0</v>
      </c>
      <c r="R493" s="102">
        <v>0</v>
      </c>
      <c r="S493" s="7">
        <v>100</v>
      </c>
    </row>
    <row r="494" s="98" customFormat="1" ht="16.5" hidden="1" spans="1:19">
      <c r="A494" s="46">
        <v>492</v>
      </c>
      <c r="B494" s="46" t="s">
        <v>23</v>
      </c>
      <c r="C494" s="46" t="s">
        <v>34</v>
      </c>
      <c r="D494" s="7" t="s">
        <v>25</v>
      </c>
      <c r="E494" s="7" t="s">
        <v>1170</v>
      </c>
      <c r="F494" s="7" t="s">
        <v>903</v>
      </c>
      <c r="G494" s="46" t="s">
        <v>904</v>
      </c>
      <c r="H494" s="101">
        <v>1212</v>
      </c>
      <c r="I494" s="46" t="s">
        <v>905</v>
      </c>
      <c r="J494" s="6">
        <v>46051</v>
      </c>
      <c r="K494" s="7" t="s">
        <v>1257</v>
      </c>
      <c r="L494" s="7" t="s">
        <v>915</v>
      </c>
      <c r="M494" s="46" t="s">
        <v>1258</v>
      </c>
      <c r="N494" s="46" t="s">
        <v>351</v>
      </c>
      <c r="O494" s="46" t="s">
        <v>1173</v>
      </c>
      <c r="P494" s="6">
        <v>45957</v>
      </c>
      <c r="Q494" s="102">
        <v>5</v>
      </c>
      <c r="R494" s="102">
        <v>5</v>
      </c>
      <c r="S494" s="7">
        <v>100</v>
      </c>
    </row>
    <row r="495" s="98" customFormat="1" ht="16.5" hidden="1" spans="1:19">
      <c r="A495" s="46">
        <v>493</v>
      </c>
      <c r="B495" s="46" t="s">
        <v>23</v>
      </c>
      <c r="C495" s="46" t="s">
        <v>32</v>
      </c>
      <c r="D495" s="7" t="s">
        <v>25</v>
      </c>
      <c r="E495" s="7" t="s">
        <v>1170</v>
      </c>
      <c r="F495" s="7" t="s">
        <v>903</v>
      </c>
      <c r="G495" s="46" t="s">
        <v>904</v>
      </c>
      <c r="H495" s="101">
        <v>1212</v>
      </c>
      <c r="I495" s="46" t="s">
        <v>905</v>
      </c>
      <c r="J495" s="6">
        <v>46051</v>
      </c>
      <c r="K495" s="7" t="s">
        <v>1259</v>
      </c>
      <c r="L495" s="7" t="s">
        <v>907</v>
      </c>
      <c r="M495" s="46" t="s">
        <v>1260</v>
      </c>
      <c r="N495" s="46" t="s">
        <v>105</v>
      </c>
      <c r="O495" s="46" t="s">
        <v>1173</v>
      </c>
      <c r="P495" s="6">
        <v>46013</v>
      </c>
      <c r="Q495" s="102">
        <v>0</v>
      </c>
      <c r="R495" s="102">
        <v>0</v>
      </c>
      <c r="S495" s="7">
        <v>0</v>
      </c>
    </row>
    <row r="496" s="98" customFormat="1" ht="16.5" hidden="1" spans="1:19">
      <c r="A496" s="46">
        <v>494</v>
      </c>
      <c r="B496" s="46" t="s">
        <v>23</v>
      </c>
      <c r="C496" s="46" t="s">
        <v>32</v>
      </c>
      <c r="D496" s="7" t="s">
        <v>25</v>
      </c>
      <c r="E496" s="7" t="s">
        <v>1170</v>
      </c>
      <c r="F496" s="7" t="s">
        <v>903</v>
      </c>
      <c r="G496" s="46" t="s">
        <v>904</v>
      </c>
      <c r="H496" s="101">
        <v>1212</v>
      </c>
      <c r="I496" s="46" t="s">
        <v>905</v>
      </c>
      <c r="J496" s="6">
        <v>46051</v>
      </c>
      <c r="K496" s="7" t="s">
        <v>1261</v>
      </c>
      <c r="L496" s="7" t="s">
        <v>907</v>
      </c>
      <c r="M496" s="46" t="s">
        <v>1262</v>
      </c>
      <c r="N496" s="46" t="s">
        <v>105</v>
      </c>
      <c r="O496" s="46" t="s">
        <v>1173</v>
      </c>
      <c r="P496" s="6">
        <v>46030</v>
      </c>
      <c r="Q496" s="102">
        <v>0</v>
      </c>
      <c r="R496" s="102">
        <v>0</v>
      </c>
      <c r="S496" s="7">
        <v>0</v>
      </c>
    </row>
    <row r="497" s="98" customFormat="1" ht="16.5" hidden="1" spans="1:19">
      <c r="A497" s="46">
        <v>495</v>
      </c>
      <c r="B497" s="46" t="s">
        <v>23</v>
      </c>
      <c r="C497" s="46" t="s">
        <v>38</v>
      </c>
      <c r="D497" s="7" t="s">
        <v>25</v>
      </c>
      <c r="E497" s="7" t="s">
        <v>1170</v>
      </c>
      <c r="F497" s="7" t="s">
        <v>903</v>
      </c>
      <c r="G497" s="46" t="s">
        <v>904</v>
      </c>
      <c r="H497" s="101">
        <v>1212</v>
      </c>
      <c r="I497" s="46" t="s">
        <v>905</v>
      </c>
      <c r="J497" s="6">
        <v>46051</v>
      </c>
      <c r="K497" s="7" t="s">
        <v>1263</v>
      </c>
      <c r="L497" s="7" t="s">
        <v>907</v>
      </c>
      <c r="M497" s="46" t="s">
        <v>1264</v>
      </c>
      <c r="N497" s="46" t="s">
        <v>75</v>
      </c>
      <c r="O497" s="46" t="s">
        <v>1173</v>
      </c>
      <c r="P497" s="6">
        <v>45941</v>
      </c>
      <c r="Q497" s="102">
        <v>0</v>
      </c>
      <c r="R497" s="102">
        <v>0</v>
      </c>
      <c r="S497" s="7">
        <v>0</v>
      </c>
    </row>
    <row r="498" s="98" customFormat="1" ht="16.5" hidden="1" spans="1:19">
      <c r="A498" s="46">
        <v>496</v>
      </c>
      <c r="B498" s="46" t="s">
        <v>23</v>
      </c>
      <c r="C498" s="46" t="s">
        <v>31</v>
      </c>
      <c r="D498" s="7" t="s">
        <v>25</v>
      </c>
      <c r="E498" s="7" t="s">
        <v>1170</v>
      </c>
      <c r="F498" s="7" t="s">
        <v>903</v>
      </c>
      <c r="G498" s="46" t="s">
        <v>904</v>
      </c>
      <c r="H498" s="101">
        <v>1212</v>
      </c>
      <c r="I498" s="46" t="s">
        <v>905</v>
      </c>
      <c r="J498" s="6">
        <v>46051</v>
      </c>
      <c r="K498" s="7" t="s">
        <v>1265</v>
      </c>
      <c r="L498" s="7" t="s">
        <v>915</v>
      </c>
      <c r="M498" s="46" t="s">
        <v>1266</v>
      </c>
      <c r="N498" s="46" t="s">
        <v>79</v>
      </c>
      <c r="O498" s="46" t="s">
        <v>1173</v>
      </c>
      <c r="P498" s="6">
        <v>46011</v>
      </c>
      <c r="Q498" s="102">
        <v>5</v>
      </c>
      <c r="R498" s="102">
        <v>5</v>
      </c>
      <c r="S498" s="7">
        <v>100</v>
      </c>
    </row>
    <row r="499" s="98" customFormat="1" ht="16.5" hidden="1" spans="1:19">
      <c r="A499" s="46">
        <v>497</v>
      </c>
      <c r="B499" s="46" t="s">
        <v>23</v>
      </c>
      <c r="C499" s="46" t="s">
        <v>37</v>
      </c>
      <c r="D499" s="7" t="s">
        <v>25</v>
      </c>
      <c r="E499" s="7" t="s">
        <v>1170</v>
      </c>
      <c r="F499" s="7" t="s">
        <v>903</v>
      </c>
      <c r="G499" s="46" t="s">
        <v>904</v>
      </c>
      <c r="H499" s="101">
        <v>1212</v>
      </c>
      <c r="I499" s="46" t="s">
        <v>905</v>
      </c>
      <c r="J499" s="6">
        <v>46051</v>
      </c>
      <c r="K499" s="7" t="s">
        <v>1267</v>
      </c>
      <c r="L499" s="7" t="s">
        <v>915</v>
      </c>
      <c r="M499" s="46" t="s">
        <v>1268</v>
      </c>
      <c r="N499" s="46" t="s">
        <v>109</v>
      </c>
      <c r="O499" s="46" t="s">
        <v>1173</v>
      </c>
      <c r="P499" s="6">
        <v>46006</v>
      </c>
      <c r="Q499" s="102">
        <v>5</v>
      </c>
      <c r="R499" s="102">
        <v>5</v>
      </c>
      <c r="S499" s="7">
        <v>95</v>
      </c>
    </row>
    <row r="500" s="98" customFormat="1" ht="16.5" hidden="1" spans="1:19">
      <c r="A500" s="46">
        <v>498</v>
      </c>
      <c r="B500" s="46" t="s">
        <v>23</v>
      </c>
      <c r="C500" s="46" t="s">
        <v>31</v>
      </c>
      <c r="D500" s="7" t="s">
        <v>25</v>
      </c>
      <c r="E500" s="7" t="s">
        <v>1170</v>
      </c>
      <c r="F500" s="7" t="s">
        <v>903</v>
      </c>
      <c r="G500" s="46" t="s">
        <v>904</v>
      </c>
      <c r="H500" s="101">
        <v>1212</v>
      </c>
      <c r="I500" s="46" t="s">
        <v>905</v>
      </c>
      <c r="J500" s="6">
        <v>46051</v>
      </c>
      <c r="K500" s="7" t="s">
        <v>1269</v>
      </c>
      <c r="L500" s="7" t="s">
        <v>915</v>
      </c>
      <c r="M500" s="46" t="s">
        <v>1270</v>
      </c>
      <c r="N500" s="46" t="s">
        <v>79</v>
      </c>
      <c r="O500" s="46" t="s">
        <v>1173</v>
      </c>
      <c r="P500" s="6">
        <v>45976</v>
      </c>
      <c r="Q500" s="102">
        <v>5</v>
      </c>
      <c r="R500" s="102">
        <v>5</v>
      </c>
      <c r="S500" s="7">
        <v>100</v>
      </c>
    </row>
    <row r="501" s="98" customFormat="1" ht="16.5" hidden="1" spans="1:19">
      <c r="A501" s="46">
        <v>499</v>
      </c>
      <c r="B501" s="46" t="s">
        <v>23</v>
      </c>
      <c r="C501" s="46" t="s">
        <v>38</v>
      </c>
      <c r="D501" s="7" t="s">
        <v>25</v>
      </c>
      <c r="E501" s="7" t="s">
        <v>1170</v>
      </c>
      <c r="F501" s="7" t="s">
        <v>903</v>
      </c>
      <c r="G501" s="46" t="s">
        <v>904</v>
      </c>
      <c r="H501" s="101">
        <v>1212</v>
      </c>
      <c r="I501" s="46" t="s">
        <v>905</v>
      </c>
      <c r="J501" s="6">
        <v>46051</v>
      </c>
      <c r="K501" s="7" t="s">
        <v>1271</v>
      </c>
      <c r="L501" s="7" t="s">
        <v>907</v>
      </c>
      <c r="M501" s="46" t="s">
        <v>1272</v>
      </c>
      <c r="N501" s="46" t="s">
        <v>144</v>
      </c>
      <c r="O501" s="46" t="s">
        <v>1173</v>
      </c>
      <c r="P501" s="6">
        <v>45974</v>
      </c>
      <c r="Q501" s="102">
        <v>0</v>
      </c>
      <c r="R501" s="102">
        <v>0</v>
      </c>
      <c r="S501" s="7">
        <v>0</v>
      </c>
    </row>
    <row r="502" s="98" customFormat="1" ht="16.5" hidden="1" spans="1:19">
      <c r="A502" s="46">
        <v>500</v>
      </c>
      <c r="B502" s="46" t="s">
        <v>23</v>
      </c>
      <c r="C502" s="46" t="s">
        <v>38</v>
      </c>
      <c r="D502" s="7" t="s">
        <v>25</v>
      </c>
      <c r="E502" s="7" t="s">
        <v>1170</v>
      </c>
      <c r="F502" s="7" t="s">
        <v>903</v>
      </c>
      <c r="G502" s="46" t="s">
        <v>904</v>
      </c>
      <c r="H502" s="101">
        <v>1212</v>
      </c>
      <c r="I502" s="46" t="s">
        <v>905</v>
      </c>
      <c r="J502" s="6">
        <v>46051</v>
      </c>
      <c r="K502" s="7" t="s">
        <v>1273</v>
      </c>
      <c r="L502" s="7" t="s">
        <v>907</v>
      </c>
      <c r="M502" s="46" t="s">
        <v>1274</v>
      </c>
      <c r="N502" s="46" t="s">
        <v>144</v>
      </c>
      <c r="O502" s="46" t="s">
        <v>1173</v>
      </c>
      <c r="P502" s="6">
        <v>45959</v>
      </c>
      <c r="Q502" s="102">
        <v>0</v>
      </c>
      <c r="R502" s="102">
        <v>0</v>
      </c>
      <c r="S502" s="7">
        <v>0</v>
      </c>
    </row>
    <row r="503" s="98" customFormat="1" ht="16.5" hidden="1" spans="1:19">
      <c r="A503" s="46">
        <v>501</v>
      </c>
      <c r="B503" s="46" t="s">
        <v>23</v>
      </c>
      <c r="C503" s="46" t="s">
        <v>38</v>
      </c>
      <c r="D503" s="7" t="s">
        <v>25</v>
      </c>
      <c r="E503" s="7" t="s">
        <v>1170</v>
      </c>
      <c r="F503" s="7" t="s">
        <v>903</v>
      </c>
      <c r="G503" s="46" t="s">
        <v>904</v>
      </c>
      <c r="H503" s="101">
        <v>1212</v>
      </c>
      <c r="I503" s="46" t="s">
        <v>905</v>
      </c>
      <c r="J503" s="6">
        <v>46051</v>
      </c>
      <c r="K503" s="7" t="s">
        <v>1275</v>
      </c>
      <c r="L503" s="7" t="s">
        <v>907</v>
      </c>
      <c r="M503" s="46" t="s">
        <v>1276</v>
      </c>
      <c r="N503" s="46" t="s">
        <v>148</v>
      </c>
      <c r="O503" s="46" t="s">
        <v>1173</v>
      </c>
      <c r="P503" s="6">
        <v>45979</v>
      </c>
      <c r="Q503" s="102">
        <v>0</v>
      </c>
      <c r="R503" s="102">
        <v>0</v>
      </c>
      <c r="S503" s="7">
        <v>0</v>
      </c>
    </row>
    <row r="504" s="98" customFormat="1" ht="16.5" hidden="1" spans="1:19">
      <c r="A504" s="46">
        <v>502</v>
      </c>
      <c r="B504" s="46" t="s">
        <v>23</v>
      </c>
      <c r="C504" s="46" t="s">
        <v>38</v>
      </c>
      <c r="D504" s="7" t="s">
        <v>25</v>
      </c>
      <c r="E504" s="7" t="s">
        <v>1170</v>
      </c>
      <c r="F504" s="7" t="s">
        <v>903</v>
      </c>
      <c r="G504" s="46" t="s">
        <v>904</v>
      </c>
      <c r="H504" s="101">
        <v>1212</v>
      </c>
      <c r="I504" s="46" t="s">
        <v>905</v>
      </c>
      <c r="J504" s="6">
        <v>46051</v>
      </c>
      <c r="K504" s="7" t="s">
        <v>1277</v>
      </c>
      <c r="L504" s="7" t="s">
        <v>915</v>
      </c>
      <c r="M504" s="46" t="s">
        <v>1278</v>
      </c>
      <c r="N504" s="46" t="s">
        <v>220</v>
      </c>
      <c r="O504" s="46" t="s">
        <v>1173</v>
      </c>
      <c r="P504" s="6">
        <v>45998</v>
      </c>
      <c r="Q504" s="102">
        <v>5</v>
      </c>
      <c r="R504" s="102">
        <v>5</v>
      </c>
      <c r="S504" s="7">
        <v>80</v>
      </c>
    </row>
    <row r="505" s="98" customFormat="1" ht="16.5" hidden="1" spans="1:19">
      <c r="A505" s="46">
        <v>503</v>
      </c>
      <c r="B505" s="46" t="s">
        <v>23</v>
      </c>
      <c r="C505" s="46" t="s">
        <v>38</v>
      </c>
      <c r="D505" s="7" t="s">
        <v>25</v>
      </c>
      <c r="E505" s="7" t="s">
        <v>1170</v>
      </c>
      <c r="F505" s="7" t="s">
        <v>903</v>
      </c>
      <c r="G505" s="46" t="s">
        <v>904</v>
      </c>
      <c r="H505" s="101">
        <v>1212</v>
      </c>
      <c r="I505" s="46" t="s">
        <v>905</v>
      </c>
      <c r="J505" s="6">
        <v>46051</v>
      </c>
      <c r="K505" s="7" t="s">
        <v>1279</v>
      </c>
      <c r="L505" s="7" t="s">
        <v>907</v>
      </c>
      <c r="M505" s="46" t="s">
        <v>1280</v>
      </c>
      <c r="N505" s="46" t="s">
        <v>70</v>
      </c>
      <c r="O505" s="46" t="s">
        <v>1173</v>
      </c>
      <c r="P505" s="6">
        <v>46018</v>
      </c>
      <c r="Q505" s="102">
        <v>0</v>
      </c>
      <c r="R505" s="102">
        <v>0</v>
      </c>
      <c r="S505" s="7">
        <v>0</v>
      </c>
    </row>
    <row r="506" s="98" customFormat="1" ht="16.5" hidden="1" spans="1:19">
      <c r="A506" s="46">
        <v>504</v>
      </c>
      <c r="B506" s="46" t="s">
        <v>23</v>
      </c>
      <c r="C506" s="46" t="s">
        <v>38</v>
      </c>
      <c r="D506" s="7" t="s">
        <v>25</v>
      </c>
      <c r="E506" s="7" t="s">
        <v>1170</v>
      </c>
      <c r="F506" s="7" t="s">
        <v>903</v>
      </c>
      <c r="G506" s="46" t="s">
        <v>904</v>
      </c>
      <c r="H506" s="101">
        <v>1212</v>
      </c>
      <c r="I506" s="46" t="s">
        <v>905</v>
      </c>
      <c r="J506" s="6">
        <v>46051</v>
      </c>
      <c r="K506" s="7" t="s">
        <v>1281</v>
      </c>
      <c r="L506" s="7" t="s">
        <v>907</v>
      </c>
      <c r="M506" s="46" t="s">
        <v>1282</v>
      </c>
      <c r="N506" s="46" t="s">
        <v>148</v>
      </c>
      <c r="O506" s="46" t="s">
        <v>1173</v>
      </c>
      <c r="P506" s="6">
        <v>46022</v>
      </c>
      <c r="Q506" s="102">
        <v>0</v>
      </c>
      <c r="R506" s="102">
        <v>0</v>
      </c>
      <c r="S506" s="7">
        <v>0</v>
      </c>
    </row>
    <row r="507" s="98" customFormat="1" ht="16.5" hidden="1" spans="1:19">
      <c r="A507" s="46">
        <v>505</v>
      </c>
      <c r="B507" s="46" t="s">
        <v>23</v>
      </c>
      <c r="C507" s="46" t="s">
        <v>38</v>
      </c>
      <c r="D507" s="7" t="s">
        <v>25</v>
      </c>
      <c r="E507" s="7" t="s">
        <v>1170</v>
      </c>
      <c r="F507" s="7" t="s">
        <v>903</v>
      </c>
      <c r="G507" s="46" t="s">
        <v>904</v>
      </c>
      <c r="H507" s="101">
        <v>1212</v>
      </c>
      <c r="I507" s="46" t="s">
        <v>905</v>
      </c>
      <c r="J507" s="6">
        <v>46051</v>
      </c>
      <c r="K507" s="7" t="s">
        <v>1283</v>
      </c>
      <c r="L507" s="7" t="s">
        <v>907</v>
      </c>
      <c r="M507" s="46" t="s">
        <v>1284</v>
      </c>
      <c r="N507" s="46" t="s">
        <v>148</v>
      </c>
      <c r="O507" s="46" t="s">
        <v>1173</v>
      </c>
      <c r="P507" s="6">
        <v>46015</v>
      </c>
      <c r="Q507" s="102">
        <v>0</v>
      </c>
      <c r="R507" s="102">
        <v>0</v>
      </c>
      <c r="S507" s="7">
        <v>0</v>
      </c>
    </row>
    <row r="508" s="98" customFormat="1" ht="16.5" hidden="1" spans="1:19">
      <c r="A508" s="46">
        <v>506</v>
      </c>
      <c r="B508" s="46" t="s">
        <v>23</v>
      </c>
      <c r="C508" s="46" t="s">
        <v>38</v>
      </c>
      <c r="D508" s="7" t="s">
        <v>25</v>
      </c>
      <c r="E508" s="7" t="s">
        <v>1170</v>
      </c>
      <c r="F508" s="7" t="s">
        <v>903</v>
      </c>
      <c r="G508" s="46" t="s">
        <v>904</v>
      </c>
      <c r="H508" s="101">
        <v>1212</v>
      </c>
      <c r="I508" s="46" t="s">
        <v>905</v>
      </c>
      <c r="J508" s="6">
        <v>46051</v>
      </c>
      <c r="K508" s="7" t="s">
        <v>1285</v>
      </c>
      <c r="L508" s="7" t="s">
        <v>907</v>
      </c>
      <c r="M508" s="46" t="s">
        <v>1286</v>
      </c>
      <c r="N508" s="46" t="s">
        <v>148</v>
      </c>
      <c r="O508" s="46" t="s">
        <v>1173</v>
      </c>
      <c r="P508" s="6">
        <v>45989</v>
      </c>
      <c r="Q508" s="102">
        <v>0</v>
      </c>
      <c r="R508" s="102">
        <v>0</v>
      </c>
      <c r="S508" s="7">
        <v>0</v>
      </c>
    </row>
    <row r="509" s="98" customFormat="1" ht="16.5" hidden="1" spans="1:19">
      <c r="A509" s="46">
        <v>507</v>
      </c>
      <c r="B509" s="46" t="s">
        <v>23</v>
      </c>
      <c r="C509" s="46" t="s">
        <v>38</v>
      </c>
      <c r="D509" s="7" t="s">
        <v>25</v>
      </c>
      <c r="E509" s="7" t="s">
        <v>1170</v>
      </c>
      <c r="F509" s="7" t="s">
        <v>903</v>
      </c>
      <c r="G509" s="46" t="s">
        <v>904</v>
      </c>
      <c r="H509" s="101">
        <v>1212</v>
      </c>
      <c r="I509" s="46" t="s">
        <v>905</v>
      </c>
      <c r="J509" s="6">
        <v>46051</v>
      </c>
      <c r="K509" s="7" t="s">
        <v>1287</v>
      </c>
      <c r="L509" s="7" t="s">
        <v>915</v>
      </c>
      <c r="M509" s="46" t="s">
        <v>1288</v>
      </c>
      <c r="N509" s="46" t="s">
        <v>220</v>
      </c>
      <c r="O509" s="46" t="s">
        <v>1173</v>
      </c>
      <c r="P509" s="6">
        <v>46031</v>
      </c>
      <c r="Q509" s="102">
        <v>5</v>
      </c>
      <c r="R509" s="102">
        <v>5</v>
      </c>
      <c r="S509" s="7">
        <v>100</v>
      </c>
    </row>
    <row r="510" s="98" customFormat="1" ht="16.5" hidden="1" spans="1:19">
      <c r="A510" s="46">
        <v>508</v>
      </c>
      <c r="B510" s="46" t="s">
        <v>23</v>
      </c>
      <c r="C510" s="46" t="s">
        <v>38</v>
      </c>
      <c r="D510" s="7" t="s">
        <v>25</v>
      </c>
      <c r="E510" s="7" t="s">
        <v>1170</v>
      </c>
      <c r="F510" s="7" t="s">
        <v>903</v>
      </c>
      <c r="G510" s="46" t="s">
        <v>904</v>
      </c>
      <c r="H510" s="101">
        <v>1212</v>
      </c>
      <c r="I510" s="46" t="s">
        <v>905</v>
      </c>
      <c r="J510" s="6">
        <v>46051</v>
      </c>
      <c r="K510" s="7" t="s">
        <v>1289</v>
      </c>
      <c r="L510" s="7" t="s">
        <v>915</v>
      </c>
      <c r="M510" s="46" t="s">
        <v>1290</v>
      </c>
      <c r="N510" s="46" t="s">
        <v>220</v>
      </c>
      <c r="O510" s="46" t="s">
        <v>1173</v>
      </c>
      <c r="P510" s="6">
        <v>46022</v>
      </c>
      <c r="Q510" s="102">
        <v>5</v>
      </c>
      <c r="R510" s="102">
        <v>5</v>
      </c>
      <c r="S510" s="7">
        <v>100</v>
      </c>
    </row>
    <row r="511" s="98" customFormat="1" ht="16.5" hidden="1" spans="1:19">
      <c r="A511" s="46">
        <v>509</v>
      </c>
      <c r="B511" s="46" t="s">
        <v>23</v>
      </c>
      <c r="C511" s="46" t="s">
        <v>38</v>
      </c>
      <c r="D511" s="7" t="s">
        <v>25</v>
      </c>
      <c r="E511" s="7" t="s">
        <v>1170</v>
      </c>
      <c r="F511" s="7" t="s">
        <v>903</v>
      </c>
      <c r="G511" s="46" t="s">
        <v>904</v>
      </c>
      <c r="H511" s="101">
        <v>1212</v>
      </c>
      <c r="I511" s="46" t="s">
        <v>905</v>
      </c>
      <c r="J511" s="6">
        <v>46051</v>
      </c>
      <c r="K511" s="7" t="s">
        <v>1291</v>
      </c>
      <c r="L511" s="7" t="s">
        <v>907</v>
      </c>
      <c r="M511" s="46" t="s">
        <v>1292</v>
      </c>
      <c r="N511" s="46" t="s">
        <v>168</v>
      </c>
      <c r="O511" s="46" t="s">
        <v>1173</v>
      </c>
      <c r="P511" s="6">
        <v>46025</v>
      </c>
      <c r="Q511" s="102">
        <v>0</v>
      </c>
      <c r="R511" s="102">
        <v>0</v>
      </c>
      <c r="S511" s="7">
        <v>0</v>
      </c>
    </row>
    <row r="512" s="98" customFormat="1" ht="16.5" hidden="1" spans="1:19">
      <c r="A512" s="46">
        <v>510</v>
      </c>
      <c r="B512" s="46" t="s">
        <v>23</v>
      </c>
      <c r="C512" s="46" t="s">
        <v>38</v>
      </c>
      <c r="D512" s="7" t="s">
        <v>25</v>
      </c>
      <c r="E512" s="7" t="s">
        <v>1170</v>
      </c>
      <c r="F512" s="7" t="s">
        <v>903</v>
      </c>
      <c r="G512" s="46" t="s">
        <v>904</v>
      </c>
      <c r="H512" s="101">
        <v>1212</v>
      </c>
      <c r="I512" s="46" t="s">
        <v>905</v>
      </c>
      <c r="J512" s="6">
        <v>46051</v>
      </c>
      <c r="K512" s="7" t="s">
        <v>1293</v>
      </c>
      <c r="L512" s="7" t="s">
        <v>907</v>
      </c>
      <c r="M512" s="46" t="s">
        <v>1294</v>
      </c>
      <c r="N512" s="46" t="s">
        <v>168</v>
      </c>
      <c r="O512" s="46" t="s">
        <v>1173</v>
      </c>
      <c r="P512" s="6">
        <v>46022</v>
      </c>
      <c r="Q512" s="102">
        <v>0</v>
      </c>
      <c r="R512" s="102">
        <v>0</v>
      </c>
      <c r="S512" s="7">
        <v>0</v>
      </c>
    </row>
    <row r="513" s="98" customFormat="1" ht="16.5" hidden="1" spans="1:19">
      <c r="A513" s="46">
        <v>511</v>
      </c>
      <c r="B513" s="46" t="s">
        <v>23</v>
      </c>
      <c r="C513" s="46" t="s">
        <v>38</v>
      </c>
      <c r="D513" s="7" t="s">
        <v>25</v>
      </c>
      <c r="E513" s="7" t="s">
        <v>1170</v>
      </c>
      <c r="F513" s="7" t="s">
        <v>903</v>
      </c>
      <c r="G513" s="46" t="s">
        <v>904</v>
      </c>
      <c r="H513" s="101">
        <v>1212</v>
      </c>
      <c r="I513" s="46" t="s">
        <v>905</v>
      </c>
      <c r="J513" s="6">
        <v>46051</v>
      </c>
      <c r="K513" s="7" t="s">
        <v>1295</v>
      </c>
      <c r="L513" s="7" t="s">
        <v>907</v>
      </c>
      <c r="M513" s="46" t="s">
        <v>1296</v>
      </c>
      <c r="N513" s="46" t="s">
        <v>168</v>
      </c>
      <c r="O513" s="46" t="s">
        <v>1173</v>
      </c>
      <c r="P513" s="6">
        <v>45978</v>
      </c>
      <c r="Q513" s="102">
        <v>0</v>
      </c>
      <c r="R513" s="102">
        <v>0</v>
      </c>
      <c r="S513" s="7">
        <v>0</v>
      </c>
    </row>
    <row r="514" s="98" customFormat="1" ht="16.5" hidden="1" spans="1:19">
      <c r="A514" s="46">
        <v>512</v>
      </c>
      <c r="B514" s="46" t="s">
        <v>23</v>
      </c>
      <c r="C514" s="46" t="s">
        <v>26</v>
      </c>
      <c r="D514" s="7" t="s">
        <v>25</v>
      </c>
      <c r="E514" s="7" t="s">
        <v>1170</v>
      </c>
      <c r="F514" s="7" t="s">
        <v>903</v>
      </c>
      <c r="G514" s="46" t="s">
        <v>904</v>
      </c>
      <c r="H514" s="101">
        <v>1212</v>
      </c>
      <c r="I514" s="46" t="s">
        <v>905</v>
      </c>
      <c r="J514" s="6">
        <v>46051</v>
      </c>
      <c r="K514" s="7" t="s">
        <v>1297</v>
      </c>
      <c r="L514" s="7" t="s">
        <v>915</v>
      </c>
      <c r="M514" s="46" t="s">
        <v>1298</v>
      </c>
      <c r="N514" s="46" t="s">
        <v>121</v>
      </c>
      <c r="O514" s="46" t="s">
        <v>1173</v>
      </c>
      <c r="P514" s="6">
        <v>46035</v>
      </c>
      <c r="Q514" s="102">
        <v>5</v>
      </c>
      <c r="R514" s="102">
        <v>5</v>
      </c>
      <c r="S514" s="7">
        <v>100</v>
      </c>
    </row>
    <row r="515" s="98" customFormat="1" ht="16.5" hidden="1" spans="1:19">
      <c r="A515" s="46">
        <v>513</v>
      </c>
      <c r="B515" s="46" t="s">
        <v>23</v>
      </c>
      <c r="C515" s="46" t="s">
        <v>35</v>
      </c>
      <c r="D515" s="7" t="s">
        <v>25</v>
      </c>
      <c r="E515" s="7" t="s">
        <v>1170</v>
      </c>
      <c r="F515" s="7" t="s">
        <v>903</v>
      </c>
      <c r="G515" s="46" t="s">
        <v>904</v>
      </c>
      <c r="H515" s="101">
        <v>1212</v>
      </c>
      <c r="I515" s="46" t="s">
        <v>905</v>
      </c>
      <c r="J515" s="6">
        <v>46051</v>
      </c>
      <c r="K515" s="7" t="s">
        <v>1299</v>
      </c>
      <c r="L515" s="7" t="s">
        <v>915</v>
      </c>
      <c r="M515" s="46" t="s">
        <v>1300</v>
      </c>
      <c r="N515" s="46" t="s">
        <v>125</v>
      </c>
      <c r="O515" s="46" t="s">
        <v>1173</v>
      </c>
      <c r="P515" s="6">
        <v>46011</v>
      </c>
      <c r="Q515" s="102">
        <v>5</v>
      </c>
      <c r="R515" s="102">
        <v>5</v>
      </c>
      <c r="S515" s="7">
        <v>80</v>
      </c>
    </row>
    <row r="516" s="98" customFormat="1" ht="16.5" hidden="1" spans="1:19">
      <c r="A516" s="46">
        <v>514</v>
      </c>
      <c r="B516" s="46" t="s">
        <v>23</v>
      </c>
      <c r="C516" s="46" t="s">
        <v>29</v>
      </c>
      <c r="D516" s="7" t="s">
        <v>25</v>
      </c>
      <c r="E516" s="7" t="s">
        <v>1170</v>
      </c>
      <c r="F516" s="7" t="s">
        <v>903</v>
      </c>
      <c r="G516" s="46" t="s">
        <v>904</v>
      </c>
      <c r="H516" s="101">
        <v>1212</v>
      </c>
      <c r="I516" s="46" t="s">
        <v>905</v>
      </c>
      <c r="J516" s="6">
        <v>46051</v>
      </c>
      <c r="K516" s="7" t="s">
        <v>1301</v>
      </c>
      <c r="L516" s="7" t="s">
        <v>915</v>
      </c>
      <c r="M516" s="46" t="s">
        <v>1302</v>
      </c>
      <c r="N516" s="46" t="s">
        <v>130</v>
      </c>
      <c r="O516" s="46" t="s">
        <v>1173</v>
      </c>
      <c r="P516" s="6">
        <v>46026</v>
      </c>
      <c r="Q516" s="102">
        <v>5</v>
      </c>
      <c r="R516" s="102">
        <v>5</v>
      </c>
      <c r="S516" s="7">
        <v>100</v>
      </c>
    </row>
    <row r="517" s="98" customFormat="1" ht="16.5" hidden="1" spans="1:19">
      <c r="A517" s="46">
        <v>515</v>
      </c>
      <c r="B517" s="46" t="s">
        <v>23</v>
      </c>
      <c r="C517" s="46" t="s">
        <v>38</v>
      </c>
      <c r="D517" s="7" t="s">
        <v>25</v>
      </c>
      <c r="E517" s="7" t="s">
        <v>1170</v>
      </c>
      <c r="F517" s="7" t="s">
        <v>903</v>
      </c>
      <c r="G517" s="46" t="s">
        <v>904</v>
      </c>
      <c r="H517" s="101">
        <v>1212</v>
      </c>
      <c r="I517" s="46" t="s">
        <v>905</v>
      </c>
      <c r="J517" s="6">
        <v>46051</v>
      </c>
      <c r="K517" s="7" t="s">
        <v>1303</v>
      </c>
      <c r="L517" s="7" t="s">
        <v>907</v>
      </c>
      <c r="M517" s="46" t="s">
        <v>1304</v>
      </c>
      <c r="N517" s="46" t="s">
        <v>144</v>
      </c>
      <c r="O517" s="46" t="s">
        <v>1173</v>
      </c>
      <c r="P517" s="6">
        <v>46022</v>
      </c>
      <c r="Q517" s="102">
        <v>0</v>
      </c>
      <c r="R517" s="102">
        <v>0</v>
      </c>
      <c r="S517" s="7">
        <v>0</v>
      </c>
    </row>
    <row r="518" s="98" customFormat="1" ht="16.5" hidden="1" spans="1:19">
      <c r="A518" s="46">
        <v>516</v>
      </c>
      <c r="B518" s="46" t="s">
        <v>23</v>
      </c>
      <c r="C518" s="46" t="s">
        <v>38</v>
      </c>
      <c r="D518" s="7" t="s">
        <v>25</v>
      </c>
      <c r="E518" s="7" t="s">
        <v>1170</v>
      </c>
      <c r="F518" s="7" t="s">
        <v>903</v>
      </c>
      <c r="G518" s="46" t="s">
        <v>904</v>
      </c>
      <c r="H518" s="101">
        <v>1212</v>
      </c>
      <c r="I518" s="46" t="s">
        <v>905</v>
      </c>
      <c r="J518" s="6">
        <v>46051</v>
      </c>
      <c r="K518" s="7" t="s">
        <v>1305</v>
      </c>
      <c r="L518" s="7" t="s">
        <v>915</v>
      </c>
      <c r="M518" s="46" t="s">
        <v>1306</v>
      </c>
      <c r="N518" s="46" t="s">
        <v>144</v>
      </c>
      <c r="O518" s="46" t="s">
        <v>1173</v>
      </c>
      <c r="P518" s="6">
        <v>46013</v>
      </c>
      <c r="Q518" s="102">
        <v>5</v>
      </c>
      <c r="R518" s="102">
        <v>5</v>
      </c>
      <c r="S518" s="7">
        <v>100</v>
      </c>
    </row>
    <row r="519" s="98" customFormat="1" ht="16.5" hidden="1" spans="1:19">
      <c r="A519" s="46">
        <v>517</v>
      </c>
      <c r="B519" s="46" t="s">
        <v>23</v>
      </c>
      <c r="C519" s="46" t="s">
        <v>38</v>
      </c>
      <c r="D519" s="7" t="s">
        <v>25</v>
      </c>
      <c r="E519" s="7" t="s">
        <v>1170</v>
      </c>
      <c r="F519" s="7" t="s">
        <v>903</v>
      </c>
      <c r="G519" s="46" t="s">
        <v>904</v>
      </c>
      <c r="H519" s="101">
        <v>1212</v>
      </c>
      <c r="I519" s="46" t="s">
        <v>905</v>
      </c>
      <c r="J519" s="6">
        <v>46051</v>
      </c>
      <c r="K519" s="7" t="s">
        <v>1307</v>
      </c>
      <c r="L519" s="7" t="s">
        <v>907</v>
      </c>
      <c r="M519" s="46" t="s">
        <v>1308</v>
      </c>
      <c r="N519" s="46" t="s">
        <v>144</v>
      </c>
      <c r="O519" s="46" t="s">
        <v>1173</v>
      </c>
      <c r="P519" s="6">
        <v>45955</v>
      </c>
      <c r="Q519" s="102">
        <v>0</v>
      </c>
      <c r="R519" s="102">
        <v>0</v>
      </c>
      <c r="S519" s="7">
        <v>0</v>
      </c>
    </row>
    <row r="520" s="98" customFormat="1" ht="16.5" hidden="1" spans="1:19">
      <c r="A520" s="46">
        <v>518</v>
      </c>
      <c r="B520" s="46" t="s">
        <v>23</v>
      </c>
      <c r="C520" s="46" t="s">
        <v>26</v>
      </c>
      <c r="D520" s="7" t="s">
        <v>25</v>
      </c>
      <c r="E520" s="7" t="s">
        <v>1170</v>
      </c>
      <c r="F520" s="7" t="s">
        <v>903</v>
      </c>
      <c r="G520" s="46" t="s">
        <v>904</v>
      </c>
      <c r="H520" s="101">
        <v>1212</v>
      </c>
      <c r="I520" s="46" t="s">
        <v>905</v>
      </c>
      <c r="J520" s="6">
        <v>46051</v>
      </c>
      <c r="K520" s="7" t="s">
        <v>1309</v>
      </c>
      <c r="L520" s="7" t="s">
        <v>907</v>
      </c>
      <c r="M520" s="46" t="s">
        <v>1310</v>
      </c>
      <c r="N520" s="46" t="s">
        <v>121</v>
      </c>
      <c r="O520" s="46" t="s">
        <v>1173</v>
      </c>
      <c r="P520" s="6">
        <v>46026</v>
      </c>
      <c r="Q520" s="102">
        <v>0</v>
      </c>
      <c r="R520" s="102">
        <v>0</v>
      </c>
      <c r="S520" s="7">
        <v>0</v>
      </c>
    </row>
    <row r="521" s="98" customFormat="1" ht="16.5" hidden="1" spans="1:19">
      <c r="A521" s="46">
        <v>519</v>
      </c>
      <c r="B521" s="46" t="s">
        <v>23</v>
      </c>
      <c r="C521" s="46" t="s">
        <v>26</v>
      </c>
      <c r="D521" s="7" t="s">
        <v>25</v>
      </c>
      <c r="E521" s="7" t="s">
        <v>1170</v>
      </c>
      <c r="F521" s="7" t="s">
        <v>903</v>
      </c>
      <c r="G521" s="46" t="s">
        <v>904</v>
      </c>
      <c r="H521" s="101">
        <v>1212</v>
      </c>
      <c r="I521" s="46" t="s">
        <v>905</v>
      </c>
      <c r="J521" s="6">
        <v>46051</v>
      </c>
      <c r="K521" s="7" t="s">
        <v>1311</v>
      </c>
      <c r="L521" s="7" t="s">
        <v>915</v>
      </c>
      <c r="M521" s="46" t="s">
        <v>1312</v>
      </c>
      <c r="N521" s="46" t="s">
        <v>121</v>
      </c>
      <c r="O521" s="46" t="s">
        <v>1173</v>
      </c>
      <c r="P521" s="6">
        <v>45973</v>
      </c>
      <c r="Q521" s="102">
        <v>5</v>
      </c>
      <c r="R521" s="102">
        <v>5</v>
      </c>
      <c r="S521" s="7">
        <v>100</v>
      </c>
    </row>
    <row r="522" s="98" customFormat="1" ht="16.5" hidden="1" spans="1:19">
      <c r="A522" s="46">
        <v>520</v>
      </c>
      <c r="B522" s="46" t="s">
        <v>23</v>
      </c>
      <c r="C522" s="46" t="s">
        <v>26</v>
      </c>
      <c r="D522" s="7" t="s">
        <v>25</v>
      </c>
      <c r="E522" s="7" t="s">
        <v>1170</v>
      </c>
      <c r="F522" s="7" t="s">
        <v>903</v>
      </c>
      <c r="G522" s="46" t="s">
        <v>904</v>
      </c>
      <c r="H522" s="101">
        <v>1212</v>
      </c>
      <c r="I522" s="46" t="s">
        <v>905</v>
      </c>
      <c r="J522" s="6">
        <v>46051</v>
      </c>
      <c r="K522" s="7" t="s">
        <v>1313</v>
      </c>
      <c r="L522" s="7" t="s">
        <v>915</v>
      </c>
      <c r="M522" s="46" t="s">
        <v>1314</v>
      </c>
      <c r="N522" s="46" t="s">
        <v>121</v>
      </c>
      <c r="O522" s="46" t="s">
        <v>1173</v>
      </c>
      <c r="P522" s="6">
        <v>45890</v>
      </c>
      <c r="Q522" s="102">
        <v>0</v>
      </c>
      <c r="R522" s="102">
        <v>0</v>
      </c>
      <c r="S522" s="7">
        <v>100</v>
      </c>
    </row>
    <row r="523" s="98" customFormat="1" ht="16.5" hidden="1" spans="1:19">
      <c r="A523" s="46">
        <v>521</v>
      </c>
      <c r="B523" s="46" t="s">
        <v>23</v>
      </c>
      <c r="C523" s="46" t="s">
        <v>38</v>
      </c>
      <c r="D523" s="7" t="s">
        <v>25</v>
      </c>
      <c r="E523" s="7" t="s">
        <v>1170</v>
      </c>
      <c r="F523" s="7" t="s">
        <v>903</v>
      </c>
      <c r="G523" s="46" t="s">
        <v>904</v>
      </c>
      <c r="H523" s="101">
        <v>1212</v>
      </c>
      <c r="I523" s="46" t="s">
        <v>905</v>
      </c>
      <c r="J523" s="6">
        <v>46051</v>
      </c>
      <c r="K523" s="7" t="s">
        <v>1315</v>
      </c>
      <c r="L523" s="7" t="s">
        <v>915</v>
      </c>
      <c r="M523" s="46" t="s">
        <v>1316</v>
      </c>
      <c r="N523" s="46" t="s">
        <v>75</v>
      </c>
      <c r="O523" s="46" t="s">
        <v>1173</v>
      </c>
      <c r="P523" s="6">
        <v>45998</v>
      </c>
      <c r="Q523" s="102">
        <v>5</v>
      </c>
      <c r="R523" s="102">
        <v>5</v>
      </c>
      <c r="S523" s="7">
        <v>100</v>
      </c>
    </row>
    <row r="524" s="98" customFormat="1" ht="16.5" hidden="1" spans="1:19">
      <c r="A524" s="46">
        <v>522</v>
      </c>
      <c r="B524" s="46" t="s">
        <v>23</v>
      </c>
      <c r="C524" s="46" t="s">
        <v>38</v>
      </c>
      <c r="D524" s="7" t="s">
        <v>25</v>
      </c>
      <c r="E524" s="7" t="s">
        <v>1170</v>
      </c>
      <c r="F524" s="7" t="s">
        <v>903</v>
      </c>
      <c r="G524" s="46" t="s">
        <v>904</v>
      </c>
      <c r="H524" s="101">
        <v>1212</v>
      </c>
      <c r="I524" s="46" t="s">
        <v>905</v>
      </c>
      <c r="J524" s="6">
        <v>46051</v>
      </c>
      <c r="K524" s="7" t="s">
        <v>1317</v>
      </c>
      <c r="L524" s="7" t="s">
        <v>907</v>
      </c>
      <c r="M524" s="46" t="s">
        <v>1318</v>
      </c>
      <c r="N524" s="46" t="s">
        <v>75</v>
      </c>
      <c r="O524" s="46" t="s">
        <v>1173</v>
      </c>
      <c r="P524" s="6">
        <v>45998</v>
      </c>
      <c r="Q524" s="102">
        <v>0</v>
      </c>
      <c r="R524" s="102">
        <v>0</v>
      </c>
      <c r="S524" s="7">
        <v>0</v>
      </c>
    </row>
    <row r="525" s="98" customFormat="1" ht="16.5" hidden="1" spans="1:19">
      <c r="A525" s="46">
        <v>523</v>
      </c>
      <c r="B525" s="46" t="s">
        <v>23</v>
      </c>
      <c r="C525" s="46" t="s">
        <v>38</v>
      </c>
      <c r="D525" s="7" t="s">
        <v>25</v>
      </c>
      <c r="E525" s="7" t="s">
        <v>1170</v>
      </c>
      <c r="F525" s="7" t="s">
        <v>903</v>
      </c>
      <c r="G525" s="46" t="s">
        <v>904</v>
      </c>
      <c r="H525" s="101">
        <v>1212</v>
      </c>
      <c r="I525" s="46" t="s">
        <v>905</v>
      </c>
      <c r="J525" s="6">
        <v>46051</v>
      </c>
      <c r="K525" s="7" t="s">
        <v>1319</v>
      </c>
      <c r="L525" s="7" t="s">
        <v>907</v>
      </c>
      <c r="M525" s="46" t="s">
        <v>1320</v>
      </c>
      <c r="N525" s="46" t="s">
        <v>220</v>
      </c>
      <c r="O525" s="46" t="s">
        <v>1173</v>
      </c>
      <c r="P525" s="6">
        <v>46022</v>
      </c>
      <c r="Q525" s="102">
        <v>0</v>
      </c>
      <c r="R525" s="102">
        <v>0</v>
      </c>
      <c r="S525" s="7">
        <v>0</v>
      </c>
    </row>
    <row r="526" s="98" customFormat="1" ht="16.5" hidden="1" spans="1:19">
      <c r="A526" s="46">
        <v>524</v>
      </c>
      <c r="B526" s="46" t="s">
        <v>23</v>
      </c>
      <c r="C526" s="46" t="s">
        <v>38</v>
      </c>
      <c r="D526" s="7" t="s">
        <v>25</v>
      </c>
      <c r="E526" s="7" t="s">
        <v>1170</v>
      </c>
      <c r="F526" s="7" t="s">
        <v>903</v>
      </c>
      <c r="G526" s="46" t="s">
        <v>904</v>
      </c>
      <c r="H526" s="101">
        <v>1212</v>
      </c>
      <c r="I526" s="46" t="s">
        <v>905</v>
      </c>
      <c r="J526" s="6">
        <v>46051</v>
      </c>
      <c r="K526" s="7" t="s">
        <v>1321</v>
      </c>
      <c r="L526" s="7" t="s">
        <v>907</v>
      </c>
      <c r="M526" s="46" t="s">
        <v>1322</v>
      </c>
      <c r="N526" s="46" t="s">
        <v>220</v>
      </c>
      <c r="O526" s="46" t="s">
        <v>1173</v>
      </c>
      <c r="P526" s="6">
        <v>45992</v>
      </c>
      <c r="Q526" s="102">
        <v>0</v>
      </c>
      <c r="R526" s="102">
        <v>0</v>
      </c>
      <c r="S526" s="7">
        <v>0</v>
      </c>
    </row>
    <row r="527" s="98" customFormat="1" ht="16.5" hidden="1" spans="1:19">
      <c r="A527" s="46">
        <v>525</v>
      </c>
      <c r="B527" s="46" t="s">
        <v>23</v>
      </c>
      <c r="C527" s="46" t="s">
        <v>38</v>
      </c>
      <c r="D527" s="7" t="s">
        <v>25</v>
      </c>
      <c r="E527" s="7" t="s">
        <v>1323</v>
      </c>
      <c r="F527" s="7" t="s">
        <v>903</v>
      </c>
      <c r="G527" s="46" t="s">
        <v>904</v>
      </c>
      <c r="H527" s="101">
        <v>1212</v>
      </c>
      <c r="I527" s="46" t="s">
        <v>905</v>
      </c>
      <c r="J527" s="6">
        <v>46051</v>
      </c>
      <c r="K527" s="7" t="s">
        <v>1199</v>
      </c>
      <c r="L527" s="7" t="s">
        <v>907</v>
      </c>
      <c r="M527" s="46" t="s">
        <v>1200</v>
      </c>
      <c r="N527" s="46" t="s">
        <v>70</v>
      </c>
      <c r="O527" s="46" t="s">
        <v>1173</v>
      </c>
      <c r="P527" s="6">
        <v>45978</v>
      </c>
      <c r="Q527" s="102">
        <v>0</v>
      </c>
      <c r="R527" s="102">
        <v>0</v>
      </c>
      <c r="S527" s="7">
        <v>0</v>
      </c>
    </row>
    <row r="528" s="98" customFormat="1" ht="16.5" hidden="1" spans="1:19">
      <c r="A528" s="46">
        <v>526</v>
      </c>
      <c r="B528" s="46" t="s">
        <v>23</v>
      </c>
      <c r="C528" s="46" t="s">
        <v>32</v>
      </c>
      <c r="D528" s="7" t="s">
        <v>25</v>
      </c>
      <c r="E528" s="7" t="s">
        <v>1323</v>
      </c>
      <c r="F528" s="7" t="s">
        <v>903</v>
      </c>
      <c r="G528" s="46" t="s">
        <v>904</v>
      </c>
      <c r="H528" s="101">
        <v>1212</v>
      </c>
      <c r="I528" s="46" t="s">
        <v>905</v>
      </c>
      <c r="J528" s="6">
        <v>46051</v>
      </c>
      <c r="K528" s="7" t="s">
        <v>1174</v>
      </c>
      <c r="L528" s="7" t="s">
        <v>915</v>
      </c>
      <c r="M528" s="46" t="s">
        <v>1175</v>
      </c>
      <c r="N528" s="46" t="s">
        <v>105</v>
      </c>
      <c r="O528" s="46" t="s">
        <v>1173</v>
      </c>
      <c r="P528" s="6">
        <v>46039</v>
      </c>
      <c r="Q528" s="102">
        <v>5</v>
      </c>
      <c r="R528" s="102">
        <v>5</v>
      </c>
      <c r="S528" s="7">
        <v>87</v>
      </c>
    </row>
    <row r="529" s="98" customFormat="1" ht="16.5" hidden="1" spans="1:19">
      <c r="A529" s="46">
        <v>527</v>
      </c>
      <c r="B529" s="46" t="s">
        <v>23</v>
      </c>
      <c r="C529" s="46" t="s">
        <v>32</v>
      </c>
      <c r="D529" s="7" t="s">
        <v>25</v>
      </c>
      <c r="E529" s="7" t="s">
        <v>1323</v>
      </c>
      <c r="F529" s="7" t="s">
        <v>903</v>
      </c>
      <c r="G529" s="46" t="s">
        <v>904</v>
      </c>
      <c r="H529" s="101">
        <v>1212</v>
      </c>
      <c r="I529" s="46" t="s">
        <v>905</v>
      </c>
      <c r="J529" s="6">
        <v>46051</v>
      </c>
      <c r="K529" s="7" t="s">
        <v>1176</v>
      </c>
      <c r="L529" s="7" t="s">
        <v>915</v>
      </c>
      <c r="M529" s="46" t="s">
        <v>1177</v>
      </c>
      <c r="N529" s="46" t="s">
        <v>105</v>
      </c>
      <c r="O529" s="46" t="s">
        <v>1173</v>
      </c>
      <c r="P529" s="6">
        <v>46015</v>
      </c>
      <c r="Q529" s="102">
        <v>0</v>
      </c>
      <c r="R529" s="102">
        <v>0</v>
      </c>
      <c r="S529" s="7">
        <v>90</v>
      </c>
    </row>
    <row r="530" s="98" customFormat="1" ht="16.5" hidden="1" spans="1:19">
      <c r="A530" s="46">
        <v>528</v>
      </c>
      <c r="B530" s="46" t="s">
        <v>23</v>
      </c>
      <c r="C530" s="46" t="s">
        <v>37</v>
      </c>
      <c r="D530" s="7" t="s">
        <v>25</v>
      </c>
      <c r="E530" s="7" t="s">
        <v>1323</v>
      </c>
      <c r="F530" s="7" t="s">
        <v>903</v>
      </c>
      <c r="G530" s="46" t="s">
        <v>904</v>
      </c>
      <c r="H530" s="101">
        <v>1212</v>
      </c>
      <c r="I530" s="46" t="s">
        <v>905</v>
      </c>
      <c r="J530" s="6">
        <v>46051</v>
      </c>
      <c r="K530" s="7" t="s">
        <v>1178</v>
      </c>
      <c r="L530" s="7" t="s">
        <v>915</v>
      </c>
      <c r="M530" s="46" t="s">
        <v>1179</v>
      </c>
      <c r="N530" s="46" t="s">
        <v>109</v>
      </c>
      <c r="O530" s="46" t="s">
        <v>1173</v>
      </c>
      <c r="P530" s="6">
        <v>45998</v>
      </c>
      <c r="Q530" s="102">
        <v>5</v>
      </c>
      <c r="R530" s="102">
        <v>5</v>
      </c>
      <c r="S530" s="7">
        <v>80</v>
      </c>
    </row>
    <row r="531" s="98" customFormat="1" ht="16.5" hidden="1" spans="1:19">
      <c r="A531" s="46">
        <v>529</v>
      </c>
      <c r="B531" s="46" t="s">
        <v>23</v>
      </c>
      <c r="C531" s="46" t="s">
        <v>37</v>
      </c>
      <c r="D531" s="7" t="s">
        <v>25</v>
      </c>
      <c r="E531" s="7" t="s">
        <v>1323</v>
      </c>
      <c r="F531" s="7" t="s">
        <v>903</v>
      </c>
      <c r="G531" s="46" t="s">
        <v>904</v>
      </c>
      <c r="H531" s="101">
        <v>1212</v>
      </c>
      <c r="I531" s="46" t="s">
        <v>905</v>
      </c>
      <c r="J531" s="6">
        <v>46051</v>
      </c>
      <c r="K531" s="7" t="s">
        <v>1180</v>
      </c>
      <c r="L531" s="7" t="s">
        <v>915</v>
      </c>
      <c r="M531" s="46" t="s">
        <v>1181</v>
      </c>
      <c r="N531" s="46" t="s">
        <v>109</v>
      </c>
      <c r="O531" s="46" t="s">
        <v>1173</v>
      </c>
      <c r="P531" s="6">
        <v>45983</v>
      </c>
      <c r="Q531" s="102">
        <v>5</v>
      </c>
      <c r="R531" s="102">
        <v>5</v>
      </c>
      <c r="S531" s="7">
        <v>100</v>
      </c>
    </row>
    <row r="532" s="98" customFormat="1" ht="16.5" hidden="1" spans="1:19">
      <c r="A532" s="46">
        <v>530</v>
      </c>
      <c r="B532" s="46" t="s">
        <v>23</v>
      </c>
      <c r="C532" s="46" t="s">
        <v>38</v>
      </c>
      <c r="D532" s="7" t="s">
        <v>25</v>
      </c>
      <c r="E532" s="7" t="s">
        <v>1323</v>
      </c>
      <c r="F532" s="7" t="s">
        <v>903</v>
      </c>
      <c r="G532" s="46" t="s">
        <v>904</v>
      </c>
      <c r="H532" s="101">
        <v>1212</v>
      </c>
      <c r="I532" s="46" t="s">
        <v>905</v>
      </c>
      <c r="J532" s="6">
        <v>46051</v>
      </c>
      <c r="K532" s="7" t="s">
        <v>1182</v>
      </c>
      <c r="L532" s="7" t="s">
        <v>907</v>
      </c>
      <c r="M532" s="46" t="s">
        <v>1183</v>
      </c>
      <c r="N532" s="46" t="s">
        <v>168</v>
      </c>
      <c r="O532" s="46" t="s">
        <v>1173</v>
      </c>
      <c r="P532" s="6">
        <v>46008</v>
      </c>
      <c r="Q532" s="102">
        <v>5</v>
      </c>
      <c r="R532" s="102">
        <v>5</v>
      </c>
      <c r="S532" s="7">
        <v>90</v>
      </c>
    </row>
    <row r="533" s="98" customFormat="1" ht="16.5" hidden="1" spans="1:19">
      <c r="A533" s="46">
        <v>531</v>
      </c>
      <c r="B533" s="46" t="s">
        <v>23</v>
      </c>
      <c r="C533" s="46" t="s">
        <v>38</v>
      </c>
      <c r="D533" s="7" t="s">
        <v>25</v>
      </c>
      <c r="E533" s="7" t="s">
        <v>1323</v>
      </c>
      <c r="F533" s="7" t="s">
        <v>903</v>
      </c>
      <c r="G533" s="46" t="s">
        <v>904</v>
      </c>
      <c r="H533" s="101">
        <v>1212</v>
      </c>
      <c r="I533" s="46" t="s">
        <v>905</v>
      </c>
      <c r="J533" s="6">
        <v>46051</v>
      </c>
      <c r="K533" s="7" t="s">
        <v>1184</v>
      </c>
      <c r="L533" s="7" t="s">
        <v>907</v>
      </c>
      <c r="M533" s="46" t="s">
        <v>1185</v>
      </c>
      <c r="N533" s="46" t="s">
        <v>148</v>
      </c>
      <c r="O533" s="46" t="s">
        <v>1173</v>
      </c>
      <c r="P533" s="6">
        <v>46019</v>
      </c>
      <c r="Q533" s="102">
        <v>0</v>
      </c>
      <c r="R533" s="102">
        <v>0</v>
      </c>
      <c r="S533" s="7">
        <v>0</v>
      </c>
    </row>
    <row r="534" s="98" customFormat="1" ht="16.5" hidden="1" spans="1:19">
      <c r="A534" s="46">
        <v>532</v>
      </c>
      <c r="B534" s="46" t="s">
        <v>23</v>
      </c>
      <c r="C534" s="46" t="s">
        <v>38</v>
      </c>
      <c r="D534" s="7" t="s">
        <v>25</v>
      </c>
      <c r="E534" s="7" t="s">
        <v>1323</v>
      </c>
      <c r="F534" s="7" t="s">
        <v>903</v>
      </c>
      <c r="G534" s="46" t="s">
        <v>904</v>
      </c>
      <c r="H534" s="101">
        <v>1212</v>
      </c>
      <c r="I534" s="46" t="s">
        <v>905</v>
      </c>
      <c r="J534" s="6">
        <v>46051</v>
      </c>
      <c r="K534" s="7" t="s">
        <v>1186</v>
      </c>
      <c r="L534" s="7" t="s">
        <v>915</v>
      </c>
      <c r="M534" s="46" t="s">
        <v>1187</v>
      </c>
      <c r="N534" s="46" t="s">
        <v>220</v>
      </c>
      <c r="O534" s="46" t="s">
        <v>1173</v>
      </c>
      <c r="P534" s="6">
        <v>46008</v>
      </c>
      <c r="Q534" s="102">
        <v>5</v>
      </c>
      <c r="R534" s="102">
        <v>5</v>
      </c>
      <c r="S534" s="7">
        <v>90</v>
      </c>
    </row>
    <row r="535" s="98" customFormat="1" ht="16.5" hidden="1" spans="1:19">
      <c r="A535" s="46">
        <v>533</v>
      </c>
      <c r="B535" s="46" t="s">
        <v>23</v>
      </c>
      <c r="C535" s="46" t="s">
        <v>29</v>
      </c>
      <c r="D535" s="7" t="s">
        <v>25</v>
      </c>
      <c r="E535" s="7" t="s">
        <v>1323</v>
      </c>
      <c r="F535" s="7" t="s">
        <v>903</v>
      </c>
      <c r="G535" s="46" t="s">
        <v>904</v>
      </c>
      <c r="H535" s="101">
        <v>1212</v>
      </c>
      <c r="I535" s="46" t="s">
        <v>905</v>
      </c>
      <c r="J535" s="6">
        <v>46051</v>
      </c>
      <c r="K535" s="7" t="s">
        <v>677</v>
      </c>
      <c r="L535" s="7" t="s">
        <v>915</v>
      </c>
      <c r="M535" s="46" t="s">
        <v>1188</v>
      </c>
      <c r="N535" s="46" t="s">
        <v>130</v>
      </c>
      <c r="O535" s="46" t="s">
        <v>1173</v>
      </c>
      <c r="P535" s="6">
        <v>46002</v>
      </c>
      <c r="Q535" s="102">
        <v>5</v>
      </c>
      <c r="R535" s="102">
        <v>5</v>
      </c>
      <c r="S535" s="7">
        <v>90</v>
      </c>
    </row>
    <row r="536" s="98" customFormat="1" ht="16.5" hidden="1" spans="1:19">
      <c r="A536" s="46">
        <v>534</v>
      </c>
      <c r="B536" s="46" t="s">
        <v>23</v>
      </c>
      <c r="C536" s="46" t="s">
        <v>29</v>
      </c>
      <c r="D536" s="7" t="s">
        <v>25</v>
      </c>
      <c r="E536" s="7" t="s">
        <v>1323</v>
      </c>
      <c r="F536" s="7" t="s">
        <v>903</v>
      </c>
      <c r="G536" s="46" t="s">
        <v>904</v>
      </c>
      <c r="H536" s="101">
        <v>1212</v>
      </c>
      <c r="I536" s="46" t="s">
        <v>905</v>
      </c>
      <c r="J536" s="6">
        <v>46051</v>
      </c>
      <c r="K536" s="7" t="s">
        <v>1189</v>
      </c>
      <c r="L536" s="7" t="s">
        <v>915</v>
      </c>
      <c r="M536" s="46" t="s">
        <v>1190</v>
      </c>
      <c r="N536" s="46" t="s">
        <v>130</v>
      </c>
      <c r="O536" s="46" t="s">
        <v>1173</v>
      </c>
      <c r="P536" s="6">
        <v>45998</v>
      </c>
      <c r="Q536" s="102">
        <v>5</v>
      </c>
      <c r="R536" s="102">
        <v>5</v>
      </c>
      <c r="S536" s="7">
        <v>90</v>
      </c>
    </row>
    <row r="537" s="98" customFormat="1" ht="16.5" hidden="1" spans="1:19">
      <c r="A537" s="46">
        <v>535</v>
      </c>
      <c r="B537" s="46" t="s">
        <v>23</v>
      </c>
      <c r="C537" s="46" t="s">
        <v>38</v>
      </c>
      <c r="D537" s="7" t="s">
        <v>25</v>
      </c>
      <c r="E537" s="7" t="s">
        <v>1323</v>
      </c>
      <c r="F537" s="7" t="s">
        <v>903</v>
      </c>
      <c r="G537" s="46" t="s">
        <v>904</v>
      </c>
      <c r="H537" s="101">
        <v>1212</v>
      </c>
      <c r="I537" s="46" t="s">
        <v>905</v>
      </c>
      <c r="J537" s="6">
        <v>46051</v>
      </c>
      <c r="K537" s="7" t="s">
        <v>1191</v>
      </c>
      <c r="L537" s="7" t="s">
        <v>907</v>
      </c>
      <c r="M537" s="46" t="s">
        <v>1192</v>
      </c>
      <c r="N537" s="46" t="s">
        <v>63</v>
      </c>
      <c r="O537" s="46" t="s">
        <v>1173</v>
      </c>
      <c r="P537" s="6">
        <v>46025</v>
      </c>
      <c r="Q537" s="102">
        <v>0</v>
      </c>
      <c r="R537" s="102">
        <v>0</v>
      </c>
      <c r="S537" s="7">
        <v>0</v>
      </c>
    </row>
    <row r="538" s="98" customFormat="1" ht="16.5" hidden="1" spans="1:19">
      <c r="A538" s="46">
        <v>536</v>
      </c>
      <c r="B538" s="46" t="s">
        <v>23</v>
      </c>
      <c r="C538" s="46" t="s">
        <v>38</v>
      </c>
      <c r="D538" s="7" t="s">
        <v>25</v>
      </c>
      <c r="E538" s="7" t="s">
        <v>1323</v>
      </c>
      <c r="F538" s="7" t="s">
        <v>903</v>
      </c>
      <c r="G538" s="46" t="s">
        <v>904</v>
      </c>
      <c r="H538" s="101">
        <v>1212</v>
      </c>
      <c r="I538" s="46" t="s">
        <v>905</v>
      </c>
      <c r="J538" s="6">
        <v>46051</v>
      </c>
      <c r="K538" s="7" t="s">
        <v>1193</v>
      </c>
      <c r="L538" s="7" t="s">
        <v>907</v>
      </c>
      <c r="M538" s="46" t="s">
        <v>1194</v>
      </c>
      <c r="N538" s="46" t="s">
        <v>63</v>
      </c>
      <c r="O538" s="46" t="s">
        <v>1173</v>
      </c>
      <c r="P538" s="6">
        <v>46022</v>
      </c>
      <c r="Q538" s="102">
        <v>0</v>
      </c>
      <c r="R538" s="102">
        <v>0</v>
      </c>
      <c r="S538" s="7">
        <v>0</v>
      </c>
    </row>
    <row r="539" s="98" customFormat="1" ht="16.5" hidden="1" spans="1:19">
      <c r="A539" s="46">
        <v>537</v>
      </c>
      <c r="B539" s="46" t="s">
        <v>23</v>
      </c>
      <c r="C539" s="46" t="s">
        <v>38</v>
      </c>
      <c r="D539" s="7" t="s">
        <v>25</v>
      </c>
      <c r="E539" s="7" t="s">
        <v>1323</v>
      </c>
      <c r="F539" s="7" t="s">
        <v>903</v>
      </c>
      <c r="G539" s="46" t="s">
        <v>904</v>
      </c>
      <c r="H539" s="101">
        <v>1212</v>
      </c>
      <c r="I539" s="46" t="s">
        <v>905</v>
      </c>
      <c r="J539" s="6">
        <v>46051</v>
      </c>
      <c r="K539" s="7" t="s">
        <v>1171</v>
      </c>
      <c r="L539" s="7" t="s">
        <v>907</v>
      </c>
      <c r="M539" s="46" t="s">
        <v>1172</v>
      </c>
      <c r="N539" s="46" t="s">
        <v>63</v>
      </c>
      <c r="O539" s="46" t="s">
        <v>1173</v>
      </c>
      <c r="P539" s="6">
        <v>46017</v>
      </c>
      <c r="Q539" s="102">
        <v>0</v>
      </c>
      <c r="R539" s="102">
        <v>0</v>
      </c>
      <c r="S539" s="7">
        <v>0</v>
      </c>
    </row>
    <row r="540" s="98" customFormat="1" ht="16.5" hidden="1" spans="1:19">
      <c r="A540" s="46">
        <v>538</v>
      </c>
      <c r="B540" s="46" t="s">
        <v>23</v>
      </c>
      <c r="C540" s="46" t="s">
        <v>38</v>
      </c>
      <c r="D540" s="7" t="s">
        <v>25</v>
      </c>
      <c r="E540" s="7" t="s">
        <v>1323</v>
      </c>
      <c r="F540" s="7" t="s">
        <v>903</v>
      </c>
      <c r="G540" s="46" t="s">
        <v>904</v>
      </c>
      <c r="H540" s="101">
        <v>1212</v>
      </c>
      <c r="I540" s="46" t="s">
        <v>905</v>
      </c>
      <c r="J540" s="6">
        <v>46051</v>
      </c>
      <c r="K540" s="7" t="s">
        <v>1195</v>
      </c>
      <c r="L540" s="7" t="s">
        <v>907</v>
      </c>
      <c r="M540" s="46" t="s">
        <v>1196</v>
      </c>
      <c r="N540" s="46" t="s">
        <v>63</v>
      </c>
      <c r="O540" s="46" t="s">
        <v>1173</v>
      </c>
      <c r="P540" s="6">
        <v>45962</v>
      </c>
      <c r="Q540" s="102">
        <v>0</v>
      </c>
      <c r="R540" s="102">
        <v>0</v>
      </c>
      <c r="S540" s="7">
        <v>0</v>
      </c>
    </row>
    <row r="541" s="98" customFormat="1" ht="16.5" hidden="1" spans="1:19">
      <c r="A541" s="46">
        <v>539</v>
      </c>
      <c r="B541" s="46" t="s">
        <v>23</v>
      </c>
      <c r="C541" s="46" t="s">
        <v>38</v>
      </c>
      <c r="D541" s="7" t="s">
        <v>25</v>
      </c>
      <c r="E541" s="7" t="s">
        <v>1323</v>
      </c>
      <c r="F541" s="7" t="s">
        <v>903</v>
      </c>
      <c r="G541" s="46" t="s">
        <v>904</v>
      </c>
      <c r="H541" s="101">
        <v>1212</v>
      </c>
      <c r="I541" s="46" t="s">
        <v>905</v>
      </c>
      <c r="J541" s="6">
        <v>46051</v>
      </c>
      <c r="K541" s="7" t="s">
        <v>1197</v>
      </c>
      <c r="L541" s="7" t="s">
        <v>907</v>
      </c>
      <c r="M541" s="46" t="s">
        <v>1198</v>
      </c>
      <c r="N541" s="46" t="s">
        <v>70</v>
      </c>
      <c r="O541" s="46" t="s">
        <v>1173</v>
      </c>
      <c r="P541" s="6">
        <v>46021</v>
      </c>
      <c r="Q541" s="102">
        <v>0</v>
      </c>
      <c r="R541" s="102">
        <v>0</v>
      </c>
      <c r="S541" s="7">
        <v>0</v>
      </c>
    </row>
    <row r="542" s="98" customFormat="1" ht="16.5" hidden="1" spans="1:19">
      <c r="A542" s="46">
        <v>540</v>
      </c>
      <c r="B542" s="46" t="s">
        <v>23</v>
      </c>
      <c r="C542" s="46" t="s">
        <v>38</v>
      </c>
      <c r="D542" s="7" t="s">
        <v>25</v>
      </c>
      <c r="E542" s="7" t="s">
        <v>1323</v>
      </c>
      <c r="F542" s="7" t="s">
        <v>903</v>
      </c>
      <c r="G542" s="46" t="s">
        <v>904</v>
      </c>
      <c r="H542" s="101">
        <v>1212</v>
      </c>
      <c r="I542" s="46" t="s">
        <v>905</v>
      </c>
      <c r="J542" s="6">
        <v>46051</v>
      </c>
      <c r="K542" s="7" t="s">
        <v>1201</v>
      </c>
      <c r="L542" s="7" t="s">
        <v>907</v>
      </c>
      <c r="M542" s="46" t="s">
        <v>1202</v>
      </c>
      <c r="N542" s="46" t="s">
        <v>75</v>
      </c>
      <c r="O542" s="46" t="s">
        <v>1173</v>
      </c>
      <c r="P542" s="6">
        <v>46027</v>
      </c>
      <c r="Q542" s="102">
        <v>5</v>
      </c>
      <c r="R542" s="102">
        <v>5</v>
      </c>
      <c r="S542" s="7">
        <v>0</v>
      </c>
    </row>
    <row r="543" s="98" customFormat="1" ht="16.5" hidden="1" spans="1:19">
      <c r="A543" s="46">
        <v>541</v>
      </c>
      <c r="B543" s="46" t="s">
        <v>23</v>
      </c>
      <c r="C543" s="46" t="s">
        <v>38</v>
      </c>
      <c r="D543" s="7" t="s">
        <v>25</v>
      </c>
      <c r="E543" s="7" t="s">
        <v>1323</v>
      </c>
      <c r="F543" s="7" t="s">
        <v>903</v>
      </c>
      <c r="G543" s="46" t="s">
        <v>904</v>
      </c>
      <c r="H543" s="101">
        <v>1212</v>
      </c>
      <c r="I543" s="46" t="s">
        <v>905</v>
      </c>
      <c r="J543" s="6">
        <v>46051</v>
      </c>
      <c r="K543" s="7" t="s">
        <v>1203</v>
      </c>
      <c r="L543" s="7" t="s">
        <v>907</v>
      </c>
      <c r="M543" s="46" t="s">
        <v>1204</v>
      </c>
      <c r="N543" s="46" t="s">
        <v>168</v>
      </c>
      <c r="O543" s="46" t="s">
        <v>1173</v>
      </c>
      <c r="P543" s="6">
        <v>45994</v>
      </c>
      <c r="Q543" s="102">
        <v>0</v>
      </c>
      <c r="R543" s="102">
        <v>0</v>
      </c>
      <c r="S543" s="7">
        <v>0</v>
      </c>
    </row>
    <row r="544" s="98" customFormat="1" ht="16.5" hidden="1" spans="1:19">
      <c r="A544" s="46">
        <v>542</v>
      </c>
      <c r="B544" s="46" t="s">
        <v>23</v>
      </c>
      <c r="C544" s="46" t="s">
        <v>29</v>
      </c>
      <c r="D544" s="7" t="s">
        <v>25</v>
      </c>
      <c r="E544" s="7" t="s">
        <v>1323</v>
      </c>
      <c r="F544" s="7" t="s">
        <v>903</v>
      </c>
      <c r="G544" s="46" t="s">
        <v>904</v>
      </c>
      <c r="H544" s="101">
        <v>1212</v>
      </c>
      <c r="I544" s="46" t="s">
        <v>905</v>
      </c>
      <c r="J544" s="6">
        <v>46051</v>
      </c>
      <c r="K544" s="7" t="s">
        <v>1205</v>
      </c>
      <c r="L544" s="7" t="s">
        <v>907</v>
      </c>
      <c r="M544" s="46" t="s">
        <v>1206</v>
      </c>
      <c r="N544" s="46" t="s">
        <v>130</v>
      </c>
      <c r="O544" s="46" t="s">
        <v>1173</v>
      </c>
      <c r="P544" s="6">
        <v>46011</v>
      </c>
      <c r="Q544" s="102">
        <v>0</v>
      </c>
      <c r="R544" s="102">
        <v>0</v>
      </c>
      <c r="S544" s="7">
        <v>0</v>
      </c>
    </row>
    <row r="545" s="98" customFormat="1" ht="16.5" hidden="1" spans="1:19">
      <c r="A545" s="46">
        <v>543</v>
      </c>
      <c r="B545" s="46" t="s">
        <v>23</v>
      </c>
      <c r="C545" s="46" t="s">
        <v>38</v>
      </c>
      <c r="D545" s="7" t="s">
        <v>25</v>
      </c>
      <c r="E545" s="7" t="s">
        <v>1323</v>
      </c>
      <c r="F545" s="7" t="s">
        <v>903</v>
      </c>
      <c r="G545" s="46" t="s">
        <v>904</v>
      </c>
      <c r="H545" s="101">
        <v>1212</v>
      </c>
      <c r="I545" s="46" t="s">
        <v>905</v>
      </c>
      <c r="J545" s="6">
        <v>46051</v>
      </c>
      <c r="K545" s="7" t="s">
        <v>1207</v>
      </c>
      <c r="L545" s="7" t="s">
        <v>907</v>
      </c>
      <c r="M545" s="46" t="s">
        <v>1208</v>
      </c>
      <c r="N545" s="46" t="s">
        <v>63</v>
      </c>
      <c r="O545" s="46" t="s">
        <v>1173</v>
      </c>
      <c r="P545" s="6">
        <v>46022</v>
      </c>
      <c r="Q545" s="102">
        <v>0</v>
      </c>
      <c r="R545" s="102">
        <v>0</v>
      </c>
      <c r="S545" s="7">
        <v>0</v>
      </c>
    </row>
    <row r="546" s="98" customFormat="1" ht="16.5" hidden="1" spans="1:19">
      <c r="A546" s="46">
        <v>544</v>
      </c>
      <c r="B546" s="46" t="s">
        <v>23</v>
      </c>
      <c r="C546" s="46" t="s">
        <v>38</v>
      </c>
      <c r="D546" s="7" t="s">
        <v>25</v>
      </c>
      <c r="E546" s="7" t="s">
        <v>1323</v>
      </c>
      <c r="F546" s="7" t="s">
        <v>903</v>
      </c>
      <c r="G546" s="46" t="s">
        <v>904</v>
      </c>
      <c r="H546" s="101">
        <v>1212</v>
      </c>
      <c r="I546" s="46" t="s">
        <v>905</v>
      </c>
      <c r="J546" s="6">
        <v>46051</v>
      </c>
      <c r="K546" s="7" t="s">
        <v>1209</v>
      </c>
      <c r="L546" s="7" t="s">
        <v>907</v>
      </c>
      <c r="M546" s="46" t="s">
        <v>1210</v>
      </c>
      <c r="N546" s="46" t="s">
        <v>63</v>
      </c>
      <c r="O546" s="46" t="s">
        <v>1173</v>
      </c>
      <c r="P546" s="6">
        <v>46022</v>
      </c>
      <c r="Q546" s="102">
        <v>0</v>
      </c>
      <c r="R546" s="102">
        <v>0</v>
      </c>
      <c r="S546" s="7">
        <v>0</v>
      </c>
    </row>
    <row r="547" s="98" customFormat="1" ht="16.5" hidden="1" spans="1:19">
      <c r="A547" s="46">
        <v>545</v>
      </c>
      <c r="B547" s="46" t="s">
        <v>23</v>
      </c>
      <c r="C547" s="46" t="s">
        <v>38</v>
      </c>
      <c r="D547" s="7" t="s">
        <v>25</v>
      </c>
      <c r="E547" s="7" t="s">
        <v>1323</v>
      </c>
      <c r="F547" s="7" t="s">
        <v>903</v>
      </c>
      <c r="G547" s="46" t="s">
        <v>904</v>
      </c>
      <c r="H547" s="101">
        <v>1212</v>
      </c>
      <c r="I547" s="46" t="s">
        <v>905</v>
      </c>
      <c r="J547" s="6">
        <v>46051</v>
      </c>
      <c r="K547" s="7" t="s">
        <v>1211</v>
      </c>
      <c r="L547" s="7" t="s">
        <v>907</v>
      </c>
      <c r="M547" s="46" t="s">
        <v>1212</v>
      </c>
      <c r="N547" s="46" t="s">
        <v>63</v>
      </c>
      <c r="O547" s="46" t="s">
        <v>1173</v>
      </c>
      <c r="P547" s="6">
        <v>46010</v>
      </c>
      <c r="Q547" s="102">
        <v>0</v>
      </c>
      <c r="R547" s="102">
        <v>0</v>
      </c>
      <c r="S547" s="7">
        <v>0</v>
      </c>
    </row>
    <row r="548" s="98" customFormat="1" ht="16.5" hidden="1" spans="1:19">
      <c r="A548" s="46">
        <v>546</v>
      </c>
      <c r="B548" s="46" t="s">
        <v>23</v>
      </c>
      <c r="C548" s="46" t="s">
        <v>38</v>
      </c>
      <c r="D548" s="7" t="s">
        <v>25</v>
      </c>
      <c r="E548" s="7" t="s">
        <v>1323</v>
      </c>
      <c r="F548" s="7" t="s">
        <v>903</v>
      </c>
      <c r="G548" s="46" t="s">
        <v>904</v>
      </c>
      <c r="H548" s="101">
        <v>1212</v>
      </c>
      <c r="I548" s="46" t="s">
        <v>905</v>
      </c>
      <c r="J548" s="6">
        <v>46051</v>
      </c>
      <c r="K548" s="7" t="s">
        <v>1213</v>
      </c>
      <c r="L548" s="7" t="s">
        <v>907</v>
      </c>
      <c r="M548" s="46" t="s">
        <v>1214</v>
      </c>
      <c r="N548" s="46" t="s">
        <v>63</v>
      </c>
      <c r="O548" s="46" t="s">
        <v>1173</v>
      </c>
      <c r="P548" s="6">
        <v>45896</v>
      </c>
      <c r="Q548" s="102">
        <v>0</v>
      </c>
      <c r="R548" s="102">
        <v>0</v>
      </c>
      <c r="S548" s="7">
        <v>0</v>
      </c>
    </row>
    <row r="549" s="98" customFormat="1" ht="16.5" hidden="1" spans="1:19">
      <c r="A549" s="46">
        <v>547</v>
      </c>
      <c r="B549" s="46" t="s">
        <v>23</v>
      </c>
      <c r="C549" s="46" t="s">
        <v>38</v>
      </c>
      <c r="D549" s="7" t="s">
        <v>25</v>
      </c>
      <c r="E549" s="7" t="s">
        <v>1323</v>
      </c>
      <c r="F549" s="7" t="s">
        <v>903</v>
      </c>
      <c r="G549" s="46" t="s">
        <v>904</v>
      </c>
      <c r="H549" s="101">
        <v>1212</v>
      </c>
      <c r="I549" s="46" t="s">
        <v>905</v>
      </c>
      <c r="J549" s="6">
        <v>46051</v>
      </c>
      <c r="K549" s="7" t="s">
        <v>1215</v>
      </c>
      <c r="L549" s="7" t="s">
        <v>907</v>
      </c>
      <c r="M549" s="46" t="s">
        <v>1216</v>
      </c>
      <c r="N549" s="46" t="s">
        <v>168</v>
      </c>
      <c r="O549" s="46" t="s">
        <v>1173</v>
      </c>
      <c r="P549" s="6">
        <v>46005</v>
      </c>
      <c r="Q549" s="102">
        <v>0</v>
      </c>
      <c r="R549" s="102">
        <v>0</v>
      </c>
      <c r="S549" s="7">
        <v>0</v>
      </c>
    </row>
    <row r="550" s="98" customFormat="1" ht="16.5" hidden="1" spans="1:19">
      <c r="A550" s="46">
        <v>548</v>
      </c>
      <c r="B550" s="46" t="s">
        <v>23</v>
      </c>
      <c r="C550" s="46" t="s">
        <v>38</v>
      </c>
      <c r="D550" s="7" t="s">
        <v>25</v>
      </c>
      <c r="E550" s="7" t="s">
        <v>1323</v>
      </c>
      <c r="F550" s="7" t="s">
        <v>903</v>
      </c>
      <c r="G550" s="46" t="s">
        <v>904</v>
      </c>
      <c r="H550" s="101">
        <v>1212</v>
      </c>
      <c r="I550" s="46" t="s">
        <v>905</v>
      </c>
      <c r="J550" s="6">
        <v>46051</v>
      </c>
      <c r="K550" s="7" t="s">
        <v>1217</v>
      </c>
      <c r="L550" s="7" t="s">
        <v>907</v>
      </c>
      <c r="M550" s="46" t="s">
        <v>1218</v>
      </c>
      <c r="N550" s="46" t="s">
        <v>168</v>
      </c>
      <c r="O550" s="46" t="s">
        <v>1173</v>
      </c>
      <c r="P550" s="6">
        <v>45999</v>
      </c>
      <c r="Q550" s="102">
        <v>0</v>
      </c>
      <c r="R550" s="102">
        <v>0</v>
      </c>
      <c r="S550" s="7">
        <v>0</v>
      </c>
    </row>
    <row r="551" s="98" customFormat="1" ht="16.5" hidden="1" spans="1:19">
      <c r="A551" s="46">
        <v>549</v>
      </c>
      <c r="B551" s="46" t="s">
        <v>23</v>
      </c>
      <c r="C551" s="46" t="s">
        <v>38</v>
      </c>
      <c r="D551" s="7" t="s">
        <v>25</v>
      </c>
      <c r="E551" s="7" t="s">
        <v>1323</v>
      </c>
      <c r="F551" s="7" t="s">
        <v>903</v>
      </c>
      <c r="G551" s="46" t="s">
        <v>904</v>
      </c>
      <c r="H551" s="101">
        <v>1212</v>
      </c>
      <c r="I551" s="46" t="s">
        <v>905</v>
      </c>
      <c r="J551" s="6">
        <v>46051</v>
      </c>
      <c r="K551" s="7" t="s">
        <v>1219</v>
      </c>
      <c r="L551" s="7" t="s">
        <v>915</v>
      </c>
      <c r="M551" s="46" t="s">
        <v>1220</v>
      </c>
      <c r="N551" s="46" t="s">
        <v>75</v>
      </c>
      <c r="O551" s="46" t="s">
        <v>1173</v>
      </c>
      <c r="P551" s="6">
        <v>46020</v>
      </c>
      <c r="Q551" s="102">
        <v>5</v>
      </c>
      <c r="R551" s="102">
        <v>5</v>
      </c>
      <c r="S551" s="7">
        <v>90</v>
      </c>
    </row>
    <row r="552" s="98" customFormat="1" ht="16.5" hidden="1" spans="1:19">
      <c r="A552" s="46">
        <v>550</v>
      </c>
      <c r="B552" s="46" t="s">
        <v>23</v>
      </c>
      <c r="C552" s="46" t="s">
        <v>38</v>
      </c>
      <c r="D552" s="7" t="s">
        <v>25</v>
      </c>
      <c r="E552" s="7" t="s">
        <v>1323</v>
      </c>
      <c r="F552" s="7" t="s">
        <v>903</v>
      </c>
      <c r="G552" s="46" t="s">
        <v>904</v>
      </c>
      <c r="H552" s="101">
        <v>1212</v>
      </c>
      <c r="I552" s="46" t="s">
        <v>905</v>
      </c>
      <c r="J552" s="6">
        <v>46051</v>
      </c>
      <c r="K552" s="7" t="s">
        <v>1221</v>
      </c>
      <c r="L552" s="7" t="s">
        <v>907</v>
      </c>
      <c r="M552" s="46" t="s">
        <v>1222</v>
      </c>
      <c r="N552" s="46" t="s">
        <v>75</v>
      </c>
      <c r="O552" s="46" t="s">
        <v>1173</v>
      </c>
      <c r="P552" s="6">
        <v>46017</v>
      </c>
      <c r="Q552" s="102">
        <v>0</v>
      </c>
      <c r="R552" s="102">
        <v>0</v>
      </c>
      <c r="S552" s="7">
        <v>0</v>
      </c>
    </row>
    <row r="553" s="98" customFormat="1" ht="16.5" hidden="1" spans="1:19">
      <c r="A553" s="46">
        <v>551</v>
      </c>
      <c r="B553" s="46" t="s">
        <v>23</v>
      </c>
      <c r="C553" s="46" t="s">
        <v>32</v>
      </c>
      <c r="D553" s="7" t="s">
        <v>25</v>
      </c>
      <c r="E553" s="7" t="s">
        <v>1323</v>
      </c>
      <c r="F553" s="7" t="s">
        <v>903</v>
      </c>
      <c r="G553" s="46" t="s">
        <v>904</v>
      </c>
      <c r="H553" s="101">
        <v>1212</v>
      </c>
      <c r="I553" s="46" t="s">
        <v>905</v>
      </c>
      <c r="J553" s="6">
        <v>46051</v>
      </c>
      <c r="K553" s="7" t="s">
        <v>1223</v>
      </c>
      <c r="L553" s="7" t="s">
        <v>907</v>
      </c>
      <c r="M553" s="46" t="s">
        <v>1224</v>
      </c>
      <c r="N553" s="46" t="s">
        <v>105</v>
      </c>
      <c r="O553" s="46" t="s">
        <v>1173</v>
      </c>
      <c r="P553" s="6">
        <v>46017</v>
      </c>
      <c r="Q553" s="102">
        <v>0</v>
      </c>
      <c r="R553" s="102">
        <v>0</v>
      </c>
      <c r="S553" s="7">
        <v>0</v>
      </c>
    </row>
    <row r="554" s="98" customFormat="1" ht="16.5" hidden="1" spans="1:19">
      <c r="A554" s="46">
        <v>552</v>
      </c>
      <c r="B554" s="46" t="s">
        <v>23</v>
      </c>
      <c r="C554" s="46" t="s">
        <v>31</v>
      </c>
      <c r="D554" s="7" t="s">
        <v>25</v>
      </c>
      <c r="E554" s="7" t="s">
        <v>1323</v>
      </c>
      <c r="F554" s="7" t="s">
        <v>903</v>
      </c>
      <c r="G554" s="46" t="s">
        <v>904</v>
      </c>
      <c r="H554" s="101">
        <v>1212</v>
      </c>
      <c r="I554" s="46" t="s">
        <v>905</v>
      </c>
      <c r="J554" s="6">
        <v>46051</v>
      </c>
      <c r="K554" s="7" t="s">
        <v>1225</v>
      </c>
      <c r="L554" s="7" t="s">
        <v>915</v>
      </c>
      <c r="M554" s="46" t="s">
        <v>1226</v>
      </c>
      <c r="N554" s="46" t="s">
        <v>90</v>
      </c>
      <c r="O554" s="46" t="s">
        <v>1173</v>
      </c>
      <c r="P554" s="6">
        <v>45946</v>
      </c>
      <c r="Q554" s="102">
        <v>5</v>
      </c>
      <c r="R554" s="102">
        <v>5</v>
      </c>
      <c r="S554" s="7">
        <v>98</v>
      </c>
    </row>
    <row r="555" s="98" customFormat="1" ht="16.5" hidden="1" spans="1:19">
      <c r="A555" s="46">
        <v>553</v>
      </c>
      <c r="B555" s="46" t="s">
        <v>23</v>
      </c>
      <c r="C555" s="46" t="s">
        <v>38</v>
      </c>
      <c r="D555" s="7" t="s">
        <v>25</v>
      </c>
      <c r="E555" s="7" t="s">
        <v>1323</v>
      </c>
      <c r="F555" s="7" t="s">
        <v>903</v>
      </c>
      <c r="G555" s="46" t="s">
        <v>904</v>
      </c>
      <c r="H555" s="101">
        <v>1212</v>
      </c>
      <c r="I555" s="46" t="s">
        <v>905</v>
      </c>
      <c r="J555" s="6">
        <v>46051</v>
      </c>
      <c r="K555" s="7" t="s">
        <v>1227</v>
      </c>
      <c r="L555" s="7" t="s">
        <v>907</v>
      </c>
      <c r="M555" s="46" t="s">
        <v>1228</v>
      </c>
      <c r="N555" s="46" t="s">
        <v>70</v>
      </c>
      <c r="O555" s="46" t="s">
        <v>1173</v>
      </c>
      <c r="P555" s="6">
        <v>45962</v>
      </c>
      <c r="Q555" s="102">
        <v>0</v>
      </c>
      <c r="R555" s="102">
        <v>0</v>
      </c>
      <c r="S555" s="7">
        <v>0</v>
      </c>
    </row>
    <row r="556" s="98" customFormat="1" ht="16.5" hidden="1" spans="1:19">
      <c r="A556" s="46">
        <v>554</v>
      </c>
      <c r="B556" s="46" t="s">
        <v>23</v>
      </c>
      <c r="C556" s="46" t="s">
        <v>38</v>
      </c>
      <c r="D556" s="7" t="s">
        <v>25</v>
      </c>
      <c r="E556" s="7" t="s">
        <v>1323</v>
      </c>
      <c r="F556" s="7" t="s">
        <v>903</v>
      </c>
      <c r="G556" s="46" t="s">
        <v>904</v>
      </c>
      <c r="H556" s="101">
        <v>1212</v>
      </c>
      <c r="I556" s="46" t="s">
        <v>905</v>
      </c>
      <c r="J556" s="6">
        <v>46051</v>
      </c>
      <c r="K556" s="7" t="s">
        <v>1229</v>
      </c>
      <c r="L556" s="7" t="s">
        <v>915</v>
      </c>
      <c r="M556" s="46" t="s">
        <v>1230</v>
      </c>
      <c r="N556" s="46" t="s">
        <v>70</v>
      </c>
      <c r="O556" s="46" t="s">
        <v>1173</v>
      </c>
      <c r="P556" s="6">
        <v>46022</v>
      </c>
      <c r="Q556" s="102">
        <v>5</v>
      </c>
      <c r="R556" s="102">
        <v>5</v>
      </c>
      <c r="S556" s="7">
        <v>90</v>
      </c>
    </row>
    <row r="557" s="98" customFormat="1" ht="16.5" hidden="1" spans="1:19">
      <c r="A557" s="46">
        <v>555</v>
      </c>
      <c r="B557" s="46" t="s">
        <v>23</v>
      </c>
      <c r="C557" s="46" t="s">
        <v>37</v>
      </c>
      <c r="D557" s="7" t="s">
        <v>25</v>
      </c>
      <c r="E557" s="7" t="s">
        <v>1323</v>
      </c>
      <c r="F557" s="7" t="s">
        <v>903</v>
      </c>
      <c r="G557" s="46" t="s">
        <v>904</v>
      </c>
      <c r="H557" s="101">
        <v>1212</v>
      </c>
      <c r="I557" s="46" t="s">
        <v>905</v>
      </c>
      <c r="J557" s="6">
        <v>46051</v>
      </c>
      <c r="K557" s="7" t="s">
        <v>1231</v>
      </c>
      <c r="L557" s="7" t="s">
        <v>915</v>
      </c>
      <c r="M557" s="46" t="s">
        <v>1232</v>
      </c>
      <c r="N557" s="46" t="s">
        <v>109</v>
      </c>
      <c r="O557" s="46" t="s">
        <v>1173</v>
      </c>
      <c r="P557" s="6">
        <v>46031</v>
      </c>
      <c r="Q557" s="102">
        <v>5</v>
      </c>
      <c r="R557" s="102">
        <v>5</v>
      </c>
      <c r="S557" s="7">
        <v>90</v>
      </c>
    </row>
    <row r="558" s="98" customFormat="1" ht="16.5" hidden="1" spans="1:19">
      <c r="A558" s="46">
        <v>556</v>
      </c>
      <c r="B558" s="46" t="s">
        <v>23</v>
      </c>
      <c r="C558" s="46" t="s">
        <v>32</v>
      </c>
      <c r="D558" s="7" t="s">
        <v>25</v>
      </c>
      <c r="E558" s="7" t="s">
        <v>1323</v>
      </c>
      <c r="F558" s="7" t="s">
        <v>903</v>
      </c>
      <c r="G558" s="46" t="s">
        <v>904</v>
      </c>
      <c r="H558" s="101">
        <v>1212</v>
      </c>
      <c r="I558" s="46" t="s">
        <v>905</v>
      </c>
      <c r="J558" s="6">
        <v>46051</v>
      </c>
      <c r="K558" s="7" t="s">
        <v>1233</v>
      </c>
      <c r="L558" s="7" t="s">
        <v>915</v>
      </c>
      <c r="M558" s="46" t="s">
        <v>1234</v>
      </c>
      <c r="N558" s="46" t="s">
        <v>105</v>
      </c>
      <c r="O558" s="46" t="s">
        <v>1173</v>
      </c>
      <c r="P558" s="6">
        <v>46014</v>
      </c>
      <c r="Q558" s="102">
        <v>5</v>
      </c>
      <c r="R558" s="102">
        <v>5</v>
      </c>
      <c r="S558" s="7">
        <v>95</v>
      </c>
    </row>
    <row r="559" s="98" customFormat="1" ht="16.5" hidden="1" spans="1:19">
      <c r="A559" s="46">
        <v>557</v>
      </c>
      <c r="B559" s="46" t="s">
        <v>23</v>
      </c>
      <c r="C559" s="46" t="s">
        <v>24</v>
      </c>
      <c r="D559" s="7" t="s">
        <v>25</v>
      </c>
      <c r="E559" s="7" t="s">
        <v>1323</v>
      </c>
      <c r="F559" s="7" t="s">
        <v>903</v>
      </c>
      <c r="G559" s="46" t="s">
        <v>904</v>
      </c>
      <c r="H559" s="101">
        <v>1212</v>
      </c>
      <c r="I559" s="46" t="s">
        <v>905</v>
      </c>
      <c r="J559" s="6">
        <v>46051</v>
      </c>
      <c r="K559" s="7" t="s">
        <v>1235</v>
      </c>
      <c r="L559" s="7" t="s">
        <v>915</v>
      </c>
      <c r="M559" s="46" t="s">
        <v>1236</v>
      </c>
      <c r="N559" s="46" t="s">
        <v>101</v>
      </c>
      <c r="O559" s="46" t="s">
        <v>1173</v>
      </c>
      <c r="P559" s="6">
        <v>45969</v>
      </c>
      <c r="Q559" s="102">
        <v>5</v>
      </c>
      <c r="R559" s="102">
        <v>5</v>
      </c>
      <c r="S559" s="7">
        <v>100</v>
      </c>
    </row>
    <row r="560" s="98" customFormat="1" ht="16.5" hidden="1" spans="1:19">
      <c r="A560" s="46">
        <v>558</v>
      </c>
      <c r="B560" s="46" t="s">
        <v>23</v>
      </c>
      <c r="C560" s="46" t="s">
        <v>38</v>
      </c>
      <c r="D560" s="7" t="s">
        <v>25</v>
      </c>
      <c r="E560" s="7" t="s">
        <v>1323</v>
      </c>
      <c r="F560" s="7" t="s">
        <v>903</v>
      </c>
      <c r="G560" s="46" t="s">
        <v>904</v>
      </c>
      <c r="H560" s="101">
        <v>1212</v>
      </c>
      <c r="I560" s="46" t="s">
        <v>905</v>
      </c>
      <c r="J560" s="6">
        <v>46051</v>
      </c>
      <c r="K560" s="7" t="s">
        <v>1237</v>
      </c>
      <c r="L560" s="7" t="s">
        <v>915</v>
      </c>
      <c r="M560" s="46" t="s">
        <v>1238</v>
      </c>
      <c r="N560" s="46" t="s">
        <v>70</v>
      </c>
      <c r="O560" s="46" t="s">
        <v>1173</v>
      </c>
      <c r="P560" s="6">
        <v>45998</v>
      </c>
      <c r="Q560" s="102">
        <v>5</v>
      </c>
      <c r="R560" s="102">
        <v>5</v>
      </c>
      <c r="S560" s="7">
        <v>88</v>
      </c>
    </row>
    <row r="561" s="98" customFormat="1" ht="16.5" hidden="1" spans="1:19">
      <c r="A561" s="46">
        <v>559</v>
      </c>
      <c r="B561" s="46" t="s">
        <v>23</v>
      </c>
      <c r="C561" s="46" t="s">
        <v>38</v>
      </c>
      <c r="D561" s="7" t="s">
        <v>25</v>
      </c>
      <c r="E561" s="7" t="s">
        <v>1323</v>
      </c>
      <c r="F561" s="7" t="s">
        <v>903</v>
      </c>
      <c r="G561" s="46" t="s">
        <v>904</v>
      </c>
      <c r="H561" s="101">
        <v>1212</v>
      </c>
      <c r="I561" s="46" t="s">
        <v>905</v>
      </c>
      <c r="J561" s="6">
        <v>46051</v>
      </c>
      <c r="K561" s="7" t="s">
        <v>1239</v>
      </c>
      <c r="L561" s="7" t="s">
        <v>915</v>
      </c>
      <c r="M561" s="46" t="s">
        <v>1240</v>
      </c>
      <c r="N561" s="46" t="s">
        <v>148</v>
      </c>
      <c r="O561" s="46" t="s">
        <v>1173</v>
      </c>
      <c r="P561" s="6">
        <v>45998</v>
      </c>
      <c r="Q561" s="102">
        <v>5</v>
      </c>
      <c r="R561" s="102">
        <v>5</v>
      </c>
      <c r="S561" s="7">
        <v>90</v>
      </c>
    </row>
    <row r="562" s="98" customFormat="1" ht="16.5" hidden="1" spans="1:19">
      <c r="A562" s="46">
        <v>560</v>
      </c>
      <c r="B562" s="46" t="s">
        <v>23</v>
      </c>
      <c r="C562" s="46" t="s">
        <v>38</v>
      </c>
      <c r="D562" s="7" t="s">
        <v>25</v>
      </c>
      <c r="E562" s="7" t="s">
        <v>1323</v>
      </c>
      <c r="F562" s="7" t="s">
        <v>903</v>
      </c>
      <c r="G562" s="46" t="s">
        <v>904</v>
      </c>
      <c r="H562" s="101">
        <v>1212</v>
      </c>
      <c r="I562" s="46" t="s">
        <v>905</v>
      </c>
      <c r="J562" s="6">
        <v>46051</v>
      </c>
      <c r="K562" s="7" t="s">
        <v>1241</v>
      </c>
      <c r="L562" s="7" t="s">
        <v>915</v>
      </c>
      <c r="M562" s="46" t="s">
        <v>1242</v>
      </c>
      <c r="N562" s="46" t="s">
        <v>148</v>
      </c>
      <c r="O562" s="46" t="s">
        <v>1173</v>
      </c>
      <c r="P562" s="6">
        <v>45990</v>
      </c>
      <c r="Q562" s="102">
        <v>5</v>
      </c>
      <c r="R562" s="102">
        <v>5</v>
      </c>
      <c r="S562" s="7">
        <v>88</v>
      </c>
    </row>
    <row r="563" s="98" customFormat="1" ht="16.5" hidden="1" spans="1:19">
      <c r="A563" s="46">
        <v>561</v>
      </c>
      <c r="B563" s="46" t="s">
        <v>23</v>
      </c>
      <c r="C563" s="46" t="s">
        <v>38</v>
      </c>
      <c r="D563" s="7" t="s">
        <v>25</v>
      </c>
      <c r="E563" s="7" t="s">
        <v>1323</v>
      </c>
      <c r="F563" s="7" t="s">
        <v>903</v>
      </c>
      <c r="G563" s="46" t="s">
        <v>904</v>
      </c>
      <c r="H563" s="101">
        <v>1212</v>
      </c>
      <c r="I563" s="46" t="s">
        <v>905</v>
      </c>
      <c r="J563" s="6">
        <v>46051</v>
      </c>
      <c r="K563" s="7" t="s">
        <v>1243</v>
      </c>
      <c r="L563" s="7" t="s">
        <v>907</v>
      </c>
      <c r="M563" s="46" t="s">
        <v>1244</v>
      </c>
      <c r="N563" s="46" t="s">
        <v>220</v>
      </c>
      <c r="O563" s="46" t="s">
        <v>1173</v>
      </c>
      <c r="P563" s="6">
        <v>46031</v>
      </c>
      <c r="Q563" s="102">
        <v>0</v>
      </c>
      <c r="R563" s="102">
        <v>0</v>
      </c>
      <c r="S563" s="7">
        <v>0</v>
      </c>
    </row>
    <row r="564" s="98" customFormat="1" ht="16.5" hidden="1" spans="1:19">
      <c r="A564" s="46">
        <v>562</v>
      </c>
      <c r="B564" s="46" t="s">
        <v>23</v>
      </c>
      <c r="C564" s="46" t="s">
        <v>38</v>
      </c>
      <c r="D564" s="7" t="s">
        <v>25</v>
      </c>
      <c r="E564" s="7" t="s">
        <v>1323</v>
      </c>
      <c r="F564" s="7" t="s">
        <v>903</v>
      </c>
      <c r="G564" s="46" t="s">
        <v>904</v>
      </c>
      <c r="H564" s="101">
        <v>1212</v>
      </c>
      <c r="I564" s="46" t="s">
        <v>905</v>
      </c>
      <c r="J564" s="6">
        <v>46051</v>
      </c>
      <c r="K564" s="7" t="s">
        <v>1245</v>
      </c>
      <c r="L564" s="7" t="s">
        <v>915</v>
      </c>
      <c r="M564" s="46" t="s">
        <v>1246</v>
      </c>
      <c r="N564" s="46" t="s">
        <v>75</v>
      </c>
      <c r="O564" s="46" t="s">
        <v>1173</v>
      </c>
      <c r="P564" s="6">
        <v>46022</v>
      </c>
      <c r="Q564" s="102">
        <v>5</v>
      </c>
      <c r="R564" s="102">
        <v>5</v>
      </c>
      <c r="S564" s="7">
        <v>100</v>
      </c>
    </row>
    <row r="565" s="98" customFormat="1" ht="16.5" hidden="1" spans="1:19">
      <c r="A565" s="46">
        <v>563</v>
      </c>
      <c r="B565" s="46" t="s">
        <v>23</v>
      </c>
      <c r="C565" s="46" t="s">
        <v>29</v>
      </c>
      <c r="D565" s="7" t="s">
        <v>25</v>
      </c>
      <c r="E565" s="7" t="s">
        <v>1323</v>
      </c>
      <c r="F565" s="7" t="s">
        <v>903</v>
      </c>
      <c r="G565" s="46" t="s">
        <v>904</v>
      </c>
      <c r="H565" s="101">
        <v>1212</v>
      </c>
      <c r="I565" s="46" t="s">
        <v>905</v>
      </c>
      <c r="J565" s="6">
        <v>46051</v>
      </c>
      <c r="K565" s="7" t="s">
        <v>1247</v>
      </c>
      <c r="L565" s="7" t="s">
        <v>915</v>
      </c>
      <c r="M565" s="46" t="s">
        <v>1248</v>
      </c>
      <c r="N565" s="46" t="s">
        <v>130</v>
      </c>
      <c r="O565" s="46" t="s">
        <v>1173</v>
      </c>
      <c r="P565" s="6">
        <v>46024</v>
      </c>
      <c r="Q565" s="102">
        <v>4.75</v>
      </c>
      <c r="R565" s="102">
        <v>5</v>
      </c>
      <c r="S565" s="7">
        <v>90</v>
      </c>
    </row>
    <row r="566" s="98" customFormat="1" ht="16.5" hidden="1" spans="1:19">
      <c r="A566" s="46">
        <v>564</v>
      </c>
      <c r="B566" s="46" t="s">
        <v>23</v>
      </c>
      <c r="C566" s="46" t="s">
        <v>35</v>
      </c>
      <c r="D566" s="7" t="s">
        <v>25</v>
      </c>
      <c r="E566" s="7" t="s">
        <v>1323</v>
      </c>
      <c r="F566" s="7" t="s">
        <v>903</v>
      </c>
      <c r="G566" s="46" t="s">
        <v>904</v>
      </c>
      <c r="H566" s="101">
        <v>1212</v>
      </c>
      <c r="I566" s="46" t="s">
        <v>905</v>
      </c>
      <c r="J566" s="6">
        <v>46051</v>
      </c>
      <c r="K566" s="7" t="s">
        <v>1249</v>
      </c>
      <c r="L566" s="7" t="s">
        <v>915</v>
      </c>
      <c r="M566" s="46" t="s">
        <v>1250</v>
      </c>
      <c r="N566" s="46" t="s">
        <v>125</v>
      </c>
      <c r="O566" s="46" t="s">
        <v>1173</v>
      </c>
      <c r="P566" s="6">
        <v>46020</v>
      </c>
      <c r="Q566" s="102">
        <v>0</v>
      </c>
      <c r="R566" s="102">
        <v>0</v>
      </c>
      <c r="S566" s="7">
        <v>90</v>
      </c>
    </row>
    <row r="567" s="98" customFormat="1" ht="16.5" hidden="1" spans="1:19">
      <c r="A567" s="46">
        <v>565</v>
      </c>
      <c r="B567" s="46" t="s">
        <v>23</v>
      </c>
      <c r="C567" s="46" t="s">
        <v>29</v>
      </c>
      <c r="D567" s="7" t="s">
        <v>25</v>
      </c>
      <c r="E567" s="7" t="s">
        <v>1323</v>
      </c>
      <c r="F567" s="7" t="s">
        <v>903</v>
      </c>
      <c r="G567" s="46" t="s">
        <v>904</v>
      </c>
      <c r="H567" s="101">
        <v>1212</v>
      </c>
      <c r="I567" s="46" t="s">
        <v>905</v>
      </c>
      <c r="J567" s="6">
        <v>46051</v>
      </c>
      <c r="K567" s="7" t="s">
        <v>1251</v>
      </c>
      <c r="L567" s="7" t="s">
        <v>915</v>
      </c>
      <c r="M567" s="46" t="s">
        <v>1252</v>
      </c>
      <c r="N567" s="46" t="s">
        <v>130</v>
      </c>
      <c r="O567" s="46" t="s">
        <v>1173</v>
      </c>
      <c r="P567" s="6">
        <v>46010</v>
      </c>
      <c r="Q567" s="102">
        <v>0</v>
      </c>
      <c r="R567" s="102">
        <v>0</v>
      </c>
      <c r="S567" s="7">
        <v>85</v>
      </c>
    </row>
    <row r="568" s="98" customFormat="1" ht="16.5" hidden="1" spans="1:19">
      <c r="A568" s="46">
        <v>566</v>
      </c>
      <c r="B568" s="46" t="s">
        <v>23</v>
      </c>
      <c r="C568" s="46" t="s">
        <v>34</v>
      </c>
      <c r="D568" s="7" t="s">
        <v>25</v>
      </c>
      <c r="E568" s="7" t="s">
        <v>1323</v>
      </c>
      <c r="F568" s="7" t="s">
        <v>903</v>
      </c>
      <c r="G568" s="46" t="s">
        <v>904</v>
      </c>
      <c r="H568" s="101">
        <v>1212</v>
      </c>
      <c r="I568" s="46" t="s">
        <v>905</v>
      </c>
      <c r="J568" s="6">
        <v>46051</v>
      </c>
      <c r="K568" s="7" t="s">
        <v>1253</v>
      </c>
      <c r="L568" s="7" t="s">
        <v>915</v>
      </c>
      <c r="M568" s="46" t="s">
        <v>1254</v>
      </c>
      <c r="N568" s="46" t="s">
        <v>351</v>
      </c>
      <c r="O568" s="46" t="s">
        <v>1173</v>
      </c>
      <c r="P568" s="6">
        <v>45958</v>
      </c>
      <c r="Q568" s="102">
        <v>5</v>
      </c>
      <c r="R568" s="102">
        <v>5</v>
      </c>
      <c r="S568" s="7">
        <v>80</v>
      </c>
    </row>
    <row r="569" s="98" customFormat="1" ht="16.5" hidden="1" spans="1:19">
      <c r="A569" s="46">
        <v>567</v>
      </c>
      <c r="B569" s="46" t="s">
        <v>23</v>
      </c>
      <c r="C569" s="46" t="s">
        <v>34</v>
      </c>
      <c r="D569" s="7" t="s">
        <v>25</v>
      </c>
      <c r="E569" s="7" t="s">
        <v>1323</v>
      </c>
      <c r="F569" s="7" t="s">
        <v>903</v>
      </c>
      <c r="G569" s="46" t="s">
        <v>904</v>
      </c>
      <c r="H569" s="101">
        <v>1212</v>
      </c>
      <c r="I569" s="46" t="s">
        <v>905</v>
      </c>
      <c r="J569" s="6">
        <v>46051</v>
      </c>
      <c r="K569" s="7" t="s">
        <v>1255</v>
      </c>
      <c r="L569" s="7" t="s">
        <v>915</v>
      </c>
      <c r="M569" s="46" t="s">
        <v>1256</v>
      </c>
      <c r="N569" s="46" t="s">
        <v>351</v>
      </c>
      <c r="O569" s="46" t="s">
        <v>1173</v>
      </c>
      <c r="P569" s="6">
        <v>45958</v>
      </c>
      <c r="Q569" s="102">
        <v>5</v>
      </c>
      <c r="R569" s="102">
        <v>5</v>
      </c>
      <c r="S569" s="7">
        <v>87</v>
      </c>
    </row>
    <row r="570" s="98" customFormat="1" ht="16.5" hidden="1" spans="1:19">
      <c r="A570" s="46">
        <v>568</v>
      </c>
      <c r="B570" s="46" t="s">
        <v>23</v>
      </c>
      <c r="C570" s="46" t="s">
        <v>34</v>
      </c>
      <c r="D570" s="7" t="s">
        <v>25</v>
      </c>
      <c r="E570" s="7" t="s">
        <v>1323</v>
      </c>
      <c r="F570" s="7" t="s">
        <v>903</v>
      </c>
      <c r="G570" s="46" t="s">
        <v>904</v>
      </c>
      <c r="H570" s="101">
        <v>1212</v>
      </c>
      <c r="I570" s="46" t="s">
        <v>905</v>
      </c>
      <c r="J570" s="6">
        <v>46051</v>
      </c>
      <c r="K570" s="7" t="s">
        <v>1257</v>
      </c>
      <c r="L570" s="7" t="s">
        <v>915</v>
      </c>
      <c r="M570" s="46" t="s">
        <v>1258</v>
      </c>
      <c r="N570" s="46" t="s">
        <v>351</v>
      </c>
      <c r="O570" s="46" t="s">
        <v>1173</v>
      </c>
      <c r="P570" s="6">
        <v>45957</v>
      </c>
      <c r="Q570" s="102">
        <v>5</v>
      </c>
      <c r="R570" s="102">
        <v>5</v>
      </c>
      <c r="S570" s="7">
        <v>90</v>
      </c>
    </row>
    <row r="571" s="98" customFormat="1" ht="16.5" hidden="1" spans="1:19">
      <c r="A571" s="46">
        <v>569</v>
      </c>
      <c r="B571" s="46" t="s">
        <v>23</v>
      </c>
      <c r="C571" s="46" t="s">
        <v>32</v>
      </c>
      <c r="D571" s="7" t="s">
        <v>25</v>
      </c>
      <c r="E571" s="7" t="s">
        <v>1323</v>
      </c>
      <c r="F571" s="7" t="s">
        <v>903</v>
      </c>
      <c r="G571" s="46" t="s">
        <v>904</v>
      </c>
      <c r="H571" s="101">
        <v>1212</v>
      </c>
      <c r="I571" s="46" t="s">
        <v>905</v>
      </c>
      <c r="J571" s="6">
        <v>46051</v>
      </c>
      <c r="K571" s="7" t="s">
        <v>1259</v>
      </c>
      <c r="L571" s="7" t="s">
        <v>907</v>
      </c>
      <c r="M571" s="46" t="s">
        <v>1260</v>
      </c>
      <c r="N571" s="46" t="s">
        <v>105</v>
      </c>
      <c r="O571" s="46" t="s">
        <v>1173</v>
      </c>
      <c r="P571" s="6">
        <v>46013</v>
      </c>
      <c r="Q571" s="102">
        <v>0</v>
      </c>
      <c r="R571" s="102">
        <v>0</v>
      </c>
      <c r="S571" s="7">
        <v>0</v>
      </c>
    </row>
    <row r="572" s="98" customFormat="1" ht="16.5" hidden="1" spans="1:19">
      <c r="A572" s="46">
        <v>570</v>
      </c>
      <c r="B572" s="46" t="s">
        <v>23</v>
      </c>
      <c r="C572" s="46" t="s">
        <v>32</v>
      </c>
      <c r="D572" s="7" t="s">
        <v>25</v>
      </c>
      <c r="E572" s="7" t="s">
        <v>1323</v>
      </c>
      <c r="F572" s="7" t="s">
        <v>903</v>
      </c>
      <c r="G572" s="46" t="s">
        <v>904</v>
      </c>
      <c r="H572" s="101">
        <v>1212</v>
      </c>
      <c r="I572" s="46" t="s">
        <v>905</v>
      </c>
      <c r="J572" s="6">
        <v>46051</v>
      </c>
      <c r="K572" s="7" t="s">
        <v>1261</v>
      </c>
      <c r="L572" s="7" t="s">
        <v>907</v>
      </c>
      <c r="M572" s="46" t="s">
        <v>1262</v>
      </c>
      <c r="N572" s="46" t="s">
        <v>105</v>
      </c>
      <c r="O572" s="46" t="s">
        <v>1173</v>
      </c>
      <c r="P572" s="6">
        <v>46030</v>
      </c>
      <c r="Q572" s="102">
        <v>0</v>
      </c>
      <c r="R572" s="102">
        <v>0</v>
      </c>
      <c r="S572" s="7">
        <v>0</v>
      </c>
    </row>
    <row r="573" s="98" customFormat="1" ht="16.5" hidden="1" spans="1:19">
      <c r="A573" s="46">
        <v>571</v>
      </c>
      <c r="B573" s="46" t="s">
        <v>23</v>
      </c>
      <c r="C573" s="46" t="s">
        <v>38</v>
      </c>
      <c r="D573" s="7" t="s">
        <v>25</v>
      </c>
      <c r="E573" s="7" t="s">
        <v>1323</v>
      </c>
      <c r="F573" s="7" t="s">
        <v>903</v>
      </c>
      <c r="G573" s="46" t="s">
        <v>904</v>
      </c>
      <c r="H573" s="101">
        <v>1212</v>
      </c>
      <c r="I573" s="46" t="s">
        <v>905</v>
      </c>
      <c r="J573" s="6">
        <v>46051</v>
      </c>
      <c r="K573" s="7" t="s">
        <v>1263</v>
      </c>
      <c r="L573" s="7" t="s">
        <v>907</v>
      </c>
      <c r="M573" s="46" t="s">
        <v>1264</v>
      </c>
      <c r="N573" s="46" t="s">
        <v>75</v>
      </c>
      <c r="O573" s="46" t="s">
        <v>1173</v>
      </c>
      <c r="P573" s="6">
        <v>45941</v>
      </c>
      <c r="Q573" s="102">
        <v>0</v>
      </c>
      <c r="R573" s="102">
        <v>0</v>
      </c>
      <c r="S573" s="7">
        <v>0</v>
      </c>
    </row>
    <row r="574" s="98" customFormat="1" ht="16.5" hidden="1" spans="1:19">
      <c r="A574" s="46">
        <v>572</v>
      </c>
      <c r="B574" s="46" t="s">
        <v>23</v>
      </c>
      <c r="C574" s="46" t="s">
        <v>31</v>
      </c>
      <c r="D574" s="7" t="s">
        <v>25</v>
      </c>
      <c r="E574" s="7" t="s">
        <v>1323</v>
      </c>
      <c r="F574" s="7" t="s">
        <v>903</v>
      </c>
      <c r="G574" s="46" t="s">
        <v>904</v>
      </c>
      <c r="H574" s="101">
        <v>1212</v>
      </c>
      <c r="I574" s="46" t="s">
        <v>905</v>
      </c>
      <c r="J574" s="6">
        <v>46051</v>
      </c>
      <c r="K574" s="7" t="s">
        <v>1265</v>
      </c>
      <c r="L574" s="7" t="s">
        <v>915</v>
      </c>
      <c r="M574" s="46" t="s">
        <v>1266</v>
      </c>
      <c r="N574" s="46" t="s">
        <v>79</v>
      </c>
      <c r="O574" s="46" t="s">
        <v>1173</v>
      </c>
      <c r="P574" s="6">
        <v>46011</v>
      </c>
      <c r="Q574" s="102">
        <v>5</v>
      </c>
      <c r="R574" s="102">
        <v>5</v>
      </c>
      <c r="S574" s="7">
        <v>90</v>
      </c>
    </row>
    <row r="575" s="98" customFormat="1" ht="16.5" hidden="1" spans="1:19">
      <c r="A575" s="46">
        <v>573</v>
      </c>
      <c r="B575" s="46" t="s">
        <v>23</v>
      </c>
      <c r="C575" s="46" t="s">
        <v>37</v>
      </c>
      <c r="D575" s="7" t="s">
        <v>25</v>
      </c>
      <c r="E575" s="7" t="s">
        <v>1323</v>
      </c>
      <c r="F575" s="7" t="s">
        <v>903</v>
      </c>
      <c r="G575" s="46" t="s">
        <v>904</v>
      </c>
      <c r="H575" s="101">
        <v>1212</v>
      </c>
      <c r="I575" s="46" t="s">
        <v>905</v>
      </c>
      <c r="J575" s="6">
        <v>46051</v>
      </c>
      <c r="K575" s="7" t="s">
        <v>1267</v>
      </c>
      <c r="L575" s="7" t="s">
        <v>915</v>
      </c>
      <c r="M575" s="46" t="s">
        <v>1268</v>
      </c>
      <c r="N575" s="46" t="s">
        <v>109</v>
      </c>
      <c r="O575" s="46" t="s">
        <v>1173</v>
      </c>
      <c r="P575" s="6">
        <v>46006</v>
      </c>
      <c r="Q575" s="102">
        <v>5</v>
      </c>
      <c r="R575" s="102">
        <v>5</v>
      </c>
      <c r="S575" s="7">
        <v>90</v>
      </c>
    </row>
    <row r="576" s="98" customFormat="1" ht="16.5" hidden="1" spans="1:19">
      <c r="A576" s="46">
        <v>574</v>
      </c>
      <c r="B576" s="46" t="s">
        <v>23</v>
      </c>
      <c r="C576" s="46" t="s">
        <v>31</v>
      </c>
      <c r="D576" s="7" t="s">
        <v>25</v>
      </c>
      <c r="E576" s="7" t="s">
        <v>1323</v>
      </c>
      <c r="F576" s="7" t="s">
        <v>903</v>
      </c>
      <c r="G576" s="46" t="s">
        <v>904</v>
      </c>
      <c r="H576" s="101">
        <v>1212</v>
      </c>
      <c r="I576" s="46" t="s">
        <v>905</v>
      </c>
      <c r="J576" s="6">
        <v>46051</v>
      </c>
      <c r="K576" s="7" t="s">
        <v>1269</v>
      </c>
      <c r="L576" s="7" t="s">
        <v>915</v>
      </c>
      <c r="M576" s="46" t="s">
        <v>1270</v>
      </c>
      <c r="N576" s="46" t="s">
        <v>79</v>
      </c>
      <c r="O576" s="46" t="s">
        <v>1173</v>
      </c>
      <c r="P576" s="6">
        <v>45976</v>
      </c>
      <c r="Q576" s="102">
        <v>5</v>
      </c>
      <c r="R576" s="102">
        <v>5</v>
      </c>
      <c r="S576" s="7">
        <v>90</v>
      </c>
    </row>
    <row r="577" s="98" customFormat="1" ht="16.5" hidden="1" spans="1:19">
      <c r="A577" s="46">
        <v>575</v>
      </c>
      <c r="B577" s="46" t="s">
        <v>23</v>
      </c>
      <c r="C577" s="46" t="s">
        <v>38</v>
      </c>
      <c r="D577" s="7" t="s">
        <v>25</v>
      </c>
      <c r="E577" s="7" t="s">
        <v>1323</v>
      </c>
      <c r="F577" s="7" t="s">
        <v>903</v>
      </c>
      <c r="G577" s="46" t="s">
        <v>904</v>
      </c>
      <c r="H577" s="101">
        <v>1212</v>
      </c>
      <c r="I577" s="46" t="s">
        <v>905</v>
      </c>
      <c r="J577" s="6">
        <v>46051</v>
      </c>
      <c r="K577" s="7" t="s">
        <v>1271</v>
      </c>
      <c r="L577" s="7" t="s">
        <v>907</v>
      </c>
      <c r="M577" s="46" t="s">
        <v>1272</v>
      </c>
      <c r="N577" s="46" t="s">
        <v>144</v>
      </c>
      <c r="O577" s="46" t="s">
        <v>1173</v>
      </c>
      <c r="P577" s="6">
        <v>45974</v>
      </c>
      <c r="Q577" s="102">
        <v>0</v>
      </c>
      <c r="R577" s="102">
        <v>0</v>
      </c>
      <c r="S577" s="7">
        <v>0</v>
      </c>
    </row>
    <row r="578" s="98" customFormat="1" ht="16.5" hidden="1" spans="1:19">
      <c r="A578" s="46">
        <v>576</v>
      </c>
      <c r="B578" s="46" t="s">
        <v>23</v>
      </c>
      <c r="C578" s="46" t="s">
        <v>38</v>
      </c>
      <c r="D578" s="7" t="s">
        <v>25</v>
      </c>
      <c r="E578" s="7" t="s">
        <v>1323</v>
      </c>
      <c r="F578" s="7" t="s">
        <v>903</v>
      </c>
      <c r="G578" s="46" t="s">
        <v>904</v>
      </c>
      <c r="H578" s="101">
        <v>1212</v>
      </c>
      <c r="I578" s="46" t="s">
        <v>905</v>
      </c>
      <c r="J578" s="6">
        <v>46051</v>
      </c>
      <c r="K578" s="7" t="s">
        <v>1273</v>
      </c>
      <c r="L578" s="7" t="s">
        <v>907</v>
      </c>
      <c r="M578" s="46" t="s">
        <v>1274</v>
      </c>
      <c r="N578" s="46" t="s">
        <v>144</v>
      </c>
      <c r="O578" s="46" t="s">
        <v>1173</v>
      </c>
      <c r="P578" s="6">
        <v>45959</v>
      </c>
      <c r="Q578" s="102">
        <v>0</v>
      </c>
      <c r="R578" s="102">
        <v>0</v>
      </c>
      <c r="S578" s="7">
        <v>0</v>
      </c>
    </row>
    <row r="579" s="98" customFormat="1" ht="16.5" hidden="1" spans="1:19">
      <c r="A579" s="46">
        <v>577</v>
      </c>
      <c r="B579" s="46" t="s">
        <v>23</v>
      </c>
      <c r="C579" s="46" t="s">
        <v>38</v>
      </c>
      <c r="D579" s="7" t="s">
        <v>25</v>
      </c>
      <c r="E579" s="7" t="s">
        <v>1323</v>
      </c>
      <c r="F579" s="7" t="s">
        <v>903</v>
      </c>
      <c r="G579" s="46" t="s">
        <v>904</v>
      </c>
      <c r="H579" s="101">
        <v>1212</v>
      </c>
      <c r="I579" s="46" t="s">
        <v>905</v>
      </c>
      <c r="J579" s="6">
        <v>46051</v>
      </c>
      <c r="K579" s="7" t="s">
        <v>1275</v>
      </c>
      <c r="L579" s="7" t="s">
        <v>907</v>
      </c>
      <c r="M579" s="46" t="s">
        <v>1276</v>
      </c>
      <c r="N579" s="46" t="s">
        <v>148</v>
      </c>
      <c r="O579" s="46" t="s">
        <v>1173</v>
      </c>
      <c r="P579" s="6">
        <v>45979</v>
      </c>
      <c r="Q579" s="102">
        <v>0</v>
      </c>
      <c r="R579" s="102">
        <v>0</v>
      </c>
      <c r="S579" s="7">
        <v>0</v>
      </c>
    </row>
    <row r="580" s="98" customFormat="1" ht="16.5" hidden="1" spans="1:19">
      <c r="A580" s="46">
        <v>578</v>
      </c>
      <c r="B580" s="46" t="s">
        <v>23</v>
      </c>
      <c r="C580" s="46" t="s">
        <v>38</v>
      </c>
      <c r="D580" s="7" t="s">
        <v>25</v>
      </c>
      <c r="E580" s="7" t="s">
        <v>1323</v>
      </c>
      <c r="F580" s="7" t="s">
        <v>903</v>
      </c>
      <c r="G580" s="46" t="s">
        <v>904</v>
      </c>
      <c r="H580" s="101">
        <v>1212</v>
      </c>
      <c r="I580" s="46" t="s">
        <v>905</v>
      </c>
      <c r="J580" s="6">
        <v>46051</v>
      </c>
      <c r="K580" s="7" t="s">
        <v>1277</v>
      </c>
      <c r="L580" s="7" t="s">
        <v>915</v>
      </c>
      <c r="M580" s="46" t="s">
        <v>1278</v>
      </c>
      <c r="N580" s="46" t="s">
        <v>220</v>
      </c>
      <c r="O580" s="46" t="s">
        <v>1173</v>
      </c>
      <c r="P580" s="6">
        <v>45998</v>
      </c>
      <c r="Q580" s="102">
        <v>5</v>
      </c>
      <c r="R580" s="102">
        <v>5</v>
      </c>
      <c r="S580" s="7">
        <v>90</v>
      </c>
    </row>
    <row r="581" s="98" customFormat="1" ht="16.5" hidden="1" spans="1:19">
      <c r="A581" s="46">
        <v>579</v>
      </c>
      <c r="B581" s="46" t="s">
        <v>23</v>
      </c>
      <c r="C581" s="46" t="s">
        <v>38</v>
      </c>
      <c r="D581" s="7" t="s">
        <v>25</v>
      </c>
      <c r="E581" s="7" t="s">
        <v>1323</v>
      </c>
      <c r="F581" s="7" t="s">
        <v>903</v>
      </c>
      <c r="G581" s="46" t="s">
        <v>904</v>
      </c>
      <c r="H581" s="101">
        <v>1212</v>
      </c>
      <c r="I581" s="46" t="s">
        <v>905</v>
      </c>
      <c r="J581" s="6">
        <v>46051</v>
      </c>
      <c r="K581" s="7" t="s">
        <v>1279</v>
      </c>
      <c r="L581" s="7" t="s">
        <v>907</v>
      </c>
      <c r="M581" s="46" t="s">
        <v>1280</v>
      </c>
      <c r="N581" s="46" t="s">
        <v>70</v>
      </c>
      <c r="O581" s="46" t="s">
        <v>1173</v>
      </c>
      <c r="P581" s="6">
        <v>46018</v>
      </c>
      <c r="Q581" s="102">
        <v>0</v>
      </c>
      <c r="R581" s="102">
        <v>0</v>
      </c>
      <c r="S581" s="7">
        <v>0</v>
      </c>
    </row>
    <row r="582" s="98" customFormat="1" ht="16.5" hidden="1" spans="1:19">
      <c r="A582" s="46">
        <v>580</v>
      </c>
      <c r="B582" s="46" t="s">
        <v>23</v>
      </c>
      <c r="C582" s="46" t="s">
        <v>38</v>
      </c>
      <c r="D582" s="7" t="s">
        <v>25</v>
      </c>
      <c r="E582" s="7" t="s">
        <v>1323</v>
      </c>
      <c r="F582" s="7" t="s">
        <v>903</v>
      </c>
      <c r="G582" s="46" t="s">
        <v>904</v>
      </c>
      <c r="H582" s="101">
        <v>1212</v>
      </c>
      <c r="I582" s="46" t="s">
        <v>905</v>
      </c>
      <c r="J582" s="6">
        <v>46051</v>
      </c>
      <c r="K582" s="7" t="s">
        <v>1281</v>
      </c>
      <c r="L582" s="7" t="s">
        <v>907</v>
      </c>
      <c r="M582" s="46" t="s">
        <v>1282</v>
      </c>
      <c r="N582" s="46" t="s">
        <v>148</v>
      </c>
      <c r="O582" s="46" t="s">
        <v>1173</v>
      </c>
      <c r="P582" s="6">
        <v>46022</v>
      </c>
      <c r="Q582" s="102">
        <v>0</v>
      </c>
      <c r="R582" s="102">
        <v>0</v>
      </c>
      <c r="S582" s="7">
        <v>0</v>
      </c>
    </row>
    <row r="583" s="98" customFormat="1" ht="16.5" hidden="1" spans="1:19">
      <c r="A583" s="46">
        <v>581</v>
      </c>
      <c r="B583" s="46" t="s">
        <v>23</v>
      </c>
      <c r="C583" s="46" t="s">
        <v>38</v>
      </c>
      <c r="D583" s="7" t="s">
        <v>25</v>
      </c>
      <c r="E583" s="7" t="s">
        <v>1323</v>
      </c>
      <c r="F583" s="7" t="s">
        <v>903</v>
      </c>
      <c r="G583" s="46" t="s">
        <v>904</v>
      </c>
      <c r="H583" s="101">
        <v>1212</v>
      </c>
      <c r="I583" s="46" t="s">
        <v>905</v>
      </c>
      <c r="J583" s="6">
        <v>46051</v>
      </c>
      <c r="K583" s="7" t="s">
        <v>1283</v>
      </c>
      <c r="L583" s="7" t="s">
        <v>907</v>
      </c>
      <c r="M583" s="46" t="s">
        <v>1284</v>
      </c>
      <c r="N583" s="46" t="s">
        <v>148</v>
      </c>
      <c r="O583" s="46" t="s">
        <v>1173</v>
      </c>
      <c r="P583" s="6">
        <v>46015</v>
      </c>
      <c r="Q583" s="102">
        <v>0</v>
      </c>
      <c r="R583" s="102">
        <v>0</v>
      </c>
      <c r="S583" s="7">
        <v>0</v>
      </c>
    </row>
    <row r="584" s="98" customFormat="1" ht="16.5" hidden="1" spans="1:19">
      <c r="A584" s="46">
        <v>582</v>
      </c>
      <c r="B584" s="46" t="s">
        <v>23</v>
      </c>
      <c r="C584" s="46" t="s">
        <v>38</v>
      </c>
      <c r="D584" s="7" t="s">
        <v>25</v>
      </c>
      <c r="E584" s="7" t="s">
        <v>1323</v>
      </c>
      <c r="F584" s="7" t="s">
        <v>903</v>
      </c>
      <c r="G584" s="46" t="s">
        <v>904</v>
      </c>
      <c r="H584" s="101">
        <v>1212</v>
      </c>
      <c r="I584" s="46" t="s">
        <v>905</v>
      </c>
      <c r="J584" s="6">
        <v>46051</v>
      </c>
      <c r="K584" s="7" t="s">
        <v>1285</v>
      </c>
      <c r="L584" s="7" t="s">
        <v>907</v>
      </c>
      <c r="M584" s="46" t="s">
        <v>1286</v>
      </c>
      <c r="N584" s="46" t="s">
        <v>148</v>
      </c>
      <c r="O584" s="46" t="s">
        <v>1173</v>
      </c>
      <c r="P584" s="6">
        <v>45989</v>
      </c>
      <c r="Q584" s="102">
        <v>0</v>
      </c>
      <c r="R584" s="102">
        <v>0</v>
      </c>
      <c r="S584" s="7">
        <v>0</v>
      </c>
    </row>
    <row r="585" s="98" customFormat="1" ht="16.5" hidden="1" spans="1:19">
      <c r="A585" s="46">
        <v>583</v>
      </c>
      <c r="B585" s="46" t="s">
        <v>23</v>
      </c>
      <c r="C585" s="46" t="s">
        <v>38</v>
      </c>
      <c r="D585" s="7" t="s">
        <v>25</v>
      </c>
      <c r="E585" s="7" t="s">
        <v>1323</v>
      </c>
      <c r="F585" s="7" t="s">
        <v>903</v>
      </c>
      <c r="G585" s="46" t="s">
        <v>904</v>
      </c>
      <c r="H585" s="101">
        <v>1212</v>
      </c>
      <c r="I585" s="46" t="s">
        <v>905</v>
      </c>
      <c r="J585" s="6">
        <v>46051</v>
      </c>
      <c r="K585" s="7" t="s">
        <v>1287</v>
      </c>
      <c r="L585" s="7" t="s">
        <v>915</v>
      </c>
      <c r="M585" s="46" t="s">
        <v>1288</v>
      </c>
      <c r="N585" s="46" t="s">
        <v>220</v>
      </c>
      <c r="O585" s="46" t="s">
        <v>1173</v>
      </c>
      <c r="P585" s="6">
        <v>46031</v>
      </c>
      <c r="Q585" s="102">
        <v>5</v>
      </c>
      <c r="R585" s="102">
        <v>5</v>
      </c>
      <c r="S585" s="7">
        <v>90</v>
      </c>
    </row>
    <row r="586" s="98" customFormat="1" ht="16.5" hidden="1" spans="1:19">
      <c r="A586" s="46">
        <v>584</v>
      </c>
      <c r="B586" s="46" t="s">
        <v>23</v>
      </c>
      <c r="C586" s="46" t="s">
        <v>38</v>
      </c>
      <c r="D586" s="7" t="s">
        <v>25</v>
      </c>
      <c r="E586" s="7" t="s">
        <v>1323</v>
      </c>
      <c r="F586" s="7" t="s">
        <v>903</v>
      </c>
      <c r="G586" s="46" t="s">
        <v>904</v>
      </c>
      <c r="H586" s="101">
        <v>1212</v>
      </c>
      <c r="I586" s="46" t="s">
        <v>905</v>
      </c>
      <c r="J586" s="6">
        <v>46051</v>
      </c>
      <c r="K586" s="7" t="s">
        <v>1289</v>
      </c>
      <c r="L586" s="7" t="s">
        <v>915</v>
      </c>
      <c r="M586" s="46" t="s">
        <v>1290</v>
      </c>
      <c r="N586" s="46" t="s">
        <v>220</v>
      </c>
      <c r="O586" s="46" t="s">
        <v>1173</v>
      </c>
      <c r="P586" s="6">
        <v>46022</v>
      </c>
      <c r="Q586" s="102">
        <v>5</v>
      </c>
      <c r="R586" s="102">
        <v>5</v>
      </c>
      <c r="S586" s="7">
        <v>90</v>
      </c>
    </row>
    <row r="587" s="98" customFormat="1" ht="16.5" hidden="1" spans="1:19">
      <c r="A587" s="46">
        <v>585</v>
      </c>
      <c r="B587" s="46" t="s">
        <v>23</v>
      </c>
      <c r="C587" s="46" t="s">
        <v>38</v>
      </c>
      <c r="D587" s="7" t="s">
        <v>25</v>
      </c>
      <c r="E587" s="7" t="s">
        <v>1323</v>
      </c>
      <c r="F587" s="7" t="s">
        <v>903</v>
      </c>
      <c r="G587" s="46" t="s">
        <v>904</v>
      </c>
      <c r="H587" s="101">
        <v>1212</v>
      </c>
      <c r="I587" s="46" t="s">
        <v>905</v>
      </c>
      <c r="J587" s="6">
        <v>46051</v>
      </c>
      <c r="K587" s="7" t="s">
        <v>1291</v>
      </c>
      <c r="L587" s="7" t="s">
        <v>907</v>
      </c>
      <c r="M587" s="46" t="s">
        <v>1292</v>
      </c>
      <c r="N587" s="46" t="s">
        <v>168</v>
      </c>
      <c r="O587" s="46" t="s">
        <v>1173</v>
      </c>
      <c r="P587" s="6">
        <v>46025</v>
      </c>
      <c r="Q587" s="102">
        <v>0</v>
      </c>
      <c r="R587" s="102">
        <v>0</v>
      </c>
      <c r="S587" s="7">
        <v>0</v>
      </c>
    </row>
    <row r="588" s="98" customFormat="1" ht="16.5" hidden="1" spans="1:19">
      <c r="A588" s="46">
        <v>586</v>
      </c>
      <c r="B588" s="46" t="s">
        <v>23</v>
      </c>
      <c r="C588" s="46" t="s">
        <v>38</v>
      </c>
      <c r="D588" s="7" t="s">
        <v>25</v>
      </c>
      <c r="E588" s="7" t="s">
        <v>1323</v>
      </c>
      <c r="F588" s="7" t="s">
        <v>903</v>
      </c>
      <c r="G588" s="46" t="s">
        <v>904</v>
      </c>
      <c r="H588" s="101">
        <v>1212</v>
      </c>
      <c r="I588" s="46" t="s">
        <v>905</v>
      </c>
      <c r="J588" s="6">
        <v>46051</v>
      </c>
      <c r="K588" s="7" t="s">
        <v>1293</v>
      </c>
      <c r="L588" s="7" t="s">
        <v>907</v>
      </c>
      <c r="M588" s="46" t="s">
        <v>1294</v>
      </c>
      <c r="N588" s="46" t="s">
        <v>168</v>
      </c>
      <c r="O588" s="46" t="s">
        <v>1173</v>
      </c>
      <c r="P588" s="6">
        <v>46022</v>
      </c>
      <c r="Q588" s="102">
        <v>0</v>
      </c>
      <c r="R588" s="102">
        <v>0</v>
      </c>
      <c r="S588" s="7">
        <v>0</v>
      </c>
    </row>
    <row r="589" s="98" customFormat="1" ht="16.5" hidden="1" spans="1:19">
      <c r="A589" s="46">
        <v>587</v>
      </c>
      <c r="B589" s="46" t="s">
        <v>23</v>
      </c>
      <c r="C589" s="46" t="s">
        <v>38</v>
      </c>
      <c r="D589" s="7" t="s">
        <v>25</v>
      </c>
      <c r="E589" s="7" t="s">
        <v>1323</v>
      </c>
      <c r="F589" s="7" t="s">
        <v>903</v>
      </c>
      <c r="G589" s="46" t="s">
        <v>904</v>
      </c>
      <c r="H589" s="101">
        <v>1212</v>
      </c>
      <c r="I589" s="46" t="s">
        <v>905</v>
      </c>
      <c r="J589" s="6">
        <v>46051</v>
      </c>
      <c r="K589" s="7" t="s">
        <v>1295</v>
      </c>
      <c r="L589" s="7" t="s">
        <v>907</v>
      </c>
      <c r="M589" s="46" t="s">
        <v>1296</v>
      </c>
      <c r="N589" s="46" t="s">
        <v>168</v>
      </c>
      <c r="O589" s="46" t="s">
        <v>1173</v>
      </c>
      <c r="P589" s="6">
        <v>45978</v>
      </c>
      <c r="Q589" s="102">
        <v>0</v>
      </c>
      <c r="R589" s="102">
        <v>0</v>
      </c>
      <c r="S589" s="7">
        <v>0</v>
      </c>
    </row>
    <row r="590" s="98" customFormat="1" ht="16.5" hidden="1" spans="1:19">
      <c r="A590" s="46">
        <v>588</v>
      </c>
      <c r="B590" s="46" t="s">
        <v>23</v>
      </c>
      <c r="C590" s="46" t="s">
        <v>26</v>
      </c>
      <c r="D590" s="7" t="s">
        <v>25</v>
      </c>
      <c r="E590" s="7" t="s">
        <v>1323</v>
      </c>
      <c r="F590" s="7" t="s">
        <v>903</v>
      </c>
      <c r="G590" s="46" t="s">
        <v>904</v>
      </c>
      <c r="H590" s="101">
        <v>1212</v>
      </c>
      <c r="I590" s="46" t="s">
        <v>905</v>
      </c>
      <c r="J590" s="6">
        <v>46051</v>
      </c>
      <c r="K590" s="7" t="s">
        <v>1297</v>
      </c>
      <c r="L590" s="7" t="s">
        <v>915</v>
      </c>
      <c r="M590" s="46" t="s">
        <v>1298</v>
      </c>
      <c r="N590" s="46" t="s">
        <v>121</v>
      </c>
      <c r="O590" s="46" t="s">
        <v>1173</v>
      </c>
      <c r="P590" s="6">
        <v>46035</v>
      </c>
      <c r="Q590" s="102">
        <v>0</v>
      </c>
      <c r="R590" s="102">
        <v>0</v>
      </c>
      <c r="S590" s="7">
        <v>0</v>
      </c>
    </row>
    <row r="591" s="98" customFormat="1" ht="16.5" hidden="1" spans="1:19">
      <c r="A591" s="46">
        <v>589</v>
      </c>
      <c r="B591" s="46" t="s">
        <v>23</v>
      </c>
      <c r="C591" s="46" t="s">
        <v>35</v>
      </c>
      <c r="D591" s="7" t="s">
        <v>25</v>
      </c>
      <c r="E591" s="7" t="s">
        <v>1323</v>
      </c>
      <c r="F591" s="7" t="s">
        <v>903</v>
      </c>
      <c r="G591" s="46" t="s">
        <v>904</v>
      </c>
      <c r="H591" s="101">
        <v>1212</v>
      </c>
      <c r="I591" s="46" t="s">
        <v>905</v>
      </c>
      <c r="J591" s="6">
        <v>46051</v>
      </c>
      <c r="K591" s="7" t="s">
        <v>1299</v>
      </c>
      <c r="L591" s="7" t="s">
        <v>915</v>
      </c>
      <c r="M591" s="46" t="s">
        <v>1300</v>
      </c>
      <c r="N591" s="46" t="s">
        <v>125</v>
      </c>
      <c r="O591" s="46" t="s">
        <v>1173</v>
      </c>
      <c r="P591" s="6">
        <v>46011</v>
      </c>
      <c r="Q591" s="102">
        <v>5</v>
      </c>
      <c r="R591" s="102">
        <v>5</v>
      </c>
      <c r="S591" s="7">
        <v>90</v>
      </c>
    </row>
    <row r="592" s="98" customFormat="1" ht="16.5" hidden="1" spans="1:19">
      <c r="A592" s="46">
        <v>590</v>
      </c>
      <c r="B592" s="46" t="s">
        <v>23</v>
      </c>
      <c r="C592" s="46" t="s">
        <v>29</v>
      </c>
      <c r="D592" s="7" t="s">
        <v>25</v>
      </c>
      <c r="E592" s="7" t="s">
        <v>1323</v>
      </c>
      <c r="F592" s="7" t="s">
        <v>903</v>
      </c>
      <c r="G592" s="46" t="s">
        <v>904</v>
      </c>
      <c r="H592" s="101">
        <v>1212</v>
      </c>
      <c r="I592" s="46" t="s">
        <v>905</v>
      </c>
      <c r="J592" s="6">
        <v>46051</v>
      </c>
      <c r="K592" s="7" t="s">
        <v>1301</v>
      </c>
      <c r="L592" s="7" t="s">
        <v>915</v>
      </c>
      <c r="M592" s="46" t="s">
        <v>1302</v>
      </c>
      <c r="N592" s="46" t="s">
        <v>130</v>
      </c>
      <c r="O592" s="46" t="s">
        <v>1173</v>
      </c>
      <c r="P592" s="6">
        <v>46026</v>
      </c>
      <c r="Q592" s="102">
        <v>5</v>
      </c>
      <c r="R592" s="102">
        <v>5</v>
      </c>
      <c r="S592" s="7">
        <v>90</v>
      </c>
    </row>
    <row r="593" s="98" customFormat="1" ht="16.5" hidden="1" spans="1:19">
      <c r="A593" s="46">
        <v>591</v>
      </c>
      <c r="B593" s="46" t="s">
        <v>23</v>
      </c>
      <c r="C593" s="46" t="s">
        <v>38</v>
      </c>
      <c r="D593" s="7" t="s">
        <v>25</v>
      </c>
      <c r="E593" s="7" t="s">
        <v>1323</v>
      </c>
      <c r="F593" s="7" t="s">
        <v>903</v>
      </c>
      <c r="G593" s="46" t="s">
        <v>904</v>
      </c>
      <c r="H593" s="101">
        <v>1212</v>
      </c>
      <c r="I593" s="46" t="s">
        <v>905</v>
      </c>
      <c r="J593" s="6">
        <v>46051</v>
      </c>
      <c r="K593" s="7" t="s">
        <v>1303</v>
      </c>
      <c r="L593" s="7" t="s">
        <v>907</v>
      </c>
      <c r="M593" s="46" t="s">
        <v>1304</v>
      </c>
      <c r="N593" s="46" t="s">
        <v>144</v>
      </c>
      <c r="O593" s="46" t="s">
        <v>1173</v>
      </c>
      <c r="P593" s="6">
        <v>46022</v>
      </c>
      <c r="Q593" s="102">
        <v>0</v>
      </c>
      <c r="R593" s="102">
        <v>0</v>
      </c>
      <c r="S593" s="7">
        <v>0</v>
      </c>
    </row>
    <row r="594" s="98" customFormat="1" ht="16.5" hidden="1" spans="1:19">
      <c r="A594" s="46">
        <v>592</v>
      </c>
      <c r="B594" s="46" t="s">
        <v>23</v>
      </c>
      <c r="C594" s="46" t="s">
        <v>38</v>
      </c>
      <c r="D594" s="7" t="s">
        <v>25</v>
      </c>
      <c r="E594" s="7" t="s">
        <v>1323</v>
      </c>
      <c r="F594" s="7" t="s">
        <v>903</v>
      </c>
      <c r="G594" s="46" t="s">
        <v>904</v>
      </c>
      <c r="H594" s="101">
        <v>1212</v>
      </c>
      <c r="I594" s="46" t="s">
        <v>905</v>
      </c>
      <c r="J594" s="6">
        <v>46051</v>
      </c>
      <c r="K594" s="7" t="s">
        <v>1305</v>
      </c>
      <c r="L594" s="7" t="s">
        <v>915</v>
      </c>
      <c r="M594" s="46" t="s">
        <v>1306</v>
      </c>
      <c r="N594" s="46" t="s">
        <v>144</v>
      </c>
      <c r="O594" s="46" t="s">
        <v>1173</v>
      </c>
      <c r="P594" s="6">
        <v>46013</v>
      </c>
      <c r="Q594" s="102">
        <v>5</v>
      </c>
      <c r="R594" s="102">
        <v>5</v>
      </c>
      <c r="S594" s="7">
        <v>90</v>
      </c>
    </row>
    <row r="595" s="98" customFormat="1" ht="16.5" hidden="1" spans="1:19">
      <c r="A595" s="46">
        <v>593</v>
      </c>
      <c r="B595" s="46" t="s">
        <v>23</v>
      </c>
      <c r="C595" s="46" t="s">
        <v>38</v>
      </c>
      <c r="D595" s="7" t="s">
        <v>25</v>
      </c>
      <c r="E595" s="7" t="s">
        <v>1323</v>
      </c>
      <c r="F595" s="7" t="s">
        <v>903</v>
      </c>
      <c r="G595" s="46" t="s">
        <v>904</v>
      </c>
      <c r="H595" s="101">
        <v>1212</v>
      </c>
      <c r="I595" s="46" t="s">
        <v>905</v>
      </c>
      <c r="J595" s="6">
        <v>46051</v>
      </c>
      <c r="K595" s="7" t="s">
        <v>1307</v>
      </c>
      <c r="L595" s="7" t="s">
        <v>907</v>
      </c>
      <c r="M595" s="46" t="s">
        <v>1308</v>
      </c>
      <c r="N595" s="46" t="s">
        <v>144</v>
      </c>
      <c r="O595" s="46" t="s">
        <v>1173</v>
      </c>
      <c r="P595" s="6">
        <v>45955</v>
      </c>
      <c r="Q595" s="102">
        <v>0</v>
      </c>
      <c r="R595" s="102">
        <v>0</v>
      </c>
      <c r="S595" s="7">
        <v>0</v>
      </c>
    </row>
    <row r="596" s="98" customFormat="1" ht="16.5" hidden="1" spans="1:19">
      <c r="A596" s="46">
        <v>594</v>
      </c>
      <c r="B596" s="46" t="s">
        <v>23</v>
      </c>
      <c r="C596" s="46" t="s">
        <v>26</v>
      </c>
      <c r="D596" s="7" t="s">
        <v>25</v>
      </c>
      <c r="E596" s="7" t="s">
        <v>1323</v>
      </c>
      <c r="F596" s="7" t="s">
        <v>903</v>
      </c>
      <c r="G596" s="46" t="s">
        <v>904</v>
      </c>
      <c r="H596" s="101">
        <v>1212</v>
      </c>
      <c r="I596" s="46" t="s">
        <v>905</v>
      </c>
      <c r="J596" s="6">
        <v>46051</v>
      </c>
      <c r="K596" s="7" t="s">
        <v>1309</v>
      </c>
      <c r="L596" s="7" t="s">
        <v>907</v>
      </c>
      <c r="M596" s="46" t="s">
        <v>1310</v>
      </c>
      <c r="N596" s="46" t="s">
        <v>121</v>
      </c>
      <c r="O596" s="46" t="s">
        <v>1173</v>
      </c>
      <c r="P596" s="6">
        <v>46026</v>
      </c>
      <c r="Q596" s="102">
        <v>0</v>
      </c>
      <c r="R596" s="102">
        <v>0</v>
      </c>
      <c r="S596" s="7">
        <v>0</v>
      </c>
    </row>
    <row r="597" s="98" customFormat="1" ht="16.5" hidden="1" spans="1:19">
      <c r="A597" s="46">
        <v>595</v>
      </c>
      <c r="B597" s="46" t="s">
        <v>23</v>
      </c>
      <c r="C597" s="46" t="s">
        <v>26</v>
      </c>
      <c r="D597" s="7" t="s">
        <v>25</v>
      </c>
      <c r="E597" s="7" t="s">
        <v>1323</v>
      </c>
      <c r="F597" s="7" t="s">
        <v>903</v>
      </c>
      <c r="G597" s="46" t="s">
        <v>904</v>
      </c>
      <c r="H597" s="101">
        <v>1212</v>
      </c>
      <c r="I597" s="46" t="s">
        <v>905</v>
      </c>
      <c r="J597" s="6">
        <v>46051</v>
      </c>
      <c r="K597" s="7" t="s">
        <v>1311</v>
      </c>
      <c r="L597" s="7" t="s">
        <v>915</v>
      </c>
      <c r="M597" s="46" t="s">
        <v>1312</v>
      </c>
      <c r="N597" s="46" t="s">
        <v>121</v>
      </c>
      <c r="O597" s="46" t="s">
        <v>1173</v>
      </c>
      <c r="P597" s="6">
        <v>45973</v>
      </c>
      <c r="Q597" s="102">
        <v>5</v>
      </c>
      <c r="R597" s="102">
        <v>5</v>
      </c>
      <c r="S597" s="7">
        <v>90</v>
      </c>
    </row>
    <row r="598" s="98" customFormat="1" ht="16.5" hidden="1" spans="1:19">
      <c r="A598" s="46">
        <v>596</v>
      </c>
      <c r="B598" s="46" t="s">
        <v>23</v>
      </c>
      <c r="C598" s="46" t="s">
        <v>26</v>
      </c>
      <c r="D598" s="7" t="s">
        <v>25</v>
      </c>
      <c r="E598" s="7" t="s">
        <v>1323</v>
      </c>
      <c r="F598" s="7" t="s">
        <v>903</v>
      </c>
      <c r="G598" s="46" t="s">
        <v>904</v>
      </c>
      <c r="H598" s="101">
        <v>1212</v>
      </c>
      <c r="I598" s="46" t="s">
        <v>905</v>
      </c>
      <c r="J598" s="6">
        <v>46051</v>
      </c>
      <c r="K598" s="7" t="s">
        <v>1313</v>
      </c>
      <c r="L598" s="7" t="s">
        <v>915</v>
      </c>
      <c r="M598" s="46" t="s">
        <v>1314</v>
      </c>
      <c r="N598" s="46" t="s">
        <v>121</v>
      </c>
      <c r="O598" s="46" t="s">
        <v>1173</v>
      </c>
      <c r="P598" s="6">
        <v>45890</v>
      </c>
      <c r="Q598" s="102">
        <v>5</v>
      </c>
      <c r="R598" s="102">
        <v>5</v>
      </c>
      <c r="S598" s="7">
        <v>90</v>
      </c>
    </row>
    <row r="599" s="98" customFormat="1" ht="16.5" hidden="1" spans="1:19">
      <c r="A599" s="46">
        <v>597</v>
      </c>
      <c r="B599" s="46" t="s">
        <v>23</v>
      </c>
      <c r="C599" s="46" t="s">
        <v>38</v>
      </c>
      <c r="D599" s="7" t="s">
        <v>25</v>
      </c>
      <c r="E599" s="7" t="s">
        <v>1323</v>
      </c>
      <c r="F599" s="7" t="s">
        <v>903</v>
      </c>
      <c r="G599" s="46" t="s">
        <v>904</v>
      </c>
      <c r="H599" s="101">
        <v>1212</v>
      </c>
      <c r="I599" s="46" t="s">
        <v>905</v>
      </c>
      <c r="J599" s="6">
        <v>46051</v>
      </c>
      <c r="K599" s="7" t="s">
        <v>1315</v>
      </c>
      <c r="L599" s="7" t="s">
        <v>915</v>
      </c>
      <c r="M599" s="46" t="s">
        <v>1316</v>
      </c>
      <c r="N599" s="46" t="s">
        <v>75</v>
      </c>
      <c r="O599" s="46" t="s">
        <v>1173</v>
      </c>
      <c r="P599" s="6">
        <v>45998</v>
      </c>
      <c r="Q599" s="102">
        <v>5</v>
      </c>
      <c r="R599" s="102">
        <v>5</v>
      </c>
      <c r="S599" s="7">
        <v>90</v>
      </c>
    </row>
    <row r="600" s="98" customFormat="1" ht="16.5" hidden="1" spans="1:19">
      <c r="A600" s="46">
        <v>598</v>
      </c>
      <c r="B600" s="46" t="s">
        <v>23</v>
      </c>
      <c r="C600" s="46" t="s">
        <v>38</v>
      </c>
      <c r="D600" s="7" t="s">
        <v>25</v>
      </c>
      <c r="E600" s="7" t="s">
        <v>1323</v>
      </c>
      <c r="F600" s="7" t="s">
        <v>903</v>
      </c>
      <c r="G600" s="46" t="s">
        <v>904</v>
      </c>
      <c r="H600" s="101">
        <v>1212</v>
      </c>
      <c r="I600" s="46" t="s">
        <v>905</v>
      </c>
      <c r="J600" s="6">
        <v>46051</v>
      </c>
      <c r="K600" s="7" t="s">
        <v>1317</v>
      </c>
      <c r="L600" s="7" t="s">
        <v>907</v>
      </c>
      <c r="M600" s="46" t="s">
        <v>1318</v>
      </c>
      <c r="N600" s="46" t="s">
        <v>75</v>
      </c>
      <c r="O600" s="46" t="s">
        <v>1173</v>
      </c>
      <c r="P600" s="6">
        <v>45998</v>
      </c>
      <c r="Q600" s="102">
        <v>0</v>
      </c>
      <c r="R600" s="102">
        <v>0</v>
      </c>
      <c r="S600" s="7">
        <v>0</v>
      </c>
    </row>
    <row r="601" s="98" customFormat="1" ht="16.5" hidden="1" spans="1:19">
      <c r="A601" s="46">
        <v>599</v>
      </c>
      <c r="B601" s="46" t="s">
        <v>23</v>
      </c>
      <c r="C601" s="46" t="s">
        <v>38</v>
      </c>
      <c r="D601" s="7" t="s">
        <v>25</v>
      </c>
      <c r="E601" s="7" t="s">
        <v>1323</v>
      </c>
      <c r="F601" s="7" t="s">
        <v>903</v>
      </c>
      <c r="G601" s="46" t="s">
        <v>904</v>
      </c>
      <c r="H601" s="101">
        <v>1212</v>
      </c>
      <c r="I601" s="46" t="s">
        <v>905</v>
      </c>
      <c r="J601" s="6">
        <v>46051</v>
      </c>
      <c r="K601" s="7" t="s">
        <v>1319</v>
      </c>
      <c r="L601" s="7" t="s">
        <v>907</v>
      </c>
      <c r="M601" s="46" t="s">
        <v>1320</v>
      </c>
      <c r="N601" s="46" t="s">
        <v>220</v>
      </c>
      <c r="O601" s="46" t="s">
        <v>1173</v>
      </c>
      <c r="P601" s="6">
        <v>46022</v>
      </c>
      <c r="Q601" s="102">
        <v>0</v>
      </c>
      <c r="R601" s="102">
        <v>0</v>
      </c>
      <c r="S601" s="7">
        <v>0</v>
      </c>
    </row>
    <row r="602" s="98" customFormat="1" ht="16.5" hidden="1" spans="1:19">
      <c r="A602" s="46">
        <v>600</v>
      </c>
      <c r="B602" s="46" t="s">
        <v>23</v>
      </c>
      <c r="C602" s="46" t="s">
        <v>38</v>
      </c>
      <c r="D602" s="7" t="s">
        <v>25</v>
      </c>
      <c r="E602" s="7" t="s">
        <v>1323</v>
      </c>
      <c r="F602" s="7" t="s">
        <v>903</v>
      </c>
      <c r="G602" s="46" t="s">
        <v>904</v>
      </c>
      <c r="H602" s="101">
        <v>1212</v>
      </c>
      <c r="I602" s="46" t="s">
        <v>905</v>
      </c>
      <c r="J602" s="6">
        <v>46051</v>
      </c>
      <c r="K602" s="7" t="s">
        <v>1321</v>
      </c>
      <c r="L602" s="7" t="s">
        <v>907</v>
      </c>
      <c r="M602" s="46" t="s">
        <v>1322</v>
      </c>
      <c r="N602" s="46" t="s">
        <v>220</v>
      </c>
      <c r="O602" s="46" t="s">
        <v>1173</v>
      </c>
      <c r="P602" s="6">
        <v>45992</v>
      </c>
      <c r="Q602" s="102">
        <v>0</v>
      </c>
      <c r="R602" s="102">
        <v>0</v>
      </c>
      <c r="S602" s="7">
        <v>0</v>
      </c>
    </row>
    <row r="603" s="98" customFormat="1" ht="16.5" hidden="1" spans="1:19">
      <c r="A603" s="46">
        <v>601</v>
      </c>
      <c r="B603" s="46" t="s">
        <v>23</v>
      </c>
      <c r="C603" s="46" t="s">
        <v>32</v>
      </c>
      <c r="D603" s="7" t="s">
        <v>25</v>
      </c>
      <c r="E603" s="7" t="s">
        <v>1324</v>
      </c>
      <c r="F603" s="7" t="s">
        <v>1325</v>
      </c>
      <c r="G603" s="46" t="s">
        <v>904</v>
      </c>
      <c r="H603" s="101">
        <v>1212</v>
      </c>
      <c r="I603" s="46" t="s">
        <v>905</v>
      </c>
      <c r="J603" s="6">
        <v>46051</v>
      </c>
      <c r="K603" s="7" t="s">
        <v>1174</v>
      </c>
      <c r="L603" s="7" t="s">
        <v>915</v>
      </c>
      <c r="M603" s="46" t="s">
        <v>1175</v>
      </c>
      <c r="N603" s="46" t="s">
        <v>105</v>
      </c>
      <c r="O603" s="46" t="s">
        <v>1173</v>
      </c>
      <c r="P603" s="6">
        <v>46039</v>
      </c>
      <c r="Q603" s="102">
        <v>5</v>
      </c>
      <c r="R603" s="102">
        <v>5</v>
      </c>
      <c r="S603" s="7">
        <v>89</v>
      </c>
    </row>
    <row r="604" s="98" customFormat="1" ht="16.5" hidden="1" spans="1:19">
      <c r="A604" s="46">
        <v>602</v>
      </c>
      <c r="B604" s="46" t="s">
        <v>23</v>
      </c>
      <c r="C604" s="46" t="s">
        <v>32</v>
      </c>
      <c r="D604" s="7" t="s">
        <v>25</v>
      </c>
      <c r="E604" s="7" t="s">
        <v>1324</v>
      </c>
      <c r="F604" s="7" t="s">
        <v>1325</v>
      </c>
      <c r="G604" s="46" t="s">
        <v>904</v>
      </c>
      <c r="H604" s="101">
        <v>1212</v>
      </c>
      <c r="I604" s="46" t="s">
        <v>905</v>
      </c>
      <c r="J604" s="6">
        <v>46051</v>
      </c>
      <c r="K604" s="7" t="s">
        <v>1176</v>
      </c>
      <c r="L604" s="7" t="s">
        <v>915</v>
      </c>
      <c r="M604" s="46" t="s">
        <v>1177</v>
      </c>
      <c r="N604" s="46" t="s">
        <v>105</v>
      </c>
      <c r="O604" s="46" t="s">
        <v>1173</v>
      </c>
      <c r="P604" s="6">
        <v>46015</v>
      </c>
      <c r="Q604" s="102">
        <v>0</v>
      </c>
      <c r="R604" s="102">
        <v>0</v>
      </c>
      <c r="S604" s="7">
        <v>89</v>
      </c>
    </row>
    <row r="605" s="98" customFormat="1" ht="16.5" hidden="1" spans="1:19">
      <c r="A605" s="46">
        <v>603</v>
      </c>
      <c r="B605" s="46" t="s">
        <v>23</v>
      </c>
      <c r="C605" s="46" t="s">
        <v>37</v>
      </c>
      <c r="D605" s="7" t="s">
        <v>25</v>
      </c>
      <c r="E605" s="7" t="s">
        <v>1324</v>
      </c>
      <c r="F605" s="7" t="s">
        <v>1325</v>
      </c>
      <c r="G605" s="46" t="s">
        <v>904</v>
      </c>
      <c r="H605" s="101">
        <v>1212</v>
      </c>
      <c r="I605" s="46" t="s">
        <v>905</v>
      </c>
      <c r="J605" s="6">
        <v>46051</v>
      </c>
      <c r="K605" s="7" t="s">
        <v>1178</v>
      </c>
      <c r="L605" s="7" t="s">
        <v>915</v>
      </c>
      <c r="M605" s="46" t="s">
        <v>1179</v>
      </c>
      <c r="N605" s="46" t="s">
        <v>109</v>
      </c>
      <c r="O605" s="46" t="s">
        <v>1173</v>
      </c>
      <c r="P605" s="6">
        <v>45998</v>
      </c>
      <c r="Q605" s="102">
        <v>5</v>
      </c>
      <c r="R605" s="102">
        <v>5</v>
      </c>
      <c r="S605" s="7">
        <v>89</v>
      </c>
    </row>
    <row r="606" s="98" customFormat="1" ht="16.5" hidden="1" spans="1:19">
      <c r="A606" s="46">
        <v>604</v>
      </c>
      <c r="B606" s="46" t="s">
        <v>23</v>
      </c>
      <c r="C606" s="46" t="s">
        <v>37</v>
      </c>
      <c r="D606" s="7" t="s">
        <v>25</v>
      </c>
      <c r="E606" s="7" t="s">
        <v>1324</v>
      </c>
      <c r="F606" s="7" t="s">
        <v>1325</v>
      </c>
      <c r="G606" s="46" t="s">
        <v>904</v>
      </c>
      <c r="H606" s="101">
        <v>1212</v>
      </c>
      <c r="I606" s="46" t="s">
        <v>905</v>
      </c>
      <c r="J606" s="6">
        <v>46051</v>
      </c>
      <c r="K606" s="7" t="s">
        <v>1180</v>
      </c>
      <c r="L606" s="7" t="s">
        <v>915</v>
      </c>
      <c r="M606" s="46" t="s">
        <v>1181</v>
      </c>
      <c r="N606" s="46" t="s">
        <v>109</v>
      </c>
      <c r="O606" s="46" t="s">
        <v>1173</v>
      </c>
      <c r="P606" s="6">
        <v>45983</v>
      </c>
      <c r="Q606" s="102">
        <v>5</v>
      </c>
      <c r="R606" s="102">
        <v>5</v>
      </c>
      <c r="S606" s="7">
        <v>89</v>
      </c>
    </row>
    <row r="607" s="98" customFormat="1" ht="16.5" hidden="1" spans="1:19">
      <c r="A607" s="46">
        <v>605</v>
      </c>
      <c r="B607" s="46" t="s">
        <v>23</v>
      </c>
      <c r="C607" s="46" t="s">
        <v>38</v>
      </c>
      <c r="D607" s="7" t="s">
        <v>25</v>
      </c>
      <c r="E607" s="7" t="s">
        <v>1324</v>
      </c>
      <c r="F607" s="7" t="s">
        <v>1325</v>
      </c>
      <c r="G607" s="46" t="s">
        <v>904</v>
      </c>
      <c r="H607" s="101">
        <v>1212</v>
      </c>
      <c r="I607" s="46" t="s">
        <v>905</v>
      </c>
      <c r="J607" s="6">
        <v>46051</v>
      </c>
      <c r="K607" s="7" t="s">
        <v>1182</v>
      </c>
      <c r="L607" s="7" t="s">
        <v>907</v>
      </c>
      <c r="M607" s="46" t="s">
        <v>1183</v>
      </c>
      <c r="N607" s="46" t="s">
        <v>168</v>
      </c>
      <c r="O607" s="46" t="s">
        <v>1173</v>
      </c>
      <c r="P607" s="6">
        <v>46008</v>
      </c>
      <c r="Q607" s="102">
        <v>5</v>
      </c>
      <c r="R607" s="102">
        <v>5</v>
      </c>
      <c r="S607" s="7">
        <v>80</v>
      </c>
    </row>
    <row r="608" s="98" customFormat="1" ht="16.5" hidden="1" spans="1:19">
      <c r="A608" s="46">
        <v>606</v>
      </c>
      <c r="B608" s="46" t="s">
        <v>23</v>
      </c>
      <c r="C608" s="46" t="s">
        <v>38</v>
      </c>
      <c r="D608" s="7" t="s">
        <v>25</v>
      </c>
      <c r="E608" s="7" t="s">
        <v>1324</v>
      </c>
      <c r="F608" s="7" t="s">
        <v>1325</v>
      </c>
      <c r="G608" s="46" t="s">
        <v>904</v>
      </c>
      <c r="H608" s="101">
        <v>1212</v>
      </c>
      <c r="I608" s="46" t="s">
        <v>905</v>
      </c>
      <c r="J608" s="6">
        <v>46051</v>
      </c>
      <c r="K608" s="7" t="s">
        <v>1184</v>
      </c>
      <c r="L608" s="7" t="s">
        <v>907</v>
      </c>
      <c r="M608" s="46" t="s">
        <v>1185</v>
      </c>
      <c r="N608" s="46" t="s">
        <v>148</v>
      </c>
      <c r="O608" s="46" t="s">
        <v>1173</v>
      </c>
      <c r="P608" s="6">
        <v>46019</v>
      </c>
      <c r="Q608" s="102">
        <v>0</v>
      </c>
      <c r="R608" s="102">
        <v>0</v>
      </c>
      <c r="S608" s="7">
        <v>0</v>
      </c>
    </row>
    <row r="609" s="98" customFormat="1" ht="16.5" hidden="1" spans="1:19">
      <c r="A609" s="46">
        <v>607</v>
      </c>
      <c r="B609" s="46" t="s">
        <v>23</v>
      </c>
      <c r="C609" s="46" t="s">
        <v>38</v>
      </c>
      <c r="D609" s="7" t="s">
        <v>25</v>
      </c>
      <c r="E609" s="7" t="s">
        <v>1324</v>
      </c>
      <c r="F609" s="7" t="s">
        <v>1325</v>
      </c>
      <c r="G609" s="46" t="s">
        <v>904</v>
      </c>
      <c r="H609" s="101">
        <v>1212</v>
      </c>
      <c r="I609" s="46" t="s">
        <v>905</v>
      </c>
      <c r="J609" s="6">
        <v>46051</v>
      </c>
      <c r="K609" s="7" t="s">
        <v>1186</v>
      </c>
      <c r="L609" s="7" t="s">
        <v>915</v>
      </c>
      <c r="M609" s="46" t="s">
        <v>1187</v>
      </c>
      <c r="N609" s="46" t="s">
        <v>220</v>
      </c>
      <c r="O609" s="46" t="s">
        <v>1173</v>
      </c>
      <c r="P609" s="6">
        <v>46008</v>
      </c>
      <c r="Q609" s="102">
        <v>5</v>
      </c>
      <c r="R609" s="102">
        <v>5</v>
      </c>
      <c r="S609" s="7">
        <v>97</v>
      </c>
    </row>
    <row r="610" s="98" customFormat="1" ht="16.5" hidden="1" spans="1:19">
      <c r="A610" s="46">
        <v>608</v>
      </c>
      <c r="B610" s="46" t="s">
        <v>23</v>
      </c>
      <c r="C610" s="46" t="s">
        <v>29</v>
      </c>
      <c r="D610" s="7" t="s">
        <v>25</v>
      </c>
      <c r="E610" s="7" t="s">
        <v>1324</v>
      </c>
      <c r="F610" s="7" t="s">
        <v>1325</v>
      </c>
      <c r="G610" s="46" t="s">
        <v>904</v>
      </c>
      <c r="H610" s="101">
        <v>1212</v>
      </c>
      <c r="I610" s="46" t="s">
        <v>905</v>
      </c>
      <c r="J610" s="6">
        <v>46051</v>
      </c>
      <c r="K610" s="7" t="s">
        <v>677</v>
      </c>
      <c r="L610" s="7" t="s">
        <v>915</v>
      </c>
      <c r="M610" s="46" t="s">
        <v>1188</v>
      </c>
      <c r="N610" s="46" t="s">
        <v>130</v>
      </c>
      <c r="O610" s="46" t="s">
        <v>1173</v>
      </c>
      <c r="P610" s="6">
        <v>46002</v>
      </c>
      <c r="Q610" s="102">
        <v>5</v>
      </c>
      <c r="R610" s="102">
        <v>5</v>
      </c>
      <c r="S610" s="7">
        <v>89</v>
      </c>
    </row>
    <row r="611" s="98" customFormat="1" ht="16.5" hidden="1" spans="1:19">
      <c r="A611" s="46">
        <v>609</v>
      </c>
      <c r="B611" s="46" t="s">
        <v>23</v>
      </c>
      <c r="C611" s="46" t="s">
        <v>29</v>
      </c>
      <c r="D611" s="7" t="s">
        <v>25</v>
      </c>
      <c r="E611" s="7" t="s">
        <v>1324</v>
      </c>
      <c r="F611" s="7" t="s">
        <v>1325</v>
      </c>
      <c r="G611" s="46" t="s">
        <v>904</v>
      </c>
      <c r="H611" s="101">
        <v>1212</v>
      </c>
      <c r="I611" s="46" t="s">
        <v>905</v>
      </c>
      <c r="J611" s="6">
        <v>46051</v>
      </c>
      <c r="K611" s="7" t="s">
        <v>1189</v>
      </c>
      <c r="L611" s="7" t="s">
        <v>915</v>
      </c>
      <c r="M611" s="46" t="s">
        <v>1190</v>
      </c>
      <c r="N611" s="46" t="s">
        <v>130</v>
      </c>
      <c r="O611" s="46" t="s">
        <v>1173</v>
      </c>
      <c r="P611" s="6">
        <v>45998</v>
      </c>
      <c r="Q611" s="102">
        <v>5</v>
      </c>
      <c r="R611" s="102">
        <v>5</v>
      </c>
      <c r="S611" s="7">
        <v>81</v>
      </c>
    </row>
    <row r="612" s="98" customFormat="1" ht="16.5" hidden="1" spans="1:19">
      <c r="A612" s="46">
        <v>610</v>
      </c>
      <c r="B612" s="46" t="s">
        <v>23</v>
      </c>
      <c r="C612" s="46" t="s">
        <v>38</v>
      </c>
      <c r="D612" s="7" t="s">
        <v>25</v>
      </c>
      <c r="E612" s="7" t="s">
        <v>1324</v>
      </c>
      <c r="F612" s="7" t="s">
        <v>1325</v>
      </c>
      <c r="G612" s="46" t="s">
        <v>904</v>
      </c>
      <c r="H612" s="101">
        <v>1212</v>
      </c>
      <c r="I612" s="46" t="s">
        <v>905</v>
      </c>
      <c r="J612" s="6">
        <v>46051</v>
      </c>
      <c r="K612" s="7" t="s">
        <v>1191</v>
      </c>
      <c r="L612" s="7" t="s">
        <v>907</v>
      </c>
      <c r="M612" s="46" t="s">
        <v>1192</v>
      </c>
      <c r="N612" s="46" t="s">
        <v>63</v>
      </c>
      <c r="O612" s="46" t="s">
        <v>1173</v>
      </c>
      <c r="P612" s="6">
        <v>46025</v>
      </c>
      <c r="Q612" s="102">
        <v>0</v>
      </c>
      <c r="R612" s="102">
        <v>0</v>
      </c>
      <c r="S612" s="7">
        <v>0</v>
      </c>
    </row>
    <row r="613" s="98" customFormat="1" ht="16.5" hidden="1" spans="1:19">
      <c r="A613" s="46">
        <v>611</v>
      </c>
      <c r="B613" s="46" t="s">
        <v>23</v>
      </c>
      <c r="C613" s="46" t="s">
        <v>38</v>
      </c>
      <c r="D613" s="7" t="s">
        <v>25</v>
      </c>
      <c r="E613" s="7" t="s">
        <v>1324</v>
      </c>
      <c r="F613" s="7" t="s">
        <v>1325</v>
      </c>
      <c r="G613" s="46" t="s">
        <v>904</v>
      </c>
      <c r="H613" s="101">
        <v>1212</v>
      </c>
      <c r="I613" s="46" t="s">
        <v>905</v>
      </c>
      <c r="J613" s="6">
        <v>46051</v>
      </c>
      <c r="K613" s="7" t="s">
        <v>1193</v>
      </c>
      <c r="L613" s="7" t="s">
        <v>907</v>
      </c>
      <c r="M613" s="46" t="s">
        <v>1194</v>
      </c>
      <c r="N613" s="46" t="s">
        <v>63</v>
      </c>
      <c r="O613" s="46" t="s">
        <v>1173</v>
      </c>
      <c r="P613" s="6">
        <v>46022</v>
      </c>
      <c r="Q613" s="102">
        <v>0</v>
      </c>
      <c r="R613" s="102">
        <v>0</v>
      </c>
      <c r="S613" s="7">
        <v>0</v>
      </c>
    </row>
    <row r="614" s="98" customFormat="1" ht="16.5" hidden="1" spans="1:19">
      <c r="A614" s="46">
        <v>612</v>
      </c>
      <c r="B614" s="46" t="s">
        <v>23</v>
      </c>
      <c r="C614" s="46" t="s">
        <v>38</v>
      </c>
      <c r="D614" s="7" t="s">
        <v>25</v>
      </c>
      <c r="E614" s="7" t="s">
        <v>1324</v>
      </c>
      <c r="F614" s="7" t="s">
        <v>1325</v>
      </c>
      <c r="G614" s="46" t="s">
        <v>904</v>
      </c>
      <c r="H614" s="101">
        <v>1212</v>
      </c>
      <c r="I614" s="46" t="s">
        <v>905</v>
      </c>
      <c r="J614" s="6">
        <v>46051</v>
      </c>
      <c r="K614" s="7" t="s">
        <v>1171</v>
      </c>
      <c r="L614" s="7" t="s">
        <v>907</v>
      </c>
      <c r="M614" s="46" t="s">
        <v>1172</v>
      </c>
      <c r="N614" s="46" t="s">
        <v>63</v>
      </c>
      <c r="O614" s="46" t="s">
        <v>1173</v>
      </c>
      <c r="P614" s="6">
        <v>46017</v>
      </c>
      <c r="Q614" s="102">
        <v>0</v>
      </c>
      <c r="R614" s="102">
        <v>0</v>
      </c>
      <c r="S614" s="7">
        <v>0</v>
      </c>
    </row>
    <row r="615" s="98" customFormat="1" ht="16.5" hidden="1" spans="1:19">
      <c r="A615" s="46">
        <v>613</v>
      </c>
      <c r="B615" s="46" t="s">
        <v>23</v>
      </c>
      <c r="C615" s="46" t="s">
        <v>38</v>
      </c>
      <c r="D615" s="7" t="s">
        <v>25</v>
      </c>
      <c r="E615" s="7" t="s">
        <v>1324</v>
      </c>
      <c r="F615" s="7" t="s">
        <v>1325</v>
      </c>
      <c r="G615" s="46" t="s">
        <v>904</v>
      </c>
      <c r="H615" s="101">
        <v>1212</v>
      </c>
      <c r="I615" s="46" t="s">
        <v>905</v>
      </c>
      <c r="J615" s="6">
        <v>46051</v>
      </c>
      <c r="K615" s="7" t="s">
        <v>1195</v>
      </c>
      <c r="L615" s="7" t="s">
        <v>907</v>
      </c>
      <c r="M615" s="46" t="s">
        <v>1196</v>
      </c>
      <c r="N615" s="46" t="s">
        <v>63</v>
      </c>
      <c r="O615" s="46" t="s">
        <v>1173</v>
      </c>
      <c r="P615" s="6">
        <v>45962</v>
      </c>
      <c r="Q615" s="102">
        <v>0</v>
      </c>
      <c r="R615" s="102">
        <v>0</v>
      </c>
      <c r="S615" s="7">
        <v>0</v>
      </c>
    </row>
    <row r="616" s="98" customFormat="1" ht="16.5" hidden="1" spans="1:19">
      <c r="A616" s="46">
        <v>614</v>
      </c>
      <c r="B616" s="46" t="s">
        <v>23</v>
      </c>
      <c r="C616" s="46" t="s">
        <v>38</v>
      </c>
      <c r="D616" s="7" t="s">
        <v>25</v>
      </c>
      <c r="E616" s="7" t="s">
        <v>1324</v>
      </c>
      <c r="F616" s="7" t="s">
        <v>1325</v>
      </c>
      <c r="G616" s="46" t="s">
        <v>904</v>
      </c>
      <c r="H616" s="101">
        <v>1212</v>
      </c>
      <c r="I616" s="46" t="s">
        <v>905</v>
      </c>
      <c r="J616" s="6">
        <v>46051</v>
      </c>
      <c r="K616" s="7" t="s">
        <v>1197</v>
      </c>
      <c r="L616" s="7" t="s">
        <v>907</v>
      </c>
      <c r="M616" s="46" t="s">
        <v>1198</v>
      </c>
      <c r="N616" s="46" t="s">
        <v>70</v>
      </c>
      <c r="O616" s="46" t="s">
        <v>1173</v>
      </c>
      <c r="P616" s="6">
        <v>46021</v>
      </c>
      <c r="Q616" s="102">
        <v>0</v>
      </c>
      <c r="R616" s="102">
        <v>0</v>
      </c>
      <c r="S616" s="7">
        <v>0</v>
      </c>
    </row>
    <row r="617" s="98" customFormat="1" ht="16.5" hidden="1" spans="1:19">
      <c r="A617" s="46">
        <v>615</v>
      </c>
      <c r="B617" s="46" t="s">
        <v>23</v>
      </c>
      <c r="C617" s="46" t="s">
        <v>38</v>
      </c>
      <c r="D617" s="7" t="s">
        <v>25</v>
      </c>
      <c r="E617" s="7" t="s">
        <v>1324</v>
      </c>
      <c r="F617" s="7" t="s">
        <v>1325</v>
      </c>
      <c r="G617" s="46" t="s">
        <v>904</v>
      </c>
      <c r="H617" s="101">
        <v>1212</v>
      </c>
      <c r="I617" s="46" t="s">
        <v>905</v>
      </c>
      <c r="J617" s="6">
        <v>46051</v>
      </c>
      <c r="K617" s="7" t="s">
        <v>1199</v>
      </c>
      <c r="L617" s="7" t="s">
        <v>907</v>
      </c>
      <c r="M617" s="46" t="s">
        <v>1200</v>
      </c>
      <c r="N617" s="46" t="s">
        <v>70</v>
      </c>
      <c r="O617" s="46" t="s">
        <v>1173</v>
      </c>
      <c r="P617" s="6">
        <v>45978</v>
      </c>
      <c r="Q617" s="102">
        <v>0</v>
      </c>
      <c r="R617" s="102">
        <v>0</v>
      </c>
      <c r="S617" s="7">
        <v>0</v>
      </c>
    </row>
    <row r="618" s="98" customFormat="1" ht="16.5" hidden="1" spans="1:19">
      <c r="A618" s="46">
        <v>616</v>
      </c>
      <c r="B618" s="46" t="s">
        <v>23</v>
      </c>
      <c r="C618" s="46" t="s">
        <v>38</v>
      </c>
      <c r="D618" s="7" t="s">
        <v>25</v>
      </c>
      <c r="E618" s="7" t="s">
        <v>1324</v>
      </c>
      <c r="F618" s="7" t="s">
        <v>1325</v>
      </c>
      <c r="G618" s="46" t="s">
        <v>904</v>
      </c>
      <c r="H618" s="101">
        <v>1212</v>
      </c>
      <c r="I618" s="46" t="s">
        <v>905</v>
      </c>
      <c r="J618" s="6">
        <v>46051</v>
      </c>
      <c r="K618" s="7" t="s">
        <v>1201</v>
      </c>
      <c r="L618" s="7" t="s">
        <v>907</v>
      </c>
      <c r="M618" s="46" t="s">
        <v>1202</v>
      </c>
      <c r="N618" s="46" t="s">
        <v>75</v>
      </c>
      <c r="O618" s="46" t="s">
        <v>1173</v>
      </c>
      <c r="P618" s="6">
        <v>46027</v>
      </c>
      <c r="Q618" s="102">
        <v>5</v>
      </c>
      <c r="R618" s="102">
        <v>5</v>
      </c>
      <c r="S618" s="7">
        <v>0</v>
      </c>
    </row>
    <row r="619" s="98" customFormat="1" ht="16.5" hidden="1" spans="1:19">
      <c r="A619" s="46">
        <v>617</v>
      </c>
      <c r="B619" s="46" t="s">
        <v>23</v>
      </c>
      <c r="C619" s="46" t="s">
        <v>38</v>
      </c>
      <c r="D619" s="7" t="s">
        <v>25</v>
      </c>
      <c r="E619" s="7" t="s">
        <v>1324</v>
      </c>
      <c r="F619" s="7" t="s">
        <v>1325</v>
      </c>
      <c r="G619" s="46" t="s">
        <v>904</v>
      </c>
      <c r="H619" s="101">
        <v>1212</v>
      </c>
      <c r="I619" s="46" t="s">
        <v>905</v>
      </c>
      <c r="J619" s="6">
        <v>46051</v>
      </c>
      <c r="K619" s="7" t="s">
        <v>1203</v>
      </c>
      <c r="L619" s="7" t="s">
        <v>907</v>
      </c>
      <c r="M619" s="46" t="s">
        <v>1204</v>
      </c>
      <c r="N619" s="46" t="s">
        <v>168</v>
      </c>
      <c r="O619" s="46" t="s">
        <v>1173</v>
      </c>
      <c r="P619" s="6">
        <v>45994</v>
      </c>
      <c r="Q619" s="102">
        <v>0</v>
      </c>
      <c r="R619" s="102">
        <v>0</v>
      </c>
      <c r="S619" s="7">
        <v>0</v>
      </c>
    </row>
    <row r="620" s="98" customFormat="1" ht="16.5" hidden="1" spans="1:19">
      <c r="A620" s="46">
        <v>618</v>
      </c>
      <c r="B620" s="46" t="s">
        <v>23</v>
      </c>
      <c r="C620" s="46" t="s">
        <v>29</v>
      </c>
      <c r="D620" s="7" t="s">
        <v>25</v>
      </c>
      <c r="E620" s="7" t="s">
        <v>1324</v>
      </c>
      <c r="F620" s="7" t="s">
        <v>1325</v>
      </c>
      <c r="G620" s="46" t="s">
        <v>904</v>
      </c>
      <c r="H620" s="101">
        <v>1212</v>
      </c>
      <c r="I620" s="46" t="s">
        <v>905</v>
      </c>
      <c r="J620" s="6">
        <v>46051</v>
      </c>
      <c r="K620" s="7" t="s">
        <v>1205</v>
      </c>
      <c r="L620" s="7" t="s">
        <v>907</v>
      </c>
      <c r="M620" s="46" t="s">
        <v>1206</v>
      </c>
      <c r="N620" s="46" t="s">
        <v>130</v>
      </c>
      <c r="O620" s="46" t="s">
        <v>1173</v>
      </c>
      <c r="P620" s="6">
        <v>46011</v>
      </c>
      <c r="Q620" s="102">
        <v>0</v>
      </c>
      <c r="R620" s="102">
        <v>0</v>
      </c>
      <c r="S620" s="7">
        <v>0</v>
      </c>
    </row>
    <row r="621" s="98" customFormat="1" ht="16.5" hidden="1" spans="1:19">
      <c r="A621" s="46">
        <v>619</v>
      </c>
      <c r="B621" s="46" t="s">
        <v>23</v>
      </c>
      <c r="C621" s="46" t="s">
        <v>38</v>
      </c>
      <c r="D621" s="7" t="s">
        <v>25</v>
      </c>
      <c r="E621" s="7" t="s">
        <v>1324</v>
      </c>
      <c r="F621" s="7" t="s">
        <v>1325</v>
      </c>
      <c r="G621" s="46" t="s">
        <v>904</v>
      </c>
      <c r="H621" s="101">
        <v>1212</v>
      </c>
      <c r="I621" s="46" t="s">
        <v>905</v>
      </c>
      <c r="J621" s="6">
        <v>46051</v>
      </c>
      <c r="K621" s="7" t="s">
        <v>1207</v>
      </c>
      <c r="L621" s="7" t="s">
        <v>907</v>
      </c>
      <c r="M621" s="46" t="s">
        <v>1208</v>
      </c>
      <c r="N621" s="46" t="s">
        <v>63</v>
      </c>
      <c r="O621" s="46" t="s">
        <v>1173</v>
      </c>
      <c r="P621" s="6">
        <v>46022</v>
      </c>
      <c r="Q621" s="102">
        <v>0</v>
      </c>
      <c r="R621" s="102">
        <v>0</v>
      </c>
      <c r="S621" s="7">
        <v>0</v>
      </c>
    </row>
    <row r="622" s="98" customFormat="1" ht="16.5" hidden="1" spans="1:19">
      <c r="A622" s="46">
        <v>620</v>
      </c>
      <c r="B622" s="46" t="s">
        <v>23</v>
      </c>
      <c r="C622" s="46" t="s">
        <v>38</v>
      </c>
      <c r="D622" s="7" t="s">
        <v>25</v>
      </c>
      <c r="E622" s="7" t="s">
        <v>1324</v>
      </c>
      <c r="F622" s="7" t="s">
        <v>1325</v>
      </c>
      <c r="G622" s="46" t="s">
        <v>904</v>
      </c>
      <c r="H622" s="101">
        <v>1212</v>
      </c>
      <c r="I622" s="46" t="s">
        <v>905</v>
      </c>
      <c r="J622" s="6">
        <v>46051</v>
      </c>
      <c r="K622" s="7" t="s">
        <v>1209</v>
      </c>
      <c r="L622" s="7" t="s">
        <v>907</v>
      </c>
      <c r="M622" s="46" t="s">
        <v>1210</v>
      </c>
      <c r="N622" s="46" t="s">
        <v>63</v>
      </c>
      <c r="O622" s="46" t="s">
        <v>1173</v>
      </c>
      <c r="P622" s="6">
        <v>46022</v>
      </c>
      <c r="Q622" s="102">
        <v>0</v>
      </c>
      <c r="R622" s="102">
        <v>0</v>
      </c>
      <c r="S622" s="7">
        <v>0</v>
      </c>
    </row>
    <row r="623" s="98" customFormat="1" ht="16.5" hidden="1" spans="1:19">
      <c r="A623" s="46">
        <v>621</v>
      </c>
      <c r="B623" s="46" t="s">
        <v>23</v>
      </c>
      <c r="C623" s="46" t="s">
        <v>38</v>
      </c>
      <c r="D623" s="7" t="s">
        <v>25</v>
      </c>
      <c r="E623" s="7" t="s">
        <v>1324</v>
      </c>
      <c r="F623" s="7" t="s">
        <v>1325</v>
      </c>
      <c r="G623" s="46" t="s">
        <v>904</v>
      </c>
      <c r="H623" s="101">
        <v>1212</v>
      </c>
      <c r="I623" s="46" t="s">
        <v>905</v>
      </c>
      <c r="J623" s="6">
        <v>46051</v>
      </c>
      <c r="K623" s="7" t="s">
        <v>1211</v>
      </c>
      <c r="L623" s="7" t="s">
        <v>907</v>
      </c>
      <c r="M623" s="46" t="s">
        <v>1212</v>
      </c>
      <c r="N623" s="46" t="s">
        <v>63</v>
      </c>
      <c r="O623" s="46" t="s">
        <v>1173</v>
      </c>
      <c r="P623" s="6">
        <v>46010</v>
      </c>
      <c r="Q623" s="102">
        <v>0</v>
      </c>
      <c r="R623" s="102">
        <v>0</v>
      </c>
      <c r="S623" s="7">
        <v>0</v>
      </c>
    </row>
    <row r="624" s="98" customFormat="1" ht="16.5" hidden="1" spans="1:19">
      <c r="A624" s="46">
        <v>622</v>
      </c>
      <c r="B624" s="46" t="s">
        <v>23</v>
      </c>
      <c r="C624" s="46" t="s">
        <v>38</v>
      </c>
      <c r="D624" s="7" t="s">
        <v>25</v>
      </c>
      <c r="E624" s="7" t="s">
        <v>1324</v>
      </c>
      <c r="F624" s="7" t="s">
        <v>1325</v>
      </c>
      <c r="G624" s="46" t="s">
        <v>904</v>
      </c>
      <c r="H624" s="101">
        <v>1212</v>
      </c>
      <c r="I624" s="46" t="s">
        <v>905</v>
      </c>
      <c r="J624" s="6">
        <v>46051</v>
      </c>
      <c r="K624" s="7" t="s">
        <v>1213</v>
      </c>
      <c r="L624" s="7" t="s">
        <v>907</v>
      </c>
      <c r="M624" s="46" t="s">
        <v>1214</v>
      </c>
      <c r="N624" s="46" t="s">
        <v>63</v>
      </c>
      <c r="O624" s="46" t="s">
        <v>1173</v>
      </c>
      <c r="P624" s="6">
        <v>45896</v>
      </c>
      <c r="Q624" s="102">
        <v>0</v>
      </c>
      <c r="R624" s="102">
        <v>0</v>
      </c>
      <c r="S624" s="7">
        <v>0</v>
      </c>
    </row>
    <row r="625" s="98" customFormat="1" ht="16.5" hidden="1" spans="1:19">
      <c r="A625" s="46">
        <v>623</v>
      </c>
      <c r="B625" s="46" t="s">
        <v>23</v>
      </c>
      <c r="C625" s="46" t="s">
        <v>38</v>
      </c>
      <c r="D625" s="7" t="s">
        <v>25</v>
      </c>
      <c r="E625" s="7" t="s">
        <v>1324</v>
      </c>
      <c r="F625" s="7" t="s">
        <v>1325</v>
      </c>
      <c r="G625" s="46" t="s">
        <v>904</v>
      </c>
      <c r="H625" s="101">
        <v>1212</v>
      </c>
      <c r="I625" s="46" t="s">
        <v>905</v>
      </c>
      <c r="J625" s="6">
        <v>46051</v>
      </c>
      <c r="K625" s="7" t="s">
        <v>1215</v>
      </c>
      <c r="L625" s="7" t="s">
        <v>907</v>
      </c>
      <c r="M625" s="46" t="s">
        <v>1216</v>
      </c>
      <c r="N625" s="46" t="s">
        <v>168</v>
      </c>
      <c r="O625" s="46" t="s">
        <v>1173</v>
      </c>
      <c r="P625" s="6">
        <v>46005</v>
      </c>
      <c r="Q625" s="102">
        <v>0</v>
      </c>
      <c r="R625" s="102">
        <v>0</v>
      </c>
      <c r="S625" s="7">
        <v>0</v>
      </c>
    </row>
    <row r="626" s="98" customFormat="1" ht="16.5" hidden="1" spans="1:19">
      <c r="A626" s="46">
        <v>624</v>
      </c>
      <c r="B626" s="46" t="s">
        <v>23</v>
      </c>
      <c r="C626" s="46" t="s">
        <v>38</v>
      </c>
      <c r="D626" s="7" t="s">
        <v>25</v>
      </c>
      <c r="E626" s="7" t="s">
        <v>1324</v>
      </c>
      <c r="F626" s="7" t="s">
        <v>1325</v>
      </c>
      <c r="G626" s="46" t="s">
        <v>904</v>
      </c>
      <c r="H626" s="101">
        <v>1212</v>
      </c>
      <c r="I626" s="46" t="s">
        <v>905</v>
      </c>
      <c r="J626" s="6">
        <v>46051</v>
      </c>
      <c r="K626" s="7" t="s">
        <v>1217</v>
      </c>
      <c r="L626" s="7" t="s">
        <v>907</v>
      </c>
      <c r="M626" s="46" t="s">
        <v>1218</v>
      </c>
      <c r="N626" s="46" t="s">
        <v>168</v>
      </c>
      <c r="O626" s="46" t="s">
        <v>1173</v>
      </c>
      <c r="P626" s="6">
        <v>45999</v>
      </c>
      <c r="Q626" s="102">
        <v>0</v>
      </c>
      <c r="R626" s="102">
        <v>0</v>
      </c>
      <c r="S626" s="7">
        <v>0</v>
      </c>
    </row>
    <row r="627" s="98" customFormat="1" ht="16.5" hidden="1" spans="1:19">
      <c r="A627" s="46">
        <v>625</v>
      </c>
      <c r="B627" s="46" t="s">
        <v>23</v>
      </c>
      <c r="C627" s="46" t="s">
        <v>38</v>
      </c>
      <c r="D627" s="7" t="s">
        <v>25</v>
      </c>
      <c r="E627" s="7" t="s">
        <v>1324</v>
      </c>
      <c r="F627" s="7" t="s">
        <v>1325</v>
      </c>
      <c r="G627" s="46" t="s">
        <v>904</v>
      </c>
      <c r="H627" s="101">
        <v>1212</v>
      </c>
      <c r="I627" s="46" t="s">
        <v>905</v>
      </c>
      <c r="J627" s="6">
        <v>46051</v>
      </c>
      <c r="K627" s="7" t="s">
        <v>1219</v>
      </c>
      <c r="L627" s="7" t="s">
        <v>915</v>
      </c>
      <c r="M627" s="46" t="s">
        <v>1220</v>
      </c>
      <c r="N627" s="46" t="s">
        <v>75</v>
      </c>
      <c r="O627" s="46" t="s">
        <v>1173</v>
      </c>
      <c r="P627" s="6">
        <v>46020</v>
      </c>
      <c r="Q627" s="102">
        <v>5</v>
      </c>
      <c r="R627" s="102">
        <v>5</v>
      </c>
      <c r="S627" s="7">
        <v>99</v>
      </c>
    </row>
    <row r="628" s="98" customFormat="1" ht="16.5" hidden="1" spans="1:19">
      <c r="A628" s="46">
        <v>626</v>
      </c>
      <c r="B628" s="46" t="s">
        <v>23</v>
      </c>
      <c r="C628" s="46" t="s">
        <v>38</v>
      </c>
      <c r="D628" s="7" t="s">
        <v>25</v>
      </c>
      <c r="E628" s="7" t="s">
        <v>1324</v>
      </c>
      <c r="F628" s="7" t="s">
        <v>1325</v>
      </c>
      <c r="G628" s="46" t="s">
        <v>904</v>
      </c>
      <c r="H628" s="101">
        <v>1212</v>
      </c>
      <c r="I628" s="46" t="s">
        <v>905</v>
      </c>
      <c r="J628" s="6">
        <v>46051</v>
      </c>
      <c r="K628" s="7" t="s">
        <v>1221</v>
      </c>
      <c r="L628" s="7" t="s">
        <v>907</v>
      </c>
      <c r="M628" s="46" t="s">
        <v>1222</v>
      </c>
      <c r="N628" s="46" t="s">
        <v>75</v>
      </c>
      <c r="O628" s="46" t="s">
        <v>1173</v>
      </c>
      <c r="P628" s="6">
        <v>46017</v>
      </c>
      <c r="Q628" s="102">
        <v>0</v>
      </c>
      <c r="R628" s="102">
        <v>0</v>
      </c>
      <c r="S628" s="7">
        <v>0</v>
      </c>
    </row>
    <row r="629" s="98" customFormat="1" ht="16.5" hidden="1" spans="1:19">
      <c r="A629" s="46">
        <v>627</v>
      </c>
      <c r="B629" s="46" t="s">
        <v>23</v>
      </c>
      <c r="C629" s="46" t="s">
        <v>32</v>
      </c>
      <c r="D629" s="7" t="s">
        <v>25</v>
      </c>
      <c r="E629" s="7" t="s">
        <v>1324</v>
      </c>
      <c r="F629" s="7" t="s">
        <v>1325</v>
      </c>
      <c r="G629" s="46" t="s">
        <v>904</v>
      </c>
      <c r="H629" s="101">
        <v>1212</v>
      </c>
      <c r="I629" s="46" t="s">
        <v>905</v>
      </c>
      <c r="J629" s="6">
        <v>46051</v>
      </c>
      <c r="K629" s="7" t="s">
        <v>1223</v>
      </c>
      <c r="L629" s="7" t="s">
        <v>907</v>
      </c>
      <c r="M629" s="46" t="s">
        <v>1224</v>
      </c>
      <c r="N629" s="46" t="s">
        <v>105</v>
      </c>
      <c r="O629" s="46" t="s">
        <v>1173</v>
      </c>
      <c r="P629" s="6">
        <v>46017</v>
      </c>
      <c r="Q629" s="102">
        <v>0</v>
      </c>
      <c r="R629" s="102">
        <v>0</v>
      </c>
      <c r="S629" s="7">
        <v>0</v>
      </c>
    </row>
    <row r="630" s="98" customFormat="1" ht="16.5" hidden="1" spans="1:19">
      <c r="A630" s="46">
        <v>628</v>
      </c>
      <c r="B630" s="46" t="s">
        <v>23</v>
      </c>
      <c r="C630" s="46" t="s">
        <v>31</v>
      </c>
      <c r="D630" s="7" t="s">
        <v>25</v>
      </c>
      <c r="E630" s="7" t="s">
        <v>1324</v>
      </c>
      <c r="F630" s="7" t="s">
        <v>1325</v>
      </c>
      <c r="G630" s="46" t="s">
        <v>904</v>
      </c>
      <c r="H630" s="101">
        <v>1212</v>
      </c>
      <c r="I630" s="46" t="s">
        <v>905</v>
      </c>
      <c r="J630" s="6">
        <v>46051</v>
      </c>
      <c r="K630" s="7" t="s">
        <v>1225</v>
      </c>
      <c r="L630" s="7" t="s">
        <v>915</v>
      </c>
      <c r="M630" s="46" t="s">
        <v>1226</v>
      </c>
      <c r="N630" s="46" t="s">
        <v>90</v>
      </c>
      <c r="O630" s="46" t="s">
        <v>1173</v>
      </c>
      <c r="P630" s="6">
        <v>45946</v>
      </c>
      <c r="Q630" s="102">
        <v>5</v>
      </c>
      <c r="R630" s="102">
        <v>5</v>
      </c>
      <c r="S630" s="7">
        <v>99</v>
      </c>
    </row>
    <row r="631" s="98" customFormat="1" ht="16.5" hidden="1" spans="1:19">
      <c r="A631" s="46">
        <v>629</v>
      </c>
      <c r="B631" s="46" t="s">
        <v>23</v>
      </c>
      <c r="C631" s="46" t="s">
        <v>38</v>
      </c>
      <c r="D631" s="7" t="s">
        <v>25</v>
      </c>
      <c r="E631" s="7" t="s">
        <v>1324</v>
      </c>
      <c r="F631" s="7" t="s">
        <v>1325</v>
      </c>
      <c r="G631" s="46" t="s">
        <v>904</v>
      </c>
      <c r="H631" s="101">
        <v>1212</v>
      </c>
      <c r="I631" s="46" t="s">
        <v>905</v>
      </c>
      <c r="J631" s="6">
        <v>46051</v>
      </c>
      <c r="K631" s="7" t="s">
        <v>1227</v>
      </c>
      <c r="L631" s="7" t="s">
        <v>907</v>
      </c>
      <c r="M631" s="46" t="s">
        <v>1228</v>
      </c>
      <c r="N631" s="46" t="s">
        <v>70</v>
      </c>
      <c r="O631" s="46" t="s">
        <v>1173</v>
      </c>
      <c r="P631" s="6">
        <v>45962</v>
      </c>
      <c r="Q631" s="102">
        <v>5</v>
      </c>
      <c r="R631" s="102">
        <v>5</v>
      </c>
      <c r="S631" s="7">
        <v>0</v>
      </c>
    </row>
    <row r="632" s="98" customFormat="1" ht="16.5" hidden="1" spans="1:19">
      <c r="A632" s="46">
        <v>630</v>
      </c>
      <c r="B632" s="46" t="s">
        <v>23</v>
      </c>
      <c r="C632" s="46" t="s">
        <v>38</v>
      </c>
      <c r="D632" s="7" t="s">
        <v>25</v>
      </c>
      <c r="E632" s="7" t="s">
        <v>1324</v>
      </c>
      <c r="F632" s="7" t="s">
        <v>1325</v>
      </c>
      <c r="G632" s="46" t="s">
        <v>904</v>
      </c>
      <c r="H632" s="101">
        <v>1212</v>
      </c>
      <c r="I632" s="46" t="s">
        <v>905</v>
      </c>
      <c r="J632" s="6">
        <v>46051</v>
      </c>
      <c r="K632" s="7" t="s">
        <v>1229</v>
      </c>
      <c r="L632" s="7" t="s">
        <v>915</v>
      </c>
      <c r="M632" s="46" t="s">
        <v>1230</v>
      </c>
      <c r="N632" s="46" t="s">
        <v>70</v>
      </c>
      <c r="O632" s="46" t="s">
        <v>1173</v>
      </c>
      <c r="P632" s="6">
        <v>46022</v>
      </c>
      <c r="Q632" s="102">
        <v>5</v>
      </c>
      <c r="R632" s="102">
        <v>5</v>
      </c>
      <c r="S632" s="7">
        <v>99</v>
      </c>
    </row>
    <row r="633" s="98" customFormat="1" ht="16.5" hidden="1" spans="1:19">
      <c r="A633" s="46">
        <v>631</v>
      </c>
      <c r="B633" s="46" t="s">
        <v>23</v>
      </c>
      <c r="C633" s="46" t="s">
        <v>37</v>
      </c>
      <c r="D633" s="7" t="s">
        <v>25</v>
      </c>
      <c r="E633" s="7" t="s">
        <v>1324</v>
      </c>
      <c r="F633" s="7" t="s">
        <v>1325</v>
      </c>
      <c r="G633" s="46" t="s">
        <v>904</v>
      </c>
      <c r="H633" s="101">
        <v>1212</v>
      </c>
      <c r="I633" s="46" t="s">
        <v>905</v>
      </c>
      <c r="J633" s="6">
        <v>46051</v>
      </c>
      <c r="K633" s="7" t="s">
        <v>1231</v>
      </c>
      <c r="L633" s="7" t="s">
        <v>915</v>
      </c>
      <c r="M633" s="46" t="s">
        <v>1232</v>
      </c>
      <c r="N633" s="46" t="s">
        <v>109</v>
      </c>
      <c r="O633" s="46" t="s">
        <v>1173</v>
      </c>
      <c r="P633" s="6">
        <v>46031</v>
      </c>
      <c r="Q633" s="102">
        <v>5</v>
      </c>
      <c r="R633" s="102">
        <v>5</v>
      </c>
      <c r="S633" s="7">
        <v>99</v>
      </c>
    </row>
    <row r="634" s="98" customFormat="1" ht="16.5" hidden="1" spans="1:19">
      <c r="A634" s="46">
        <v>632</v>
      </c>
      <c r="B634" s="46" t="s">
        <v>23</v>
      </c>
      <c r="C634" s="46" t="s">
        <v>32</v>
      </c>
      <c r="D634" s="7" t="s">
        <v>25</v>
      </c>
      <c r="E634" s="7" t="s">
        <v>1324</v>
      </c>
      <c r="F634" s="7" t="s">
        <v>1325</v>
      </c>
      <c r="G634" s="46" t="s">
        <v>904</v>
      </c>
      <c r="H634" s="101">
        <v>1212</v>
      </c>
      <c r="I634" s="46" t="s">
        <v>905</v>
      </c>
      <c r="J634" s="6">
        <v>46051</v>
      </c>
      <c r="K634" s="7" t="s">
        <v>1233</v>
      </c>
      <c r="L634" s="7" t="s">
        <v>915</v>
      </c>
      <c r="M634" s="46" t="s">
        <v>1234</v>
      </c>
      <c r="N634" s="46" t="s">
        <v>105</v>
      </c>
      <c r="O634" s="46" t="s">
        <v>1173</v>
      </c>
      <c r="P634" s="6">
        <v>46014</v>
      </c>
      <c r="Q634" s="102">
        <v>5</v>
      </c>
      <c r="R634" s="102">
        <v>5</v>
      </c>
      <c r="S634" s="7">
        <v>99</v>
      </c>
    </row>
    <row r="635" s="98" customFormat="1" ht="16.5" hidden="1" spans="1:19">
      <c r="A635" s="46">
        <v>633</v>
      </c>
      <c r="B635" s="46" t="s">
        <v>23</v>
      </c>
      <c r="C635" s="46" t="s">
        <v>24</v>
      </c>
      <c r="D635" s="7" t="s">
        <v>25</v>
      </c>
      <c r="E635" s="7" t="s">
        <v>1324</v>
      </c>
      <c r="F635" s="7" t="s">
        <v>1325</v>
      </c>
      <c r="G635" s="46" t="s">
        <v>904</v>
      </c>
      <c r="H635" s="101">
        <v>1212</v>
      </c>
      <c r="I635" s="46" t="s">
        <v>905</v>
      </c>
      <c r="J635" s="6">
        <v>46051</v>
      </c>
      <c r="K635" s="7" t="s">
        <v>1235</v>
      </c>
      <c r="L635" s="7" t="s">
        <v>915</v>
      </c>
      <c r="M635" s="46" t="s">
        <v>1236</v>
      </c>
      <c r="N635" s="46" t="s">
        <v>101</v>
      </c>
      <c r="O635" s="46" t="s">
        <v>1173</v>
      </c>
      <c r="P635" s="6">
        <v>45969</v>
      </c>
      <c r="Q635" s="102">
        <v>0</v>
      </c>
      <c r="R635" s="102">
        <v>0</v>
      </c>
      <c r="S635" s="7">
        <v>90</v>
      </c>
    </row>
    <row r="636" s="98" customFormat="1" ht="16.5" hidden="1" spans="1:19">
      <c r="A636" s="46">
        <v>634</v>
      </c>
      <c r="B636" s="46" t="s">
        <v>23</v>
      </c>
      <c r="C636" s="46" t="s">
        <v>38</v>
      </c>
      <c r="D636" s="7" t="s">
        <v>25</v>
      </c>
      <c r="E636" s="7" t="s">
        <v>1324</v>
      </c>
      <c r="F636" s="7" t="s">
        <v>1325</v>
      </c>
      <c r="G636" s="46" t="s">
        <v>904</v>
      </c>
      <c r="H636" s="101">
        <v>1212</v>
      </c>
      <c r="I636" s="46" t="s">
        <v>905</v>
      </c>
      <c r="J636" s="6">
        <v>46051</v>
      </c>
      <c r="K636" s="7" t="s">
        <v>1237</v>
      </c>
      <c r="L636" s="7" t="s">
        <v>915</v>
      </c>
      <c r="M636" s="46" t="s">
        <v>1238</v>
      </c>
      <c r="N636" s="46" t="s">
        <v>70</v>
      </c>
      <c r="O636" s="46" t="s">
        <v>1173</v>
      </c>
      <c r="P636" s="6">
        <v>45998</v>
      </c>
      <c r="Q636" s="102">
        <v>5</v>
      </c>
      <c r="R636" s="102">
        <v>5</v>
      </c>
      <c r="S636" s="7">
        <v>96</v>
      </c>
    </row>
    <row r="637" s="98" customFormat="1" ht="16.5" hidden="1" spans="1:19">
      <c r="A637" s="46">
        <v>635</v>
      </c>
      <c r="B637" s="46" t="s">
        <v>23</v>
      </c>
      <c r="C637" s="46" t="s">
        <v>38</v>
      </c>
      <c r="D637" s="7" t="s">
        <v>25</v>
      </c>
      <c r="E637" s="7" t="s">
        <v>1324</v>
      </c>
      <c r="F637" s="7" t="s">
        <v>1325</v>
      </c>
      <c r="G637" s="46" t="s">
        <v>904</v>
      </c>
      <c r="H637" s="101">
        <v>1212</v>
      </c>
      <c r="I637" s="46" t="s">
        <v>905</v>
      </c>
      <c r="J637" s="6">
        <v>46051</v>
      </c>
      <c r="K637" s="7" t="s">
        <v>1239</v>
      </c>
      <c r="L637" s="7" t="s">
        <v>915</v>
      </c>
      <c r="M637" s="46" t="s">
        <v>1240</v>
      </c>
      <c r="N637" s="46" t="s">
        <v>148</v>
      </c>
      <c r="O637" s="46" t="s">
        <v>1173</v>
      </c>
      <c r="P637" s="6">
        <v>45998</v>
      </c>
      <c r="Q637" s="102">
        <v>5</v>
      </c>
      <c r="R637" s="102">
        <v>5</v>
      </c>
      <c r="S637" s="7">
        <v>97</v>
      </c>
    </row>
    <row r="638" s="98" customFormat="1" ht="16.5" hidden="1" spans="1:19">
      <c r="A638" s="46">
        <v>636</v>
      </c>
      <c r="B638" s="46" t="s">
        <v>23</v>
      </c>
      <c r="C638" s="46" t="s">
        <v>38</v>
      </c>
      <c r="D638" s="7" t="s">
        <v>25</v>
      </c>
      <c r="E638" s="7" t="s">
        <v>1324</v>
      </c>
      <c r="F638" s="7" t="s">
        <v>1325</v>
      </c>
      <c r="G638" s="46" t="s">
        <v>904</v>
      </c>
      <c r="H638" s="101">
        <v>1212</v>
      </c>
      <c r="I638" s="46" t="s">
        <v>905</v>
      </c>
      <c r="J638" s="6">
        <v>46051</v>
      </c>
      <c r="K638" s="7" t="s">
        <v>1241</v>
      </c>
      <c r="L638" s="7" t="s">
        <v>915</v>
      </c>
      <c r="M638" s="46" t="s">
        <v>1242</v>
      </c>
      <c r="N638" s="46" t="s">
        <v>148</v>
      </c>
      <c r="O638" s="46" t="s">
        <v>1173</v>
      </c>
      <c r="P638" s="6">
        <v>45990</v>
      </c>
      <c r="Q638" s="102">
        <v>5</v>
      </c>
      <c r="R638" s="102">
        <v>5</v>
      </c>
      <c r="S638" s="7">
        <v>99</v>
      </c>
    </row>
    <row r="639" s="98" customFormat="1" ht="16.5" hidden="1" spans="1:19">
      <c r="A639" s="46">
        <v>637</v>
      </c>
      <c r="B639" s="46" t="s">
        <v>23</v>
      </c>
      <c r="C639" s="46" t="s">
        <v>38</v>
      </c>
      <c r="D639" s="7" t="s">
        <v>25</v>
      </c>
      <c r="E639" s="7" t="s">
        <v>1324</v>
      </c>
      <c r="F639" s="7" t="s">
        <v>1325</v>
      </c>
      <c r="G639" s="46" t="s">
        <v>904</v>
      </c>
      <c r="H639" s="101">
        <v>1212</v>
      </c>
      <c r="I639" s="46" t="s">
        <v>905</v>
      </c>
      <c r="J639" s="6">
        <v>46051</v>
      </c>
      <c r="K639" s="7" t="s">
        <v>1243</v>
      </c>
      <c r="L639" s="7" t="s">
        <v>907</v>
      </c>
      <c r="M639" s="46" t="s">
        <v>1244</v>
      </c>
      <c r="N639" s="46" t="s">
        <v>220</v>
      </c>
      <c r="O639" s="46" t="s">
        <v>1173</v>
      </c>
      <c r="P639" s="6">
        <v>46031</v>
      </c>
      <c r="Q639" s="102">
        <v>0</v>
      </c>
      <c r="R639" s="102">
        <v>0</v>
      </c>
      <c r="S639" s="7">
        <v>0</v>
      </c>
    </row>
    <row r="640" s="98" customFormat="1" ht="16.5" hidden="1" spans="1:19">
      <c r="A640" s="46">
        <v>638</v>
      </c>
      <c r="B640" s="46" t="s">
        <v>23</v>
      </c>
      <c r="C640" s="46" t="s">
        <v>38</v>
      </c>
      <c r="D640" s="7" t="s">
        <v>25</v>
      </c>
      <c r="E640" s="7" t="s">
        <v>1324</v>
      </c>
      <c r="F640" s="7" t="s">
        <v>1325</v>
      </c>
      <c r="G640" s="46" t="s">
        <v>904</v>
      </c>
      <c r="H640" s="101">
        <v>1212</v>
      </c>
      <c r="I640" s="46" t="s">
        <v>905</v>
      </c>
      <c r="J640" s="6">
        <v>46051</v>
      </c>
      <c r="K640" s="7" t="s">
        <v>1245</v>
      </c>
      <c r="L640" s="7" t="s">
        <v>915</v>
      </c>
      <c r="M640" s="46" t="s">
        <v>1246</v>
      </c>
      <c r="N640" s="46" t="s">
        <v>75</v>
      </c>
      <c r="O640" s="46" t="s">
        <v>1173</v>
      </c>
      <c r="P640" s="6">
        <v>46022</v>
      </c>
      <c r="Q640" s="102">
        <v>5</v>
      </c>
      <c r="R640" s="102">
        <v>5</v>
      </c>
      <c r="S640" s="7">
        <v>89</v>
      </c>
    </row>
    <row r="641" s="98" customFormat="1" ht="16.5" hidden="1" spans="1:19">
      <c r="A641" s="46">
        <v>639</v>
      </c>
      <c r="B641" s="46" t="s">
        <v>23</v>
      </c>
      <c r="C641" s="46" t="s">
        <v>29</v>
      </c>
      <c r="D641" s="7" t="s">
        <v>25</v>
      </c>
      <c r="E641" s="7" t="s">
        <v>1324</v>
      </c>
      <c r="F641" s="7" t="s">
        <v>1325</v>
      </c>
      <c r="G641" s="46" t="s">
        <v>904</v>
      </c>
      <c r="H641" s="101">
        <v>1212</v>
      </c>
      <c r="I641" s="46" t="s">
        <v>905</v>
      </c>
      <c r="J641" s="6">
        <v>46051</v>
      </c>
      <c r="K641" s="7" t="s">
        <v>1247</v>
      </c>
      <c r="L641" s="7" t="s">
        <v>915</v>
      </c>
      <c r="M641" s="46" t="s">
        <v>1248</v>
      </c>
      <c r="N641" s="46" t="s">
        <v>130</v>
      </c>
      <c r="O641" s="46" t="s">
        <v>1173</v>
      </c>
      <c r="P641" s="6">
        <v>46024</v>
      </c>
      <c r="Q641" s="102">
        <v>5</v>
      </c>
      <c r="R641" s="102">
        <v>5</v>
      </c>
      <c r="S641" s="7">
        <v>95</v>
      </c>
    </row>
    <row r="642" s="98" customFormat="1" ht="16.5" hidden="1" spans="1:19">
      <c r="A642" s="46">
        <v>640</v>
      </c>
      <c r="B642" s="46" t="s">
        <v>23</v>
      </c>
      <c r="C642" s="46" t="s">
        <v>35</v>
      </c>
      <c r="D642" s="7" t="s">
        <v>25</v>
      </c>
      <c r="E642" s="7" t="s">
        <v>1324</v>
      </c>
      <c r="F642" s="7" t="s">
        <v>1325</v>
      </c>
      <c r="G642" s="46" t="s">
        <v>904</v>
      </c>
      <c r="H642" s="101">
        <v>1212</v>
      </c>
      <c r="I642" s="46" t="s">
        <v>905</v>
      </c>
      <c r="J642" s="6">
        <v>46051</v>
      </c>
      <c r="K642" s="7" t="s">
        <v>1249</v>
      </c>
      <c r="L642" s="7" t="s">
        <v>915</v>
      </c>
      <c r="M642" s="46" t="s">
        <v>1250</v>
      </c>
      <c r="N642" s="46" t="s">
        <v>125</v>
      </c>
      <c r="O642" s="46" t="s">
        <v>1173</v>
      </c>
      <c r="P642" s="6">
        <v>46020</v>
      </c>
      <c r="Q642" s="102">
        <v>5</v>
      </c>
      <c r="R642" s="102">
        <v>5</v>
      </c>
      <c r="S642" s="7">
        <v>99</v>
      </c>
    </row>
    <row r="643" s="98" customFormat="1" ht="16.5" hidden="1" spans="1:19">
      <c r="A643" s="46">
        <v>641</v>
      </c>
      <c r="B643" s="46" t="s">
        <v>23</v>
      </c>
      <c r="C643" s="46" t="s">
        <v>29</v>
      </c>
      <c r="D643" s="7" t="s">
        <v>25</v>
      </c>
      <c r="E643" s="7" t="s">
        <v>1324</v>
      </c>
      <c r="F643" s="7" t="s">
        <v>1325</v>
      </c>
      <c r="G643" s="46" t="s">
        <v>904</v>
      </c>
      <c r="H643" s="101">
        <v>1212</v>
      </c>
      <c r="I643" s="46" t="s">
        <v>905</v>
      </c>
      <c r="J643" s="6">
        <v>46051</v>
      </c>
      <c r="K643" s="7" t="s">
        <v>1251</v>
      </c>
      <c r="L643" s="7" t="s">
        <v>915</v>
      </c>
      <c r="M643" s="46" t="s">
        <v>1252</v>
      </c>
      <c r="N643" s="46" t="s">
        <v>130</v>
      </c>
      <c r="O643" s="46" t="s">
        <v>1173</v>
      </c>
      <c r="P643" s="6">
        <v>46010</v>
      </c>
      <c r="Q643" s="102">
        <v>5</v>
      </c>
      <c r="R643" s="102">
        <v>5</v>
      </c>
      <c r="S643" s="7">
        <v>86</v>
      </c>
    </row>
    <row r="644" s="98" customFormat="1" ht="16.5" hidden="1" spans="1:19">
      <c r="A644" s="46">
        <v>642</v>
      </c>
      <c r="B644" s="46" t="s">
        <v>23</v>
      </c>
      <c r="C644" s="46" t="s">
        <v>34</v>
      </c>
      <c r="D644" s="7" t="s">
        <v>25</v>
      </c>
      <c r="E644" s="7" t="s">
        <v>1324</v>
      </c>
      <c r="F644" s="7" t="s">
        <v>1325</v>
      </c>
      <c r="G644" s="46" t="s">
        <v>904</v>
      </c>
      <c r="H644" s="101">
        <v>1212</v>
      </c>
      <c r="I644" s="46" t="s">
        <v>905</v>
      </c>
      <c r="J644" s="6">
        <v>46051</v>
      </c>
      <c r="K644" s="7" t="s">
        <v>1253</v>
      </c>
      <c r="L644" s="7" t="s">
        <v>915</v>
      </c>
      <c r="M644" s="46" t="s">
        <v>1254</v>
      </c>
      <c r="N644" s="46" t="s">
        <v>351</v>
      </c>
      <c r="O644" s="46" t="s">
        <v>1173</v>
      </c>
      <c r="P644" s="6">
        <v>45958</v>
      </c>
      <c r="Q644" s="102">
        <v>5</v>
      </c>
      <c r="R644" s="102">
        <v>5</v>
      </c>
      <c r="S644" s="7">
        <v>89</v>
      </c>
    </row>
    <row r="645" s="98" customFormat="1" ht="16.5" hidden="1" spans="1:19">
      <c r="A645" s="46">
        <v>643</v>
      </c>
      <c r="B645" s="46" t="s">
        <v>23</v>
      </c>
      <c r="C645" s="46" t="s">
        <v>34</v>
      </c>
      <c r="D645" s="7" t="s">
        <v>25</v>
      </c>
      <c r="E645" s="7" t="s">
        <v>1324</v>
      </c>
      <c r="F645" s="7" t="s">
        <v>1325</v>
      </c>
      <c r="G645" s="46" t="s">
        <v>904</v>
      </c>
      <c r="H645" s="101">
        <v>1212</v>
      </c>
      <c r="I645" s="46" t="s">
        <v>905</v>
      </c>
      <c r="J645" s="6">
        <v>46051</v>
      </c>
      <c r="K645" s="7" t="s">
        <v>1255</v>
      </c>
      <c r="L645" s="7" t="s">
        <v>915</v>
      </c>
      <c r="M645" s="46" t="s">
        <v>1256</v>
      </c>
      <c r="N645" s="46" t="s">
        <v>351</v>
      </c>
      <c r="O645" s="46" t="s">
        <v>1173</v>
      </c>
      <c r="P645" s="6">
        <v>45958</v>
      </c>
      <c r="Q645" s="102">
        <v>5</v>
      </c>
      <c r="R645" s="102">
        <v>5</v>
      </c>
      <c r="S645" s="7">
        <v>89</v>
      </c>
    </row>
    <row r="646" s="98" customFormat="1" ht="16.5" hidden="1" spans="1:19">
      <c r="A646" s="46">
        <v>644</v>
      </c>
      <c r="B646" s="46" t="s">
        <v>23</v>
      </c>
      <c r="C646" s="46" t="s">
        <v>34</v>
      </c>
      <c r="D646" s="7" t="s">
        <v>25</v>
      </c>
      <c r="E646" s="7" t="s">
        <v>1324</v>
      </c>
      <c r="F646" s="7" t="s">
        <v>1325</v>
      </c>
      <c r="G646" s="46" t="s">
        <v>904</v>
      </c>
      <c r="H646" s="101">
        <v>1212</v>
      </c>
      <c r="I646" s="46" t="s">
        <v>905</v>
      </c>
      <c r="J646" s="6">
        <v>46051</v>
      </c>
      <c r="K646" s="7" t="s">
        <v>1257</v>
      </c>
      <c r="L646" s="7" t="s">
        <v>915</v>
      </c>
      <c r="M646" s="46" t="s">
        <v>1258</v>
      </c>
      <c r="N646" s="46" t="s">
        <v>351</v>
      </c>
      <c r="O646" s="46" t="s">
        <v>1173</v>
      </c>
      <c r="P646" s="6">
        <v>45957</v>
      </c>
      <c r="Q646" s="102">
        <v>5</v>
      </c>
      <c r="R646" s="102">
        <v>5</v>
      </c>
      <c r="S646" s="7">
        <v>0</v>
      </c>
    </row>
    <row r="647" s="98" customFormat="1" ht="16.5" hidden="1" spans="1:19">
      <c r="A647" s="46">
        <v>645</v>
      </c>
      <c r="B647" s="46" t="s">
        <v>23</v>
      </c>
      <c r="C647" s="46" t="s">
        <v>32</v>
      </c>
      <c r="D647" s="7" t="s">
        <v>25</v>
      </c>
      <c r="E647" s="7" t="s">
        <v>1324</v>
      </c>
      <c r="F647" s="7" t="s">
        <v>1325</v>
      </c>
      <c r="G647" s="46" t="s">
        <v>904</v>
      </c>
      <c r="H647" s="101">
        <v>1212</v>
      </c>
      <c r="I647" s="46" t="s">
        <v>905</v>
      </c>
      <c r="J647" s="6">
        <v>46051</v>
      </c>
      <c r="K647" s="7" t="s">
        <v>1259</v>
      </c>
      <c r="L647" s="7" t="s">
        <v>907</v>
      </c>
      <c r="M647" s="46" t="s">
        <v>1260</v>
      </c>
      <c r="N647" s="46" t="s">
        <v>105</v>
      </c>
      <c r="O647" s="46" t="s">
        <v>1173</v>
      </c>
      <c r="P647" s="6">
        <v>46013</v>
      </c>
      <c r="Q647" s="102">
        <v>0</v>
      </c>
      <c r="R647" s="102">
        <v>0</v>
      </c>
      <c r="S647" s="7">
        <v>0</v>
      </c>
    </row>
    <row r="648" s="98" customFormat="1" ht="16.5" hidden="1" spans="1:19">
      <c r="A648" s="46">
        <v>646</v>
      </c>
      <c r="B648" s="46" t="s">
        <v>23</v>
      </c>
      <c r="C648" s="46" t="s">
        <v>32</v>
      </c>
      <c r="D648" s="7" t="s">
        <v>25</v>
      </c>
      <c r="E648" s="7" t="s">
        <v>1324</v>
      </c>
      <c r="F648" s="7" t="s">
        <v>1325</v>
      </c>
      <c r="G648" s="46" t="s">
        <v>904</v>
      </c>
      <c r="H648" s="101">
        <v>1212</v>
      </c>
      <c r="I648" s="46" t="s">
        <v>905</v>
      </c>
      <c r="J648" s="6">
        <v>46051</v>
      </c>
      <c r="K648" s="7" t="s">
        <v>1261</v>
      </c>
      <c r="L648" s="7" t="s">
        <v>907</v>
      </c>
      <c r="M648" s="46" t="s">
        <v>1262</v>
      </c>
      <c r="N648" s="46" t="s">
        <v>105</v>
      </c>
      <c r="O648" s="46" t="s">
        <v>1173</v>
      </c>
      <c r="P648" s="6">
        <v>46030</v>
      </c>
      <c r="Q648" s="102">
        <v>0</v>
      </c>
      <c r="R648" s="102">
        <v>0</v>
      </c>
      <c r="S648" s="7">
        <v>0</v>
      </c>
    </row>
    <row r="649" s="98" customFormat="1" ht="16.5" hidden="1" spans="1:19">
      <c r="A649" s="46">
        <v>647</v>
      </c>
      <c r="B649" s="46" t="s">
        <v>23</v>
      </c>
      <c r="C649" s="46" t="s">
        <v>38</v>
      </c>
      <c r="D649" s="7" t="s">
        <v>25</v>
      </c>
      <c r="E649" s="7" t="s">
        <v>1324</v>
      </c>
      <c r="F649" s="7" t="s">
        <v>1325</v>
      </c>
      <c r="G649" s="46" t="s">
        <v>904</v>
      </c>
      <c r="H649" s="101">
        <v>1212</v>
      </c>
      <c r="I649" s="46" t="s">
        <v>905</v>
      </c>
      <c r="J649" s="6">
        <v>46051</v>
      </c>
      <c r="K649" s="7" t="s">
        <v>1263</v>
      </c>
      <c r="L649" s="7" t="s">
        <v>907</v>
      </c>
      <c r="M649" s="46" t="s">
        <v>1264</v>
      </c>
      <c r="N649" s="46" t="s">
        <v>75</v>
      </c>
      <c r="O649" s="46" t="s">
        <v>1173</v>
      </c>
      <c r="P649" s="6">
        <v>45941</v>
      </c>
      <c r="Q649" s="102">
        <v>0</v>
      </c>
      <c r="R649" s="102">
        <v>0</v>
      </c>
      <c r="S649" s="7">
        <v>0</v>
      </c>
    </row>
    <row r="650" s="98" customFormat="1" ht="16.5" hidden="1" spans="1:19">
      <c r="A650" s="46">
        <v>648</v>
      </c>
      <c r="B650" s="46" t="s">
        <v>23</v>
      </c>
      <c r="C650" s="46" t="s">
        <v>31</v>
      </c>
      <c r="D650" s="7" t="s">
        <v>25</v>
      </c>
      <c r="E650" s="7" t="s">
        <v>1324</v>
      </c>
      <c r="F650" s="7" t="s">
        <v>1325</v>
      </c>
      <c r="G650" s="46" t="s">
        <v>904</v>
      </c>
      <c r="H650" s="101">
        <v>1212</v>
      </c>
      <c r="I650" s="46" t="s">
        <v>905</v>
      </c>
      <c r="J650" s="6">
        <v>46051</v>
      </c>
      <c r="K650" s="7" t="s">
        <v>1265</v>
      </c>
      <c r="L650" s="7" t="s">
        <v>915</v>
      </c>
      <c r="M650" s="46" t="s">
        <v>1266</v>
      </c>
      <c r="N650" s="46" t="s">
        <v>79</v>
      </c>
      <c r="O650" s="46" t="s">
        <v>1173</v>
      </c>
      <c r="P650" s="6">
        <v>46011</v>
      </c>
      <c r="Q650" s="102">
        <v>5</v>
      </c>
      <c r="R650" s="102">
        <v>5</v>
      </c>
      <c r="S650" s="7">
        <v>89</v>
      </c>
    </row>
    <row r="651" s="98" customFormat="1" ht="16.5" hidden="1" spans="1:19">
      <c r="A651" s="46">
        <v>649</v>
      </c>
      <c r="B651" s="46" t="s">
        <v>23</v>
      </c>
      <c r="C651" s="46" t="s">
        <v>37</v>
      </c>
      <c r="D651" s="7" t="s">
        <v>25</v>
      </c>
      <c r="E651" s="7" t="s">
        <v>1324</v>
      </c>
      <c r="F651" s="7" t="s">
        <v>1325</v>
      </c>
      <c r="G651" s="46" t="s">
        <v>904</v>
      </c>
      <c r="H651" s="101">
        <v>1212</v>
      </c>
      <c r="I651" s="46" t="s">
        <v>905</v>
      </c>
      <c r="J651" s="6">
        <v>46051</v>
      </c>
      <c r="K651" s="7" t="s">
        <v>1267</v>
      </c>
      <c r="L651" s="7" t="s">
        <v>915</v>
      </c>
      <c r="M651" s="46" t="s">
        <v>1268</v>
      </c>
      <c r="N651" s="46" t="s">
        <v>109</v>
      </c>
      <c r="O651" s="46" t="s">
        <v>1173</v>
      </c>
      <c r="P651" s="6">
        <v>46006</v>
      </c>
      <c r="Q651" s="102">
        <v>5</v>
      </c>
      <c r="R651" s="102">
        <v>5</v>
      </c>
      <c r="S651" s="7">
        <v>89</v>
      </c>
    </row>
    <row r="652" s="98" customFormat="1" ht="16.5" hidden="1" spans="1:19">
      <c r="A652" s="46">
        <v>650</v>
      </c>
      <c r="B652" s="46" t="s">
        <v>23</v>
      </c>
      <c r="C652" s="46" t="s">
        <v>31</v>
      </c>
      <c r="D652" s="7" t="s">
        <v>25</v>
      </c>
      <c r="E652" s="7" t="s">
        <v>1324</v>
      </c>
      <c r="F652" s="7" t="s">
        <v>1325</v>
      </c>
      <c r="G652" s="46" t="s">
        <v>904</v>
      </c>
      <c r="H652" s="101">
        <v>1212</v>
      </c>
      <c r="I652" s="46" t="s">
        <v>905</v>
      </c>
      <c r="J652" s="6">
        <v>46051</v>
      </c>
      <c r="K652" s="7" t="s">
        <v>1269</v>
      </c>
      <c r="L652" s="7" t="s">
        <v>915</v>
      </c>
      <c r="M652" s="46" t="s">
        <v>1270</v>
      </c>
      <c r="N652" s="46" t="s">
        <v>79</v>
      </c>
      <c r="O652" s="46" t="s">
        <v>1173</v>
      </c>
      <c r="P652" s="6">
        <v>45976</v>
      </c>
      <c r="Q652" s="102">
        <v>4.75</v>
      </c>
      <c r="R652" s="102">
        <v>5</v>
      </c>
      <c r="S652" s="7">
        <v>99</v>
      </c>
    </row>
    <row r="653" s="98" customFormat="1" ht="16.5" hidden="1" spans="1:19">
      <c r="A653" s="46">
        <v>651</v>
      </c>
      <c r="B653" s="46" t="s">
        <v>23</v>
      </c>
      <c r="C653" s="46" t="s">
        <v>38</v>
      </c>
      <c r="D653" s="7" t="s">
        <v>25</v>
      </c>
      <c r="E653" s="7" t="s">
        <v>1324</v>
      </c>
      <c r="F653" s="7" t="s">
        <v>1325</v>
      </c>
      <c r="G653" s="46" t="s">
        <v>904</v>
      </c>
      <c r="H653" s="101">
        <v>1212</v>
      </c>
      <c r="I653" s="46" t="s">
        <v>905</v>
      </c>
      <c r="J653" s="6">
        <v>46051</v>
      </c>
      <c r="K653" s="7" t="s">
        <v>1271</v>
      </c>
      <c r="L653" s="7" t="s">
        <v>907</v>
      </c>
      <c r="M653" s="46" t="s">
        <v>1272</v>
      </c>
      <c r="N653" s="46" t="s">
        <v>144</v>
      </c>
      <c r="O653" s="46" t="s">
        <v>1173</v>
      </c>
      <c r="P653" s="6">
        <v>45974</v>
      </c>
      <c r="Q653" s="102">
        <v>0</v>
      </c>
      <c r="R653" s="102">
        <v>0</v>
      </c>
      <c r="S653" s="7">
        <v>0</v>
      </c>
    </row>
    <row r="654" s="98" customFormat="1" ht="16.5" hidden="1" spans="1:19">
      <c r="A654" s="46">
        <v>652</v>
      </c>
      <c r="B654" s="46" t="s">
        <v>23</v>
      </c>
      <c r="C654" s="46" t="s">
        <v>38</v>
      </c>
      <c r="D654" s="7" t="s">
        <v>25</v>
      </c>
      <c r="E654" s="7" t="s">
        <v>1324</v>
      </c>
      <c r="F654" s="7" t="s">
        <v>1325</v>
      </c>
      <c r="G654" s="46" t="s">
        <v>904</v>
      </c>
      <c r="H654" s="101">
        <v>1212</v>
      </c>
      <c r="I654" s="46" t="s">
        <v>905</v>
      </c>
      <c r="J654" s="6">
        <v>46051</v>
      </c>
      <c r="K654" s="7" t="s">
        <v>1273</v>
      </c>
      <c r="L654" s="7" t="s">
        <v>907</v>
      </c>
      <c r="M654" s="46" t="s">
        <v>1274</v>
      </c>
      <c r="N654" s="46" t="s">
        <v>144</v>
      </c>
      <c r="O654" s="46" t="s">
        <v>1173</v>
      </c>
      <c r="P654" s="6">
        <v>45959</v>
      </c>
      <c r="Q654" s="102">
        <v>0</v>
      </c>
      <c r="R654" s="102">
        <v>0</v>
      </c>
      <c r="S654" s="7">
        <v>0</v>
      </c>
    </row>
    <row r="655" s="98" customFormat="1" ht="16.5" hidden="1" spans="1:19">
      <c r="A655" s="46">
        <v>653</v>
      </c>
      <c r="B655" s="46" t="s">
        <v>23</v>
      </c>
      <c r="C655" s="46" t="s">
        <v>38</v>
      </c>
      <c r="D655" s="7" t="s">
        <v>25</v>
      </c>
      <c r="E655" s="7" t="s">
        <v>1324</v>
      </c>
      <c r="F655" s="7" t="s">
        <v>1325</v>
      </c>
      <c r="G655" s="46" t="s">
        <v>904</v>
      </c>
      <c r="H655" s="101">
        <v>1212</v>
      </c>
      <c r="I655" s="46" t="s">
        <v>905</v>
      </c>
      <c r="J655" s="6">
        <v>46051</v>
      </c>
      <c r="K655" s="7" t="s">
        <v>1275</v>
      </c>
      <c r="L655" s="7" t="s">
        <v>907</v>
      </c>
      <c r="M655" s="46" t="s">
        <v>1276</v>
      </c>
      <c r="N655" s="46" t="s">
        <v>148</v>
      </c>
      <c r="O655" s="46" t="s">
        <v>1173</v>
      </c>
      <c r="P655" s="6">
        <v>45979</v>
      </c>
      <c r="Q655" s="102">
        <v>0</v>
      </c>
      <c r="R655" s="102">
        <v>0</v>
      </c>
      <c r="S655" s="7">
        <v>0</v>
      </c>
    </row>
    <row r="656" s="98" customFormat="1" ht="16.5" hidden="1" spans="1:19">
      <c r="A656" s="46">
        <v>654</v>
      </c>
      <c r="B656" s="46" t="s">
        <v>23</v>
      </c>
      <c r="C656" s="46" t="s">
        <v>38</v>
      </c>
      <c r="D656" s="7" t="s">
        <v>25</v>
      </c>
      <c r="E656" s="7" t="s">
        <v>1324</v>
      </c>
      <c r="F656" s="7" t="s">
        <v>1325</v>
      </c>
      <c r="G656" s="46" t="s">
        <v>904</v>
      </c>
      <c r="H656" s="101">
        <v>1212</v>
      </c>
      <c r="I656" s="46" t="s">
        <v>905</v>
      </c>
      <c r="J656" s="6">
        <v>46051</v>
      </c>
      <c r="K656" s="7" t="s">
        <v>1277</v>
      </c>
      <c r="L656" s="7" t="s">
        <v>915</v>
      </c>
      <c r="M656" s="46" t="s">
        <v>1278</v>
      </c>
      <c r="N656" s="46" t="s">
        <v>220</v>
      </c>
      <c r="O656" s="46" t="s">
        <v>1173</v>
      </c>
      <c r="P656" s="6">
        <v>45998</v>
      </c>
      <c r="Q656" s="102">
        <v>5</v>
      </c>
      <c r="R656" s="102">
        <v>5</v>
      </c>
      <c r="S656" s="7">
        <v>99</v>
      </c>
    </row>
    <row r="657" s="98" customFormat="1" ht="16.5" hidden="1" spans="1:19">
      <c r="A657" s="46">
        <v>655</v>
      </c>
      <c r="B657" s="46" t="s">
        <v>23</v>
      </c>
      <c r="C657" s="46" t="s">
        <v>38</v>
      </c>
      <c r="D657" s="7" t="s">
        <v>25</v>
      </c>
      <c r="E657" s="7" t="s">
        <v>1324</v>
      </c>
      <c r="F657" s="7" t="s">
        <v>1325</v>
      </c>
      <c r="G657" s="46" t="s">
        <v>904</v>
      </c>
      <c r="H657" s="101">
        <v>1212</v>
      </c>
      <c r="I657" s="46" t="s">
        <v>905</v>
      </c>
      <c r="J657" s="6">
        <v>46051</v>
      </c>
      <c r="K657" s="7" t="s">
        <v>1279</v>
      </c>
      <c r="L657" s="7" t="s">
        <v>907</v>
      </c>
      <c r="M657" s="46" t="s">
        <v>1280</v>
      </c>
      <c r="N657" s="46" t="s">
        <v>70</v>
      </c>
      <c r="O657" s="46" t="s">
        <v>1173</v>
      </c>
      <c r="P657" s="6">
        <v>46018</v>
      </c>
      <c r="Q657" s="102">
        <v>0</v>
      </c>
      <c r="R657" s="102">
        <v>0</v>
      </c>
      <c r="S657" s="7">
        <v>0</v>
      </c>
    </row>
    <row r="658" s="98" customFormat="1" ht="16.5" hidden="1" spans="1:19">
      <c r="A658" s="46">
        <v>656</v>
      </c>
      <c r="B658" s="46" t="s">
        <v>23</v>
      </c>
      <c r="C658" s="46" t="s">
        <v>38</v>
      </c>
      <c r="D658" s="7" t="s">
        <v>25</v>
      </c>
      <c r="E658" s="7" t="s">
        <v>1324</v>
      </c>
      <c r="F658" s="7" t="s">
        <v>1325</v>
      </c>
      <c r="G658" s="46" t="s">
        <v>904</v>
      </c>
      <c r="H658" s="101">
        <v>1212</v>
      </c>
      <c r="I658" s="46" t="s">
        <v>905</v>
      </c>
      <c r="J658" s="6">
        <v>46051</v>
      </c>
      <c r="K658" s="7" t="s">
        <v>1281</v>
      </c>
      <c r="L658" s="7" t="s">
        <v>907</v>
      </c>
      <c r="M658" s="46" t="s">
        <v>1282</v>
      </c>
      <c r="N658" s="46" t="s">
        <v>148</v>
      </c>
      <c r="O658" s="46" t="s">
        <v>1173</v>
      </c>
      <c r="P658" s="6">
        <v>46022</v>
      </c>
      <c r="Q658" s="102">
        <v>0</v>
      </c>
      <c r="R658" s="102">
        <v>0</v>
      </c>
      <c r="S658" s="7">
        <v>0</v>
      </c>
    </row>
    <row r="659" s="98" customFormat="1" ht="16.5" hidden="1" spans="1:19">
      <c r="A659" s="46">
        <v>657</v>
      </c>
      <c r="B659" s="46" t="s">
        <v>23</v>
      </c>
      <c r="C659" s="46" t="s">
        <v>38</v>
      </c>
      <c r="D659" s="7" t="s">
        <v>25</v>
      </c>
      <c r="E659" s="7" t="s">
        <v>1324</v>
      </c>
      <c r="F659" s="7" t="s">
        <v>1325</v>
      </c>
      <c r="G659" s="46" t="s">
        <v>904</v>
      </c>
      <c r="H659" s="101">
        <v>1212</v>
      </c>
      <c r="I659" s="46" t="s">
        <v>905</v>
      </c>
      <c r="J659" s="6">
        <v>46051</v>
      </c>
      <c r="K659" s="7" t="s">
        <v>1283</v>
      </c>
      <c r="L659" s="7" t="s">
        <v>907</v>
      </c>
      <c r="M659" s="46" t="s">
        <v>1284</v>
      </c>
      <c r="N659" s="46" t="s">
        <v>148</v>
      </c>
      <c r="O659" s="46" t="s">
        <v>1173</v>
      </c>
      <c r="P659" s="6">
        <v>46015</v>
      </c>
      <c r="Q659" s="102">
        <v>0</v>
      </c>
      <c r="R659" s="102">
        <v>0</v>
      </c>
      <c r="S659" s="7">
        <v>0</v>
      </c>
    </row>
    <row r="660" s="98" customFormat="1" ht="16.5" hidden="1" spans="1:19">
      <c r="A660" s="46">
        <v>658</v>
      </c>
      <c r="B660" s="46" t="s">
        <v>23</v>
      </c>
      <c r="C660" s="46" t="s">
        <v>38</v>
      </c>
      <c r="D660" s="7" t="s">
        <v>25</v>
      </c>
      <c r="E660" s="7" t="s">
        <v>1324</v>
      </c>
      <c r="F660" s="7" t="s">
        <v>1325</v>
      </c>
      <c r="G660" s="46" t="s">
        <v>904</v>
      </c>
      <c r="H660" s="101">
        <v>1212</v>
      </c>
      <c r="I660" s="46" t="s">
        <v>905</v>
      </c>
      <c r="J660" s="6">
        <v>46051</v>
      </c>
      <c r="K660" s="7" t="s">
        <v>1285</v>
      </c>
      <c r="L660" s="7" t="s">
        <v>907</v>
      </c>
      <c r="M660" s="46" t="s">
        <v>1286</v>
      </c>
      <c r="N660" s="46" t="s">
        <v>148</v>
      </c>
      <c r="O660" s="46" t="s">
        <v>1173</v>
      </c>
      <c r="P660" s="6">
        <v>45989</v>
      </c>
      <c r="Q660" s="102">
        <v>0</v>
      </c>
      <c r="R660" s="102">
        <v>0</v>
      </c>
      <c r="S660" s="7">
        <v>0</v>
      </c>
    </row>
    <row r="661" s="98" customFormat="1" ht="16.5" hidden="1" spans="1:19">
      <c r="A661" s="46">
        <v>659</v>
      </c>
      <c r="B661" s="46" t="s">
        <v>23</v>
      </c>
      <c r="C661" s="46" t="s">
        <v>38</v>
      </c>
      <c r="D661" s="7" t="s">
        <v>25</v>
      </c>
      <c r="E661" s="7" t="s">
        <v>1324</v>
      </c>
      <c r="F661" s="7" t="s">
        <v>1325</v>
      </c>
      <c r="G661" s="46" t="s">
        <v>904</v>
      </c>
      <c r="H661" s="101">
        <v>1212</v>
      </c>
      <c r="I661" s="46" t="s">
        <v>905</v>
      </c>
      <c r="J661" s="6">
        <v>46051</v>
      </c>
      <c r="K661" s="7" t="s">
        <v>1287</v>
      </c>
      <c r="L661" s="7" t="s">
        <v>915</v>
      </c>
      <c r="M661" s="46" t="s">
        <v>1288</v>
      </c>
      <c r="N661" s="46" t="s">
        <v>220</v>
      </c>
      <c r="O661" s="46" t="s">
        <v>1173</v>
      </c>
      <c r="P661" s="6">
        <v>46031</v>
      </c>
      <c r="Q661" s="102">
        <v>5</v>
      </c>
      <c r="R661" s="102">
        <v>5</v>
      </c>
      <c r="S661" s="7">
        <v>95</v>
      </c>
    </row>
    <row r="662" s="98" customFormat="1" ht="16.5" hidden="1" spans="1:19">
      <c r="A662" s="46">
        <v>660</v>
      </c>
      <c r="B662" s="46" t="s">
        <v>23</v>
      </c>
      <c r="C662" s="46" t="s">
        <v>38</v>
      </c>
      <c r="D662" s="7" t="s">
        <v>25</v>
      </c>
      <c r="E662" s="7" t="s">
        <v>1324</v>
      </c>
      <c r="F662" s="7" t="s">
        <v>1325</v>
      </c>
      <c r="G662" s="46" t="s">
        <v>904</v>
      </c>
      <c r="H662" s="101">
        <v>1212</v>
      </c>
      <c r="I662" s="46" t="s">
        <v>905</v>
      </c>
      <c r="J662" s="6">
        <v>46051</v>
      </c>
      <c r="K662" s="7" t="s">
        <v>1289</v>
      </c>
      <c r="L662" s="7" t="s">
        <v>915</v>
      </c>
      <c r="M662" s="46" t="s">
        <v>1290</v>
      </c>
      <c r="N662" s="46" t="s">
        <v>220</v>
      </c>
      <c r="O662" s="46" t="s">
        <v>1173</v>
      </c>
      <c r="P662" s="6">
        <v>46022</v>
      </c>
      <c r="Q662" s="102">
        <v>5</v>
      </c>
      <c r="R662" s="102">
        <v>5</v>
      </c>
      <c r="S662" s="7">
        <v>95</v>
      </c>
    </row>
    <row r="663" s="98" customFormat="1" ht="16.5" hidden="1" spans="1:19">
      <c r="A663" s="46">
        <v>661</v>
      </c>
      <c r="B663" s="46" t="s">
        <v>23</v>
      </c>
      <c r="C663" s="46" t="s">
        <v>38</v>
      </c>
      <c r="D663" s="7" t="s">
        <v>25</v>
      </c>
      <c r="E663" s="7" t="s">
        <v>1324</v>
      </c>
      <c r="F663" s="7" t="s">
        <v>1325</v>
      </c>
      <c r="G663" s="46" t="s">
        <v>904</v>
      </c>
      <c r="H663" s="101">
        <v>1212</v>
      </c>
      <c r="I663" s="46" t="s">
        <v>905</v>
      </c>
      <c r="J663" s="6">
        <v>46051</v>
      </c>
      <c r="K663" s="7" t="s">
        <v>1291</v>
      </c>
      <c r="L663" s="7" t="s">
        <v>907</v>
      </c>
      <c r="M663" s="46" t="s">
        <v>1292</v>
      </c>
      <c r="N663" s="46" t="s">
        <v>168</v>
      </c>
      <c r="O663" s="46" t="s">
        <v>1173</v>
      </c>
      <c r="P663" s="6">
        <v>46025</v>
      </c>
      <c r="Q663" s="102">
        <v>0</v>
      </c>
      <c r="R663" s="102">
        <v>0</v>
      </c>
      <c r="S663" s="7">
        <v>0</v>
      </c>
    </row>
    <row r="664" s="98" customFormat="1" ht="16.5" hidden="1" spans="1:19">
      <c r="A664" s="46">
        <v>662</v>
      </c>
      <c r="B664" s="46" t="s">
        <v>23</v>
      </c>
      <c r="C664" s="46" t="s">
        <v>38</v>
      </c>
      <c r="D664" s="7" t="s">
        <v>25</v>
      </c>
      <c r="E664" s="7" t="s">
        <v>1324</v>
      </c>
      <c r="F664" s="7" t="s">
        <v>1325</v>
      </c>
      <c r="G664" s="46" t="s">
        <v>904</v>
      </c>
      <c r="H664" s="101">
        <v>1212</v>
      </c>
      <c r="I664" s="46" t="s">
        <v>905</v>
      </c>
      <c r="J664" s="6">
        <v>46051</v>
      </c>
      <c r="K664" s="7" t="s">
        <v>1293</v>
      </c>
      <c r="L664" s="7" t="s">
        <v>907</v>
      </c>
      <c r="M664" s="46" t="s">
        <v>1294</v>
      </c>
      <c r="N664" s="46" t="s">
        <v>168</v>
      </c>
      <c r="O664" s="46" t="s">
        <v>1173</v>
      </c>
      <c r="P664" s="6">
        <v>46022</v>
      </c>
      <c r="Q664" s="102">
        <v>0</v>
      </c>
      <c r="R664" s="102">
        <v>0</v>
      </c>
      <c r="S664" s="7">
        <v>0</v>
      </c>
    </row>
    <row r="665" s="98" customFormat="1" ht="16.5" hidden="1" spans="1:19">
      <c r="A665" s="46">
        <v>663</v>
      </c>
      <c r="B665" s="46" t="s">
        <v>23</v>
      </c>
      <c r="C665" s="46" t="s">
        <v>38</v>
      </c>
      <c r="D665" s="7" t="s">
        <v>25</v>
      </c>
      <c r="E665" s="7" t="s">
        <v>1324</v>
      </c>
      <c r="F665" s="7" t="s">
        <v>1325</v>
      </c>
      <c r="G665" s="46" t="s">
        <v>904</v>
      </c>
      <c r="H665" s="101">
        <v>1212</v>
      </c>
      <c r="I665" s="46" t="s">
        <v>905</v>
      </c>
      <c r="J665" s="6">
        <v>46051</v>
      </c>
      <c r="K665" s="7" t="s">
        <v>1295</v>
      </c>
      <c r="L665" s="7" t="s">
        <v>907</v>
      </c>
      <c r="M665" s="46" t="s">
        <v>1296</v>
      </c>
      <c r="N665" s="46" t="s">
        <v>168</v>
      </c>
      <c r="O665" s="46" t="s">
        <v>1173</v>
      </c>
      <c r="P665" s="6">
        <v>45978</v>
      </c>
      <c r="Q665" s="102">
        <v>0</v>
      </c>
      <c r="R665" s="102">
        <v>0</v>
      </c>
      <c r="S665" s="7">
        <v>0</v>
      </c>
    </row>
    <row r="666" s="98" customFormat="1" ht="16.5" hidden="1" spans="1:19">
      <c r="A666" s="46">
        <v>664</v>
      </c>
      <c r="B666" s="46" t="s">
        <v>23</v>
      </c>
      <c r="C666" s="46" t="s">
        <v>26</v>
      </c>
      <c r="D666" s="7" t="s">
        <v>25</v>
      </c>
      <c r="E666" s="7" t="s">
        <v>1324</v>
      </c>
      <c r="F666" s="7" t="s">
        <v>1325</v>
      </c>
      <c r="G666" s="46" t="s">
        <v>904</v>
      </c>
      <c r="H666" s="101">
        <v>1212</v>
      </c>
      <c r="I666" s="46" t="s">
        <v>905</v>
      </c>
      <c r="J666" s="6">
        <v>46051</v>
      </c>
      <c r="K666" s="7" t="s">
        <v>1297</v>
      </c>
      <c r="L666" s="7" t="s">
        <v>915</v>
      </c>
      <c r="M666" s="46" t="s">
        <v>1298</v>
      </c>
      <c r="N666" s="46" t="s">
        <v>121</v>
      </c>
      <c r="O666" s="46" t="s">
        <v>1173</v>
      </c>
      <c r="P666" s="6">
        <v>46035</v>
      </c>
      <c r="Q666" s="102">
        <v>0</v>
      </c>
      <c r="R666" s="102">
        <v>0</v>
      </c>
      <c r="S666" s="7">
        <v>89</v>
      </c>
    </row>
    <row r="667" s="98" customFormat="1" ht="16.5" hidden="1" spans="1:19">
      <c r="A667" s="46">
        <v>665</v>
      </c>
      <c r="B667" s="46" t="s">
        <v>23</v>
      </c>
      <c r="C667" s="46" t="s">
        <v>35</v>
      </c>
      <c r="D667" s="7" t="s">
        <v>25</v>
      </c>
      <c r="E667" s="7" t="s">
        <v>1324</v>
      </c>
      <c r="F667" s="7" t="s">
        <v>1325</v>
      </c>
      <c r="G667" s="46" t="s">
        <v>904</v>
      </c>
      <c r="H667" s="101">
        <v>1212</v>
      </c>
      <c r="I667" s="46" t="s">
        <v>905</v>
      </c>
      <c r="J667" s="6">
        <v>46051</v>
      </c>
      <c r="K667" s="7" t="s">
        <v>1299</v>
      </c>
      <c r="L667" s="7" t="s">
        <v>915</v>
      </c>
      <c r="M667" s="46" t="s">
        <v>1300</v>
      </c>
      <c r="N667" s="46" t="s">
        <v>125</v>
      </c>
      <c r="O667" s="46" t="s">
        <v>1173</v>
      </c>
      <c r="P667" s="6">
        <v>46011</v>
      </c>
      <c r="Q667" s="102">
        <v>5</v>
      </c>
      <c r="R667" s="102">
        <v>5</v>
      </c>
      <c r="S667" s="7">
        <v>99</v>
      </c>
    </row>
    <row r="668" s="98" customFormat="1" ht="16.5" hidden="1" spans="1:19">
      <c r="A668" s="46">
        <v>666</v>
      </c>
      <c r="B668" s="46" t="s">
        <v>23</v>
      </c>
      <c r="C668" s="46" t="s">
        <v>29</v>
      </c>
      <c r="D668" s="7" t="s">
        <v>25</v>
      </c>
      <c r="E668" s="7" t="s">
        <v>1324</v>
      </c>
      <c r="F668" s="7" t="s">
        <v>1325</v>
      </c>
      <c r="G668" s="46" t="s">
        <v>904</v>
      </c>
      <c r="H668" s="101">
        <v>1212</v>
      </c>
      <c r="I668" s="46" t="s">
        <v>905</v>
      </c>
      <c r="J668" s="6">
        <v>46051</v>
      </c>
      <c r="K668" s="7" t="s">
        <v>1301</v>
      </c>
      <c r="L668" s="7" t="s">
        <v>915</v>
      </c>
      <c r="M668" s="46" t="s">
        <v>1302</v>
      </c>
      <c r="N668" s="46" t="s">
        <v>130</v>
      </c>
      <c r="O668" s="46" t="s">
        <v>1173</v>
      </c>
      <c r="P668" s="6">
        <v>46026</v>
      </c>
      <c r="Q668" s="102">
        <v>5</v>
      </c>
      <c r="R668" s="102">
        <v>5</v>
      </c>
      <c r="S668" s="7">
        <v>89</v>
      </c>
    </row>
    <row r="669" s="98" customFormat="1" ht="16.5" hidden="1" spans="1:19">
      <c r="A669" s="46">
        <v>667</v>
      </c>
      <c r="B669" s="46" t="s">
        <v>23</v>
      </c>
      <c r="C669" s="46" t="s">
        <v>38</v>
      </c>
      <c r="D669" s="7" t="s">
        <v>25</v>
      </c>
      <c r="E669" s="7" t="s">
        <v>1324</v>
      </c>
      <c r="F669" s="7" t="s">
        <v>1325</v>
      </c>
      <c r="G669" s="46" t="s">
        <v>904</v>
      </c>
      <c r="H669" s="101">
        <v>1212</v>
      </c>
      <c r="I669" s="46" t="s">
        <v>905</v>
      </c>
      <c r="J669" s="6">
        <v>46051</v>
      </c>
      <c r="K669" s="7" t="s">
        <v>1303</v>
      </c>
      <c r="L669" s="7" t="s">
        <v>907</v>
      </c>
      <c r="M669" s="46" t="s">
        <v>1304</v>
      </c>
      <c r="N669" s="46" t="s">
        <v>144</v>
      </c>
      <c r="O669" s="46" t="s">
        <v>1173</v>
      </c>
      <c r="P669" s="6">
        <v>46022</v>
      </c>
      <c r="Q669" s="102">
        <v>0</v>
      </c>
      <c r="R669" s="102">
        <v>0</v>
      </c>
      <c r="S669" s="7">
        <v>0</v>
      </c>
    </row>
    <row r="670" s="98" customFormat="1" ht="16.5" hidden="1" spans="1:19">
      <c r="A670" s="46">
        <v>668</v>
      </c>
      <c r="B670" s="46" t="s">
        <v>23</v>
      </c>
      <c r="C670" s="46" t="s">
        <v>38</v>
      </c>
      <c r="D670" s="7" t="s">
        <v>25</v>
      </c>
      <c r="E670" s="7" t="s">
        <v>1324</v>
      </c>
      <c r="F670" s="7" t="s">
        <v>1325</v>
      </c>
      <c r="G670" s="46" t="s">
        <v>904</v>
      </c>
      <c r="H670" s="101">
        <v>1212</v>
      </c>
      <c r="I670" s="46" t="s">
        <v>905</v>
      </c>
      <c r="J670" s="6">
        <v>46051</v>
      </c>
      <c r="K670" s="7" t="s">
        <v>1305</v>
      </c>
      <c r="L670" s="7" t="s">
        <v>915</v>
      </c>
      <c r="M670" s="46" t="s">
        <v>1306</v>
      </c>
      <c r="N670" s="46" t="s">
        <v>144</v>
      </c>
      <c r="O670" s="46" t="s">
        <v>1173</v>
      </c>
      <c r="P670" s="6">
        <v>46013</v>
      </c>
      <c r="Q670" s="102">
        <v>5</v>
      </c>
      <c r="R670" s="102">
        <v>5</v>
      </c>
      <c r="S670" s="7">
        <v>99</v>
      </c>
    </row>
    <row r="671" s="98" customFormat="1" ht="16.5" hidden="1" spans="1:19">
      <c r="A671" s="46">
        <v>669</v>
      </c>
      <c r="B671" s="46" t="s">
        <v>23</v>
      </c>
      <c r="C671" s="46" t="s">
        <v>38</v>
      </c>
      <c r="D671" s="7" t="s">
        <v>25</v>
      </c>
      <c r="E671" s="7" t="s">
        <v>1324</v>
      </c>
      <c r="F671" s="7" t="s">
        <v>1325</v>
      </c>
      <c r="G671" s="46" t="s">
        <v>904</v>
      </c>
      <c r="H671" s="101">
        <v>1212</v>
      </c>
      <c r="I671" s="46" t="s">
        <v>905</v>
      </c>
      <c r="J671" s="6">
        <v>46051</v>
      </c>
      <c r="K671" s="7" t="s">
        <v>1307</v>
      </c>
      <c r="L671" s="7" t="s">
        <v>907</v>
      </c>
      <c r="M671" s="46" t="s">
        <v>1308</v>
      </c>
      <c r="N671" s="46" t="s">
        <v>144</v>
      </c>
      <c r="O671" s="46" t="s">
        <v>1173</v>
      </c>
      <c r="P671" s="6">
        <v>45955</v>
      </c>
      <c r="Q671" s="102">
        <v>0</v>
      </c>
      <c r="R671" s="102">
        <v>0</v>
      </c>
      <c r="S671" s="7">
        <v>0</v>
      </c>
    </row>
    <row r="672" s="98" customFormat="1" ht="16.5" hidden="1" spans="1:19">
      <c r="A672" s="46">
        <v>670</v>
      </c>
      <c r="B672" s="46" t="s">
        <v>23</v>
      </c>
      <c r="C672" s="46" t="s">
        <v>26</v>
      </c>
      <c r="D672" s="7" t="s">
        <v>25</v>
      </c>
      <c r="E672" s="7" t="s">
        <v>1324</v>
      </c>
      <c r="F672" s="7" t="s">
        <v>1325</v>
      </c>
      <c r="G672" s="46" t="s">
        <v>904</v>
      </c>
      <c r="H672" s="101">
        <v>1212</v>
      </c>
      <c r="I672" s="46" t="s">
        <v>905</v>
      </c>
      <c r="J672" s="6">
        <v>46051</v>
      </c>
      <c r="K672" s="7" t="s">
        <v>1309</v>
      </c>
      <c r="L672" s="7" t="s">
        <v>907</v>
      </c>
      <c r="M672" s="46" t="s">
        <v>1310</v>
      </c>
      <c r="N672" s="46" t="s">
        <v>121</v>
      </c>
      <c r="O672" s="46" t="s">
        <v>1173</v>
      </c>
      <c r="P672" s="6">
        <v>46026</v>
      </c>
      <c r="Q672" s="102">
        <v>0</v>
      </c>
      <c r="R672" s="102">
        <v>0</v>
      </c>
      <c r="S672" s="7">
        <v>0</v>
      </c>
    </row>
    <row r="673" s="98" customFormat="1" ht="16.5" hidden="1" spans="1:19">
      <c r="A673" s="46">
        <v>671</v>
      </c>
      <c r="B673" s="46" t="s">
        <v>23</v>
      </c>
      <c r="C673" s="46" t="s">
        <v>26</v>
      </c>
      <c r="D673" s="7" t="s">
        <v>25</v>
      </c>
      <c r="E673" s="7" t="s">
        <v>1324</v>
      </c>
      <c r="F673" s="7" t="s">
        <v>1325</v>
      </c>
      <c r="G673" s="46" t="s">
        <v>904</v>
      </c>
      <c r="H673" s="101">
        <v>1212</v>
      </c>
      <c r="I673" s="46" t="s">
        <v>905</v>
      </c>
      <c r="J673" s="6">
        <v>46051</v>
      </c>
      <c r="K673" s="7" t="s">
        <v>1311</v>
      </c>
      <c r="L673" s="7" t="s">
        <v>915</v>
      </c>
      <c r="M673" s="46" t="s">
        <v>1312</v>
      </c>
      <c r="N673" s="46" t="s">
        <v>121</v>
      </c>
      <c r="O673" s="46" t="s">
        <v>1173</v>
      </c>
      <c r="P673" s="6">
        <v>45973</v>
      </c>
      <c r="Q673" s="102">
        <v>5</v>
      </c>
      <c r="R673" s="102">
        <v>5</v>
      </c>
      <c r="S673" s="7">
        <v>95</v>
      </c>
    </row>
    <row r="674" s="98" customFormat="1" ht="16.5" hidden="1" spans="1:19">
      <c r="A674" s="46">
        <v>672</v>
      </c>
      <c r="B674" s="46" t="s">
        <v>23</v>
      </c>
      <c r="C674" s="46" t="s">
        <v>26</v>
      </c>
      <c r="D674" s="7" t="s">
        <v>25</v>
      </c>
      <c r="E674" s="7" t="s">
        <v>1324</v>
      </c>
      <c r="F674" s="7" t="s">
        <v>1325</v>
      </c>
      <c r="G674" s="46" t="s">
        <v>904</v>
      </c>
      <c r="H674" s="101">
        <v>1212</v>
      </c>
      <c r="I674" s="46" t="s">
        <v>905</v>
      </c>
      <c r="J674" s="6">
        <v>46051</v>
      </c>
      <c r="K674" s="7" t="s">
        <v>1313</v>
      </c>
      <c r="L674" s="7" t="s">
        <v>915</v>
      </c>
      <c r="M674" s="46" t="s">
        <v>1314</v>
      </c>
      <c r="N674" s="46" t="s">
        <v>121</v>
      </c>
      <c r="O674" s="46" t="s">
        <v>1173</v>
      </c>
      <c r="P674" s="6">
        <v>45890</v>
      </c>
      <c r="Q674" s="102">
        <v>5</v>
      </c>
      <c r="R674" s="102">
        <v>5</v>
      </c>
      <c r="S674" s="7">
        <v>85</v>
      </c>
    </row>
    <row r="675" s="98" customFormat="1" ht="16.5" hidden="1" spans="1:19">
      <c r="A675" s="46">
        <v>673</v>
      </c>
      <c r="B675" s="46" t="s">
        <v>23</v>
      </c>
      <c r="C675" s="46" t="s">
        <v>38</v>
      </c>
      <c r="D675" s="7" t="s">
        <v>25</v>
      </c>
      <c r="E675" s="7" t="s">
        <v>1324</v>
      </c>
      <c r="F675" s="7" t="s">
        <v>1325</v>
      </c>
      <c r="G675" s="46" t="s">
        <v>904</v>
      </c>
      <c r="H675" s="101">
        <v>1212</v>
      </c>
      <c r="I675" s="46" t="s">
        <v>905</v>
      </c>
      <c r="J675" s="6">
        <v>46051</v>
      </c>
      <c r="K675" s="7" t="s">
        <v>1315</v>
      </c>
      <c r="L675" s="7" t="s">
        <v>915</v>
      </c>
      <c r="M675" s="46" t="s">
        <v>1316</v>
      </c>
      <c r="N675" s="46" t="s">
        <v>75</v>
      </c>
      <c r="O675" s="46" t="s">
        <v>1173</v>
      </c>
      <c r="P675" s="6">
        <v>45998</v>
      </c>
      <c r="Q675" s="102">
        <v>5</v>
      </c>
      <c r="R675" s="102">
        <v>5</v>
      </c>
      <c r="S675" s="7">
        <v>89</v>
      </c>
    </row>
    <row r="676" s="98" customFormat="1" ht="16.5" hidden="1" spans="1:19">
      <c r="A676" s="46">
        <v>674</v>
      </c>
      <c r="B676" s="46" t="s">
        <v>23</v>
      </c>
      <c r="C676" s="46" t="s">
        <v>38</v>
      </c>
      <c r="D676" s="7" t="s">
        <v>25</v>
      </c>
      <c r="E676" s="7" t="s">
        <v>1324</v>
      </c>
      <c r="F676" s="7" t="s">
        <v>1325</v>
      </c>
      <c r="G676" s="46" t="s">
        <v>904</v>
      </c>
      <c r="H676" s="101">
        <v>1212</v>
      </c>
      <c r="I676" s="46" t="s">
        <v>905</v>
      </c>
      <c r="J676" s="6">
        <v>46051</v>
      </c>
      <c r="K676" s="7" t="s">
        <v>1317</v>
      </c>
      <c r="L676" s="7" t="s">
        <v>907</v>
      </c>
      <c r="M676" s="46" t="s">
        <v>1318</v>
      </c>
      <c r="N676" s="46" t="s">
        <v>75</v>
      </c>
      <c r="O676" s="46" t="s">
        <v>1173</v>
      </c>
      <c r="P676" s="6">
        <v>45998</v>
      </c>
      <c r="Q676" s="102">
        <v>0</v>
      </c>
      <c r="R676" s="102">
        <v>0</v>
      </c>
      <c r="S676" s="7">
        <v>0</v>
      </c>
    </row>
    <row r="677" s="98" customFormat="1" ht="16.5" hidden="1" spans="1:19">
      <c r="A677" s="46">
        <v>675</v>
      </c>
      <c r="B677" s="46" t="s">
        <v>23</v>
      </c>
      <c r="C677" s="46" t="s">
        <v>38</v>
      </c>
      <c r="D677" s="7" t="s">
        <v>25</v>
      </c>
      <c r="E677" s="7" t="s">
        <v>1324</v>
      </c>
      <c r="F677" s="7" t="s">
        <v>1325</v>
      </c>
      <c r="G677" s="46" t="s">
        <v>904</v>
      </c>
      <c r="H677" s="101">
        <v>1212</v>
      </c>
      <c r="I677" s="46" t="s">
        <v>905</v>
      </c>
      <c r="J677" s="6">
        <v>46051</v>
      </c>
      <c r="K677" s="7" t="s">
        <v>1319</v>
      </c>
      <c r="L677" s="7" t="s">
        <v>907</v>
      </c>
      <c r="M677" s="46" t="s">
        <v>1320</v>
      </c>
      <c r="N677" s="46" t="s">
        <v>220</v>
      </c>
      <c r="O677" s="46" t="s">
        <v>1173</v>
      </c>
      <c r="P677" s="6">
        <v>46022</v>
      </c>
      <c r="Q677" s="102">
        <v>0</v>
      </c>
      <c r="R677" s="102">
        <v>0</v>
      </c>
      <c r="S677" s="7">
        <v>0</v>
      </c>
    </row>
    <row r="678" s="98" customFormat="1" ht="16.5" hidden="1" spans="1:19">
      <c r="A678" s="46">
        <v>676</v>
      </c>
      <c r="B678" s="46" t="s">
        <v>23</v>
      </c>
      <c r="C678" s="46" t="s">
        <v>38</v>
      </c>
      <c r="D678" s="7" t="s">
        <v>25</v>
      </c>
      <c r="E678" s="7" t="s">
        <v>1324</v>
      </c>
      <c r="F678" s="7" t="s">
        <v>1325</v>
      </c>
      <c r="G678" s="46" t="s">
        <v>904</v>
      </c>
      <c r="H678" s="101">
        <v>1212</v>
      </c>
      <c r="I678" s="46" t="s">
        <v>905</v>
      </c>
      <c r="J678" s="6">
        <v>46051</v>
      </c>
      <c r="K678" s="7" t="s">
        <v>1321</v>
      </c>
      <c r="L678" s="7" t="s">
        <v>907</v>
      </c>
      <c r="M678" s="46" t="s">
        <v>1322</v>
      </c>
      <c r="N678" s="46" t="s">
        <v>220</v>
      </c>
      <c r="O678" s="46" t="s">
        <v>1173</v>
      </c>
      <c r="P678" s="6">
        <v>45992</v>
      </c>
      <c r="Q678" s="102">
        <v>0</v>
      </c>
      <c r="R678" s="102">
        <v>0</v>
      </c>
      <c r="S678" s="7">
        <v>0</v>
      </c>
    </row>
    <row r="679" s="98" customFormat="1" ht="16.5" hidden="1" spans="1:19">
      <c r="A679" s="46">
        <v>677</v>
      </c>
      <c r="B679" s="46" t="s">
        <v>23</v>
      </c>
      <c r="C679" s="46" t="s">
        <v>38</v>
      </c>
      <c r="D679" s="7" t="s">
        <v>25</v>
      </c>
      <c r="E679" s="7" t="s">
        <v>1326</v>
      </c>
      <c r="F679" s="7" t="s">
        <v>1119</v>
      </c>
      <c r="G679" s="46" t="s">
        <v>904</v>
      </c>
      <c r="H679" s="101">
        <v>1212</v>
      </c>
      <c r="I679" s="46" t="s">
        <v>905</v>
      </c>
      <c r="J679" s="6">
        <v>46051</v>
      </c>
      <c r="K679" s="7" t="s">
        <v>1182</v>
      </c>
      <c r="L679" s="7" t="s">
        <v>907</v>
      </c>
      <c r="M679" s="46" t="s">
        <v>1183</v>
      </c>
      <c r="N679" s="46" t="s">
        <v>168</v>
      </c>
      <c r="O679" s="46" t="s">
        <v>1173</v>
      </c>
      <c r="P679" s="6">
        <v>46008</v>
      </c>
      <c r="Q679" s="102">
        <v>5</v>
      </c>
      <c r="R679" s="102">
        <v>5</v>
      </c>
      <c r="S679" s="7">
        <v>96</v>
      </c>
    </row>
    <row r="680" s="98" customFormat="1" ht="16.5" hidden="1" spans="1:19">
      <c r="A680" s="46">
        <v>678</v>
      </c>
      <c r="B680" s="46" t="s">
        <v>23</v>
      </c>
      <c r="C680" s="46" t="s">
        <v>32</v>
      </c>
      <c r="D680" s="7" t="s">
        <v>25</v>
      </c>
      <c r="E680" s="7" t="s">
        <v>1326</v>
      </c>
      <c r="F680" s="7" t="s">
        <v>1119</v>
      </c>
      <c r="G680" s="46" t="s">
        <v>904</v>
      </c>
      <c r="H680" s="101">
        <v>1212</v>
      </c>
      <c r="I680" s="46" t="s">
        <v>905</v>
      </c>
      <c r="J680" s="6">
        <v>46051</v>
      </c>
      <c r="K680" s="7" t="s">
        <v>1174</v>
      </c>
      <c r="L680" s="7" t="s">
        <v>915</v>
      </c>
      <c r="M680" s="46" t="s">
        <v>1175</v>
      </c>
      <c r="N680" s="46" t="s">
        <v>105</v>
      </c>
      <c r="O680" s="46" t="s">
        <v>1173</v>
      </c>
      <c r="P680" s="6">
        <v>46039</v>
      </c>
      <c r="Q680" s="102">
        <v>5</v>
      </c>
      <c r="R680" s="102">
        <v>5</v>
      </c>
      <c r="S680" s="7">
        <v>96</v>
      </c>
    </row>
    <row r="681" s="98" customFormat="1" ht="16.5" hidden="1" spans="1:19">
      <c r="A681" s="46">
        <v>679</v>
      </c>
      <c r="B681" s="46" t="s">
        <v>23</v>
      </c>
      <c r="C681" s="46" t="s">
        <v>32</v>
      </c>
      <c r="D681" s="7" t="s">
        <v>25</v>
      </c>
      <c r="E681" s="7" t="s">
        <v>1326</v>
      </c>
      <c r="F681" s="7" t="s">
        <v>1119</v>
      </c>
      <c r="G681" s="46" t="s">
        <v>904</v>
      </c>
      <c r="H681" s="101">
        <v>1212</v>
      </c>
      <c r="I681" s="46" t="s">
        <v>905</v>
      </c>
      <c r="J681" s="6">
        <v>46051</v>
      </c>
      <c r="K681" s="7" t="s">
        <v>1176</v>
      </c>
      <c r="L681" s="7" t="s">
        <v>915</v>
      </c>
      <c r="M681" s="46" t="s">
        <v>1177</v>
      </c>
      <c r="N681" s="46" t="s">
        <v>105</v>
      </c>
      <c r="O681" s="46" t="s">
        <v>1173</v>
      </c>
      <c r="P681" s="6">
        <v>46015</v>
      </c>
      <c r="Q681" s="102">
        <v>0</v>
      </c>
      <c r="R681" s="102">
        <v>0</v>
      </c>
      <c r="S681" s="7">
        <v>96</v>
      </c>
    </row>
    <row r="682" s="98" customFormat="1" ht="16.5" hidden="1" spans="1:19">
      <c r="A682" s="46">
        <v>680</v>
      </c>
      <c r="B682" s="46" t="s">
        <v>23</v>
      </c>
      <c r="C682" s="46" t="s">
        <v>37</v>
      </c>
      <c r="D682" s="7" t="s">
        <v>25</v>
      </c>
      <c r="E682" s="7" t="s">
        <v>1326</v>
      </c>
      <c r="F682" s="7" t="s">
        <v>1119</v>
      </c>
      <c r="G682" s="46" t="s">
        <v>904</v>
      </c>
      <c r="H682" s="101">
        <v>1212</v>
      </c>
      <c r="I682" s="46" t="s">
        <v>905</v>
      </c>
      <c r="J682" s="6">
        <v>46051</v>
      </c>
      <c r="K682" s="7" t="s">
        <v>1178</v>
      </c>
      <c r="L682" s="7" t="s">
        <v>915</v>
      </c>
      <c r="M682" s="46" t="s">
        <v>1179</v>
      </c>
      <c r="N682" s="46" t="s">
        <v>109</v>
      </c>
      <c r="O682" s="46" t="s">
        <v>1173</v>
      </c>
      <c r="P682" s="6">
        <v>45998</v>
      </c>
      <c r="Q682" s="102">
        <v>5</v>
      </c>
      <c r="R682" s="102">
        <v>5</v>
      </c>
      <c r="S682" s="7">
        <v>90</v>
      </c>
    </row>
    <row r="683" s="98" customFormat="1" ht="16.5" hidden="1" spans="1:19">
      <c r="A683" s="46">
        <v>681</v>
      </c>
      <c r="B683" s="46" t="s">
        <v>23</v>
      </c>
      <c r="C683" s="46" t="s">
        <v>37</v>
      </c>
      <c r="D683" s="7" t="s">
        <v>25</v>
      </c>
      <c r="E683" s="7" t="s">
        <v>1326</v>
      </c>
      <c r="F683" s="7" t="s">
        <v>1119</v>
      </c>
      <c r="G683" s="46" t="s">
        <v>904</v>
      </c>
      <c r="H683" s="101">
        <v>1212</v>
      </c>
      <c r="I683" s="46" t="s">
        <v>905</v>
      </c>
      <c r="J683" s="6">
        <v>46051</v>
      </c>
      <c r="K683" s="7" t="s">
        <v>1180</v>
      </c>
      <c r="L683" s="7" t="s">
        <v>915</v>
      </c>
      <c r="M683" s="46" t="s">
        <v>1181</v>
      </c>
      <c r="N683" s="46" t="s">
        <v>109</v>
      </c>
      <c r="O683" s="46" t="s">
        <v>1173</v>
      </c>
      <c r="P683" s="6">
        <v>45983</v>
      </c>
      <c r="Q683" s="102">
        <v>5</v>
      </c>
      <c r="R683" s="102">
        <v>5</v>
      </c>
      <c r="S683" s="7">
        <v>96</v>
      </c>
    </row>
    <row r="684" s="98" customFormat="1" ht="16.5" hidden="1" spans="1:19">
      <c r="A684" s="46">
        <v>682</v>
      </c>
      <c r="B684" s="46" t="s">
        <v>23</v>
      </c>
      <c r="C684" s="46" t="s">
        <v>38</v>
      </c>
      <c r="D684" s="7" t="s">
        <v>25</v>
      </c>
      <c r="E684" s="7" t="s">
        <v>1326</v>
      </c>
      <c r="F684" s="7" t="s">
        <v>1119</v>
      </c>
      <c r="G684" s="46" t="s">
        <v>904</v>
      </c>
      <c r="H684" s="101">
        <v>1212</v>
      </c>
      <c r="I684" s="46" t="s">
        <v>905</v>
      </c>
      <c r="J684" s="6">
        <v>46051</v>
      </c>
      <c r="K684" s="7" t="s">
        <v>1184</v>
      </c>
      <c r="L684" s="7" t="s">
        <v>907</v>
      </c>
      <c r="M684" s="46" t="s">
        <v>1185</v>
      </c>
      <c r="N684" s="46" t="s">
        <v>148</v>
      </c>
      <c r="O684" s="46" t="s">
        <v>1173</v>
      </c>
      <c r="P684" s="6">
        <v>46019</v>
      </c>
      <c r="Q684" s="102">
        <v>0</v>
      </c>
      <c r="R684" s="102">
        <v>0</v>
      </c>
      <c r="S684" s="7">
        <v>0</v>
      </c>
    </row>
    <row r="685" s="98" customFormat="1" ht="16.5" hidden="1" spans="1:19">
      <c r="A685" s="46">
        <v>683</v>
      </c>
      <c r="B685" s="46" t="s">
        <v>23</v>
      </c>
      <c r="C685" s="46" t="s">
        <v>38</v>
      </c>
      <c r="D685" s="7" t="s">
        <v>25</v>
      </c>
      <c r="E685" s="7" t="s">
        <v>1326</v>
      </c>
      <c r="F685" s="7" t="s">
        <v>1119</v>
      </c>
      <c r="G685" s="46" t="s">
        <v>904</v>
      </c>
      <c r="H685" s="101">
        <v>1212</v>
      </c>
      <c r="I685" s="46" t="s">
        <v>905</v>
      </c>
      <c r="J685" s="6">
        <v>46051</v>
      </c>
      <c r="K685" s="7" t="s">
        <v>1327</v>
      </c>
      <c r="L685" s="7" t="s">
        <v>915</v>
      </c>
      <c r="M685" s="46" t="s">
        <v>1328</v>
      </c>
      <c r="N685" s="46" t="s">
        <v>1329</v>
      </c>
      <c r="O685" s="46" t="s">
        <v>1330</v>
      </c>
      <c r="P685" s="6">
        <v>46009</v>
      </c>
      <c r="Q685" s="102">
        <v>5</v>
      </c>
      <c r="R685" s="102">
        <v>5</v>
      </c>
      <c r="S685" s="7">
        <v>90</v>
      </c>
    </row>
    <row r="686" s="98" customFormat="1" ht="16.5" hidden="1" spans="1:19">
      <c r="A686" s="46">
        <v>684</v>
      </c>
      <c r="B686" s="46" t="s">
        <v>23</v>
      </c>
      <c r="C686" s="46" t="s">
        <v>38</v>
      </c>
      <c r="D686" s="7" t="s">
        <v>25</v>
      </c>
      <c r="E686" s="7" t="s">
        <v>1326</v>
      </c>
      <c r="F686" s="7" t="s">
        <v>1119</v>
      </c>
      <c r="G686" s="46" t="s">
        <v>904</v>
      </c>
      <c r="H686" s="101">
        <v>1212</v>
      </c>
      <c r="I686" s="46" t="s">
        <v>905</v>
      </c>
      <c r="J686" s="6">
        <v>46051</v>
      </c>
      <c r="K686" s="7" t="s">
        <v>1186</v>
      </c>
      <c r="L686" s="7" t="s">
        <v>915</v>
      </c>
      <c r="M686" s="46" t="s">
        <v>1187</v>
      </c>
      <c r="N686" s="46" t="s">
        <v>220</v>
      </c>
      <c r="O686" s="46" t="s">
        <v>1173</v>
      </c>
      <c r="P686" s="6">
        <v>46008</v>
      </c>
      <c r="Q686" s="102">
        <v>5</v>
      </c>
      <c r="R686" s="102">
        <v>5</v>
      </c>
      <c r="S686" s="7">
        <v>96</v>
      </c>
    </row>
    <row r="687" s="98" customFormat="1" ht="16.5" hidden="1" spans="1:19">
      <c r="A687" s="46">
        <v>685</v>
      </c>
      <c r="B687" s="46" t="s">
        <v>23</v>
      </c>
      <c r="C687" s="46" t="s">
        <v>29</v>
      </c>
      <c r="D687" s="7" t="s">
        <v>25</v>
      </c>
      <c r="E687" s="7" t="s">
        <v>1326</v>
      </c>
      <c r="F687" s="7" t="s">
        <v>1119</v>
      </c>
      <c r="G687" s="46" t="s">
        <v>904</v>
      </c>
      <c r="H687" s="101">
        <v>1212</v>
      </c>
      <c r="I687" s="46" t="s">
        <v>905</v>
      </c>
      <c r="J687" s="6">
        <v>46051</v>
      </c>
      <c r="K687" s="7" t="s">
        <v>677</v>
      </c>
      <c r="L687" s="7" t="s">
        <v>915</v>
      </c>
      <c r="M687" s="46" t="s">
        <v>1188</v>
      </c>
      <c r="N687" s="46" t="s">
        <v>130</v>
      </c>
      <c r="O687" s="46" t="s">
        <v>1173</v>
      </c>
      <c r="P687" s="6">
        <v>46002</v>
      </c>
      <c r="Q687" s="102">
        <v>5</v>
      </c>
      <c r="R687" s="102">
        <v>5</v>
      </c>
      <c r="S687" s="7">
        <v>100</v>
      </c>
    </row>
    <row r="688" s="98" customFormat="1" ht="16.5" hidden="1" spans="1:19">
      <c r="A688" s="46">
        <v>686</v>
      </c>
      <c r="B688" s="46" t="s">
        <v>23</v>
      </c>
      <c r="C688" s="46" t="s">
        <v>29</v>
      </c>
      <c r="D688" s="7" t="s">
        <v>25</v>
      </c>
      <c r="E688" s="7" t="s">
        <v>1326</v>
      </c>
      <c r="F688" s="7" t="s">
        <v>1119</v>
      </c>
      <c r="G688" s="46" t="s">
        <v>904</v>
      </c>
      <c r="H688" s="101">
        <v>1212</v>
      </c>
      <c r="I688" s="46" t="s">
        <v>905</v>
      </c>
      <c r="J688" s="6">
        <v>46051</v>
      </c>
      <c r="K688" s="7" t="s">
        <v>1189</v>
      </c>
      <c r="L688" s="7" t="s">
        <v>915</v>
      </c>
      <c r="M688" s="46" t="s">
        <v>1190</v>
      </c>
      <c r="N688" s="46" t="s">
        <v>130</v>
      </c>
      <c r="O688" s="46" t="s">
        <v>1173</v>
      </c>
      <c r="P688" s="6">
        <v>45998</v>
      </c>
      <c r="Q688" s="102">
        <v>5</v>
      </c>
      <c r="R688" s="102">
        <v>5</v>
      </c>
      <c r="S688" s="7">
        <v>100</v>
      </c>
    </row>
    <row r="689" s="98" customFormat="1" ht="16.5" hidden="1" spans="1:19">
      <c r="A689" s="46">
        <v>687</v>
      </c>
      <c r="B689" s="46" t="s">
        <v>23</v>
      </c>
      <c r="C689" s="46" t="s">
        <v>38</v>
      </c>
      <c r="D689" s="7" t="s">
        <v>25</v>
      </c>
      <c r="E689" s="7" t="s">
        <v>1326</v>
      </c>
      <c r="F689" s="7" t="s">
        <v>1119</v>
      </c>
      <c r="G689" s="46" t="s">
        <v>904</v>
      </c>
      <c r="H689" s="101">
        <v>1212</v>
      </c>
      <c r="I689" s="46" t="s">
        <v>905</v>
      </c>
      <c r="J689" s="6">
        <v>46051</v>
      </c>
      <c r="K689" s="7" t="s">
        <v>1191</v>
      </c>
      <c r="L689" s="7" t="s">
        <v>907</v>
      </c>
      <c r="M689" s="46" t="s">
        <v>1192</v>
      </c>
      <c r="N689" s="46" t="s">
        <v>63</v>
      </c>
      <c r="O689" s="46" t="s">
        <v>1173</v>
      </c>
      <c r="P689" s="6">
        <v>46025</v>
      </c>
      <c r="Q689" s="102">
        <v>0</v>
      </c>
      <c r="R689" s="102">
        <v>0</v>
      </c>
      <c r="S689" s="7">
        <v>0</v>
      </c>
    </row>
    <row r="690" s="98" customFormat="1" ht="16.5" hidden="1" spans="1:19">
      <c r="A690" s="46">
        <v>688</v>
      </c>
      <c r="B690" s="46" t="s">
        <v>23</v>
      </c>
      <c r="C690" s="46" t="s">
        <v>38</v>
      </c>
      <c r="D690" s="7" t="s">
        <v>25</v>
      </c>
      <c r="E690" s="7" t="s">
        <v>1326</v>
      </c>
      <c r="F690" s="7" t="s">
        <v>1119</v>
      </c>
      <c r="G690" s="46" t="s">
        <v>904</v>
      </c>
      <c r="H690" s="101">
        <v>1212</v>
      </c>
      <c r="I690" s="46" t="s">
        <v>905</v>
      </c>
      <c r="J690" s="6">
        <v>46051</v>
      </c>
      <c r="K690" s="7" t="s">
        <v>1193</v>
      </c>
      <c r="L690" s="7" t="s">
        <v>907</v>
      </c>
      <c r="M690" s="46" t="s">
        <v>1194</v>
      </c>
      <c r="N690" s="46" t="s">
        <v>63</v>
      </c>
      <c r="O690" s="46" t="s">
        <v>1173</v>
      </c>
      <c r="P690" s="6">
        <v>46022</v>
      </c>
      <c r="Q690" s="102">
        <v>0</v>
      </c>
      <c r="R690" s="102">
        <v>0</v>
      </c>
      <c r="S690" s="7">
        <v>0</v>
      </c>
    </row>
    <row r="691" s="98" customFormat="1" ht="16.5" hidden="1" spans="1:19">
      <c r="A691" s="46">
        <v>689</v>
      </c>
      <c r="B691" s="46" t="s">
        <v>23</v>
      </c>
      <c r="C691" s="46" t="s">
        <v>38</v>
      </c>
      <c r="D691" s="7" t="s">
        <v>25</v>
      </c>
      <c r="E691" s="7" t="s">
        <v>1326</v>
      </c>
      <c r="F691" s="7" t="s">
        <v>1119</v>
      </c>
      <c r="G691" s="46" t="s">
        <v>904</v>
      </c>
      <c r="H691" s="101">
        <v>1212</v>
      </c>
      <c r="I691" s="46" t="s">
        <v>905</v>
      </c>
      <c r="J691" s="6">
        <v>46051</v>
      </c>
      <c r="K691" s="7" t="s">
        <v>1171</v>
      </c>
      <c r="L691" s="7" t="s">
        <v>907</v>
      </c>
      <c r="M691" s="46" t="s">
        <v>1172</v>
      </c>
      <c r="N691" s="46" t="s">
        <v>63</v>
      </c>
      <c r="O691" s="46" t="s">
        <v>1173</v>
      </c>
      <c r="P691" s="6">
        <v>46017</v>
      </c>
      <c r="Q691" s="102">
        <v>0</v>
      </c>
      <c r="R691" s="102">
        <v>0</v>
      </c>
      <c r="S691" s="7">
        <v>0</v>
      </c>
    </row>
    <row r="692" s="98" customFormat="1" ht="16.5" hidden="1" spans="1:19">
      <c r="A692" s="46">
        <v>690</v>
      </c>
      <c r="B692" s="46" t="s">
        <v>23</v>
      </c>
      <c r="C692" s="46" t="s">
        <v>38</v>
      </c>
      <c r="D692" s="7" t="s">
        <v>25</v>
      </c>
      <c r="E692" s="7" t="s">
        <v>1326</v>
      </c>
      <c r="F692" s="7" t="s">
        <v>1119</v>
      </c>
      <c r="G692" s="46" t="s">
        <v>904</v>
      </c>
      <c r="H692" s="101">
        <v>1212</v>
      </c>
      <c r="I692" s="46" t="s">
        <v>905</v>
      </c>
      <c r="J692" s="6">
        <v>46051</v>
      </c>
      <c r="K692" s="7" t="s">
        <v>1195</v>
      </c>
      <c r="L692" s="7" t="s">
        <v>907</v>
      </c>
      <c r="M692" s="46" t="s">
        <v>1196</v>
      </c>
      <c r="N692" s="46" t="s">
        <v>63</v>
      </c>
      <c r="O692" s="46" t="s">
        <v>1173</v>
      </c>
      <c r="P692" s="6">
        <v>45962</v>
      </c>
      <c r="Q692" s="102">
        <v>0</v>
      </c>
      <c r="R692" s="102">
        <v>0</v>
      </c>
      <c r="S692" s="7">
        <v>0</v>
      </c>
    </row>
    <row r="693" s="98" customFormat="1" ht="16.5" hidden="1" spans="1:19">
      <c r="A693" s="46">
        <v>691</v>
      </c>
      <c r="B693" s="46" t="s">
        <v>23</v>
      </c>
      <c r="C693" s="46" t="s">
        <v>38</v>
      </c>
      <c r="D693" s="7" t="s">
        <v>25</v>
      </c>
      <c r="E693" s="7" t="s">
        <v>1326</v>
      </c>
      <c r="F693" s="7" t="s">
        <v>1119</v>
      </c>
      <c r="G693" s="46" t="s">
        <v>904</v>
      </c>
      <c r="H693" s="101">
        <v>1212</v>
      </c>
      <c r="I693" s="46" t="s">
        <v>905</v>
      </c>
      <c r="J693" s="6">
        <v>46051</v>
      </c>
      <c r="K693" s="7" t="s">
        <v>1197</v>
      </c>
      <c r="L693" s="7" t="s">
        <v>907</v>
      </c>
      <c r="M693" s="46" t="s">
        <v>1198</v>
      </c>
      <c r="N693" s="46" t="s">
        <v>70</v>
      </c>
      <c r="O693" s="46" t="s">
        <v>1173</v>
      </c>
      <c r="P693" s="6">
        <v>46021</v>
      </c>
      <c r="Q693" s="102">
        <v>0</v>
      </c>
      <c r="R693" s="102">
        <v>0</v>
      </c>
      <c r="S693" s="7">
        <v>0</v>
      </c>
    </row>
    <row r="694" s="98" customFormat="1" ht="16.5" hidden="1" spans="1:19">
      <c r="A694" s="46">
        <v>692</v>
      </c>
      <c r="B694" s="46" t="s">
        <v>23</v>
      </c>
      <c r="C694" s="46" t="s">
        <v>38</v>
      </c>
      <c r="D694" s="7" t="s">
        <v>25</v>
      </c>
      <c r="E694" s="7" t="s">
        <v>1326</v>
      </c>
      <c r="F694" s="7" t="s">
        <v>1119</v>
      </c>
      <c r="G694" s="46" t="s">
        <v>904</v>
      </c>
      <c r="H694" s="101">
        <v>1212</v>
      </c>
      <c r="I694" s="46" t="s">
        <v>905</v>
      </c>
      <c r="J694" s="6">
        <v>46051</v>
      </c>
      <c r="K694" s="7" t="s">
        <v>1199</v>
      </c>
      <c r="L694" s="7" t="s">
        <v>907</v>
      </c>
      <c r="M694" s="46" t="s">
        <v>1200</v>
      </c>
      <c r="N694" s="46" t="s">
        <v>70</v>
      </c>
      <c r="O694" s="46" t="s">
        <v>1173</v>
      </c>
      <c r="P694" s="6">
        <v>45978</v>
      </c>
      <c r="Q694" s="102">
        <v>0</v>
      </c>
      <c r="R694" s="102">
        <v>0</v>
      </c>
      <c r="S694" s="7">
        <v>0</v>
      </c>
    </row>
    <row r="695" s="98" customFormat="1" ht="16.5" hidden="1" spans="1:19">
      <c r="A695" s="46">
        <v>693</v>
      </c>
      <c r="B695" s="46" t="s">
        <v>23</v>
      </c>
      <c r="C695" s="46" t="s">
        <v>38</v>
      </c>
      <c r="D695" s="7" t="s">
        <v>25</v>
      </c>
      <c r="E695" s="7" t="s">
        <v>1326</v>
      </c>
      <c r="F695" s="7" t="s">
        <v>1119</v>
      </c>
      <c r="G695" s="46" t="s">
        <v>904</v>
      </c>
      <c r="H695" s="101">
        <v>1212</v>
      </c>
      <c r="I695" s="46" t="s">
        <v>905</v>
      </c>
      <c r="J695" s="6">
        <v>46051</v>
      </c>
      <c r="K695" s="7" t="s">
        <v>1201</v>
      </c>
      <c r="L695" s="7" t="s">
        <v>907</v>
      </c>
      <c r="M695" s="46" t="s">
        <v>1202</v>
      </c>
      <c r="N695" s="46" t="s">
        <v>75</v>
      </c>
      <c r="O695" s="46" t="s">
        <v>1173</v>
      </c>
      <c r="P695" s="6">
        <v>46027</v>
      </c>
      <c r="Q695" s="102">
        <v>0</v>
      </c>
      <c r="R695" s="102">
        <v>0</v>
      </c>
      <c r="S695" s="7">
        <v>0</v>
      </c>
    </row>
    <row r="696" s="98" customFormat="1" ht="16.5" hidden="1" spans="1:19">
      <c r="A696" s="46">
        <v>694</v>
      </c>
      <c r="B696" s="46" t="s">
        <v>23</v>
      </c>
      <c r="C696" s="46" t="s">
        <v>38</v>
      </c>
      <c r="D696" s="7" t="s">
        <v>25</v>
      </c>
      <c r="E696" s="7" t="s">
        <v>1326</v>
      </c>
      <c r="F696" s="7" t="s">
        <v>1119</v>
      </c>
      <c r="G696" s="46" t="s">
        <v>904</v>
      </c>
      <c r="H696" s="101">
        <v>1212</v>
      </c>
      <c r="I696" s="46" t="s">
        <v>905</v>
      </c>
      <c r="J696" s="6">
        <v>46051</v>
      </c>
      <c r="K696" s="7" t="s">
        <v>1203</v>
      </c>
      <c r="L696" s="7" t="s">
        <v>907</v>
      </c>
      <c r="M696" s="46" t="s">
        <v>1204</v>
      </c>
      <c r="N696" s="46" t="s">
        <v>168</v>
      </c>
      <c r="O696" s="46" t="s">
        <v>1173</v>
      </c>
      <c r="P696" s="6">
        <v>45994</v>
      </c>
      <c r="Q696" s="102">
        <v>0</v>
      </c>
      <c r="R696" s="102">
        <v>0</v>
      </c>
      <c r="S696" s="7">
        <v>0</v>
      </c>
    </row>
    <row r="697" s="98" customFormat="1" ht="16.5" hidden="1" spans="1:19">
      <c r="A697" s="46">
        <v>695</v>
      </c>
      <c r="B697" s="46" t="s">
        <v>23</v>
      </c>
      <c r="C697" s="46" t="s">
        <v>29</v>
      </c>
      <c r="D697" s="7" t="s">
        <v>25</v>
      </c>
      <c r="E697" s="7" t="s">
        <v>1326</v>
      </c>
      <c r="F697" s="7" t="s">
        <v>1119</v>
      </c>
      <c r="G697" s="46" t="s">
        <v>904</v>
      </c>
      <c r="H697" s="101">
        <v>1212</v>
      </c>
      <c r="I697" s="46" t="s">
        <v>905</v>
      </c>
      <c r="J697" s="6">
        <v>46051</v>
      </c>
      <c r="K697" s="7" t="s">
        <v>1205</v>
      </c>
      <c r="L697" s="7" t="s">
        <v>907</v>
      </c>
      <c r="M697" s="46" t="s">
        <v>1206</v>
      </c>
      <c r="N697" s="46" t="s">
        <v>130</v>
      </c>
      <c r="O697" s="46" t="s">
        <v>1173</v>
      </c>
      <c r="P697" s="6">
        <v>46011</v>
      </c>
      <c r="Q697" s="102">
        <v>0</v>
      </c>
      <c r="R697" s="102">
        <v>0</v>
      </c>
      <c r="S697" s="7">
        <v>0</v>
      </c>
    </row>
    <row r="698" s="98" customFormat="1" ht="16.5" hidden="1" spans="1:19">
      <c r="A698" s="46">
        <v>696</v>
      </c>
      <c r="B698" s="46" t="s">
        <v>23</v>
      </c>
      <c r="C698" s="46" t="s">
        <v>38</v>
      </c>
      <c r="D698" s="7" t="s">
        <v>25</v>
      </c>
      <c r="E698" s="7" t="s">
        <v>1326</v>
      </c>
      <c r="F698" s="7" t="s">
        <v>1119</v>
      </c>
      <c r="G698" s="46" t="s">
        <v>904</v>
      </c>
      <c r="H698" s="101">
        <v>1212</v>
      </c>
      <c r="I698" s="46" t="s">
        <v>905</v>
      </c>
      <c r="J698" s="6">
        <v>46051</v>
      </c>
      <c r="K698" s="7" t="s">
        <v>1331</v>
      </c>
      <c r="L698" s="7" t="s">
        <v>915</v>
      </c>
      <c r="M698" s="46" t="s">
        <v>1332</v>
      </c>
      <c r="N698" s="46" t="s">
        <v>1329</v>
      </c>
      <c r="O698" s="46" t="s">
        <v>1333</v>
      </c>
      <c r="P698" s="6">
        <v>46020</v>
      </c>
      <c r="Q698" s="102">
        <v>0</v>
      </c>
      <c r="R698" s="102">
        <v>0</v>
      </c>
      <c r="S698" s="7">
        <v>100</v>
      </c>
    </row>
    <row r="699" s="98" customFormat="1" ht="16.5" hidden="1" spans="1:19">
      <c r="A699" s="46">
        <v>697</v>
      </c>
      <c r="B699" s="46" t="s">
        <v>23</v>
      </c>
      <c r="C699" s="46" t="s">
        <v>38</v>
      </c>
      <c r="D699" s="7" t="s">
        <v>25</v>
      </c>
      <c r="E699" s="7" t="s">
        <v>1326</v>
      </c>
      <c r="F699" s="7" t="s">
        <v>1119</v>
      </c>
      <c r="G699" s="46" t="s">
        <v>904</v>
      </c>
      <c r="H699" s="101">
        <v>1212</v>
      </c>
      <c r="I699" s="46" t="s">
        <v>905</v>
      </c>
      <c r="J699" s="6">
        <v>46051</v>
      </c>
      <c r="K699" s="7" t="s">
        <v>1207</v>
      </c>
      <c r="L699" s="7" t="s">
        <v>907</v>
      </c>
      <c r="M699" s="46" t="s">
        <v>1208</v>
      </c>
      <c r="N699" s="46" t="s">
        <v>63</v>
      </c>
      <c r="O699" s="46" t="s">
        <v>1173</v>
      </c>
      <c r="P699" s="6">
        <v>46022</v>
      </c>
      <c r="Q699" s="102">
        <v>0</v>
      </c>
      <c r="R699" s="102">
        <v>0</v>
      </c>
      <c r="S699" s="7">
        <v>0</v>
      </c>
    </row>
    <row r="700" s="98" customFormat="1" ht="16.5" hidden="1" spans="1:19">
      <c r="A700" s="46">
        <v>698</v>
      </c>
      <c r="B700" s="46" t="s">
        <v>23</v>
      </c>
      <c r="C700" s="46" t="s">
        <v>38</v>
      </c>
      <c r="D700" s="7" t="s">
        <v>25</v>
      </c>
      <c r="E700" s="7" t="s">
        <v>1326</v>
      </c>
      <c r="F700" s="7" t="s">
        <v>1119</v>
      </c>
      <c r="G700" s="46" t="s">
        <v>904</v>
      </c>
      <c r="H700" s="101">
        <v>1212</v>
      </c>
      <c r="I700" s="46" t="s">
        <v>905</v>
      </c>
      <c r="J700" s="6">
        <v>46051</v>
      </c>
      <c r="K700" s="7" t="s">
        <v>1209</v>
      </c>
      <c r="L700" s="7" t="s">
        <v>907</v>
      </c>
      <c r="M700" s="46" t="s">
        <v>1210</v>
      </c>
      <c r="N700" s="46" t="s">
        <v>63</v>
      </c>
      <c r="O700" s="46" t="s">
        <v>1173</v>
      </c>
      <c r="P700" s="6">
        <v>46022</v>
      </c>
      <c r="Q700" s="102">
        <v>0</v>
      </c>
      <c r="R700" s="102">
        <v>0</v>
      </c>
      <c r="S700" s="7">
        <v>0</v>
      </c>
    </row>
    <row r="701" s="98" customFormat="1" ht="16.5" hidden="1" spans="1:19">
      <c r="A701" s="46">
        <v>699</v>
      </c>
      <c r="B701" s="46" t="s">
        <v>23</v>
      </c>
      <c r="C701" s="46" t="s">
        <v>38</v>
      </c>
      <c r="D701" s="7" t="s">
        <v>25</v>
      </c>
      <c r="E701" s="7" t="s">
        <v>1326</v>
      </c>
      <c r="F701" s="7" t="s">
        <v>1119</v>
      </c>
      <c r="G701" s="46" t="s">
        <v>904</v>
      </c>
      <c r="H701" s="101">
        <v>1212</v>
      </c>
      <c r="I701" s="46" t="s">
        <v>905</v>
      </c>
      <c r="J701" s="6">
        <v>46051</v>
      </c>
      <c r="K701" s="7" t="s">
        <v>1211</v>
      </c>
      <c r="L701" s="7" t="s">
        <v>907</v>
      </c>
      <c r="M701" s="46" t="s">
        <v>1212</v>
      </c>
      <c r="N701" s="46" t="s">
        <v>63</v>
      </c>
      <c r="O701" s="46" t="s">
        <v>1173</v>
      </c>
      <c r="P701" s="6">
        <v>46010</v>
      </c>
      <c r="Q701" s="102">
        <v>0</v>
      </c>
      <c r="R701" s="102">
        <v>0</v>
      </c>
      <c r="S701" s="7">
        <v>0</v>
      </c>
    </row>
    <row r="702" s="98" customFormat="1" ht="16.5" hidden="1" spans="1:19">
      <c r="A702" s="46">
        <v>700</v>
      </c>
      <c r="B702" s="46" t="s">
        <v>23</v>
      </c>
      <c r="C702" s="46" t="s">
        <v>38</v>
      </c>
      <c r="D702" s="7" t="s">
        <v>25</v>
      </c>
      <c r="E702" s="7" t="s">
        <v>1326</v>
      </c>
      <c r="F702" s="7" t="s">
        <v>1119</v>
      </c>
      <c r="G702" s="46" t="s">
        <v>904</v>
      </c>
      <c r="H702" s="101">
        <v>1212</v>
      </c>
      <c r="I702" s="46" t="s">
        <v>905</v>
      </c>
      <c r="J702" s="6">
        <v>46051</v>
      </c>
      <c r="K702" s="7" t="s">
        <v>1213</v>
      </c>
      <c r="L702" s="7" t="s">
        <v>907</v>
      </c>
      <c r="M702" s="46" t="s">
        <v>1214</v>
      </c>
      <c r="N702" s="46" t="s">
        <v>63</v>
      </c>
      <c r="O702" s="46" t="s">
        <v>1173</v>
      </c>
      <c r="P702" s="6">
        <v>45896</v>
      </c>
      <c r="Q702" s="102">
        <v>0</v>
      </c>
      <c r="R702" s="102">
        <v>0</v>
      </c>
      <c r="S702" s="7">
        <v>0</v>
      </c>
    </row>
    <row r="703" s="98" customFormat="1" ht="16.5" hidden="1" spans="1:19">
      <c r="A703" s="46">
        <v>701</v>
      </c>
      <c r="B703" s="46" t="s">
        <v>23</v>
      </c>
      <c r="C703" s="46" t="s">
        <v>38</v>
      </c>
      <c r="D703" s="7" t="s">
        <v>25</v>
      </c>
      <c r="E703" s="7" t="s">
        <v>1326</v>
      </c>
      <c r="F703" s="7" t="s">
        <v>1119</v>
      </c>
      <c r="G703" s="46" t="s">
        <v>904</v>
      </c>
      <c r="H703" s="101">
        <v>1212</v>
      </c>
      <c r="I703" s="46" t="s">
        <v>905</v>
      </c>
      <c r="J703" s="6">
        <v>46051</v>
      </c>
      <c r="K703" s="7" t="s">
        <v>1215</v>
      </c>
      <c r="L703" s="7" t="s">
        <v>907</v>
      </c>
      <c r="M703" s="46" t="s">
        <v>1216</v>
      </c>
      <c r="N703" s="46" t="s">
        <v>168</v>
      </c>
      <c r="O703" s="46" t="s">
        <v>1173</v>
      </c>
      <c r="P703" s="6">
        <v>46005</v>
      </c>
      <c r="Q703" s="102">
        <v>0</v>
      </c>
      <c r="R703" s="102">
        <v>0</v>
      </c>
      <c r="S703" s="7">
        <v>0</v>
      </c>
    </row>
    <row r="704" s="98" customFormat="1" ht="16.5" hidden="1" spans="1:19">
      <c r="A704" s="46">
        <v>702</v>
      </c>
      <c r="B704" s="46" t="s">
        <v>23</v>
      </c>
      <c r="C704" s="46" t="s">
        <v>38</v>
      </c>
      <c r="D704" s="7" t="s">
        <v>25</v>
      </c>
      <c r="E704" s="7" t="s">
        <v>1326</v>
      </c>
      <c r="F704" s="7" t="s">
        <v>1119</v>
      </c>
      <c r="G704" s="46" t="s">
        <v>904</v>
      </c>
      <c r="H704" s="101">
        <v>1212</v>
      </c>
      <c r="I704" s="46" t="s">
        <v>905</v>
      </c>
      <c r="J704" s="6">
        <v>46051</v>
      </c>
      <c r="K704" s="7" t="s">
        <v>1217</v>
      </c>
      <c r="L704" s="7" t="s">
        <v>907</v>
      </c>
      <c r="M704" s="46" t="s">
        <v>1218</v>
      </c>
      <c r="N704" s="46" t="s">
        <v>168</v>
      </c>
      <c r="O704" s="46" t="s">
        <v>1173</v>
      </c>
      <c r="P704" s="6">
        <v>45999</v>
      </c>
      <c r="Q704" s="102">
        <v>0</v>
      </c>
      <c r="R704" s="102">
        <v>0</v>
      </c>
      <c r="S704" s="7">
        <v>0</v>
      </c>
    </row>
    <row r="705" s="98" customFormat="1" ht="16.5" hidden="1" spans="1:19">
      <c r="A705" s="46">
        <v>703</v>
      </c>
      <c r="B705" s="46" t="s">
        <v>23</v>
      </c>
      <c r="C705" s="46" t="s">
        <v>38</v>
      </c>
      <c r="D705" s="7" t="s">
        <v>25</v>
      </c>
      <c r="E705" s="7" t="s">
        <v>1326</v>
      </c>
      <c r="F705" s="7" t="s">
        <v>1119</v>
      </c>
      <c r="G705" s="46" t="s">
        <v>904</v>
      </c>
      <c r="H705" s="101">
        <v>1212</v>
      </c>
      <c r="I705" s="46" t="s">
        <v>905</v>
      </c>
      <c r="J705" s="6">
        <v>46051</v>
      </c>
      <c r="K705" s="7" t="s">
        <v>1219</v>
      </c>
      <c r="L705" s="7" t="s">
        <v>915</v>
      </c>
      <c r="M705" s="46" t="s">
        <v>1220</v>
      </c>
      <c r="N705" s="46" t="s">
        <v>75</v>
      </c>
      <c r="O705" s="46" t="s">
        <v>1173</v>
      </c>
      <c r="P705" s="6">
        <v>46020</v>
      </c>
      <c r="Q705" s="102">
        <v>5</v>
      </c>
      <c r="R705" s="102">
        <v>5</v>
      </c>
      <c r="S705" s="7">
        <v>90</v>
      </c>
    </row>
    <row r="706" s="98" customFormat="1" ht="16.5" hidden="1" spans="1:19">
      <c r="A706" s="46">
        <v>704</v>
      </c>
      <c r="B706" s="46" t="s">
        <v>23</v>
      </c>
      <c r="C706" s="46" t="s">
        <v>38</v>
      </c>
      <c r="D706" s="7" t="s">
        <v>25</v>
      </c>
      <c r="E706" s="7" t="s">
        <v>1326</v>
      </c>
      <c r="F706" s="7" t="s">
        <v>1119</v>
      </c>
      <c r="G706" s="46" t="s">
        <v>904</v>
      </c>
      <c r="H706" s="101">
        <v>1212</v>
      </c>
      <c r="I706" s="46" t="s">
        <v>905</v>
      </c>
      <c r="J706" s="6">
        <v>46051</v>
      </c>
      <c r="K706" s="7" t="s">
        <v>1221</v>
      </c>
      <c r="L706" s="7" t="s">
        <v>907</v>
      </c>
      <c r="M706" s="46" t="s">
        <v>1222</v>
      </c>
      <c r="N706" s="46" t="s">
        <v>75</v>
      </c>
      <c r="O706" s="46" t="s">
        <v>1173</v>
      </c>
      <c r="P706" s="6">
        <v>46017</v>
      </c>
      <c r="Q706" s="102">
        <v>0</v>
      </c>
      <c r="R706" s="102">
        <v>0</v>
      </c>
      <c r="S706" s="7">
        <v>0</v>
      </c>
    </row>
    <row r="707" s="98" customFormat="1" ht="16.5" hidden="1" spans="1:19">
      <c r="A707" s="46">
        <v>705</v>
      </c>
      <c r="B707" s="46" t="s">
        <v>23</v>
      </c>
      <c r="C707" s="46" t="s">
        <v>32</v>
      </c>
      <c r="D707" s="7" t="s">
        <v>25</v>
      </c>
      <c r="E707" s="7" t="s">
        <v>1326</v>
      </c>
      <c r="F707" s="7" t="s">
        <v>1119</v>
      </c>
      <c r="G707" s="46" t="s">
        <v>904</v>
      </c>
      <c r="H707" s="101">
        <v>1212</v>
      </c>
      <c r="I707" s="46" t="s">
        <v>905</v>
      </c>
      <c r="J707" s="6">
        <v>46051</v>
      </c>
      <c r="K707" s="7" t="s">
        <v>1223</v>
      </c>
      <c r="L707" s="7" t="s">
        <v>907</v>
      </c>
      <c r="M707" s="46" t="s">
        <v>1224</v>
      </c>
      <c r="N707" s="46" t="s">
        <v>105</v>
      </c>
      <c r="O707" s="46" t="s">
        <v>1173</v>
      </c>
      <c r="P707" s="6">
        <v>46017</v>
      </c>
      <c r="Q707" s="102">
        <v>0</v>
      </c>
      <c r="R707" s="102">
        <v>0</v>
      </c>
      <c r="S707" s="7">
        <v>0</v>
      </c>
    </row>
    <row r="708" s="98" customFormat="1" ht="16.5" hidden="1" spans="1:19">
      <c r="A708" s="46">
        <v>706</v>
      </c>
      <c r="B708" s="46" t="s">
        <v>23</v>
      </c>
      <c r="C708" s="46" t="s">
        <v>31</v>
      </c>
      <c r="D708" s="7" t="s">
        <v>25</v>
      </c>
      <c r="E708" s="7" t="s">
        <v>1326</v>
      </c>
      <c r="F708" s="7" t="s">
        <v>1119</v>
      </c>
      <c r="G708" s="46" t="s">
        <v>904</v>
      </c>
      <c r="H708" s="101">
        <v>1212</v>
      </c>
      <c r="I708" s="46" t="s">
        <v>905</v>
      </c>
      <c r="J708" s="6">
        <v>46051</v>
      </c>
      <c r="K708" s="7" t="s">
        <v>1225</v>
      </c>
      <c r="L708" s="7" t="s">
        <v>915</v>
      </c>
      <c r="M708" s="46" t="s">
        <v>1226</v>
      </c>
      <c r="N708" s="46" t="s">
        <v>90</v>
      </c>
      <c r="O708" s="46" t="s">
        <v>1173</v>
      </c>
      <c r="P708" s="6">
        <v>45946</v>
      </c>
      <c r="Q708" s="102">
        <v>5</v>
      </c>
      <c r="R708" s="102">
        <v>5</v>
      </c>
      <c r="S708" s="7">
        <v>80</v>
      </c>
    </row>
    <row r="709" s="98" customFormat="1" ht="16.5" hidden="1" spans="1:19">
      <c r="A709" s="46">
        <v>707</v>
      </c>
      <c r="B709" s="46" t="s">
        <v>23</v>
      </c>
      <c r="C709" s="46" t="s">
        <v>38</v>
      </c>
      <c r="D709" s="7" t="s">
        <v>25</v>
      </c>
      <c r="E709" s="7" t="s">
        <v>1326</v>
      </c>
      <c r="F709" s="7" t="s">
        <v>1119</v>
      </c>
      <c r="G709" s="46" t="s">
        <v>904</v>
      </c>
      <c r="H709" s="101">
        <v>1212</v>
      </c>
      <c r="I709" s="46" t="s">
        <v>905</v>
      </c>
      <c r="J709" s="6">
        <v>46051</v>
      </c>
      <c r="K709" s="7" t="s">
        <v>1227</v>
      </c>
      <c r="L709" s="7" t="s">
        <v>907</v>
      </c>
      <c r="M709" s="46" t="s">
        <v>1228</v>
      </c>
      <c r="N709" s="46" t="s">
        <v>70</v>
      </c>
      <c r="O709" s="46" t="s">
        <v>1173</v>
      </c>
      <c r="P709" s="6">
        <v>45962</v>
      </c>
      <c r="Q709" s="102">
        <v>5</v>
      </c>
      <c r="R709" s="102">
        <v>5</v>
      </c>
      <c r="S709" s="7">
        <v>0</v>
      </c>
    </row>
    <row r="710" s="98" customFormat="1" ht="16.5" hidden="1" spans="1:19">
      <c r="A710" s="46">
        <v>708</v>
      </c>
      <c r="B710" s="46" t="s">
        <v>23</v>
      </c>
      <c r="C710" s="46" t="s">
        <v>38</v>
      </c>
      <c r="D710" s="7" t="s">
        <v>25</v>
      </c>
      <c r="E710" s="7" t="s">
        <v>1326</v>
      </c>
      <c r="F710" s="7" t="s">
        <v>1119</v>
      </c>
      <c r="G710" s="46" t="s">
        <v>904</v>
      </c>
      <c r="H710" s="101">
        <v>1212</v>
      </c>
      <c r="I710" s="46" t="s">
        <v>905</v>
      </c>
      <c r="J710" s="6">
        <v>46051</v>
      </c>
      <c r="K710" s="7" t="s">
        <v>1229</v>
      </c>
      <c r="L710" s="7" t="s">
        <v>915</v>
      </c>
      <c r="M710" s="46" t="s">
        <v>1230</v>
      </c>
      <c r="N710" s="46" t="s">
        <v>70</v>
      </c>
      <c r="O710" s="46" t="s">
        <v>1173</v>
      </c>
      <c r="P710" s="6">
        <v>46022</v>
      </c>
      <c r="Q710" s="102">
        <v>5</v>
      </c>
      <c r="R710" s="102">
        <v>5</v>
      </c>
      <c r="S710" s="7">
        <v>80</v>
      </c>
    </row>
    <row r="711" s="98" customFormat="1" ht="16.5" hidden="1" spans="1:19">
      <c r="A711" s="46">
        <v>709</v>
      </c>
      <c r="B711" s="46" t="s">
        <v>23</v>
      </c>
      <c r="C711" s="46" t="s">
        <v>37</v>
      </c>
      <c r="D711" s="7" t="s">
        <v>25</v>
      </c>
      <c r="E711" s="7" t="s">
        <v>1326</v>
      </c>
      <c r="F711" s="7" t="s">
        <v>1119</v>
      </c>
      <c r="G711" s="46" t="s">
        <v>904</v>
      </c>
      <c r="H711" s="101">
        <v>1212</v>
      </c>
      <c r="I711" s="46" t="s">
        <v>905</v>
      </c>
      <c r="J711" s="6">
        <v>46051</v>
      </c>
      <c r="K711" s="7" t="s">
        <v>1231</v>
      </c>
      <c r="L711" s="7" t="s">
        <v>915</v>
      </c>
      <c r="M711" s="46" t="s">
        <v>1232</v>
      </c>
      <c r="N711" s="46" t="s">
        <v>109</v>
      </c>
      <c r="O711" s="46" t="s">
        <v>1173</v>
      </c>
      <c r="P711" s="6">
        <v>46031</v>
      </c>
      <c r="Q711" s="102">
        <v>0</v>
      </c>
      <c r="R711" s="102">
        <v>0</v>
      </c>
      <c r="S711" s="7">
        <v>63</v>
      </c>
    </row>
    <row r="712" s="98" customFormat="1" ht="16.5" hidden="1" spans="1:19">
      <c r="A712" s="46">
        <v>710</v>
      </c>
      <c r="B712" s="46" t="s">
        <v>23</v>
      </c>
      <c r="C712" s="46" t="s">
        <v>32</v>
      </c>
      <c r="D712" s="7" t="s">
        <v>25</v>
      </c>
      <c r="E712" s="7" t="s">
        <v>1326</v>
      </c>
      <c r="F712" s="7" t="s">
        <v>1119</v>
      </c>
      <c r="G712" s="46" t="s">
        <v>904</v>
      </c>
      <c r="H712" s="101">
        <v>1212</v>
      </c>
      <c r="I712" s="46" t="s">
        <v>905</v>
      </c>
      <c r="J712" s="6">
        <v>46051</v>
      </c>
      <c r="K712" s="7" t="s">
        <v>1233</v>
      </c>
      <c r="L712" s="7" t="s">
        <v>915</v>
      </c>
      <c r="M712" s="46" t="s">
        <v>1234</v>
      </c>
      <c r="N712" s="46" t="s">
        <v>105</v>
      </c>
      <c r="O712" s="46" t="s">
        <v>1173</v>
      </c>
      <c r="P712" s="6">
        <v>46014</v>
      </c>
      <c r="Q712" s="102">
        <v>5</v>
      </c>
      <c r="R712" s="102">
        <v>5</v>
      </c>
      <c r="S712" s="7">
        <v>96</v>
      </c>
    </row>
    <row r="713" s="98" customFormat="1" ht="16.5" hidden="1" spans="1:19">
      <c r="A713" s="46">
        <v>711</v>
      </c>
      <c r="B713" s="46" t="s">
        <v>23</v>
      </c>
      <c r="C713" s="46" t="s">
        <v>24</v>
      </c>
      <c r="D713" s="7" t="s">
        <v>25</v>
      </c>
      <c r="E713" s="7" t="s">
        <v>1326</v>
      </c>
      <c r="F713" s="7" t="s">
        <v>1119</v>
      </c>
      <c r="G713" s="46" t="s">
        <v>904</v>
      </c>
      <c r="H713" s="101">
        <v>1212</v>
      </c>
      <c r="I713" s="46" t="s">
        <v>905</v>
      </c>
      <c r="J713" s="6">
        <v>46051</v>
      </c>
      <c r="K713" s="7" t="s">
        <v>1235</v>
      </c>
      <c r="L713" s="7" t="s">
        <v>915</v>
      </c>
      <c r="M713" s="46" t="s">
        <v>1236</v>
      </c>
      <c r="N713" s="46" t="s">
        <v>101</v>
      </c>
      <c r="O713" s="46" t="s">
        <v>1173</v>
      </c>
      <c r="P713" s="6">
        <v>45969</v>
      </c>
      <c r="Q713" s="102">
        <v>5</v>
      </c>
      <c r="R713" s="102">
        <v>5</v>
      </c>
      <c r="S713" s="7">
        <v>100</v>
      </c>
    </row>
    <row r="714" s="98" customFormat="1" ht="16.5" hidden="1" spans="1:19">
      <c r="A714" s="46">
        <v>712</v>
      </c>
      <c r="B714" s="46" t="s">
        <v>23</v>
      </c>
      <c r="C714" s="46" t="s">
        <v>38</v>
      </c>
      <c r="D714" s="7" t="s">
        <v>25</v>
      </c>
      <c r="E714" s="7" t="s">
        <v>1326</v>
      </c>
      <c r="F714" s="7" t="s">
        <v>1119</v>
      </c>
      <c r="G714" s="46" t="s">
        <v>904</v>
      </c>
      <c r="H714" s="101">
        <v>1212</v>
      </c>
      <c r="I714" s="46" t="s">
        <v>905</v>
      </c>
      <c r="J714" s="6">
        <v>46051</v>
      </c>
      <c r="K714" s="7" t="s">
        <v>1237</v>
      </c>
      <c r="L714" s="7" t="s">
        <v>915</v>
      </c>
      <c r="M714" s="46" t="s">
        <v>1238</v>
      </c>
      <c r="N714" s="46" t="s">
        <v>70</v>
      </c>
      <c r="O714" s="46" t="s">
        <v>1173</v>
      </c>
      <c r="P714" s="6">
        <v>45998</v>
      </c>
      <c r="Q714" s="102">
        <v>5</v>
      </c>
      <c r="R714" s="102">
        <v>5</v>
      </c>
      <c r="S714" s="7">
        <v>96</v>
      </c>
    </row>
    <row r="715" s="98" customFormat="1" ht="16.5" hidden="1" spans="1:19">
      <c r="A715" s="46">
        <v>713</v>
      </c>
      <c r="B715" s="46" t="s">
        <v>23</v>
      </c>
      <c r="C715" s="46" t="s">
        <v>38</v>
      </c>
      <c r="D715" s="7" t="s">
        <v>25</v>
      </c>
      <c r="E715" s="7" t="s">
        <v>1326</v>
      </c>
      <c r="F715" s="7" t="s">
        <v>1119</v>
      </c>
      <c r="G715" s="46" t="s">
        <v>904</v>
      </c>
      <c r="H715" s="101">
        <v>1212</v>
      </c>
      <c r="I715" s="46" t="s">
        <v>905</v>
      </c>
      <c r="J715" s="6">
        <v>46051</v>
      </c>
      <c r="K715" s="7" t="s">
        <v>1239</v>
      </c>
      <c r="L715" s="7" t="s">
        <v>915</v>
      </c>
      <c r="M715" s="46" t="s">
        <v>1240</v>
      </c>
      <c r="N715" s="46" t="s">
        <v>148</v>
      </c>
      <c r="O715" s="46" t="s">
        <v>1173</v>
      </c>
      <c r="P715" s="6">
        <v>45998</v>
      </c>
      <c r="Q715" s="102">
        <v>5</v>
      </c>
      <c r="R715" s="102">
        <v>5</v>
      </c>
      <c r="S715" s="7">
        <v>96</v>
      </c>
    </row>
    <row r="716" s="98" customFormat="1" ht="16.5" hidden="1" spans="1:19">
      <c r="A716" s="46">
        <v>714</v>
      </c>
      <c r="B716" s="46" t="s">
        <v>23</v>
      </c>
      <c r="C716" s="46" t="s">
        <v>38</v>
      </c>
      <c r="D716" s="7" t="s">
        <v>25</v>
      </c>
      <c r="E716" s="7" t="s">
        <v>1326</v>
      </c>
      <c r="F716" s="7" t="s">
        <v>1119</v>
      </c>
      <c r="G716" s="46" t="s">
        <v>904</v>
      </c>
      <c r="H716" s="101">
        <v>1212</v>
      </c>
      <c r="I716" s="46" t="s">
        <v>905</v>
      </c>
      <c r="J716" s="6">
        <v>46051</v>
      </c>
      <c r="K716" s="7" t="s">
        <v>1241</v>
      </c>
      <c r="L716" s="7" t="s">
        <v>915</v>
      </c>
      <c r="M716" s="46" t="s">
        <v>1242</v>
      </c>
      <c r="N716" s="46" t="s">
        <v>148</v>
      </c>
      <c r="O716" s="46" t="s">
        <v>1173</v>
      </c>
      <c r="P716" s="6">
        <v>45990</v>
      </c>
      <c r="Q716" s="102">
        <v>5</v>
      </c>
      <c r="R716" s="102">
        <v>4.8</v>
      </c>
      <c r="S716" s="7">
        <v>96</v>
      </c>
    </row>
    <row r="717" s="98" customFormat="1" ht="16.5" hidden="1" spans="1:19">
      <c r="A717" s="46">
        <v>715</v>
      </c>
      <c r="B717" s="46" t="s">
        <v>23</v>
      </c>
      <c r="C717" s="46" t="s">
        <v>38</v>
      </c>
      <c r="D717" s="7" t="s">
        <v>25</v>
      </c>
      <c r="E717" s="7" t="s">
        <v>1326</v>
      </c>
      <c r="F717" s="7" t="s">
        <v>1119</v>
      </c>
      <c r="G717" s="46" t="s">
        <v>904</v>
      </c>
      <c r="H717" s="101">
        <v>1212</v>
      </c>
      <c r="I717" s="46" t="s">
        <v>905</v>
      </c>
      <c r="J717" s="6">
        <v>46051</v>
      </c>
      <c r="K717" s="7" t="s">
        <v>1243</v>
      </c>
      <c r="L717" s="7" t="s">
        <v>907</v>
      </c>
      <c r="M717" s="46" t="s">
        <v>1244</v>
      </c>
      <c r="N717" s="46" t="s">
        <v>220</v>
      </c>
      <c r="O717" s="46" t="s">
        <v>1173</v>
      </c>
      <c r="P717" s="6">
        <v>46031</v>
      </c>
      <c r="Q717" s="102">
        <v>0</v>
      </c>
      <c r="R717" s="102">
        <v>0</v>
      </c>
      <c r="S717" s="7">
        <v>0</v>
      </c>
    </row>
    <row r="718" s="98" customFormat="1" ht="16.5" hidden="1" spans="1:19">
      <c r="A718" s="46">
        <v>716</v>
      </c>
      <c r="B718" s="46" t="s">
        <v>23</v>
      </c>
      <c r="C718" s="46" t="s">
        <v>38</v>
      </c>
      <c r="D718" s="7" t="s">
        <v>25</v>
      </c>
      <c r="E718" s="7" t="s">
        <v>1326</v>
      </c>
      <c r="F718" s="7" t="s">
        <v>1119</v>
      </c>
      <c r="G718" s="46" t="s">
        <v>904</v>
      </c>
      <c r="H718" s="101">
        <v>1212</v>
      </c>
      <c r="I718" s="46" t="s">
        <v>905</v>
      </c>
      <c r="J718" s="6">
        <v>46051</v>
      </c>
      <c r="K718" s="7" t="s">
        <v>1245</v>
      </c>
      <c r="L718" s="7" t="s">
        <v>915</v>
      </c>
      <c r="M718" s="46" t="s">
        <v>1246</v>
      </c>
      <c r="N718" s="46" t="s">
        <v>75</v>
      </c>
      <c r="O718" s="46" t="s">
        <v>1173</v>
      </c>
      <c r="P718" s="6">
        <v>46022</v>
      </c>
      <c r="Q718" s="102">
        <v>5</v>
      </c>
      <c r="R718" s="102">
        <v>5</v>
      </c>
      <c r="S718" s="7">
        <v>86</v>
      </c>
    </row>
    <row r="719" s="98" customFormat="1" ht="16.5" hidden="1" spans="1:19">
      <c r="A719" s="46">
        <v>717</v>
      </c>
      <c r="B719" s="46" t="s">
        <v>23</v>
      </c>
      <c r="C719" s="46" t="s">
        <v>38</v>
      </c>
      <c r="D719" s="7" t="s">
        <v>25</v>
      </c>
      <c r="E719" s="7" t="s">
        <v>1326</v>
      </c>
      <c r="F719" s="7" t="s">
        <v>1119</v>
      </c>
      <c r="G719" s="46" t="s">
        <v>904</v>
      </c>
      <c r="H719" s="101">
        <v>1212</v>
      </c>
      <c r="I719" s="46" t="s">
        <v>905</v>
      </c>
      <c r="J719" s="6">
        <v>46051</v>
      </c>
      <c r="K719" s="7" t="s">
        <v>1334</v>
      </c>
      <c r="L719" s="7" t="s">
        <v>907</v>
      </c>
      <c r="M719" s="46" t="s">
        <v>1335</v>
      </c>
      <c r="N719" s="46" t="s">
        <v>1329</v>
      </c>
      <c r="O719" s="46" t="s">
        <v>1336</v>
      </c>
      <c r="P719" s="6">
        <v>45992</v>
      </c>
      <c r="Q719" s="102">
        <v>0</v>
      </c>
      <c r="R719" s="102">
        <v>0</v>
      </c>
      <c r="S719" s="7">
        <v>0</v>
      </c>
    </row>
    <row r="720" s="98" customFormat="1" ht="16.5" hidden="1" spans="1:19">
      <c r="A720" s="46">
        <v>718</v>
      </c>
      <c r="B720" s="46" t="s">
        <v>23</v>
      </c>
      <c r="C720" s="46" t="s">
        <v>29</v>
      </c>
      <c r="D720" s="7" t="s">
        <v>25</v>
      </c>
      <c r="E720" s="7" t="s">
        <v>1326</v>
      </c>
      <c r="F720" s="7" t="s">
        <v>1119</v>
      </c>
      <c r="G720" s="46" t="s">
        <v>904</v>
      </c>
      <c r="H720" s="101">
        <v>1212</v>
      </c>
      <c r="I720" s="46" t="s">
        <v>905</v>
      </c>
      <c r="J720" s="6">
        <v>46051</v>
      </c>
      <c r="K720" s="7" t="s">
        <v>1247</v>
      </c>
      <c r="L720" s="7" t="s">
        <v>915</v>
      </c>
      <c r="M720" s="46" t="s">
        <v>1248</v>
      </c>
      <c r="N720" s="46" t="s">
        <v>130</v>
      </c>
      <c r="O720" s="46" t="s">
        <v>1173</v>
      </c>
      <c r="P720" s="6">
        <v>46024</v>
      </c>
      <c r="Q720" s="102">
        <v>5</v>
      </c>
      <c r="R720" s="102">
        <v>5</v>
      </c>
      <c r="S720" s="7">
        <v>96</v>
      </c>
    </row>
    <row r="721" s="98" customFormat="1" ht="16.5" hidden="1" spans="1:19">
      <c r="A721" s="46">
        <v>719</v>
      </c>
      <c r="B721" s="46" t="s">
        <v>23</v>
      </c>
      <c r="C721" s="46" t="s">
        <v>35</v>
      </c>
      <c r="D721" s="7" t="s">
        <v>25</v>
      </c>
      <c r="E721" s="7" t="s">
        <v>1326</v>
      </c>
      <c r="F721" s="7" t="s">
        <v>1119</v>
      </c>
      <c r="G721" s="46" t="s">
        <v>904</v>
      </c>
      <c r="H721" s="101">
        <v>1212</v>
      </c>
      <c r="I721" s="46" t="s">
        <v>905</v>
      </c>
      <c r="J721" s="6">
        <v>46051</v>
      </c>
      <c r="K721" s="7" t="s">
        <v>1249</v>
      </c>
      <c r="L721" s="7" t="s">
        <v>915</v>
      </c>
      <c r="M721" s="46" t="s">
        <v>1250</v>
      </c>
      <c r="N721" s="46" t="s">
        <v>125</v>
      </c>
      <c r="O721" s="46" t="s">
        <v>1173</v>
      </c>
      <c r="P721" s="6">
        <v>46020</v>
      </c>
      <c r="Q721" s="102">
        <v>0</v>
      </c>
      <c r="R721" s="102">
        <v>0</v>
      </c>
      <c r="S721" s="7">
        <v>96</v>
      </c>
    </row>
    <row r="722" s="98" customFormat="1" ht="16.5" hidden="1" spans="1:19">
      <c r="A722" s="46">
        <v>720</v>
      </c>
      <c r="B722" s="46" t="s">
        <v>23</v>
      </c>
      <c r="C722" s="46" t="s">
        <v>38</v>
      </c>
      <c r="D722" s="7" t="s">
        <v>25</v>
      </c>
      <c r="E722" s="7" t="s">
        <v>1326</v>
      </c>
      <c r="F722" s="7" t="s">
        <v>1119</v>
      </c>
      <c r="G722" s="46" t="s">
        <v>904</v>
      </c>
      <c r="H722" s="101">
        <v>1212</v>
      </c>
      <c r="I722" s="46" t="s">
        <v>905</v>
      </c>
      <c r="J722" s="6">
        <v>46051</v>
      </c>
      <c r="K722" s="7" t="s">
        <v>1337</v>
      </c>
      <c r="L722" s="7" t="s">
        <v>915</v>
      </c>
      <c r="M722" s="46" t="s">
        <v>1338</v>
      </c>
      <c r="N722" s="46" t="s">
        <v>1329</v>
      </c>
      <c r="O722" s="46" t="s">
        <v>1339</v>
      </c>
      <c r="P722" s="6">
        <v>46036</v>
      </c>
      <c r="Q722" s="102">
        <v>0</v>
      </c>
      <c r="R722" s="102">
        <v>0</v>
      </c>
      <c r="S722" s="7">
        <v>0</v>
      </c>
    </row>
    <row r="723" s="98" customFormat="1" ht="16.5" hidden="1" spans="1:19">
      <c r="A723" s="46">
        <v>721</v>
      </c>
      <c r="B723" s="46" t="s">
        <v>23</v>
      </c>
      <c r="C723" s="46" t="s">
        <v>29</v>
      </c>
      <c r="D723" s="7" t="s">
        <v>25</v>
      </c>
      <c r="E723" s="7" t="s">
        <v>1326</v>
      </c>
      <c r="F723" s="7" t="s">
        <v>1119</v>
      </c>
      <c r="G723" s="46" t="s">
        <v>904</v>
      </c>
      <c r="H723" s="101">
        <v>1212</v>
      </c>
      <c r="I723" s="46" t="s">
        <v>905</v>
      </c>
      <c r="J723" s="6">
        <v>46051</v>
      </c>
      <c r="K723" s="7" t="s">
        <v>1251</v>
      </c>
      <c r="L723" s="7" t="s">
        <v>915</v>
      </c>
      <c r="M723" s="46" t="s">
        <v>1252</v>
      </c>
      <c r="N723" s="46" t="s">
        <v>130</v>
      </c>
      <c r="O723" s="46" t="s">
        <v>1173</v>
      </c>
      <c r="P723" s="6">
        <v>46010</v>
      </c>
      <c r="Q723" s="102">
        <v>5</v>
      </c>
      <c r="R723" s="102">
        <v>5</v>
      </c>
      <c r="S723" s="7">
        <v>76</v>
      </c>
    </row>
    <row r="724" s="98" customFormat="1" ht="16.5" hidden="1" spans="1:19">
      <c r="A724" s="46">
        <v>722</v>
      </c>
      <c r="B724" s="46" t="s">
        <v>23</v>
      </c>
      <c r="C724" s="46" t="s">
        <v>34</v>
      </c>
      <c r="D724" s="7" t="s">
        <v>25</v>
      </c>
      <c r="E724" s="7" t="s">
        <v>1326</v>
      </c>
      <c r="F724" s="7" t="s">
        <v>1119</v>
      </c>
      <c r="G724" s="46" t="s">
        <v>904</v>
      </c>
      <c r="H724" s="101">
        <v>1212</v>
      </c>
      <c r="I724" s="46" t="s">
        <v>905</v>
      </c>
      <c r="J724" s="6">
        <v>46051</v>
      </c>
      <c r="K724" s="7" t="s">
        <v>1253</v>
      </c>
      <c r="L724" s="7" t="s">
        <v>915</v>
      </c>
      <c r="M724" s="46" t="s">
        <v>1254</v>
      </c>
      <c r="N724" s="46" t="s">
        <v>351</v>
      </c>
      <c r="O724" s="46" t="s">
        <v>1173</v>
      </c>
      <c r="P724" s="6">
        <v>45958</v>
      </c>
      <c r="Q724" s="102">
        <v>5</v>
      </c>
      <c r="R724" s="102">
        <v>5</v>
      </c>
      <c r="S724" s="7">
        <v>93</v>
      </c>
    </row>
    <row r="725" s="98" customFormat="1" ht="16.5" hidden="1" spans="1:19">
      <c r="A725" s="46">
        <v>723</v>
      </c>
      <c r="B725" s="46" t="s">
        <v>23</v>
      </c>
      <c r="C725" s="46" t="s">
        <v>34</v>
      </c>
      <c r="D725" s="7" t="s">
        <v>25</v>
      </c>
      <c r="E725" s="7" t="s">
        <v>1326</v>
      </c>
      <c r="F725" s="7" t="s">
        <v>1119</v>
      </c>
      <c r="G725" s="46" t="s">
        <v>904</v>
      </c>
      <c r="H725" s="101">
        <v>1212</v>
      </c>
      <c r="I725" s="46" t="s">
        <v>905</v>
      </c>
      <c r="J725" s="6">
        <v>46051</v>
      </c>
      <c r="K725" s="7" t="s">
        <v>1255</v>
      </c>
      <c r="L725" s="7" t="s">
        <v>915</v>
      </c>
      <c r="M725" s="46" t="s">
        <v>1256</v>
      </c>
      <c r="N725" s="46" t="s">
        <v>351</v>
      </c>
      <c r="O725" s="46" t="s">
        <v>1173</v>
      </c>
      <c r="P725" s="6">
        <v>45958</v>
      </c>
      <c r="Q725" s="102">
        <v>5</v>
      </c>
      <c r="R725" s="102">
        <v>5</v>
      </c>
      <c r="S725" s="7">
        <v>93</v>
      </c>
    </row>
    <row r="726" s="98" customFormat="1" ht="16.5" hidden="1" spans="1:19">
      <c r="A726" s="46">
        <v>724</v>
      </c>
      <c r="B726" s="46" t="s">
        <v>23</v>
      </c>
      <c r="C726" s="46" t="s">
        <v>34</v>
      </c>
      <c r="D726" s="7" t="s">
        <v>25</v>
      </c>
      <c r="E726" s="7" t="s">
        <v>1326</v>
      </c>
      <c r="F726" s="7" t="s">
        <v>1119</v>
      </c>
      <c r="G726" s="46" t="s">
        <v>904</v>
      </c>
      <c r="H726" s="101">
        <v>1212</v>
      </c>
      <c r="I726" s="46" t="s">
        <v>905</v>
      </c>
      <c r="J726" s="6">
        <v>46051</v>
      </c>
      <c r="K726" s="7" t="s">
        <v>1257</v>
      </c>
      <c r="L726" s="7" t="s">
        <v>915</v>
      </c>
      <c r="M726" s="46" t="s">
        <v>1258</v>
      </c>
      <c r="N726" s="46" t="s">
        <v>351</v>
      </c>
      <c r="O726" s="46" t="s">
        <v>1173</v>
      </c>
      <c r="P726" s="6">
        <v>45957</v>
      </c>
      <c r="Q726" s="102">
        <v>5</v>
      </c>
      <c r="R726" s="102">
        <v>5</v>
      </c>
      <c r="S726" s="7">
        <v>0</v>
      </c>
    </row>
    <row r="727" s="98" customFormat="1" ht="16.5" hidden="1" spans="1:19">
      <c r="A727" s="46">
        <v>725</v>
      </c>
      <c r="B727" s="46" t="s">
        <v>23</v>
      </c>
      <c r="C727" s="46" t="s">
        <v>32</v>
      </c>
      <c r="D727" s="7" t="s">
        <v>25</v>
      </c>
      <c r="E727" s="7" t="s">
        <v>1326</v>
      </c>
      <c r="F727" s="7" t="s">
        <v>1119</v>
      </c>
      <c r="G727" s="46" t="s">
        <v>904</v>
      </c>
      <c r="H727" s="101">
        <v>1212</v>
      </c>
      <c r="I727" s="46" t="s">
        <v>905</v>
      </c>
      <c r="J727" s="6">
        <v>46051</v>
      </c>
      <c r="K727" s="7" t="s">
        <v>1259</v>
      </c>
      <c r="L727" s="7" t="s">
        <v>907</v>
      </c>
      <c r="M727" s="46" t="s">
        <v>1260</v>
      </c>
      <c r="N727" s="46" t="s">
        <v>105</v>
      </c>
      <c r="O727" s="46" t="s">
        <v>1173</v>
      </c>
      <c r="P727" s="6">
        <v>46013</v>
      </c>
      <c r="Q727" s="102">
        <v>0</v>
      </c>
      <c r="R727" s="102">
        <v>0</v>
      </c>
      <c r="S727" s="7">
        <v>0</v>
      </c>
    </row>
    <row r="728" s="98" customFormat="1" ht="16.5" hidden="1" spans="1:19">
      <c r="A728" s="46">
        <v>726</v>
      </c>
      <c r="B728" s="46" t="s">
        <v>23</v>
      </c>
      <c r="C728" s="46" t="s">
        <v>32</v>
      </c>
      <c r="D728" s="7" t="s">
        <v>25</v>
      </c>
      <c r="E728" s="7" t="s">
        <v>1326</v>
      </c>
      <c r="F728" s="7" t="s">
        <v>1119</v>
      </c>
      <c r="G728" s="46" t="s">
        <v>904</v>
      </c>
      <c r="H728" s="101">
        <v>1212</v>
      </c>
      <c r="I728" s="46" t="s">
        <v>905</v>
      </c>
      <c r="J728" s="6">
        <v>46051</v>
      </c>
      <c r="K728" s="7" t="s">
        <v>1261</v>
      </c>
      <c r="L728" s="7" t="s">
        <v>907</v>
      </c>
      <c r="M728" s="46" t="s">
        <v>1262</v>
      </c>
      <c r="N728" s="46" t="s">
        <v>105</v>
      </c>
      <c r="O728" s="46" t="s">
        <v>1173</v>
      </c>
      <c r="P728" s="6">
        <v>46030</v>
      </c>
      <c r="Q728" s="102">
        <v>0</v>
      </c>
      <c r="R728" s="102">
        <v>0</v>
      </c>
      <c r="S728" s="7">
        <v>0</v>
      </c>
    </row>
    <row r="729" s="98" customFormat="1" ht="16.5" hidden="1" spans="1:19">
      <c r="A729" s="46">
        <v>727</v>
      </c>
      <c r="B729" s="46" t="s">
        <v>23</v>
      </c>
      <c r="C729" s="46" t="s">
        <v>38</v>
      </c>
      <c r="D729" s="7" t="s">
        <v>25</v>
      </c>
      <c r="E729" s="7" t="s">
        <v>1326</v>
      </c>
      <c r="F729" s="7" t="s">
        <v>1119</v>
      </c>
      <c r="G729" s="46" t="s">
        <v>904</v>
      </c>
      <c r="H729" s="101">
        <v>1212</v>
      </c>
      <c r="I729" s="46" t="s">
        <v>905</v>
      </c>
      <c r="J729" s="6">
        <v>46051</v>
      </c>
      <c r="K729" s="7" t="s">
        <v>1263</v>
      </c>
      <c r="L729" s="7" t="s">
        <v>907</v>
      </c>
      <c r="M729" s="46" t="s">
        <v>1264</v>
      </c>
      <c r="N729" s="46" t="s">
        <v>75</v>
      </c>
      <c r="O729" s="46" t="s">
        <v>1173</v>
      </c>
      <c r="P729" s="6">
        <v>45941</v>
      </c>
      <c r="Q729" s="102">
        <v>0</v>
      </c>
      <c r="R729" s="102">
        <v>0</v>
      </c>
      <c r="S729" s="7">
        <v>0</v>
      </c>
    </row>
    <row r="730" s="98" customFormat="1" ht="16.5" hidden="1" spans="1:19">
      <c r="A730" s="46">
        <v>728</v>
      </c>
      <c r="B730" s="46" t="s">
        <v>23</v>
      </c>
      <c r="C730" s="46" t="s">
        <v>31</v>
      </c>
      <c r="D730" s="7" t="s">
        <v>25</v>
      </c>
      <c r="E730" s="7" t="s">
        <v>1326</v>
      </c>
      <c r="F730" s="7" t="s">
        <v>1119</v>
      </c>
      <c r="G730" s="46" t="s">
        <v>904</v>
      </c>
      <c r="H730" s="101">
        <v>1212</v>
      </c>
      <c r="I730" s="46" t="s">
        <v>905</v>
      </c>
      <c r="J730" s="6">
        <v>46051</v>
      </c>
      <c r="K730" s="7" t="s">
        <v>1265</v>
      </c>
      <c r="L730" s="7" t="s">
        <v>915</v>
      </c>
      <c r="M730" s="46" t="s">
        <v>1266</v>
      </c>
      <c r="N730" s="46" t="s">
        <v>79</v>
      </c>
      <c r="O730" s="46" t="s">
        <v>1173</v>
      </c>
      <c r="P730" s="6">
        <v>46011</v>
      </c>
      <c r="Q730" s="102">
        <v>4.75</v>
      </c>
      <c r="R730" s="102">
        <v>5</v>
      </c>
      <c r="S730" s="7">
        <v>80</v>
      </c>
    </row>
    <row r="731" s="98" customFormat="1" ht="16.5" hidden="1" spans="1:19">
      <c r="A731" s="46">
        <v>729</v>
      </c>
      <c r="B731" s="46" t="s">
        <v>23</v>
      </c>
      <c r="C731" s="46" t="s">
        <v>37</v>
      </c>
      <c r="D731" s="7" t="s">
        <v>25</v>
      </c>
      <c r="E731" s="7" t="s">
        <v>1326</v>
      </c>
      <c r="F731" s="7" t="s">
        <v>1119</v>
      </c>
      <c r="G731" s="46" t="s">
        <v>904</v>
      </c>
      <c r="H731" s="101">
        <v>1212</v>
      </c>
      <c r="I731" s="46" t="s">
        <v>905</v>
      </c>
      <c r="J731" s="6">
        <v>46051</v>
      </c>
      <c r="K731" s="7" t="s">
        <v>1267</v>
      </c>
      <c r="L731" s="7" t="s">
        <v>915</v>
      </c>
      <c r="M731" s="46" t="s">
        <v>1268</v>
      </c>
      <c r="N731" s="46" t="s">
        <v>109</v>
      </c>
      <c r="O731" s="46" t="s">
        <v>1173</v>
      </c>
      <c r="P731" s="6">
        <v>46006</v>
      </c>
      <c r="Q731" s="102">
        <v>5</v>
      </c>
      <c r="R731" s="102">
        <v>5</v>
      </c>
      <c r="S731" s="7">
        <v>80</v>
      </c>
    </row>
    <row r="732" s="98" customFormat="1" ht="16.5" hidden="1" spans="1:19">
      <c r="A732" s="46">
        <v>730</v>
      </c>
      <c r="B732" s="46" t="s">
        <v>23</v>
      </c>
      <c r="C732" s="46" t="s">
        <v>31</v>
      </c>
      <c r="D732" s="7" t="s">
        <v>25</v>
      </c>
      <c r="E732" s="7" t="s">
        <v>1326</v>
      </c>
      <c r="F732" s="7" t="s">
        <v>1119</v>
      </c>
      <c r="G732" s="46" t="s">
        <v>904</v>
      </c>
      <c r="H732" s="101">
        <v>1212</v>
      </c>
      <c r="I732" s="46" t="s">
        <v>905</v>
      </c>
      <c r="J732" s="6">
        <v>46051</v>
      </c>
      <c r="K732" s="7" t="s">
        <v>1269</v>
      </c>
      <c r="L732" s="7" t="s">
        <v>915</v>
      </c>
      <c r="M732" s="46" t="s">
        <v>1270</v>
      </c>
      <c r="N732" s="46" t="s">
        <v>79</v>
      </c>
      <c r="O732" s="46" t="s">
        <v>1173</v>
      </c>
      <c r="P732" s="6">
        <v>45976</v>
      </c>
      <c r="Q732" s="102">
        <v>5</v>
      </c>
      <c r="R732" s="102">
        <v>5</v>
      </c>
      <c r="S732" s="7">
        <v>80</v>
      </c>
    </row>
    <row r="733" s="98" customFormat="1" ht="16.5" hidden="1" spans="1:19">
      <c r="A733" s="46">
        <v>731</v>
      </c>
      <c r="B733" s="46" t="s">
        <v>23</v>
      </c>
      <c r="C733" s="46" t="s">
        <v>38</v>
      </c>
      <c r="D733" s="7" t="s">
        <v>25</v>
      </c>
      <c r="E733" s="7" t="s">
        <v>1326</v>
      </c>
      <c r="F733" s="7" t="s">
        <v>1119</v>
      </c>
      <c r="G733" s="46" t="s">
        <v>904</v>
      </c>
      <c r="H733" s="101">
        <v>1212</v>
      </c>
      <c r="I733" s="46" t="s">
        <v>905</v>
      </c>
      <c r="J733" s="6">
        <v>46051</v>
      </c>
      <c r="K733" s="7" t="s">
        <v>1271</v>
      </c>
      <c r="L733" s="7" t="s">
        <v>907</v>
      </c>
      <c r="M733" s="46" t="s">
        <v>1272</v>
      </c>
      <c r="N733" s="46" t="s">
        <v>144</v>
      </c>
      <c r="O733" s="46" t="s">
        <v>1173</v>
      </c>
      <c r="P733" s="6">
        <v>45974</v>
      </c>
      <c r="Q733" s="102">
        <v>0</v>
      </c>
      <c r="R733" s="102">
        <v>0</v>
      </c>
      <c r="S733" s="7">
        <v>0</v>
      </c>
    </row>
    <row r="734" s="98" customFormat="1" ht="16.5" hidden="1" spans="1:19">
      <c r="A734" s="46">
        <v>732</v>
      </c>
      <c r="B734" s="46" t="s">
        <v>23</v>
      </c>
      <c r="C734" s="46" t="s">
        <v>38</v>
      </c>
      <c r="D734" s="7" t="s">
        <v>25</v>
      </c>
      <c r="E734" s="7" t="s">
        <v>1326</v>
      </c>
      <c r="F734" s="7" t="s">
        <v>1119</v>
      </c>
      <c r="G734" s="46" t="s">
        <v>904</v>
      </c>
      <c r="H734" s="101">
        <v>1212</v>
      </c>
      <c r="I734" s="46" t="s">
        <v>905</v>
      </c>
      <c r="J734" s="6">
        <v>46051</v>
      </c>
      <c r="K734" s="7" t="s">
        <v>1273</v>
      </c>
      <c r="L734" s="7" t="s">
        <v>907</v>
      </c>
      <c r="M734" s="46" t="s">
        <v>1274</v>
      </c>
      <c r="N734" s="46" t="s">
        <v>144</v>
      </c>
      <c r="O734" s="46" t="s">
        <v>1173</v>
      </c>
      <c r="P734" s="6">
        <v>45959</v>
      </c>
      <c r="Q734" s="102">
        <v>0</v>
      </c>
      <c r="R734" s="102">
        <v>0</v>
      </c>
      <c r="S734" s="7">
        <v>0</v>
      </c>
    </row>
    <row r="735" s="98" customFormat="1" ht="16.5" hidden="1" spans="1:19">
      <c r="A735" s="46">
        <v>733</v>
      </c>
      <c r="B735" s="46" t="s">
        <v>23</v>
      </c>
      <c r="C735" s="46" t="s">
        <v>38</v>
      </c>
      <c r="D735" s="7" t="s">
        <v>25</v>
      </c>
      <c r="E735" s="7" t="s">
        <v>1326</v>
      </c>
      <c r="F735" s="7" t="s">
        <v>1119</v>
      </c>
      <c r="G735" s="46" t="s">
        <v>904</v>
      </c>
      <c r="H735" s="101">
        <v>1212</v>
      </c>
      <c r="I735" s="46" t="s">
        <v>905</v>
      </c>
      <c r="J735" s="6">
        <v>46051</v>
      </c>
      <c r="K735" s="7" t="s">
        <v>1275</v>
      </c>
      <c r="L735" s="7" t="s">
        <v>907</v>
      </c>
      <c r="M735" s="46" t="s">
        <v>1276</v>
      </c>
      <c r="N735" s="46" t="s">
        <v>148</v>
      </c>
      <c r="O735" s="46" t="s">
        <v>1173</v>
      </c>
      <c r="P735" s="6">
        <v>45979</v>
      </c>
      <c r="Q735" s="102">
        <v>0</v>
      </c>
      <c r="R735" s="102">
        <v>0</v>
      </c>
      <c r="S735" s="7">
        <v>0</v>
      </c>
    </row>
    <row r="736" s="98" customFormat="1" ht="16.5" hidden="1" spans="1:19">
      <c r="A736" s="46">
        <v>734</v>
      </c>
      <c r="B736" s="46" t="s">
        <v>23</v>
      </c>
      <c r="C736" s="46" t="s">
        <v>38</v>
      </c>
      <c r="D736" s="7" t="s">
        <v>25</v>
      </c>
      <c r="E736" s="7" t="s">
        <v>1326</v>
      </c>
      <c r="F736" s="7" t="s">
        <v>1119</v>
      </c>
      <c r="G736" s="46" t="s">
        <v>904</v>
      </c>
      <c r="H736" s="101">
        <v>1212</v>
      </c>
      <c r="I736" s="46" t="s">
        <v>905</v>
      </c>
      <c r="J736" s="6">
        <v>46051</v>
      </c>
      <c r="K736" s="7" t="s">
        <v>1277</v>
      </c>
      <c r="L736" s="7" t="s">
        <v>915</v>
      </c>
      <c r="M736" s="46" t="s">
        <v>1278</v>
      </c>
      <c r="N736" s="46" t="s">
        <v>220</v>
      </c>
      <c r="O736" s="46" t="s">
        <v>1173</v>
      </c>
      <c r="P736" s="6">
        <v>45998</v>
      </c>
      <c r="Q736" s="102">
        <v>5</v>
      </c>
      <c r="R736" s="102">
        <v>5</v>
      </c>
      <c r="S736" s="7">
        <v>80</v>
      </c>
    </row>
    <row r="737" s="98" customFormat="1" ht="16.5" hidden="1" spans="1:19">
      <c r="A737" s="46">
        <v>735</v>
      </c>
      <c r="B737" s="46" t="s">
        <v>23</v>
      </c>
      <c r="C737" s="46" t="s">
        <v>38</v>
      </c>
      <c r="D737" s="7" t="s">
        <v>25</v>
      </c>
      <c r="E737" s="7" t="s">
        <v>1326</v>
      </c>
      <c r="F737" s="7" t="s">
        <v>1119</v>
      </c>
      <c r="G737" s="46" t="s">
        <v>904</v>
      </c>
      <c r="H737" s="101">
        <v>1212</v>
      </c>
      <c r="I737" s="46" t="s">
        <v>905</v>
      </c>
      <c r="J737" s="6">
        <v>46051</v>
      </c>
      <c r="K737" s="7" t="s">
        <v>1279</v>
      </c>
      <c r="L737" s="7" t="s">
        <v>907</v>
      </c>
      <c r="M737" s="46" t="s">
        <v>1280</v>
      </c>
      <c r="N737" s="46" t="s">
        <v>70</v>
      </c>
      <c r="O737" s="46" t="s">
        <v>1173</v>
      </c>
      <c r="P737" s="6">
        <v>46018</v>
      </c>
      <c r="Q737" s="102">
        <v>0</v>
      </c>
      <c r="R737" s="102">
        <v>0</v>
      </c>
      <c r="S737" s="7">
        <v>0</v>
      </c>
    </row>
    <row r="738" s="98" customFormat="1" ht="16.5" hidden="1" spans="1:19">
      <c r="A738" s="46">
        <v>736</v>
      </c>
      <c r="B738" s="46" t="s">
        <v>23</v>
      </c>
      <c r="C738" s="46" t="s">
        <v>38</v>
      </c>
      <c r="D738" s="7" t="s">
        <v>25</v>
      </c>
      <c r="E738" s="7" t="s">
        <v>1326</v>
      </c>
      <c r="F738" s="7" t="s">
        <v>1119</v>
      </c>
      <c r="G738" s="46" t="s">
        <v>904</v>
      </c>
      <c r="H738" s="101">
        <v>1212</v>
      </c>
      <c r="I738" s="46" t="s">
        <v>905</v>
      </c>
      <c r="J738" s="6">
        <v>46051</v>
      </c>
      <c r="K738" s="7" t="s">
        <v>1340</v>
      </c>
      <c r="L738" s="7" t="s">
        <v>915</v>
      </c>
      <c r="M738" s="46" t="s">
        <v>1341</v>
      </c>
      <c r="N738" s="46" t="s">
        <v>1329</v>
      </c>
      <c r="O738" s="46" t="s">
        <v>1342</v>
      </c>
      <c r="P738" s="6">
        <v>46038</v>
      </c>
      <c r="Q738" s="102">
        <v>5</v>
      </c>
      <c r="R738" s="102">
        <v>5</v>
      </c>
      <c r="S738" s="7">
        <v>90</v>
      </c>
    </row>
    <row r="739" s="98" customFormat="1" ht="16.5" hidden="1" spans="1:19">
      <c r="A739" s="46">
        <v>737</v>
      </c>
      <c r="B739" s="46" t="s">
        <v>23</v>
      </c>
      <c r="C739" s="46" t="s">
        <v>38</v>
      </c>
      <c r="D739" s="7" t="s">
        <v>25</v>
      </c>
      <c r="E739" s="7" t="s">
        <v>1326</v>
      </c>
      <c r="F739" s="7" t="s">
        <v>1119</v>
      </c>
      <c r="G739" s="46" t="s">
        <v>904</v>
      </c>
      <c r="H739" s="101">
        <v>1212</v>
      </c>
      <c r="I739" s="46" t="s">
        <v>905</v>
      </c>
      <c r="J739" s="6">
        <v>46051</v>
      </c>
      <c r="K739" s="7" t="s">
        <v>1281</v>
      </c>
      <c r="L739" s="7" t="s">
        <v>907</v>
      </c>
      <c r="M739" s="46" t="s">
        <v>1282</v>
      </c>
      <c r="N739" s="46" t="s">
        <v>148</v>
      </c>
      <c r="O739" s="46" t="s">
        <v>1173</v>
      </c>
      <c r="P739" s="6">
        <v>46022</v>
      </c>
      <c r="Q739" s="102">
        <v>0</v>
      </c>
      <c r="R739" s="102">
        <v>0</v>
      </c>
      <c r="S739" s="7">
        <v>0</v>
      </c>
    </row>
    <row r="740" s="98" customFormat="1" ht="16.5" hidden="1" spans="1:19">
      <c r="A740" s="46">
        <v>738</v>
      </c>
      <c r="B740" s="46" t="s">
        <v>23</v>
      </c>
      <c r="C740" s="46" t="s">
        <v>38</v>
      </c>
      <c r="D740" s="7" t="s">
        <v>25</v>
      </c>
      <c r="E740" s="7" t="s">
        <v>1326</v>
      </c>
      <c r="F740" s="7" t="s">
        <v>1119</v>
      </c>
      <c r="G740" s="46" t="s">
        <v>904</v>
      </c>
      <c r="H740" s="101">
        <v>1212</v>
      </c>
      <c r="I740" s="46" t="s">
        <v>905</v>
      </c>
      <c r="J740" s="6">
        <v>46051</v>
      </c>
      <c r="K740" s="7" t="s">
        <v>1283</v>
      </c>
      <c r="L740" s="7" t="s">
        <v>907</v>
      </c>
      <c r="M740" s="46" t="s">
        <v>1284</v>
      </c>
      <c r="N740" s="46" t="s">
        <v>148</v>
      </c>
      <c r="O740" s="46" t="s">
        <v>1173</v>
      </c>
      <c r="P740" s="6">
        <v>46015</v>
      </c>
      <c r="Q740" s="102">
        <v>0</v>
      </c>
      <c r="R740" s="102">
        <v>0</v>
      </c>
      <c r="S740" s="7">
        <v>0</v>
      </c>
    </row>
    <row r="741" s="98" customFormat="1" ht="16.5" hidden="1" spans="1:19">
      <c r="A741" s="46">
        <v>739</v>
      </c>
      <c r="B741" s="46" t="s">
        <v>23</v>
      </c>
      <c r="C741" s="46" t="s">
        <v>38</v>
      </c>
      <c r="D741" s="7" t="s">
        <v>25</v>
      </c>
      <c r="E741" s="7" t="s">
        <v>1326</v>
      </c>
      <c r="F741" s="7" t="s">
        <v>1119</v>
      </c>
      <c r="G741" s="46" t="s">
        <v>904</v>
      </c>
      <c r="H741" s="101">
        <v>1212</v>
      </c>
      <c r="I741" s="46" t="s">
        <v>905</v>
      </c>
      <c r="J741" s="6">
        <v>46051</v>
      </c>
      <c r="K741" s="7" t="s">
        <v>1285</v>
      </c>
      <c r="L741" s="7" t="s">
        <v>907</v>
      </c>
      <c r="M741" s="46" t="s">
        <v>1286</v>
      </c>
      <c r="N741" s="46" t="s">
        <v>148</v>
      </c>
      <c r="O741" s="46" t="s">
        <v>1173</v>
      </c>
      <c r="P741" s="6">
        <v>45989</v>
      </c>
      <c r="Q741" s="102">
        <v>0</v>
      </c>
      <c r="R741" s="102">
        <v>0</v>
      </c>
      <c r="S741" s="7">
        <v>0</v>
      </c>
    </row>
    <row r="742" s="98" customFormat="1" ht="16.5" hidden="1" spans="1:19">
      <c r="A742" s="46">
        <v>740</v>
      </c>
      <c r="B742" s="46" t="s">
        <v>23</v>
      </c>
      <c r="C742" s="46" t="s">
        <v>38</v>
      </c>
      <c r="D742" s="7" t="s">
        <v>25</v>
      </c>
      <c r="E742" s="7" t="s">
        <v>1326</v>
      </c>
      <c r="F742" s="7" t="s">
        <v>1119</v>
      </c>
      <c r="G742" s="46" t="s">
        <v>904</v>
      </c>
      <c r="H742" s="101">
        <v>1212</v>
      </c>
      <c r="I742" s="46" t="s">
        <v>905</v>
      </c>
      <c r="J742" s="6">
        <v>46051</v>
      </c>
      <c r="K742" s="7" t="s">
        <v>1287</v>
      </c>
      <c r="L742" s="7" t="s">
        <v>915</v>
      </c>
      <c r="M742" s="46" t="s">
        <v>1288</v>
      </c>
      <c r="N742" s="46" t="s">
        <v>220</v>
      </c>
      <c r="O742" s="46" t="s">
        <v>1173</v>
      </c>
      <c r="P742" s="6">
        <v>46031</v>
      </c>
      <c r="Q742" s="102">
        <v>5</v>
      </c>
      <c r="R742" s="102">
        <v>5</v>
      </c>
      <c r="S742" s="7">
        <v>90</v>
      </c>
    </row>
    <row r="743" s="98" customFormat="1" ht="16.5" hidden="1" spans="1:19">
      <c r="A743" s="46">
        <v>741</v>
      </c>
      <c r="B743" s="46" t="s">
        <v>23</v>
      </c>
      <c r="C743" s="46" t="s">
        <v>38</v>
      </c>
      <c r="D743" s="7" t="s">
        <v>25</v>
      </c>
      <c r="E743" s="7" t="s">
        <v>1326</v>
      </c>
      <c r="F743" s="7" t="s">
        <v>1119</v>
      </c>
      <c r="G743" s="46" t="s">
        <v>904</v>
      </c>
      <c r="H743" s="101">
        <v>1212</v>
      </c>
      <c r="I743" s="46" t="s">
        <v>905</v>
      </c>
      <c r="J743" s="6">
        <v>46051</v>
      </c>
      <c r="K743" s="7" t="s">
        <v>1289</v>
      </c>
      <c r="L743" s="7" t="s">
        <v>915</v>
      </c>
      <c r="M743" s="46" t="s">
        <v>1290</v>
      </c>
      <c r="N743" s="46" t="s">
        <v>220</v>
      </c>
      <c r="O743" s="46" t="s">
        <v>1173</v>
      </c>
      <c r="P743" s="6">
        <v>46022</v>
      </c>
      <c r="Q743" s="102">
        <v>0</v>
      </c>
      <c r="R743" s="102">
        <v>0</v>
      </c>
      <c r="S743" s="7">
        <v>90</v>
      </c>
    </row>
    <row r="744" s="98" customFormat="1" ht="16.5" hidden="1" spans="1:19">
      <c r="A744" s="46">
        <v>742</v>
      </c>
      <c r="B744" s="46" t="s">
        <v>23</v>
      </c>
      <c r="C744" s="46" t="s">
        <v>38</v>
      </c>
      <c r="D744" s="7" t="s">
        <v>25</v>
      </c>
      <c r="E744" s="7" t="s">
        <v>1326</v>
      </c>
      <c r="F744" s="7" t="s">
        <v>1119</v>
      </c>
      <c r="G744" s="46" t="s">
        <v>904</v>
      </c>
      <c r="H744" s="101">
        <v>1212</v>
      </c>
      <c r="I744" s="46" t="s">
        <v>905</v>
      </c>
      <c r="J744" s="6">
        <v>46051</v>
      </c>
      <c r="K744" s="7" t="s">
        <v>1291</v>
      </c>
      <c r="L744" s="7" t="s">
        <v>907</v>
      </c>
      <c r="M744" s="46" t="s">
        <v>1292</v>
      </c>
      <c r="N744" s="46" t="s">
        <v>168</v>
      </c>
      <c r="O744" s="46" t="s">
        <v>1173</v>
      </c>
      <c r="P744" s="6">
        <v>46025</v>
      </c>
      <c r="Q744" s="102">
        <v>0</v>
      </c>
      <c r="R744" s="102">
        <v>0</v>
      </c>
      <c r="S744" s="7">
        <v>0</v>
      </c>
    </row>
    <row r="745" s="98" customFormat="1" ht="16.5" hidden="1" spans="1:19">
      <c r="A745" s="46">
        <v>743</v>
      </c>
      <c r="B745" s="46" t="s">
        <v>23</v>
      </c>
      <c r="C745" s="46" t="s">
        <v>38</v>
      </c>
      <c r="D745" s="7" t="s">
        <v>25</v>
      </c>
      <c r="E745" s="7" t="s">
        <v>1326</v>
      </c>
      <c r="F745" s="7" t="s">
        <v>1119</v>
      </c>
      <c r="G745" s="46" t="s">
        <v>904</v>
      </c>
      <c r="H745" s="101">
        <v>1212</v>
      </c>
      <c r="I745" s="46" t="s">
        <v>905</v>
      </c>
      <c r="J745" s="6">
        <v>46051</v>
      </c>
      <c r="K745" s="7" t="s">
        <v>1293</v>
      </c>
      <c r="L745" s="7" t="s">
        <v>907</v>
      </c>
      <c r="M745" s="46" t="s">
        <v>1294</v>
      </c>
      <c r="N745" s="46" t="s">
        <v>168</v>
      </c>
      <c r="O745" s="46" t="s">
        <v>1173</v>
      </c>
      <c r="P745" s="6">
        <v>46022</v>
      </c>
      <c r="Q745" s="102">
        <v>0</v>
      </c>
      <c r="R745" s="102">
        <v>0</v>
      </c>
      <c r="S745" s="7">
        <v>0</v>
      </c>
    </row>
    <row r="746" s="98" customFormat="1" ht="16.5" hidden="1" spans="1:19">
      <c r="A746" s="46">
        <v>744</v>
      </c>
      <c r="B746" s="46" t="s">
        <v>23</v>
      </c>
      <c r="C746" s="46" t="s">
        <v>38</v>
      </c>
      <c r="D746" s="7" t="s">
        <v>25</v>
      </c>
      <c r="E746" s="7" t="s">
        <v>1326</v>
      </c>
      <c r="F746" s="7" t="s">
        <v>1119</v>
      </c>
      <c r="G746" s="46" t="s">
        <v>904</v>
      </c>
      <c r="H746" s="101">
        <v>1212</v>
      </c>
      <c r="I746" s="46" t="s">
        <v>905</v>
      </c>
      <c r="J746" s="6">
        <v>46051</v>
      </c>
      <c r="K746" s="7" t="s">
        <v>1343</v>
      </c>
      <c r="L746" s="7" t="s">
        <v>907</v>
      </c>
      <c r="M746" s="46" t="s">
        <v>1344</v>
      </c>
      <c r="N746" s="46" t="s">
        <v>168</v>
      </c>
      <c r="O746" s="46" t="s">
        <v>1173</v>
      </c>
      <c r="P746" s="6">
        <v>46022</v>
      </c>
      <c r="Q746" s="102">
        <v>0</v>
      </c>
      <c r="R746" s="102">
        <v>0</v>
      </c>
      <c r="S746" s="7">
        <v>0</v>
      </c>
    </row>
    <row r="747" s="98" customFormat="1" ht="16.5" hidden="1" spans="1:19">
      <c r="A747" s="46">
        <v>745</v>
      </c>
      <c r="B747" s="46" t="s">
        <v>23</v>
      </c>
      <c r="C747" s="46" t="s">
        <v>38</v>
      </c>
      <c r="D747" s="7" t="s">
        <v>25</v>
      </c>
      <c r="E747" s="7" t="s">
        <v>1326</v>
      </c>
      <c r="F747" s="7" t="s">
        <v>1119</v>
      </c>
      <c r="G747" s="46" t="s">
        <v>904</v>
      </c>
      <c r="H747" s="101">
        <v>1212</v>
      </c>
      <c r="I747" s="46" t="s">
        <v>905</v>
      </c>
      <c r="J747" s="6">
        <v>46051</v>
      </c>
      <c r="K747" s="7" t="s">
        <v>1295</v>
      </c>
      <c r="L747" s="7" t="s">
        <v>907</v>
      </c>
      <c r="M747" s="46" t="s">
        <v>1296</v>
      </c>
      <c r="N747" s="46" t="s">
        <v>168</v>
      </c>
      <c r="O747" s="46" t="s">
        <v>1173</v>
      </c>
      <c r="P747" s="6">
        <v>45978</v>
      </c>
      <c r="Q747" s="102">
        <v>0</v>
      </c>
      <c r="R747" s="102">
        <v>0</v>
      </c>
      <c r="S747" s="7">
        <v>0</v>
      </c>
    </row>
    <row r="748" s="98" customFormat="1" ht="16.5" hidden="1" spans="1:19">
      <c r="A748" s="46">
        <v>746</v>
      </c>
      <c r="B748" s="46" t="s">
        <v>23</v>
      </c>
      <c r="C748" s="46" t="s">
        <v>26</v>
      </c>
      <c r="D748" s="7" t="s">
        <v>25</v>
      </c>
      <c r="E748" s="7" t="s">
        <v>1326</v>
      </c>
      <c r="F748" s="7" t="s">
        <v>1119</v>
      </c>
      <c r="G748" s="46" t="s">
        <v>904</v>
      </c>
      <c r="H748" s="101">
        <v>1212</v>
      </c>
      <c r="I748" s="46" t="s">
        <v>905</v>
      </c>
      <c r="J748" s="6">
        <v>46051</v>
      </c>
      <c r="K748" s="7" t="s">
        <v>1297</v>
      </c>
      <c r="L748" s="7" t="s">
        <v>915</v>
      </c>
      <c r="M748" s="46" t="s">
        <v>1298</v>
      </c>
      <c r="N748" s="46" t="s">
        <v>121</v>
      </c>
      <c r="O748" s="46" t="s">
        <v>1173</v>
      </c>
      <c r="P748" s="6">
        <v>46035</v>
      </c>
      <c r="Q748" s="102">
        <v>0</v>
      </c>
      <c r="R748" s="102">
        <v>0</v>
      </c>
      <c r="S748" s="7">
        <v>56</v>
      </c>
    </row>
    <row r="749" s="98" customFormat="1" ht="16.5" hidden="1" spans="1:19">
      <c r="A749" s="46">
        <v>747</v>
      </c>
      <c r="B749" s="46" t="s">
        <v>23</v>
      </c>
      <c r="C749" s="46" t="s">
        <v>35</v>
      </c>
      <c r="D749" s="7" t="s">
        <v>25</v>
      </c>
      <c r="E749" s="7" t="s">
        <v>1326</v>
      </c>
      <c r="F749" s="7" t="s">
        <v>1119</v>
      </c>
      <c r="G749" s="46" t="s">
        <v>904</v>
      </c>
      <c r="H749" s="101">
        <v>1212</v>
      </c>
      <c r="I749" s="46" t="s">
        <v>905</v>
      </c>
      <c r="J749" s="6">
        <v>46051</v>
      </c>
      <c r="K749" s="7" t="s">
        <v>1299</v>
      </c>
      <c r="L749" s="7" t="s">
        <v>915</v>
      </c>
      <c r="M749" s="46" t="s">
        <v>1300</v>
      </c>
      <c r="N749" s="46" t="s">
        <v>125</v>
      </c>
      <c r="O749" s="46" t="s">
        <v>1173</v>
      </c>
      <c r="P749" s="6">
        <v>46011</v>
      </c>
      <c r="Q749" s="102">
        <v>5</v>
      </c>
      <c r="R749" s="102">
        <v>5</v>
      </c>
      <c r="S749" s="7">
        <v>96</v>
      </c>
    </row>
    <row r="750" s="98" customFormat="1" ht="16.5" hidden="1" spans="1:19">
      <c r="A750" s="46">
        <v>748</v>
      </c>
      <c r="B750" s="46" t="s">
        <v>23</v>
      </c>
      <c r="C750" s="46" t="s">
        <v>29</v>
      </c>
      <c r="D750" s="7" t="s">
        <v>25</v>
      </c>
      <c r="E750" s="7" t="s">
        <v>1326</v>
      </c>
      <c r="F750" s="7" t="s">
        <v>1119</v>
      </c>
      <c r="G750" s="46" t="s">
        <v>904</v>
      </c>
      <c r="H750" s="101">
        <v>1212</v>
      </c>
      <c r="I750" s="46" t="s">
        <v>905</v>
      </c>
      <c r="J750" s="6">
        <v>46051</v>
      </c>
      <c r="K750" s="7" t="s">
        <v>1301</v>
      </c>
      <c r="L750" s="7" t="s">
        <v>915</v>
      </c>
      <c r="M750" s="46" t="s">
        <v>1302</v>
      </c>
      <c r="N750" s="46" t="s">
        <v>130</v>
      </c>
      <c r="O750" s="46" t="s">
        <v>1173</v>
      </c>
      <c r="P750" s="6">
        <v>46026</v>
      </c>
      <c r="Q750" s="102">
        <v>5</v>
      </c>
      <c r="R750" s="102">
        <v>5</v>
      </c>
      <c r="S750" s="7">
        <v>88</v>
      </c>
    </row>
    <row r="751" s="98" customFormat="1" ht="16.5" hidden="1" spans="1:19">
      <c r="A751" s="46">
        <v>749</v>
      </c>
      <c r="B751" s="46" t="s">
        <v>23</v>
      </c>
      <c r="C751" s="46" t="s">
        <v>38</v>
      </c>
      <c r="D751" s="7" t="s">
        <v>25</v>
      </c>
      <c r="E751" s="7" t="s">
        <v>1326</v>
      </c>
      <c r="F751" s="7" t="s">
        <v>1119</v>
      </c>
      <c r="G751" s="46" t="s">
        <v>904</v>
      </c>
      <c r="H751" s="101">
        <v>1212</v>
      </c>
      <c r="I751" s="46" t="s">
        <v>905</v>
      </c>
      <c r="J751" s="6">
        <v>46051</v>
      </c>
      <c r="K751" s="7" t="s">
        <v>1345</v>
      </c>
      <c r="L751" s="7" t="s">
        <v>915</v>
      </c>
      <c r="M751" s="46" t="s">
        <v>1346</v>
      </c>
      <c r="N751" s="46" t="s">
        <v>1329</v>
      </c>
      <c r="O751" s="46" t="s">
        <v>1347</v>
      </c>
      <c r="P751" s="6">
        <v>46013</v>
      </c>
      <c r="Q751" s="102">
        <v>0</v>
      </c>
      <c r="R751" s="102">
        <v>0</v>
      </c>
      <c r="S751" s="7">
        <v>97</v>
      </c>
    </row>
    <row r="752" s="98" customFormat="1" ht="16.5" hidden="1" spans="1:19">
      <c r="A752" s="46">
        <v>750</v>
      </c>
      <c r="B752" s="46" t="s">
        <v>23</v>
      </c>
      <c r="C752" s="46" t="s">
        <v>38</v>
      </c>
      <c r="D752" s="7" t="s">
        <v>25</v>
      </c>
      <c r="E752" s="7" t="s">
        <v>1326</v>
      </c>
      <c r="F752" s="7" t="s">
        <v>1119</v>
      </c>
      <c r="G752" s="46" t="s">
        <v>904</v>
      </c>
      <c r="H752" s="101">
        <v>1212</v>
      </c>
      <c r="I752" s="46" t="s">
        <v>905</v>
      </c>
      <c r="J752" s="6">
        <v>46051</v>
      </c>
      <c r="K752" s="7" t="s">
        <v>1303</v>
      </c>
      <c r="L752" s="7" t="s">
        <v>907</v>
      </c>
      <c r="M752" s="46" t="s">
        <v>1304</v>
      </c>
      <c r="N752" s="46" t="s">
        <v>144</v>
      </c>
      <c r="O752" s="46" t="s">
        <v>1173</v>
      </c>
      <c r="P752" s="6">
        <v>46022</v>
      </c>
      <c r="Q752" s="102">
        <v>0</v>
      </c>
      <c r="R752" s="102">
        <v>0</v>
      </c>
      <c r="S752" s="7">
        <v>0</v>
      </c>
    </row>
    <row r="753" s="98" customFormat="1" ht="16.5" hidden="1" spans="1:19">
      <c r="A753" s="46">
        <v>751</v>
      </c>
      <c r="B753" s="46" t="s">
        <v>23</v>
      </c>
      <c r="C753" s="46" t="s">
        <v>38</v>
      </c>
      <c r="D753" s="7" t="s">
        <v>25</v>
      </c>
      <c r="E753" s="7" t="s">
        <v>1326</v>
      </c>
      <c r="F753" s="7" t="s">
        <v>1119</v>
      </c>
      <c r="G753" s="46" t="s">
        <v>904</v>
      </c>
      <c r="H753" s="101">
        <v>1212</v>
      </c>
      <c r="I753" s="46" t="s">
        <v>905</v>
      </c>
      <c r="J753" s="6">
        <v>46051</v>
      </c>
      <c r="K753" s="7" t="s">
        <v>1305</v>
      </c>
      <c r="L753" s="7" t="s">
        <v>915</v>
      </c>
      <c r="M753" s="46" t="s">
        <v>1306</v>
      </c>
      <c r="N753" s="46" t="s">
        <v>144</v>
      </c>
      <c r="O753" s="46" t="s">
        <v>1173</v>
      </c>
      <c r="P753" s="6">
        <v>46013</v>
      </c>
      <c r="Q753" s="102">
        <v>5</v>
      </c>
      <c r="R753" s="102">
        <v>5</v>
      </c>
      <c r="S753" s="7">
        <v>96</v>
      </c>
    </row>
    <row r="754" s="98" customFormat="1" ht="16.5" hidden="1" spans="1:19">
      <c r="A754" s="46">
        <v>752</v>
      </c>
      <c r="B754" s="46" t="s">
        <v>23</v>
      </c>
      <c r="C754" s="46" t="s">
        <v>38</v>
      </c>
      <c r="D754" s="7" t="s">
        <v>25</v>
      </c>
      <c r="E754" s="7" t="s">
        <v>1326</v>
      </c>
      <c r="F754" s="7" t="s">
        <v>1119</v>
      </c>
      <c r="G754" s="46" t="s">
        <v>904</v>
      </c>
      <c r="H754" s="101">
        <v>1212</v>
      </c>
      <c r="I754" s="46" t="s">
        <v>905</v>
      </c>
      <c r="J754" s="6">
        <v>46051</v>
      </c>
      <c r="K754" s="7" t="s">
        <v>1307</v>
      </c>
      <c r="L754" s="7" t="s">
        <v>907</v>
      </c>
      <c r="M754" s="46" t="s">
        <v>1308</v>
      </c>
      <c r="N754" s="46" t="s">
        <v>144</v>
      </c>
      <c r="O754" s="46" t="s">
        <v>1173</v>
      </c>
      <c r="P754" s="6">
        <v>45955</v>
      </c>
      <c r="Q754" s="102">
        <v>0</v>
      </c>
      <c r="R754" s="102">
        <v>0</v>
      </c>
      <c r="S754" s="7">
        <v>0</v>
      </c>
    </row>
    <row r="755" s="98" customFormat="1" ht="16.5" hidden="1" spans="1:19">
      <c r="A755" s="46">
        <v>753</v>
      </c>
      <c r="B755" s="46" t="s">
        <v>23</v>
      </c>
      <c r="C755" s="46" t="s">
        <v>26</v>
      </c>
      <c r="D755" s="7" t="s">
        <v>25</v>
      </c>
      <c r="E755" s="7" t="s">
        <v>1326</v>
      </c>
      <c r="F755" s="7" t="s">
        <v>1119</v>
      </c>
      <c r="G755" s="46" t="s">
        <v>904</v>
      </c>
      <c r="H755" s="101">
        <v>1212</v>
      </c>
      <c r="I755" s="46" t="s">
        <v>905</v>
      </c>
      <c r="J755" s="6">
        <v>46051</v>
      </c>
      <c r="K755" s="7" t="s">
        <v>1309</v>
      </c>
      <c r="L755" s="7" t="s">
        <v>907</v>
      </c>
      <c r="M755" s="46" t="s">
        <v>1310</v>
      </c>
      <c r="N755" s="46" t="s">
        <v>121</v>
      </c>
      <c r="O755" s="46" t="s">
        <v>1173</v>
      </c>
      <c r="P755" s="6">
        <v>46026</v>
      </c>
      <c r="Q755" s="102">
        <v>0</v>
      </c>
      <c r="R755" s="102">
        <v>0</v>
      </c>
      <c r="S755" s="7">
        <v>0</v>
      </c>
    </row>
    <row r="756" s="98" customFormat="1" ht="16.5" hidden="1" spans="1:19">
      <c r="A756" s="46">
        <v>754</v>
      </c>
      <c r="B756" s="46" t="s">
        <v>23</v>
      </c>
      <c r="C756" s="46" t="s">
        <v>26</v>
      </c>
      <c r="D756" s="7" t="s">
        <v>25</v>
      </c>
      <c r="E756" s="7" t="s">
        <v>1326</v>
      </c>
      <c r="F756" s="7" t="s">
        <v>1119</v>
      </c>
      <c r="G756" s="46" t="s">
        <v>904</v>
      </c>
      <c r="H756" s="101">
        <v>1212</v>
      </c>
      <c r="I756" s="46" t="s">
        <v>905</v>
      </c>
      <c r="J756" s="6">
        <v>46051</v>
      </c>
      <c r="K756" s="7" t="s">
        <v>1311</v>
      </c>
      <c r="L756" s="7" t="s">
        <v>915</v>
      </c>
      <c r="M756" s="46" t="s">
        <v>1312</v>
      </c>
      <c r="N756" s="46" t="s">
        <v>121</v>
      </c>
      <c r="O756" s="46" t="s">
        <v>1173</v>
      </c>
      <c r="P756" s="6">
        <v>45973</v>
      </c>
      <c r="Q756" s="102">
        <v>5</v>
      </c>
      <c r="R756" s="102">
        <v>5</v>
      </c>
      <c r="S756" s="7">
        <v>96</v>
      </c>
    </row>
    <row r="757" s="98" customFormat="1" ht="16.5" hidden="1" spans="1:19">
      <c r="A757" s="46">
        <v>755</v>
      </c>
      <c r="B757" s="46" t="s">
        <v>23</v>
      </c>
      <c r="C757" s="46" t="s">
        <v>26</v>
      </c>
      <c r="D757" s="7" t="s">
        <v>25</v>
      </c>
      <c r="E757" s="7" t="s">
        <v>1326</v>
      </c>
      <c r="F757" s="7" t="s">
        <v>1119</v>
      </c>
      <c r="G757" s="46" t="s">
        <v>904</v>
      </c>
      <c r="H757" s="101">
        <v>1212</v>
      </c>
      <c r="I757" s="46" t="s">
        <v>905</v>
      </c>
      <c r="J757" s="6">
        <v>46051</v>
      </c>
      <c r="K757" s="7" t="s">
        <v>1313</v>
      </c>
      <c r="L757" s="7" t="s">
        <v>915</v>
      </c>
      <c r="M757" s="46" t="s">
        <v>1314</v>
      </c>
      <c r="N757" s="46" t="s">
        <v>121</v>
      </c>
      <c r="O757" s="46" t="s">
        <v>1173</v>
      </c>
      <c r="P757" s="6">
        <v>45890</v>
      </c>
      <c r="Q757" s="102">
        <v>5</v>
      </c>
      <c r="R757" s="102">
        <v>5</v>
      </c>
      <c r="S757" s="7">
        <v>96</v>
      </c>
    </row>
    <row r="758" s="98" customFormat="1" ht="16.5" hidden="1" spans="1:19">
      <c r="A758" s="46">
        <v>756</v>
      </c>
      <c r="B758" s="46" t="s">
        <v>23</v>
      </c>
      <c r="C758" s="46" t="s">
        <v>38</v>
      </c>
      <c r="D758" s="7" t="s">
        <v>25</v>
      </c>
      <c r="E758" s="7" t="s">
        <v>1326</v>
      </c>
      <c r="F758" s="7" t="s">
        <v>1119</v>
      </c>
      <c r="G758" s="46" t="s">
        <v>904</v>
      </c>
      <c r="H758" s="101">
        <v>1212</v>
      </c>
      <c r="I758" s="46" t="s">
        <v>905</v>
      </c>
      <c r="J758" s="6">
        <v>46051</v>
      </c>
      <c r="K758" s="7" t="s">
        <v>1315</v>
      </c>
      <c r="L758" s="7" t="s">
        <v>915</v>
      </c>
      <c r="M758" s="46" t="s">
        <v>1316</v>
      </c>
      <c r="N758" s="46" t="s">
        <v>75</v>
      </c>
      <c r="O758" s="46" t="s">
        <v>1173</v>
      </c>
      <c r="P758" s="6">
        <v>45998</v>
      </c>
      <c r="Q758" s="102">
        <v>5</v>
      </c>
      <c r="R758" s="102">
        <v>5</v>
      </c>
      <c r="S758" s="7">
        <v>90</v>
      </c>
    </row>
    <row r="759" s="98" customFormat="1" ht="16.5" hidden="1" spans="1:19">
      <c r="A759" s="46">
        <v>757</v>
      </c>
      <c r="B759" s="46" t="s">
        <v>23</v>
      </c>
      <c r="C759" s="46" t="s">
        <v>38</v>
      </c>
      <c r="D759" s="7" t="s">
        <v>25</v>
      </c>
      <c r="E759" s="7" t="s">
        <v>1326</v>
      </c>
      <c r="F759" s="7" t="s">
        <v>1119</v>
      </c>
      <c r="G759" s="46" t="s">
        <v>904</v>
      </c>
      <c r="H759" s="101">
        <v>1212</v>
      </c>
      <c r="I759" s="46" t="s">
        <v>905</v>
      </c>
      <c r="J759" s="6">
        <v>46051</v>
      </c>
      <c r="K759" s="7" t="s">
        <v>1317</v>
      </c>
      <c r="L759" s="7" t="s">
        <v>907</v>
      </c>
      <c r="M759" s="46" t="s">
        <v>1318</v>
      </c>
      <c r="N759" s="46" t="s">
        <v>75</v>
      </c>
      <c r="O759" s="46" t="s">
        <v>1173</v>
      </c>
      <c r="P759" s="6">
        <v>45998</v>
      </c>
      <c r="Q759" s="102">
        <v>0</v>
      </c>
      <c r="R759" s="102">
        <v>0</v>
      </c>
      <c r="S759" s="7">
        <v>0</v>
      </c>
    </row>
    <row r="760" s="98" customFormat="1" ht="16.5" hidden="1" spans="1:19">
      <c r="A760" s="46">
        <v>758</v>
      </c>
      <c r="B760" s="46" t="s">
        <v>23</v>
      </c>
      <c r="C760" s="46" t="s">
        <v>38</v>
      </c>
      <c r="D760" s="7" t="s">
        <v>25</v>
      </c>
      <c r="E760" s="7" t="s">
        <v>1326</v>
      </c>
      <c r="F760" s="7" t="s">
        <v>1119</v>
      </c>
      <c r="G760" s="46" t="s">
        <v>904</v>
      </c>
      <c r="H760" s="101">
        <v>1212</v>
      </c>
      <c r="I760" s="46" t="s">
        <v>905</v>
      </c>
      <c r="J760" s="6">
        <v>46051</v>
      </c>
      <c r="K760" s="7" t="s">
        <v>1319</v>
      </c>
      <c r="L760" s="7" t="s">
        <v>907</v>
      </c>
      <c r="M760" s="46" t="s">
        <v>1320</v>
      </c>
      <c r="N760" s="46" t="s">
        <v>220</v>
      </c>
      <c r="O760" s="46" t="s">
        <v>1173</v>
      </c>
      <c r="P760" s="6">
        <v>46022</v>
      </c>
      <c r="Q760" s="102">
        <v>0</v>
      </c>
      <c r="R760" s="102">
        <v>0</v>
      </c>
      <c r="S760" s="7">
        <v>0</v>
      </c>
    </row>
    <row r="761" s="98" customFormat="1" ht="16.5" hidden="1" spans="1:19">
      <c r="A761" s="46">
        <v>759</v>
      </c>
      <c r="B761" s="46" t="s">
        <v>23</v>
      </c>
      <c r="C761" s="46" t="s">
        <v>38</v>
      </c>
      <c r="D761" s="7" t="s">
        <v>25</v>
      </c>
      <c r="E761" s="7" t="s">
        <v>1326</v>
      </c>
      <c r="F761" s="7" t="s">
        <v>1119</v>
      </c>
      <c r="G761" s="46" t="s">
        <v>904</v>
      </c>
      <c r="H761" s="101">
        <v>1212</v>
      </c>
      <c r="I761" s="46" t="s">
        <v>905</v>
      </c>
      <c r="J761" s="6">
        <v>46051</v>
      </c>
      <c r="K761" s="7" t="s">
        <v>1321</v>
      </c>
      <c r="L761" s="7" t="s">
        <v>907</v>
      </c>
      <c r="M761" s="46" t="s">
        <v>1322</v>
      </c>
      <c r="N761" s="46" t="s">
        <v>220</v>
      </c>
      <c r="O761" s="46" t="s">
        <v>1173</v>
      </c>
      <c r="P761" s="6">
        <v>45992</v>
      </c>
      <c r="Q761" s="102">
        <v>0</v>
      </c>
      <c r="R761" s="102">
        <v>0</v>
      </c>
      <c r="S761" s="7">
        <v>0</v>
      </c>
    </row>
    <row r="762" ht="16.5" hidden="1" spans="1:19">
      <c r="A762" s="46">
        <v>760</v>
      </c>
      <c r="B762" s="46" t="s">
        <v>39</v>
      </c>
      <c r="C762" s="46" t="s">
        <v>44</v>
      </c>
      <c r="D762" s="46" t="s">
        <v>1348</v>
      </c>
      <c r="E762" s="46" t="s">
        <v>1349</v>
      </c>
      <c r="F762" s="46" t="s">
        <v>1350</v>
      </c>
      <c r="G762" s="46" t="s">
        <v>904</v>
      </c>
      <c r="H762" s="46">
        <v>1212</v>
      </c>
      <c r="I762" s="46" t="s">
        <v>1351</v>
      </c>
      <c r="J762" s="6">
        <v>46077</v>
      </c>
      <c r="K762" s="7" t="s">
        <v>1352</v>
      </c>
      <c r="L762" s="46" t="s">
        <v>915</v>
      </c>
      <c r="M762" s="46" t="str">
        <f>VLOOKUP(K762,[4]在职!$A:$B,2,0)</f>
        <v>00215</v>
      </c>
      <c r="N762" s="46" t="s">
        <v>1353</v>
      </c>
      <c r="O762" s="46" t="str">
        <f>VLOOKUP(K762,[4]在职!$A:$I,9,0)</f>
        <v>区域拓展总监</v>
      </c>
      <c r="P762" s="83">
        <f>VLOOKUP(K762,[4]在职!$A:$D,4,0)</f>
        <v>44525</v>
      </c>
      <c r="Q762" s="102">
        <v>0</v>
      </c>
      <c r="R762" s="102">
        <v>0</v>
      </c>
      <c r="S762" s="7">
        <v>0</v>
      </c>
    </row>
    <row r="763" ht="16.5" hidden="1" spans="1:19">
      <c r="A763" s="46">
        <v>761</v>
      </c>
      <c r="B763" s="46" t="s">
        <v>39</v>
      </c>
      <c r="C763" s="46" t="str">
        <f>VLOOKUP(K763,[4]在职!$A:$E,5,0)</f>
        <v>西南总部</v>
      </c>
      <c r="D763" s="46" t="s">
        <v>1348</v>
      </c>
      <c r="E763" s="46" t="s">
        <v>1349</v>
      </c>
      <c r="F763" s="46" t="s">
        <v>1350</v>
      </c>
      <c r="G763" s="46" t="s">
        <v>904</v>
      </c>
      <c r="H763" s="46">
        <v>1212</v>
      </c>
      <c r="I763" s="46" t="s">
        <v>1351</v>
      </c>
      <c r="J763" s="6">
        <v>46077</v>
      </c>
      <c r="K763" s="7" t="s">
        <v>1354</v>
      </c>
      <c r="L763" s="46" t="s">
        <v>915</v>
      </c>
      <c r="M763" s="46" t="str">
        <f>VLOOKUP(K763,[4]在职!$A:$B,2,0)</f>
        <v>00745</v>
      </c>
      <c r="N763" s="46" t="str">
        <f>VLOOKUP(K763,[4]在职!$A:$G,7,0)</f>
        <v>川北</v>
      </c>
      <c r="O763" s="46" t="str">
        <f>VLOOKUP(K763,[4]在职!$A:$I,9,0)</f>
        <v>区域拓展总监</v>
      </c>
      <c r="P763" s="83">
        <f>VLOOKUP(K763,[4]在职!$A:$D,4,0)</f>
        <v>44522</v>
      </c>
      <c r="Q763" s="102">
        <v>0</v>
      </c>
      <c r="R763" s="102">
        <v>0</v>
      </c>
      <c r="S763" s="7">
        <v>0</v>
      </c>
    </row>
    <row r="764" ht="16.5" hidden="1" spans="1:19">
      <c r="A764" s="46">
        <v>762</v>
      </c>
      <c r="B764" s="46" t="s">
        <v>39</v>
      </c>
      <c r="C764" s="46" t="str">
        <f>VLOOKUP(K764,[4]在职!$A:$E,5,0)</f>
        <v>集团职能</v>
      </c>
      <c r="D764" s="46" t="s">
        <v>1348</v>
      </c>
      <c r="E764" s="46" t="s">
        <v>1349</v>
      </c>
      <c r="F764" s="46" t="s">
        <v>1350</v>
      </c>
      <c r="G764" s="46" t="s">
        <v>904</v>
      </c>
      <c r="H764" s="46">
        <v>1212</v>
      </c>
      <c r="I764" s="46" t="s">
        <v>1351</v>
      </c>
      <c r="J764" s="6">
        <v>46077</v>
      </c>
      <c r="K764" s="7" t="s">
        <v>1355</v>
      </c>
      <c r="L764" s="46" t="s">
        <v>915</v>
      </c>
      <c r="M764" s="46" t="str">
        <f>VLOOKUP(K764,[4]在职!$A:$B,2,0)</f>
        <v>01918</v>
      </c>
      <c r="N764" s="46" t="s">
        <v>1329</v>
      </c>
      <c r="O764" s="46" t="str">
        <f>VLOOKUP(K764,[4]在职!$A:$I,9,0)</f>
        <v>人资行政经理</v>
      </c>
      <c r="P764" s="83">
        <f>VLOOKUP(K764,[4]在职!$A:$D,4,0)</f>
        <v>46048</v>
      </c>
      <c r="Q764" s="102">
        <v>0</v>
      </c>
      <c r="R764" s="102">
        <v>0</v>
      </c>
      <c r="S764" s="7">
        <v>0</v>
      </c>
    </row>
    <row r="765" ht="16.5" hidden="1" spans="1:19">
      <c r="A765" s="46">
        <v>763</v>
      </c>
      <c r="B765" s="46" t="s">
        <v>39</v>
      </c>
      <c r="C765" s="46" t="str">
        <f>VLOOKUP(K765,[4]在职!$A:$E,5,0)</f>
        <v>河北</v>
      </c>
      <c r="D765" s="46" t="s">
        <v>1348</v>
      </c>
      <c r="E765" s="46" t="s">
        <v>1349</v>
      </c>
      <c r="F765" s="46" t="s">
        <v>1350</v>
      </c>
      <c r="G765" s="46" t="s">
        <v>904</v>
      </c>
      <c r="H765" s="46">
        <v>1212</v>
      </c>
      <c r="I765" s="46" t="s">
        <v>1351</v>
      </c>
      <c r="J765" s="6">
        <v>46077</v>
      </c>
      <c r="K765" s="7" t="s">
        <v>385</v>
      </c>
      <c r="L765" s="46" t="s">
        <v>915</v>
      </c>
      <c r="M765" s="46" t="str">
        <f>VLOOKUP(K765,[4]在职!$A:$B,2,0)</f>
        <v>00008</v>
      </c>
      <c r="N765" s="46">
        <f>VLOOKUP(K765,[4]在职!$A:$G,7,0)</f>
        <v>0</v>
      </c>
      <c r="O765" s="46" t="str">
        <f>VLOOKUP(K765,[4]在职!$A:$I,9,0)</f>
        <v>分公司副总经理</v>
      </c>
      <c r="P765" s="83">
        <f>VLOOKUP(K765,[4]在职!$A:$D,4,0)</f>
        <v>43598</v>
      </c>
      <c r="Q765" s="102">
        <v>0</v>
      </c>
      <c r="R765" s="102">
        <v>0</v>
      </c>
      <c r="S765" s="7">
        <v>0</v>
      </c>
    </row>
    <row r="766" ht="16.5" hidden="1" spans="1:19">
      <c r="A766" s="46">
        <v>764</v>
      </c>
      <c r="B766" s="46" t="s">
        <v>39</v>
      </c>
      <c r="C766" s="46" t="str">
        <f>VLOOKUP(K766,[4]在职!$A:$E,5,0)</f>
        <v>陕西</v>
      </c>
      <c r="D766" s="46" t="s">
        <v>1348</v>
      </c>
      <c r="E766" s="46" t="s">
        <v>1349</v>
      </c>
      <c r="F766" s="46" t="s">
        <v>1350</v>
      </c>
      <c r="G766" s="46" t="s">
        <v>904</v>
      </c>
      <c r="H766" s="46">
        <v>1212</v>
      </c>
      <c r="I766" s="46" t="s">
        <v>1351</v>
      </c>
      <c r="J766" s="6">
        <v>46077</v>
      </c>
      <c r="K766" s="7" t="s">
        <v>108</v>
      </c>
      <c r="L766" s="46" t="s">
        <v>915</v>
      </c>
      <c r="M766" s="46" t="str">
        <f>VLOOKUP(K766,[4]在职!$A:$B,2,0)</f>
        <v>00077</v>
      </c>
      <c r="N766" s="46" t="str">
        <f>VLOOKUP(K766,[4]在职!$A:$G,7,0)</f>
        <v>陕西2部</v>
      </c>
      <c r="O766" s="46" t="str">
        <f>VLOOKUP(K766,[4]在职!$A:$I,9,0)</f>
        <v>部长</v>
      </c>
      <c r="P766" s="83">
        <f>VLOOKUP(K766,[4]在职!$A:$D,4,0)</f>
        <v>44088</v>
      </c>
      <c r="Q766" s="102">
        <v>0</v>
      </c>
      <c r="R766" s="102">
        <v>0</v>
      </c>
      <c r="S766" s="7">
        <v>0</v>
      </c>
    </row>
    <row r="767" ht="16.5" hidden="1" spans="1:19">
      <c r="A767" s="46">
        <v>765</v>
      </c>
      <c r="B767" s="46" t="s">
        <v>39</v>
      </c>
      <c r="C767" s="46" t="str">
        <f>VLOOKUP(K767,[4]在职!$A:$E,5,0)</f>
        <v>湖南</v>
      </c>
      <c r="D767" s="46" t="s">
        <v>1348</v>
      </c>
      <c r="E767" s="46" t="s">
        <v>1349</v>
      </c>
      <c r="F767" s="46" t="s">
        <v>1350</v>
      </c>
      <c r="G767" s="46" t="s">
        <v>904</v>
      </c>
      <c r="H767" s="46">
        <v>1212</v>
      </c>
      <c r="I767" s="46" t="s">
        <v>1351</v>
      </c>
      <c r="J767" s="6">
        <v>46077</v>
      </c>
      <c r="K767" s="7" t="s">
        <v>179</v>
      </c>
      <c r="L767" s="46" t="s">
        <v>915</v>
      </c>
      <c r="M767" s="46" t="str">
        <f>VLOOKUP(K767,[4]在职!$A:$B,2,0)</f>
        <v>00050</v>
      </c>
      <c r="N767" s="46" t="str">
        <f>VLOOKUP(K767,[4]在职!$A:$G,7,0)</f>
        <v>湖南销售部</v>
      </c>
      <c r="O767" s="46" t="str">
        <f>VLOOKUP(K767,[4]在职!$A:$I,9,0)</f>
        <v>分公司副总经理</v>
      </c>
      <c r="P767" s="83">
        <f>VLOOKUP(K767,[4]在职!$A:$D,4,0)</f>
        <v>43997</v>
      </c>
      <c r="Q767" s="102">
        <v>0</v>
      </c>
      <c r="R767" s="102">
        <v>0</v>
      </c>
      <c r="S767" s="7">
        <v>0</v>
      </c>
    </row>
    <row r="768" ht="16.5" hidden="1" spans="1:19">
      <c r="A768" s="46">
        <v>766</v>
      </c>
      <c r="B768" s="46" t="s">
        <v>39</v>
      </c>
      <c r="C768" s="46" t="str">
        <f>VLOOKUP(K768,[4]在职!$A:$E,5,0)</f>
        <v>河南</v>
      </c>
      <c r="D768" s="46" t="s">
        <v>1348</v>
      </c>
      <c r="E768" s="46" t="s">
        <v>1349</v>
      </c>
      <c r="F768" s="46" t="s">
        <v>1350</v>
      </c>
      <c r="G768" s="46" t="s">
        <v>904</v>
      </c>
      <c r="H768" s="46">
        <v>1212</v>
      </c>
      <c r="I768" s="46" t="s">
        <v>1351</v>
      </c>
      <c r="J768" s="6">
        <v>46077</v>
      </c>
      <c r="K768" s="7" t="s">
        <v>364</v>
      </c>
      <c r="L768" s="46" t="s">
        <v>915</v>
      </c>
      <c r="M768" s="46" t="str">
        <f>VLOOKUP(K768,[4]在职!$A:$B,2,0)</f>
        <v>00270</v>
      </c>
      <c r="N768" s="46" t="str">
        <f>VLOOKUP(K768,[4]在职!$A:$G,7,0)</f>
        <v>河南销售部</v>
      </c>
      <c r="O768" s="46" t="str">
        <f>VLOOKUP(K768,[4]在职!$A:$I,9,0)</f>
        <v>部长</v>
      </c>
      <c r="P768" s="83">
        <f>VLOOKUP(K768,[4]在职!$A:$D,4,0)</f>
        <v>44555</v>
      </c>
      <c r="Q768" s="102">
        <v>0</v>
      </c>
      <c r="R768" s="102">
        <v>0</v>
      </c>
      <c r="S768" s="7">
        <v>0</v>
      </c>
    </row>
    <row r="769" ht="16.5" hidden="1" spans="1:19">
      <c r="A769" s="46">
        <v>767</v>
      </c>
      <c r="B769" s="46" t="s">
        <v>39</v>
      </c>
      <c r="C769" s="46" t="str">
        <f>VLOOKUP(K769,[4]在职!$A:$E,5,0)</f>
        <v>河北</v>
      </c>
      <c r="D769" s="46" t="s">
        <v>1348</v>
      </c>
      <c r="E769" s="46" t="s">
        <v>1349</v>
      </c>
      <c r="F769" s="46" t="s">
        <v>1350</v>
      </c>
      <c r="G769" s="46" t="s">
        <v>904</v>
      </c>
      <c r="H769" s="46">
        <v>1212</v>
      </c>
      <c r="I769" s="46" t="s">
        <v>1351</v>
      </c>
      <c r="J769" s="6">
        <v>46077</v>
      </c>
      <c r="K769" s="7" t="s">
        <v>617</v>
      </c>
      <c r="L769" s="46" t="s">
        <v>915</v>
      </c>
      <c r="M769" s="46" t="str">
        <f>VLOOKUP(K769,[4]在职!$A:$B,2,0)</f>
        <v>00263</v>
      </c>
      <c r="N769" s="46" t="str">
        <f>VLOOKUP(K769,[4]在职!$A:$G,7,0)</f>
        <v>河北销售部</v>
      </c>
      <c r="O769" s="46" t="str">
        <f>VLOOKUP(K769,[4]在职!$A:$I,9,0)</f>
        <v>一星正式经理</v>
      </c>
      <c r="P769" s="83">
        <f>VLOOKUP(K769,[4]在职!$A:$D,4,0)</f>
        <v>44552</v>
      </c>
      <c r="Q769" s="102">
        <v>0</v>
      </c>
      <c r="R769" s="102">
        <v>0</v>
      </c>
      <c r="S769" s="7">
        <v>0</v>
      </c>
    </row>
    <row r="770" ht="16.5" hidden="1" spans="1:19">
      <c r="A770" s="46">
        <v>768</v>
      </c>
      <c r="B770" s="46" t="s">
        <v>39</v>
      </c>
      <c r="C770" s="46" t="s">
        <v>26</v>
      </c>
      <c r="D770" s="46" t="s">
        <v>1348</v>
      </c>
      <c r="E770" s="46" t="s">
        <v>1349</v>
      </c>
      <c r="F770" s="46" t="s">
        <v>1350</v>
      </c>
      <c r="G770" s="46" t="s">
        <v>904</v>
      </c>
      <c r="H770" s="46">
        <v>1212</v>
      </c>
      <c r="I770" s="46" t="s">
        <v>1351</v>
      </c>
      <c r="J770" s="6">
        <v>46077</v>
      </c>
      <c r="K770" s="7" t="s">
        <v>1356</v>
      </c>
      <c r="L770" s="46" t="s">
        <v>915</v>
      </c>
      <c r="M770" s="46" t="str">
        <f>VLOOKUP(K770,[4]在职!$A:$B,2,0)</f>
        <v>00043</v>
      </c>
      <c r="N770" s="46" t="s">
        <v>1357</v>
      </c>
      <c r="O770" s="46" t="str">
        <f>VLOOKUP(K770,[4]在职!$A:$I,9,0)</f>
        <v>分公司总经理</v>
      </c>
      <c r="P770" s="83">
        <f>VLOOKUP(K770,[4]在职!$A:$D,4,0)</f>
        <v>43516</v>
      </c>
      <c r="Q770" s="102">
        <v>0</v>
      </c>
      <c r="R770" s="102">
        <v>0</v>
      </c>
      <c r="S770" s="7">
        <v>0</v>
      </c>
    </row>
    <row r="771" ht="16.5" hidden="1" spans="1:19">
      <c r="A771" s="46">
        <v>769</v>
      </c>
      <c r="B771" s="46" t="s">
        <v>39</v>
      </c>
      <c r="C771" s="46" t="str">
        <f>VLOOKUP(K771,[4]在职!$A:$E,5,0)</f>
        <v>辽宁</v>
      </c>
      <c r="D771" s="46" t="s">
        <v>1348</v>
      </c>
      <c r="E771" s="46" t="s">
        <v>1349</v>
      </c>
      <c r="F771" s="46" t="s">
        <v>1350</v>
      </c>
      <c r="G771" s="46" t="s">
        <v>904</v>
      </c>
      <c r="H771" s="46">
        <v>1212</v>
      </c>
      <c r="I771" s="46" t="s">
        <v>1351</v>
      </c>
      <c r="J771" s="6">
        <v>46077</v>
      </c>
      <c r="K771" s="7" t="s">
        <v>740</v>
      </c>
      <c r="L771" s="46" t="s">
        <v>915</v>
      </c>
      <c r="M771" s="46" t="str">
        <f>VLOOKUP(K771,[4]在职!$A:$B,2,0)</f>
        <v>00016</v>
      </c>
      <c r="N771" s="46">
        <f>VLOOKUP(K771,[4]在职!$A:$G,7,0)</f>
        <v>0</v>
      </c>
      <c r="O771" s="46" t="str">
        <f>VLOOKUP(K771,[4]在职!$A:$I,9,0)</f>
        <v>分公司副总经理</v>
      </c>
      <c r="P771" s="83">
        <f>VLOOKUP(K771,[4]在职!$A:$D,4,0)</f>
        <v>43904</v>
      </c>
      <c r="Q771" s="102">
        <v>0</v>
      </c>
      <c r="R771" s="102">
        <v>0</v>
      </c>
      <c r="S771" s="7">
        <v>0</v>
      </c>
    </row>
    <row r="772" ht="16.5" hidden="1" spans="1:19">
      <c r="A772" s="46">
        <v>770</v>
      </c>
      <c r="B772" s="46" t="s">
        <v>39</v>
      </c>
      <c r="C772" s="46" t="str">
        <f>VLOOKUP(K772,[4]在职!$A:$E,5,0)</f>
        <v>甘肃</v>
      </c>
      <c r="D772" s="46" t="s">
        <v>1348</v>
      </c>
      <c r="E772" s="46" t="s">
        <v>1349</v>
      </c>
      <c r="F772" s="46" t="s">
        <v>1350</v>
      </c>
      <c r="G772" s="46" t="s">
        <v>904</v>
      </c>
      <c r="H772" s="46">
        <v>1212</v>
      </c>
      <c r="I772" s="46" t="s">
        <v>1351</v>
      </c>
      <c r="J772" s="6">
        <v>46077</v>
      </c>
      <c r="K772" s="7" t="s">
        <v>1358</v>
      </c>
      <c r="L772" s="46" t="s">
        <v>915</v>
      </c>
      <c r="M772" s="46" t="str">
        <f>VLOOKUP(K772,[4]在职!$A:$B,2,0)</f>
        <v>00248</v>
      </c>
      <c r="N772" s="46" t="s">
        <v>1359</v>
      </c>
      <c r="O772" s="46" t="str">
        <f>VLOOKUP(K772,[4]在职!$A:$I,9,0)</f>
        <v>区域拓展总监</v>
      </c>
      <c r="P772" s="83">
        <f>VLOOKUP(K772,[4]在职!$A:$D,4,0)</f>
        <v>44546</v>
      </c>
      <c r="Q772" s="102">
        <v>0</v>
      </c>
      <c r="R772" s="102">
        <v>0</v>
      </c>
      <c r="S772" s="7">
        <v>0</v>
      </c>
    </row>
    <row r="773" ht="16.5" hidden="1" spans="1:19">
      <c r="A773" s="46">
        <v>771</v>
      </c>
      <c r="B773" s="46" t="s">
        <v>39</v>
      </c>
      <c r="C773" s="46" t="str">
        <f>VLOOKUP(K773,[4]在职!$A:$E,5,0)</f>
        <v>陕西</v>
      </c>
      <c r="D773" s="46" t="s">
        <v>1348</v>
      </c>
      <c r="E773" s="46" t="s">
        <v>1349</v>
      </c>
      <c r="F773" s="46" t="s">
        <v>1350</v>
      </c>
      <c r="G773" s="46" t="s">
        <v>904</v>
      </c>
      <c r="H773" s="46">
        <v>1212</v>
      </c>
      <c r="I773" s="46" t="s">
        <v>1351</v>
      </c>
      <c r="J773" s="6">
        <v>46077</v>
      </c>
      <c r="K773" s="7" t="s">
        <v>451</v>
      </c>
      <c r="L773" s="46" t="s">
        <v>915</v>
      </c>
      <c r="M773" s="46" t="str">
        <f>VLOOKUP(K773,[4]在职!$A:$B,2,0)</f>
        <v>00090</v>
      </c>
      <c r="N773" s="46" t="str">
        <f>VLOOKUP(K773,[4]在职!$A:$G,7,0)</f>
        <v>陕西1部</v>
      </c>
      <c r="O773" s="46" t="str">
        <f>VLOOKUP(K773,[4]在职!$A:$I,9,0)</f>
        <v>部长</v>
      </c>
      <c r="P773" s="83">
        <f>VLOOKUP(K773,[4]在职!$A:$D,4,0)</f>
        <v>44153</v>
      </c>
      <c r="Q773" s="102">
        <v>0</v>
      </c>
      <c r="R773" s="102">
        <v>0</v>
      </c>
      <c r="S773" s="7">
        <v>0</v>
      </c>
    </row>
    <row r="774" ht="16.5" hidden="1" spans="1:19">
      <c r="A774" s="46">
        <v>772</v>
      </c>
      <c r="B774" s="46" t="s">
        <v>39</v>
      </c>
      <c r="C774" s="46" t="str">
        <f>VLOOKUP(K774,[4]在职!$A:$E,5,0)</f>
        <v>陕西</v>
      </c>
      <c r="D774" s="46" t="s">
        <v>1348</v>
      </c>
      <c r="E774" s="46" t="s">
        <v>1349</v>
      </c>
      <c r="F774" s="46" t="s">
        <v>1350</v>
      </c>
      <c r="G774" s="46" t="s">
        <v>904</v>
      </c>
      <c r="H774" s="46">
        <v>1212</v>
      </c>
      <c r="I774" s="46" t="s">
        <v>1351</v>
      </c>
      <c r="J774" s="6">
        <v>46077</v>
      </c>
      <c r="K774" s="7" t="s">
        <v>1143</v>
      </c>
      <c r="L774" s="46" t="s">
        <v>915</v>
      </c>
      <c r="M774" s="46" t="str">
        <f>VLOOKUP(K774,[4]在职!$A:$B,2,0)</f>
        <v>00009</v>
      </c>
      <c r="N774" s="46" t="s">
        <v>152</v>
      </c>
      <c r="O774" s="46" t="str">
        <f>VLOOKUP(K774,[4]在职!$A:$I,9,0)</f>
        <v>分公司总经理</v>
      </c>
      <c r="P774" s="83">
        <f>VLOOKUP(K774,[4]在职!$A:$D,4,0)</f>
        <v>43602</v>
      </c>
      <c r="Q774" s="102">
        <v>0</v>
      </c>
      <c r="R774" s="102">
        <v>0</v>
      </c>
      <c r="S774" s="7">
        <v>0</v>
      </c>
    </row>
    <row r="775" ht="16.5" hidden="1" spans="1:19">
      <c r="A775" s="46">
        <v>773</v>
      </c>
      <c r="B775" s="46" t="s">
        <v>39</v>
      </c>
      <c r="C775" s="46" t="str">
        <f>VLOOKUP(K775,[4]在职!$A:$E,5,0)</f>
        <v>集团职能</v>
      </c>
      <c r="D775" s="46" t="s">
        <v>1348</v>
      </c>
      <c r="E775" s="46" t="s">
        <v>1349</v>
      </c>
      <c r="F775" s="46" t="s">
        <v>1350</v>
      </c>
      <c r="G775" s="46" t="s">
        <v>904</v>
      </c>
      <c r="H775" s="46">
        <v>1212</v>
      </c>
      <c r="I775" s="46" t="s">
        <v>1351</v>
      </c>
      <c r="J775" s="6">
        <v>46077</v>
      </c>
      <c r="K775" s="7" t="s">
        <v>1360</v>
      </c>
      <c r="L775" s="46" t="s">
        <v>915</v>
      </c>
      <c r="M775" s="46" t="str">
        <f>VLOOKUP(K775,[4]在职!$A:$B,2,0)</f>
        <v>00456</v>
      </c>
      <c r="N775" s="46" t="s">
        <v>1329</v>
      </c>
      <c r="O775" s="46" t="str">
        <f>VLOOKUP(K775,[4]在职!$A:$I,9,0)</f>
        <v>运营经理</v>
      </c>
      <c r="P775" s="83">
        <f>VLOOKUP(K775,[4]在职!$A:$D,4,0)</f>
        <v>44865</v>
      </c>
      <c r="Q775" s="102">
        <v>0</v>
      </c>
      <c r="R775" s="102">
        <v>0</v>
      </c>
      <c r="S775" s="7">
        <v>0</v>
      </c>
    </row>
    <row r="776" ht="16.5" hidden="1" spans="1:19">
      <c r="A776" s="46">
        <v>774</v>
      </c>
      <c r="B776" s="46" t="s">
        <v>39</v>
      </c>
      <c r="C776" s="46" t="str">
        <f>VLOOKUP(K776,[4]在职!$A:$E,5,0)</f>
        <v>西南总部</v>
      </c>
      <c r="D776" s="46" t="s">
        <v>1348</v>
      </c>
      <c r="E776" s="46" t="s">
        <v>1349</v>
      </c>
      <c r="F776" s="46" t="s">
        <v>1350</v>
      </c>
      <c r="G776" s="46" t="s">
        <v>904</v>
      </c>
      <c r="H776" s="46">
        <v>1212</v>
      </c>
      <c r="I776" s="46" t="s">
        <v>1351</v>
      </c>
      <c r="J776" s="6">
        <v>46077</v>
      </c>
      <c r="K776" s="7" t="s">
        <v>1361</v>
      </c>
      <c r="L776" s="46" t="s">
        <v>915</v>
      </c>
      <c r="M776" s="46" t="str">
        <f>VLOOKUP(K776,[4]在职!$A:$B,2,0)</f>
        <v>00029</v>
      </c>
      <c r="N776" s="46" t="str">
        <f>VLOOKUP(K776,[4]在职!$A:$G,7,0)</f>
        <v>川东</v>
      </c>
      <c r="O776" s="46" t="str">
        <f>VLOOKUP(K776,[4]在职!$A:$I,9,0)</f>
        <v>区域拓展总监</v>
      </c>
      <c r="P776" s="83">
        <f>VLOOKUP(K776,[4]在职!$A:$D,4,0)</f>
        <v>43833</v>
      </c>
      <c r="Q776" s="102">
        <v>0</v>
      </c>
      <c r="R776" s="102">
        <v>0</v>
      </c>
      <c r="S776" s="7">
        <v>0</v>
      </c>
    </row>
    <row r="777" ht="16.5" hidden="1" spans="1:19">
      <c r="A777" s="46">
        <v>775</v>
      </c>
      <c r="B777" s="46" t="s">
        <v>39</v>
      </c>
      <c r="C777" s="46" t="str">
        <f>VLOOKUP(K777,[4]在职!$A:$E,5,0)</f>
        <v>集团职能</v>
      </c>
      <c r="D777" s="46" t="s">
        <v>1348</v>
      </c>
      <c r="E777" s="46" t="s">
        <v>1349</v>
      </c>
      <c r="F777" s="46" t="s">
        <v>1350</v>
      </c>
      <c r="G777" s="46" t="s">
        <v>904</v>
      </c>
      <c r="H777" s="46">
        <v>1212</v>
      </c>
      <c r="I777" s="46" t="s">
        <v>1351</v>
      </c>
      <c r="J777" s="6">
        <v>46077</v>
      </c>
      <c r="K777" s="7" t="s">
        <v>1362</v>
      </c>
      <c r="L777" s="46" t="s">
        <v>915</v>
      </c>
      <c r="M777" s="46" t="str">
        <f>VLOOKUP(K777,[4]在职!$A:$B,2,0)</f>
        <v>00120</v>
      </c>
      <c r="N777" s="46" t="s">
        <v>1329</v>
      </c>
      <c r="O777" s="46" t="str">
        <f>VLOOKUP(K777,[4]在职!$A:$I,9,0)</f>
        <v>技术总监</v>
      </c>
      <c r="P777" s="83">
        <f>VLOOKUP(K777,[4]在职!$A:$D,4,0)</f>
        <v>44298</v>
      </c>
      <c r="Q777" s="102">
        <v>0</v>
      </c>
      <c r="R777" s="102">
        <v>0</v>
      </c>
      <c r="S777" s="7">
        <v>0</v>
      </c>
    </row>
    <row r="778" ht="16.5" hidden="1" spans="1:19">
      <c r="A778" s="46">
        <v>776</v>
      </c>
      <c r="B778" s="46" t="s">
        <v>39</v>
      </c>
      <c r="C778" s="46" t="str">
        <f>VLOOKUP(K778,[4]在职!$A:$E,5,0)</f>
        <v>西南总部</v>
      </c>
      <c r="D778" s="46" t="s">
        <v>1348</v>
      </c>
      <c r="E778" s="46" t="s">
        <v>1349</v>
      </c>
      <c r="F778" s="46" t="s">
        <v>1350</v>
      </c>
      <c r="G778" s="46" t="s">
        <v>904</v>
      </c>
      <c r="H778" s="46">
        <v>1212</v>
      </c>
      <c r="I778" s="46" t="s">
        <v>1351</v>
      </c>
      <c r="J778" s="6">
        <v>46077</v>
      </c>
      <c r="K778" s="7" t="s">
        <v>376</v>
      </c>
      <c r="L778" s="46" t="s">
        <v>915</v>
      </c>
      <c r="M778" s="46" t="str">
        <f>VLOOKUP(K778,[4]在职!$A:$B,2,0)</f>
        <v>00204</v>
      </c>
      <c r="N778" s="46" t="str">
        <f>VLOOKUP(K778,[4]在职!$A:$G,7,0)</f>
        <v>营业三部</v>
      </c>
      <c r="O778" s="46" t="str">
        <f>VLOOKUP(K778,[4]在职!$A:$I,9,0)</f>
        <v>二星正式经理</v>
      </c>
      <c r="P778" s="83">
        <f>VLOOKUP(K778,[4]在职!$A:$D,4,0)</f>
        <v>44504</v>
      </c>
      <c r="Q778" s="102">
        <v>0</v>
      </c>
      <c r="R778" s="102">
        <v>0</v>
      </c>
      <c r="S778" s="7">
        <v>0</v>
      </c>
    </row>
    <row r="779" ht="16.5" hidden="1" spans="1:19">
      <c r="A779" s="46">
        <v>777</v>
      </c>
      <c r="B779" s="46" t="s">
        <v>39</v>
      </c>
      <c r="C779" s="46" t="str">
        <f>VLOOKUP(K779,[4]在职!$A:$E,5,0)</f>
        <v>湖北</v>
      </c>
      <c r="D779" s="46" t="s">
        <v>1348</v>
      </c>
      <c r="E779" s="46" t="s">
        <v>1349</v>
      </c>
      <c r="F779" s="46" t="s">
        <v>1350</v>
      </c>
      <c r="G779" s="46" t="s">
        <v>904</v>
      </c>
      <c r="H779" s="46">
        <v>1212</v>
      </c>
      <c r="I779" s="46" t="s">
        <v>1351</v>
      </c>
      <c r="J779" s="6">
        <v>46077</v>
      </c>
      <c r="K779" s="7" t="s">
        <v>1163</v>
      </c>
      <c r="L779" s="46" t="s">
        <v>915</v>
      </c>
      <c r="M779" s="46" t="str">
        <f>VLOOKUP(K779,[4]在职!$A:$B,2,0)</f>
        <v>00004</v>
      </c>
      <c r="N779" s="46" t="s">
        <v>79</v>
      </c>
      <c r="O779" s="46" t="str">
        <f>VLOOKUP(K779,[4]在职!$A:$I,9,0)</f>
        <v>分公司总经理</v>
      </c>
      <c r="P779" s="83">
        <f>VLOOKUP(K779,[4]在职!$A:$D,4,0)</f>
        <v>43519</v>
      </c>
      <c r="Q779" s="102">
        <v>0</v>
      </c>
      <c r="R779" s="102">
        <v>0</v>
      </c>
      <c r="S779" s="7">
        <v>0</v>
      </c>
    </row>
    <row r="780" ht="16.5" hidden="1" spans="1:19">
      <c r="A780" s="46">
        <v>778</v>
      </c>
      <c r="B780" s="46" t="s">
        <v>39</v>
      </c>
      <c r="C780" s="46" t="str">
        <f>VLOOKUP(K780,[4]在职!$A:$E,5,0)</f>
        <v>西南总部</v>
      </c>
      <c r="D780" s="46" t="s">
        <v>1348</v>
      </c>
      <c r="E780" s="46" t="s">
        <v>1349</v>
      </c>
      <c r="F780" s="46" t="s">
        <v>1350</v>
      </c>
      <c r="G780" s="46" t="s">
        <v>904</v>
      </c>
      <c r="H780" s="46">
        <v>1212</v>
      </c>
      <c r="I780" s="46" t="s">
        <v>1351</v>
      </c>
      <c r="J780" s="6">
        <v>46077</v>
      </c>
      <c r="K780" s="7" t="s">
        <v>427</v>
      </c>
      <c r="L780" s="46" t="s">
        <v>915</v>
      </c>
      <c r="M780" s="46" t="str">
        <f>VLOOKUP(K780,[4]在职!$A:$B,2,0)</f>
        <v>00011</v>
      </c>
      <c r="N780" s="46" t="str">
        <f>VLOOKUP(K780,[4]在职!$A:$G,7,0)</f>
        <v>营业一部</v>
      </c>
      <c r="O780" s="46" t="str">
        <f>VLOOKUP(K780,[4]在职!$A:$I,9,0)</f>
        <v>部长</v>
      </c>
      <c r="P780" s="83">
        <f>VLOOKUP(K780,[4]在职!$A:$D,4,0)</f>
        <v>43743</v>
      </c>
      <c r="Q780" s="102">
        <v>0</v>
      </c>
      <c r="R780" s="102">
        <v>0</v>
      </c>
      <c r="S780" s="7">
        <v>0</v>
      </c>
    </row>
    <row r="781" ht="16.5" hidden="1" spans="1:19">
      <c r="A781" s="46">
        <v>779</v>
      </c>
      <c r="B781" s="46" t="s">
        <v>39</v>
      </c>
      <c r="C781" s="46" t="str">
        <f>VLOOKUP(K781,[4]在职!$A:$E,5,0)</f>
        <v>集团职能</v>
      </c>
      <c r="D781" s="46" t="s">
        <v>1348</v>
      </c>
      <c r="E781" s="46" t="s">
        <v>1349</v>
      </c>
      <c r="F781" s="46" t="s">
        <v>1350</v>
      </c>
      <c r="G781" s="46" t="s">
        <v>904</v>
      </c>
      <c r="H781" s="46">
        <v>1212</v>
      </c>
      <c r="I781" s="46" t="s">
        <v>1351</v>
      </c>
      <c r="J781" s="6">
        <v>46077</v>
      </c>
      <c r="K781" s="7" t="s">
        <v>1363</v>
      </c>
      <c r="L781" s="46" t="s">
        <v>915</v>
      </c>
      <c r="M781" s="46" t="str">
        <f>VLOOKUP(K781,[4]在职!$A:$B,2,0)</f>
        <v>00003</v>
      </c>
      <c r="N781" s="46" t="s">
        <v>1329</v>
      </c>
      <c r="O781" s="46" t="str">
        <f>VLOOKUP(K781,[4]在职!$A:$I,9,0)</f>
        <v>风控总监</v>
      </c>
      <c r="P781" s="83">
        <f>VLOOKUP(K781,[4]在职!$A:$D,4,0)</f>
        <v>43466</v>
      </c>
      <c r="Q781" s="102">
        <v>0</v>
      </c>
      <c r="R781" s="102">
        <v>0</v>
      </c>
      <c r="S781" s="7">
        <v>0</v>
      </c>
    </row>
    <row r="782" ht="16.5" hidden="1" spans="1:19">
      <c r="A782" s="46">
        <v>780</v>
      </c>
      <c r="B782" s="46" t="s">
        <v>39</v>
      </c>
      <c r="C782" s="46" t="str">
        <f>VLOOKUP(K782,[4]在职!$A:$E,5,0)</f>
        <v>内蒙古</v>
      </c>
      <c r="D782" s="46" t="s">
        <v>1348</v>
      </c>
      <c r="E782" s="46" t="s">
        <v>1349</v>
      </c>
      <c r="F782" s="46" t="s">
        <v>1350</v>
      </c>
      <c r="G782" s="46" t="s">
        <v>904</v>
      </c>
      <c r="H782" s="46">
        <v>1212</v>
      </c>
      <c r="I782" s="46" t="s">
        <v>1351</v>
      </c>
      <c r="J782" s="6">
        <v>46077</v>
      </c>
      <c r="K782" s="7" t="s">
        <v>1364</v>
      </c>
      <c r="L782" s="46" t="s">
        <v>915</v>
      </c>
      <c r="M782" s="46" t="str">
        <f>VLOOKUP(K782,[4]在职!$A:$B,2,0)</f>
        <v>00154</v>
      </c>
      <c r="N782" s="46" t="s">
        <v>1365</v>
      </c>
      <c r="O782" s="46" t="str">
        <f>VLOOKUP(K782,[4]在职!$A:$I,9,0)</f>
        <v>分公司总经理</v>
      </c>
      <c r="P782" s="83">
        <f>VLOOKUP(K782,[4]在职!$A:$D,4,0)</f>
        <v>44415</v>
      </c>
      <c r="Q782" s="102">
        <v>0</v>
      </c>
      <c r="R782" s="102">
        <v>0</v>
      </c>
      <c r="S782" s="7">
        <v>0</v>
      </c>
    </row>
    <row r="783" ht="16.5" hidden="1" spans="1:19">
      <c r="A783" s="46">
        <v>781</v>
      </c>
      <c r="B783" s="46" t="s">
        <v>39</v>
      </c>
      <c r="C783" s="46" t="str">
        <f>VLOOKUP(K783,[4]在职!$A:$E,5,0)</f>
        <v>山西</v>
      </c>
      <c r="D783" s="46" t="s">
        <v>1348</v>
      </c>
      <c r="E783" s="46" t="s">
        <v>1349</v>
      </c>
      <c r="F783" s="46" t="s">
        <v>1350</v>
      </c>
      <c r="G783" s="46" t="s">
        <v>904</v>
      </c>
      <c r="H783" s="46">
        <v>1212</v>
      </c>
      <c r="I783" s="46" t="s">
        <v>1351</v>
      </c>
      <c r="J783" s="6">
        <v>46077</v>
      </c>
      <c r="K783" s="7" t="s">
        <v>587</v>
      </c>
      <c r="L783" s="46" t="s">
        <v>915</v>
      </c>
      <c r="M783" s="46" t="str">
        <f>VLOOKUP(K783,[4]在职!$A:$B,2,0)</f>
        <v>00160</v>
      </c>
      <c r="N783" s="46" t="str">
        <f>VLOOKUP(K783,[4]在职!$A:$G,7,0)</f>
        <v>山西销售部</v>
      </c>
      <c r="O783" s="46" t="str">
        <f>VLOOKUP(K783,[4]在职!$A:$I,9,0)</f>
        <v>部长</v>
      </c>
      <c r="P783" s="83">
        <f>VLOOKUP(K783,[4]在职!$A:$D,4,0)</f>
        <v>44420</v>
      </c>
      <c r="Q783" s="102">
        <v>0</v>
      </c>
      <c r="R783" s="102">
        <v>0</v>
      </c>
      <c r="S783" s="7">
        <v>0</v>
      </c>
    </row>
    <row r="784" ht="16.5" hidden="1" spans="1:19">
      <c r="A784" s="46">
        <v>782</v>
      </c>
      <c r="B784" s="46" t="s">
        <v>39</v>
      </c>
      <c r="C784" s="46" t="str">
        <f>VLOOKUP(K784,[4]在职!$A:$E,5,0)</f>
        <v>西南总部</v>
      </c>
      <c r="D784" s="46" t="s">
        <v>1348</v>
      </c>
      <c r="E784" s="46" t="s">
        <v>1349</v>
      </c>
      <c r="F784" s="46" t="s">
        <v>1350</v>
      </c>
      <c r="G784" s="46" t="s">
        <v>904</v>
      </c>
      <c r="H784" s="46">
        <v>1212</v>
      </c>
      <c r="I784" s="46" t="s">
        <v>1351</v>
      </c>
      <c r="J784" s="6">
        <v>46077</v>
      </c>
      <c r="K784" s="7" t="s">
        <v>602</v>
      </c>
      <c r="L784" s="46" t="s">
        <v>915</v>
      </c>
      <c r="M784" s="46" t="str">
        <f>VLOOKUP(K784,[4]在职!$A:$B,2,0)</f>
        <v>00012</v>
      </c>
      <c r="N784" s="46" t="str">
        <f>VLOOKUP(K784,[4]在职!$A:$G,7,0)</f>
        <v>营业五部</v>
      </c>
      <c r="O784" s="46" t="str">
        <f>VLOOKUP(K784,[4]在职!$A:$I,9,0)</f>
        <v>二星正式经理</v>
      </c>
      <c r="P784" s="83">
        <f>VLOOKUP(K784,[4]在职!$A:$D,4,0)</f>
        <v>43757</v>
      </c>
      <c r="Q784" s="102">
        <v>0</v>
      </c>
      <c r="R784" s="102">
        <v>0</v>
      </c>
      <c r="S784" s="7">
        <v>0</v>
      </c>
    </row>
    <row r="785" ht="16.5" hidden="1" spans="1:19">
      <c r="A785" s="46">
        <v>783</v>
      </c>
      <c r="B785" s="46" t="s">
        <v>39</v>
      </c>
      <c r="C785" s="46" t="str">
        <f>VLOOKUP(K785,[4]在职!$A:$E,5,0)</f>
        <v>西南总部</v>
      </c>
      <c r="D785" s="46" t="s">
        <v>1348</v>
      </c>
      <c r="E785" s="46" t="s">
        <v>1349</v>
      </c>
      <c r="F785" s="46" t="s">
        <v>1350</v>
      </c>
      <c r="G785" s="46" t="s">
        <v>904</v>
      </c>
      <c r="H785" s="46">
        <v>1212</v>
      </c>
      <c r="I785" s="46" t="s">
        <v>1351</v>
      </c>
      <c r="J785" s="6">
        <v>46077</v>
      </c>
      <c r="K785" s="7" t="s">
        <v>1366</v>
      </c>
      <c r="L785" s="46" t="s">
        <v>915</v>
      </c>
      <c r="M785" s="46" t="str">
        <f>VLOOKUP(K785,[4]在职!$A:$B,2,0)</f>
        <v>00770</v>
      </c>
      <c r="N785" s="46" t="str">
        <f>VLOOKUP(K785,[4]在职!$A:$G,7,0)</f>
        <v>川西</v>
      </c>
      <c r="O785" s="46" t="str">
        <f>VLOOKUP(K785,[4]在职!$A:$I,9,0)</f>
        <v>区域拓展总监</v>
      </c>
      <c r="P785" s="83">
        <f>VLOOKUP(K785,[4]在职!$A:$D,4,0)</f>
        <v>45244</v>
      </c>
      <c r="Q785" s="102">
        <v>0</v>
      </c>
      <c r="R785" s="102">
        <v>0</v>
      </c>
      <c r="S785" s="7">
        <v>0</v>
      </c>
    </row>
    <row r="786" ht="16.5" hidden="1" spans="1:19">
      <c r="A786" s="46">
        <v>784</v>
      </c>
      <c r="B786" s="46" t="s">
        <v>39</v>
      </c>
      <c r="C786" s="46" t="str">
        <f>VLOOKUP(K786,[4]在职!$A:$E,5,0)</f>
        <v>西南总部</v>
      </c>
      <c r="D786" s="46" t="s">
        <v>1348</v>
      </c>
      <c r="E786" s="46" t="s">
        <v>1349</v>
      </c>
      <c r="F786" s="46" t="s">
        <v>1350</v>
      </c>
      <c r="G786" s="46" t="s">
        <v>904</v>
      </c>
      <c r="H786" s="46">
        <v>1212</v>
      </c>
      <c r="I786" s="46" t="s">
        <v>1351</v>
      </c>
      <c r="J786" s="6">
        <v>46077</v>
      </c>
      <c r="K786" s="7" t="s">
        <v>1367</v>
      </c>
      <c r="L786" s="46" t="s">
        <v>915</v>
      </c>
      <c r="M786" s="46" t="str">
        <f>VLOOKUP(K786,[4]在职!$A:$B,2,0)</f>
        <v>00416</v>
      </c>
      <c r="N786" s="46" t="str">
        <f>VLOOKUP(K786,[4]在职!$A:$G,7,0)</f>
        <v>川南</v>
      </c>
      <c r="O786" s="46" t="str">
        <f>VLOOKUP(K786,[4]在职!$A:$I,9,0)</f>
        <v>区域拓展总监</v>
      </c>
      <c r="P786" s="83">
        <f>VLOOKUP(K786,[4]在职!$A:$D,4,0)</f>
        <v>44805</v>
      </c>
      <c r="Q786" s="102">
        <v>0</v>
      </c>
      <c r="R786" s="102">
        <v>0</v>
      </c>
      <c r="S786" s="7">
        <v>0</v>
      </c>
    </row>
    <row r="787" ht="16.5" hidden="1" spans="1:19">
      <c r="A787" s="46">
        <v>785</v>
      </c>
      <c r="B787" s="46" t="s">
        <v>39</v>
      </c>
      <c r="C787" s="46" t="str">
        <f>VLOOKUP(K787,[4]在职!$A:$E,5,0)</f>
        <v>西南总部</v>
      </c>
      <c r="D787" s="46" t="s">
        <v>1348</v>
      </c>
      <c r="E787" s="46" t="s">
        <v>1349</v>
      </c>
      <c r="F787" s="46" t="s">
        <v>1350</v>
      </c>
      <c r="G787" s="46" t="s">
        <v>904</v>
      </c>
      <c r="H787" s="46">
        <v>1212</v>
      </c>
      <c r="I787" s="46" t="s">
        <v>1351</v>
      </c>
      <c r="J787" s="6">
        <v>46077</v>
      </c>
      <c r="K787" s="7" t="s">
        <v>1368</v>
      </c>
      <c r="L787" s="46" t="s">
        <v>915</v>
      </c>
      <c r="M787" s="46" t="str">
        <f>VLOOKUP(K787,[4]在职!$A:$B,2,0)</f>
        <v>00590</v>
      </c>
      <c r="N787" s="46" t="str">
        <f>VLOOKUP(K787,[4]在职!$A:$G,7,0)</f>
        <v>川东</v>
      </c>
      <c r="O787" s="46" t="str">
        <f>VLOOKUP(K787,[4]在职!$A:$I,9,0)</f>
        <v>二星拓展专员</v>
      </c>
      <c r="P787" s="83">
        <f>VLOOKUP(K787,[4]在职!$A:$D,4,0)</f>
        <v>44982</v>
      </c>
      <c r="Q787" s="102">
        <v>0</v>
      </c>
      <c r="R787" s="102">
        <v>0</v>
      </c>
      <c r="S787" s="7">
        <v>0</v>
      </c>
    </row>
    <row r="788" ht="16.5" hidden="1" spans="1:19">
      <c r="A788" s="46">
        <v>786</v>
      </c>
      <c r="B788" s="46" t="s">
        <v>39</v>
      </c>
      <c r="C788" s="46" t="str">
        <f>VLOOKUP(K788,[4]在职!$A:$E,5,0)</f>
        <v>湖南</v>
      </c>
      <c r="D788" s="46" t="s">
        <v>1348</v>
      </c>
      <c r="E788" s="46" t="s">
        <v>1349</v>
      </c>
      <c r="F788" s="46" t="s">
        <v>1350</v>
      </c>
      <c r="G788" s="46" t="s">
        <v>904</v>
      </c>
      <c r="H788" s="46">
        <v>1212</v>
      </c>
      <c r="I788" s="46" t="s">
        <v>1351</v>
      </c>
      <c r="J788" s="6">
        <v>46077</v>
      </c>
      <c r="K788" s="7" t="s">
        <v>1369</v>
      </c>
      <c r="L788" s="46" t="s">
        <v>915</v>
      </c>
      <c r="M788" s="46" t="str">
        <f>VLOOKUP(K788,[4]在职!$A:$B,2,0)</f>
        <v>00235</v>
      </c>
      <c r="N788" s="46" t="s">
        <v>1370</v>
      </c>
      <c r="O788" s="46" t="str">
        <f>VLOOKUP(K788,[4]在职!$A:$I,9,0)</f>
        <v>二星拓展专员</v>
      </c>
      <c r="P788" s="83">
        <f>VLOOKUP(K788,[4]在职!$A:$D,4,0)</f>
        <v>44543</v>
      </c>
      <c r="Q788" s="102">
        <v>0</v>
      </c>
      <c r="R788" s="102">
        <v>0</v>
      </c>
      <c r="S788" s="7">
        <v>0</v>
      </c>
    </row>
    <row r="789" ht="16.5" hidden="1" spans="1:19">
      <c r="A789" s="46">
        <v>787</v>
      </c>
      <c r="B789" s="46" t="s">
        <v>39</v>
      </c>
      <c r="C789" s="46" t="str">
        <f>VLOOKUP(K789,[4]在职!$A:$E,5,0)</f>
        <v>西南总部</v>
      </c>
      <c r="D789" s="46" t="s">
        <v>1348</v>
      </c>
      <c r="E789" s="46" t="s">
        <v>1349</v>
      </c>
      <c r="F789" s="46" t="s">
        <v>1350</v>
      </c>
      <c r="G789" s="46" t="s">
        <v>904</v>
      </c>
      <c r="H789" s="46">
        <v>1212</v>
      </c>
      <c r="I789" s="46" t="s">
        <v>1351</v>
      </c>
      <c r="J789" s="6">
        <v>46077</v>
      </c>
      <c r="K789" s="7" t="s">
        <v>407</v>
      </c>
      <c r="L789" s="46" t="s">
        <v>915</v>
      </c>
      <c r="M789" s="46" t="str">
        <f>VLOOKUP(K789,[4]在职!$A:$B,2,0)</f>
        <v>00345</v>
      </c>
      <c r="N789" s="46" t="str">
        <f>VLOOKUP(K789,[4]在职!$A:$G,7,0)</f>
        <v>营业七部</v>
      </c>
      <c r="O789" s="46" t="str">
        <f>VLOOKUP(K789,[4]在职!$A:$I,9,0)</f>
        <v>部长</v>
      </c>
      <c r="P789" s="83">
        <f>VLOOKUP(K789,[4]在职!$A:$D,4,0)</f>
        <v>44721</v>
      </c>
      <c r="Q789" s="102">
        <v>0</v>
      </c>
      <c r="R789" s="102">
        <v>0</v>
      </c>
      <c r="S789" s="7">
        <v>0</v>
      </c>
    </row>
    <row r="790" ht="16.5" hidden="1" spans="1:19">
      <c r="A790" s="46">
        <v>788</v>
      </c>
      <c r="B790" s="46" t="s">
        <v>39</v>
      </c>
      <c r="C790" s="46" t="str">
        <f>VLOOKUP(K790,[4]在职!$A:$E,5,0)</f>
        <v>集团职能</v>
      </c>
      <c r="D790" s="46" t="s">
        <v>1348</v>
      </c>
      <c r="E790" s="46" t="s">
        <v>1349</v>
      </c>
      <c r="F790" s="46" t="s">
        <v>1350</v>
      </c>
      <c r="G790" s="46" t="s">
        <v>904</v>
      </c>
      <c r="H790" s="46">
        <v>1212</v>
      </c>
      <c r="I790" s="46" t="s">
        <v>1351</v>
      </c>
      <c r="J790" s="6">
        <v>46077</v>
      </c>
      <c r="K790" s="7" t="s">
        <v>903</v>
      </c>
      <c r="L790" s="46" t="s">
        <v>915</v>
      </c>
      <c r="M790" s="46" t="str">
        <f>VLOOKUP(K790,[4]在职!$A:$B,2,0)</f>
        <v>00585</v>
      </c>
      <c r="N790" s="46" t="s">
        <v>1329</v>
      </c>
      <c r="O790" s="46" t="str">
        <f>VLOOKUP(K790,[4]在职!$A:$I,9,0)</f>
        <v>业绩增长部经理</v>
      </c>
      <c r="P790" s="83">
        <f>VLOOKUP(K790,[4]在职!$A:$D,4,0)</f>
        <v>44978</v>
      </c>
      <c r="Q790" s="102">
        <v>0</v>
      </c>
      <c r="R790" s="102">
        <v>0</v>
      </c>
      <c r="S790" s="7">
        <v>0</v>
      </c>
    </row>
    <row r="791" ht="16.5" hidden="1" spans="1:19">
      <c r="A791" s="46">
        <v>789</v>
      </c>
      <c r="B791" s="46" t="s">
        <v>39</v>
      </c>
      <c r="C791" s="46" t="str">
        <f>VLOOKUP(K791,[4]在职!$A:$E,5,0)</f>
        <v>集团职能</v>
      </c>
      <c r="D791" s="46" t="s">
        <v>1348</v>
      </c>
      <c r="E791" s="46" t="s">
        <v>1349</v>
      </c>
      <c r="F791" s="46" t="s">
        <v>1350</v>
      </c>
      <c r="G791" s="46" t="s">
        <v>904</v>
      </c>
      <c r="H791" s="46">
        <v>1212</v>
      </c>
      <c r="I791" s="46" t="s">
        <v>1351</v>
      </c>
      <c r="J791" s="6">
        <v>46077</v>
      </c>
      <c r="K791" s="7" t="s">
        <v>1371</v>
      </c>
      <c r="L791" s="46" t="s">
        <v>915</v>
      </c>
      <c r="M791" s="46" t="str">
        <f>VLOOKUP(K791,[4]在职!$A:$B,2,0)</f>
        <v>00828</v>
      </c>
      <c r="N791" s="46" t="s">
        <v>1329</v>
      </c>
      <c r="O791" s="46" t="str">
        <f>VLOOKUP(K791,[4]在职!$A:$I,9,0)</f>
        <v>教培主管</v>
      </c>
      <c r="P791" s="83">
        <f>VLOOKUP(K791,[4]在职!$A:$D,4,0)</f>
        <v>45345</v>
      </c>
      <c r="Q791" s="102">
        <v>0</v>
      </c>
      <c r="R791" s="102">
        <v>0</v>
      </c>
      <c r="S791" s="7">
        <v>0</v>
      </c>
    </row>
    <row r="792" ht="16.5" hidden="1" spans="1:19">
      <c r="A792" s="46">
        <v>790</v>
      </c>
      <c r="B792" s="46" t="s">
        <v>39</v>
      </c>
      <c r="C792" s="46" t="str">
        <f>VLOOKUP(K792,[4]在职!$A:$E,5,0)</f>
        <v>西南总部</v>
      </c>
      <c r="D792" s="46" t="s">
        <v>1348</v>
      </c>
      <c r="E792" s="46" t="s">
        <v>1349</v>
      </c>
      <c r="F792" s="46" t="s">
        <v>1350</v>
      </c>
      <c r="G792" s="46" t="s">
        <v>904</v>
      </c>
      <c r="H792" s="46">
        <v>1212</v>
      </c>
      <c r="I792" s="46" t="s">
        <v>1351</v>
      </c>
      <c r="J792" s="6">
        <v>46077</v>
      </c>
      <c r="K792" s="7" t="s">
        <v>322</v>
      </c>
      <c r="L792" s="46" t="s">
        <v>915</v>
      </c>
      <c r="M792" s="46" t="str">
        <f>VLOOKUP(K792,[4]在职!$A:$B,2,0)</f>
        <v>00087</v>
      </c>
      <c r="N792" s="46" t="str">
        <f>VLOOKUP(K792,[4]在职!$A:$G,7,0)</f>
        <v>营业六部</v>
      </c>
      <c r="O792" s="46" t="str">
        <f>VLOOKUP(K792,[4]在职!$A:$I,9,0)</f>
        <v>部长</v>
      </c>
      <c r="P792" s="83">
        <f>VLOOKUP(K792,[4]在职!$A:$D,4,0)</f>
        <v>44139</v>
      </c>
      <c r="Q792" s="102">
        <v>0</v>
      </c>
      <c r="R792" s="102">
        <v>0</v>
      </c>
      <c r="S792" s="7">
        <v>0</v>
      </c>
    </row>
    <row r="793" ht="16.5" hidden="1" spans="1:19">
      <c r="A793" s="46">
        <v>791</v>
      </c>
      <c r="B793" s="46" t="s">
        <v>39</v>
      </c>
      <c r="C793" s="46" t="str">
        <f>VLOOKUP(K793,[4]在职!$A:$E,5,0)</f>
        <v>河南</v>
      </c>
      <c r="D793" s="46" t="s">
        <v>1348</v>
      </c>
      <c r="E793" s="46" t="s">
        <v>1349</v>
      </c>
      <c r="F793" s="46" t="s">
        <v>1350</v>
      </c>
      <c r="G793" s="46" t="s">
        <v>904</v>
      </c>
      <c r="H793" s="46">
        <v>1212</v>
      </c>
      <c r="I793" s="46" t="s">
        <v>1351</v>
      </c>
      <c r="J793" s="6">
        <v>46077</v>
      </c>
      <c r="K793" s="7" t="s">
        <v>380</v>
      </c>
      <c r="L793" s="46" t="s">
        <v>915</v>
      </c>
      <c r="M793" s="46" t="str">
        <f>VLOOKUP(K793,[4]在职!$A:$B,2,0)</f>
        <v>00010</v>
      </c>
      <c r="N793" s="46">
        <f>VLOOKUP(K793,[4]在职!$A:$G,7,0)</f>
        <v>0</v>
      </c>
      <c r="O793" s="46" t="str">
        <f>VLOOKUP(K793,[4]在职!$A:$I,9,0)</f>
        <v>分公司副总经理</v>
      </c>
      <c r="P793" s="83">
        <f>VLOOKUP(K793,[4]在职!$A:$D,4,0)</f>
        <v>43743</v>
      </c>
      <c r="Q793" s="102">
        <v>0</v>
      </c>
      <c r="R793" s="102">
        <v>0</v>
      </c>
      <c r="S793" s="7">
        <v>0</v>
      </c>
    </row>
    <row r="794" ht="16.5" hidden="1" spans="1:19">
      <c r="A794" s="46">
        <v>792</v>
      </c>
      <c r="B794" s="46" t="s">
        <v>39</v>
      </c>
      <c r="C794" s="46" t="str">
        <f>VLOOKUP(K794,[4]在职!$A:$E,5,0)</f>
        <v>山东</v>
      </c>
      <c r="D794" s="46" t="s">
        <v>1348</v>
      </c>
      <c r="E794" s="46" t="s">
        <v>1349</v>
      </c>
      <c r="F794" s="46" t="s">
        <v>1350</v>
      </c>
      <c r="G794" s="46" t="s">
        <v>904</v>
      </c>
      <c r="H794" s="46">
        <v>1212</v>
      </c>
      <c r="I794" s="46" t="s">
        <v>1351</v>
      </c>
      <c r="J794" s="6">
        <v>46077</v>
      </c>
      <c r="K794" s="7" t="s">
        <v>444</v>
      </c>
      <c r="L794" s="46" t="s">
        <v>915</v>
      </c>
      <c r="M794" s="46" t="str">
        <f>VLOOKUP(K794,[4]在职!$A:$B,2,0)</f>
        <v>00166</v>
      </c>
      <c r="N794" s="46" t="str">
        <f>VLOOKUP(K794,[4]在职!$A:$G,7,0)</f>
        <v>山东销售部</v>
      </c>
      <c r="O794" s="46" t="str">
        <f>VLOOKUP(K794,[4]在职!$A:$I,9,0)</f>
        <v>二星正式经理</v>
      </c>
      <c r="P794" s="83">
        <f>VLOOKUP(K794,[4]在职!$A:$D,4,0)</f>
        <v>44426</v>
      </c>
      <c r="Q794" s="102">
        <v>0</v>
      </c>
      <c r="R794" s="102">
        <v>0</v>
      </c>
      <c r="S794" s="7">
        <v>0</v>
      </c>
    </row>
    <row r="795" ht="16.5" hidden="1" spans="1:19">
      <c r="A795" s="46">
        <v>793</v>
      </c>
      <c r="B795" s="46" t="s">
        <v>39</v>
      </c>
      <c r="C795" s="46" t="str">
        <f>VLOOKUP(K795,[4]在职!$A:$E,5,0)</f>
        <v>山东</v>
      </c>
      <c r="D795" s="46" t="s">
        <v>1348</v>
      </c>
      <c r="E795" s="46" t="s">
        <v>1349</v>
      </c>
      <c r="F795" s="46" t="s">
        <v>1350</v>
      </c>
      <c r="G795" s="46" t="s">
        <v>904</v>
      </c>
      <c r="H795" s="46">
        <v>1212</v>
      </c>
      <c r="I795" s="46" t="s">
        <v>1351</v>
      </c>
      <c r="J795" s="6">
        <v>46077</v>
      </c>
      <c r="K795" s="7" t="s">
        <v>1372</v>
      </c>
      <c r="L795" s="46" t="s">
        <v>915</v>
      </c>
      <c r="M795" s="46" t="str">
        <f>VLOOKUP(K795,[4]在职!$A:$B,2,0)</f>
        <v>00315</v>
      </c>
      <c r="N795" s="46" t="s">
        <v>1373</v>
      </c>
      <c r="O795" s="46" t="str">
        <f>VLOOKUP(K795,[4]在职!$A:$I,9,0)</f>
        <v>区域拓展总监</v>
      </c>
      <c r="P795" s="83">
        <f>VLOOKUP(K795,[4]在职!$A:$D,4,0)</f>
        <v>43974</v>
      </c>
      <c r="Q795" s="102">
        <v>0</v>
      </c>
      <c r="R795" s="102">
        <v>0</v>
      </c>
      <c r="S795" s="7">
        <v>0</v>
      </c>
    </row>
    <row r="796" ht="16.5" hidden="1" spans="1:19">
      <c r="A796" s="46">
        <v>794</v>
      </c>
      <c r="B796" s="46" t="s">
        <v>39</v>
      </c>
      <c r="C796" s="46" t="str">
        <f>VLOOKUP(K796,[4]在职!$A:$E,5,0)</f>
        <v>河北</v>
      </c>
      <c r="D796" s="46" t="s">
        <v>1348</v>
      </c>
      <c r="E796" s="46" t="s">
        <v>1349</v>
      </c>
      <c r="F796" s="46" t="s">
        <v>1350</v>
      </c>
      <c r="G796" s="46" t="s">
        <v>904</v>
      </c>
      <c r="H796" s="46">
        <v>1212</v>
      </c>
      <c r="I796" s="46" t="s">
        <v>1351</v>
      </c>
      <c r="J796" s="6">
        <v>46077</v>
      </c>
      <c r="K796" s="7" t="s">
        <v>1374</v>
      </c>
      <c r="L796" s="46" t="s">
        <v>915</v>
      </c>
      <c r="M796" s="46" t="str">
        <f>VLOOKUP(K796,[4]在职!$A:$B,2,0)</f>
        <v>00039</v>
      </c>
      <c r="N796" s="46" t="s">
        <v>1357</v>
      </c>
      <c r="O796" s="46" t="str">
        <f>VLOOKUP(K796,[4]在职!$A:$I,9,0)</f>
        <v>分公司总经理</v>
      </c>
      <c r="P796" s="83">
        <f>VLOOKUP(K796,[4]在职!$A:$D,4,0)</f>
        <v>43721</v>
      </c>
      <c r="Q796" s="102">
        <v>0</v>
      </c>
      <c r="R796" s="102">
        <v>0</v>
      </c>
      <c r="S796" s="7">
        <v>0</v>
      </c>
    </row>
    <row r="797" ht="16.5" hidden="1" spans="1:19">
      <c r="A797" s="46">
        <v>795</v>
      </c>
      <c r="B797" s="46" t="s">
        <v>39</v>
      </c>
      <c r="C797" s="46" t="str">
        <f>VLOOKUP(K797,[4]在职!$A:$E,5,0)</f>
        <v>湖南</v>
      </c>
      <c r="D797" s="46" t="s">
        <v>1348</v>
      </c>
      <c r="E797" s="46" t="s">
        <v>1349</v>
      </c>
      <c r="F797" s="46" t="s">
        <v>1350</v>
      </c>
      <c r="G797" s="46" t="s">
        <v>904</v>
      </c>
      <c r="H797" s="46">
        <v>1212</v>
      </c>
      <c r="I797" s="46" t="s">
        <v>1351</v>
      </c>
      <c r="J797" s="6">
        <v>46077</v>
      </c>
      <c r="K797" s="7" t="s">
        <v>336</v>
      </c>
      <c r="L797" s="46" t="s">
        <v>915</v>
      </c>
      <c r="M797" s="46" t="str">
        <f>VLOOKUP(K797,[4]在职!$A:$B,2,0)</f>
        <v>00288</v>
      </c>
      <c r="N797" s="46" t="str">
        <f>VLOOKUP(K797,[4]在职!$A:$G,7,0)</f>
        <v>湖南销售部</v>
      </c>
      <c r="O797" s="46" t="str">
        <f>VLOOKUP(K797,[4]在职!$A:$I,9,0)</f>
        <v>二星正式经理</v>
      </c>
      <c r="P797" s="83">
        <f>VLOOKUP(K797,[4]在职!$A:$D,4,0)</f>
        <v>44578</v>
      </c>
      <c r="Q797" s="102">
        <v>0</v>
      </c>
      <c r="R797" s="102">
        <v>0</v>
      </c>
      <c r="S797" s="7">
        <v>0</v>
      </c>
    </row>
    <row r="798" ht="16.5" hidden="1" spans="1:19">
      <c r="A798" s="46">
        <v>796</v>
      </c>
      <c r="B798" s="46" t="s">
        <v>39</v>
      </c>
      <c r="C798" s="46" t="str">
        <f>VLOOKUP(K798,[4]在职!$A:$E,5,0)</f>
        <v>湖北</v>
      </c>
      <c r="D798" s="46" t="s">
        <v>1348</v>
      </c>
      <c r="E798" s="46" t="s">
        <v>1349</v>
      </c>
      <c r="F798" s="46" t="s">
        <v>1350</v>
      </c>
      <c r="G798" s="46" t="s">
        <v>904</v>
      </c>
      <c r="H798" s="46">
        <v>1212</v>
      </c>
      <c r="I798" s="46" t="s">
        <v>1351</v>
      </c>
      <c r="J798" s="6">
        <v>46077</v>
      </c>
      <c r="K798" s="7" t="s">
        <v>89</v>
      </c>
      <c r="L798" s="46" t="s">
        <v>915</v>
      </c>
      <c r="M798" s="46" t="str">
        <f>VLOOKUP(K798,[4]在职!$A:$B,2,0)</f>
        <v>00549</v>
      </c>
      <c r="N798" s="46" t="str">
        <f>VLOOKUP(K798,[4]在职!$A:$G,7,0)</f>
        <v>湖北2部</v>
      </c>
      <c r="O798" s="46" t="str">
        <f>VLOOKUP(K798,[4]在职!$A:$I,9,0)</f>
        <v>部长</v>
      </c>
      <c r="P798" s="83">
        <f>VLOOKUP(K798,[4]在职!$A:$D,4,0)</f>
        <v>44933</v>
      </c>
      <c r="Q798" s="102">
        <v>0</v>
      </c>
      <c r="R798" s="102">
        <v>0</v>
      </c>
      <c r="S798" s="7">
        <v>0</v>
      </c>
    </row>
    <row r="799" ht="16.5" hidden="1" spans="1:19">
      <c r="A799" s="46">
        <v>797</v>
      </c>
      <c r="B799" s="46" t="s">
        <v>39</v>
      </c>
      <c r="C799" s="46" t="str">
        <f>VLOOKUP(K799,[4]在职!$A:$E,5,0)</f>
        <v>集团职能</v>
      </c>
      <c r="D799" s="46" t="s">
        <v>1348</v>
      </c>
      <c r="E799" s="46" t="s">
        <v>1349</v>
      </c>
      <c r="F799" s="46" t="s">
        <v>1350</v>
      </c>
      <c r="G799" s="46" t="s">
        <v>904</v>
      </c>
      <c r="H799" s="46">
        <v>1212</v>
      </c>
      <c r="I799" s="46" t="s">
        <v>1351</v>
      </c>
      <c r="J799" s="6">
        <v>46077</v>
      </c>
      <c r="K799" s="7" t="s">
        <v>1375</v>
      </c>
      <c r="L799" s="46" t="s">
        <v>915</v>
      </c>
      <c r="M799" s="46" t="str">
        <f>VLOOKUP(K799,[4]在职!$A:$B,2,0)</f>
        <v>00380</v>
      </c>
      <c r="N799" s="46" t="s">
        <v>1329</v>
      </c>
      <c r="O799" s="46" t="str">
        <f>VLOOKUP(K799,[4]在职!$A:$I,9,0)</f>
        <v>拓展BP组长</v>
      </c>
      <c r="P799" s="83">
        <f>VLOOKUP(K799,[4]在职!$A:$D,4,0)</f>
        <v>44753</v>
      </c>
      <c r="Q799" s="102">
        <v>0</v>
      </c>
      <c r="R799" s="102">
        <v>0</v>
      </c>
      <c r="S799" s="7">
        <v>0</v>
      </c>
    </row>
    <row r="800" ht="16.5" hidden="1" spans="1:19">
      <c r="A800" s="46">
        <v>798</v>
      </c>
      <c r="B800" s="46" t="s">
        <v>39</v>
      </c>
      <c r="C800" s="46" t="str">
        <f>VLOOKUP(K800,[4]在职!$A:$E,5,0)</f>
        <v>河南</v>
      </c>
      <c r="D800" s="46" t="s">
        <v>1348</v>
      </c>
      <c r="E800" s="46" t="s">
        <v>1349</v>
      </c>
      <c r="F800" s="46" t="s">
        <v>1350</v>
      </c>
      <c r="G800" s="46" t="s">
        <v>904</v>
      </c>
      <c r="H800" s="46">
        <v>1212</v>
      </c>
      <c r="I800" s="46" t="s">
        <v>1351</v>
      </c>
      <c r="J800" s="6">
        <v>46077</v>
      </c>
      <c r="K800" s="7" t="s">
        <v>1376</v>
      </c>
      <c r="L800" s="46" t="s">
        <v>915</v>
      </c>
      <c r="M800" s="46" t="str">
        <f>VLOOKUP(K800,[4]在职!$A:$B,2,0)</f>
        <v>00040</v>
      </c>
      <c r="N800" s="46" t="s">
        <v>1377</v>
      </c>
      <c r="O800" s="46" t="str">
        <f>VLOOKUP(K800,[4]在职!$A:$I,9,0)</f>
        <v>分公司总经理</v>
      </c>
      <c r="P800" s="83">
        <f>VLOOKUP(K800,[4]在职!$A:$D,4,0)</f>
        <v>43692</v>
      </c>
      <c r="Q800" s="102">
        <v>0</v>
      </c>
      <c r="R800" s="102">
        <v>0</v>
      </c>
      <c r="S800" s="7">
        <v>0</v>
      </c>
    </row>
    <row r="801" ht="16.5" hidden="1" spans="1:19">
      <c r="A801" s="46">
        <v>799</v>
      </c>
      <c r="B801" s="46" t="s">
        <v>39</v>
      </c>
      <c r="C801" s="46" t="str">
        <f>VLOOKUP(K801,[4]在职!$A:$E,5,0)</f>
        <v>西南总部</v>
      </c>
      <c r="D801" s="46" t="s">
        <v>1348</v>
      </c>
      <c r="E801" s="46" t="s">
        <v>1349</v>
      </c>
      <c r="F801" s="46" t="s">
        <v>1350</v>
      </c>
      <c r="G801" s="46" t="s">
        <v>904</v>
      </c>
      <c r="H801" s="46">
        <v>1212</v>
      </c>
      <c r="I801" s="46" t="s">
        <v>1351</v>
      </c>
      <c r="J801" s="6">
        <v>46077</v>
      </c>
      <c r="K801" s="7" t="s">
        <v>129</v>
      </c>
      <c r="L801" s="46" t="s">
        <v>915</v>
      </c>
      <c r="M801" s="46" t="str">
        <f>VLOOKUP(K801,[4]在职!$A:$B,2,0)</f>
        <v>00472</v>
      </c>
      <c r="N801" s="46" t="str">
        <f>VLOOKUP(K801,[4]在职!$A:$G,7,0)</f>
        <v>营业五部</v>
      </c>
      <c r="O801" s="46" t="str">
        <f>VLOOKUP(K801,[4]在职!$A:$I,9,0)</f>
        <v>部长</v>
      </c>
      <c r="P801" s="83">
        <f>VLOOKUP(K801,[4]在职!$A:$D,4,0)</f>
        <v>44878</v>
      </c>
      <c r="Q801" s="102">
        <v>0</v>
      </c>
      <c r="R801" s="102">
        <v>0</v>
      </c>
      <c r="S801" s="7">
        <v>0</v>
      </c>
    </row>
    <row r="802" ht="16.5" hidden="1" spans="1:19">
      <c r="A802" s="46">
        <v>800</v>
      </c>
      <c r="B802" s="46" t="s">
        <v>39</v>
      </c>
      <c r="C802" s="46" t="str">
        <f>VLOOKUP(K802,[4]在职!$A:$E,5,0)</f>
        <v>西南总部</v>
      </c>
      <c r="D802" s="46" t="s">
        <v>1348</v>
      </c>
      <c r="E802" s="46" t="s">
        <v>1349</v>
      </c>
      <c r="F802" s="46" t="s">
        <v>1350</v>
      </c>
      <c r="G802" s="46" t="s">
        <v>904</v>
      </c>
      <c r="H802" s="46">
        <v>1212</v>
      </c>
      <c r="I802" s="46" t="s">
        <v>1351</v>
      </c>
      <c r="J802" s="6">
        <v>46077</v>
      </c>
      <c r="K802" s="7" t="s">
        <v>155</v>
      </c>
      <c r="L802" s="46" t="s">
        <v>915</v>
      </c>
      <c r="M802" s="46" t="str">
        <f>VLOOKUP(K802,[4]在职!$A:$B,2,0)</f>
        <v>00117</v>
      </c>
      <c r="N802" s="46" t="str">
        <f>VLOOKUP(K802,[4]在职!$A:$G,7,0)</f>
        <v>营业四部</v>
      </c>
      <c r="O802" s="46" t="str">
        <f>VLOOKUP(K802,[4]在职!$A:$I,9,0)</f>
        <v>部长</v>
      </c>
      <c r="P802" s="83">
        <f>VLOOKUP(K802,[4]在职!$A:$D,4,0)</f>
        <v>44272</v>
      </c>
      <c r="Q802" s="102">
        <v>0</v>
      </c>
      <c r="R802" s="102">
        <v>0</v>
      </c>
      <c r="S802" s="7">
        <v>0</v>
      </c>
    </row>
    <row r="803" ht="16.5" hidden="1" spans="1:19">
      <c r="A803" s="46">
        <v>801</v>
      </c>
      <c r="B803" s="46" t="s">
        <v>39</v>
      </c>
      <c r="C803" s="46" t="str">
        <f>VLOOKUP(K803,[4]在职!$A:$E,5,0)</f>
        <v>西南总部</v>
      </c>
      <c r="D803" s="46" t="s">
        <v>1348</v>
      </c>
      <c r="E803" s="46" t="s">
        <v>1349</v>
      </c>
      <c r="F803" s="46" t="s">
        <v>1350</v>
      </c>
      <c r="G803" s="46" t="s">
        <v>904</v>
      </c>
      <c r="H803" s="46">
        <v>1212</v>
      </c>
      <c r="I803" s="46" t="s">
        <v>1351</v>
      </c>
      <c r="J803" s="6">
        <v>46077</v>
      </c>
      <c r="K803" s="7" t="s">
        <v>1111</v>
      </c>
      <c r="L803" s="46" t="s">
        <v>915</v>
      </c>
      <c r="M803" s="46" t="str">
        <f>VLOOKUP(K803,[4]在职!$A:$B,2,0)</f>
        <v>00036</v>
      </c>
      <c r="N803" s="46" t="str">
        <f>VLOOKUP(K803,[4]在职!$A:$G,7,0)</f>
        <v>营业三部</v>
      </c>
      <c r="O803" s="46" t="str">
        <f>VLOOKUP(K803,[4]在职!$A:$I,9,0)</f>
        <v>督导</v>
      </c>
      <c r="P803" s="83">
        <f>VLOOKUP(K803,[4]在职!$A:$D,4,0)</f>
        <v>43800</v>
      </c>
      <c r="Q803" s="102">
        <v>0</v>
      </c>
      <c r="R803" s="102">
        <v>0</v>
      </c>
      <c r="S803" s="7">
        <v>0</v>
      </c>
    </row>
    <row r="804" ht="16.5" hidden="1" spans="1:19">
      <c r="A804" s="46">
        <v>802</v>
      </c>
      <c r="B804" s="46" t="s">
        <v>39</v>
      </c>
      <c r="C804" s="46" t="str">
        <f>VLOOKUP(K804,[4]在职!$A:$E,5,0)</f>
        <v>湖南</v>
      </c>
      <c r="D804" s="46" t="s">
        <v>1348</v>
      </c>
      <c r="E804" s="46" t="s">
        <v>1349</v>
      </c>
      <c r="F804" s="46" t="s">
        <v>1350</v>
      </c>
      <c r="G804" s="46" t="s">
        <v>904</v>
      </c>
      <c r="H804" s="46">
        <v>1212</v>
      </c>
      <c r="I804" s="46" t="s">
        <v>1351</v>
      </c>
      <c r="J804" s="6">
        <v>46077</v>
      </c>
      <c r="K804" s="7" t="s">
        <v>1378</v>
      </c>
      <c r="L804" s="46" t="s">
        <v>915</v>
      </c>
      <c r="M804" s="46" t="str">
        <f>VLOOKUP(K804,[4]在职!$A:$B,2,0)</f>
        <v>00094</v>
      </c>
      <c r="N804" s="46" t="s">
        <v>105</v>
      </c>
      <c r="O804" s="46" t="str">
        <f>VLOOKUP(K804,[4]在职!$A:$I,9,0)</f>
        <v>分公司总经理</v>
      </c>
      <c r="P804" s="83">
        <f>VLOOKUP(K804,[4]在职!$A:$D,4,0)</f>
        <v>44175</v>
      </c>
      <c r="Q804" s="102">
        <v>0</v>
      </c>
      <c r="R804" s="102">
        <v>0</v>
      </c>
      <c r="S804" s="7">
        <v>0</v>
      </c>
    </row>
    <row r="805" ht="16.5" hidden="1" spans="1:19">
      <c r="A805" s="46">
        <v>803</v>
      </c>
      <c r="B805" s="46" t="s">
        <v>39</v>
      </c>
      <c r="C805" s="46" t="str">
        <f>VLOOKUP(K805,[4]在职!$A:$E,5,0)</f>
        <v>安徽</v>
      </c>
      <c r="D805" s="46" t="s">
        <v>1348</v>
      </c>
      <c r="E805" s="46" t="s">
        <v>1349</v>
      </c>
      <c r="F805" s="46" t="s">
        <v>1350</v>
      </c>
      <c r="G805" s="46" t="s">
        <v>904</v>
      </c>
      <c r="H805" s="46">
        <v>1212</v>
      </c>
      <c r="I805" s="46" t="s">
        <v>1351</v>
      </c>
      <c r="J805" s="6">
        <v>46077</v>
      </c>
      <c r="K805" s="7" t="s">
        <v>1379</v>
      </c>
      <c r="L805" s="46" t="s">
        <v>915</v>
      </c>
      <c r="M805" s="46" t="str">
        <f>VLOOKUP(K805,[4]在职!$A:$B,2,0)</f>
        <v>00032</v>
      </c>
      <c r="N805" s="46" t="s">
        <v>1380</v>
      </c>
      <c r="O805" s="46" t="str">
        <f>VLOOKUP(K805,[4]在职!$A:$I,9,0)</f>
        <v>分公司总经理</v>
      </c>
      <c r="P805" s="83">
        <f>VLOOKUP(K805,[4]在职!$A:$D,4,0)</f>
        <v>43910</v>
      </c>
      <c r="Q805" s="102">
        <v>0</v>
      </c>
      <c r="R805" s="102">
        <v>0</v>
      </c>
      <c r="S805" s="7">
        <v>0</v>
      </c>
    </row>
    <row r="806" ht="16.5" hidden="1" spans="1:19">
      <c r="A806" s="46">
        <v>804</v>
      </c>
      <c r="B806" s="46" t="s">
        <v>39</v>
      </c>
      <c r="C806" s="46" t="str">
        <f>VLOOKUP(K806,[4]在职!$A:$E,5,0)</f>
        <v>西南总部</v>
      </c>
      <c r="D806" s="46" t="s">
        <v>1348</v>
      </c>
      <c r="E806" s="46" t="s">
        <v>1349</v>
      </c>
      <c r="F806" s="46" t="s">
        <v>1350</v>
      </c>
      <c r="G806" s="46" t="s">
        <v>904</v>
      </c>
      <c r="H806" s="46">
        <v>1212</v>
      </c>
      <c r="I806" s="46" t="s">
        <v>1351</v>
      </c>
      <c r="J806" s="6">
        <v>46077</v>
      </c>
      <c r="K806" s="7" t="s">
        <v>413</v>
      </c>
      <c r="L806" s="46" t="s">
        <v>915</v>
      </c>
      <c r="M806" s="46" t="str">
        <f>VLOOKUP(K806,[4]在职!$A:$B,2,0)</f>
        <v>00522</v>
      </c>
      <c r="N806" s="46" t="str">
        <f>VLOOKUP(K806,[4]在职!$A:$G,7,0)</f>
        <v>营业二部</v>
      </c>
      <c r="O806" s="46" t="str">
        <f>VLOOKUP(K806,[4]在职!$A:$I,9,0)</f>
        <v>一星正式经理</v>
      </c>
      <c r="P806" s="83">
        <f>VLOOKUP(K806,[4]在职!$A:$D,4,0)</f>
        <v>44919</v>
      </c>
      <c r="Q806" s="102">
        <v>0</v>
      </c>
      <c r="R806" s="102">
        <v>0</v>
      </c>
      <c r="S806" s="7">
        <v>0</v>
      </c>
    </row>
    <row r="807" ht="16.5" hidden="1" spans="1:19">
      <c r="A807" s="46">
        <v>805</v>
      </c>
      <c r="B807" s="46" t="s">
        <v>39</v>
      </c>
      <c r="C807" s="46" t="str">
        <f>VLOOKUP(K807,[4]在职!$A:$E,5,0)</f>
        <v>西南总部</v>
      </c>
      <c r="D807" s="46" t="s">
        <v>1348</v>
      </c>
      <c r="E807" s="46" t="s">
        <v>1349</v>
      </c>
      <c r="F807" s="46" t="s">
        <v>1350</v>
      </c>
      <c r="G807" s="46" t="s">
        <v>904</v>
      </c>
      <c r="H807" s="46">
        <v>1212</v>
      </c>
      <c r="I807" s="46" t="s">
        <v>1351</v>
      </c>
      <c r="J807" s="6">
        <v>46077</v>
      </c>
      <c r="K807" s="7" t="s">
        <v>82</v>
      </c>
      <c r="L807" s="46" t="s">
        <v>915</v>
      </c>
      <c r="M807" s="46" t="str">
        <f>VLOOKUP(K807,[4]在职!$A:$B,2,0)</f>
        <v>00060</v>
      </c>
      <c r="N807" s="46" t="str">
        <f>VLOOKUP(K807,[4]在职!$A:$G,7,0)</f>
        <v>营业二部</v>
      </c>
      <c r="O807" s="46" t="str">
        <f>VLOOKUP(K807,[4]在职!$A:$I,9,0)</f>
        <v>部长</v>
      </c>
      <c r="P807" s="83">
        <f>VLOOKUP(K807,[4]在职!$A:$D,4,0)</f>
        <v>44033</v>
      </c>
      <c r="Q807" s="102">
        <v>0</v>
      </c>
      <c r="R807" s="102">
        <v>0</v>
      </c>
      <c r="S807" s="7">
        <v>0</v>
      </c>
    </row>
    <row r="808" ht="16.5" hidden="1" spans="1:19">
      <c r="A808" s="46">
        <v>806</v>
      </c>
      <c r="B808" s="46" t="s">
        <v>39</v>
      </c>
      <c r="C808" s="46" t="str">
        <f>VLOOKUP(K808,[4]在职!$A:$E,5,0)</f>
        <v>集团职能</v>
      </c>
      <c r="D808" s="46" t="s">
        <v>1348</v>
      </c>
      <c r="E808" s="46" t="s">
        <v>1349</v>
      </c>
      <c r="F808" s="46" t="s">
        <v>1350</v>
      </c>
      <c r="G808" s="46" t="s">
        <v>904</v>
      </c>
      <c r="H808" s="46">
        <v>1212</v>
      </c>
      <c r="I808" s="46" t="s">
        <v>1351</v>
      </c>
      <c r="J808" s="6">
        <v>46077</v>
      </c>
      <c r="K808" s="7" t="s">
        <v>1381</v>
      </c>
      <c r="L808" s="46" t="s">
        <v>915</v>
      </c>
      <c r="M808" s="46" t="str">
        <f>VLOOKUP(K808,[4]在职!$A:$B,2,0)</f>
        <v>00068</v>
      </c>
      <c r="N808" s="46" t="s">
        <v>1329</v>
      </c>
      <c r="O808" s="46" t="str">
        <f>VLOOKUP(K808,[4]在职!$A:$I,9,0)</f>
        <v>拓展BP</v>
      </c>
      <c r="P808" s="83">
        <f>VLOOKUP(K808,[4]在职!$A:$D,4,0)</f>
        <v>44062</v>
      </c>
      <c r="Q808" s="102">
        <v>0</v>
      </c>
      <c r="R808" s="102">
        <v>0</v>
      </c>
      <c r="S808" s="7">
        <v>0</v>
      </c>
    </row>
    <row r="809" ht="16.5" hidden="1" spans="1:19">
      <c r="A809" s="46">
        <v>807</v>
      </c>
      <c r="B809" s="46" t="s">
        <v>39</v>
      </c>
      <c r="C809" s="46" t="str">
        <f>VLOOKUP(K809,[4]在职!$A:$E,5,0)</f>
        <v>集团职能</v>
      </c>
      <c r="D809" s="46" t="s">
        <v>1348</v>
      </c>
      <c r="E809" s="46" t="s">
        <v>1349</v>
      </c>
      <c r="F809" s="46" t="s">
        <v>1350</v>
      </c>
      <c r="G809" s="46" t="s">
        <v>904</v>
      </c>
      <c r="H809" s="46">
        <v>1212</v>
      </c>
      <c r="I809" s="46" t="s">
        <v>1351</v>
      </c>
      <c r="J809" s="6">
        <v>46077</v>
      </c>
      <c r="K809" s="7" t="s">
        <v>1382</v>
      </c>
      <c r="L809" s="46" t="s">
        <v>915</v>
      </c>
      <c r="M809" s="46" t="str">
        <f>VLOOKUP(K809,[4]在职!$A:$B,2,0)</f>
        <v>00037</v>
      </c>
      <c r="N809" s="46" t="s">
        <v>1329</v>
      </c>
      <c r="O809" s="46" t="str">
        <f>VLOOKUP(K809,[4]在职!$A:$I,9,0)</f>
        <v>财务经理</v>
      </c>
      <c r="P809" s="83">
        <f>VLOOKUP(K809,[4]在职!$A:$D,4,0)</f>
        <v>43525</v>
      </c>
      <c r="Q809" s="102">
        <v>0</v>
      </c>
      <c r="R809" s="102">
        <v>0</v>
      </c>
      <c r="S809" s="7">
        <v>0</v>
      </c>
    </row>
    <row r="810" ht="16.5" hidden="1" spans="1:19">
      <c r="A810" s="46">
        <v>808</v>
      </c>
      <c r="B810" s="46" t="s">
        <v>39</v>
      </c>
      <c r="C810" s="46" t="str">
        <f>VLOOKUP(K810,[4]在职!$A:$E,5,0)</f>
        <v>山东</v>
      </c>
      <c r="D810" s="46" t="s">
        <v>1348</v>
      </c>
      <c r="E810" s="46" t="s">
        <v>1349</v>
      </c>
      <c r="F810" s="46" t="s">
        <v>1350</v>
      </c>
      <c r="G810" s="46" t="s">
        <v>904</v>
      </c>
      <c r="H810" s="46">
        <v>1212</v>
      </c>
      <c r="I810" s="46" t="s">
        <v>1351</v>
      </c>
      <c r="J810" s="6">
        <v>46077</v>
      </c>
      <c r="K810" s="7" t="s">
        <v>1152</v>
      </c>
      <c r="L810" s="46" t="s">
        <v>915</v>
      </c>
      <c r="M810" s="46" t="str">
        <f>VLOOKUP(K810,[4]在职!$A:$B,2,0)</f>
        <v>00067</v>
      </c>
      <c r="N810" s="46" t="s">
        <v>125</v>
      </c>
      <c r="O810" s="46" t="str">
        <f>VLOOKUP(K810,[4]在职!$A:$I,9,0)</f>
        <v>分公司总经理</v>
      </c>
      <c r="P810" s="83">
        <f>VLOOKUP(K810,[4]在职!$A:$D,4,0)</f>
        <v>44054</v>
      </c>
      <c r="Q810" s="102">
        <v>0</v>
      </c>
      <c r="R810" s="102">
        <v>0</v>
      </c>
      <c r="S810" s="7">
        <v>0</v>
      </c>
    </row>
    <row r="811" ht="16.5" hidden="1" spans="1:19">
      <c r="A811" s="46">
        <v>809</v>
      </c>
      <c r="B811" s="46" t="s">
        <v>39</v>
      </c>
      <c r="C811" s="46" t="str">
        <f>VLOOKUP(K811,[4]在职!$A:$E,5,0)</f>
        <v>湖北</v>
      </c>
      <c r="D811" s="46" t="s">
        <v>1348</v>
      </c>
      <c r="E811" s="46" t="s">
        <v>1349</v>
      </c>
      <c r="F811" s="46" t="s">
        <v>1350</v>
      </c>
      <c r="G811" s="46" t="s">
        <v>904</v>
      </c>
      <c r="H811" s="46">
        <v>1212</v>
      </c>
      <c r="I811" s="46" t="s">
        <v>1351</v>
      </c>
      <c r="J811" s="6">
        <v>46077</v>
      </c>
      <c r="K811" s="7" t="s">
        <v>189</v>
      </c>
      <c r="L811" s="46" t="s">
        <v>915</v>
      </c>
      <c r="M811" s="46" t="str">
        <f>VLOOKUP(K811,[4]在职!$A:$B,2,0)</f>
        <v>00333</v>
      </c>
      <c r="N811" s="46" t="str">
        <f>VLOOKUP(K811,[4]在职!$A:$G,7,0)</f>
        <v>湖北1部</v>
      </c>
      <c r="O811" s="46" t="str">
        <f>VLOOKUP(K811,[4]在职!$A:$I,9,0)</f>
        <v>部长</v>
      </c>
      <c r="P811" s="83">
        <f>VLOOKUP(K811,[4]在职!$A:$D,4,0)</f>
        <v>44698</v>
      </c>
      <c r="Q811" s="102">
        <v>0</v>
      </c>
      <c r="R811" s="102">
        <v>0</v>
      </c>
      <c r="S811" s="7">
        <v>0</v>
      </c>
    </row>
    <row r="812" ht="16.5" hidden="1" spans="1:19">
      <c r="A812" s="46">
        <v>810</v>
      </c>
      <c r="B812" s="46" t="s">
        <v>39</v>
      </c>
      <c r="C812" s="46" t="str">
        <f>VLOOKUP(K812,[4]在职!$A:$E,5,0)</f>
        <v>山西</v>
      </c>
      <c r="D812" s="46" t="s">
        <v>1348</v>
      </c>
      <c r="E812" s="46" t="s">
        <v>1349</v>
      </c>
      <c r="F812" s="46" t="s">
        <v>1350</v>
      </c>
      <c r="G812" s="46" t="s">
        <v>904</v>
      </c>
      <c r="H812" s="46">
        <v>1212</v>
      </c>
      <c r="I812" s="46" t="s">
        <v>1351</v>
      </c>
      <c r="J812" s="6">
        <v>46077</v>
      </c>
      <c r="K812" s="7" t="s">
        <v>433</v>
      </c>
      <c r="L812" s="46" t="s">
        <v>915</v>
      </c>
      <c r="M812" s="46" t="str">
        <f>VLOOKUP(K812,[4]在职!$A:$B,2,0)</f>
        <v>00015</v>
      </c>
      <c r="N812" s="46">
        <f>VLOOKUP(K812,[4]在职!$A:$G,7,0)</f>
        <v>0</v>
      </c>
      <c r="O812" s="46" t="str">
        <f>VLOOKUP(K812,[4]在职!$A:$I,9,0)</f>
        <v>分公司副总经理</v>
      </c>
      <c r="P812" s="83">
        <f>VLOOKUP(K812,[4]在职!$A:$D,4,0)</f>
        <v>43904</v>
      </c>
      <c r="Q812" s="102">
        <v>0</v>
      </c>
      <c r="R812" s="102">
        <v>0</v>
      </c>
      <c r="S812" s="7">
        <v>0</v>
      </c>
    </row>
    <row r="813" ht="16.5" hidden="1" spans="1:19">
      <c r="A813" s="46">
        <v>811</v>
      </c>
      <c r="B813" s="46" t="s">
        <v>39</v>
      </c>
      <c r="C813" s="46" t="str">
        <f>VLOOKUP(K813,[4]在职!$A:$E,5,0)</f>
        <v>辽宁</v>
      </c>
      <c r="D813" s="46" t="s">
        <v>1348</v>
      </c>
      <c r="E813" s="46" t="s">
        <v>1349</v>
      </c>
      <c r="F813" s="46" t="s">
        <v>1350</v>
      </c>
      <c r="G813" s="46" t="s">
        <v>904</v>
      </c>
      <c r="H813" s="46">
        <v>1212</v>
      </c>
      <c r="I813" s="46" t="s">
        <v>1351</v>
      </c>
      <c r="J813" s="6">
        <v>46077</v>
      </c>
      <c r="K813" s="7" t="s">
        <v>1383</v>
      </c>
      <c r="L813" s="46" t="s">
        <v>915</v>
      </c>
      <c r="M813" s="46" t="str">
        <f>VLOOKUP(K813,[4]在职!$A:$B,2,0)</f>
        <v>00057</v>
      </c>
      <c r="N813" s="46" t="s">
        <v>1384</v>
      </c>
      <c r="O813" s="46" t="str">
        <f>VLOOKUP(K813,[4]在职!$A:$I,9,0)</f>
        <v>分公司总经理</v>
      </c>
      <c r="P813" s="83">
        <f>VLOOKUP(K813,[4]在职!$A:$D,4,0)</f>
        <v>44019</v>
      </c>
      <c r="Q813" s="102">
        <v>0</v>
      </c>
      <c r="R813" s="102">
        <v>0</v>
      </c>
      <c r="S813" s="7">
        <v>0</v>
      </c>
    </row>
    <row r="814" ht="16.5" hidden="1" spans="1:19">
      <c r="A814" s="46">
        <v>812</v>
      </c>
      <c r="B814" s="46" t="s">
        <v>39</v>
      </c>
      <c r="C814" s="46" t="str">
        <f>VLOOKUP(K814,[4]在职!$A:$E,5,0)</f>
        <v>山西</v>
      </c>
      <c r="D814" s="46" t="s">
        <v>1348</v>
      </c>
      <c r="E814" s="46" t="s">
        <v>1349</v>
      </c>
      <c r="F814" s="46" t="s">
        <v>1350</v>
      </c>
      <c r="G814" s="46" t="s">
        <v>904</v>
      </c>
      <c r="H814" s="46">
        <v>1212</v>
      </c>
      <c r="I814" s="46" t="s">
        <v>1351</v>
      </c>
      <c r="J814" s="6">
        <v>46077</v>
      </c>
      <c r="K814" s="7" t="s">
        <v>1385</v>
      </c>
      <c r="L814" s="46" t="s">
        <v>915</v>
      </c>
      <c r="M814" s="46" t="str">
        <f>VLOOKUP(K814,[4]在职!$A:$B,2,0)</f>
        <v>00695</v>
      </c>
      <c r="N814" s="46" t="s">
        <v>1386</v>
      </c>
      <c r="O814" s="46" t="str">
        <f>VLOOKUP(K814,[4]在职!$A:$I,9,0)</f>
        <v>分公司总经理</v>
      </c>
      <c r="P814" s="83">
        <f>VLOOKUP(K814,[4]在职!$A:$D,4,0)</f>
        <v>44849</v>
      </c>
      <c r="Q814" s="102">
        <v>0</v>
      </c>
      <c r="R814" s="102">
        <v>0</v>
      </c>
      <c r="S814" s="7">
        <v>0</v>
      </c>
    </row>
    <row r="815" ht="16.5" hidden="1" spans="1:19">
      <c r="A815" s="46">
        <v>813</v>
      </c>
      <c r="B815" s="46" t="s">
        <v>39</v>
      </c>
      <c r="C815" s="46" t="str">
        <f>VLOOKUP(K815,[4]在职!$A:$E,5,0)</f>
        <v>山东</v>
      </c>
      <c r="D815" s="46" t="s">
        <v>1348</v>
      </c>
      <c r="E815" s="46" t="s">
        <v>1349</v>
      </c>
      <c r="F815" s="46" t="s">
        <v>1350</v>
      </c>
      <c r="G815" s="46" t="s">
        <v>904</v>
      </c>
      <c r="H815" s="46">
        <v>1212</v>
      </c>
      <c r="I815" s="46" t="s">
        <v>1351</v>
      </c>
      <c r="J815" s="6">
        <v>46077</v>
      </c>
      <c r="K815" s="7" t="s">
        <v>417</v>
      </c>
      <c r="L815" s="46" t="s">
        <v>915</v>
      </c>
      <c r="M815" s="46" t="str">
        <f>VLOOKUP(K815,[4]在职!$A:$B,2,0)</f>
        <v>00521</v>
      </c>
      <c r="N815" s="46" t="str">
        <f>VLOOKUP(K815,[4]在职!$A:$G,7,0)</f>
        <v>山东销售部</v>
      </c>
      <c r="O815" s="46" t="str">
        <f>VLOOKUP(K815,[4]在职!$A:$I,9,0)</f>
        <v>一星正式经理</v>
      </c>
      <c r="P815" s="83">
        <f>VLOOKUP(K815,[4]在职!$A:$D,4,0)</f>
        <v>44919</v>
      </c>
      <c r="Q815" s="102">
        <v>0</v>
      </c>
      <c r="R815" s="102">
        <v>0</v>
      </c>
      <c r="S815" s="7">
        <v>0</v>
      </c>
    </row>
    <row r="816" ht="16.5" hidden="1" spans="1:19">
      <c r="A816" s="46">
        <v>814</v>
      </c>
      <c r="B816" s="46" t="s">
        <v>39</v>
      </c>
      <c r="C816" s="46" t="str">
        <f>VLOOKUP(K816,[4]在职!$A:$E,5,0)</f>
        <v>集团职能</v>
      </c>
      <c r="D816" s="46" t="s">
        <v>1348</v>
      </c>
      <c r="E816" s="46" t="s">
        <v>1349</v>
      </c>
      <c r="F816" s="46" t="s">
        <v>1350</v>
      </c>
      <c r="G816" s="46" t="s">
        <v>904</v>
      </c>
      <c r="H816" s="46">
        <v>1212</v>
      </c>
      <c r="I816" s="46" t="s">
        <v>1351</v>
      </c>
      <c r="J816" s="6">
        <v>46077</v>
      </c>
      <c r="K816" s="7" t="s">
        <v>1119</v>
      </c>
      <c r="L816" s="46" t="s">
        <v>915</v>
      </c>
      <c r="M816" s="46" t="str">
        <f>VLOOKUP(K816,[4]在职!$A:$B,2,0)</f>
        <v>00001</v>
      </c>
      <c r="N816" s="46" t="s">
        <v>1329</v>
      </c>
      <c r="O816" s="46" t="str">
        <f>VLOOKUP(K816,[4]在职!$A:$I,9,0)</f>
        <v>总经理</v>
      </c>
      <c r="P816" s="83">
        <f>VLOOKUP(K816,[4]在职!$A:$D,4,0)</f>
        <v>43466</v>
      </c>
      <c r="Q816" s="102">
        <v>0</v>
      </c>
      <c r="R816" s="102">
        <v>0</v>
      </c>
      <c r="S816" s="7">
        <v>0</v>
      </c>
    </row>
    <row r="817" ht="16.5" hidden="1" spans="1:19">
      <c r="A817" s="46">
        <v>815</v>
      </c>
      <c r="B817" s="46" t="s">
        <v>39</v>
      </c>
      <c r="C817" s="46" t="str">
        <f>VLOOKUP(K817,[4]在职!$A:$E,5,0)</f>
        <v>集团职能</v>
      </c>
      <c r="D817" s="46" t="s">
        <v>1348</v>
      </c>
      <c r="E817" s="46" t="s">
        <v>1349</v>
      </c>
      <c r="F817" s="46" t="s">
        <v>1350</v>
      </c>
      <c r="G817" s="46" t="s">
        <v>904</v>
      </c>
      <c r="H817" s="46">
        <v>1212</v>
      </c>
      <c r="I817" s="46" t="s">
        <v>1351</v>
      </c>
      <c r="J817" s="6">
        <v>46078</v>
      </c>
      <c r="K817" s="7" t="s">
        <v>1119</v>
      </c>
      <c r="L817" s="46" t="s">
        <v>915</v>
      </c>
      <c r="M817" s="46" t="str">
        <f>VLOOKUP(K817,[4]在职!$A:$B,2,0)</f>
        <v>00001</v>
      </c>
      <c r="N817" s="46" t="s">
        <v>1329</v>
      </c>
      <c r="O817" s="46" t="str">
        <f>VLOOKUP(K817,[4]在职!$A:$I,9,0)</f>
        <v>总经理</v>
      </c>
      <c r="P817" s="83">
        <f>VLOOKUP(K817,[4]在职!$A:$D,4,0)</f>
        <v>43466</v>
      </c>
      <c r="Q817" s="102">
        <v>0</v>
      </c>
      <c r="R817" s="102">
        <v>0</v>
      </c>
      <c r="S817" s="7">
        <v>0</v>
      </c>
    </row>
    <row r="818" ht="16.5" hidden="1" spans="1:19">
      <c r="A818" s="46">
        <v>816</v>
      </c>
      <c r="B818" s="46" t="s">
        <v>39</v>
      </c>
      <c r="C818" s="46" t="s">
        <v>44</v>
      </c>
      <c r="D818" s="46" t="s">
        <v>1348</v>
      </c>
      <c r="E818" s="46" t="s">
        <v>1349</v>
      </c>
      <c r="F818" s="46" t="s">
        <v>1350</v>
      </c>
      <c r="G818" s="46" t="s">
        <v>904</v>
      </c>
      <c r="H818" s="46">
        <v>1212</v>
      </c>
      <c r="I818" s="46" t="s">
        <v>1351</v>
      </c>
      <c r="J818" s="6">
        <v>46078</v>
      </c>
      <c r="K818" s="7" t="s">
        <v>1352</v>
      </c>
      <c r="L818" s="46" t="s">
        <v>915</v>
      </c>
      <c r="M818" s="46" t="str">
        <f>VLOOKUP(K818,[4]在职!$A:$B,2,0)</f>
        <v>00215</v>
      </c>
      <c r="N818" s="46" t="s">
        <v>1353</v>
      </c>
      <c r="O818" s="46" t="str">
        <f>VLOOKUP(K818,[4]在职!$A:$I,9,0)</f>
        <v>区域拓展总监</v>
      </c>
      <c r="P818" s="83">
        <f>VLOOKUP(K818,[4]在职!$A:$D,4,0)</f>
        <v>44525</v>
      </c>
      <c r="Q818" s="102">
        <v>0</v>
      </c>
      <c r="R818" s="102">
        <v>0</v>
      </c>
      <c r="S818" s="7">
        <v>0</v>
      </c>
    </row>
    <row r="819" ht="16.5" hidden="1" spans="1:19">
      <c r="A819" s="46">
        <v>817</v>
      </c>
      <c r="B819" s="46" t="s">
        <v>39</v>
      </c>
      <c r="C819" s="46" t="str">
        <f>VLOOKUP(K819,[4]在职!$A:$E,5,0)</f>
        <v>西南总部</v>
      </c>
      <c r="D819" s="46" t="s">
        <v>1348</v>
      </c>
      <c r="E819" s="46" t="s">
        <v>1349</v>
      </c>
      <c r="F819" s="46" t="s">
        <v>1350</v>
      </c>
      <c r="G819" s="46" t="s">
        <v>904</v>
      </c>
      <c r="H819" s="46">
        <v>1212</v>
      </c>
      <c r="I819" s="46" t="s">
        <v>1351</v>
      </c>
      <c r="J819" s="6">
        <v>46078</v>
      </c>
      <c r="K819" s="7" t="s">
        <v>1354</v>
      </c>
      <c r="L819" s="46" t="s">
        <v>915</v>
      </c>
      <c r="M819" s="46" t="str">
        <f>VLOOKUP(K819,[4]在职!$A:$B,2,0)</f>
        <v>00745</v>
      </c>
      <c r="N819" s="46" t="str">
        <f>VLOOKUP(K819,[4]在职!$A:$G,7,0)</f>
        <v>川北</v>
      </c>
      <c r="O819" s="46" t="str">
        <f>VLOOKUP(K819,[4]在职!$A:$I,9,0)</f>
        <v>区域拓展总监</v>
      </c>
      <c r="P819" s="83">
        <f>VLOOKUP(K819,[4]在职!$A:$D,4,0)</f>
        <v>44522</v>
      </c>
      <c r="Q819" s="102">
        <v>0</v>
      </c>
      <c r="R819" s="102">
        <v>0</v>
      </c>
      <c r="S819" s="7">
        <v>0</v>
      </c>
    </row>
    <row r="820" ht="16.5" hidden="1" spans="1:19">
      <c r="A820" s="46">
        <v>818</v>
      </c>
      <c r="B820" s="46" t="s">
        <v>39</v>
      </c>
      <c r="C820" s="46" t="str">
        <f>VLOOKUP(K820,[4]在职!$A:$E,5,0)</f>
        <v>集团职能</v>
      </c>
      <c r="D820" s="46" t="s">
        <v>1348</v>
      </c>
      <c r="E820" s="46" t="s">
        <v>1349</v>
      </c>
      <c r="F820" s="46" t="s">
        <v>1350</v>
      </c>
      <c r="G820" s="46" t="s">
        <v>904</v>
      </c>
      <c r="H820" s="46">
        <v>1212</v>
      </c>
      <c r="I820" s="46" t="s">
        <v>1351</v>
      </c>
      <c r="J820" s="6">
        <v>46078</v>
      </c>
      <c r="K820" s="7" t="s">
        <v>1355</v>
      </c>
      <c r="L820" s="46" t="s">
        <v>915</v>
      </c>
      <c r="M820" s="46" t="str">
        <f>VLOOKUP(K820,[4]在职!$A:$B,2,0)</f>
        <v>01918</v>
      </c>
      <c r="N820" s="46" t="s">
        <v>1329</v>
      </c>
      <c r="O820" s="46" t="str">
        <f>VLOOKUP(K820,[4]在职!$A:$I,9,0)</f>
        <v>人资行政经理</v>
      </c>
      <c r="P820" s="83">
        <f>VLOOKUP(K820,[4]在职!$A:$D,4,0)</f>
        <v>46048</v>
      </c>
      <c r="Q820" s="102">
        <v>0</v>
      </c>
      <c r="R820" s="102">
        <v>0</v>
      </c>
      <c r="S820" s="7">
        <v>0</v>
      </c>
    </row>
    <row r="821" ht="16.5" hidden="1" spans="1:19">
      <c r="A821" s="46">
        <v>819</v>
      </c>
      <c r="B821" s="46" t="s">
        <v>39</v>
      </c>
      <c r="C821" s="46" t="str">
        <f>VLOOKUP(K821,[4]在职!$A:$E,5,0)</f>
        <v>河北</v>
      </c>
      <c r="D821" s="46" t="s">
        <v>1348</v>
      </c>
      <c r="E821" s="46" t="s">
        <v>1349</v>
      </c>
      <c r="F821" s="46" t="s">
        <v>1350</v>
      </c>
      <c r="G821" s="46" t="s">
        <v>904</v>
      </c>
      <c r="H821" s="46">
        <v>1212</v>
      </c>
      <c r="I821" s="46" t="s">
        <v>1351</v>
      </c>
      <c r="J821" s="6">
        <v>46078</v>
      </c>
      <c r="K821" s="7" t="s">
        <v>385</v>
      </c>
      <c r="L821" s="46" t="s">
        <v>915</v>
      </c>
      <c r="M821" s="46" t="str">
        <f>VLOOKUP(K821,[4]在职!$A:$B,2,0)</f>
        <v>00008</v>
      </c>
      <c r="N821" s="46">
        <f>VLOOKUP(K821,[4]在职!$A:$G,7,0)</f>
        <v>0</v>
      </c>
      <c r="O821" s="46" t="str">
        <f>VLOOKUP(K821,[4]在职!$A:$I,9,0)</f>
        <v>分公司副总经理</v>
      </c>
      <c r="P821" s="83">
        <f>VLOOKUP(K821,[4]在职!$A:$D,4,0)</f>
        <v>43598</v>
      </c>
      <c r="Q821" s="102">
        <v>0</v>
      </c>
      <c r="R821" s="102">
        <v>0</v>
      </c>
      <c r="S821" s="7">
        <v>0</v>
      </c>
    </row>
    <row r="822" ht="16.5" hidden="1" spans="1:19">
      <c r="A822" s="46">
        <v>820</v>
      </c>
      <c r="B822" s="46" t="s">
        <v>39</v>
      </c>
      <c r="C822" s="46" t="str">
        <f>VLOOKUP(K822,[4]在职!$A:$E,5,0)</f>
        <v>陕西</v>
      </c>
      <c r="D822" s="46" t="s">
        <v>1348</v>
      </c>
      <c r="E822" s="46" t="s">
        <v>1349</v>
      </c>
      <c r="F822" s="46" t="s">
        <v>1350</v>
      </c>
      <c r="G822" s="46" t="s">
        <v>904</v>
      </c>
      <c r="H822" s="46">
        <v>1212</v>
      </c>
      <c r="I822" s="46" t="s">
        <v>1351</v>
      </c>
      <c r="J822" s="6">
        <v>46078</v>
      </c>
      <c r="K822" s="7" t="s">
        <v>108</v>
      </c>
      <c r="L822" s="46" t="s">
        <v>915</v>
      </c>
      <c r="M822" s="46" t="str">
        <f>VLOOKUP(K822,[4]在职!$A:$B,2,0)</f>
        <v>00077</v>
      </c>
      <c r="N822" s="46" t="str">
        <f>VLOOKUP(K822,[4]在职!$A:$G,7,0)</f>
        <v>陕西2部</v>
      </c>
      <c r="O822" s="46" t="str">
        <f>VLOOKUP(K822,[4]在职!$A:$I,9,0)</f>
        <v>部长</v>
      </c>
      <c r="P822" s="83">
        <f>VLOOKUP(K822,[4]在职!$A:$D,4,0)</f>
        <v>44088</v>
      </c>
      <c r="Q822" s="102">
        <v>0</v>
      </c>
      <c r="R822" s="102">
        <v>0</v>
      </c>
      <c r="S822" s="7">
        <v>0</v>
      </c>
    </row>
    <row r="823" ht="16.5" hidden="1" spans="1:19">
      <c r="A823" s="46">
        <v>821</v>
      </c>
      <c r="B823" s="46" t="s">
        <v>39</v>
      </c>
      <c r="C823" s="46" t="str">
        <f>VLOOKUP(K823,[4]在职!$A:$E,5,0)</f>
        <v>湖南</v>
      </c>
      <c r="D823" s="46" t="s">
        <v>1348</v>
      </c>
      <c r="E823" s="46" t="s">
        <v>1349</v>
      </c>
      <c r="F823" s="46" t="s">
        <v>1350</v>
      </c>
      <c r="G823" s="46" t="s">
        <v>904</v>
      </c>
      <c r="H823" s="46">
        <v>1212</v>
      </c>
      <c r="I823" s="46" t="s">
        <v>1351</v>
      </c>
      <c r="J823" s="6">
        <v>46078</v>
      </c>
      <c r="K823" s="7" t="s">
        <v>179</v>
      </c>
      <c r="L823" s="46" t="s">
        <v>915</v>
      </c>
      <c r="M823" s="46" t="str">
        <f>VLOOKUP(K823,[4]在职!$A:$B,2,0)</f>
        <v>00050</v>
      </c>
      <c r="N823" s="46" t="str">
        <f>VLOOKUP(K823,[4]在职!$A:$G,7,0)</f>
        <v>湖南销售部</v>
      </c>
      <c r="O823" s="46" t="str">
        <f>VLOOKUP(K823,[4]在职!$A:$I,9,0)</f>
        <v>分公司副总经理</v>
      </c>
      <c r="P823" s="83">
        <f>VLOOKUP(K823,[4]在职!$A:$D,4,0)</f>
        <v>43997</v>
      </c>
      <c r="Q823" s="102">
        <v>0</v>
      </c>
      <c r="R823" s="102">
        <v>0</v>
      </c>
      <c r="S823" s="7">
        <v>0</v>
      </c>
    </row>
    <row r="824" ht="16.5" hidden="1" spans="1:19">
      <c r="A824" s="46">
        <v>822</v>
      </c>
      <c r="B824" s="46" t="s">
        <v>39</v>
      </c>
      <c r="C824" s="46" t="str">
        <f>VLOOKUP(K824,[4]在职!$A:$E,5,0)</f>
        <v>河南</v>
      </c>
      <c r="D824" s="46" t="s">
        <v>1348</v>
      </c>
      <c r="E824" s="46" t="s">
        <v>1349</v>
      </c>
      <c r="F824" s="46" t="s">
        <v>1350</v>
      </c>
      <c r="G824" s="46" t="s">
        <v>904</v>
      </c>
      <c r="H824" s="46">
        <v>1212</v>
      </c>
      <c r="I824" s="46" t="s">
        <v>1351</v>
      </c>
      <c r="J824" s="6">
        <v>46078</v>
      </c>
      <c r="K824" s="7" t="s">
        <v>364</v>
      </c>
      <c r="L824" s="46" t="s">
        <v>915</v>
      </c>
      <c r="M824" s="46" t="str">
        <f>VLOOKUP(K824,[4]在职!$A:$B,2,0)</f>
        <v>00270</v>
      </c>
      <c r="N824" s="46" t="str">
        <f>VLOOKUP(K824,[4]在职!$A:$G,7,0)</f>
        <v>河南销售部</v>
      </c>
      <c r="O824" s="46" t="str">
        <f>VLOOKUP(K824,[4]在职!$A:$I,9,0)</f>
        <v>部长</v>
      </c>
      <c r="P824" s="83">
        <f>VLOOKUP(K824,[4]在职!$A:$D,4,0)</f>
        <v>44555</v>
      </c>
      <c r="Q824" s="102">
        <v>0</v>
      </c>
      <c r="R824" s="102">
        <v>0</v>
      </c>
      <c r="S824" s="7">
        <v>0</v>
      </c>
    </row>
    <row r="825" ht="16.5" hidden="1" spans="1:19">
      <c r="A825" s="46">
        <v>823</v>
      </c>
      <c r="B825" s="46" t="s">
        <v>39</v>
      </c>
      <c r="C825" s="46" t="str">
        <f>VLOOKUP(K825,[4]在职!$A:$E,5,0)</f>
        <v>河北</v>
      </c>
      <c r="D825" s="46" t="s">
        <v>1348</v>
      </c>
      <c r="E825" s="46" t="s">
        <v>1349</v>
      </c>
      <c r="F825" s="46" t="s">
        <v>1350</v>
      </c>
      <c r="G825" s="46" t="s">
        <v>904</v>
      </c>
      <c r="H825" s="46">
        <v>1212</v>
      </c>
      <c r="I825" s="46" t="s">
        <v>1351</v>
      </c>
      <c r="J825" s="6">
        <v>46078</v>
      </c>
      <c r="K825" s="7" t="s">
        <v>617</v>
      </c>
      <c r="L825" s="46" t="s">
        <v>915</v>
      </c>
      <c r="M825" s="46" t="str">
        <f>VLOOKUP(K825,[4]在职!$A:$B,2,0)</f>
        <v>00263</v>
      </c>
      <c r="N825" s="46" t="str">
        <f>VLOOKUP(K825,[4]在职!$A:$G,7,0)</f>
        <v>河北销售部</v>
      </c>
      <c r="O825" s="46" t="str">
        <f>VLOOKUP(K825,[4]在职!$A:$I,9,0)</f>
        <v>一星正式经理</v>
      </c>
      <c r="P825" s="83">
        <f>VLOOKUP(K825,[4]在职!$A:$D,4,0)</f>
        <v>44552</v>
      </c>
      <c r="Q825" s="102">
        <v>0</v>
      </c>
      <c r="R825" s="102">
        <v>0</v>
      </c>
      <c r="S825" s="7">
        <v>0</v>
      </c>
    </row>
    <row r="826" ht="16.5" hidden="1" spans="1:19">
      <c r="A826" s="46">
        <v>824</v>
      </c>
      <c r="B826" s="46" t="s">
        <v>39</v>
      </c>
      <c r="C826" s="46" t="s">
        <v>26</v>
      </c>
      <c r="D826" s="46" t="s">
        <v>1348</v>
      </c>
      <c r="E826" s="46" t="s">
        <v>1349</v>
      </c>
      <c r="F826" s="46" t="s">
        <v>1350</v>
      </c>
      <c r="G826" s="46" t="s">
        <v>904</v>
      </c>
      <c r="H826" s="46">
        <v>1212</v>
      </c>
      <c r="I826" s="46" t="s">
        <v>1351</v>
      </c>
      <c r="J826" s="6">
        <v>46078</v>
      </c>
      <c r="K826" s="7" t="s">
        <v>1356</v>
      </c>
      <c r="L826" s="46" t="s">
        <v>915</v>
      </c>
      <c r="M826" s="46" t="str">
        <f>VLOOKUP(K826,[4]在职!$A:$B,2,0)</f>
        <v>00043</v>
      </c>
      <c r="N826" s="46" t="s">
        <v>1357</v>
      </c>
      <c r="O826" s="46" t="str">
        <f>VLOOKUP(K826,[4]在职!$A:$I,9,0)</f>
        <v>分公司总经理</v>
      </c>
      <c r="P826" s="83">
        <f>VLOOKUP(K826,[4]在职!$A:$D,4,0)</f>
        <v>43516</v>
      </c>
      <c r="Q826" s="102">
        <v>0</v>
      </c>
      <c r="R826" s="102">
        <v>0</v>
      </c>
      <c r="S826" s="7">
        <v>0</v>
      </c>
    </row>
    <row r="827" ht="16.5" hidden="1" spans="1:19">
      <c r="A827" s="46">
        <v>825</v>
      </c>
      <c r="B827" s="46" t="s">
        <v>39</v>
      </c>
      <c r="C827" s="46" t="str">
        <f>VLOOKUP(K827,[4]在职!$A:$E,5,0)</f>
        <v>辽宁</v>
      </c>
      <c r="D827" s="46" t="s">
        <v>1348</v>
      </c>
      <c r="E827" s="46" t="s">
        <v>1349</v>
      </c>
      <c r="F827" s="46" t="s">
        <v>1350</v>
      </c>
      <c r="G827" s="46" t="s">
        <v>904</v>
      </c>
      <c r="H827" s="46">
        <v>1212</v>
      </c>
      <c r="I827" s="46" t="s">
        <v>1351</v>
      </c>
      <c r="J827" s="6">
        <v>46078</v>
      </c>
      <c r="K827" s="7" t="s">
        <v>740</v>
      </c>
      <c r="L827" s="46" t="s">
        <v>915</v>
      </c>
      <c r="M827" s="46" t="str">
        <f>VLOOKUP(K827,[4]在职!$A:$B,2,0)</f>
        <v>00016</v>
      </c>
      <c r="N827" s="46">
        <f>VLOOKUP(K827,[4]在职!$A:$G,7,0)</f>
        <v>0</v>
      </c>
      <c r="O827" s="46" t="str">
        <f>VLOOKUP(K827,[4]在职!$A:$I,9,0)</f>
        <v>分公司副总经理</v>
      </c>
      <c r="P827" s="83">
        <f>VLOOKUP(K827,[4]在职!$A:$D,4,0)</f>
        <v>43904</v>
      </c>
      <c r="Q827" s="102">
        <v>0</v>
      </c>
      <c r="R827" s="102">
        <v>0</v>
      </c>
      <c r="S827" s="7">
        <v>0</v>
      </c>
    </row>
    <row r="828" ht="16.5" hidden="1" spans="1:19">
      <c r="A828" s="46">
        <v>826</v>
      </c>
      <c r="B828" s="46" t="s">
        <v>39</v>
      </c>
      <c r="C828" s="46" t="str">
        <f>VLOOKUP(K828,[4]在职!$A:$E,5,0)</f>
        <v>甘肃</v>
      </c>
      <c r="D828" s="46" t="s">
        <v>1348</v>
      </c>
      <c r="E828" s="46" t="s">
        <v>1349</v>
      </c>
      <c r="F828" s="46" t="s">
        <v>1350</v>
      </c>
      <c r="G828" s="46" t="s">
        <v>904</v>
      </c>
      <c r="H828" s="46">
        <v>1212</v>
      </c>
      <c r="I828" s="46" t="s">
        <v>1351</v>
      </c>
      <c r="J828" s="6">
        <v>46078</v>
      </c>
      <c r="K828" s="7" t="s">
        <v>1358</v>
      </c>
      <c r="L828" s="46" t="s">
        <v>915</v>
      </c>
      <c r="M828" s="46" t="str">
        <f>VLOOKUP(K828,[4]在职!$A:$B,2,0)</f>
        <v>00248</v>
      </c>
      <c r="N828" s="46" t="s">
        <v>1359</v>
      </c>
      <c r="O828" s="46" t="str">
        <f>VLOOKUP(K828,[4]在职!$A:$I,9,0)</f>
        <v>区域拓展总监</v>
      </c>
      <c r="P828" s="83">
        <f>VLOOKUP(K828,[4]在职!$A:$D,4,0)</f>
        <v>44546</v>
      </c>
      <c r="Q828" s="102">
        <v>0</v>
      </c>
      <c r="R828" s="102">
        <v>0</v>
      </c>
      <c r="S828" s="7">
        <v>0</v>
      </c>
    </row>
    <row r="829" ht="16.5" hidden="1" spans="1:19">
      <c r="A829" s="46">
        <v>827</v>
      </c>
      <c r="B829" s="46" t="s">
        <v>39</v>
      </c>
      <c r="C829" s="46" t="str">
        <f>VLOOKUP(K829,[4]在职!$A:$E,5,0)</f>
        <v>陕西</v>
      </c>
      <c r="D829" s="46" t="s">
        <v>1348</v>
      </c>
      <c r="E829" s="46" t="s">
        <v>1349</v>
      </c>
      <c r="F829" s="46" t="s">
        <v>1350</v>
      </c>
      <c r="G829" s="46" t="s">
        <v>904</v>
      </c>
      <c r="H829" s="46">
        <v>1212</v>
      </c>
      <c r="I829" s="46" t="s">
        <v>1351</v>
      </c>
      <c r="J829" s="6">
        <v>46078</v>
      </c>
      <c r="K829" s="7" t="s">
        <v>451</v>
      </c>
      <c r="L829" s="46" t="s">
        <v>915</v>
      </c>
      <c r="M829" s="46" t="str">
        <f>VLOOKUP(K829,[4]在职!$A:$B,2,0)</f>
        <v>00090</v>
      </c>
      <c r="N829" s="46" t="str">
        <f>VLOOKUP(K829,[4]在职!$A:$G,7,0)</f>
        <v>陕西1部</v>
      </c>
      <c r="O829" s="46" t="str">
        <f>VLOOKUP(K829,[4]在职!$A:$I,9,0)</f>
        <v>部长</v>
      </c>
      <c r="P829" s="83">
        <f>VLOOKUP(K829,[4]在职!$A:$D,4,0)</f>
        <v>44153</v>
      </c>
      <c r="Q829" s="102">
        <v>0</v>
      </c>
      <c r="R829" s="102">
        <v>0</v>
      </c>
      <c r="S829" s="7">
        <v>0</v>
      </c>
    </row>
    <row r="830" ht="16.5" hidden="1" spans="1:19">
      <c r="A830" s="46">
        <v>828</v>
      </c>
      <c r="B830" s="46" t="s">
        <v>39</v>
      </c>
      <c r="C830" s="46" t="str">
        <f>VLOOKUP(K830,[4]在职!$A:$E,5,0)</f>
        <v>陕西</v>
      </c>
      <c r="D830" s="46" t="s">
        <v>1348</v>
      </c>
      <c r="E830" s="46" t="s">
        <v>1349</v>
      </c>
      <c r="F830" s="46" t="s">
        <v>1350</v>
      </c>
      <c r="G830" s="46" t="s">
        <v>904</v>
      </c>
      <c r="H830" s="46">
        <v>1212</v>
      </c>
      <c r="I830" s="46" t="s">
        <v>1351</v>
      </c>
      <c r="J830" s="6">
        <v>46078</v>
      </c>
      <c r="K830" s="7" t="s">
        <v>1143</v>
      </c>
      <c r="L830" s="46" t="s">
        <v>915</v>
      </c>
      <c r="M830" s="46" t="str">
        <f>VLOOKUP(K830,[4]在职!$A:$B,2,0)</f>
        <v>00009</v>
      </c>
      <c r="N830" s="46" t="s">
        <v>152</v>
      </c>
      <c r="O830" s="46" t="str">
        <f>VLOOKUP(K830,[4]在职!$A:$I,9,0)</f>
        <v>分公司总经理</v>
      </c>
      <c r="P830" s="83">
        <f>VLOOKUP(K830,[4]在职!$A:$D,4,0)</f>
        <v>43602</v>
      </c>
      <c r="Q830" s="102">
        <v>0</v>
      </c>
      <c r="R830" s="102">
        <v>0</v>
      </c>
      <c r="S830" s="7">
        <v>0</v>
      </c>
    </row>
    <row r="831" ht="16.5" hidden="1" spans="1:19">
      <c r="A831" s="46">
        <v>829</v>
      </c>
      <c r="B831" s="46" t="s">
        <v>39</v>
      </c>
      <c r="C831" s="46" t="str">
        <f>VLOOKUP(K831,[4]在职!$A:$E,5,0)</f>
        <v>集团职能</v>
      </c>
      <c r="D831" s="46" t="s">
        <v>1348</v>
      </c>
      <c r="E831" s="46" t="s">
        <v>1349</v>
      </c>
      <c r="F831" s="46" t="s">
        <v>1350</v>
      </c>
      <c r="G831" s="46" t="s">
        <v>904</v>
      </c>
      <c r="H831" s="46">
        <v>1212</v>
      </c>
      <c r="I831" s="46" t="s">
        <v>1351</v>
      </c>
      <c r="J831" s="6">
        <v>46078</v>
      </c>
      <c r="K831" s="7" t="s">
        <v>1360</v>
      </c>
      <c r="L831" s="46" t="s">
        <v>915</v>
      </c>
      <c r="M831" s="46" t="str">
        <f>VLOOKUP(K831,[4]在职!$A:$B,2,0)</f>
        <v>00456</v>
      </c>
      <c r="N831" s="46" t="s">
        <v>1329</v>
      </c>
      <c r="O831" s="46" t="str">
        <f>VLOOKUP(K831,[4]在职!$A:$I,9,0)</f>
        <v>运营经理</v>
      </c>
      <c r="P831" s="83">
        <f>VLOOKUP(K831,[4]在职!$A:$D,4,0)</f>
        <v>44865</v>
      </c>
      <c r="Q831" s="102">
        <v>0</v>
      </c>
      <c r="R831" s="102">
        <v>0</v>
      </c>
      <c r="S831" s="7">
        <v>0</v>
      </c>
    </row>
    <row r="832" ht="16.5" hidden="1" spans="1:19">
      <c r="A832" s="46">
        <v>830</v>
      </c>
      <c r="B832" s="46" t="s">
        <v>39</v>
      </c>
      <c r="C832" s="46" t="str">
        <f>VLOOKUP(K832,[4]在职!$A:$E,5,0)</f>
        <v>西南总部</v>
      </c>
      <c r="D832" s="46" t="s">
        <v>1348</v>
      </c>
      <c r="E832" s="46" t="s">
        <v>1349</v>
      </c>
      <c r="F832" s="46" t="s">
        <v>1350</v>
      </c>
      <c r="G832" s="46" t="s">
        <v>904</v>
      </c>
      <c r="H832" s="46">
        <v>1212</v>
      </c>
      <c r="I832" s="46" t="s">
        <v>1351</v>
      </c>
      <c r="J832" s="6">
        <v>46078</v>
      </c>
      <c r="K832" s="7" t="s">
        <v>1361</v>
      </c>
      <c r="L832" s="46" t="s">
        <v>915</v>
      </c>
      <c r="M832" s="46" t="str">
        <f>VLOOKUP(K832,[4]在职!$A:$B,2,0)</f>
        <v>00029</v>
      </c>
      <c r="N832" s="46" t="str">
        <f>VLOOKUP(K832,[4]在职!$A:$G,7,0)</f>
        <v>川东</v>
      </c>
      <c r="O832" s="46" t="str">
        <f>VLOOKUP(K832,[4]在职!$A:$I,9,0)</f>
        <v>区域拓展总监</v>
      </c>
      <c r="P832" s="83">
        <f>VLOOKUP(K832,[4]在职!$A:$D,4,0)</f>
        <v>43833</v>
      </c>
      <c r="Q832" s="102">
        <v>0</v>
      </c>
      <c r="R832" s="102">
        <v>0</v>
      </c>
      <c r="S832" s="7">
        <v>0</v>
      </c>
    </row>
    <row r="833" ht="16.5" hidden="1" spans="1:19">
      <c r="A833" s="46">
        <v>831</v>
      </c>
      <c r="B833" s="46" t="s">
        <v>39</v>
      </c>
      <c r="C833" s="46" t="str">
        <f>VLOOKUP(K833,[4]在职!$A:$E,5,0)</f>
        <v>集团职能</v>
      </c>
      <c r="D833" s="46" t="s">
        <v>1348</v>
      </c>
      <c r="E833" s="46" t="s">
        <v>1349</v>
      </c>
      <c r="F833" s="46" t="s">
        <v>1350</v>
      </c>
      <c r="G833" s="46" t="s">
        <v>904</v>
      </c>
      <c r="H833" s="46">
        <v>1212</v>
      </c>
      <c r="I833" s="46" t="s">
        <v>1351</v>
      </c>
      <c r="J833" s="6">
        <v>46078</v>
      </c>
      <c r="K833" s="7" t="s">
        <v>1362</v>
      </c>
      <c r="L833" s="46" t="s">
        <v>915</v>
      </c>
      <c r="M833" s="46" t="str">
        <f>VLOOKUP(K833,[4]在职!$A:$B,2,0)</f>
        <v>00120</v>
      </c>
      <c r="N833" s="46" t="s">
        <v>1329</v>
      </c>
      <c r="O833" s="46" t="str">
        <f>VLOOKUP(K833,[4]在职!$A:$I,9,0)</f>
        <v>技术总监</v>
      </c>
      <c r="P833" s="83">
        <f>VLOOKUP(K833,[4]在职!$A:$D,4,0)</f>
        <v>44298</v>
      </c>
      <c r="Q833" s="102">
        <v>0</v>
      </c>
      <c r="R833" s="102">
        <v>0</v>
      </c>
      <c r="S833" s="7">
        <v>0</v>
      </c>
    </row>
    <row r="834" ht="16.5" hidden="1" spans="1:19">
      <c r="A834" s="46">
        <v>832</v>
      </c>
      <c r="B834" s="46" t="s">
        <v>39</v>
      </c>
      <c r="C834" s="46" t="str">
        <f>VLOOKUP(K834,[4]在职!$A:$E,5,0)</f>
        <v>西南总部</v>
      </c>
      <c r="D834" s="46" t="s">
        <v>1348</v>
      </c>
      <c r="E834" s="46" t="s">
        <v>1349</v>
      </c>
      <c r="F834" s="46" t="s">
        <v>1350</v>
      </c>
      <c r="G834" s="46" t="s">
        <v>904</v>
      </c>
      <c r="H834" s="46">
        <v>1212</v>
      </c>
      <c r="I834" s="46" t="s">
        <v>1351</v>
      </c>
      <c r="J834" s="6">
        <v>46078</v>
      </c>
      <c r="K834" s="7" t="s">
        <v>376</v>
      </c>
      <c r="L834" s="46" t="s">
        <v>915</v>
      </c>
      <c r="M834" s="46" t="str">
        <f>VLOOKUP(K834,[4]在职!$A:$B,2,0)</f>
        <v>00204</v>
      </c>
      <c r="N834" s="46" t="str">
        <f>VLOOKUP(K834,[4]在职!$A:$G,7,0)</f>
        <v>营业三部</v>
      </c>
      <c r="O834" s="46" t="str">
        <f>VLOOKUP(K834,[4]在职!$A:$I,9,0)</f>
        <v>二星正式经理</v>
      </c>
      <c r="P834" s="83">
        <f>VLOOKUP(K834,[4]在职!$A:$D,4,0)</f>
        <v>44504</v>
      </c>
      <c r="Q834" s="102">
        <v>0</v>
      </c>
      <c r="R834" s="102">
        <v>0</v>
      </c>
      <c r="S834" s="7">
        <v>0</v>
      </c>
    </row>
    <row r="835" ht="16.5" hidden="1" spans="1:19">
      <c r="A835" s="46">
        <v>833</v>
      </c>
      <c r="B835" s="46" t="s">
        <v>39</v>
      </c>
      <c r="C835" s="46" t="str">
        <f>VLOOKUP(K835,[4]在职!$A:$E,5,0)</f>
        <v>湖北</v>
      </c>
      <c r="D835" s="46" t="s">
        <v>1348</v>
      </c>
      <c r="E835" s="46" t="s">
        <v>1349</v>
      </c>
      <c r="F835" s="46" t="s">
        <v>1350</v>
      </c>
      <c r="G835" s="46" t="s">
        <v>904</v>
      </c>
      <c r="H835" s="46">
        <v>1212</v>
      </c>
      <c r="I835" s="46" t="s">
        <v>1351</v>
      </c>
      <c r="J835" s="6">
        <v>46078</v>
      </c>
      <c r="K835" s="7" t="s">
        <v>1163</v>
      </c>
      <c r="L835" s="46" t="s">
        <v>915</v>
      </c>
      <c r="M835" s="46" t="str">
        <f>VLOOKUP(K835,[4]在职!$A:$B,2,0)</f>
        <v>00004</v>
      </c>
      <c r="N835" s="46" t="s">
        <v>79</v>
      </c>
      <c r="O835" s="46" t="str">
        <f>VLOOKUP(K835,[4]在职!$A:$I,9,0)</f>
        <v>分公司总经理</v>
      </c>
      <c r="P835" s="83">
        <f>VLOOKUP(K835,[4]在职!$A:$D,4,0)</f>
        <v>43519</v>
      </c>
      <c r="Q835" s="102">
        <v>0</v>
      </c>
      <c r="R835" s="102">
        <v>0</v>
      </c>
      <c r="S835" s="7">
        <v>0</v>
      </c>
    </row>
    <row r="836" ht="16.5" hidden="1" spans="1:19">
      <c r="A836" s="46">
        <v>834</v>
      </c>
      <c r="B836" s="46" t="s">
        <v>39</v>
      </c>
      <c r="C836" s="46" t="str">
        <f>VLOOKUP(K836,[4]在职!$A:$E,5,0)</f>
        <v>西南总部</v>
      </c>
      <c r="D836" s="46" t="s">
        <v>1348</v>
      </c>
      <c r="E836" s="46" t="s">
        <v>1349</v>
      </c>
      <c r="F836" s="46" t="s">
        <v>1350</v>
      </c>
      <c r="G836" s="46" t="s">
        <v>904</v>
      </c>
      <c r="H836" s="46">
        <v>1212</v>
      </c>
      <c r="I836" s="46" t="s">
        <v>1351</v>
      </c>
      <c r="J836" s="6">
        <v>46078</v>
      </c>
      <c r="K836" s="7" t="s">
        <v>427</v>
      </c>
      <c r="L836" s="46" t="s">
        <v>915</v>
      </c>
      <c r="M836" s="46" t="str">
        <f>VLOOKUP(K836,[4]在职!$A:$B,2,0)</f>
        <v>00011</v>
      </c>
      <c r="N836" s="46" t="str">
        <f>VLOOKUP(K836,[4]在职!$A:$G,7,0)</f>
        <v>营业一部</v>
      </c>
      <c r="O836" s="46" t="str">
        <f>VLOOKUP(K836,[4]在职!$A:$I,9,0)</f>
        <v>部长</v>
      </c>
      <c r="P836" s="83">
        <f>VLOOKUP(K836,[4]在职!$A:$D,4,0)</f>
        <v>43743</v>
      </c>
      <c r="Q836" s="102">
        <v>0</v>
      </c>
      <c r="R836" s="102">
        <v>0</v>
      </c>
      <c r="S836" s="7">
        <v>0</v>
      </c>
    </row>
    <row r="837" ht="16.5" hidden="1" spans="1:19">
      <c r="A837" s="46">
        <v>835</v>
      </c>
      <c r="B837" s="46" t="s">
        <v>39</v>
      </c>
      <c r="C837" s="46" t="str">
        <f>VLOOKUP(K837,[4]在职!$A:$E,5,0)</f>
        <v>集团职能</v>
      </c>
      <c r="D837" s="46" t="s">
        <v>1348</v>
      </c>
      <c r="E837" s="46" t="s">
        <v>1349</v>
      </c>
      <c r="F837" s="46" t="s">
        <v>1350</v>
      </c>
      <c r="G837" s="46" t="s">
        <v>904</v>
      </c>
      <c r="H837" s="46">
        <v>1212</v>
      </c>
      <c r="I837" s="46" t="s">
        <v>1351</v>
      </c>
      <c r="J837" s="6">
        <v>46078</v>
      </c>
      <c r="K837" s="7" t="s">
        <v>1363</v>
      </c>
      <c r="L837" s="46" t="s">
        <v>915</v>
      </c>
      <c r="M837" s="46" t="str">
        <f>VLOOKUP(K837,[4]在职!$A:$B,2,0)</f>
        <v>00003</v>
      </c>
      <c r="N837" s="46" t="s">
        <v>1329</v>
      </c>
      <c r="O837" s="46" t="str">
        <f>VLOOKUP(K837,[4]在职!$A:$I,9,0)</f>
        <v>风控总监</v>
      </c>
      <c r="P837" s="83">
        <f>VLOOKUP(K837,[4]在职!$A:$D,4,0)</f>
        <v>43466</v>
      </c>
      <c r="Q837" s="102">
        <v>0</v>
      </c>
      <c r="R837" s="102">
        <v>0</v>
      </c>
      <c r="S837" s="7">
        <v>0</v>
      </c>
    </row>
    <row r="838" ht="16.5" hidden="1" spans="1:19">
      <c r="A838" s="46">
        <v>836</v>
      </c>
      <c r="B838" s="46" t="s">
        <v>39</v>
      </c>
      <c r="C838" s="46" t="str">
        <f>VLOOKUP(K838,[4]在职!$A:$E,5,0)</f>
        <v>内蒙古</v>
      </c>
      <c r="D838" s="46" t="s">
        <v>1348</v>
      </c>
      <c r="E838" s="46" t="s">
        <v>1349</v>
      </c>
      <c r="F838" s="46" t="s">
        <v>1350</v>
      </c>
      <c r="G838" s="46" t="s">
        <v>904</v>
      </c>
      <c r="H838" s="46">
        <v>1212</v>
      </c>
      <c r="I838" s="46" t="s">
        <v>1351</v>
      </c>
      <c r="J838" s="6">
        <v>46078</v>
      </c>
      <c r="K838" s="7" t="s">
        <v>1364</v>
      </c>
      <c r="L838" s="46" t="s">
        <v>915</v>
      </c>
      <c r="M838" s="46" t="str">
        <f>VLOOKUP(K838,[4]在职!$A:$B,2,0)</f>
        <v>00154</v>
      </c>
      <c r="N838" s="46" t="s">
        <v>1365</v>
      </c>
      <c r="O838" s="46" t="str">
        <f>VLOOKUP(K838,[4]在职!$A:$I,9,0)</f>
        <v>分公司总经理</v>
      </c>
      <c r="P838" s="83">
        <f>VLOOKUP(K838,[4]在职!$A:$D,4,0)</f>
        <v>44415</v>
      </c>
      <c r="Q838" s="102">
        <v>0</v>
      </c>
      <c r="R838" s="102">
        <v>0</v>
      </c>
      <c r="S838" s="7">
        <v>0</v>
      </c>
    </row>
    <row r="839" ht="16.5" hidden="1" spans="1:19">
      <c r="A839" s="46">
        <v>837</v>
      </c>
      <c r="B839" s="46" t="s">
        <v>39</v>
      </c>
      <c r="C839" s="46" t="str">
        <f>VLOOKUP(K839,[4]在职!$A:$E,5,0)</f>
        <v>山西</v>
      </c>
      <c r="D839" s="46" t="s">
        <v>1348</v>
      </c>
      <c r="E839" s="46" t="s">
        <v>1349</v>
      </c>
      <c r="F839" s="46" t="s">
        <v>1350</v>
      </c>
      <c r="G839" s="46" t="s">
        <v>904</v>
      </c>
      <c r="H839" s="46">
        <v>1212</v>
      </c>
      <c r="I839" s="46" t="s">
        <v>1351</v>
      </c>
      <c r="J839" s="6">
        <v>46078</v>
      </c>
      <c r="K839" s="7" t="s">
        <v>587</v>
      </c>
      <c r="L839" s="46" t="s">
        <v>915</v>
      </c>
      <c r="M839" s="46" t="str">
        <f>VLOOKUP(K839,[4]在职!$A:$B,2,0)</f>
        <v>00160</v>
      </c>
      <c r="N839" s="46" t="str">
        <f>VLOOKUP(K839,[4]在职!$A:$G,7,0)</f>
        <v>山西销售部</v>
      </c>
      <c r="O839" s="46" t="str">
        <f>VLOOKUP(K839,[4]在职!$A:$I,9,0)</f>
        <v>部长</v>
      </c>
      <c r="P839" s="83">
        <f>VLOOKUP(K839,[4]在职!$A:$D,4,0)</f>
        <v>44420</v>
      </c>
      <c r="Q839" s="102">
        <v>0</v>
      </c>
      <c r="R839" s="102">
        <v>0</v>
      </c>
      <c r="S839" s="7">
        <v>0</v>
      </c>
    </row>
    <row r="840" ht="16.5" hidden="1" spans="1:19">
      <c r="A840" s="46">
        <v>838</v>
      </c>
      <c r="B840" s="46" t="s">
        <v>39</v>
      </c>
      <c r="C840" s="46" t="str">
        <f>VLOOKUP(K840,[4]在职!$A:$E,5,0)</f>
        <v>西南总部</v>
      </c>
      <c r="D840" s="46" t="s">
        <v>1348</v>
      </c>
      <c r="E840" s="46" t="s">
        <v>1349</v>
      </c>
      <c r="F840" s="46" t="s">
        <v>1350</v>
      </c>
      <c r="G840" s="46" t="s">
        <v>904</v>
      </c>
      <c r="H840" s="46">
        <v>1212</v>
      </c>
      <c r="I840" s="46" t="s">
        <v>1351</v>
      </c>
      <c r="J840" s="6">
        <v>46078</v>
      </c>
      <c r="K840" s="7" t="s">
        <v>602</v>
      </c>
      <c r="L840" s="46" t="s">
        <v>915</v>
      </c>
      <c r="M840" s="46" t="str">
        <f>VLOOKUP(K840,[4]在职!$A:$B,2,0)</f>
        <v>00012</v>
      </c>
      <c r="N840" s="46" t="str">
        <f>VLOOKUP(K840,[4]在职!$A:$G,7,0)</f>
        <v>营业五部</v>
      </c>
      <c r="O840" s="46" t="str">
        <f>VLOOKUP(K840,[4]在职!$A:$I,9,0)</f>
        <v>二星正式经理</v>
      </c>
      <c r="P840" s="83">
        <f>VLOOKUP(K840,[4]在职!$A:$D,4,0)</f>
        <v>43757</v>
      </c>
      <c r="Q840" s="102">
        <v>0</v>
      </c>
      <c r="R840" s="102">
        <v>0</v>
      </c>
      <c r="S840" s="7">
        <v>0</v>
      </c>
    </row>
    <row r="841" ht="16.5" hidden="1" spans="1:19">
      <c r="A841" s="46">
        <v>839</v>
      </c>
      <c r="B841" s="46" t="s">
        <v>39</v>
      </c>
      <c r="C841" s="46" t="str">
        <f>VLOOKUP(K841,[4]在职!$A:$E,5,0)</f>
        <v>西南总部</v>
      </c>
      <c r="D841" s="46" t="s">
        <v>1348</v>
      </c>
      <c r="E841" s="46" t="s">
        <v>1349</v>
      </c>
      <c r="F841" s="46" t="s">
        <v>1350</v>
      </c>
      <c r="G841" s="46" t="s">
        <v>904</v>
      </c>
      <c r="H841" s="46">
        <v>1212</v>
      </c>
      <c r="I841" s="46" t="s">
        <v>1351</v>
      </c>
      <c r="J841" s="6">
        <v>46078</v>
      </c>
      <c r="K841" s="7" t="s">
        <v>1366</v>
      </c>
      <c r="L841" s="46" t="s">
        <v>915</v>
      </c>
      <c r="M841" s="46" t="str">
        <f>VLOOKUP(K841,[4]在职!$A:$B,2,0)</f>
        <v>00770</v>
      </c>
      <c r="N841" s="46" t="str">
        <f>VLOOKUP(K841,[4]在职!$A:$G,7,0)</f>
        <v>川西</v>
      </c>
      <c r="O841" s="46" t="str">
        <f>VLOOKUP(K841,[4]在职!$A:$I,9,0)</f>
        <v>区域拓展总监</v>
      </c>
      <c r="P841" s="83">
        <f>VLOOKUP(K841,[4]在职!$A:$D,4,0)</f>
        <v>45244</v>
      </c>
      <c r="Q841" s="102">
        <v>0</v>
      </c>
      <c r="R841" s="102">
        <v>0</v>
      </c>
      <c r="S841" s="7">
        <v>0</v>
      </c>
    </row>
    <row r="842" ht="16.5" hidden="1" spans="1:19">
      <c r="A842" s="46">
        <v>840</v>
      </c>
      <c r="B842" s="46" t="s">
        <v>39</v>
      </c>
      <c r="C842" s="46" t="str">
        <f>VLOOKUP(K842,[4]在职!$A:$E,5,0)</f>
        <v>西南总部</v>
      </c>
      <c r="D842" s="46" t="s">
        <v>1348</v>
      </c>
      <c r="E842" s="46" t="s">
        <v>1349</v>
      </c>
      <c r="F842" s="46" t="s">
        <v>1350</v>
      </c>
      <c r="G842" s="46" t="s">
        <v>904</v>
      </c>
      <c r="H842" s="46">
        <v>1212</v>
      </c>
      <c r="I842" s="46" t="s">
        <v>1351</v>
      </c>
      <c r="J842" s="6">
        <v>46078</v>
      </c>
      <c r="K842" s="7" t="s">
        <v>1367</v>
      </c>
      <c r="L842" s="46" t="s">
        <v>915</v>
      </c>
      <c r="M842" s="46" t="str">
        <f>VLOOKUP(K842,[4]在职!$A:$B,2,0)</f>
        <v>00416</v>
      </c>
      <c r="N842" s="46" t="str">
        <f>VLOOKUP(K842,[4]在职!$A:$G,7,0)</f>
        <v>川南</v>
      </c>
      <c r="O842" s="46" t="str">
        <f>VLOOKUP(K842,[4]在职!$A:$I,9,0)</f>
        <v>区域拓展总监</v>
      </c>
      <c r="P842" s="83">
        <f>VLOOKUP(K842,[4]在职!$A:$D,4,0)</f>
        <v>44805</v>
      </c>
      <c r="Q842" s="102">
        <v>0</v>
      </c>
      <c r="R842" s="102">
        <v>0</v>
      </c>
      <c r="S842" s="7">
        <v>0</v>
      </c>
    </row>
    <row r="843" ht="16.5" hidden="1" spans="1:19">
      <c r="A843" s="46">
        <v>841</v>
      </c>
      <c r="B843" s="46" t="s">
        <v>39</v>
      </c>
      <c r="C843" s="46" t="str">
        <f>VLOOKUP(K843,[4]在职!$A:$E,5,0)</f>
        <v>西南总部</v>
      </c>
      <c r="D843" s="46" t="s">
        <v>1348</v>
      </c>
      <c r="E843" s="46" t="s">
        <v>1349</v>
      </c>
      <c r="F843" s="46" t="s">
        <v>1350</v>
      </c>
      <c r="G843" s="46" t="s">
        <v>904</v>
      </c>
      <c r="H843" s="46">
        <v>1212</v>
      </c>
      <c r="I843" s="46" t="s">
        <v>1351</v>
      </c>
      <c r="J843" s="6">
        <v>46078</v>
      </c>
      <c r="K843" s="7" t="s">
        <v>1368</v>
      </c>
      <c r="L843" s="46" t="s">
        <v>915</v>
      </c>
      <c r="M843" s="46" t="str">
        <f>VLOOKUP(K843,[4]在职!$A:$B,2,0)</f>
        <v>00590</v>
      </c>
      <c r="N843" s="46" t="str">
        <f>VLOOKUP(K843,[4]在职!$A:$G,7,0)</f>
        <v>川东</v>
      </c>
      <c r="O843" s="46" t="str">
        <f>VLOOKUP(K843,[4]在职!$A:$I,9,0)</f>
        <v>二星拓展专员</v>
      </c>
      <c r="P843" s="83">
        <f>VLOOKUP(K843,[4]在职!$A:$D,4,0)</f>
        <v>44982</v>
      </c>
      <c r="Q843" s="102">
        <v>0</v>
      </c>
      <c r="R843" s="102">
        <v>0</v>
      </c>
      <c r="S843" s="7">
        <v>0</v>
      </c>
    </row>
    <row r="844" ht="16.5" hidden="1" spans="1:19">
      <c r="A844" s="46">
        <v>842</v>
      </c>
      <c r="B844" s="46" t="s">
        <v>39</v>
      </c>
      <c r="C844" s="46" t="str">
        <f>VLOOKUP(K844,[4]在职!$A:$E,5,0)</f>
        <v>湖南</v>
      </c>
      <c r="D844" s="46" t="s">
        <v>1348</v>
      </c>
      <c r="E844" s="46" t="s">
        <v>1349</v>
      </c>
      <c r="F844" s="46" t="s">
        <v>1350</v>
      </c>
      <c r="G844" s="46" t="s">
        <v>904</v>
      </c>
      <c r="H844" s="46">
        <v>1212</v>
      </c>
      <c r="I844" s="46" t="s">
        <v>1351</v>
      </c>
      <c r="J844" s="6">
        <v>46078</v>
      </c>
      <c r="K844" s="7" t="s">
        <v>1369</v>
      </c>
      <c r="L844" s="46" t="s">
        <v>915</v>
      </c>
      <c r="M844" s="46" t="str">
        <f>VLOOKUP(K844,[4]在职!$A:$B,2,0)</f>
        <v>00235</v>
      </c>
      <c r="N844" s="46" t="s">
        <v>1370</v>
      </c>
      <c r="O844" s="46" t="str">
        <f>VLOOKUP(K844,[4]在职!$A:$I,9,0)</f>
        <v>二星拓展专员</v>
      </c>
      <c r="P844" s="83">
        <f>VLOOKUP(K844,[4]在职!$A:$D,4,0)</f>
        <v>44543</v>
      </c>
      <c r="Q844" s="102">
        <v>0</v>
      </c>
      <c r="R844" s="102">
        <v>0</v>
      </c>
      <c r="S844" s="7">
        <v>0</v>
      </c>
    </row>
    <row r="845" ht="16.5" hidden="1" spans="1:19">
      <c r="A845" s="46">
        <v>843</v>
      </c>
      <c r="B845" s="46" t="s">
        <v>39</v>
      </c>
      <c r="C845" s="46" t="str">
        <f>VLOOKUP(K845,[4]在职!$A:$E,5,0)</f>
        <v>西南总部</v>
      </c>
      <c r="D845" s="46" t="s">
        <v>1348</v>
      </c>
      <c r="E845" s="46" t="s">
        <v>1349</v>
      </c>
      <c r="F845" s="46" t="s">
        <v>1350</v>
      </c>
      <c r="G845" s="46" t="s">
        <v>904</v>
      </c>
      <c r="H845" s="46">
        <v>1212</v>
      </c>
      <c r="I845" s="46" t="s">
        <v>1351</v>
      </c>
      <c r="J845" s="6">
        <v>46078</v>
      </c>
      <c r="K845" s="7" t="s">
        <v>407</v>
      </c>
      <c r="L845" s="46" t="s">
        <v>915</v>
      </c>
      <c r="M845" s="46" t="str">
        <f>VLOOKUP(K845,[4]在职!$A:$B,2,0)</f>
        <v>00345</v>
      </c>
      <c r="N845" s="46" t="str">
        <f>VLOOKUP(K845,[4]在职!$A:$G,7,0)</f>
        <v>营业七部</v>
      </c>
      <c r="O845" s="46" t="str">
        <f>VLOOKUP(K845,[4]在职!$A:$I,9,0)</f>
        <v>部长</v>
      </c>
      <c r="P845" s="83">
        <f>VLOOKUP(K845,[4]在职!$A:$D,4,0)</f>
        <v>44721</v>
      </c>
      <c r="Q845" s="102">
        <v>0</v>
      </c>
      <c r="R845" s="102">
        <v>0</v>
      </c>
      <c r="S845" s="7">
        <v>0</v>
      </c>
    </row>
    <row r="846" ht="16.5" hidden="1" spans="1:19">
      <c r="A846" s="46">
        <v>844</v>
      </c>
      <c r="B846" s="46" t="s">
        <v>39</v>
      </c>
      <c r="C846" s="46" t="str">
        <f>VLOOKUP(K846,[4]在职!$A:$E,5,0)</f>
        <v>集团职能</v>
      </c>
      <c r="D846" s="46" t="s">
        <v>1348</v>
      </c>
      <c r="E846" s="46" t="s">
        <v>1349</v>
      </c>
      <c r="F846" s="46" t="s">
        <v>1350</v>
      </c>
      <c r="G846" s="46" t="s">
        <v>904</v>
      </c>
      <c r="H846" s="46">
        <v>1212</v>
      </c>
      <c r="I846" s="46" t="s">
        <v>1351</v>
      </c>
      <c r="J846" s="6">
        <v>46078</v>
      </c>
      <c r="K846" s="7" t="s">
        <v>903</v>
      </c>
      <c r="L846" s="46" t="s">
        <v>915</v>
      </c>
      <c r="M846" s="46" t="str">
        <f>VLOOKUP(K846,[4]在职!$A:$B,2,0)</f>
        <v>00585</v>
      </c>
      <c r="N846" s="46" t="s">
        <v>1329</v>
      </c>
      <c r="O846" s="46" t="str">
        <f>VLOOKUP(K846,[4]在职!$A:$I,9,0)</f>
        <v>业绩增长部经理</v>
      </c>
      <c r="P846" s="83">
        <f>VLOOKUP(K846,[4]在职!$A:$D,4,0)</f>
        <v>44978</v>
      </c>
      <c r="Q846" s="102">
        <v>0</v>
      </c>
      <c r="R846" s="102">
        <v>0</v>
      </c>
      <c r="S846" s="7">
        <v>0</v>
      </c>
    </row>
    <row r="847" ht="16.5" hidden="1" spans="1:19">
      <c r="A847" s="46">
        <v>845</v>
      </c>
      <c r="B847" s="46" t="s">
        <v>39</v>
      </c>
      <c r="C847" s="46" t="str">
        <f>VLOOKUP(K847,[4]在职!$A:$E,5,0)</f>
        <v>集团职能</v>
      </c>
      <c r="D847" s="46" t="s">
        <v>1348</v>
      </c>
      <c r="E847" s="46" t="s">
        <v>1349</v>
      </c>
      <c r="F847" s="46" t="s">
        <v>1350</v>
      </c>
      <c r="G847" s="46" t="s">
        <v>904</v>
      </c>
      <c r="H847" s="46">
        <v>1212</v>
      </c>
      <c r="I847" s="46" t="s">
        <v>1351</v>
      </c>
      <c r="J847" s="6">
        <v>46078</v>
      </c>
      <c r="K847" s="7" t="s">
        <v>1371</v>
      </c>
      <c r="L847" s="46" t="s">
        <v>915</v>
      </c>
      <c r="M847" s="46" t="str">
        <f>VLOOKUP(K847,[4]在职!$A:$B,2,0)</f>
        <v>00828</v>
      </c>
      <c r="N847" s="46" t="s">
        <v>1329</v>
      </c>
      <c r="O847" s="46" t="str">
        <f>VLOOKUP(K847,[4]在职!$A:$I,9,0)</f>
        <v>教培主管</v>
      </c>
      <c r="P847" s="83">
        <f>VLOOKUP(K847,[4]在职!$A:$D,4,0)</f>
        <v>45345</v>
      </c>
      <c r="Q847" s="102">
        <v>0</v>
      </c>
      <c r="R847" s="102">
        <v>0</v>
      </c>
      <c r="S847" s="7">
        <v>0</v>
      </c>
    </row>
    <row r="848" ht="16.5" hidden="1" spans="1:19">
      <c r="A848" s="46">
        <v>846</v>
      </c>
      <c r="B848" s="46" t="s">
        <v>39</v>
      </c>
      <c r="C848" s="46" t="str">
        <f>VLOOKUP(K848,[4]在职!$A:$E,5,0)</f>
        <v>西南总部</v>
      </c>
      <c r="D848" s="46" t="s">
        <v>1348</v>
      </c>
      <c r="E848" s="46" t="s">
        <v>1349</v>
      </c>
      <c r="F848" s="46" t="s">
        <v>1350</v>
      </c>
      <c r="G848" s="46" t="s">
        <v>904</v>
      </c>
      <c r="H848" s="46">
        <v>1212</v>
      </c>
      <c r="I848" s="46" t="s">
        <v>1351</v>
      </c>
      <c r="J848" s="6">
        <v>46078</v>
      </c>
      <c r="K848" s="7" t="s">
        <v>322</v>
      </c>
      <c r="L848" s="46" t="s">
        <v>915</v>
      </c>
      <c r="M848" s="46" t="str">
        <f>VLOOKUP(K848,[4]在职!$A:$B,2,0)</f>
        <v>00087</v>
      </c>
      <c r="N848" s="46" t="str">
        <f>VLOOKUP(K848,[4]在职!$A:$G,7,0)</f>
        <v>营业六部</v>
      </c>
      <c r="O848" s="46" t="str">
        <f>VLOOKUP(K848,[4]在职!$A:$I,9,0)</f>
        <v>部长</v>
      </c>
      <c r="P848" s="83">
        <f>VLOOKUP(K848,[4]在职!$A:$D,4,0)</f>
        <v>44139</v>
      </c>
      <c r="Q848" s="102">
        <v>0</v>
      </c>
      <c r="R848" s="102">
        <v>0</v>
      </c>
      <c r="S848" s="7">
        <v>0</v>
      </c>
    </row>
    <row r="849" ht="16.5" hidden="1" spans="1:19">
      <c r="A849" s="46">
        <v>847</v>
      </c>
      <c r="B849" s="46" t="s">
        <v>39</v>
      </c>
      <c r="C849" s="46" t="str">
        <f>VLOOKUP(K849,[4]在职!$A:$E,5,0)</f>
        <v>河南</v>
      </c>
      <c r="D849" s="46" t="s">
        <v>1348</v>
      </c>
      <c r="E849" s="46" t="s">
        <v>1349</v>
      </c>
      <c r="F849" s="46" t="s">
        <v>1350</v>
      </c>
      <c r="G849" s="46" t="s">
        <v>904</v>
      </c>
      <c r="H849" s="46">
        <v>1212</v>
      </c>
      <c r="I849" s="46" t="s">
        <v>1351</v>
      </c>
      <c r="J849" s="6">
        <v>46078</v>
      </c>
      <c r="K849" s="7" t="s">
        <v>380</v>
      </c>
      <c r="L849" s="46" t="s">
        <v>915</v>
      </c>
      <c r="M849" s="46" t="str">
        <f>VLOOKUP(K849,[4]在职!$A:$B,2,0)</f>
        <v>00010</v>
      </c>
      <c r="N849" s="46">
        <f>VLOOKUP(K849,[4]在职!$A:$G,7,0)</f>
        <v>0</v>
      </c>
      <c r="O849" s="46" t="str">
        <f>VLOOKUP(K849,[4]在职!$A:$I,9,0)</f>
        <v>分公司副总经理</v>
      </c>
      <c r="P849" s="83">
        <f>VLOOKUP(K849,[4]在职!$A:$D,4,0)</f>
        <v>43743</v>
      </c>
      <c r="Q849" s="102">
        <v>0</v>
      </c>
      <c r="R849" s="102">
        <v>0</v>
      </c>
      <c r="S849" s="7">
        <v>0</v>
      </c>
    </row>
    <row r="850" ht="16.5" hidden="1" spans="1:19">
      <c r="A850" s="46">
        <v>848</v>
      </c>
      <c r="B850" s="46" t="s">
        <v>39</v>
      </c>
      <c r="C850" s="46" t="str">
        <f>VLOOKUP(K850,[4]在职!$A:$E,5,0)</f>
        <v>山东</v>
      </c>
      <c r="D850" s="46" t="s">
        <v>1348</v>
      </c>
      <c r="E850" s="46" t="s">
        <v>1349</v>
      </c>
      <c r="F850" s="46" t="s">
        <v>1350</v>
      </c>
      <c r="G850" s="46" t="s">
        <v>904</v>
      </c>
      <c r="H850" s="46">
        <v>1212</v>
      </c>
      <c r="I850" s="46" t="s">
        <v>1351</v>
      </c>
      <c r="J850" s="6">
        <v>46078</v>
      </c>
      <c r="K850" s="7" t="s">
        <v>444</v>
      </c>
      <c r="L850" s="46" t="s">
        <v>915</v>
      </c>
      <c r="M850" s="46" t="str">
        <f>VLOOKUP(K850,[4]在职!$A:$B,2,0)</f>
        <v>00166</v>
      </c>
      <c r="N850" s="46" t="str">
        <f>VLOOKUP(K850,[4]在职!$A:$G,7,0)</f>
        <v>山东销售部</v>
      </c>
      <c r="O850" s="46" t="str">
        <f>VLOOKUP(K850,[4]在职!$A:$I,9,0)</f>
        <v>二星正式经理</v>
      </c>
      <c r="P850" s="83">
        <f>VLOOKUP(K850,[4]在职!$A:$D,4,0)</f>
        <v>44426</v>
      </c>
      <c r="Q850" s="102">
        <v>0</v>
      </c>
      <c r="R850" s="102">
        <v>0</v>
      </c>
      <c r="S850" s="7">
        <v>0</v>
      </c>
    </row>
    <row r="851" ht="16.5" hidden="1" spans="1:19">
      <c r="A851" s="46">
        <v>849</v>
      </c>
      <c r="B851" s="46" t="s">
        <v>39</v>
      </c>
      <c r="C851" s="46" t="str">
        <f>VLOOKUP(K851,[4]在职!$A:$E,5,0)</f>
        <v>山东</v>
      </c>
      <c r="D851" s="46" t="s">
        <v>1348</v>
      </c>
      <c r="E851" s="46" t="s">
        <v>1349</v>
      </c>
      <c r="F851" s="46" t="s">
        <v>1350</v>
      </c>
      <c r="G851" s="46" t="s">
        <v>904</v>
      </c>
      <c r="H851" s="46">
        <v>1212</v>
      </c>
      <c r="I851" s="46" t="s">
        <v>1351</v>
      </c>
      <c r="J851" s="6">
        <v>46078</v>
      </c>
      <c r="K851" s="7" t="s">
        <v>1372</v>
      </c>
      <c r="L851" s="46" t="s">
        <v>915</v>
      </c>
      <c r="M851" s="46" t="str">
        <f>VLOOKUP(K851,[4]在职!$A:$B,2,0)</f>
        <v>00315</v>
      </c>
      <c r="N851" s="46" t="s">
        <v>1373</v>
      </c>
      <c r="O851" s="46" t="str">
        <f>VLOOKUP(K851,[4]在职!$A:$I,9,0)</f>
        <v>区域拓展总监</v>
      </c>
      <c r="P851" s="83">
        <f>VLOOKUP(K851,[4]在职!$A:$D,4,0)</f>
        <v>43974</v>
      </c>
      <c r="Q851" s="102">
        <v>0</v>
      </c>
      <c r="R851" s="102">
        <v>0</v>
      </c>
      <c r="S851" s="7">
        <v>0</v>
      </c>
    </row>
    <row r="852" ht="16.5" hidden="1" spans="1:19">
      <c r="A852" s="46">
        <v>850</v>
      </c>
      <c r="B852" s="46" t="s">
        <v>39</v>
      </c>
      <c r="C852" s="46" t="str">
        <f>VLOOKUP(K852,[4]在职!$A:$E,5,0)</f>
        <v>河北</v>
      </c>
      <c r="D852" s="46" t="s">
        <v>1348</v>
      </c>
      <c r="E852" s="46" t="s">
        <v>1349</v>
      </c>
      <c r="F852" s="46" t="s">
        <v>1350</v>
      </c>
      <c r="G852" s="46" t="s">
        <v>904</v>
      </c>
      <c r="H852" s="46">
        <v>1212</v>
      </c>
      <c r="I852" s="46" t="s">
        <v>1351</v>
      </c>
      <c r="J852" s="6">
        <v>46078</v>
      </c>
      <c r="K852" s="7" t="s">
        <v>1374</v>
      </c>
      <c r="L852" s="46" t="s">
        <v>915</v>
      </c>
      <c r="M852" s="46" t="str">
        <f>VLOOKUP(K852,[4]在职!$A:$B,2,0)</f>
        <v>00039</v>
      </c>
      <c r="N852" s="46" t="s">
        <v>1357</v>
      </c>
      <c r="O852" s="46" t="str">
        <f>VLOOKUP(K852,[4]在职!$A:$I,9,0)</f>
        <v>分公司总经理</v>
      </c>
      <c r="P852" s="83">
        <f>VLOOKUP(K852,[4]在职!$A:$D,4,0)</f>
        <v>43721</v>
      </c>
      <c r="Q852" s="102">
        <v>0</v>
      </c>
      <c r="R852" s="102">
        <v>0</v>
      </c>
      <c r="S852" s="7">
        <v>0</v>
      </c>
    </row>
    <row r="853" ht="16.5" hidden="1" spans="1:19">
      <c r="A853" s="46">
        <v>851</v>
      </c>
      <c r="B853" s="46" t="s">
        <v>39</v>
      </c>
      <c r="C853" s="46" t="str">
        <f>VLOOKUP(K853,[4]在职!$A:$E,5,0)</f>
        <v>湖南</v>
      </c>
      <c r="D853" s="46" t="s">
        <v>1348</v>
      </c>
      <c r="E853" s="46" t="s">
        <v>1349</v>
      </c>
      <c r="F853" s="46" t="s">
        <v>1350</v>
      </c>
      <c r="G853" s="46" t="s">
        <v>904</v>
      </c>
      <c r="H853" s="46">
        <v>1212</v>
      </c>
      <c r="I853" s="46" t="s">
        <v>1351</v>
      </c>
      <c r="J853" s="6">
        <v>46078</v>
      </c>
      <c r="K853" s="7" t="s">
        <v>336</v>
      </c>
      <c r="L853" s="46" t="s">
        <v>915</v>
      </c>
      <c r="M853" s="46" t="str">
        <f>VLOOKUP(K853,[4]在职!$A:$B,2,0)</f>
        <v>00288</v>
      </c>
      <c r="N853" s="46" t="str">
        <f>VLOOKUP(K853,[4]在职!$A:$G,7,0)</f>
        <v>湖南销售部</v>
      </c>
      <c r="O853" s="46" t="str">
        <f>VLOOKUP(K853,[4]在职!$A:$I,9,0)</f>
        <v>二星正式经理</v>
      </c>
      <c r="P853" s="83">
        <f>VLOOKUP(K853,[4]在职!$A:$D,4,0)</f>
        <v>44578</v>
      </c>
      <c r="Q853" s="102">
        <v>0</v>
      </c>
      <c r="R853" s="102">
        <v>0</v>
      </c>
      <c r="S853" s="7">
        <v>0</v>
      </c>
    </row>
    <row r="854" ht="16.5" hidden="1" spans="1:19">
      <c r="A854" s="46">
        <v>852</v>
      </c>
      <c r="B854" s="46" t="s">
        <v>39</v>
      </c>
      <c r="C854" s="46" t="str">
        <f>VLOOKUP(K854,[4]在职!$A:$E,5,0)</f>
        <v>湖北</v>
      </c>
      <c r="D854" s="46" t="s">
        <v>1348</v>
      </c>
      <c r="E854" s="46" t="s">
        <v>1349</v>
      </c>
      <c r="F854" s="46" t="s">
        <v>1350</v>
      </c>
      <c r="G854" s="46" t="s">
        <v>904</v>
      </c>
      <c r="H854" s="46">
        <v>1212</v>
      </c>
      <c r="I854" s="46" t="s">
        <v>1351</v>
      </c>
      <c r="J854" s="6">
        <v>46078</v>
      </c>
      <c r="K854" s="7" t="s">
        <v>89</v>
      </c>
      <c r="L854" s="46" t="s">
        <v>915</v>
      </c>
      <c r="M854" s="46" t="str">
        <f>VLOOKUP(K854,[4]在职!$A:$B,2,0)</f>
        <v>00549</v>
      </c>
      <c r="N854" s="46" t="str">
        <f>VLOOKUP(K854,[4]在职!$A:$G,7,0)</f>
        <v>湖北2部</v>
      </c>
      <c r="O854" s="46" t="str">
        <f>VLOOKUP(K854,[4]在职!$A:$I,9,0)</f>
        <v>部长</v>
      </c>
      <c r="P854" s="83">
        <f>VLOOKUP(K854,[4]在职!$A:$D,4,0)</f>
        <v>44933</v>
      </c>
      <c r="Q854" s="102">
        <v>0</v>
      </c>
      <c r="R854" s="102">
        <v>0</v>
      </c>
      <c r="S854" s="7">
        <v>0</v>
      </c>
    </row>
    <row r="855" ht="16.5" hidden="1" spans="1:19">
      <c r="A855" s="46">
        <v>853</v>
      </c>
      <c r="B855" s="46" t="s">
        <v>39</v>
      </c>
      <c r="C855" s="46" t="str">
        <f>VLOOKUP(K855,[4]在职!$A:$E,5,0)</f>
        <v>集团职能</v>
      </c>
      <c r="D855" s="46" t="s">
        <v>1348</v>
      </c>
      <c r="E855" s="46" t="s">
        <v>1349</v>
      </c>
      <c r="F855" s="46" t="s">
        <v>1350</v>
      </c>
      <c r="G855" s="46" t="s">
        <v>904</v>
      </c>
      <c r="H855" s="46">
        <v>1212</v>
      </c>
      <c r="I855" s="46" t="s">
        <v>1351</v>
      </c>
      <c r="J855" s="6">
        <v>46078</v>
      </c>
      <c r="K855" s="7" t="s">
        <v>1375</v>
      </c>
      <c r="L855" s="46" t="s">
        <v>915</v>
      </c>
      <c r="M855" s="46" t="str">
        <f>VLOOKUP(K855,[4]在职!$A:$B,2,0)</f>
        <v>00380</v>
      </c>
      <c r="N855" s="46" t="s">
        <v>1329</v>
      </c>
      <c r="O855" s="46" t="str">
        <f>VLOOKUP(K855,[4]在职!$A:$I,9,0)</f>
        <v>拓展BP组长</v>
      </c>
      <c r="P855" s="83">
        <f>VLOOKUP(K855,[4]在职!$A:$D,4,0)</f>
        <v>44753</v>
      </c>
      <c r="Q855" s="102">
        <v>0</v>
      </c>
      <c r="R855" s="102">
        <v>0</v>
      </c>
      <c r="S855" s="7">
        <v>0</v>
      </c>
    </row>
    <row r="856" ht="16.5" hidden="1" spans="1:19">
      <c r="A856" s="46">
        <v>854</v>
      </c>
      <c r="B856" s="46" t="s">
        <v>39</v>
      </c>
      <c r="C856" s="46" t="str">
        <f>VLOOKUP(K856,[4]在职!$A:$E,5,0)</f>
        <v>河南</v>
      </c>
      <c r="D856" s="46" t="s">
        <v>1348</v>
      </c>
      <c r="E856" s="46" t="s">
        <v>1349</v>
      </c>
      <c r="F856" s="46" t="s">
        <v>1350</v>
      </c>
      <c r="G856" s="46" t="s">
        <v>904</v>
      </c>
      <c r="H856" s="46">
        <v>1212</v>
      </c>
      <c r="I856" s="46" t="s">
        <v>1351</v>
      </c>
      <c r="J856" s="6">
        <v>46078</v>
      </c>
      <c r="K856" s="7" t="s">
        <v>1376</v>
      </c>
      <c r="L856" s="46" t="s">
        <v>915</v>
      </c>
      <c r="M856" s="46" t="str">
        <f>VLOOKUP(K856,[4]在职!$A:$B,2,0)</f>
        <v>00040</v>
      </c>
      <c r="N856" s="46" t="s">
        <v>1377</v>
      </c>
      <c r="O856" s="46" t="str">
        <f>VLOOKUP(K856,[4]在职!$A:$I,9,0)</f>
        <v>分公司总经理</v>
      </c>
      <c r="P856" s="83">
        <f>VLOOKUP(K856,[4]在职!$A:$D,4,0)</f>
        <v>43692</v>
      </c>
      <c r="Q856" s="102">
        <v>0</v>
      </c>
      <c r="R856" s="102">
        <v>0</v>
      </c>
      <c r="S856" s="7">
        <v>0</v>
      </c>
    </row>
    <row r="857" ht="16.5" hidden="1" spans="1:19">
      <c r="A857" s="46">
        <v>855</v>
      </c>
      <c r="B857" s="46" t="s">
        <v>39</v>
      </c>
      <c r="C857" s="46" t="str">
        <f>VLOOKUP(K857,[4]在职!$A:$E,5,0)</f>
        <v>西南总部</v>
      </c>
      <c r="D857" s="46" t="s">
        <v>1348</v>
      </c>
      <c r="E857" s="46" t="s">
        <v>1349</v>
      </c>
      <c r="F857" s="46" t="s">
        <v>1350</v>
      </c>
      <c r="G857" s="46" t="s">
        <v>904</v>
      </c>
      <c r="H857" s="46">
        <v>1212</v>
      </c>
      <c r="I857" s="46" t="s">
        <v>1351</v>
      </c>
      <c r="J857" s="6">
        <v>46078</v>
      </c>
      <c r="K857" s="7" t="s">
        <v>129</v>
      </c>
      <c r="L857" s="46" t="s">
        <v>915</v>
      </c>
      <c r="M857" s="46" t="str">
        <f>VLOOKUP(K857,[4]在职!$A:$B,2,0)</f>
        <v>00472</v>
      </c>
      <c r="N857" s="46" t="str">
        <f>VLOOKUP(K857,[4]在职!$A:$G,7,0)</f>
        <v>营业五部</v>
      </c>
      <c r="O857" s="46" t="str">
        <f>VLOOKUP(K857,[4]在职!$A:$I,9,0)</f>
        <v>部长</v>
      </c>
      <c r="P857" s="83">
        <f>VLOOKUP(K857,[4]在职!$A:$D,4,0)</f>
        <v>44878</v>
      </c>
      <c r="Q857" s="102">
        <v>0</v>
      </c>
      <c r="R857" s="102">
        <v>0</v>
      </c>
      <c r="S857" s="7">
        <v>0</v>
      </c>
    </row>
    <row r="858" ht="16.5" hidden="1" spans="1:19">
      <c r="A858" s="46">
        <v>856</v>
      </c>
      <c r="B858" s="46" t="s">
        <v>39</v>
      </c>
      <c r="C858" s="46" t="str">
        <f>VLOOKUP(K858,[4]在职!$A:$E,5,0)</f>
        <v>西南总部</v>
      </c>
      <c r="D858" s="46" t="s">
        <v>1348</v>
      </c>
      <c r="E858" s="46" t="s">
        <v>1349</v>
      </c>
      <c r="F858" s="46" t="s">
        <v>1350</v>
      </c>
      <c r="G858" s="46" t="s">
        <v>904</v>
      </c>
      <c r="H858" s="46">
        <v>1212</v>
      </c>
      <c r="I858" s="46" t="s">
        <v>1351</v>
      </c>
      <c r="J858" s="6">
        <v>46078</v>
      </c>
      <c r="K858" s="7" t="s">
        <v>155</v>
      </c>
      <c r="L858" s="46" t="s">
        <v>915</v>
      </c>
      <c r="M858" s="46" t="str">
        <f>VLOOKUP(K858,[4]在职!$A:$B,2,0)</f>
        <v>00117</v>
      </c>
      <c r="N858" s="46" t="str">
        <f>VLOOKUP(K858,[4]在职!$A:$G,7,0)</f>
        <v>营业四部</v>
      </c>
      <c r="O858" s="46" t="str">
        <f>VLOOKUP(K858,[4]在职!$A:$I,9,0)</f>
        <v>部长</v>
      </c>
      <c r="P858" s="83">
        <f>VLOOKUP(K858,[4]在职!$A:$D,4,0)</f>
        <v>44272</v>
      </c>
      <c r="Q858" s="102">
        <v>0</v>
      </c>
      <c r="R858" s="102">
        <v>0</v>
      </c>
      <c r="S858" s="7">
        <v>0</v>
      </c>
    </row>
    <row r="859" ht="16.5" hidden="1" spans="1:19">
      <c r="A859" s="46">
        <v>857</v>
      </c>
      <c r="B859" s="46" t="s">
        <v>39</v>
      </c>
      <c r="C859" s="46" t="str">
        <f>VLOOKUP(K859,[4]在职!$A:$E,5,0)</f>
        <v>西南总部</v>
      </c>
      <c r="D859" s="46" t="s">
        <v>1348</v>
      </c>
      <c r="E859" s="46" t="s">
        <v>1349</v>
      </c>
      <c r="F859" s="46" t="s">
        <v>1350</v>
      </c>
      <c r="G859" s="46" t="s">
        <v>904</v>
      </c>
      <c r="H859" s="46">
        <v>1212</v>
      </c>
      <c r="I859" s="46" t="s">
        <v>1351</v>
      </c>
      <c r="J859" s="6">
        <v>46078</v>
      </c>
      <c r="K859" s="7" t="s">
        <v>1111</v>
      </c>
      <c r="L859" s="46" t="s">
        <v>915</v>
      </c>
      <c r="M859" s="46" t="str">
        <f>VLOOKUP(K859,[4]在职!$A:$B,2,0)</f>
        <v>00036</v>
      </c>
      <c r="N859" s="46" t="str">
        <f>VLOOKUP(K859,[4]在职!$A:$G,7,0)</f>
        <v>营业三部</v>
      </c>
      <c r="O859" s="46" t="str">
        <f>VLOOKUP(K859,[4]在职!$A:$I,9,0)</f>
        <v>督导</v>
      </c>
      <c r="P859" s="83">
        <f>VLOOKUP(K859,[4]在职!$A:$D,4,0)</f>
        <v>43800</v>
      </c>
      <c r="Q859" s="102">
        <v>0</v>
      </c>
      <c r="R859" s="102">
        <v>0</v>
      </c>
      <c r="S859" s="7">
        <v>0</v>
      </c>
    </row>
    <row r="860" ht="16.5" hidden="1" spans="1:19">
      <c r="A860" s="46">
        <v>858</v>
      </c>
      <c r="B860" s="46" t="s">
        <v>39</v>
      </c>
      <c r="C860" s="46" t="str">
        <f>VLOOKUP(K860,[4]在职!$A:$E,5,0)</f>
        <v>湖南</v>
      </c>
      <c r="D860" s="46" t="s">
        <v>1348</v>
      </c>
      <c r="E860" s="46" t="s">
        <v>1349</v>
      </c>
      <c r="F860" s="46" t="s">
        <v>1350</v>
      </c>
      <c r="G860" s="46" t="s">
        <v>904</v>
      </c>
      <c r="H860" s="46">
        <v>1212</v>
      </c>
      <c r="I860" s="46" t="s">
        <v>1351</v>
      </c>
      <c r="J860" s="6">
        <v>46078</v>
      </c>
      <c r="K860" s="7" t="s">
        <v>1378</v>
      </c>
      <c r="L860" s="46" t="s">
        <v>915</v>
      </c>
      <c r="M860" s="46" t="str">
        <f>VLOOKUP(K860,[4]在职!$A:$B,2,0)</f>
        <v>00094</v>
      </c>
      <c r="N860" s="46" t="s">
        <v>105</v>
      </c>
      <c r="O860" s="46" t="str">
        <f>VLOOKUP(K860,[4]在职!$A:$I,9,0)</f>
        <v>分公司总经理</v>
      </c>
      <c r="P860" s="83">
        <f>VLOOKUP(K860,[4]在职!$A:$D,4,0)</f>
        <v>44175</v>
      </c>
      <c r="Q860" s="102">
        <v>0</v>
      </c>
      <c r="R860" s="102">
        <v>0</v>
      </c>
      <c r="S860" s="7">
        <v>0</v>
      </c>
    </row>
    <row r="861" ht="16.5" hidden="1" spans="1:19">
      <c r="A861" s="46">
        <v>859</v>
      </c>
      <c r="B861" s="46" t="s">
        <v>39</v>
      </c>
      <c r="C861" s="46" t="str">
        <f>VLOOKUP(K861,[4]在职!$A:$E,5,0)</f>
        <v>安徽</v>
      </c>
      <c r="D861" s="46" t="s">
        <v>1348</v>
      </c>
      <c r="E861" s="46" t="s">
        <v>1349</v>
      </c>
      <c r="F861" s="46" t="s">
        <v>1350</v>
      </c>
      <c r="G861" s="46" t="s">
        <v>904</v>
      </c>
      <c r="H861" s="46">
        <v>1212</v>
      </c>
      <c r="I861" s="46" t="s">
        <v>1351</v>
      </c>
      <c r="J861" s="6">
        <v>46078</v>
      </c>
      <c r="K861" s="7" t="s">
        <v>1379</v>
      </c>
      <c r="L861" s="46" t="s">
        <v>915</v>
      </c>
      <c r="M861" s="46" t="str">
        <f>VLOOKUP(K861,[4]在职!$A:$B,2,0)</f>
        <v>00032</v>
      </c>
      <c r="N861" s="46" t="s">
        <v>1380</v>
      </c>
      <c r="O861" s="46" t="str">
        <f>VLOOKUP(K861,[4]在职!$A:$I,9,0)</f>
        <v>分公司总经理</v>
      </c>
      <c r="P861" s="83">
        <f>VLOOKUP(K861,[4]在职!$A:$D,4,0)</f>
        <v>43910</v>
      </c>
      <c r="Q861" s="102">
        <v>0</v>
      </c>
      <c r="R861" s="102">
        <v>0</v>
      </c>
      <c r="S861" s="7">
        <v>0</v>
      </c>
    </row>
    <row r="862" ht="16.5" hidden="1" spans="1:19">
      <c r="A862" s="46">
        <v>860</v>
      </c>
      <c r="B862" s="46" t="s">
        <v>39</v>
      </c>
      <c r="C862" s="46" t="str">
        <f>VLOOKUP(K862,[4]在职!$A:$E,5,0)</f>
        <v>西南总部</v>
      </c>
      <c r="D862" s="46" t="s">
        <v>1348</v>
      </c>
      <c r="E862" s="46" t="s">
        <v>1349</v>
      </c>
      <c r="F862" s="46" t="s">
        <v>1350</v>
      </c>
      <c r="G862" s="46" t="s">
        <v>904</v>
      </c>
      <c r="H862" s="46">
        <v>1212</v>
      </c>
      <c r="I862" s="46" t="s">
        <v>1351</v>
      </c>
      <c r="J862" s="6">
        <v>46078</v>
      </c>
      <c r="K862" s="7" t="s">
        <v>413</v>
      </c>
      <c r="L862" s="46" t="s">
        <v>915</v>
      </c>
      <c r="M862" s="46" t="str">
        <f>VLOOKUP(K862,[4]在职!$A:$B,2,0)</f>
        <v>00522</v>
      </c>
      <c r="N862" s="46" t="str">
        <f>VLOOKUP(K862,[4]在职!$A:$G,7,0)</f>
        <v>营业二部</v>
      </c>
      <c r="O862" s="46" t="str">
        <f>VLOOKUP(K862,[4]在职!$A:$I,9,0)</f>
        <v>一星正式经理</v>
      </c>
      <c r="P862" s="83">
        <f>VLOOKUP(K862,[4]在职!$A:$D,4,0)</f>
        <v>44919</v>
      </c>
      <c r="Q862" s="102">
        <v>0</v>
      </c>
      <c r="R862" s="102">
        <v>0</v>
      </c>
      <c r="S862" s="7">
        <v>0</v>
      </c>
    </row>
    <row r="863" ht="16.5" hidden="1" spans="1:19">
      <c r="A863" s="46">
        <v>861</v>
      </c>
      <c r="B863" s="46" t="s">
        <v>39</v>
      </c>
      <c r="C863" s="46" t="str">
        <f>VLOOKUP(K863,[4]在职!$A:$E,5,0)</f>
        <v>西南总部</v>
      </c>
      <c r="D863" s="46" t="s">
        <v>1348</v>
      </c>
      <c r="E863" s="46" t="s">
        <v>1349</v>
      </c>
      <c r="F863" s="46" t="s">
        <v>1350</v>
      </c>
      <c r="G863" s="46" t="s">
        <v>904</v>
      </c>
      <c r="H863" s="46">
        <v>1212</v>
      </c>
      <c r="I863" s="46" t="s">
        <v>1351</v>
      </c>
      <c r="J863" s="6">
        <v>46078</v>
      </c>
      <c r="K863" s="7" t="s">
        <v>82</v>
      </c>
      <c r="L863" s="46" t="s">
        <v>915</v>
      </c>
      <c r="M863" s="46" t="str">
        <f>VLOOKUP(K863,[4]在职!$A:$B,2,0)</f>
        <v>00060</v>
      </c>
      <c r="N863" s="46" t="str">
        <f>VLOOKUP(K863,[4]在职!$A:$G,7,0)</f>
        <v>营业二部</v>
      </c>
      <c r="O863" s="46" t="str">
        <f>VLOOKUP(K863,[4]在职!$A:$I,9,0)</f>
        <v>部长</v>
      </c>
      <c r="P863" s="83">
        <f>VLOOKUP(K863,[4]在职!$A:$D,4,0)</f>
        <v>44033</v>
      </c>
      <c r="Q863" s="102">
        <v>0</v>
      </c>
      <c r="R863" s="102">
        <v>0</v>
      </c>
      <c r="S863" s="7">
        <v>0</v>
      </c>
    </row>
    <row r="864" ht="16.5" hidden="1" spans="1:19">
      <c r="A864" s="46">
        <v>862</v>
      </c>
      <c r="B864" s="46" t="s">
        <v>39</v>
      </c>
      <c r="C864" s="46" t="str">
        <f>VLOOKUP(K864,[4]在职!$A:$E,5,0)</f>
        <v>集团职能</v>
      </c>
      <c r="D864" s="46" t="s">
        <v>1348</v>
      </c>
      <c r="E864" s="46" t="s">
        <v>1349</v>
      </c>
      <c r="F864" s="46" t="s">
        <v>1350</v>
      </c>
      <c r="G864" s="46" t="s">
        <v>904</v>
      </c>
      <c r="H864" s="46">
        <v>1212</v>
      </c>
      <c r="I864" s="46" t="s">
        <v>1351</v>
      </c>
      <c r="J864" s="6">
        <v>46078</v>
      </c>
      <c r="K864" s="7" t="s">
        <v>1381</v>
      </c>
      <c r="L864" s="46" t="s">
        <v>915</v>
      </c>
      <c r="M864" s="46" t="str">
        <f>VLOOKUP(K864,[4]在职!$A:$B,2,0)</f>
        <v>00068</v>
      </c>
      <c r="N864" s="46" t="s">
        <v>1329</v>
      </c>
      <c r="O864" s="46" t="str">
        <f>VLOOKUP(K864,[4]在职!$A:$I,9,0)</f>
        <v>拓展BP</v>
      </c>
      <c r="P864" s="83">
        <f>VLOOKUP(K864,[4]在职!$A:$D,4,0)</f>
        <v>44062</v>
      </c>
      <c r="Q864" s="102">
        <v>0</v>
      </c>
      <c r="R864" s="102">
        <v>0</v>
      </c>
      <c r="S864" s="7">
        <v>0</v>
      </c>
    </row>
    <row r="865" ht="16.5" hidden="1" spans="1:19">
      <c r="A865" s="46">
        <v>863</v>
      </c>
      <c r="B865" s="46" t="s">
        <v>39</v>
      </c>
      <c r="C865" s="46" t="str">
        <f>VLOOKUP(K865,[4]在职!$A:$E,5,0)</f>
        <v>集团职能</v>
      </c>
      <c r="D865" s="46" t="s">
        <v>1348</v>
      </c>
      <c r="E865" s="46" t="s">
        <v>1349</v>
      </c>
      <c r="F865" s="46" t="s">
        <v>1350</v>
      </c>
      <c r="G865" s="46" t="s">
        <v>904</v>
      </c>
      <c r="H865" s="46">
        <v>1212</v>
      </c>
      <c r="I865" s="46" t="s">
        <v>1351</v>
      </c>
      <c r="J865" s="6">
        <v>46078</v>
      </c>
      <c r="K865" s="7" t="s">
        <v>1382</v>
      </c>
      <c r="L865" s="46" t="s">
        <v>915</v>
      </c>
      <c r="M865" s="46" t="str">
        <f>VLOOKUP(K865,[4]在职!$A:$B,2,0)</f>
        <v>00037</v>
      </c>
      <c r="N865" s="46" t="s">
        <v>1329</v>
      </c>
      <c r="O865" s="46" t="str">
        <f>VLOOKUP(K865,[4]在职!$A:$I,9,0)</f>
        <v>财务经理</v>
      </c>
      <c r="P865" s="83">
        <f>VLOOKUP(K865,[4]在职!$A:$D,4,0)</f>
        <v>43525</v>
      </c>
      <c r="Q865" s="102">
        <v>0</v>
      </c>
      <c r="R865" s="102">
        <v>0</v>
      </c>
      <c r="S865" s="7">
        <v>0</v>
      </c>
    </row>
    <row r="866" ht="16.5" hidden="1" spans="1:19">
      <c r="A866" s="46">
        <v>864</v>
      </c>
      <c r="B866" s="46" t="s">
        <v>39</v>
      </c>
      <c r="C866" s="46" t="str">
        <f>VLOOKUP(K866,[4]在职!$A:$E,5,0)</f>
        <v>山东</v>
      </c>
      <c r="D866" s="46" t="s">
        <v>1348</v>
      </c>
      <c r="E866" s="46" t="s">
        <v>1349</v>
      </c>
      <c r="F866" s="46" t="s">
        <v>1350</v>
      </c>
      <c r="G866" s="46" t="s">
        <v>904</v>
      </c>
      <c r="H866" s="46">
        <v>1212</v>
      </c>
      <c r="I866" s="46" t="s">
        <v>1351</v>
      </c>
      <c r="J866" s="6">
        <v>46078</v>
      </c>
      <c r="K866" s="7" t="s">
        <v>1152</v>
      </c>
      <c r="L866" s="46" t="s">
        <v>915</v>
      </c>
      <c r="M866" s="46" t="str">
        <f>VLOOKUP(K866,[4]在职!$A:$B,2,0)</f>
        <v>00067</v>
      </c>
      <c r="N866" s="46" t="s">
        <v>125</v>
      </c>
      <c r="O866" s="46" t="str">
        <f>VLOOKUP(K866,[4]在职!$A:$I,9,0)</f>
        <v>分公司总经理</v>
      </c>
      <c r="P866" s="83">
        <f>VLOOKUP(K866,[4]在职!$A:$D,4,0)</f>
        <v>44054</v>
      </c>
      <c r="Q866" s="102">
        <v>0</v>
      </c>
      <c r="R866" s="102">
        <v>0</v>
      </c>
      <c r="S866" s="7">
        <v>0</v>
      </c>
    </row>
    <row r="867" ht="16.5" hidden="1" spans="1:19">
      <c r="A867" s="46">
        <v>865</v>
      </c>
      <c r="B867" s="46" t="s">
        <v>39</v>
      </c>
      <c r="C867" s="46" t="str">
        <f>VLOOKUP(K867,[4]在职!$A:$E,5,0)</f>
        <v>湖北</v>
      </c>
      <c r="D867" s="46" t="s">
        <v>1348</v>
      </c>
      <c r="E867" s="46" t="s">
        <v>1349</v>
      </c>
      <c r="F867" s="46" t="s">
        <v>1350</v>
      </c>
      <c r="G867" s="46" t="s">
        <v>904</v>
      </c>
      <c r="H867" s="46">
        <v>1212</v>
      </c>
      <c r="I867" s="46" t="s">
        <v>1351</v>
      </c>
      <c r="J867" s="6">
        <v>46078</v>
      </c>
      <c r="K867" s="7" t="s">
        <v>189</v>
      </c>
      <c r="L867" s="46" t="s">
        <v>915</v>
      </c>
      <c r="M867" s="46" t="str">
        <f>VLOOKUP(K867,[4]在职!$A:$B,2,0)</f>
        <v>00333</v>
      </c>
      <c r="N867" s="46" t="str">
        <f>VLOOKUP(K867,[4]在职!$A:$G,7,0)</f>
        <v>湖北1部</v>
      </c>
      <c r="O867" s="46" t="str">
        <f>VLOOKUP(K867,[4]在职!$A:$I,9,0)</f>
        <v>部长</v>
      </c>
      <c r="P867" s="83">
        <f>VLOOKUP(K867,[4]在职!$A:$D,4,0)</f>
        <v>44698</v>
      </c>
      <c r="Q867" s="102">
        <v>0</v>
      </c>
      <c r="R867" s="102">
        <v>0</v>
      </c>
      <c r="S867" s="7">
        <v>0</v>
      </c>
    </row>
    <row r="868" ht="16.5" hidden="1" spans="1:19">
      <c r="A868" s="46">
        <v>866</v>
      </c>
      <c r="B868" s="46" t="s">
        <v>39</v>
      </c>
      <c r="C868" s="46" t="str">
        <f>VLOOKUP(K868,[4]在职!$A:$E,5,0)</f>
        <v>山西</v>
      </c>
      <c r="D868" s="46" t="s">
        <v>1348</v>
      </c>
      <c r="E868" s="46" t="s">
        <v>1349</v>
      </c>
      <c r="F868" s="46" t="s">
        <v>1350</v>
      </c>
      <c r="G868" s="46" t="s">
        <v>904</v>
      </c>
      <c r="H868" s="46">
        <v>1212</v>
      </c>
      <c r="I868" s="46" t="s">
        <v>1351</v>
      </c>
      <c r="J868" s="6">
        <v>46078</v>
      </c>
      <c r="K868" s="7" t="s">
        <v>433</v>
      </c>
      <c r="L868" s="46" t="s">
        <v>915</v>
      </c>
      <c r="M868" s="46" t="str">
        <f>VLOOKUP(K868,[4]在职!$A:$B,2,0)</f>
        <v>00015</v>
      </c>
      <c r="N868" s="46">
        <f>VLOOKUP(K868,[4]在职!$A:$G,7,0)</f>
        <v>0</v>
      </c>
      <c r="O868" s="46" t="str">
        <f>VLOOKUP(K868,[4]在职!$A:$I,9,0)</f>
        <v>分公司副总经理</v>
      </c>
      <c r="P868" s="83">
        <f>VLOOKUP(K868,[4]在职!$A:$D,4,0)</f>
        <v>43904</v>
      </c>
      <c r="Q868" s="102">
        <v>0</v>
      </c>
      <c r="R868" s="102">
        <v>0</v>
      </c>
      <c r="S868" s="7">
        <v>0</v>
      </c>
    </row>
    <row r="869" ht="16.5" hidden="1" spans="1:19">
      <c r="A869" s="46">
        <v>867</v>
      </c>
      <c r="B869" s="46" t="s">
        <v>39</v>
      </c>
      <c r="C869" s="46" t="str">
        <f>VLOOKUP(K869,[4]在职!$A:$E,5,0)</f>
        <v>辽宁</v>
      </c>
      <c r="D869" s="46" t="s">
        <v>1348</v>
      </c>
      <c r="E869" s="46" t="s">
        <v>1349</v>
      </c>
      <c r="F869" s="46" t="s">
        <v>1350</v>
      </c>
      <c r="G869" s="46" t="s">
        <v>904</v>
      </c>
      <c r="H869" s="46">
        <v>1212</v>
      </c>
      <c r="I869" s="46" t="s">
        <v>1351</v>
      </c>
      <c r="J869" s="6">
        <v>46078</v>
      </c>
      <c r="K869" s="7" t="s">
        <v>1383</v>
      </c>
      <c r="L869" s="46" t="s">
        <v>915</v>
      </c>
      <c r="M869" s="46" t="str">
        <f>VLOOKUP(K869,[4]在职!$A:$B,2,0)</f>
        <v>00057</v>
      </c>
      <c r="N869" s="46" t="s">
        <v>1384</v>
      </c>
      <c r="O869" s="46" t="str">
        <f>VLOOKUP(K869,[4]在职!$A:$I,9,0)</f>
        <v>分公司总经理</v>
      </c>
      <c r="P869" s="83">
        <f>VLOOKUP(K869,[4]在职!$A:$D,4,0)</f>
        <v>44019</v>
      </c>
      <c r="Q869" s="102">
        <v>0</v>
      </c>
      <c r="R869" s="102">
        <v>0</v>
      </c>
      <c r="S869" s="7">
        <v>0</v>
      </c>
    </row>
    <row r="870" ht="16.5" hidden="1" spans="1:19">
      <c r="A870" s="46">
        <v>868</v>
      </c>
      <c r="B870" s="46" t="s">
        <v>39</v>
      </c>
      <c r="C870" s="46" t="str">
        <f>VLOOKUP(K870,[4]在职!$A:$E,5,0)</f>
        <v>山西</v>
      </c>
      <c r="D870" s="46" t="s">
        <v>1348</v>
      </c>
      <c r="E870" s="46" t="s">
        <v>1349</v>
      </c>
      <c r="F870" s="46" t="s">
        <v>1350</v>
      </c>
      <c r="G870" s="46" t="s">
        <v>904</v>
      </c>
      <c r="H870" s="46">
        <v>1212</v>
      </c>
      <c r="I870" s="46" t="s">
        <v>1351</v>
      </c>
      <c r="J870" s="6">
        <v>46078</v>
      </c>
      <c r="K870" s="7" t="s">
        <v>1385</v>
      </c>
      <c r="L870" s="46" t="s">
        <v>915</v>
      </c>
      <c r="M870" s="46" t="str">
        <f>VLOOKUP(K870,[4]在职!$A:$B,2,0)</f>
        <v>00695</v>
      </c>
      <c r="N870" s="46" t="s">
        <v>1386</v>
      </c>
      <c r="O870" s="46" t="str">
        <f>VLOOKUP(K870,[4]在职!$A:$I,9,0)</f>
        <v>分公司总经理</v>
      </c>
      <c r="P870" s="83">
        <f>VLOOKUP(K870,[4]在职!$A:$D,4,0)</f>
        <v>44849</v>
      </c>
      <c r="Q870" s="102">
        <v>0</v>
      </c>
      <c r="R870" s="102">
        <v>0</v>
      </c>
      <c r="S870" s="7">
        <v>0</v>
      </c>
    </row>
    <row r="871" ht="16.5" hidden="1" spans="1:19">
      <c r="A871" s="46">
        <v>869</v>
      </c>
      <c r="B871" s="46" t="s">
        <v>39</v>
      </c>
      <c r="C871" s="46" t="str">
        <f>VLOOKUP(K871,[4]在职!$A:$E,5,0)</f>
        <v>山东</v>
      </c>
      <c r="D871" s="46" t="s">
        <v>1348</v>
      </c>
      <c r="E871" s="46" t="s">
        <v>1349</v>
      </c>
      <c r="F871" s="46" t="s">
        <v>1350</v>
      </c>
      <c r="G871" s="46" t="s">
        <v>904</v>
      </c>
      <c r="H871" s="46">
        <v>1212</v>
      </c>
      <c r="I871" s="46" t="s">
        <v>1351</v>
      </c>
      <c r="J871" s="6">
        <v>46078</v>
      </c>
      <c r="K871" s="7" t="s">
        <v>417</v>
      </c>
      <c r="L871" s="46" t="s">
        <v>915</v>
      </c>
      <c r="M871" s="46" t="str">
        <f>VLOOKUP(K871,[4]在职!$A:$B,2,0)</f>
        <v>00521</v>
      </c>
      <c r="N871" s="46" t="str">
        <f>VLOOKUP(K871,[4]在职!$A:$G,7,0)</f>
        <v>山东销售部</v>
      </c>
      <c r="O871" s="46" t="str">
        <f>VLOOKUP(K871,[4]在职!$A:$I,9,0)</f>
        <v>一星正式经理</v>
      </c>
      <c r="P871" s="83">
        <f>VLOOKUP(K871,[4]在职!$A:$D,4,0)</f>
        <v>44919</v>
      </c>
      <c r="Q871" s="102">
        <v>0</v>
      </c>
      <c r="R871" s="102">
        <v>0</v>
      </c>
      <c r="S871" s="7">
        <v>0</v>
      </c>
    </row>
    <row r="872" ht="16.5" hidden="1" spans="1:19">
      <c r="A872" s="46">
        <v>870</v>
      </c>
      <c r="B872" s="46" t="s">
        <v>45</v>
      </c>
      <c r="C872" s="46" t="s">
        <v>31</v>
      </c>
      <c r="D872" s="46" t="s">
        <v>30</v>
      </c>
      <c r="E872" s="46" t="s">
        <v>1387</v>
      </c>
      <c r="F872" s="46" t="s">
        <v>1077</v>
      </c>
      <c r="G872" s="46" t="s">
        <v>904</v>
      </c>
      <c r="H872" s="46" t="s">
        <v>1388</v>
      </c>
      <c r="I872" s="46" t="s">
        <v>1389</v>
      </c>
      <c r="J872" s="83">
        <v>46085</v>
      </c>
      <c r="K872" s="46" t="s">
        <v>1390</v>
      </c>
      <c r="L872" s="46" t="s">
        <v>915</v>
      </c>
      <c r="M872" s="46" t="s">
        <v>1391</v>
      </c>
      <c r="N872" s="46" t="s">
        <v>90</v>
      </c>
      <c r="O872" s="46" t="s">
        <v>1086</v>
      </c>
      <c r="P872" s="83">
        <v>45706</v>
      </c>
      <c r="Q872" s="102">
        <v>0</v>
      </c>
      <c r="R872" s="102">
        <v>0</v>
      </c>
      <c r="S872" s="102" t="s">
        <v>1351</v>
      </c>
    </row>
    <row r="873" ht="16.5" hidden="1" spans="1:19">
      <c r="A873" s="46">
        <v>871</v>
      </c>
      <c r="B873" s="46" t="s">
        <v>45</v>
      </c>
      <c r="C873" s="46" t="s">
        <v>38</v>
      </c>
      <c r="D873" s="46" t="s">
        <v>30</v>
      </c>
      <c r="E873" s="46" t="s">
        <v>1387</v>
      </c>
      <c r="F873" s="46" t="s">
        <v>1077</v>
      </c>
      <c r="G873" s="46" t="s">
        <v>904</v>
      </c>
      <c r="H873" s="46" t="s">
        <v>1388</v>
      </c>
      <c r="I873" s="46" t="s">
        <v>1389</v>
      </c>
      <c r="J873" s="83">
        <v>46085</v>
      </c>
      <c r="K873" s="46" t="s">
        <v>1392</v>
      </c>
      <c r="L873" s="46" t="s">
        <v>915</v>
      </c>
      <c r="M873" s="46" t="s">
        <v>1393</v>
      </c>
      <c r="N873" s="46" t="s">
        <v>70</v>
      </c>
      <c r="O873" s="46" t="s">
        <v>1086</v>
      </c>
      <c r="P873" s="83">
        <v>45586</v>
      </c>
      <c r="Q873" s="102">
        <v>5</v>
      </c>
      <c r="R873" s="102">
        <v>5</v>
      </c>
      <c r="S873" s="102" t="s">
        <v>1351</v>
      </c>
    </row>
    <row r="874" ht="16.5" hidden="1" spans="1:19">
      <c r="A874" s="46">
        <v>872</v>
      </c>
      <c r="B874" s="46" t="s">
        <v>45</v>
      </c>
      <c r="C874" s="46" t="s">
        <v>24</v>
      </c>
      <c r="D874" s="46" t="s">
        <v>30</v>
      </c>
      <c r="E874" s="46" t="s">
        <v>1387</v>
      </c>
      <c r="F874" s="46" t="s">
        <v>1077</v>
      </c>
      <c r="G874" s="46" t="s">
        <v>904</v>
      </c>
      <c r="H874" s="46" t="s">
        <v>1388</v>
      </c>
      <c r="I874" s="46" t="s">
        <v>1389</v>
      </c>
      <c r="J874" s="83">
        <v>46085</v>
      </c>
      <c r="K874" s="46" t="s">
        <v>1394</v>
      </c>
      <c r="L874" s="46" t="s">
        <v>915</v>
      </c>
      <c r="M874" s="46" t="s">
        <v>1395</v>
      </c>
      <c r="N874" s="46" t="s">
        <v>152</v>
      </c>
      <c r="O874" s="46" t="s">
        <v>1086</v>
      </c>
      <c r="P874" s="83">
        <v>45602</v>
      </c>
      <c r="Q874" s="102">
        <v>0</v>
      </c>
      <c r="R874" s="102">
        <v>0</v>
      </c>
      <c r="S874" s="102" t="s">
        <v>1351</v>
      </c>
    </row>
    <row r="875" ht="16.5" hidden="1" spans="1:19">
      <c r="A875" s="46">
        <v>873</v>
      </c>
      <c r="B875" s="46" t="s">
        <v>45</v>
      </c>
      <c r="C875" s="46" t="s">
        <v>38</v>
      </c>
      <c r="D875" s="46" t="s">
        <v>30</v>
      </c>
      <c r="E875" s="46" t="s">
        <v>1387</v>
      </c>
      <c r="F875" s="46" t="s">
        <v>1077</v>
      </c>
      <c r="G875" s="46" t="s">
        <v>904</v>
      </c>
      <c r="H875" s="46" t="s">
        <v>1388</v>
      </c>
      <c r="I875" s="46" t="s">
        <v>1389</v>
      </c>
      <c r="J875" s="83">
        <v>46085</v>
      </c>
      <c r="K875" s="46" t="s">
        <v>1396</v>
      </c>
      <c r="L875" s="46" t="s">
        <v>915</v>
      </c>
      <c r="M875" s="46" t="s">
        <v>1397</v>
      </c>
      <c r="N875" s="46" t="s">
        <v>63</v>
      </c>
      <c r="O875" s="46" t="s">
        <v>1086</v>
      </c>
      <c r="P875" s="83">
        <v>45705</v>
      </c>
      <c r="Q875" s="102">
        <v>5</v>
      </c>
      <c r="R875" s="102">
        <v>5</v>
      </c>
      <c r="S875" s="102" t="s">
        <v>1351</v>
      </c>
    </row>
    <row r="876" ht="16.5" hidden="1" spans="1:19">
      <c r="A876" s="46">
        <v>874</v>
      </c>
      <c r="B876" s="46" t="s">
        <v>45</v>
      </c>
      <c r="C876" s="46" t="s">
        <v>38</v>
      </c>
      <c r="D876" s="46" t="s">
        <v>30</v>
      </c>
      <c r="E876" s="46" t="s">
        <v>1387</v>
      </c>
      <c r="F876" s="46" t="s">
        <v>1077</v>
      </c>
      <c r="G876" s="46" t="s">
        <v>904</v>
      </c>
      <c r="H876" s="46" t="s">
        <v>1388</v>
      </c>
      <c r="I876" s="46" t="s">
        <v>1389</v>
      </c>
      <c r="J876" s="83">
        <v>46085</v>
      </c>
      <c r="K876" s="46" t="s">
        <v>1398</v>
      </c>
      <c r="L876" s="46" t="s">
        <v>915</v>
      </c>
      <c r="M876" s="46" t="s">
        <v>1399</v>
      </c>
      <c r="N876" s="46" t="s">
        <v>70</v>
      </c>
      <c r="O876" s="46" t="s">
        <v>1086</v>
      </c>
      <c r="P876" s="83">
        <v>45475</v>
      </c>
      <c r="Q876" s="102">
        <v>5</v>
      </c>
      <c r="R876" s="102">
        <v>5</v>
      </c>
      <c r="S876" s="102" t="s">
        <v>1351</v>
      </c>
    </row>
    <row r="877" ht="16.5" hidden="1" spans="1:19">
      <c r="A877" s="46">
        <v>875</v>
      </c>
      <c r="B877" s="46" t="s">
        <v>45</v>
      </c>
      <c r="C877" s="46" t="s">
        <v>24</v>
      </c>
      <c r="D877" s="46" t="s">
        <v>30</v>
      </c>
      <c r="E877" s="46" t="s">
        <v>1387</v>
      </c>
      <c r="F877" s="46" t="s">
        <v>1077</v>
      </c>
      <c r="G877" s="46" t="s">
        <v>904</v>
      </c>
      <c r="H877" s="46" t="s">
        <v>1388</v>
      </c>
      <c r="I877" s="46" t="s">
        <v>1389</v>
      </c>
      <c r="J877" s="83">
        <v>46085</v>
      </c>
      <c r="K877" s="46" t="s">
        <v>1400</v>
      </c>
      <c r="L877" s="46" t="s">
        <v>915</v>
      </c>
      <c r="M877" s="46" t="s">
        <v>1401</v>
      </c>
      <c r="N877" s="46" t="str">
        <f>VLOOKUP(K877,[4]在职!$A:$G,7,0)</f>
        <v>陕西2部</v>
      </c>
      <c r="O877" s="46" t="s">
        <v>1086</v>
      </c>
      <c r="P877" s="83">
        <v>45496</v>
      </c>
      <c r="Q877" s="102">
        <v>0</v>
      </c>
      <c r="R877" s="102">
        <v>0</v>
      </c>
      <c r="S877" s="102" t="s">
        <v>1351</v>
      </c>
    </row>
    <row r="878" ht="16.5" hidden="1" spans="1:19">
      <c r="A878" s="46">
        <v>876</v>
      </c>
      <c r="B878" s="46" t="s">
        <v>45</v>
      </c>
      <c r="C878" s="46" t="s">
        <v>29</v>
      </c>
      <c r="D878" s="46" t="s">
        <v>30</v>
      </c>
      <c r="E878" s="46" t="s">
        <v>1387</v>
      </c>
      <c r="F878" s="46" t="s">
        <v>1077</v>
      </c>
      <c r="G878" s="46" t="s">
        <v>904</v>
      </c>
      <c r="H878" s="46" t="s">
        <v>1388</v>
      </c>
      <c r="I878" s="46" t="s">
        <v>1389</v>
      </c>
      <c r="J878" s="83">
        <v>46085</v>
      </c>
      <c r="K878" s="46" t="s">
        <v>1402</v>
      </c>
      <c r="L878" s="46" t="s">
        <v>915</v>
      </c>
      <c r="M878" s="46" t="s">
        <v>1403</v>
      </c>
      <c r="N878" s="46" t="s">
        <v>130</v>
      </c>
      <c r="O878" s="46" t="s">
        <v>921</v>
      </c>
      <c r="P878" s="83">
        <v>45743</v>
      </c>
      <c r="Q878" s="102">
        <v>5</v>
      </c>
      <c r="R878" s="102">
        <v>5</v>
      </c>
      <c r="S878" s="102" t="s">
        <v>1351</v>
      </c>
    </row>
    <row r="879" ht="16.5" hidden="1" spans="1:19">
      <c r="A879" s="46">
        <v>877</v>
      </c>
      <c r="B879" s="46" t="s">
        <v>45</v>
      </c>
      <c r="C879" s="46" t="s">
        <v>38</v>
      </c>
      <c r="D879" s="46" t="s">
        <v>30</v>
      </c>
      <c r="E879" s="46" t="s">
        <v>1387</v>
      </c>
      <c r="F879" s="46" t="s">
        <v>1077</v>
      </c>
      <c r="G879" s="46" t="s">
        <v>904</v>
      </c>
      <c r="H879" s="46" t="s">
        <v>1388</v>
      </c>
      <c r="I879" s="46" t="s">
        <v>1389</v>
      </c>
      <c r="J879" s="83">
        <v>46085</v>
      </c>
      <c r="K879" s="46" t="s">
        <v>1404</v>
      </c>
      <c r="L879" s="46" t="s">
        <v>915</v>
      </c>
      <c r="M879" s="46" t="s">
        <v>1405</v>
      </c>
      <c r="N879" s="46" t="s">
        <v>144</v>
      </c>
      <c r="O879" s="46" t="s">
        <v>1086</v>
      </c>
      <c r="P879" s="83">
        <v>45425</v>
      </c>
      <c r="Q879" s="102">
        <v>5</v>
      </c>
      <c r="R879" s="102">
        <v>5</v>
      </c>
      <c r="S879" s="102" t="s">
        <v>1351</v>
      </c>
    </row>
    <row r="880" ht="16.5" hidden="1" spans="1:19">
      <c r="A880" s="46">
        <v>878</v>
      </c>
      <c r="B880" s="46" t="s">
        <v>45</v>
      </c>
      <c r="C880" s="46" t="s">
        <v>37</v>
      </c>
      <c r="D880" s="46" t="s">
        <v>30</v>
      </c>
      <c r="E880" s="46" t="s">
        <v>1387</v>
      </c>
      <c r="F880" s="46" t="s">
        <v>1077</v>
      </c>
      <c r="G880" s="46" t="s">
        <v>904</v>
      </c>
      <c r="H880" s="46" t="s">
        <v>1388</v>
      </c>
      <c r="I880" s="46" t="s">
        <v>1389</v>
      </c>
      <c r="J880" s="83">
        <v>46085</v>
      </c>
      <c r="K880" s="46" t="s">
        <v>1406</v>
      </c>
      <c r="L880" s="46" t="s">
        <v>915</v>
      </c>
      <c r="M880" s="46" t="s">
        <v>1407</v>
      </c>
      <c r="N880" s="46" t="s">
        <v>152</v>
      </c>
      <c r="O880" s="46" t="s">
        <v>1086</v>
      </c>
      <c r="P880" s="83">
        <v>45467</v>
      </c>
      <c r="Q880" s="102">
        <v>5</v>
      </c>
      <c r="R880" s="102">
        <v>5</v>
      </c>
      <c r="S880" s="102" t="s">
        <v>1351</v>
      </c>
    </row>
    <row r="881" ht="16.5" hidden="1" spans="1:19">
      <c r="A881" s="46">
        <v>879</v>
      </c>
      <c r="B881" s="46" t="s">
        <v>45</v>
      </c>
      <c r="C881" s="46" t="s">
        <v>38</v>
      </c>
      <c r="D881" s="46" t="s">
        <v>30</v>
      </c>
      <c r="E881" s="46" t="s">
        <v>1387</v>
      </c>
      <c r="F881" s="46" t="s">
        <v>1077</v>
      </c>
      <c r="G881" s="46" t="s">
        <v>904</v>
      </c>
      <c r="H881" s="46" t="s">
        <v>1388</v>
      </c>
      <c r="I881" s="46" t="s">
        <v>1389</v>
      </c>
      <c r="J881" s="83">
        <v>46085</v>
      </c>
      <c r="K881" s="46" t="s">
        <v>1408</v>
      </c>
      <c r="L881" s="46" t="s">
        <v>915</v>
      </c>
      <c r="M881" s="46" t="s">
        <v>1409</v>
      </c>
      <c r="N881" s="46" t="s">
        <v>75</v>
      </c>
      <c r="O881" s="46" t="s">
        <v>1086</v>
      </c>
      <c r="P881" s="83">
        <v>45723</v>
      </c>
      <c r="Q881" s="102">
        <v>5</v>
      </c>
      <c r="R881" s="102">
        <v>5</v>
      </c>
      <c r="S881" s="102" t="s">
        <v>1351</v>
      </c>
    </row>
    <row r="882" ht="16.5" hidden="1" spans="1:19">
      <c r="A882" s="46">
        <v>880</v>
      </c>
      <c r="B882" s="46" t="s">
        <v>45</v>
      </c>
      <c r="C882" s="46" t="s">
        <v>38</v>
      </c>
      <c r="D882" s="46" t="s">
        <v>30</v>
      </c>
      <c r="E882" s="46" t="s">
        <v>1387</v>
      </c>
      <c r="F882" s="46" t="s">
        <v>1077</v>
      </c>
      <c r="G882" s="46" t="s">
        <v>904</v>
      </c>
      <c r="H882" s="46" t="s">
        <v>1388</v>
      </c>
      <c r="I882" s="46" t="s">
        <v>1389</v>
      </c>
      <c r="J882" s="83">
        <v>46085</v>
      </c>
      <c r="K882" s="46" t="s">
        <v>1410</v>
      </c>
      <c r="L882" s="46" t="s">
        <v>915</v>
      </c>
      <c r="M882" s="46" t="s">
        <v>1411</v>
      </c>
      <c r="N882" s="46" t="s">
        <v>173</v>
      </c>
      <c r="O882" s="46" t="s">
        <v>1086</v>
      </c>
      <c r="P882" s="83">
        <v>45377</v>
      </c>
      <c r="Q882" s="102">
        <v>5</v>
      </c>
      <c r="R882" s="102">
        <v>5</v>
      </c>
      <c r="S882" s="102" t="s">
        <v>1351</v>
      </c>
    </row>
    <row r="883" ht="16.5" hidden="1" spans="1:19">
      <c r="A883" s="46">
        <v>881</v>
      </c>
      <c r="B883" s="46" t="s">
        <v>45</v>
      </c>
      <c r="C883" s="46" t="s">
        <v>29</v>
      </c>
      <c r="D883" s="46" t="s">
        <v>30</v>
      </c>
      <c r="E883" s="46" t="s">
        <v>1387</v>
      </c>
      <c r="F883" s="46" t="s">
        <v>1077</v>
      </c>
      <c r="G883" s="46" t="s">
        <v>904</v>
      </c>
      <c r="H883" s="46" t="s">
        <v>1388</v>
      </c>
      <c r="I883" s="46" t="s">
        <v>1389</v>
      </c>
      <c r="J883" s="83">
        <v>46085</v>
      </c>
      <c r="K883" s="46" t="s">
        <v>1412</v>
      </c>
      <c r="L883" s="46" t="s">
        <v>915</v>
      </c>
      <c r="M883" s="46" t="s">
        <v>1413</v>
      </c>
      <c r="N883" s="46" t="s">
        <v>130</v>
      </c>
      <c r="O883" s="46" t="s">
        <v>921</v>
      </c>
      <c r="P883" s="83">
        <v>45122</v>
      </c>
      <c r="Q883" s="102">
        <v>5</v>
      </c>
      <c r="R883" s="102">
        <v>5</v>
      </c>
      <c r="S883" s="102" t="s">
        <v>1351</v>
      </c>
    </row>
    <row r="884" ht="16.5" hidden="1" spans="1:19">
      <c r="A884" s="46">
        <v>882</v>
      </c>
      <c r="B884" s="46" t="s">
        <v>45</v>
      </c>
      <c r="C884" s="46" t="s">
        <v>36</v>
      </c>
      <c r="D884" s="46" t="s">
        <v>30</v>
      </c>
      <c r="E884" s="46" t="s">
        <v>1387</v>
      </c>
      <c r="F884" s="46" t="s">
        <v>1077</v>
      </c>
      <c r="G884" s="46" t="s">
        <v>904</v>
      </c>
      <c r="H884" s="46" t="s">
        <v>1388</v>
      </c>
      <c r="I884" s="46" t="s">
        <v>1389</v>
      </c>
      <c r="J884" s="83">
        <v>46085</v>
      </c>
      <c r="K884" s="46" t="s">
        <v>1414</v>
      </c>
      <c r="L884" s="46" t="s">
        <v>915</v>
      </c>
      <c r="M884" s="46" t="s">
        <v>1415</v>
      </c>
      <c r="N884" s="46" t="s">
        <v>173</v>
      </c>
      <c r="O884" s="46" t="s">
        <v>1086</v>
      </c>
      <c r="P884" s="83">
        <v>45539</v>
      </c>
      <c r="Q884" s="102">
        <v>5</v>
      </c>
      <c r="R884" s="102">
        <v>5</v>
      </c>
      <c r="S884" s="102" t="s">
        <v>1351</v>
      </c>
    </row>
    <row r="885" ht="16.5" hidden="1" spans="1:19">
      <c r="A885" s="46">
        <v>883</v>
      </c>
      <c r="B885" s="46" t="s">
        <v>45</v>
      </c>
      <c r="C885" s="46" t="s">
        <v>35</v>
      </c>
      <c r="D885" s="46" t="s">
        <v>30</v>
      </c>
      <c r="E885" s="46" t="s">
        <v>1387</v>
      </c>
      <c r="F885" s="46" t="s">
        <v>1077</v>
      </c>
      <c r="G885" s="46" t="s">
        <v>904</v>
      </c>
      <c r="H885" s="46" t="s">
        <v>1388</v>
      </c>
      <c r="I885" s="46" t="s">
        <v>1389</v>
      </c>
      <c r="J885" s="83">
        <v>46085</v>
      </c>
      <c r="K885" s="46" t="s">
        <v>1416</v>
      </c>
      <c r="L885" s="46" t="s">
        <v>915</v>
      </c>
      <c r="M885" s="46" t="s">
        <v>1417</v>
      </c>
      <c r="N885" s="46" t="s">
        <v>125</v>
      </c>
      <c r="O885" s="46" t="s">
        <v>1086</v>
      </c>
      <c r="P885" s="83">
        <v>45505</v>
      </c>
      <c r="Q885" s="102">
        <v>0</v>
      </c>
      <c r="R885" s="102">
        <v>0</v>
      </c>
      <c r="S885" s="102" t="s">
        <v>1351</v>
      </c>
    </row>
    <row r="886" ht="16.5" hidden="1" spans="1:19">
      <c r="A886" s="46">
        <v>884</v>
      </c>
      <c r="B886" s="46" t="s">
        <v>45</v>
      </c>
      <c r="C886" s="46" t="s">
        <v>38</v>
      </c>
      <c r="D886" s="46" t="s">
        <v>30</v>
      </c>
      <c r="E886" s="46" t="s">
        <v>1387</v>
      </c>
      <c r="F886" s="46" t="s">
        <v>1077</v>
      </c>
      <c r="G886" s="46" t="s">
        <v>904</v>
      </c>
      <c r="H886" s="46" t="s">
        <v>1388</v>
      </c>
      <c r="I886" s="46" t="s">
        <v>1389</v>
      </c>
      <c r="J886" s="83">
        <v>46085</v>
      </c>
      <c r="K886" s="46" t="s">
        <v>1418</v>
      </c>
      <c r="L886" s="46" t="s">
        <v>915</v>
      </c>
      <c r="M886" s="46" t="s">
        <v>1419</v>
      </c>
      <c r="N886" s="46" t="s">
        <v>70</v>
      </c>
      <c r="O886" s="46" t="s">
        <v>1086</v>
      </c>
      <c r="P886" s="83">
        <v>45097</v>
      </c>
      <c r="Q886" s="102">
        <v>5</v>
      </c>
      <c r="R886" s="102">
        <v>5</v>
      </c>
      <c r="S886" s="102" t="s">
        <v>1351</v>
      </c>
    </row>
    <row r="887" ht="16.5" hidden="1" spans="1:19">
      <c r="A887" s="46">
        <v>885</v>
      </c>
      <c r="B887" s="46" t="s">
        <v>45</v>
      </c>
      <c r="C887" s="46" t="s">
        <v>26</v>
      </c>
      <c r="D887" s="46" t="s">
        <v>30</v>
      </c>
      <c r="E887" s="46" t="s">
        <v>1387</v>
      </c>
      <c r="F887" s="46" t="s">
        <v>1077</v>
      </c>
      <c r="G887" s="46" t="s">
        <v>904</v>
      </c>
      <c r="H887" s="46" t="s">
        <v>1388</v>
      </c>
      <c r="I887" s="46" t="s">
        <v>1389</v>
      </c>
      <c r="J887" s="83">
        <v>46085</v>
      </c>
      <c r="K887" s="46" t="s">
        <v>1420</v>
      </c>
      <c r="L887" s="46" t="s">
        <v>915</v>
      </c>
      <c r="M887" s="46" t="s">
        <v>1421</v>
      </c>
      <c r="N887" s="46" t="s">
        <v>121</v>
      </c>
      <c r="O887" s="46" t="s">
        <v>921</v>
      </c>
      <c r="P887" s="83">
        <v>45790</v>
      </c>
      <c r="Q887" s="102">
        <v>5</v>
      </c>
      <c r="R887" s="102">
        <v>5</v>
      </c>
      <c r="S887" s="102" t="s">
        <v>1351</v>
      </c>
    </row>
    <row r="888" ht="16.5" hidden="1" spans="1:19">
      <c r="A888" s="46">
        <v>886</v>
      </c>
      <c r="B888" s="46" t="s">
        <v>45</v>
      </c>
      <c r="C888" s="46" t="s">
        <v>32</v>
      </c>
      <c r="D888" s="46" t="s">
        <v>30</v>
      </c>
      <c r="E888" s="46" t="s">
        <v>1387</v>
      </c>
      <c r="F888" s="46" t="s">
        <v>1077</v>
      </c>
      <c r="G888" s="46" t="s">
        <v>904</v>
      </c>
      <c r="H888" s="46" t="s">
        <v>1388</v>
      </c>
      <c r="I888" s="46" t="s">
        <v>1389</v>
      </c>
      <c r="J888" s="83">
        <v>46085</v>
      </c>
      <c r="K888" s="46" t="s">
        <v>1422</v>
      </c>
      <c r="L888" s="46" t="s">
        <v>915</v>
      </c>
      <c r="M888" s="46" t="s">
        <v>1423</v>
      </c>
      <c r="N888" s="46" t="s">
        <v>105</v>
      </c>
      <c r="O888" s="46" t="s">
        <v>921</v>
      </c>
      <c r="P888" s="83">
        <v>45743</v>
      </c>
      <c r="Q888" s="102">
        <v>5</v>
      </c>
      <c r="R888" s="102">
        <v>5</v>
      </c>
      <c r="S888" s="102" t="s">
        <v>1351</v>
      </c>
    </row>
    <row r="889" ht="16.5" hidden="1" spans="1:19">
      <c r="A889" s="46">
        <v>887</v>
      </c>
      <c r="B889" s="46" t="s">
        <v>45</v>
      </c>
      <c r="C889" s="46" t="s">
        <v>38</v>
      </c>
      <c r="D889" s="46" t="s">
        <v>30</v>
      </c>
      <c r="E889" s="46" t="s">
        <v>1387</v>
      </c>
      <c r="F889" s="46" t="s">
        <v>1077</v>
      </c>
      <c r="G889" s="46" t="s">
        <v>904</v>
      </c>
      <c r="H889" s="46" t="s">
        <v>1388</v>
      </c>
      <c r="I889" s="46" t="s">
        <v>1389</v>
      </c>
      <c r="J889" s="83">
        <v>46085</v>
      </c>
      <c r="K889" s="46" t="s">
        <v>1424</v>
      </c>
      <c r="L889" s="46" t="s">
        <v>915</v>
      </c>
      <c r="M889" s="46" t="s">
        <v>1425</v>
      </c>
      <c r="N889" s="46" t="s">
        <v>144</v>
      </c>
      <c r="O889" s="46" t="s">
        <v>1086</v>
      </c>
      <c r="P889" s="83">
        <v>45616</v>
      </c>
      <c r="Q889" s="102">
        <v>5</v>
      </c>
      <c r="R889" s="102">
        <v>5</v>
      </c>
      <c r="S889" s="102" t="s">
        <v>1351</v>
      </c>
    </row>
    <row r="890" ht="16.5" hidden="1" spans="1:19">
      <c r="A890" s="46">
        <v>888</v>
      </c>
      <c r="B890" s="46" t="s">
        <v>45</v>
      </c>
      <c r="C890" s="46" t="s">
        <v>38</v>
      </c>
      <c r="D890" s="46" t="s">
        <v>30</v>
      </c>
      <c r="E890" s="46" t="s">
        <v>1387</v>
      </c>
      <c r="F890" s="46" t="s">
        <v>1077</v>
      </c>
      <c r="G890" s="46" t="s">
        <v>904</v>
      </c>
      <c r="H890" s="46" t="s">
        <v>1388</v>
      </c>
      <c r="I890" s="46" t="s">
        <v>1389</v>
      </c>
      <c r="J890" s="83">
        <v>46085</v>
      </c>
      <c r="K890" s="46" t="s">
        <v>1426</v>
      </c>
      <c r="L890" s="46" t="s">
        <v>915</v>
      </c>
      <c r="M890" s="46" t="s">
        <v>1427</v>
      </c>
      <c r="N890" s="46" t="s">
        <v>168</v>
      </c>
      <c r="O890" s="46" t="s">
        <v>921</v>
      </c>
      <c r="P890" s="83">
        <v>45821</v>
      </c>
      <c r="Q890" s="102">
        <v>5</v>
      </c>
      <c r="R890" s="102">
        <v>5</v>
      </c>
      <c r="S890" s="102" t="s">
        <v>1351</v>
      </c>
    </row>
    <row r="891" ht="16.5" hidden="1" spans="1:19">
      <c r="A891" s="46">
        <v>889</v>
      </c>
      <c r="B891" s="46" t="s">
        <v>45</v>
      </c>
      <c r="C891" s="46" t="s">
        <v>32</v>
      </c>
      <c r="D891" s="46" t="s">
        <v>30</v>
      </c>
      <c r="E891" s="46" t="s">
        <v>1387</v>
      </c>
      <c r="F891" s="46" t="s">
        <v>1077</v>
      </c>
      <c r="G891" s="46" t="s">
        <v>904</v>
      </c>
      <c r="H891" s="46" t="s">
        <v>1388</v>
      </c>
      <c r="I891" s="46" t="s">
        <v>1389</v>
      </c>
      <c r="J891" s="83">
        <v>46085</v>
      </c>
      <c r="K891" s="46" t="s">
        <v>1428</v>
      </c>
      <c r="L891" s="46" t="s">
        <v>915</v>
      </c>
      <c r="M891" s="46" t="s">
        <v>1429</v>
      </c>
      <c r="N891" s="46" t="s">
        <v>105</v>
      </c>
      <c r="O891" s="46" t="s">
        <v>1086</v>
      </c>
      <c r="P891" s="83">
        <v>45353</v>
      </c>
      <c r="Q891" s="102">
        <v>4.75</v>
      </c>
      <c r="R891" s="102">
        <v>5</v>
      </c>
      <c r="S891" s="102" t="s">
        <v>1351</v>
      </c>
    </row>
    <row r="892" ht="16.5" hidden="1" spans="1:19">
      <c r="A892" s="46">
        <v>890</v>
      </c>
      <c r="B892" s="46" t="s">
        <v>45</v>
      </c>
      <c r="C892" s="46" t="s">
        <v>31</v>
      </c>
      <c r="D892" s="46" t="s">
        <v>30</v>
      </c>
      <c r="E892" s="46" t="s">
        <v>1430</v>
      </c>
      <c r="F892" s="46" t="s">
        <v>1077</v>
      </c>
      <c r="G892" s="46" t="s">
        <v>904</v>
      </c>
      <c r="H892" s="46" t="s">
        <v>1388</v>
      </c>
      <c r="I892" s="46" t="s">
        <v>1389</v>
      </c>
      <c r="J892" s="83">
        <v>46085</v>
      </c>
      <c r="K892" s="87" t="s">
        <v>1390</v>
      </c>
      <c r="L892" s="46" t="s">
        <v>915</v>
      </c>
      <c r="M892" s="46" t="s">
        <v>1391</v>
      </c>
      <c r="N892" s="46" t="s">
        <v>90</v>
      </c>
      <c r="O892" s="46" t="s">
        <v>1086</v>
      </c>
      <c r="P892" s="83">
        <v>45706</v>
      </c>
      <c r="Q892" s="102">
        <v>5</v>
      </c>
      <c r="R892" s="102">
        <v>5</v>
      </c>
      <c r="S892" s="103">
        <v>40</v>
      </c>
    </row>
    <row r="893" ht="16.5" hidden="1" spans="1:19">
      <c r="A893" s="46">
        <v>891</v>
      </c>
      <c r="B893" s="46" t="s">
        <v>45</v>
      </c>
      <c r="C893" s="46" t="s">
        <v>38</v>
      </c>
      <c r="D893" s="46" t="s">
        <v>30</v>
      </c>
      <c r="E893" s="46" t="s">
        <v>1430</v>
      </c>
      <c r="F893" s="46" t="s">
        <v>1077</v>
      </c>
      <c r="G893" s="46" t="s">
        <v>904</v>
      </c>
      <c r="H893" s="46" t="s">
        <v>1388</v>
      </c>
      <c r="I893" s="46" t="s">
        <v>1389</v>
      </c>
      <c r="J893" s="83">
        <v>46085</v>
      </c>
      <c r="K893" s="87" t="s">
        <v>1392</v>
      </c>
      <c r="L893" s="46" t="s">
        <v>915</v>
      </c>
      <c r="M893" s="46" t="s">
        <v>1393</v>
      </c>
      <c r="N893" s="46" t="s">
        <v>70</v>
      </c>
      <c r="O893" s="46" t="s">
        <v>1086</v>
      </c>
      <c r="P893" s="83">
        <v>45586</v>
      </c>
      <c r="Q893" s="102">
        <v>5</v>
      </c>
      <c r="R893" s="102">
        <v>5</v>
      </c>
      <c r="S893" s="103">
        <v>35</v>
      </c>
    </row>
    <row r="894" ht="16.5" hidden="1" spans="1:19">
      <c r="A894" s="46">
        <v>892</v>
      </c>
      <c r="B894" s="46" t="s">
        <v>45</v>
      </c>
      <c r="C894" s="46" t="s">
        <v>24</v>
      </c>
      <c r="D894" s="46" t="s">
        <v>30</v>
      </c>
      <c r="E894" s="46" t="s">
        <v>1430</v>
      </c>
      <c r="F894" s="46" t="s">
        <v>1077</v>
      </c>
      <c r="G894" s="46" t="s">
        <v>904</v>
      </c>
      <c r="H894" s="46" t="s">
        <v>1388</v>
      </c>
      <c r="I894" s="46" t="s">
        <v>1389</v>
      </c>
      <c r="J894" s="83">
        <v>46085</v>
      </c>
      <c r="K894" s="87" t="s">
        <v>1394</v>
      </c>
      <c r="L894" s="46" t="s">
        <v>915</v>
      </c>
      <c r="M894" s="46" t="s">
        <v>1395</v>
      </c>
      <c r="N894" s="46" t="s">
        <v>152</v>
      </c>
      <c r="O894" s="46" t="s">
        <v>1086</v>
      </c>
      <c r="P894" s="83">
        <v>45602</v>
      </c>
      <c r="Q894" s="102">
        <v>5</v>
      </c>
      <c r="R894" s="102">
        <v>5</v>
      </c>
      <c r="S894" s="103">
        <v>40</v>
      </c>
    </row>
    <row r="895" ht="16.5" hidden="1" spans="1:19">
      <c r="A895" s="46">
        <v>893</v>
      </c>
      <c r="B895" s="46" t="s">
        <v>45</v>
      </c>
      <c r="C895" s="46" t="s">
        <v>38</v>
      </c>
      <c r="D895" s="46" t="s">
        <v>30</v>
      </c>
      <c r="E895" s="46" t="s">
        <v>1430</v>
      </c>
      <c r="F895" s="46" t="s">
        <v>1077</v>
      </c>
      <c r="G895" s="46" t="s">
        <v>904</v>
      </c>
      <c r="H895" s="46" t="s">
        <v>1388</v>
      </c>
      <c r="I895" s="46" t="s">
        <v>1389</v>
      </c>
      <c r="J895" s="83">
        <v>46085</v>
      </c>
      <c r="K895" s="87" t="s">
        <v>1396</v>
      </c>
      <c r="L895" s="46" t="s">
        <v>915</v>
      </c>
      <c r="M895" s="46" t="s">
        <v>1397</v>
      </c>
      <c r="N895" s="46" t="s">
        <v>63</v>
      </c>
      <c r="O895" s="46" t="s">
        <v>1086</v>
      </c>
      <c r="P895" s="83">
        <v>45705</v>
      </c>
      <c r="Q895" s="102">
        <v>5</v>
      </c>
      <c r="R895" s="102">
        <v>5</v>
      </c>
      <c r="S895" s="103">
        <v>30</v>
      </c>
    </row>
    <row r="896" ht="16.5" hidden="1" spans="1:19">
      <c r="A896" s="46">
        <v>894</v>
      </c>
      <c r="B896" s="46" t="s">
        <v>45</v>
      </c>
      <c r="C896" s="46" t="s">
        <v>38</v>
      </c>
      <c r="D896" s="46" t="s">
        <v>30</v>
      </c>
      <c r="E896" s="46" t="s">
        <v>1430</v>
      </c>
      <c r="F896" s="46" t="s">
        <v>1077</v>
      </c>
      <c r="G896" s="46" t="s">
        <v>904</v>
      </c>
      <c r="H896" s="46" t="s">
        <v>1388</v>
      </c>
      <c r="I896" s="46" t="s">
        <v>1389</v>
      </c>
      <c r="J896" s="83">
        <v>46085</v>
      </c>
      <c r="K896" s="87" t="s">
        <v>1398</v>
      </c>
      <c r="L896" s="46" t="s">
        <v>915</v>
      </c>
      <c r="M896" s="46" t="s">
        <v>1399</v>
      </c>
      <c r="N896" s="46" t="s">
        <v>70</v>
      </c>
      <c r="O896" s="46" t="s">
        <v>1086</v>
      </c>
      <c r="P896" s="83">
        <v>45475</v>
      </c>
      <c r="Q896" s="102">
        <v>5</v>
      </c>
      <c r="R896" s="102">
        <v>5</v>
      </c>
      <c r="S896" s="103">
        <v>35</v>
      </c>
    </row>
    <row r="897" ht="16.5" hidden="1" spans="1:19">
      <c r="A897" s="46">
        <v>895</v>
      </c>
      <c r="B897" s="46" t="s">
        <v>45</v>
      </c>
      <c r="C897" s="46" t="s">
        <v>24</v>
      </c>
      <c r="D897" s="46" t="s">
        <v>30</v>
      </c>
      <c r="E897" s="46" t="s">
        <v>1430</v>
      </c>
      <c r="F897" s="46" t="s">
        <v>1077</v>
      </c>
      <c r="G897" s="46" t="s">
        <v>904</v>
      </c>
      <c r="H897" s="46" t="s">
        <v>1388</v>
      </c>
      <c r="I897" s="46" t="s">
        <v>1389</v>
      </c>
      <c r="J897" s="83">
        <v>46085</v>
      </c>
      <c r="K897" s="87" t="s">
        <v>1400</v>
      </c>
      <c r="L897" s="46" t="s">
        <v>915</v>
      </c>
      <c r="M897" s="46" t="s">
        <v>1401</v>
      </c>
      <c r="N897" s="46" t="str">
        <f>VLOOKUP(K897,[4]在职!$A:$G,7,0)</f>
        <v>陕西2部</v>
      </c>
      <c r="O897" s="46" t="s">
        <v>1086</v>
      </c>
      <c r="P897" s="83">
        <v>45496</v>
      </c>
      <c r="Q897" s="102">
        <v>5</v>
      </c>
      <c r="R897" s="102">
        <v>5</v>
      </c>
      <c r="S897" s="103">
        <v>60</v>
      </c>
    </row>
    <row r="898" ht="16.5" hidden="1" spans="1:19">
      <c r="A898" s="46">
        <v>896</v>
      </c>
      <c r="B898" s="46" t="s">
        <v>45</v>
      </c>
      <c r="C898" s="46" t="s">
        <v>29</v>
      </c>
      <c r="D898" s="46" t="s">
        <v>30</v>
      </c>
      <c r="E898" s="46" t="s">
        <v>1430</v>
      </c>
      <c r="F898" s="46" t="s">
        <v>1077</v>
      </c>
      <c r="G898" s="46" t="s">
        <v>904</v>
      </c>
      <c r="H898" s="46" t="s">
        <v>1388</v>
      </c>
      <c r="I898" s="46" t="s">
        <v>1389</v>
      </c>
      <c r="J898" s="83">
        <v>46085</v>
      </c>
      <c r="K898" s="87" t="s">
        <v>1402</v>
      </c>
      <c r="L898" s="46" t="s">
        <v>915</v>
      </c>
      <c r="M898" s="46" t="s">
        <v>1403</v>
      </c>
      <c r="N898" s="46" t="s">
        <v>130</v>
      </c>
      <c r="O898" s="46" t="s">
        <v>921</v>
      </c>
      <c r="P898" s="83">
        <v>45743</v>
      </c>
      <c r="Q898" s="102">
        <v>5</v>
      </c>
      <c r="R898" s="102">
        <v>5</v>
      </c>
      <c r="S898" s="103">
        <v>50</v>
      </c>
    </row>
    <row r="899" ht="16.5" hidden="1" spans="1:19">
      <c r="A899" s="46">
        <v>897</v>
      </c>
      <c r="B899" s="46" t="s">
        <v>45</v>
      </c>
      <c r="C899" s="46" t="s">
        <v>38</v>
      </c>
      <c r="D899" s="46" t="s">
        <v>30</v>
      </c>
      <c r="E899" s="46" t="s">
        <v>1430</v>
      </c>
      <c r="F899" s="46" t="s">
        <v>1077</v>
      </c>
      <c r="G899" s="46" t="s">
        <v>904</v>
      </c>
      <c r="H899" s="46" t="s">
        <v>1388</v>
      </c>
      <c r="I899" s="46" t="s">
        <v>1389</v>
      </c>
      <c r="J899" s="83">
        <v>46085</v>
      </c>
      <c r="K899" s="87" t="s">
        <v>1404</v>
      </c>
      <c r="L899" s="46" t="s">
        <v>915</v>
      </c>
      <c r="M899" s="46" t="s">
        <v>1405</v>
      </c>
      <c r="N899" s="46" t="s">
        <v>144</v>
      </c>
      <c r="O899" s="46" t="s">
        <v>1086</v>
      </c>
      <c r="P899" s="83">
        <v>45425</v>
      </c>
      <c r="Q899" s="102">
        <v>5</v>
      </c>
      <c r="R899" s="102">
        <v>5</v>
      </c>
      <c r="S899" s="103">
        <v>40</v>
      </c>
    </row>
    <row r="900" ht="16.5" hidden="1" spans="1:19">
      <c r="A900" s="46">
        <v>898</v>
      </c>
      <c r="B900" s="46" t="s">
        <v>45</v>
      </c>
      <c r="C900" s="46" t="s">
        <v>37</v>
      </c>
      <c r="D900" s="46" t="s">
        <v>30</v>
      </c>
      <c r="E900" s="46" t="s">
        <v>1430</v>
      </c>
      <c r="F900" s="46" t="s">
        <v>1077</v>
      </c>
      <c r="G900" s="46" t="s">
        <v>904</v>
      </c>
      <c r="H900" s="46" t="s">
        <v>1388</v>
      </c>
      <c r="I900" s="46" t="s">
        <v>1389</v>
      </c>
      <c r="J900" s="83">
        <v>46085</v>
      </c>
      <c r="K900" s="87" t="s">
        <v>1406</v>
      </c>
      <c r="L900" s="46" t="s">
        <v>915</v>
      </c>
      <c r="M900" s="46" t="s">
        <v>1407</v>
      </c>
      <c r="N900" s="46" t="s">
        <v>152</v>
      </c>
      <c r="O900" s="46" t="s">
        <v>1086</v>
      </c>
      <c r="P900" s="83">
        <v>45467</v>
      </c>
      <c r="Q900" s="102">
        <v>5</v>
      </c>
      <c r="R900" s="102">
        <v>5</v>
      </c>
      <c r="S900" s="103">
        <v>70</v>
      </c>
    </row>
    <row r="901" ht="16.5" hidden="1" spans="1:19">
      <c r="A901" s="46">
        <v>899</v>
      </c>
      <c r="B901" s="46" t="s">
        <v>45</v>
      </c>
      <c r="C901" s="46" t="s">
        <v>38</v>
      </c>
      <c r="D901" s="46" t="s">
        <v>30</v>
      </c>
      <c r="E901" s="46" t="s">
        <v>1430</v>
      </c>
      <c r="F901" s="46" t="s">
        <v>1077</v>
      </c>
      <c r="G901" s="46" t="s">
        <v>904</v>
      </c>
      <c r="H901" s="46" t="s">
        <v>1388</v>
      </c>
      <c r="I901" s="46" t="s">
        <v>1389</v>
      </c>
      <c r="J901" s="83">
        <v>46085</v>
      </c>
      <c r="K901" s="87" t="s">
        <v>1408</v>
      </c>
      <c r="L901" s="46" t="s">
        <v>915</v>
      </c>
      <c r="M901" s="46" t="s">
        <v>1409</v>
      </c>
      <c r="N901" s="46" t="s">
        <v>75</v>
      </c>
      <c r="O901" s="46" t="s">
        <v>1086</v>
      </c>
      <c r="P901" s="83">
        <v>45723</v>
      </c>
      <c r="Q901" s="102">
        <v>5</v>
      </c>
      <c r="R901" s="102">
        <v>5</v>
      </c>
      <c r="S901" s="103">
        <v>30</v>
      </c>
    </row>
    <row r="902" ht="16.5" hidden="1" spans="1:19">
      <c r="A902" s="46">
        <v>900</v>
      </c>
      <c r="B902" s="46" t="s">
        <v>45</v>
      </c>
      <c r="C902" s="46" t="s">
        <v>38</v>
      </c>
      <c r="D902" s="46" t="s">
        <v>30</v>
      </c>
      <c r="E902" s="46" t="s">
        <v>1430</v>
      </c>
      <c r="F902" s="46" t="s">
        <v>1077</v>
      </c>
      <c r="G902" s="46" t="s">
        <v>904</v>
      </c>
      <c r="H902" s="46" t="s">
        <v>1388</v>
      </c>
      <c r="I902" s="46" t="s">
        <v>1389</v>
      </c>
      <c r="J902" s="83">
        <v>46085</v>
      </c>
      <c r="K902" s="87" t="s">
        <v>1410</v>
      </c>
      <c r="L902" s="46" t="s">
        <v>915</v>
      </c>
      <c r="M902" s="46" t="s">
        <v>1411</v>
      </c>
      <c r="N902" s="46" t="s">
        <v>173</v>
      </c>
      <c r="O902" s="46" t="s">
        <v>1086</v>
      </c>
      <c r="P902" s="83">
        <v>45377</v>
      </c>
      <c r="Q902" s="102">
        <v>5</v>
      </c>
      <c r="R902" s="102">
        <v>5</v>
      </c>
      <c r="S902" s="103">
        <v>30</v>
      </c>
    </row>
    <row r="903" ht="16.5" hidden="1" spans="1:19">
      <c r="A903" s="46">
        <v>901</v>
      </c>
      <c r="B903" s="46" t="s">
        <v>45</v>
      </c>
      <c r="C903" s="46" t="s">
        <v>29</v>
      </c>
      <c r="D903" s="46" t="s">
        <v>30</v>
      </c>
      <c r="E903" s="46" t="s">
        <v>1430</v>
      </c>
      <c r="F903" s="46" t="s">
        <v>1077</v>
      </c>
      <c r="G903" s="46" t="s">
        <v>904</v>
      </c>
      <c r="H903" s="46" t="s">
        <v>1388</v>
      </c>
      <c r="I903" s="46" t="s">
        <v>1389</v>
      </c>
      <c r="J903" s="83">
        <v>46085</v>
      </c>
      <c r="K903" s="87" t="s">
        <v>1412</v>
      </c>
      <c r="L903" s="46" t="s">
        <v>915</v>
      </c>
      <c r="M903" s="46" t="s">
        <v>1413</v>
      </c>
      <c r="N903" s="46" t="s">
        <v>130</v>
      </c>
      <c r="O903" s="46" t="s">
        <v>921</v>
      </c>
      <c r="P903" s="83">
        <v>45122</v>
      </c>
      <c r="Q903" s="102">
        <v>5</v>
      </c>
      <c r="R903" s="102">
        <v>5</v>
      </c>
      <c r="S903" s="103">
        <v>35</v>
      </c>
    </row>
    <row r="904" ht="16.5" hidden="1" spans="1:19">
      <c r="A904" s="46">
        <v>902</v>
      </c>
      <c r="B904" s="46" t="s">
        <v>45</v>
      </c>
      <c r="C904" s="46" t="s">
        <v>36</v>
      </c>
      <c r="D904" s="46" t="s">
        <v>30</v>
      </c>
      <c r="E904" s="46" t="s">
        <v>1430</v>
      </c>
      <c r="F904" s="46" t="s">
        <v>1077</v>
      </c>
      <c r="G904" s="46" t="s">
        <v>904</v>
      </c>
      <c r="H904" s="46" t="s">
        <v>1388</v>
      </c>
      <c r="I904" s="46" t="s">
        <v>1389</v>
      </c>
      <c r="J904" s="83">
        <v>46085</v>
      </c>
      <c r="K904" s="87" t="s">
        <v>1414</v>
      </c>
      <c r="L904" s="46" t="s">
        <v>915</v>
      </c>
      <c r="M904" s="46" t="s">
        <v>1415</v>
      </c>
      <c r="N904" s="46" t="s">
        <v>173</v>
      </c>
      <c r="O904" s="46" t="s">
        <v>1086</v>
      </c>
      <c r="P904" s="83">
        <v>45539</v>
      </c>
      <c r="Q904" s="102">
        <v>5</v>
      </c>
      <c r="R904" s="102">
        <v>5</v>
      </c>
      <c r="S904" s="103">
        <v>35</v>
      </c>
    </row>
    <row r="905" ht="16.5" hidden="1" spans="1:19">
      <c r="A905" s="46">
        <v>903</v>
      </c>
      <c r="B905" s="46" t="s">
        <v>45</v>
      </c>
      <c r="C905" s="46" t="s">
        <v>35</v>
      </c>
      <c r="D905" s="46" t="s">
        <v>30</v>
      </c>
      <c r="E905" s="46" t="s">
        <v>1430</v>
      </c>
      <c r="F905" s="46" t="s">
        <v>1077</v>
      </c>
      <c r="G905" s="46" t="s">
        <v>904</v>
      </c>
      <c r="H905" s="46" t="s">
        <v>1388</v>
      </c>
      <c r="I905" s="46" t="s">
        <v>1389</v>
      </c>
      <c r="J905" s="83">
        <v>46085</v>
      </c>
      <c r="K905" s="87" t="s">
        <v>1416</v>
      </c>
      <c r="L905" s="46" t="s">
        <v>915</v>
      </c>
      <c r="M905" s="46" t="s">
        <v>1417</v>
      </c>
      <c r="N905" s="46" t="s">
        <v>125</v>
      </c>
      <c r="O905" s="46" t="s">
        <v>1086</v>
      </c>
      <c r="P905" s="83">
        <v>45505</v>
      </c>
      <c r="Q905" s="102">
        <v>5</v>
      </c>
      <c r="R905" s="102">
        <v>5</v>
      </c>
      <c r="S905" s="103">
        <v>45</v>
      </c>
    </row>
    <row r="906" ht="16.5" hidden="1" spans="1:19">
      <c r="A906" s="46">
        <v>904</v>
      </c>
      <c r="B906" s="46" t="s">
        <v>45</v>
      </c>
      <c r="C906" s="46" t="s">
        <v>38</v>
      </c>
      <c r="D906" s="46" t="s">
        <v>30</v>
      </c>
      <c r="E906" s="46" t="s">
        <v>1430</v>
      </c>
      <c r="F906" s="46" t="s">
        <v>1077</v>
      </c>
      <c r="G906" s="46" t="s">
        <v>904</v>
      </c>
      <c r="H906" s="46" t="s">
        <v>1388</v>
      </c>
      <c r="I906" s="46" t="s">
        <v>1389</v>
      </c>
      <c r="J906" s="83">
        <v>46085</v>
      </c>
      <c r="K906" s="87" t="s">
        <v>1418</v>
      </c>
      <c r="L906" s="46" t="s">
        <v>915</v>
      </c>
      <c r="M906" s="46" t="s">
        <v>1419</v>
      </c>
      <c r="N906" s="46" t="s">
        <v>70</v>
      </c>
      <c r="O906" s="46" t="s">
        <v>1086</v>
      </c>
      <c r="P906" s="83">
        <v>45097</v>
      </c>
      <c r="Q906" s="102">
        <v>5</v>
      </c>
      <c r="R906" s="102">
        <v>5</v>
      </c>
      <c r="S906" s="103">
        <v>65</v>
      </c>
    </row>
    <row r="907" ht="16.5" hidden="1" spans="1:19">
      <c r="A907" s="46">
        <v>905</v>
      </c>
      <c r="B907" s="46" t="s">
        <v>45</v>
      </c>
      <c r="C907" s="46" t="s">
        <v>26</v>
      </c>
      <c r="D907" s="46" t="s">
        <v>30</v>
      </c>
      <c r="E907" s="46" t="s">
        <v>1430</v>
      </c>
      <c r="F907" s="46" t="s">
        <v>1077</v>
      </c>
      <c r="G907" s="46" t="s">
        <v>904</v>
      </c>
      <c r="H907" s="46" t="s">
        <v>1388</v>
      </c>
      <c r="I907" s="46" t="s">
        <v>1389</v>
      </c>
      <c r="J907" s="83">
        <v>46085</v>
      </c>
      <c r="K907" s="87" t="s">
        <v>1420</v>
      </c>
      <c r="L907" s="46" t="s">
        <v>915</v>
      </c>
      <c r="M907" s="46" t="s">
        <v>1421</v>
      </c>
      <c r="N907" s="46" t="s">
        <v>121</v>
      </c>
      <c r="O907" s="46" t="s">
        <v>921</v>
      </c>
      <c r="P907" s="83">
        <v>45790</v>
      </c>
      <c r="Q907" s="102">
        <v>5</v>
      </c>
      <c r="R907" s="102">
        <v>5</v>
      </c>
      <c r="S907" s="103">
        <v>40</v>
      </c>
    </row>
    <row r="908" ht="16.5" hidden="1" spans="1:19">
      <c r="A908" s="46">
        <v>906</v>
      </c>
      <c r="B908" s="46" t="s">
        <v>45</v>
      </c>
      <c r="C908" s="46" t="s">
        <v>32</v>
      </c>
      <c r="D908" s="46" t="s">
        <v>30</v>
      </c>
      <c r="E908" s="46" t="s">
        <v>1430</v>
      </c>
      <c r="F908" s="46" t="s">
        <v>1077</v>
      </c>
      <c r="G908" s="46" t="s">
        <v>904</v>
      </c>
      <c r="H908" s="46" t="s">
        <v>1388</v>
      </c>
      <c r="I908" s="46" t="s">
        <v>1389</v>
      </c>
      <c r="J908" s="83">
        <v>46085</v>
      </c>
      <c r="K908" s="87" t="s">
        <v>1422</v>
      </c>
      <c r="L908" s="46" t="s">
        <v>915</v>
      </c>
      <c r="M908" s="46" t="s">
        <v>1423</v>
      </c>
      <c r="N908" s="46" t="s">
        <v>105</v>
      </c>
      <c r="O908" s="46" t="s">
        <v>921</v>
      </c>
      <c r="P908" s="83">
        <v>45743</v>
      </c>
      <c r="Q908" s="102">
        <v>5</v>
      </c>
      <c r="R908" s="102">
        <v>5</v>
      </c>
      <c r="S908" s="103">
        <v>45</v>
      </c>
    </row>
    <row r="909" ht="16.5" hidden="1" spans="1:19">
      <c r="A909" s="46">
        <v>907</v>
      </c>
      <c r="B909" s="46" t="s">
        <v>45</v>
      </c>
      <c r="C909" s="46" t="s">
        <v>38</v>
      </c>
      <c r="D909" s="46" t="s">
        <v>30</v>
      </c>
      <c r="E909" s="46" t="s">
        <v>1430</v>
      </c>
      <c r="F909" s="46" t="s">
        <v>1077</v>
      </c>
      <c r="G909" s="46" t="s">
        <v>904</v>
      </c>
      <c r="H909" s="46" t="s">
        <v>1388</v>
      </c>
      <c r="I909" s="46" t="s">
        <v>1389</v>
      </c>
      <c r="J909" s="83">
        <v>46085</v>
      </c>
      <c r="K909" s="87" t="s">
        <v>1424</v>
      </c>
      <c r="L909" s="46" t="s">
        <v>915</v>
      </c>
      <c r="M909" s="46" t="s">
        <v>1425</v>
      </c>
      <c r="N909" s="46" t="s">
        <v>144</v>
      </c>
      <c r="O909" s="46" t="s">
        <v>1086</v>
      </c>
      <c r="P909" s="83">
        <v>45616</v>
      </c>
      <c r="Q909" s="102">
        <v>5</v>
      </c>
      <c r="R909" s="102">
        <v>5</v>
      </c>
      <c r="S909" s="103">
        <v>80</v>
      </c>
    </row>
    <row r="910" ht="16.5" hidden="1" spans="1:19">
      <c r="A910" s="46">
        <v>908</v>
      </c>
      <c r="B910" s="46" t="s">
        <v>45</v>
      </c>
      <c r="C910" s="46" t="s">
        <v>38</v>
      </c>
      <c r="D910" s="46" t="s">
        <v>30</v>
      </c>
      <c r="E910" s="46" t="s">
        <v>1430</v>
      </c>
      <c r="F910" s="46" t="s">
        <v>1077</v>
      </c>
      <c r="G910" s="46" t="s">
        <v>904</v>
      </c>
      <c r="H910" s="46" t="s">
        <v>1388</v>
      </c>
      <c r="I910" s="46" t="s">
        <v>1389</v>
      </c>
      <c r="J910" s="83">
        <v>46085</v>
      </c>
      <c r="K910" s="87" t="s">
        <v>1426</v>
      </c>
      <c r="L910" s="46" t="s">
        <v>915</v>
      </c>
      <c r="M910" s="46" t="s">
        <v>1427</v>
      </c>
      <c r="N910" s="46" t="s">
        <v>168</v>
      </c>
      <c r="O910" s="46" t="s">
        <v>921</v>
      </c>
      <c r="P910" s="83">
        <v>45821</v>
      </c>
      <c r="Q910" s="102">
        <v>5</v>
      </c>
      <c r="R910" s="102">
        <v>5</v>
      </c>
      <c r="S910" s="103">
        <v>40</v>
      </c>
    </row>
    <row r="911" ht="16.5" hidden="1" spans="1:19">
      <c r="A911" s="46">
        <v>909</v>
      </c>
      <c r="B911" s="46" t="s">
        <v>45</v>
      </c>
      <c r="C911" s="46" t="s">
        <v>32</v>
      </c>
      <c r="D911" s="46" t="s">
        <v>30</v>
      </c>
      <c r="E911" s="46" t="s">
        <v>1430</v>
      </c>
      <c r="F911" s="46" t="s">
        <v>1077</v>
      </c>
      <c r="G911" s="46" t="s">
        <v>904</v>
      </c>
      <c r="H911" s="46" t="s">
        <v>1388</v>
      </c>
      <c r="I911" s="46" t="s">
        <v>1389</v>
      </c>
      <c r="J911" s="83">
        <v>46085</v>
      </c>
      <c r="K911" s="87" t="s">
        <v>1428</v>
      </c>
      <c r="L911" s="46" t="s">
        <v>915</v>
      </c>
      <c r="M911" s="46" t="s">
        <v>1429</v>
      </c>
      <c r="N911" s="46" t="s">
        <v>105</v>
      </c>
      <c r="O911" s="46" t="s">
        <v>1086</v>
      </c>
      <c r="P911" s="83">
        <v>45353</v>
      </c>
      <c r="Q911" s="102">
        <v>5</v>
      </c>
      <c r="R911" s="102">
        <v>5</v>
      </c>
      <c r="S911" s="103">
        <v>65</v>
      </c>
    </row>
    <row r="912" ht="16.5" hidden="1" spans="1:19">
      <c r="A912" s="46">
        <v>910</v>
      </c>
      <c r="B912" s="46" t="s">
        <v>45</v>
      </c>
      <c r="C912" s="46" t="s">
        <v>31</v>
      </c>
      <c r="D912" s="46" t="s">
        <v>30</v>
      </c>
      <c r="E912" s="46" t="s">
        <v>1431</v>
      </c>
      <c r="F912" s="46" t="s">
        <v>1077</v>
      </c>
      <c r="G912" s="46" t="s">
        <v>904</v>
      </c>
      <c r="H912" s="46" t="s">
        <v>1388</v>
      </c>
      <c r="I912" s="46" t="s">
        <v>1389</v>
      </c>
      <c r="J912" s="83">
        <v>46085</v>
      </c>
      <c r="K912" s="46" t="s">
        <v>1390</v>
      </c>
      <c r="L912" s="46" t="s">
        <v>915</v>
      </c>
      <c r="M912" s="46" t="s">
        <v>1391</v>
      </c>
      <c r="N912" s="46" t="s">
        <v>90</v>
      </c>
      <c r="O912" s="46" t="s">
        <v>1086</v>
      </c>
      <c r="P912" s="83">
        <v>45706</v>
      </c>
      <c r="Q912" s="102">
        <v>5</v>
      </c>
      <c r="R912" s="102">
        <v>5</v>
      </c>
      <c r="S912" s="102" t="s">
        <v>1351</v>
      </c>
    </row>
    <row r="913" ht="16.5" hidden="1" spans="1:19">
      <c r="A913" s="46">
        <v>911</v>
      </c>
      <c r="B913" s="46" t="s">
        <v>45</v>
      </c>
      <c r="C913" s="46" t="s">
        <v>38</v>
      </c>
      <c r="D913" s="46" t="s">
        <v>30</v>
      </c>
      <c r="E913" s="46" t="s">
        <v>1431</v>
      </c>
      <c r="F913" s="46" t="s">
        <v>1077</v>
      </c>
      <c r="G913" s="46" t="s">
        <v>904</v>
      </c>
      <c r="H913" s="46" t="s">
        <v>1388</v>
      </c>
      <c r="I913" s="46" t="s">
        <v>1389</v>
      </c>
      <c r="J913" s="83">
        <v>46085</v>
      </c>
      <c r="K913" s="46" t="s">
        <v>1392</v>
      </c>
      <c r="L913" s="46" t="s">
        <v>915</v>
      </c>
      <c r="M913" s="46" t="s">
        <v>1393</v>
      </c>
      <c r="N913" s="46" t="s">
        <v>70</v>
      </c>
      <c r="O913" s="46" t="s">
        <v>1086</v>
      </c>
      <c r="P913" s="83">
        <v>45586</v>
      </c>
      <c r="Q913" s="102">
        <v>5</v>
      </c>
      <c r="R913" s="102">
        <v>5</v>
      </c>
      <c r="S913" s="102" t="s">
        <v>1351</v>
      </c>
    </row>
    <row r="914" ht="16.5" hidden="1" spans="1:19">
      <c r="A914" s="46">
        <v>912</v>
      </c>
      <c r="B914" s="46" t="s">
        <v>45</v>
      </c>
      <c r="C914" s="46" t="s">
        <v>24</v>
      </c>
      <c r="D914" s="46" t="s">
        <v>30</v>
      </c>
      <c r="E914" s="46" t="s">
        <v>1431</v>
      </c>
      <c r="F914" s="46" t="s">
        <v>1077</v>
      </c>
      <c r="G914" s="46" t="s">
        <v>904</v>
      </c>
      <c r="H914" s="46" t="s">
        <v>1388</v>
      </c>
      <c r="I914" s="46" t="s">
        <v>1389</v>
      </c>
      <c r="J914" s="83">
        <v>46085</v>
      </c>
      <c r="K914" s="46" t="s">
        <v>1394</v>
      </c>
      <c r="L914" s="46" t="s">
        <v>915</v>
      </c>
      <c r="M914" s="46" t="s">
        <v>1395</v>
      </c>
      <c r="N914" s="46" t="s">
        <v>152</v>
      </c>
      <c r="O914" s="46" t="s">
        <v>1086</v>
      </c>
      <c r="P914" s="83">
        <v>45602</v>
      </c>
      <c r="Q914" s="102">
        <v>4.75</v>
      </c>
      <c r="R914" s="102">
        <v>5</v>
      </c>
      <c r="S914" s="102" t="s">
        <v>1351</v>
      </c>
    </row>
    <row r="915" ht="16.5" hidden="1" spans="1:19">
      <c r="A915" s="46">
        <v>913</v>
      </c>
      <c r="B915" s="46" t="s">
        <v>45</v>
      </c>
      <c r="C915" s="46" t="s">
        <v>38</v>
      </c>
      <c r="D915" s="46" t="s">
        <v>30</v>
      </c>
      <c r="E915" s="46" t="s">
        <v>1431</v>
      </c>
      <c r="F915" s="46" t="s">
        <v>1077</v>
      </c>
      <c r="G915" s="46" t="s">
        <v>904</v>
      </c>
      <c r="H915" s="46" t="s">
        <v>1388</v>
      </c>
      <c r="I915" s="46" t="s">
        <v>1389</v>
      </c>
      <c r="J915" s="83">
        <v>46085</v>
      </c>
      <c r="K915" s="46" t="s">
        <v>1396</v>
      </c>
      <c r="L915" s="46" t="s">
        <v>915</v>
      </c>
      <c r="M915" s="46" t="s">
        <v>1397</v>
      </c>
      <c r="N915" s="46" t="s">
        <v>63</v>
      </c>
      <c r="O915" s="46" t="s">
        <v>1086</v>
      </c>
      <c r="P915" s="83">
        <v>45705</v>
      </c>
      <c r="Q915" s="102">
        <v>5</v>
      </c>
      <c r="R915" s="102">
        <v>5</v>
      </c>
      <c r="S915" s="102" t="s">
        <v>1351</v>
      </c>
    </row>
    <row r="916" ht="16.5" hidden="1" spans="1:19">
      <c r="A916" s="46">
        <v>914</v>
      </c>
      <c r="B916" s="46" t="s">
        <v>45</v>
      </c>
      <c r="C916" s="46" t="s">
        <v>38</v>
      </c>
      <c r="D916" s="46" t="s">
        <v>30</v>
      </c>
      <c r="E916" s="46" t="s">
        <v>1431</v>
      </c>
      <c r="F916" s="46" t="s">
        <v>1077</v>
      </c>
      <c r="G916" s="46" t="s">
        <v>904</v>
      </c>
      <c r="H916" s="46" t="s">
        <v>1388</v>
      </c>
      <c r="I916" s="46" t="s">
        <v>1389</v>
      </c>
      <c r="J916" s="83">
        <v>46085</v>
      </c>
      <c r="K916" s="46" t="s">
        <v>1398</v>
      </c>
      <c r="L916" s="46" t="s">
        <v>915</v>
      </c>
      <c r="M916" s="46" t="s">
        <v>1399</v>
      </c>
      <c r="N916" s="46" t="s">
        <v>70</v>
      </c>
      <c r="O916" s="46" t="s">
        <v>1086</v>
      </c>
      <c r="P916" s="83">
        <v>45475</v>
      </c>
      <c r="Q916" s="102">
        <v>5</v>
      </c>
      <c r="R916" s="102">
        <v>5</v>
      </c>
      <c r="S916" s="102" t="s">
        <v>1351</v>
      </c>
    </row>
    <row r="917" ht="16.5" hidden="1" spans="1:19">
      <c r="A917" s="46">
        <v>915</v>
      </c>
      <c r="B917" s="46" t="s">
        <v>45</v>
      </c>
      <c r="C917" s="46" t="s">
        <v>24</v>
      </c>
      <c r="D917" s="46" t="s">
        <v>30</v>
      </c>
      <c r="E917" s="46" t="s">
        <v>1431</v>
      </c>
      <c r="F917" s="46" t="s">
        <v>1077</v>
      </c>
      <c r="G917" s="46" t="s">
        <v>904</v>
      </c>
      <c r="H917" s="46" t="s">
        <v>1388</v>
      </c>
      <c r="I917" s="46" t="s">
        <v>1389</v>
      </c>
      <c r="J917" s="83">
        <v>46085</v>
      </c>
      <c r="K917" s="46" t="s">
        <v>1400</v>
      </c>
      <c r="L917" s="46" t="s">
        <v>915</v>
      </c>
      <c r="M917" s="46" t="s">
        <v>1401</v>
      </c>
      <c r="N917" s="46" t="str">
        <f>VLOOKUP(K917,[4]在职!$A:$G,7,0)</f>
        <v>陕西2部</v>
      </c>
      <c r="O917" s="46" t="s">
        <v>1086</v>
      </c>
      <c r="P917" s="83">
        <v>45496</v>
      </c>
      <c r="Q917" s="102">
        <v>5</v>
      </c>
      <c r="R917" s="102">
        <v>5</v>
      </c>
      <c r="S917" s="102" t="s">
        <v>1351</v>
      </c>
    </row>
    <row r="918" ht="16.5" hidden="1" spans="1:19">
      <c r="A918" s="46">
        <v>916</v>
      </c>
      <c r="B918" s="46" t="s">
        <v>45</v>
      </c>
      <c r="C918" s="46" t="s">
        <v>29</v>
      </c>
      <c r="D918" s="46" t="s">
        <v>30</v>
      </c>
      <c r="E918" s="46" t="s">
        <v>1431</v>
      </c>
      <c r="F918" s="46" t="s">
        <v>1077</v>
      </c>
      <c r="G918" s="46" t="s">
        <v>904</v>
      </c>
      <c r="H918" s="46" t="s">
        <v>1388</v>
      </c>
      <c r="I918" s="46" t="s">
        <v>1389</v>
      </c>
      <c r="J918" s="83">
        <v>46085</v>
      </c>
      <c r="K918" s="46" t="s">
        <v>1402</v>
      </c>
      <c r="L918" s="46" t="s">
        <v>915</v>
      </c>
      <c r="M918" s="46" t="s">
        <v>1403</v>
      </c>
      <c r="N918" s="46" t="s">
        <v>130</v>
      </c>
      <c r="O918" s="46" t="s">
        <v>921</v>
      </c>
      <c r="P918" s="83">
        <v>45743</v>
      </c>
      <c r="Q918" s="102">
        <v>5</v>
      </c>
      <c r="R918" s="102">
        <v>5</v>
      </c>
      <c r="S918" s="102" t="s">
        <v>1351</v>
      </c>
    </row>
    <row r="919" ht="16.5" hidden="1" spans="1:19">
      <c r="A919" s="46">
        <v>917</v>
      </c>
      <c r="B919" s="46" t="s">
        <v>45</v>
      </c>
      <c r="C919" s="46" t="s">
        <v>38</v>
      </c>
      <c r="D919" s="46" t="s">
        <v>30</v>
      </c>
      <c r="E919" s="46" t="s">
        <v>1431</v>
      </c>
      <c r="F919" s="46" t="s">
        <v>1077</v>
      </c>
      <c r="G919" s="46" t="s">
        <v>904</v>
      </c>
      <c r="H919" s="46" t="s">
        <v>1388</v>
      </c>
      <c r="I919" s="46" t="s">
        <v>1389</v>
      </c>
      <c r="J919" s="83">
        <v>46085</v>
      </c>
      <c r="K919" s="46" t="s">
        <v>1404</v>
      </c>
      <c r="L919" s="46" t="s">
        <v>915</v>
      </c>
      <c r="M919" s="46" t="s">
        <v>1405</v>
      </c>
      <c r="N919" s="46" t="s">
        <v>144</v>
      </c>
      <c r="O919" s="46" t="s">
        <v>1086</v>
      </c>
      <c r="P919" s="83">
        <v>45425</v>
      </c>
      <c r="Q919" s="102">
        <v>5</v>
      </c>
      <c r="R919" s="102">
        <v>5</v>
      </c>
      <c r="S919" s="102" t="s">
        <v>1351</v>
      </c>
    </row>
    <row r="920" ht="16.5" hidden="1" spans="1:19">
      <c r="A920" s="46">
        <v>918</v>
      </c>
      <c r="B920" s="46" t="s">
        <v>45</v>
      </c>
      <c r="C920" s="46" t="s">
        <v>37</v>
      </c>
      <c r="D920" s="46" t="s">
        <v>30</v>
      </c>
      <c r="E920" s="46" t="s">
        <v>1431</v>
      </c>
      <c r="F920" s="46" t="s">
        <v>1077</v>
      </c>
      <c r="G920" s="46" t="s">
        <v>904</v>
      </c>
      <c r="H920" s="46" t="s">
        <v>1388</v>
      </c>
      <c r="I920" s="46" t="s">
        <v>1389</v>
      </c>
      <c r="J920" s="83">
        <v>46085</v>
      </c>
      <c r="K920" s="46" t="s">
        <v>1406</v>
      </c>
      <c r="L920" s="46" t="s">
        <v>915</v>
      </c>
      <c r="M920" s="46" t="s">
        <v>1407</v>
      </c>
      <c r="N920" s="46" t="s">
        <v>152</v>
      </c>
      <c r="O920" s="46" t="s">
        <v>1086</v>
      </c>
      <c r="P920" s="83">
        <v>45467</v>
      </c>
      <c r="Q920" s="102">
        <v>5</v>
      </c>
      <c r="R920" s="102">
        <v>5</v>
      </c>
      <c r="S920" s="102" t="s">
        <v>1351</v>
      </c>
    </row>
    <row r="921" ht="16.5" hidden="1" spans="1:19">
      <c r="A921" s="46">
        <v>919</v>
      </c>
      <c r="B921" s="46" t="s">
        <v>45</v>
      </c>
      <c r="C921" s="46" t="s">
        <v>38</v>
      </c>
      <c r="D921" s="46" t="s">
        <v>30</v>
      </c>
      <c r="E921" s="46" t="s">
        <v>1431</v>
      </c>
      <c r="F921" s="46" t="s">
        <v>1077</v>
      </c>
      <c r="G921" s="46" t="s">
        <v>904</v>
      </c>
      <c r="H921" s="46" t="s">
        <v>1388</v>
      </c>
      <c r="I921" s="46" t="s">
        <v>1389</v>
      </c>
      <c r="J921" s="83">
        <v>46085</v>
      </c>
      <c r="K921" s="46" t="s">
        <v>1408</v>
      </c>
      <c r="L921" s="46" t="s">
        <v>915</v>
      </c>
      <c r="M921" s="46" t="s">
        <v>1409</v>
      </c>
      <c r="N921" s="46" t="s">
        <v>75</v>
      </c>
      <c r="O921" s="46" t="s">
        <v>1086</v>
      </c>
      <c r="P921" s="83">
        <v>45723</v>
      </c>
      <c r="Q921" s="102">
        <v>5</v>
      </c>
      <c r="R921" s="102">
        <v>5</v>
      </c>
      <c r="S921" s="102" t="s">
        <v>1351</v>
      </c>
    </row>
    <row r="922" ht="16.5" hidden="1" spans="1:19">
      <c r="A922" s="46">
        <v>920</v>
      </c>
      <c r="B922" s="46" t="s">
        <v>45</v>
      </c>
      <c r="C922" s="46" t="s">
        <v>38</v>
      </c>
      <c r="D922" s="46" t="s">
        <v>30</v>
      </c>
      <c r="E922" s="46" t="s">
        <v>1431</v>
      </c>
      <c r="F922" s="46" t="s">
        <v>1077</v>
      </c>
      <c r="G922" s="46" t="s">
        <v>904</v>
      </c>
      <c r="H922" s="46" t="s">
        <v>1388</v>
      </c>
      <c r="I922" s="46" t="s">
        <v>1389</v>
      </c>
      <c r="J922" s="83">
        <v>46085</v>
      </c>
      <c r="K922" s="46" t="s">
        <v>1410</v>
      </c>
      <c r="L922" s="46" t="s">
        <v>915</v>
      </c>
      <c r="M922" s="46" t="s">
        <v>1411</v>
      </c>
      <c r="N922" s="46" t="s">
        <v>173</v>
      </c>
      <c r="O922" s="46" t="s">
        <v>1086</v>
      </c>
      <c r="P922" s="83">
        <v>45377</v>
      </c>
      <c r="Q922" s="102">
        <v>5</v>
      </c>
      <c r="R922" s="102">
        <v>5</v>
      </c>
      <c r="S922" s="102" t="s">
        <v>1351</v>
      </c>
    </row>
    <row r="923" ht="16.5" hidden="1" spans="1:19">
      <c r="A923" s="46">
        <v>921</v>
      </c>
      <c r="B923" s="46" t="s">
        <v>45</v>
      </c>
      <c r="C923" s="46" t="s">
        <v>29</v>
      </c>
      <c r="D923" s="46" t="s">
        <v>30</v>
      </c>
      <c r="E923" s="46" t="s">
        <v>1431</v>
      </c>
      <c r="F923" s="46" t="s">
        <v>1077</v>
      </c>
      <c r="G923" s="46" t="s">
        <v>904</v>
      </c>
      <c r="H923" s="46" t="s">
        <v>1388</v>
      </c>
      <c r="I923" s="46" t="s">
        <v>1389</v>
      </c>
      <c r="J923" s="83">
        <v>46085</v>
      </c>
      <c r="K923" s="46" t="s">
        <v>1412</v>
      </c>
      <c r="L923" s="46" t="s">
        <v>915</v>
      </c>
      <c r="M923" s="46" t="s">
        <v>1413</v>
      </c>
      <c r="N923" s="46" t="s">
        <v>130</v>
      </c>
      <c r="O923" s="46" t="s">
        <v>921</v>
      </c>
      <c r="P923" s="83">
        <v>45122</v>
      </c>
      <c r="Q923" s="102">
        <v>5</v>
      </c>
      <c r="R923" s="102">
        <v>5</v>
      </c>
      <c r="S923" s="102" t="s">
        <v>1351</v>
      </c>
    </row>
    <row r="924" ht="16.5" hidden="1" spans="1:19">
      <c r="A924" s="46">
        <v>922</v>
      </c>
      <c r="B924" s="46" t="s">
        <v>45</v>
      </c>
      <c r="C924" s="46" t="s">
        <v>36</v>
      </c>
      <c r="D924" s="46" t="s">
        <v>30</v>
      </c>
      <c r="E924" s="46" t="s">
        <v>1431</v>
      </c>
      <c r="F924" s="46" t="s">
        <v>1077</v>
      </c>
      <c r="G924" s="46" t="s">
        <v>904</v>
      </c>
      <c r="H924" s="46" t="s">
        <v>1388</v>
      </c>
      <c r="I924" s="46" t="s">
        <v>1389</v>
      </c>
      <c r="J924" s="83">
        <v>46085</v>
      </c>
      <c r="K924" s="46" t="s">
        <v>1414</v>
      </c>
      <c r="L924" s="46" t="s">
        <v>915</v>
      </c>
      <c r="M924" s="46" t="s">
        <v>1415</v>
      </c>
      <c r="N924" s="46" t="s">
        <v>173</v>
      </c>
      <c r="O924" s="46" t="s">
        <v>1086</v>
      </c>
      <c r="P924" s="83">
        <v>45539</v>
      </c>
      <c r="Q924" s="102">
        <v>5</v>
      </c>
      <c r="R924" s="102">
        <v>5</v>
      </c>
      <c r="S924" s="102" t="s">
        <v>1351</v>
      </c>
    </row>
    <row r="925" ht="16.5" hidden="1" spans="1:19">
      <c r="A925" s="46">
        <v>923</v>
      </c>
      <c r="B925" s="46" t="s">
        <v>45</v>
      </c>
      <c r="C925" s="46" t="s">
        <v>35</v>
      </c>
      <c r="D925" s="46" t="s">
        <v>30</v>
      </c>
      <c r="E925" s="46" t="s">
        <v>1431</v>
      </c>
      <c r="F925" s="46" t="s">
        <v>1077</v>
      </c>
      <c r="G925" s="46" t="s">
        <v>904</v>
      </c>
      <c r="H925" s="46" t="s">
        <v>1388</v>
      </c>
      <c r="I925" s="46" t="s">
        <v>1389</v>
      </c>
      <c r="J925" s="83">
        <v>46085</v>
      </c>
      <c r="K925" s="46" t="s">
        <v>1416</v>
      </c>
      <c r="L925" s="46" t="s">
        <v>915</v>
      </c>
      <c r="M925" s="46" t="s">
        <v>1417</v>
      </c>
      <c r="N925" s="46" t="s">
        <v>125</v>
      </c>
      <c r="O925" s="46" t="s">
        <v>1086</v>
      </c>
      <c r="P925" s="83">
        <v>45505</v>
      </c>
      <c r="Q925" s="102">
        <v>5</v>
      </c>
      <c r="R925" s="102">
        <v>5</v>
      </c>
      <c r="S925" s="102" t="s">
        <v>1351</v>
      </c>
    </row>
    <row r="926" ht="16.5" hidden="1" spans="1:19">
      <c r="A926" s="46">
        <v>924</v>
      </c>
      <c r="B926" s="46" t="s">
        <v>45</v>
      </c>
      <c r="C926" s="46" t="s">
        <v>38</v>
      </c>
      <c r="D926" s="46" t="s">
        <v>30</v>
      </c>
      <c r="E926" s="46" t="s">
        <v>1431</v>
      </c>
      <c r="F926" s="46" t="s">
        <v>1077</v>
      </c>
      <c r="G926" s="46" t="s">
        <v>904</v>
      </c>
      <c r="H926" s="46" t="s">
        <v>1388</v>
      </c>
      <c r="I926" s="46" t="s">
        <v>1389</v>
      </c>
      <c r="J926" s="83">
        <v>46085</v>
      </c>
      <c r="K926" s="46" t="s">
        <v>1418</v>
      </c>
      <c r="L926" s="46" t="s">
        <v>915</v>
      </c>
      <c r="M926" s="46" t="s">
        <v>1419</v>
      </c>
      <c r="N926" s="46" t="s">
        <v>70</v>
      </c>
      <c r="O926" s="46" t="s">
        <v>1086</v>
      </c>
      <c r="P926" s="83">
        <v>45097</v>
      </c>
      <c r="Q926" s="102">
        <v>5</v>
      </c>
      <c r="R926" s="102">
        <v>5</v>
      </c>
      <c r="S926" s="102" t="s">
        <v>1351</v>
      </c>
    </row>
    <row r="927" ht="16.5" hidden="1" spans="1:19">
      <c r="A927" s="46">
        <v>925</v>
      </c>
      <c r="B927" s="46" t="s">
        <v>45</v>
      </c>
      <c r="C927" s="46" t="s">
        <v>26</v>
      </c>
      <c r="D927" s="46" t="s">
        <v>30</v>
      </c>
      <c r="E927" s="46" t="s">
        <v>1431</v>
      </c>
      <c r="F927" s="46" t="s">
        <v>1077</v>
      </c>
      <c r="G927" s="46" t="s">
        <v>904</v>
      </c>
      <c r="H927" s="46" t="s">
        <v>1388</v>
      </c>
      <c r="I927" s="46" t="s">
        <v>1389</v>
      </c>
      <c r="J927" s="83">
        <v>46085</v>
      </c>
      <c r="K927" s="46" t="s">
        <v>1420</v>
      </c>
      <c r="L927" s="46" t="s">
        <v>915</v>
      </c>
      <c r="M927" s="46" t="s">
        <v>1421</v>
      </c>
      <c r="N927" s="46" t="s">
        <v>121</v>
      </c>
      <c r="O927" s="46" t="s">
        <v>921</v>
      </c>
      <c r="P927" s="83">
        <v>45790</v>
      </c>
      <c r="Q927" s="102">
        <v>5</v>
      </c>
      <c r="R927" s="102">
        <v>5</v>
      </c>
      <c r="S927" s="102" t="s">
        <v>1351</v>
      </c>
    </row>
    <row r="928" ht="16.5" hidden="1" spans="1:19">
      <c r="A928" s="46">
        <v>926</v>
      </c>
      <c r="B928" s="46" t="s">
        <v>45</v>
      </c>
      <c r="C928" s="46" t="s">
        <v>32</v>
      </c>
      <c r="D928" s="46" t="s">
        <v>30</v>
      </c>
      <c r="E928" s="46" t="s">
        <v>1431</v>
      </c>
      <c r="F928" s="46" t="s">
        <v>1077</v>
      </c>
      <c r="G928" s="46" t="s">
        <v>904</v>
      </c>
      <c r="H928" s="46" t="s">
        <v>1388</v>
      </c>
      <c r="I928" s="46" t="s">
        <v>1389</v>
      </c>
      <c r="J928" s="83">
        <v>46085</v>
      </c>
      <c r="K928" s="46" t="s">
        <v>1422</v>
      </c>
      <c r="L928" s="46" t="s">
        <v>915</v>
      </c>
      <c r="M928" s="46" t="s">
        <v>1423</v>
      </c>
      <c r="N928" s="46" t="s">
        <v>105</v>
      </c>
      <c r="O928" s="46" t="s">
        <v>921</v>
      </c>
      <c r="P928" s="83">
        <v>45743</v>
      </c>
      <c r="Q928" s="102">
        <v>5</v>
      </c>
      <c r="R928" s="102">
        <v>5</v>
      </c>
      <c r="S928" s="102" t="s">
        <v>1351</v>
      </c>
    </row>
    <row r="929" ht="16.5" hidden="1" spans="1:19">
      <c r="A929" s="46">
        <v>927</v>
      </c>
      <c r="B929" s="46" t="s">
        <v>45</v>
      </c>
      <c r="C929" s="46" t="s">
        <v>38</v>
      </c>
      <c r="D929" s="46" t="s">
        <v>30</v>
      </c>
      <c r="E929" s="46" t="s">
        <v>1431</v>
      </c>
      <c r="F929" s="46" t="s">
        <v>1077</v>
      </c>
      <c r="G929" s="46" t="s">
        <v>904</v>
      </c>
      <c r="H929" s="46" t="s">
        <v>1388</v>
      </c>
      <c r="I929" s="46" t="s">
        <v>1389</v>
      </c>
      <c r="J929" s="83">
        <v>46085</v>
      </c>
      <c r="K929" s="46" t="s">
        <v>1424</v>
      </c>
      <c r="L929" s="46" t="s">
        <v>915</v>
      </c>
      <c r="M929" s="46" t="s">
        <v>1425</v>
      </c>
      <c r="N929" s="46" t="s">
        <v>144</v>
      </c>
      <c r="O929" s="46" t="s">
        <v>1086</v>
      </c>
      <c r="P929" s="83">
        <v>45616</v>
      </c>
      <c r="Q929" s="102">
        <v>5</v>
      </c>
      <c r="R929" s="102">
        <v>5</v>
      </c>
      <c r="S929" s="102" t="s">
        <v>1351</v>
      </c>
    </row>
    <row r="930" ht="16.5" hidden="1" spans="1:19">
      <c r="A930" s="46">
        <v>928</v>
      </c>
      <c r="B930" s="46" t="s">
        <v>45</v>
      </c>
      <c r="C930" s="46" t="s">
        <v>38</v>
      </c>
      <c r="D930" s="46" t="s">
        <v>30</v>
      </c>
      <c r="E930" s="46" t="s">
        <v>1431</v>
      </c>
      <c r="F930" s="46" t="s">
        <v>1077</v>
      </c>
      <c r="G930" s="46" t="s">
        <v>904</v>
      </c>
      <c r="H930" s="46" t="s">
        <v>1388</v>
      </c>
      <c r="I930" s="46" t="s">
        <v>1389</v>
      </c>
      <c r="J930" s="83">
        <v>46085</v>
      </c>
      <c r="K930" s="46" t="s">
        <v>1426</v>
      </c>
      <c r="L930" s="46" t="s">
        <v>915</v>
      </c>
      <c r="M930" s="46" t="s">
        <v>1427</v>
      </c>
      <c r="N930" s="46" t="s">
        <v>168</v>
      </c>
      <c r="O930" s="46" t="s">
        <v>921</v>
      </c>
      <c r="P930" s="83">
        <v>45821</v>
      </c>
      <c r="Q930" s="102">
        <v>5</v>
      </c>
      <c r="R930" s="102">
        <v>4.8</v>
      </c>
      <c r="S930" s="102" t="s">
        <v>1351</v>
      </c>
    </row>
    <row r="931" ht="16.5" hidden="1" spans="1:19">
      <c r="A931" s="46">
        <v>929</v>
      </c>
      <c r="B931" s="46" t="s">
        <v>45</v>
      </c>
      <c r="C931" s="46" t="s">
        <v>32</v>
      </c>
      <c r="D931" s="46" t="s">
        <v>30</v>
      </c>
      <c r="E931" s="46" t="s">
        <v>1431</v>
      </c>
      <c r="F931" s="46" t="s">
        <v>1077</v>
      </c>
      <c r="G931" s="46" t="s">
        <v>904</v>
      </c>
      <c r="H931" s="46" t="s">
        <v>1388</v>
      </c>
      <c r="I931" s="46" t="s">
        <v>1389</v>
      </c>
      <c r="J931" s="83">
        <v>46085</v>
      </c>
      <c r="K931" s="46" t="s">
        <v>1428</v>
      </c>
      <c r="L931" s="46" t="s">
        <v>915</v>
      </c>
      <c r="M931" s="46" t="s">
        <v>1429</v>
      </c>
      <c r="N931" s="46" t="s">
        <v>105</v>
      </c>
      <c r="O931" s="46" t="s">
        <v>1086</v>
      </c>
      <c r="P931" s="83">
        <v>45353</v>
      </c>
      <c r="Q931" s="102">
        <v>0</v>
      </c>
      <c r="R931" s="102">
        <v>0</v>
      </c>
      <c r="S931" s="102" t="s">
        <v>1351</v>
      </c>
    </row>
    <row r="932" ht="16.5" hidden="1" spans="1:19">
      <c r="A932" s="46">
        <v>930</v>
      </c>
      <c r="B932" s="46" t="s">
        <v>45</v>
      </c>
      <c r="C932" s="46" t="s">
        <v>31</v>
      </c>
      <c r="D932" s="46" t="s">
        <v>30</v>
      </c>
      <c r="E932" s="46" t="s">
        <v>1432</v>
      </c>
      <c r="F932" s="46" t="s">
        <v>1077</v>
      </c>
      <c r="G932" s="46" t="s">
        <v>904</v>
      </c>
      <c r="H932" s="46" t="s">
        <v>1388</v>
      </c>
      <c r="I932" s="46" t="s">
        <v>1389</v>
      </c>
      <c r="J932" s="83">
        <v>46084</v>
      </c>
      <c r="K932" s="46" t="s">
        <v>1390</v>
      </c>
      <c r="L932" s="46" t="s">
        <v>915</v>
      </c>
      <c r="M932" s="46" t="s">
        <v>1391</v>
      </c>
      <c r="N932" s="46" t="s">
        <v>90</v>
      </c>
      <c r="O932" s="46" t="s">
        <v>1086</v>
      </c>
      <c r="P932" s="83">
        <v>45706</v>
      </c>
      <c r="Q932" s="102">
        <v>5</v>
      </c>
      <c r="R932" s="102">
        <v>5</v>
      </c>
      <c r="S932" s="104">
        <v>60</v>
      </c>
    </row>
    <row r="933" ht="16.5" hidden="1" spans="1:19">
      <c r="A933" s="46">
        <v>931</v>
      </c>
      <c r="B933" s="46" t="s">
        <v>45</v>
      </c>
      <c r="C933" s="46" t="s">
        <v>38</v>
      </c>
      <c r="D933" s="46" t="s">
        <v>30</v>
      </c>
      <c r="E933" s="46" t="s">
        <v>1432</v>
      </c>
      <c r="F933" s="46" t="s">
        <v>1077</v>
      </c>
      <c r="G933" s="46" t="s">
        <v>904</v>
      </c>
      <c r="H933" s="46" t="s">
        <v>1388</v>
      </c>
      <c r="I933" s="46" t="s">
        <v>1389</v>
      </c>
      <c r="J933" s="83">
        <v>46084</v>
      </c>
      <c r="K933" s="46" t="s">
        <v>1392</v>
      </c>
      <c r="L933" s="46" t="s">
        <v>915</v>
      </c>
      <c r="M933" s="46" t="s">
        <v>1393</v>
      </c>
      <c r="N933" s="46" t="s">
        <v>70</v>
      </c>
      <c r="O933" s="46" t="s">
        <v>1086</v>
      </c>
      <c r="P933" s="83">
        <v>45586</v>
      </c>
      <c r="Q933" s="102">
        <v>5</v>
      </c>
      <c r="R933" s="102">
        <v>5</v>
      </c>
      <c r="S933" s="104">
        <v>60</v>
      </c>
    </row>
    <row r="934" ht="16.5" hidden="1" spans="1:19">
      <c r="A934" s="46">
        <v>932</v>
      </c>
      <c r="B934" s="46" t="s">
        <v>45</v>
      </c>
      <c r="C934" s="46" t="s">
        <v>24</v>
      </c>
      <c r="D934" s="46" t="s">
        <v>30</v>
      </c>
      <c r="E934" s="46" t="s">
        <v>1432</v>
      </c>
      <c r="F934" s="46" t="s">
        <v>1077</v>
      </c>
      <c r="G934" s="46" t="s">
        <v>904</v>
      </c>
      <c r="H934" s="46" t="s">
        <v>1388</v>
      </c>
      <c r="I934" s="46" t="s">
        <v>1389</v>
      </c>
      <c r="J934" s="83">
        <v>46084</v>
      </c>
      <c r="K934" s="46" t="s">
        <v>1394</v>
      </c>
      <c r="L934" s="46" t="s">
        <v>915</v>
      </c>
      <c r="M934" s="46" t="s">
        <v>1395</v>
      </c>
      <c r="N934" s="46" t="s">
        <v>152</v>
      </c>
      <c r="O934" s="46" t="s">
        <v>1086</v>
      </c>
      <c r="P934" s="83">
        <v>45602</v>
      </c>
      <c r="Q934" s="102">
        <v>0</v>
      </c>
      <c r="R934" s="102">
        <v>0</v>
      </c>
      <c r="S934" s="104">
        <v>40</v>
      </c>
    </row>
    <row r="935" ht="16.5" hidden="1" spans="1:19">
      <c r="A935" s="46">
        <v>933</v>
      </c>
      <c r="B935" s="46" t="s">
        <v>45</v>
      </c>
      <c r="C935" s="46" t="s">
        <v>38</v>
      </c>
      <c r="D935" s="46" t="s">
        <v>30</v>
      </c>
      <c r="E935" s="46" t="s">
        <v>1432</v>
      </c>
      <c r="F935" s="46" t="s">
        <v>1077</v>
      </c>
      <c r="G935" s="46" t="s">
        <v>904</v>
      </c>
      <c r="H935" s="46" t="s">
        <v>1388</v>
      </c>
      <c r="I935" s="46" t="s">
        <v>1389</v>
      </c>
      <c r="J935" s="83">
        <v>46084</v>
      </c>
      <c r="K935" s="46" t="s">
        <v>1396</v>
      </c>
      <c r="L935" s="46" t="s">
        <v>915</v>
      </c>
      <c r="M935" s="46" t="s">
        <v>1397</v>
      </c>
      <c r="N935" s="46" t="s">
        <v>63</v>
      </c>
      <c r="O935" s="46" t="s">
        <v>1086</v>
      </c>
      <c r="P935" s="83">
        <v>45705</v>
      </c>
      <c r="Q935" s="102">
        <v>5</v>
      </c>
      <c r="R935" s="102">
        <v>5</v>
      </c>
      <c r="S935" s="104">
        <v>70</v>
      </c>
    </row>
    <row r="936" ht="16.5" hidden="1" spans="1:19">
      <c r="A936" s="46">
        <v>934</v>
      </c>
      <c r="B936" s="46" t="s">
        <v>45</v>
      </c>
      <c r="C936" s="46" t="s">
        <v>38</v>
      </c>
      <c r="D936" s="46" t="s">
        <v>30</v>
      </c>
      <c r="E936" s="46" t="s">
        <v>1432</v>
      </c>
      <c r="F936" s="46" t="s">
        <v>1077</v>
      </c>
      <c r="G936" s="46" t="s">
        <v>904</v>
      </c>
      <c r="H936" s="46" t="s">
        <v>1388</v>
      </c>
      <c r="I936" s="46" t="s">
        <v>1389</v>
      </c>
      <c r="J936" s="83">
        <v>46084</v>
      </c>
      <c r="K936" s="46" t="s">
        <v>1398</v>
      </c>
      <c r="L936" s="46" t="s">
        <v>915</v>
      </c>
      <c r="M936" s="46" t="s">
        <v>1399</v>
      </c>
      <c r="N936" s="46" t="s">
        <v>70</v>
      </c>
      <c r="O936" s="46" t="s">
        <v>1086</v>
      </c>
      <c r="P936" s="83">
        <v>45475</v>
      </c>
      <c r="Q936" s="102">
        <v>5</v>
      </c>
      <c r="R936" s="102">
        <v>5</v>
      </c>
      <c r="S936" s="104">
        <v>50</v>
      </c>
    </row>
    <row r="937" ht="16.5" hidden="1" spans="1:19">
      <c r="A937" s="46">
        <v>935</v>
      </c>
      <c r="B937" s="46" t="s">
        <v>45</v>
      </c>
      <c r="C937" s="46" t="s">
        <v>24</v>
      </c>
      <c r="D937" s="46" t="s">
        <v>30</v>
      </c>
      <c r="E937" s="46" t="s">
        <v>1432</v>
      </c>
      <c r="F937" s="46" t="s">
        <v>1077</v>
      </c>
      <c r="G937" s="46" t="s">
        <v>904</v>
      </c>
      <c r="H937" s="46" t="s">
        <v>1388</v>
      </c>
      <c r="I937" s="46" t="s">
        <v>1389</v>
      </c>
      <c r="J937" s="83">
        <v>46084</v>
      </c>
      <c r="K937" s="46" t="s">
        <v>1400</v>
      </c>
      <c r="L937" s="46" t="s">
        <v>915</v>
      </c>
      <c r="M937" s="46" t="s">
        <v>1401</v>
      </c>
      <c r="N937" s="46" t="str">
        <f>VLOOKUP(K937,[4]在职!$A:$G,7,0)</f>
        <v>陕西2部</v>
      </c>
      <c r="O937" s="46" t="s">
        <v>1086</v>
      </c>
      <c r="P937" s="83">
        <v>45496</v>
      </c>
      <c r="Q937" s="102">
        <v>5</v>
      </c>
      <c r="R937" s="102">
        <v>5</v>
      </c>
      <c r="S937" s="104">
        <v>50</v>
      </c>
    </row>
    <row r="938" ht="16.5" hidden="1" spans="1:19">
      <c r="A938" s="46">
        <v>936</v>
      </c>
      <c r="B938" s="46" t="s">
        <v>45</v>
      </c>
      <c r="C938" s="46" t="s">
        <v>29</v>
      </c>
      <c r="D938" s="46" t="s">
        <v>30</v>
      </c>
      <c r="E938" s="46" t="s">
        <v>1432</v>
      </c>
      <c r="F938" s="46" t="s">
        <v>1077</v>
      </c>
      <c r="G938" s="46" t="s">
        <v>904</v>
      </c>
      <c r="H938" s="46" t="s">
        <v>1388</v>
      </c>
      <c r="I938" s="46" t="s">
        <v>1389</v>
      </c>
      <c r="J938" s="83">
        <v>46084</v>
      </c>
      <c r="K938" s="46" t="s">
        <v>1402</v>
      </c>
      <c r="L938" s="46" t="s">
        <v>915</v>
      </c>
      <c r="M938" s="46" t="s">
        <v>1403</v>
      </c>
      <c r="N938" s="46" t="s">
        <v>130</v>
      </c>
      <c r="O938" s="46" t="s">
        <v>921</v>
      </c>
      <c r="P938" s="83">
        <v>45743</v>
      </c>
      <c r="Q938" s="102">
        <v>5</v>
      </c>
      <c r="R938" s="102">
        <v>5</v>
      </c>
      <c r="S938" s="104">
        <v>60</v>
      </c>
    </row>
    <row r="939" ht="16.5" hidden="1" spans="1:19">
      <c r="A939" s="46">
        <v>937</v>
      </c>
      <c r="B939" s="46" t="s">
        <v>45</v>
      </c>
      <c r="C939" s="46" t="s">
        <v>38</v>
      </c>
      <c r="D939" s="46" t="s">
        <v>30</v>
      </c>
      <c r="E939" s="46" t="s">
        <v>1432</v>
      </c>
      <c r="F939" s="46" t="s">
        <v>1077</v>
      </c>
      <c r="G939" s="46" t="s">
        <v>904</v>
      </c>
      <c r="H939" s="46" t="s">
        <v>1388</v>
      </c>
      <c r="I939" s="46" t="s">
        <v>1389</v>
      </c>
      <c r="J939" s="83">
        <v>46084</v>
      </c>
      <c r="K939" s="46" t="s">
        <v>1404</v>
      </c>
      <c r="L939" s="46" t="s">
        <v>915</v>
      </c>
      <c r="M939" s="46" t="s">
        <v>1405</v>
      </c>
      <c r="N939" s="46" t="s">
        <v>144</v>
      </c>
      <c r="O939" s="46" t="s">
        <v>1086</v>
      </c>
      <c r="P939" s="83">
        <v>45425</v>
      </c>
      <c r="Q939" s="102">
        <v>0</v>
      </c>
      <c r="R939" s="102">
        <v>0</v>
      </c>
      <c r="S939" s="104">
        <v>60</v>
      </c>
    </row>
    <row r="940" ht="16.5" hidden="1" spans="1:19">
      <c r="A940" s="46">
        <v>938</v>
      </c>
      <c r="B940" s="46" t="s">
        <v>45</v>
      </c>
      <c r="C940" s="46" t="s">
        <v>37</v>
      </c>
      <c r="D940" s="46" t="s">
        <v>30</v>
      </c>
      <c r="E940" s="46" t="s">
        <v>1432</v>
      </c>
      <c r="F940" s="46" t="s">
        <v>1077</v>
      </c>
      <c r="G940" s="46" t="s">
        <v>904</v>
      </c>
      <c r="H940" s="46" t="s">
        <v>1388</v>
      </c>
      <c r="I940" s="46" t="s">
        <v>1389</v>
      </c>
      <c r="J940" s="83">
        <v>46084</v>
      </c>
      <c r="K940" s="46" t="s">
        <v>1406</v>
      </c>
      <c r="L940" s="46" t="s">
        <v>915</v>
      </c>
      <c r="M940" s="46" t="s">
        <v>1407</v>
      </c>
      <c r="N940" s="46" t="s">
        <v>152</v>
      </c>
      <c r="O940" s="46" t="s">
        <v>1086</v>
      </c>
      <c r="P940" s="83">
        <v>45467</v>
      </c>
      <c r="Q940" s="102">
        <v>5</v>
      </c>
      <c r="R940" s="102">
        <v>5</v>
      </c>
      <c r="S940" s="104">
        <v>80</v>
      </c>
    </row>
    <row r="941" ht="16.5" hidden="1" spans="1:19">
      <c r="A941" s="46">
        <v>939</v>
      </c>
      <c r="B941" s="46" t="s">
        <v>45</v>
      </c>
      <c r="C941" s="46" t="s">
        <v>38</v>
      </c>
      <c r="D941" s="46" t="s">
        <v>30</v>
      </c>
      <c r="E941" s="46" t="s">
        <v>1432</v>
      </c>
      <c r="F941" s="46" t="s">
        <v>1077</v>
      </c>
      <c r="G941" s="46" t="s">
        <v>904</v>
      </c>
      <c r="H941" s="46" t="s">
        <v>1388</v>
      </c>
      <c r="I941" s="46" t="s">
        <v>1389</v>
      </c>
      <c r="J941" s="83">
        <v>46084</v>
      </c>
      <c r="K941" s="46" t="s">
        <v>1408</v>
      </c>
      <c r="L941" s="46" t="s">
        <v>915</v>
      </c>
      <c r="M941" s="46" t="s">
        <v>1409</v>
      </c>
      <c r="N941" s="46" t="s">
        <v>75</v>
      </c>
      <c r="O941" s="46" t="s">
        <v>1086</v>
      </c>
      <c r="P941" s="83">
        <v>45723</v>
      </c>
      <c r="Q941" s="102">
        <v>5</v>
      </c>
      <c r="R941" s="102">
        <v>5</v>
      </c>
      <c r="S941" s="104">
        <v>60</v>
      </c>
    </row>
    <row r="942" ht="16.5" hidden="1" spans="1:19">
      <c r="A942" s="46">
        <v>940</v>
      </c>
      <c r="B942" s="46" t="s">
        <v>45</v>
      </c>
      <c r="C942" s="46" t="s">
        <v>38</v>
      </c>
      <c r="D942" s="46" t="s">
        <v>30</v>
      </c>
      <c r="E942" s="46" t="s">
        <v>1432</v>
      </c>
      <c r="F942" s="46" t="s">
        <v>1077</v>
      </c>
      <c r="G942" s="46" t="s">
        <v>904</v>
      </c>
      <c r="H942" s="46" t="s">
        <v>1388</v>
      </c>
      <c r="I942" s="46" t="s">
        <v>1389</v>
      </c>
      <c r="J942" s="83">
        <v>46084</v>
      </c>
      <c r="K942" s="46" t="s">
        <v>1410</v>
      </c>
      <c r="L942" s="46" t="s">
        <v>915</v>
      </c>
      <c r="M942" s="46" t="s">
        <v>1411</v>
      </c>
      <c r="N942" s="46" t="s">
        <v>173</v>
      </c>
      <c r="O942" s="46" t="s">
        <v>1086</v>
      </c>
      <c r="P942" s="83">
        <v>45377</v>
      </c>
      <c r="Q942" s="102">
        <v>5</v>
      </c>
      <c r="R942" s="102">
        <v>5</v>
      </c>
      <c r="S942" s="104">
        <v>40</v>
      </c>
    </row>
    <row r="943" ht="16.5" hidden="1" spans="1:19">
      <c r="A943" s="46">
        <v>941</v>
      </c>
      <c r="B943" s="46" t="s">
        <v>45</v>
      </c>
      <c r="C943" s="46" t="s">
        <v>29</v>
      </c>
      <c r="D943" s="46" t="s">
        <v>30</v>
      </c>
      <c r="E943" s="46" t="s">
        <v>1432</v>
      </c>
      <c r="F943" s="46" t="s">
        <v>1077</v>
      </c>
      <c r="G943" s="46" t="s">
        <v>904</v>
      </c>
      <c r="H943" s="46" t="s">
        <v>1388</v>
      </c>
      <c r="I943" s="46" t="s">
        <v>1389</v>
      </c>
      <c r="J943" s="83">
        <v>46084</v>
      </c>
      <c r="K943" s="46" t="s">
        <v>1412</v>
      </c>
      <c r="L943" s="46" t="s">
        <v>915</v>
      </c>
      <c r="M943" s="46" t="s">
        <v>1413</v>
      </c>
      <c r="N943" s="46" t="s">
        <v>130</v>
      </c>
      <c r="O943" s="46" t="s">
        <v>921</v>
      </c>
      <c r="P943" s="83">
        <v>45122</v>
      </c>
      <c r="Q943" s="102">
        <v>5</v>
      </c>
      <c r="R943" s="102">
        <v>5</v>
      </c>
      <c r="S943" s="104">
        <v>70</v>
      </c>
    </row>
    <row r="944" ht="16.5" hidden="1" spans="1:19">
      <c r="A944" s="46">
        <v>942</v>
      </c>
      <c r="B944" s="46" t="s">
        <v>45</v>
      </c>
      <c r="C944" s="46" t="s">
        <v>36</v>
      </c>
      <c r="D944" s="46" t="s">
        <v>30</v>
      </c>
      <c r="E944" s="46" t="s">
        <v>1432</v>
      </c>
      <c r="F944" s="46" t="s">
        <v>1077</v>
      </c>
      <c r="G944" s="46" t="s">
        <v>904</v>
      </c>
      <c r="H944" s="46" t="s">
        <v>1388</v>
      </c>
      <c r="I944" s="46" t="s">
        <v>1389</v>
      </c>
      <c r="J944" s="83">
        <v>46084</v>
      </c>
      <c r="K944" s="46" t="s">
        <v>1414</v>
      </c>
      <c r="L944" s="46" t="s">
        <v>915</v>
      </c>
      <c r="M944" s="46" t="s">
        <v>1415</v>
      </c>
      <c r="N944" s="46" t="s">
        <v>173</v>
      </c>
      <c r="O944" s="46" t="s">
        <v>1086</v>
      </c>
      <c r="P944" s="83">
        <v>45539</v>
      </c>
      <c r="Q944" s="102">
        <v>5</v>
      </c>
      <c r="R944" s="102">
        <v>5</v>
      </c>
      <c r="S944" s="104">
        <v>60</v>
      </c>
    </row>
    <row r="945" ht="16.5" hidden="1" spans="1:19">
      <c r="A945" s="46">
        <v>943</v>
      </c>
      <c r="B945" s="46" t="s">
        <v>45</v>
      </c>
      <c r="C945" s="46" t="s">
        <v>35</v>
      </c>
      <c r="D945" s="46" t="s">
        <v>30</v>
      </c>
      <c r="E945" s="46" t="s">
        <v>1432</v>
      </c>
      <c r="F945" s="46" t="s">
        <v>1077</v>
      </c>
      <c r="G945" s="46" t="s">
        <v>904</v>
      </c>
      <c r="H945" s="46" t="s">
        <v>1388</v>
      </c>
      <c r="I945" s="46" t="s">
        <v>1389</v>
      </c>
      <c r="J945" s="83">
        <v>46084</v>
      </c>
      <c r="K945" s="46" t="s">
        <v>1416</v>
      </c>
      <c r="L945" s="46" t="s">
        <v>915</v>
      </c>
      <c r="M945" s="46" t="s">
        <v>1417</v>
      </c>
      <c r="N945" s="46" t="s">
        <v>125</v>
      </c>
      <c r="O945" s="46" t="s">
        <v>1086</v>
      </c>
      <c r="P945" s="83">
        <v>45505</v>
      </c>
      <c r="Q945" s="102">
        <v>5</v>
      </c>
      <c r="R945" s="102">
        <v>5</v>
      </c>
      <c r="S945" s="104">
        <v>60</v>
      </c>
    </row>
    <row r="946" ht="16.5" hidden="1" spans="1:19">
      <c r="A946" s="46">
        <v>944</v>
      </c>
      <c r="B946" s="46" t="s">
        <v>45</v>
      </c>
      <c r="C946" s="46" t="s">
        <v>38</v>
      </c>
      <c r="D946" s="46" t="s">
        <v>30</v>
      </c>
      <c r="E946" s="46" t="s">
        <v>1432</v>
      </c>
      <c r="F946" s="46" t="s">
        <v>1077</v>
      </c>
      <c r="G946" s="46" t="s">
        <v>904</v>
      </c>
      <c r="H946" s="46" t="s">
        <v>1388</v>
      </c>
      <c r="I946" s="46" t="s">
        <v>1389</v>
      </c>
      <c r="J946" s="83">
        <v>46084</v>
      </c>
      <c r="K946" s="46" t="s">
        <v>1418</v>
      </c>
      <c r="L946" s="46" t="s">
        <v>915</v>
      </c>
      <c r="M946" s="46" t="s">
        <v>1419</v>
      </c>
      <c r="N946" s="46" t="s">
        <v>70</v>
      </c>
      <c r="O946" s="46" t="s">
        <v>1086</v>
      </c>
      <c r="P946" s="83">
        <v>45097</v>
      </c>
      <c r="Q946" s="102">
        <v>5</v>
      </c>
      <c r="R946" s="102">
        <v>5</v>
      </c>
      <c r="S946" s="104">
        <v>90</v>
      </c>
    </row>
    <row r="947" ht="16.5" hidden="1" spans="1:19">
      <c r="A947" s="46">
        <v>945</v>
      </c>
      <c r="B947" s="46" t="s">
        <v>45</v>
      </c>
      <c r="C947" s="46" t="s">
        <v>26</v>
      </c>
      <c r="D947" s="46" t="s">
        <v>30</v>
      </c>
      <c r="E947" s="46" t="s">
        <v>1432</v>
      </c>
      <c r="F947" s="46" t="s">
        <v>1077</v>
      </c>
      <c r="G947" s="46" t="s">
        <v>904</v>
      </c>
      <c r="H947" s="46" t="s">
        <v>1388</v>
      </c>
      <c r="I947" s="46" t="s">
        <v>1389</v>
      </c>
      <c r="J947" s="83">
        <v>46084</v>
      </c>
      <c r="K947" s="46" t="s">
        <v>1420</v>
      </c>
      <c r="L947" s="46" t="s">
        <v>915</v>
      </c>
      <c r="M947" s="46" t="s">
        <v>1421</v>
      </c>
      <c r="N947" s="46" t="s">
        <v>121</v>
      </c>
      <c r="O947" s="46" t="s">
        <v>921</v>
      </c>
      <c r="P947" s="83">
        <v>45790</v>
      </c>
      <c r="Q947" s="102">
        <v>5</v>
      </c>
      <c r="R947" s="102">
        <v>5</v>
      </c>
      <c r="S947" s="104">
        <v>50</v>
      </c>
    </row>
    <row r="948" ht="16.5" hidden="1" spans="1:19">
      <c r="A948" s="46">
        <v>946</v>
      </c>
      <c r="B948" s="46" t="s">
        <v>45</v>
      </c>
      <c r="C948" s="46" t="s">
        <v>32</v>
      </c>
      <c r="D948" s="46" t="s">
        <v>30</v>
      </c>
      <c r="E948" s="46" t="s">
        <v>1432</v>
      </c>
      <c r="F948" s="46" t="s">
        <v>1077</v>
      </c>
      <c r="G948" s="46" t="s">
        <v>904</v>
      </c>
      <c r="H948" s="46" t="s">
        <v>1388</v>
      </c>
      <c r="I948" s="46" t="s">
        <v>1389</v>
      </c>
      <c r="J948" s="83">
        <v>46084</v>
      </c>
      <c r="K948" s="46" t="s">
        <v>1422</v>
      </c>
      <c r="L948" s="46" t="s">
        <v>915</v>
      </c>
      <c r="M948" s="46" t="s">
        <v>1423</v>
      </c>
      <c r="N948" s="46" t="s">
        <v>105</v>
      </c>
      <c r="O948" s="46" t="s">
        <v>921</v>
      </c>
      <c r="P948" s="83">
        <v>45743</v>
      </c>
      <c r="Q948" s="102">
        <v>5</v>
      </c>
      <c r="R948" s="102">
        <v>5</v>
      </c>
      <c r="S948" s="104">
        <v>50</v>
      </c>
    </row>
    <row r="949" ht="16.5" hidden="1" spans="1:19">
      <c r="A949" s="46">
        <v>947</v>
      </c>
      <c r="B949" s="46" t="s">
        <v>45</v>
      </c>
      <c r="C949" s="46" t="s">
        <v>38</v>
      </c>
      <c r="D949" s="46" t="s">
        <v>30</v>
      </c>
      <c r="E949" s="46" t="s">
        <v>1432</v>
      </c>
      <c r="F949" s="46" t="s">
        <v>1077</v>
      </c>
      <c r="G949" s="46" t="s">
        <v>904</v>
      </c>
      <c r="H949" s="46" t="s">
        <v>1388</v>
      </c>
      <c r="I949" s="46" t="s">
        <v>1389</v>
      </c>
      <c r="J949" s="83">
        <v>46084</v>
      </c>
      <c r="K949" s="46" t="s">
        <v>1424</v>
      </c>
      <c r="L949" s="46" t="s">
        <v>915</v>
      </c>
      <c r="M949" s="46" t="s">
        <v>1425</v>
      </c>
      <c r="N949" s="46" t="s">
        <v>144</v>
      </c>
      <c r="O949" s="46" t="s">
        <v>1086</v>
      </c>
      <c r="P949" s="83">
        <v>45616</v>
      </c>
      <c r="Q949" s="102">
        <v>5</v>
      </c>
      <c r="R949" s="102">
        <v>5</v>
      </c>
      <c r="S949" s="104">
        <v>60</v>
      </c>
    </row>
    <row r="950" ht="16.5" hidden="1" spans="1:19">
      <c r="A950" s="46">
        <v>948</v>
      </c>
      <c r="B950" s="46" t="s">
        <v>45</v>
      </c>
      <c r="C950" s="46" t="s">
        <v>38</v>
      </c>
      <c r="D950" s="46" t="s">
        <v>30</v>
      </c>
      <c r="E950" s="46" t="s">
        <v>1432</v>
      </c>
      <c r="F950" s="46" t="s">
        <v>1077</v>
      </c>
      <c r="G950" s="46" t="s">
        <v>904</v>
      </c>
      <c r="H950" s="46" t="s">
        <v>1388</v>
      </c>
      <c r="I950" s="46" t="s">
        <v>1389</v>
      </c>
      <c r="J950" s="83">
        <v>46084</v>
      </c>
      <c r="K950" s="46" t="s">
        <v>1426</v>
      </c>
      <c r="L950" s="46" t="s">
        <v>915</v>
      </c>
      <c r="M950" s="46" t="s">
        <v>1427</v>
      </c>
      <c r="N950" s="46" t="s">
        <v>168</v>
      </c>
      <c r="O950" s="46" t="s">
        <v>921</v>
      </c>
      <c r="P950" s="83">
        <v>45821</v>
      </c>
      <c r="Q950" s="102">
        <v>5</v>
      </c>
      <c r="R950" s="102">
        <v>5</v>
      </c>
      <c r="S950" s="104">
        <v>50</v>
      </c>
    </row>
    <row r="951" ht="16.5" hidden="1" spans="1:19">
      <c r="A951" s="46">
        <v>949</v>
      </c>
      <c r="B951" s="46" t="s">
        <v>45</v>
      </c>
      <c r="C951" s="46" t="s">
        <v>32</v>
      </c>
      <c r="D951" s="46" t="s">
        <v>30</v>
      </c>
      <c r="E951" s="46" t="s">
        <v>1432</v>
      </c>
      <c r="F951" s="46" t="s">
        <v>1077</v>
      </c>
      <c r="G951" s="46" t="s">
        <v>904</v>
      </c>
      <c r="H951" s="46" t="s">
        <v>1388</v>
      </c>
      <c r="I951" s="46" t="s">
        <v>1389</v>
      </c>
      <c r="J951" s="83">
        <v>46084</v>
      </c>
      <c r="K951" s="46" t="s">
        <v>1428</v>
      </c>
      <c r="L951" s="46" t="s">
        <v>915</v>
      </c>
      <c r="M951" s="46" t="s">
        <v>1429</v>
      </c>
      <c r="N951" s="46" t="s">
        <v>105</v>
      </c>
      <c r="O951" s="46" t="s">
        <v>1086</v>
      </c>
      <c r="P951" s="83">
        <v>45353</v>
      </c>
      <c r="Q951" s="102">
        <v>5</v>
      </c>
      <c r="R951" s="102">
        <v>5</v>
      </c>
      <c r="S951" s="104">
        <v>60</v>
      </c>
    </row>
    <row r="952" ht="16.5" hidden="1" spans="1:19">
      <c r="A952" s="46">
        <v>950</v>
      </c>
      <c r="B952" s="46" t="s">
        <v>45</v>
      </c>
      <c r="C952" s="46" t="s">
        <v>36</v>
      </c>
      <c r="D952" s="46" t="s">
        <v>27</v>
      </c>
      <c r="E952" s="46" t="s">
        <v>902</v>
      </c>
      <c r="F952" s="46" t="s">
        <v>903</v>
      </c>
      <c r="G952" s="46" t="s">
        <v>904</v>
      </c>
      <c r="H952" s="46" t="s">
        <v>1433</v>
      </c>
      <c r="I952" s="46" t="s">
        <v>905</v>
      </c>
      <c r="J952" s="83">
        <v>46093</v>
      </c>
      <c r="K952" s="46" t="s">
        <v>1434</v>
      </c>
      <c r="L952" s="46" t="s">
        <v>915</v>
      </c>
      <c r="M952" s="83" t="str">
        <f>VLOOKUP(K952,[4]在职!$A:$B,2,0)</f>
        <v>01680</v>
      </c>
      <c r="N952" s="83" t="str">
        <f>VLOOKUP(K952,[4]在职!$A:$G,7,0)</f>
        <v>山西销售部</v>
      </c>
      <c r="O952" s="83" t="str">
        <f>VLOOKUP(K952,[4]在职!$A:$I,9,0)</f>
        <v>一星销售顾问</v>
      </c>
      <c r="P952" s="83">
        <f>VLOOKUP(K952,[4]在职!$A:$D,4,0)</f>
        <v>45903</v>
      </c>
      <c r="Q952" s="102">
        <v>5</v>
      </c>
      <c r="R952" s="102">
        <v>5</v>
      </c>
      <c r="S952" s="104">
        <v>107</v>
      </c>
    </row>
    <row r="953" ht="16.5" hidden="1" spans="1:19">
      <c r="A953" s="46">
        <v>951</v>
      </c>
      <c r="B953" s="46" t="s">
        <v>45</v>
      </c>
      <c r="C953" s="46" t="s">
        <v>36</v>
      </c>
      <c r="D953" s="46" t="s">
        <v>27</v>
      </c>
      <c r="E953" s="46" t="s">
        <v>902</v>
      </c>
      <c r="F953" s="46" t="s">
        <v>903</v>
      </c>
      <c r="G953" s="46" t="s">
        <v>904</v>
      </c>
      <c r="H953" s="46" t="s">
        <v>1433</v>
      </c>
      <c r="I953" s="46" t="s">
        <v>905</v>
      </c>
      <c r="J953" s="83">
        <v>46093</v>
      </c>
      <c r="K953" s="46" t="s">
        <v>1435</v>
      </c>
      <c r="L953" s="46" t="s">
        <v>915</v>
      </c>
      <c r="M953" s="83" t="str">
        <f>VLOOKUP(K953,[4]在职!$A:$B,2,0)</f>
        <v>01531</v>
      </c>
      <c r="N953" s="83" t="str">
        <f>VLOOKUP(K953,[4]在职!$A:$G,7,0)</f>
        <v>山西销售部</v>
      </c>
      <c r="O953" s="83" t="str">
        <f>VLOOKUP(K953,[4]在职!$A:$I,9,0)</f>
        <v>一星销售顾问</v>
      </c>
      <c r="P953" s="83">
        <f>VLOOKUP(K953,[4]在职!$A:$D,4,0)</f>
        <v>45820</v>
      </c>
      <c r="Q953" s="102">
        <v>5</v>
      </c>
      <c r="R953" s="102">
        <v>5</v>
      </c>
      <c r="S953" s="104">
        <v>107</v>
      </c>
    </row>
    <row r="954" ht="16.5" hidden="1" spans="1:19">
      <c r="A954" s="46">
        <v>952</v>
      </c>
      <c r="B954" s="46" t="s">
        <v>45</v>
      </c>
      <c r="C954" s="46" t="s">
        <v>34</v>
      </c>
      <c r="D954" s="46" t="s">
        <v>27</v>
      </c>
      <c r="E954" s="46" t="s">
        <v>902</v>
      </c>
      <c r="F954" s="46" t="s">
        <v>903</v>
      </c>
      <c r="G954" s="46" t="s">
        <v>904</v>
      </c>
      <c r="H954" s="46" t="s">
        <v>1433</v>
      </c>
      <c r="I954" s="46" t="s">
        <v>905</v>
      </c>
      <c r="J954" s="83">
        <v>46093</v>
      </c>
      <c r="K954" s="46" t="s">
        <v>906</v>
      </c>
      <c r="L954" s="46" t="s">
        <v>915</v>
      </c>
      <c r="M954" s="83" t="str">
        <f>VLOOKUP(K954,[4]在职!$A:$B,2,0)</f>
        <v>01011</v>
      </c>
      <c r="N954" s="83" t="str">
        <f>VLOOKUP(K954,[4]在职!$A:$G,7,0)</f>
        <v>内蒙古销售部</v>
      </c>
      <c r="O954" s="83" t="str">
        <f>VLOOKUP(K954,[4]在职!$A:$I,9,0)</f>
        <v>一星销售顾问</v>
      </c>
      <c r="P954" s="83">
        <f>VLOOKUP(K954,[4]在职!$A:$D,4,0)</f>
        <v>45970</v>
      </c>
      <c r="Q954" s="102">
        <v>5</v>
      </c>
      <c r="R954" s="102">
        <v>5</v>
      </c>
      <c r="S954" s="104">
        <v>90</v>
      </c>
    </row>
    <row r="955" ht="16.5" hidden="1" spans="1:19">
      <c r="A955" s="46">
        <v>953</v>
      </c>
      <c r="B955" s="46" t="s">
        <v>45</v>
      </c>
      <c r="C955" s="46" t="s">
        <v>34</v>
      </c>
      <c r="D955" s="46" t="s">
        <v>27</v>
      </c>
      <c r="E955" s="46" t="s">
        <v>902</v>
      </c>
      <c r="F955" s="46" t="s">
        <v>903</v>
      </c>
      <c r="G955" s="46" t="s">
        <v>904</v>
      </c>
      <c r="H955" s="46" t="s">
        <v>1433</v>
      </c>
      <c r="I955" s="46" t="s">
        <v>905</v>
      </c>
      <c r="J955" s="83">
        <v>46093</v>
      </c>
      <c r="K955" s="46" t="s">
        <v>910</v>
      </c>
      <c r="L955" s="46" t="s">
        <v>915</v>
      </c>
      <c r="M955" s="83" t="str">
        <f>VLOOKUP(K955,[4]在职!$A:$B,2,0)</f>
        <v>01423</v>
      </c>
      <c r="N955" s="83" t="str">
        <f>VLOOKUP(K955,[4]在职!$A:$G,7,0)</f>
        <v>内蒙古销售部</v>
      </c>
      <c r="O955" s="83" t="str">
        <f>VLOOKUP(K955,[4]在职!$A:$I,9,0)</f>
        <v>二星销售顾问</v>
      </c>
      <c r="P955" s="83">
        <f>VLOOKUP(K955,[4]在职!$A:$D,4,0)</f>
        <v>45749</v>
      </c>
      <c r="Q955" s="102">
        <v>5</v>
      </c>
      <c r="R955" s="102">
        <v>5</v>
      </c>
      <c r="S955" s="104">
        <v>100</v>
      </c>
    </row>
    <row r="956" ht="16.5" hidden="1" spans="1:19">
      <c r="A956" s="46">
        <v>954</v>
      </c>
      <c r="B956" s="46" t="s">
        <v>45</v>
      </c>
      <c r="C956" s="46" t="s">
        <v>34</v>
      </c>
      <c r="D956" s="46" t="s">
        <v>27</v>
      </c>
      <c r="E956" s="46" t="s">
        <v>902</v>
      </c>
      <c r="F956" s="46" t="s">
        <v>903</v>
      </c>
      <c r="G956" s="46" t="s">
        <v>904</v>
      </c>
      <c r="H956" s="46" t="s">
        <v>1433</v>
      </c>
      <c r="I956" s="46" t="s">
        <v>905</v>
      </c>
      <c r="J956" s="83">
        <v>46093</v>
      </c>
      <c r="K956" s="46" t="s">
        <v>912</v>
      </c>
      <c r="L956" s="46" t="s">
        <v>915</v>
      </c>
      <c r="M956" s="83" t="str">
        <f>VLOOKUP(K956,[4]在职!$A:$B,2,0)</f>
        <v>01412</v>
      </c>
      <c r="N956" s="83" t="str">
        <f>VLOOKUP(K956,[4]在职!$A:$G,7,0)</f>
        <v>内蒙古销售部</v>
      </c>
      <c r="O956" s="83" t="str">
        <f>VLOOKUP(K956,[4]在职!$A:$I,9,0)</f>
        <v>一星销售顾问</v>
      </c>
      <c r="P956" s="83">
        <f>VLOOKUP(K956,[4]在职!$A:$D,4,0)</f>
        <v>45747</v>
      </c>
      <c r="Q956" s="102">
        <v>5</v>
      </c>
      <c r="R956" s="102">
        <v>5</v>
      </c>
      <c r="S956" s="104">
        <v>90</v>
      </c>
    </row>
    <row r="957" ht="16.5" hidden="1" spans="1:19">
      <c r="A957" s="46">
        <v>955</v>
      </c>
      <c r="B957" s="46" t="s">
        <v>45</v>
      </c>
      <c r="C957" s="46" t="s">
        <v>38</v>
      </c>
      <c r="D957" s="46" t="s">
        <v>27</v>
      </c>
      <c r="E957" s="46" t="s">
        <v>902</v>
      </c>
      <c r="F957" s="46" t="s">
        <v>903</v>
      </c>
      <c r="G957" s="46" t="s">
        <v>904</v>
      </c>
      <c r="H957" s="46" t="s">
        <v>1433</v>
      </c>
      <c r="I957" s="46" t="s">
        <v>905</v>
      </c>
      <c r="J957" s="83">
        <v>46093</v>
      </c>
      <c r="K957" s="46" t="s">
        <v>1436</v>
      </c>
      <c r="L957" s="46" t="s">
        <v>915</v>
      </c>
      <c r="M957" s="83" t="str">
        <f>VLOOKUP(K957,[4]在职!$A:$B,2,0)</f>
        <v>01763</v>
      </c>
      <c r="N957" s="83" t="str">
        <f>VLOOKUP(K957,[4]在职!$A:$G,7,0)</f>
        <v>营业一部</v>
      </c>
      <c r="O957" s="83" t="str">
        <f>VLOOKUP(K957,[4]在职!$A:$I,9,0)</f>
        <v>一星销售顾问</v>
      </c>
      <c r="P957" s="83">
        <f>VLOOKUP(K957,[4]在职!$A:$D,4,0)</f>
        <v>45952</v>
      </c>
      <c r="Q957" s="102">
        <v>5</v>
      </c>
      <c r="R957" s="102">
        <v>5</v>
      </c>
      <c r="S957" s="104">
        <v>100</v>
      </c>
    </row>
    <row r="958" ht="16.5" hidden="1" spans="1:19">
      <c r="A958" s="46">
        <v>956</v>
      </c>
      <c r="B958" s="46" t="s">
        <v>45</v>
      </c>
      <c r="C958" s="46" t="s">
        <v>38</v>
      </c>
      <c r="D958" s="46" t="s">
        <v>27</v>
      </c>
      <c r="E958" s="46" t="s">
        <v>902</v>
      </c>
      <c r="F958" s="46" t="s">
        <v>903</v>
      </c>
      <c r="G958" s="46" t="s">
        <v>904</v>
      </c>
      <c r="H958" s="46" t="s">
        <v>1433</v>
      </c>
      <c r="I958" s="46" t="s">
        <v>905</v>
      </c>
      <c r="J958" s="83">
        <v>46093</v>
      </c>
      <c r="K958" s="46" t="s">
        <v>1437</v>
      </c>
      <c r="L958" s="46" t="s">
        <v>915</v>
      </c>
      <c r="M958" s="83" t="str">
        <f>VLOOKUP(K958,[4]在职!$A:$B,2,0)</f>
        <v>01753</v>
      </c>
      <c r="N958" s="83" t="str">
        <f>VLOOKUP(K958,[4]在职!$A:$G,7,0)</f>
        <v>营业一部</v>
      </c>
      <c r="O958" s="83" t="str">
        <f>VLOOKUP(K958,[4]在职!$A:$I,9,0)</f>
        <v>一星销售顾问</v>
      </c>
      <c r="P958" s="83">
        <f>VLOOKUP(K958,[4]在职!$A:$D,4,0)</f>
        <v>45951</v>
      </c>
      <c r="Q958" s="102">
        <v>5</v>
      </c>
      <c r="R958" s="102">
        <v>5</v>
      </c>
      <c r="S958" s="104">
        <v>110</v>
      </c>
    </row>
    <row r="959" ht="16.5" hidden="1" spans="1:19">
      <c r="A959" s="46">
        <v>957</v>
      </c>
      <c r="B959" s="46" t="s">
        <v>45</v>
      </c>
      <c r="C959" s="46" t="s">
        <v>38</v>
      </c>
      <c r="D959" s="46" t="s">
        <v>27</v>
      </c>
      <c r="E959" s="46" t="s">
        <v>902</v>
      </c>
      <c r="F959" s="46" t="s">
        <v>903</v>
      </c>
      <c r="G959" s="46" t="s">
        <v>904</v>
      </c>
      <c r="H959" s="46" t="s">
        <v>1433</v>
      </c>
      <c r="I959" s="46" t="s">
        <v>905</v>
      </c>
      <c r="J959" s="83">
        <v>46093</v>
      </c>
      <c r="K959" s="46" t="s">
        <v>919</v>
      </c>
      <c r="L959" s="46" t="s">
        <v>915</v>
      </c>
      <c r="M959" s="83" t="str">
        <f>VLOOKUP(K959,[4]在职!$A:$B,2,0)</f>
        <v>01512</v>
      </c>
      <c r="N959" s="83" t="str">
        <f>VLOOKUP(K959,[4]在职!$A:$G,7,0)</f>
        <v>营业一部</v>
      </c>
      <c r="O959" s="83" t="str">
        <f>VLOOKUP(K959,[4]在职!$A:$I,9,0)</f>
        <v>二星销售顾问</v>
      </c>
      <c r="P959" s="83">
        <f>VLOOKUP(K959,[4]在职!$A:$D,4,0)</f>
        <v>45812</v>
      </c>
      <c r="Q959" s="102">
        <v>5</v>
      </c>
      <c r="R959" s="102">
        <v>5</v>
      </c>
      <c r="S959" s="104">
        <v>110</v>
      </c>
    </row>
    <row r="960" ht="16.5" hidden="1" spans="1:19">
      <c r="A960" s="46">
        <v>958</v>
      </c>
      <c r="B960" s="46" t="s">
        <v>45</v>
      </c>
      <c r="C960" s="46" t="s">
        <v>38</v>
      </c>
      <c r="D960" s="46" t="s">
        <v>27</v>
      </c>
      <c r="E960" s="46" t="s">
        <v>902</v>
      </c>
      <c r="F960" s="46" t="s">
        <v>903</v>
      </c>
      <c r="G960" s="46" t="s">
        <v>904</v>
      </c>
      <c r="H960" s="46" t="s">
        <v>1433</v>
      </c>
      <c r="I960" s="46" t="s">
        <v>905</v>
      </c>
      <c r="J960" s="83">
        <v>46093</v>
      </c>
      <c r="K960" s="46" t="s">
        <v>1438</v>
      </c>
      <c r="L960" s="46" t="s">
        <v>915</v>
      </c>
      <c r="M960" s="83" t="str">
        <f>VLOOKUP(K960,[4]在职!$A:$B,2,0)</f>
        <v>01732</v>
      </c>
      <c r="N960" s="83" t="str">
        <f>VLOOKUP(K960,[4]在职!$A:$G,7,0)</f>
        <v>营业七部</v>
      </c>
      <c r="O960" s="83" t="str">
        <f>VLOOKUP(K960,[4]在职!$A:$I,9,0)</f>
        <v>一星销售顾问</v>
      </c>
      <c r="P960" s="83">
        <f>VLOOKUP(K960,[4]在职!$A:$D,4,0)</f>
        <v>45944</v>
      </c>
      <c r="Q960" s="102">
        <v>5</v>
      </c>
      <c r="R960" s="102">
        <v>5</v>
      </c>
      <c r="S960" s="104">
        <v>110</v>
      </c>
    </row>
    <row r="961" ht="16.5" hidden="1" spans="1:19">
      <c r="A961" s="46">
        <v>959</v>
      </c>
      <c r="B961" s="46" t="s">
        <v>45</v>
      </c>
      <c r="C961" s="46" t="s">
        <v>38</v>
      </c>
      <c r="D961" s="46" t="s">
        <v>27</v>
      </c>
      <c r="E961" s="46" t="s">
        <v>902</v>
      </c>
      <c r="F961" s="46" t="s">
        <v>903</v>
      </c>
      <c r="G961" s="46" t="s">
        <v>904</v>
      </c>
      <c r="H961" s="46" t="s">
        <v>1433</v>
      </c>
      <c r="I961" s="46" t="s">
        <v>905</v>
      </c>
      <c r="J961" s="83">
        <v>46093</v>
      </c>
      <c r="K961" s="46" t="s">
        <v>922</v>
      </c>
      <c r="L961" s="46" t="s">
        <v>915</v>
      </c>
      <c r="M961" s="83" t="str">
        <f>VLOOKUP(K961,[4]在职!$A:$B,2,0)</f>
        <v>01500</v>
      </c>
      <c r="N961" s="83" t="str">
        <f>VLOOKUP(K961,[4]在职!$A:$G,7,0)</f>
        <v>营业七部</v>
      </c>
      <c r="O961" s="83" t="str">
        <f>VLOOKUP(K961,[4]在职!$A:$I,9,0)</f>
        <v>一星销售顾问</v>
      </c>
      <c r="P961" s="83">
        <f>VLOOKUP(K961,[4]在职!$A:$D,4,0)</f>
        <v>45804</v>
      </c>
      <c r="Q961" s="102">
        <v>5</v>
      </c>
      <c r="R961" s="102">
        <v>5</v>
      </c>
      <c r="S961" s="104">
        <v>90</v>
      </c>
    </row>
    <row r="962" ht="16.5" hidden="1" spans="1:19">
      <c r="A962" s="46">
        <v>960</v>
      </c>
      <c r="B962" s="46" t="s">
        <v>45</v>
      </c>
      <c r="C962" s="46" t="s">
        <v>38</v>
      </c>
      <c r="D962" s="46" t="s">
        <v>27</v>
      </c>
      <c r="E962" s="46" t="s">
        <v>902</v>
      </c>
      <c r="F962" s="46" t="s">
        <v>903</v>
      </c>
      <c r="G962" s="46" t="s">
        <v>904</v>
      </c>
      <c r="H962" s="46" t="s">
        <v>1433</v>
      </c>
      <c r="I962" s="46" t="s">
        <v>905</v>
      </c>
      <c r="J962" s="83">
        <v>46093</v>
      </c>
      <c r="K962" s="46" t="s">
        <v>928</v>
      </c>
      <c r="L962" s="46" t="s">
        <v>915</v>
      </c>
      <c r="M962" s="83" t="str">
        <f>VLOOKUP(K962,[4]在职!$A:$B,2,0)</f>
        <v>01634</v>
      </c>
      <c r="N962" s="83" t="str">
        <f>VLOOKUP(K962,[4]在职!$A:$G,7,0)</f>
        <v>营业四部</v>
      </c>
      <c r="O962" s="83" t="str">
        <f>VLOOKUP(K962,[4]在职!$A:$I,9,0)</f>
        <v>一星销售顾问</v>
      </c>
      <c r="P962" s="83">
        <f>VLOOKUP(K962,[4]在职!$A:$D,4,0)</f>
        <v>45872</v>
      </c>
      <c r="Q962" s="102">
        <v>5</v>
      </c>
      <c r="R962" s="102">
        <v>5</v>
      </c>
      <c r="S962" s="104">
        <v>127</v>
      </c>
    </row>
    <row r="963" ht="16.5" hidden="1" spans="1:19">
      <c r="A963" s="46">
        <v>961</v>
      </c>
      <c r="B963" s="46" t="s">
        <v>45</v>
      </c>
      <c r="C963" s="46" t="s">
        <v>38</v>
      </c>
      <c r="D963" s="46" t="s">
        <v>27</v>
      </c>
      <c r="E963" s="46" t="s">
        <v>902</v>
      </c>
      <c r="F963" s="46" t="s">
        <v>903</v>
      </c>
      <c r="G963" s="46" t="s">
        <v>904</v>
      </c>
      <c r="H963" s="46" t="s">
        <v>1433</v>
      </c>
      <c r="I963" s="46" t="s">
        <v>905</v>
      </c>
      <c r="J963" s="83">
        <v>46093</v>
      </c>
      <c r="K963" s="46" t="s">
        <v>930</v>
      </c>
      <c r="L963" s="46" t="s">
        <v>915</v>
      </c>
      <c r="M963" s="83" t="str">
        <f>VLOOKUP(K963,[4]在职!$A:$B,2,0)</f>
        <v>01488</v>
      </c>
      <c r="N963" s="83" t="str">
        <f>VLOOKUP(K963,[4]在职!$A:$G,7,0)</f>
        <v>营业四部</v>
      </c>
      <c r="O963" s="83" t="str">
        <f>VLOOKUP(K963,[4]在职!$A:$I,9,0)</f>
        <v>二星销售顾问</v>
      </c>
      <c r="P963" s="83">
        <f>VLOOKUP(K963,[4]在职!$A:$D,4,0)</f>
        <v>45794</v>
      </c>
      <c r="Q963" s="102">
        <v>5</v>
      </c>
      <c r="R963" s="102">
        <v>5</v>
      </c>
      <c r="S963" s="104">
        <v>117</v>
      </c>
    </row>
    <row r="964" ht="16.5" hidden="1" spans="1:19">
      <c r="A964" s="46">
        <v>962</v>
      </c>
      <c r="B964" s="46" t="s">
        <v>45</v>
      </c>
      <c r="C964" s="46" t="s">
        <v>38</v>
      </c>
      <c r="D964" s="46" t="s">
        <v>27</v>
      </c>
      <c r="E964" s="46" t="s">
        <v>902</v>
      </c>
      <c r="F964" s="46" t="s">
        <v>903</v>
      </c>
      <c r="G964" s="46" t="s">
        <v>904</v>
      </c>
      <c r="H964" s="46" t="s">
        <v>1433</v>
      </c>
      <c r="I964" s="46" t="s">
        <v>905</v>
      </c>
      <c r="J964" s="83">
        <v>46093</v>
      </c>
      <c r="K964" s="46" t="s">
        <v>934</v>
      </c>
      <c r="L964" s="46" t="s">
        <v>915</v>
      </c>
      <c r="M964" s="83" t="str">
        <f>VLOOKUP(K964,[4]在职!$A:$B,2,0)</f>
        <v>01547</v>
      </c>
      <c r="N964" s="83" t="str">
        <f>VLOOKUP(K964,[4]在职!$A:$G,7,0)</f>
        <v>营业四部</v>
      </c>
      <c r="O964" s="83" t="str">
        <f>VLOOKUP(K964,[4]在职!$A:$I,9,0)</f>
        <v>一星销售顾问</v>
      </c>
      <c r="P964" s="83">
        <f>VLOOKUP(K964,[4]在职!$A:$D,4,0)</f>
        <v>45830</v>
      </c>
      <c r="Q964" s="102">
        <v>5</v>
      </c>
      <c r="R964" s="102">
        <v>5</v>
      </c>
      <c r="S964" s="104">
        <v>120</v>
      </c>
    </row>
    <row r="965" ht="16.5" hidden="1" spans="1:19">
      <c r="A965" s="46">
        <v>963</v>
      </c>
      <c r="B965" s="46" t="s">
        <v>45</v>
      </c>
      <c r="C965" s="46" t="s">
        <v>38</v>
      </c>
      <c r="D965" s="46" t="s">
        <v>27</v>
      </c>
      <c r="E965" s="46" t="s">
        <v>902</v>
      </c>
      <c r="F965" s="46" t="s">
        <v>903</v>
      </c>
      <c r="G965" s="46" t="s">
        <v>904</v>
      </c>
      <c r="H965" s="46" t="s">
        <v>1433</v>
      </c>
      <c r="I965" s="46" t="s">
        <v>905</v>
      </c>
      <c r="J965" s="83">
        <v>46093</v>
      </c>
      <c r="K965" s="46" t="s">
        <v>1439</v>
      </c>
      <c r="L965" s="46" t="s">
        <v>915</v>
      </c>
      <c r="M965" s="83" t="str">
        <f>VLOOKUP(K965,[4]在职!$A:$B,2,0)</f>
        <v>01646</v>
      </c>
      <c r="N965" s="83" t="str">
        <f>VLOOKUP(K965,[4]在职!$A:$G,7,0)</f>
        <v>营业六部</v>
      </c>
      <c r="O965" s="83" t="str">
        <f>VLOOKUP(K965,[4]在职!$A:$I,9,0)</f>
        <v>一星销售顾问</v>
      </c>
      <c r="P965" s="83">
        <f>VLOOKUP(K965,[4]在职!$A:$D,4,0)</f>
        <v>45878</v>
      </c>
      <c r="Q965" s="102">
        <v>5</v>
      </c>
      <c r="R965" s="102">
        <v>5</v>
      </c>
      <c r="S965" s="104">
        <v>80</v>
      </c>
    </row>
    <row r="966" ht="16.5" hidden="1" spans="1:19">
      <c r="A966" s="46">
        <v>964</v>
      </c>
      <c r="B966" s="46" t="s">
        <v>45</v>
      </c>
      <c r="C966" s="46" t="s">
        <v>36</v>
      </c>
      <c r="D966" s="46" t="s">
        <v>27</v>
      </c>
      <c r="E966" s="46" t="s">
        <v>902</v>
      </c>
      <c r="F966" s="46" t="s">
        <v>903</v>
      </c>
      <c r="G966" s="46" t="s">
        <v>904</v>
      </c>
      <c r="H966" s="46" t="s">
        <v>1433</v>
      </c>
      <c r="I966" s="46" t="s">
        <v>905</v>
      </c>
      <c r="J966" s="83">
        <v>46093</v>
      </c>
      <c r="K966" s="46" t="s">
        <v>1440</v>
      </c>
      <c r="L966" s="46" t="s">
        <v>915</v>
      </c>
      <c r="M966" s="83" t="str">
        <f>VLOOKUP(K966,[4]在职!$A:$B,2,0)</f>
        <v>01824</v>
      </c>
      <c r="N966" s="83" t="str">
        <f>VLOOKUP(K966,[4]在职!$A:$G,7,0)</f>
        <v>山西销售部</v>
      </c>
      <c r="O966" s="83" t="str">
        <f>VLOOKUP(K966,[4]在职!$A:$I,9,0)</f>
        <v>一星销售顾问</v>
      </c>
      <c r="P966" s="83">
        <f>VLOOKUP(K966,[4]在职!$A:$D,4,0)</f>
        <v>45992</v>
      </c>
      <c r="Q966" s="102">
        <v>5</v>
      </c>
      <c r="R966" s="102">
        <v>5</v>
      </c>
      <c r="S966" s="104">
        <v>110</v>
      </c>
    </row>
    <row r="967" ht="16.5" hidden="1" spans="1:19">
      <c r="A967" s="46">
        <v>965</v>
      </c>
      <c r="B967" s="46" t="s">
        <v>45</v>
      </c>
      <c r="C967" s="46" t="s">
        <v>36</v>
      </c>
      <c r="D967" s="46" t="s">
        <v>27</v>
      </c>
      <c r="E967" s="46" t="s">
        <v>902</v>
      </c>
      <c r="F967" s="46" t="s">
        <v>903</v>
      </c>
      <c r="G967" s="46" t="s">
        <v>904</v>
      </c>
      <c r="H967" s="46" t="s">
        <v>1433</v>
      </c>
      <c r="I967" s="46" t="s">
        <v>905</v>
      </c>
      <c r="J967" s="83">
        <v>46093</v>
      </c>
      <c r="K967" s="46" t="s">
        <v>1441</v>
      </c>
      <c r="L967" s="46" t="s">
        <v>915</v>
      </c>
      <c r="M967" s="83" t="str">
        <f>VLOOKUP(K967,[4]在职!$A:$B,2,0)</f>
        <v>01814</v>
      </c>
      <c r="N967" s="83" t="str">
        <f>VLOOKUP(K967,[4]在职!$A:$G,7,0)</f>
        <v>山西销售部</v>
      </c>
      <c r="O967" s="83" t="str">
        <f>VLOOKUP(K967,[4]在职!$A:$I,9,0)</f>
        <v>一星销售顾问</v>
      </c>
      <c r="P967" s="83">
        <f>VLOOKUP(K967,[4]在职!$A:$D,4,0)</f>
        <v>45986</v>
      </c>
      <c r="Q967" s="102">
        <v>5</v>
      </c>
      <c r="R967" s="102">
        <v>5</v>
      </c>
      <c r="S967" s="104">
        <v>80</v>
      </c>
    </row>
    <row r="968" ht="16.5" hidden="1" spans="1:19">
      <c r="A968" s="46">
        <v>966</v>
      </c>
      <c r="B968" s="46" t="s">
        <v>45</v>
      </c>
      <c r="C968" s="46" t="s">
        <v>29</v>
      </c>
      <c r="D968" s="46" t="s">
        <v>27</v>
      </c>
      <c r="E968" s="46" t="s">
        <v>902</v>
      </c>
      <c r="F968" s="46" t="s">
        <v>903</v>
      </c>
      <c r="G968" s="46" t="s">
        <v>904</v>
      </c>
      <c r="H968" s="46" t="s">
        <v>1433</v>
      </c>
      <c r="I968" s="46" t="s">
        <v>905</v>
      </c>
      <c r="J968" s="83">
        <v>46093</v>
      </c>
      <c r="K968" s="46" t="s">
        <v>1442</v>
      </c>
      <c r="L968" s="46" t="s">
        <v>915</v>
      </c>
      <c r="M968" s="83" t="str">
        <f>VLOOKUP(K968,[4]在职!$A:$B,2,0)</f>
        <v>01620</v>
      </c>
      <c r="N968" s="83" t="str">
        <f>VLOOKUP(K968,[4]在职!$A:$G,7,0)</f>
        <v>河南销售部</v>
      </c>
      <c r="O968" s="83" t="str">
        <f>VLOOKUP(K968,[4]在职!$A:$I,9,0)</f>
        <v>一星销售顾问</v>
      </c>
      <c r="P968" s="83">
        <f>VLOOKUP(K968,[4]在职!$A:$D,4,0)</f>
        <v>45861</v>
      </c>
      <c r="Q968" s="102">
        <v>5</v>
      </c>
      <c r="R968" s="102">
        <v>5</v>
      </c>
      <c r="S968" s="104">
        <v>80</v>
      </c>
    </row>
    <row r="969" ht="16.5" hidden="1" spans="1:19">
      <c r="A969" s="46">
        <v>967</v>
      </c>
      <c r="B969" s="46" t="s">
        <v>45</v>
      </c>
      <c r="C969" s="46" t="s">
        <v>37</v>
      </c>
      <c r="D969" s="46" t="s">
        <v>27</v>
      </c>
      <c r="E969" s="46" t="s">
        <v>902</v>
      </c>
      <c r="F969" s="46" t="s">
        <v>903</v>
      </c>
      <c r="G969" s="46" t="s">
        <v>904</v>
      </c>
      <c r="H969" s="46" t="s">
        <v>1433</v>
      </c>
      <c r="I969" s="46" t="s">
        <v>905</v>
      </c>
      <c r="J969" s="83">
        <v>46093</v>
      </c>
      <c r="K969" s="46" t="s">
        <v>932</v>
      </c>
      <c r="L969" s="46" t="s">
        <v>915</v>
      </c>
      <c r="M969" s="83" t="str">
        <f>VLOOKUP(K969,[4]在职!$A:$B,2,0)</f>
        <v>01654</v>
      </c>
      <c r="N969" s="83" t="str">
        <f>VLOOKUP(K969,[4]在职!$A:$G,7,0)</f>
        <v>陕西2部</v>
      </c>
      <c r="O969" s="83" t="str">
        <f>VLOOKUP(K969,[4]在职!$A:$I,9,0)</f>
        <v>一星销售顾问</v>
      </c>
      <c r="P969" s="83">
        <f>VLOOKUP(K969,[4]在职!$A:$D,4,0)</f>
        <v>45881</v>
      </c>
      <c r="Q969" s="102">
        <v>5</v>
      </c>
      <c r="R969" s="102">
        <v>5</v>
      </c>
      <c r="S969" s="104">
        <v>93</v>
      </c>
    </row>
    <row r="970" ht="16.5" hidden="1" spans="1:19">
      <c r="A970" s="46">
        <v>968</v>
      </c>
      <c r="B970" s="46" t="s">
        <v>45</v>
      </c>
      <c r="C970" s="46" t="s">
        <v>29</v>
      </c>
      <c r="D970" s="46" t="s">
        <v>27</v>
      </c>
      <c r="E970" s="46" t="s">
        <v>902</v>
      </c>
      <c r="F970" s="46" t="s">
        <v>903</v>
      </c>
      <c r="G970" s="46" t="s">
        <v>904</v>
      </c>
      <c r="H970" s="46" t="s">
        <v>1433</v>
      </c>
      <c r="I970" s="46" t="s">
        <v>905</v>
      </c>
      <c r="J970" s="83">
        <v>46093</v>
      </c>
      <c r="K970" s="46" t="s">
        <v>962</v>
      </c>
      <c r="L970" s="46" t="s">
        <v>915</v>
      </c>
      <c r="M970" s="83" t="str">
        <f>VLOOKUP(K970,[4]在职!$A:$B,2,0)</f>
        <v>01597</v>
      </c>
      <c r="N970" s="83" t="str">
        <f>VLOOKUP(K970,[4]在职!$A:$G,7,0)</f>
        <v>河南销售部</v>
      </c>
      <c r="O970" s="83" t="str">
        <f>VLOOKUP(K970,[4]在职!$A:$I,9,0)</f>
        <v>二星销售顾问</v>
      </c>
      <c r="P970" s="83">
        <f>VLOOKUP(K970,[4]在职!$A:$D,4,0)</f>
        <v>45852</v>
      </c>
      <c r="Q970" s="102">
        <v>5</v>
      </c>
      <c r="R970" s="102">
        <v>5</v>
      </c>
      <c r="S970" s="104">
        <v>80</v>
      </c>
    </row>
    <row r="971" ht="16.5" hidden="1" spans="1:19">
      <c r="A971" s="46">
        <v>969</v>
      </c>
      <c r="B971" s="46" t="s">
        <v>45</v>
      </c>
      <c r="C971" s="46" t="s">
        <v>29</v>
      </c>
      <c r="D971" s="46" t="s">
        <v>27</v>
      </c>
      <c r="E971" s="46" t="s">
        <v>902</v>
      </c>
      <c r="F971" s="46" t="s">
        <v>903</v>
      </c>
      <c r="G971" s="46" t="s">
        <v>904</v>
      </c>
      <c r="H971" s="46" t="s">
        <v>1433</v>
      </c>
      <c r="I971" s="46" t="s">
        <v>905</v>
      </c>
      <c r="J971" s="83">
        <v>46093</v>
      </c>
      <c r="K971" s="46" t="s">
        <v>1443</v>
      </c>
      <c r="L971" s="46" t="s">
        <v>915</v>
      </c>
      <c r="M971" s="83" t="str">
        <f>VLOOKUP(K971,[4]在职!$A:$B,2,0)</f>
        <v>01541</v>
      </c>
      <c r="N971" s="83" t="str">
        <f>VLOOKUP(K971,[4]在职!$A:$G,7,0)</f>
        <v>河南销售部</v>
      </c>
      <c r="O971" s="83" t="str">
        <f>VLOOKUP(K971,[4]在职!$A:$I,9,0)</f>
        <v>一星销售顾问</v>
      </c>
      <c r="P971" s="83">
        <f>VLOOKUP(K971,[4]在职!$A:$D,4,0)</f>
        <v>45823</v>
      </c>
      <c r="Q971" s="102">
        <v>5</v>
      </c>
      <c r="R971" s="102">
        <v>5</v>
      </c>
      <c r="S971" s="104">
        <v>80</v>
      </c>
    </row>
    <row r="972" ht="16.5" hidden="1" spans="1:19">
      <c r="A972" s="46">
        <v>970</v>
      </c>
      <c r="B972" s="46" t="s">
        <v>45</v>
      </c>
      <c r="C972" s="46" t="s">
        <v>26</v>
      </c>
      <c r="D972" s="46" t="s">
        <v>27</v>
      </c>
      <c r="E972" s="46" t="s">
        <v>902</v>
      </c>
      <c r="F972" s="46" t="s">
        <v>903</v>
      </c>
      <c r="G972" s="46" t="s">
        <v>904</v>
      </c>
      <c r="H972" s="46" t="s">
        <v>1433</v>
      </c>
      <c r="I972" s="46" t="s">
        <v>905</v>
      </c>
      <c r="J972" s="83">
        <v>46093</v>
      </c>
      <c r="K972" s="46" t="s">
        <v>1444</v>
      </c>
      <c r="L972" s="46" t="s">
        <v>915</v>
      </c>
      <c r="M972" s="83" t="str">
        <f>VLOOKUP(K972,[4]在职!$A:$B,2,0)</f>
        <v>01850</v>
      </c>
      <c r="N972" s="83" t="str">
        <f>VLOOKUP(K972,[4]在职!$A:$G,7,0)</f>
        <v>河北销售部</v>
      </c>
      <c r="O972" s="83" t="str">
        <f>VLOOKUP(K972,[4]在职!$A:$I,9,0)</f>
        <v>一星销售顾问</v>
      </c>
      <c r="P972" s="83">
        <f>VLOOKUP(K972,[4]在职!$A:$D,4,0)</f>
        <v>46003</v>
      </c>
      <c r="Q972" s="102">
        <v>5</v>
      </c>
      <c r="R972" s="102">
        <v>5</v>
      </c>
      <c r="S972" s="104">
        <v>100</v>
      </c>
    </row>
    <row r="973" ht="16.5" hidden="1" spans="1:19">
      <c r="A973" s="46">
        <v>971</v>
      </c>
      <c r="B973" s="46" t="s">
        <v>45</v>
      </c>
      <c r="C973" s="46" t="s">
        <v>26</v>
      </c>
      <c r="D973" s="46" t="s">
        <v>27</v>
      </c>
      <c r="E973" s="46" t="s">
        <v>902</v>
      </c>
      <c r="F973" s="46" t="s">
        <v>903</v>
      </c>
      <c r="G973" s="46" t="s">
        <v>904</v>
      </c>
      <c r="H973" s="46" t="s">
        <v>1433</v>
      </c>
      <c r="I973" s="46" t="s">
        <v>905</v>
      </c>
      <c r="J973" s="83">
        <v>46093</v>
      </c>
      <c r="K973" s="46" t="s">
        <v>1445</v>
      </c>
      <c r="L973" s="46" t="s">
        <v>915</v>
      </c>
      <c r="M973" s="83" t="str">
        <f>VLOOKUP(K973,[4]在职!$A:$B,2,0)</f>
        <v>01702</v>
      </c>
      <c r="N973" s="83" t="str">
        <f>VLOOKUP(K973,[4]在职!$A:$G,7,0)</f>
        <v>河北销售部</v>
      </c>
      <c r="O973" s="83" t="str">
        <f>VLOOKUP(K973,[4]在职!$A:$I,9,0)</f>
        <v>一星销售顾问</v>
      </c>
      <c r="P973" s="83">
        <f>VLOOKUP(K973,[4]在职!$A:$D,4,0)</f>
        <v>45918</v>
      </c>
      <c r="Q973" s="102">
        <v>5</v>
      </c>
      <c r="R973" s="102">
        <v>5</v>
      </c>
      <c r="S973" s="104">
        <v>100</v>
      </c>
    </row>
    <row r="974" ht="16.5" hidden="1" spans="1:19">
      <c r="A974" s="46">
        <v>972</v>
      </c>
      <c r="B974" s="46" t="s">
        <v>45</v>
      </c>
      <c r="C974" s="46" t="s">
        <v>38</v>
      </c>
      <c r="D974" s="46" t="s">
        <v>27</v>
      </c>
      <c r="E974" s="46" t="s">
        <v>902</v>
      </c>
      <c r="F974" s="46" t="s">
        <v>903</v>
      </c>
      <c r="G974" s="46" t="s">
        <v>904</v>
      </c>
      <c r="H974" s="46" t="s">
        <v>1433</v>
      </c>
      <c r="I974" s="46" t="s">
        <v>905</v>
      </c>
      <c r="J974" s="83">
        <v>46093</v>
      </c>
      <c r="K974" s="46" t="s">
        <v>1446</v>
      </c>
      <c r="L974" s="46" t="s">
        <v>915</v>
      </c>
      <c r="M974" s="83" t="str">
        <f>VLOOKUP(K974,[4]在职!$A:$B,2,0)</f>
        <v>01631</v>
      </c>
      <c r="N974" s="83" t="str">
        <f>VLOOKUP(K974,[4]在职!$A:$G,7,0)</f>
        <v>营业三部</v>
      </c>
      <c r="O974" s="83" t="str">
        <f>VLOOKUP(K974,[4]在职!$A:$I,9,0)</f>
        <v>一星销售顾问</v>
      </c>
      <c r="P974" s="83">
        <f>VLOOKUP(K974,[4]在职!$A:$D,4,0)</f>
        <v>45873</v>
      </c>
      <c r="Q974" s="102">
        <v>5</v>
      </c>
      <c r="R974" s="102">
        <v>5</v>
      </c>
      <c r="S974" s="104">
        <v>97</v>
      </c>
    </row>
    <row r="975" ht="16.5" hidden="1" spans="1:19">
      <c r="A975" s="46">
        <v>973</v>
      </c>
      <c r="B975" s="46" t="s">
        <v>45</v>
      </c>
      <c r="C975" s="46" t="s">
        <v>38</v>
      </c>
      <c r="D975" s="46" t="s">
        <v>27</v>
      </c>
      <c r="E975" s="46" t="s">
        <v>902</v>
      </c>
      <c r="F975" s="46" t="s">
        <v>903</v>
      </c>
      <c r="G975" s="46" t="s">
        <v>904</v>
      </c>
      <c r="H975" s="46" t="s">
        <v>1433</v>
      </c>
      <c r="I975" s="46" t="s">
        <v>905</v>
      </c>
      <c r="J975" s="83">
        <v>46093</v>
      </c>
      <c r="K975" s="46" t="s">
        <v>1271</v>
      </c>
      <c r="L975" s="46" t="s">
        <v>915</v>
      </c>
      <c r="M975" s="83" t="str">
        <f>VLOOKUP(K975,[4]在职!$A:$B,2,0)</f>
        <v>01790</v>
      </c>
      <c r="N975" s="83" t="str">
        <f>VLOOKUP(K975,[4]在职!$A:$G,7,0)</f>
        <v>营业四部</v>
      </c>
      <c r="O975" s="83" t="str">
        <f>VLOOKUP(K975,[4]在职!$A:$I,9,0)</f>
        <v>一星销售顾问</v>
      </c>
      <c r="P975" s="83">
        <f>VLOOKUP(K975,[4]在职!$A:$D,4,0)</f>
        <v>45974</v>
      </c>
      <c r="Q975" s="102">
        <v>5</v>
      </c>
      <c r="R975" s="102">
        <v>5</v>
      </c>
      <c r="S975" s="104">
        <v>90</v>
      </c>
    </row>
    <row r="976" ht="16.5" hidden="1" spans="1:19">
      <c r="A976" s="46">
        <v>974</v>
      </c>
      <c r="B976" s="46" t="s">
        <v>45</v>
      </c>
      <c r="C976" s="46" t="s">
        <v>38</v>
      </c>
      <c r="D976" s="46" t="s">
        <v>27</v>
      </c>
      <c r="E976" s="46" t="s">
        <v>902</v>
      </c>
      <c r="F976" s="46" t="s">
        <v>903</v>
      </c>
      <c r="G976" s="46" t="s">
        <v>904</v>
      </c>
      <c r="H976" s="46" t="s">
        <v>1433</v>
      </c>
      <c r="I976" s="46" t="s">
        <v>905</v>
      </c>
      <c r="J976" s="83">
        <v>46093</v>
      </c>
      <c r="K976" s="46" t="s">
        <v>1273</v>
      </c>
      <c r="L976" s="46" t="s">
        <v>915</v>
      </c>
      <c r="M976" s="83" t="str">
        <f>VLOOKUP(K976,[4]在职!$A:$B,2,0)</f>
        <v>01767</v>
      </c>
      <c r="N976" s="83" t="str">
        <f>VLOOKUP(K976,[4]在职!$A:$G,7,0)</f>
        <v>营业四部</v>
      </c>
      <c r="O976" s="83" t="str">
        <f>VLOOKUP(K976,[4]在职!$A:$I,9,0)</f>
        <v>一星销售顾问</v>
      </c>
      <c r="P976" s="83">
        <f>VLOOKUP(K976,[4]在职!$A:$D,4,0)</f>
        <v>45959</v>
      </c>
      <c r="Q976" s="102">
        <v>5</v>
      </c>
      <c r="R976" s="102">
        <v>5</v>
      </c>
      <c r="S976" s="104">
        <v>87</v>
      </c>
    </row>
    <row r="977" ht="16.5" hidden="1" spans="1:19">
      <c r="A977" s="46">
        <v>975</v>
      </c>
      <c r="B977" s="46" t="s">
        <v>45</v>
      </c>
      <c r="C977" s="46" t="s">
        <v>38</v>
      </c>
      <c r="D977" s="46" t="s">
        <v>27</v>
      </c>
      <c r="E977" s="46" t="s">
        <v>902</v>
      </c>
      <c r="F977" s="46" t="s">
        <v>903</v>
      </c>
      <c r="G977" s="46" t="s">
        <v>904</v>
      </c>
      <c r="H977" s="46" t="s">
        <v>1433</v>
      </c>
      <c r="I977" s="46" t="s">
        <v>905</v>
      </c>
      <c r="J977" s="83">
        <v>46093</v>
      </c>
      <c r="K977" s="46" t="s">
        <v>1447</v>
      </c>
      <c r="L977" s="46" t="s">
        <v>915</v>
      </c>
      <c r="M977" s="83" t="str">
        <f>VLOOKUP(K977,[4]在职!$A:$B,2,0)</f>
        <v>01735</v>
      </c>
      <c r="N977" s="83" t="str">
        <f>VLOOKUP(K977,[4]在职!$A:$G,7,0)</f>
        <v>营业四部</v>
      </c>
      <c r="O977" s="83" t="str">
        <f>VLOOKUP(K977,[4]在职!$A:$I,9,0)</f>
        <v>一星销售顾问</v>
      </c>
      <c r="P977" s="83">
        <f>VLOOKUP(K977,[4]在职!$A:$D,4,0)</f>
        <v>45943</v>
      </c>
      <c r="Q977" s="102">
        <v>5</v>
      </c>
      <c r="R977" s="102">
        <v>5</v>
      </c>
      <c r="S977" s="104">
        <v>90</v>
      </c>
    </row>
    <row r="978" ht="16.5" hidden="1" spans="1:19">
      <c r="A978" s="46">
        <v>976</v>
      </c>
      <c r="B978" s="46" t="s">
        <v>45</v>
      </c>
      <c r="C978" s="46" t="s">
        <v>36</v>
      </c>
      <c r="D978" s="46" t="s">
        <v>27</v>
      </c>
      <c r="E978" s="46" t="s">
        <v>902</v>
      </c>
      <c r="F978" s="46" t="s">
        <v>903</v>
      </c>
      <c r="G978" s="46" t="s">
        <v>904</v>
      </c>
      <c r="H978" s="46" t="s">
        <v>1433</v>
      </c>
      <c r="I978" s="46" t="s">
        <v>905</v>
      </c>
      <c r="J978" s="83">
        <v>46093</v>
      </c>
      <c r="K978" s="46" t="s">
        <v>1448</v>
      </c>
      <c r="L978" s="46" t="s">
        <v>915</v>
      </c>
      <c r="M978" s="83" t="str">
        <f>VLOOKUP(K978,[4]在职!$A:$B,2,0)</f>
        <v>01650</v>
      </c>
      <c r="N978" s="83" t="str">
        <f>VLOOKUP(K978,[4]在职!$A:$G,7,0)</f>
        <v>山西销售部</v>
      </c>
      <c r="O978" s="83" t="str">
        <f>VLOOKUP(K978,[4]在职!$A:$I,9,0)</f>
        <v>一星销售顾问</v>
      </c>
      <c r="P978" s="83">
        <f>VLOOKUP(K978,[4]在职!$A:$D,4,0)</f>
        <v>45880</v>
      </c>
      <c r="Q978" s="102">
        <v>5</v>
      </c>
      <c r="R978" s="102">
        <v>5</v>
      </c>
      <c r="S978" s="104">
        <v>120</v>
      </c>
    </row>
    <row r="979" ht="16.5" hidden="1" spans="1:19">
      <c r="A979" s="46">
        <v>977</v>
      </c>
      <c r="B979" s="46" t="s">
        <v>45</v>
      </c>
      <c r="C979" s="46" t="s">
        <v>37</v>
      </c>
      <c r="D979" s="46" t="s">
        <v>27</v>
      </c>
      <c r="E979" s="46" t="s">
        <v>902</v>
      </c>
      <c r="F979" s="46" t="s">
        <v>903</v>
      </c>
      <c r="G979" s="46" t="s">
        <v>904</v>
      </c>
      <c r="H979" s="46" t="s">
        <v>1433</v>
      </c>
      <c r="I979" s="46" t="s">
        <v>905</v>
      </c>
      <c r="J979" s="83">
        <v>46093</v>
      </c>
      <c r="K979" s="46" t="s">
        <v>1449</v>
      </c>
      <c r="L979" s="46" t="s">
        <v>915</v>
      </c>
      <c r="M979" s="83" t="str">
        <f>VLOOKUP(K979,[4]在职!$A:$B,2,0)</f>
        <v>00583</v>
      </c>
      <c r="N979" s="83" t="str">
        <f>VLOOKUP(K979,[4]在职!$A:$G,7,0)</f>
        <v>陕西2部</v>
      </c>
      <c r="O979" s="83" t="str">
        <f>VLOOKUP(K979,[4]在职!$A:$I,9,0)</f>
        <v>一星销售顾问</v>
      </c>
      <c r="P979" s="83">
        <f>VLOOKUP(K979,[4]在职!$A:$D,4,0)</f>
        <v>45763</v>
      </c>
      <c r="Q979" s="102">
        <v>5</v>
      </c>
      <c r="R979" s="102">
        <v>5</v>
      </c>
      <c r="S979" s="104">
        <v>80</v>
      </c>
    </row>
    <row r="980" ht="16.5" hidden="1" spans="1:19">
      <c r="A980" s="46">
        <v>978</v>
      </c>
      <c r="B980" s="46" t="s">
        <v>45</v>
      </c>
      <c r="C980" s="46" t="s">
        <v>31</v>
      </c>
      <c r="D980" s="46" t="s">
        <v>27</v>
      </c>
      <c r="E980" s="46" t="s">
        <v>902</v>
      </c>
      <c r="F980" s="46" t="s">
        <v>903</v>
      </c>
      <c r="G980" s="46" t="s">
        <v>904</v>
      </c>
      <c r="H980" s="46" t="s">
        <v>1433</v>
      </c>
      <c r="I980" s="46" t="s">
        <v>905</v>
      </c>
      <c r="J980" s="83">
        <v>46093</v>
      </c>
      <c r="K980" s="46" t="s">
        <v>1450</v>
      </c>
      <c r="L980" s="46" t="s">
        <v>915</v>
      </c>
      <c r="M980" s="83" t="str">
        <f>VLOOKUP(K980,[4]在职!$A:$B,2,0)</f>
        <v>01629</v>
      </c>
      <c r="N980" s="83" t="str">
        <f>VLOOKUP(K980,[4]在职!$A:$G,7,0)</f>
        <v>湖北1部</v>
      </c>
      <c r="O980" s="83" t="str">
        <f>VLOOKUP(K980,[4]在职!$A:$I,9,0)</f>
        <v>一星销售顾问</v>
      </c>
      <c r="P980" s="83">
        <f>VLOOKUP(K980,[4]在职!$A:$D,4,0)</f>
        <v>45866</v>
      </c>
      <c r="Q980" s="102">
        <v>5</v>
      </c>
      <c r="R980" s="102">
        <v>5</v>
      </c>
      <c r="S980" s="104">
        <v>97</v>
      </c>
    </row>
    <row r="981" ht="16.5" hidden="1" spans="1:19">
      <c r="A981" s="46">
        <v>979</v>
      </c>
      <c r="B981" s="46" t="s">
        <v>45</v>
      </c>
      <c r="C981" s="46" t="s">
        <v>31</v>
      </c>
      <c r="D981" s="46" t="s">
        <v>27</v>
      </c>
      <c r="E981" s="46" t="s">
        <v>902</v>
      </c>
      <c r="F981" s="46" t="s">
        <v>903</v>
      </c>
      <c r="G981" s="46" t="s">
        <v>904</v>
      </c>
      <c r="H981" s="46" t="s">
        <v>1433</v>
      </c>
      <c r="I981" s="46" t="s">
        <v>905</v>
      </c>
      <c r="J981" s="83">
        <v>46093</v>
      </c>
      <c r="K981" s="46" t="s">
        <v>1006</v>
      </c>
      <c r="L981" s="46" t="s">
        <v>915</v>
      </c>
      <c r="M981" s="83" t="str">
        <f>VLOOKUP(K981,[4]在职!$A:$B,2,0)</f>
        <v>01537</v>
      </c>
      <c r="N981" s="83" t="str">
        <f>VLOOKUP(K981,[4]在职!$A:$G,7,0)</f>
        <v>湖北1部</v>
      </c>
      <c r="O981" s="83" t="str">
        <f>VLOOKUP(K981,[4]在职!$A:$I,9,0)</f>
        <v>一星销售顾问</v>
      </c>
      <c r="P981" s="83">
        <f>VLOOKUP(K981,[4]在职!$A:$D,4,0)</f>
        <v>45821</v>
      </c>
      <c r="Q981" s="102">
        <v>5</v>
      </c>
      <c r="R981" s="102">
        <v>5</v>
      </c>
      <c r="S981" s="104">
        <v>110</v>
      </c>
    </row>
    <row r="982" ht="16.5" hidden="1" spans="1:19">
      <c r="A982" s="46">
        <v>980</v>
      </c>
      <c r="B982" s="46" t="s">
        <v>45</v>
      </c>
      <c r="C982" s="46" t="s">
        <v>31</v>
      </c>
      <c r="D982" s="46" t="s">
        <v>27</v>
      </c>
      <c r="E982" s="46" t="s">
        <v>902</v>
      </c>
      <c r="F982" s="46" t="s">
        <v>903</v>
      </c>
      <c r="G982" s="46" t="s">
        <v>904</v>
      </c>
      <c r="H982" s="46" t="s">
        <v>1433</v>
      </c>
      <c r="I982" s="46" t="s">
        <v>905</v>
      </c>
      <c r="J982" s="83">
        <v>46093</v>
      </c>
      <c r="K982" s="46" t="s">
        <v>1068</v>
      </c>
      <c r="L982" s="46" t="s">
        <v>915</v>
      </c>
      <c r="M982" s="83" t="str">
        <f>VLOOKUP(K982,[4]在职!$A:$B,2,0)</f>
        <v>01404</v>
      </c>
      <c r="N982" s="83" t="str">
        <f>VLOOKUP(K982,[4]在职!$A:$G,7,0)</f>
        <v>湖北1部</v>
      </c>
      <c r="O982" s="83" t="str">
        <f>VLOOKUP(K982,[4]在职!$A:$I,9,0)</f>
        <v>二星销售顾问</v>
      </c>
      <c r="P982" s="83">
        <f>VLOOKUP(K982,[4]在职!$A:$D,4,0)</f>
        <v>45740</v>
      </c>
      <c r="Q982" s="102">
        <v>5</v>
      </c>
      <c r="R982" s="102">
        <v>5</v>
      </c>
      <c r="S982" s="104">
        <v>117</v>
      </c>
    </row>
    <row r="983" ht="16.5" hidden="1" spans="1:19">
      <c r="A983" s="46">
        <v>981</v>
      </c>
      <c r="B983" s="46" t="s">
        <v>45</v>
      </c>
      <c r="C983" s="46" t="s">
        <v>36</v>
      </c>
      <c r="D983" s="46" t="s">
        <v>27</v>
      </c>
      <c r="E983" s="46" t="s">
        <v>902</v>
      </c>
      <c r="F983" s="46" t="s">
        <v>903</v>
      </c>
      <c r="G983" s="46" t="s">
        <v>904</v>
      </c>
      <c r="H983" s="46" t="s">
        <v>1433</v>
      </c>
      <c r="I983" s="46" t="s">
        <v>905</v>
      </c>
      <c r="J983" s="83">
        <v>46093</v>
      </c>
      <c r="K983" s="46" t="s">
        <v>1451</v>
      </c>
      <c r="L983" s="46" t="s">
        <v>915</v>
      </c>
      <c r="M983" s="83" t="str">
        <f>VLOOKUP(K983,[4]在职!$A:$B,2,0)</f>
        <v>01726</v>
      </c>
      <c r="N983" s="83" t="str">
        <f>VLOOKUP(K983,[4]在职!$A:$G,7,0)</f>
        <v>山西销售部</v>
      </c>
      <c r="O983" s="83" t="str">
        <f>VLOOKUP(K983,[4]在职!$A:$I,9,0)</f>
        <v>一星销售顾问</v>
      </c>
      <c r="P983" s="83">
        <f>VLOOKUP(K983,[4]在职!$A:$D,4,0)</f>
        <v>45940</v>
      </c>
      <c r="Q983" s="102">
        <v>5</v>
      </c>
      <c r="R983" s="102">
        <v>5</v>
      </c>
      <c r="S983" s="104">
        <v>110</v>
      </c>
    </row>
    <row r="984" ht="16.5" hidden="1" spans="1:19">
      <c r="A984" s="46">
        <v>982</v>
      </c>
      <c r="B984" s="46" t="s">
        <v>45</v>
      </c>
      <c r="C984" s="46" t="s">
        <v>38</v>
      </c>
      <c r="D984" s="46" t="s">
        <v>27</v>
      </c>
      <c r="E984" s="46" t="s">
        <v>902</v>
      </c>
      <c r="F984" s="46" t="s">
        <v>903</v>
      </c>
      <c r="G984" s="46" t="s">
        <v>904</v>
      </c>
      <c r="H984" s="46" t="s">
        <v>1433</v>
      </c>
      <c r="I984" s="46" t="s">
        <v>905</v>
      </c>
      <c r="J984" s="83">
        <v>46093</v>
      </c>
      <c r="K984" s="46" t="s">
        <v>1263</v>
      </c>
      <c r="L984" s="46" t="s">
        <v>915</v>
      </c>
      <c r="M984" s="83" t="str">
        <f>VLOOKUP(K984,[4]在职!$A:$B,2,0)</f>
        <v>01723</v>
      </c>
      <c r="N984" s="83" t="str">
        <f>VLOOKUP(K984,[4]在职!$A:$G,7,0)</f>
        <v>营业七部</v>
      </c>
      <c r="O984" s="83" t="str">
        <f>VLOOKUP(K984,[4]在职!$A:$I,9,0)</f>
        <v>一星销售顾问</v>
      </c>
      <c r="P984" s="83">
        <f>VLOOKUP(K984,[4]在职!$A:$D,4,0)</f>
        <v>45941</v>
      </c>
      <c r="Q984" s="102">
        <v>5</v>
      </c>
      <c r="R984" s="102">
        <v>5</v>
      </c>
      <c r="S984" s="104">
        <v>90</v>
      </c>
    </row>
    <row r="985" ht="16.5" hidden="1" spans="1:19">
      <c r="A985" s="46">
        <v>983</v>
      </c>
      <c r="B985" s="46" t="s">
        <v>45</v>
      </c>
      <c r="C985" s="46" t="s">
        <v>38</v>
      </c>
      <c r="D985" s="46" t="s">
        <v>27</v>
      </c>
      <c r="E985" s="46" t="s">
        <v>902</v>
      </c>
      <c r="F985" s="46" t="s">
        <v>903</v>
      </c>
      <c r="G985" s="46" t="s">
        <v>904</v>
      </c>
      <c r="H985" s="46" t="s">
        <v>1433</v>
      </c>
      <c r="I985" s="46" t="s">
        <v>905</v>
      </c>
      <c r="J985" s="83">
        <v>46093</v>
      </c>
      <c r="K985" s="46" t="s">
        <v>972</v>
      </c>
      <c r="L985" s="46" t="s">
        <v>915</v>
      </c>
      <c r="M985" s="83" t="str">
        <f>VLOOKUP(K985,[4]在职!$A:$B,2,0)</f>
        <v>01599</v>
      </c>
      <c r="N985" s="83" t="str">
        <f>VLOOKUP(K985,[4]在职!$A:$G,7,0)</f>
        <v>营业七部</v>
      </c>
      <c r="O985" s="83" t="str">
        <f>VLOOKUP(K985,[4]在职!$A:$I,9,0)</f>
        <v>二星销售顾问</v>
      </c>
      <c r="P985" s="83">
        <f>VLOOKUP(K985,[4]在职!$A:$D,4,0)</f>
        <v>45855</v>
      </c>
      <c r="Q985" s="102">
        <v>5</v>
      </c>
      <c r="R985" s="102">
        <v>5</v>
      </c>
      <c r="S985" s="104">
        <v>110</v>
      </c>
    </row>
    <row r="986" ht="16.5" hidden="1" spans="1:19">
      <c r="A986" s="46">
        <v>984</v>
      </c>
      <c r="B986" s="46" t="s">
        <v>45</v>
      </c>
      <c r="C986" s="46" t="s">
        <v>38</v>
      </c>
      <c r="D986" s="46" t="s">
        <v>27</v>
      </c>
      <c r="E986" s="46" t="s">
        <v>902</v>
      </c>
      <c r="F986" s="46" t="s">
        <v>903</v>
      </c>
      <c r="G986" s="46" t="s">
        <v>904</v>
      </c>
      <c r="H986" s="46" t="s">
        <v>1433</v>
      </c>
      <c r="I986" s="46" t="s">
        <v>905</v>
      </c>
      <c r="J986" s="83">
        <v>46093</v>
      </c>
      <c r="K986" s="46" t="s">
        <v>974</v>
      </c>
      <c r="L986" s="46" t="s">
        <v>915</v>
      </c>
      <c r="M986" s="83" t="str">
        <f>VLOOKUP(K986,[4]在职!$A:$B,2,0)</f>
        <v>01465</v>
      </c>
      <c r="N986" s="83" t="str">
        <f>VLOOKUP(K986,[4]在职!$A:$G,7,0)</f>
        <v>营业七部</v>
      </c>
      <c r="O986" s="83" t="str">
        <f>VLOOKUP(K986,[4]在职!$A:$I,9,0)</f>
        <v>二星销售顾问</v>
      </c>
      <c r="P986" s="83">
        <f>VLOOKUP(K986,[4]在职!$A:$D,4,0)</f>
        <v>45768</v>
      </c>
      <c r="Q986" s="102">
        <v>5</v>
      </c>
      <c r="R986" s="102">
        <v>5</v>
      </c>
      <c r="S986" s="104">
        <v>80</v>
      </c>
    </row>
    <row r="987" ht="16.5" hidden="1" spans="1:19">
      <c r="A987" s="46">
        <v>985</v>
      </c>
      <c r="B987" s="46" t="s">
        <v>45</v>
      </c>
      <c r="C987" s="46" t="s">
        <v>37</v>
      </c>
      <c r="D987" s="46" t="s">
        <v>27</v>
      </c>
      <c r="E987" s="46" t="s">
        <v>902</v>
      </c>
      <c r="F987" s="46" t="s">
        <v>903</v>
      </c>
      <c r="G987" s="46" t="s">
        <v>904</v>
      </c>
      <c r="H987" s="46" t="s">
        <v>1433</v>
      </c>
      <c r="I987" s="46" t="s">
        <v>905</v>
      </c>
      <c r="J987" s="83">
        <v>46093</v>
      </c>
      <c r="K987" s="46" t="s">
        <v>1452</v>
      </c>
      <c r="L987" s="46" t="s">
        <v>915</v>
      </c>
      <c r="M987" s="83" t="str">
        <f>VLOOKUP(K987,[4]在职!$A:$B,2,0)</f>
        <v>01720</v>
      </c>
      <c r="N987" s="83" t="str">
        <f>VLOOKUP(K987,[4]在职!$A:$G,7,0)</f>
        <v>陕西2部</v>
      </c>
      <c r="O987" s="83" t="str">
        <f>VLOOKUP(K987,[4]在职!$A:$I,9,0)</f>
        <v>一星销售顾问</v>
      </c>
      <c r="P987" s="83">
        <f>VLOOKUP(K987,[4]在职!$A:$D,4,0)</f>
        <v>45938</v>
      </c>
      <c r="Q987" s="102">
        <v>5</v>
      </c>
      <c r="R987" s="102">
        <v>5</v>
      </c>
      <c r="S987" s="104">
        <v>110</v>
      </c>
    </row>
    <row r="988" ht="16.5" hidden="1" spans="1:19">
      <c r="A988" s="46">
        <v>986</v>
      </c>
      <c r="B988" s="46" t="s">
        <v>45</v>
      </c>
      <c r="C988" s="46" t="s">
        <v>31</v>
      </c>
      <c r="D988" s="46" t="s">
        <v>27</v>
      </c>
      <c r="E988" s="46" t="s">
        <v>902</v>
      </c>
      <c r="F988" s="46" t="s">
        <v>903</v>
      </c>
      <c r="G988" s="46" t="s">
        <v>904</v>
      </c>
      <c r="H988" s="46" t="s">
        <v>1433</v>
      </c>
      <c r="I988" s="46" t="s">
        <v>905</v>
      </c>
      <c r="J988" s="83">
        <v>46093</v>
      </c>
      <c r="K988" s="46" t="s">
        <v>1453</v>
      </c>
      <c r="L988" s="46" t="s">
        <v>915</v>
      </c>
      <c r="M988" s="83" t="str">
        <f>VLOOKUP(K988,[4]在职!$A:$B,2,0)</f>
        <v>01632</v>
      </c>
      <c r="N988" s="83" t="str">
        <f>VLOOKUP(K988,[4]在职!$A:$G,7,0)</f>
        <v>湖北1部</v>
      </c>
      <c r="O988" s="83" t="str">
        <f>VLOOKUP(K988,[4]在职!$A:$I,9,0)</f>
        <v>一星销售顾问</v>
      </c>
      <c r="P988" s="83">
        <f>VLOOKUP(K988,[4]在职!$A:$D,4,0)</f>
        <v>45873</v>
      </c>
      <c r="Q988" s="102">
        <v>5</v>
      </c>
      <c r="R988" s="102">
        <v>5</v>
      </c>
      <c r="S988" s="104">
        <v>117</v>
      </c>
    </row>
    <row r="989" ht="16.5" hidden="1" spans="1:19">
      <c r="A989" s="46">
        <v>987</v>
      </c>
      <c r="B989" s="46" t="s">
        <v>45</v>
      </c>
      <c r="C989" s="46" t="s">
        <v>29</v>
      </c>
      <c r="D989" s="46" t="s">
        <v>27</v>
      </c>
      <c r="E989" s="46" t="s">
        <v>902</v>
      </c>
      <c r="F989" s="46" t="s">
        <v>903</v>
      </c>
      <c r="G989" s="46" t="s">
        <v>904</v>
      </c>
      <c r="H989" s="46" t="s">
        <v>1433</v>
      </c>
      <c r="I989" s="46" t="s">
        <v>905</v>
      </c>
      <c r="J989" s="83">
        <v>46093</v>
      </c>
      <c r="K989" s="46" t="s">
        <v>1253</v>
      </c>
      <c r="L989" s="46" t="s">
        <v>915</v>
      </c>
      <c r="M989" s="83" t="str">
        <f>VLOOKUP(K989,[4]在职!$A:$B,2,0)</f>
        <v>01762</v>
      </c>
      <c r="N989" s="83" t="str">
        <f>VLOOKUP(K989,[4]在职!$A:$G,7,0)</f>
        <v>河南销售部</v>
      </c>
      <c r="O989" s="83" t="str">
        <f>VLOOKUP(K989,[4]在职!$A:$I,9,0)</f>
        <v>一星销售顾问</v>
      </c>
      <c r="P989" s="83">
        <f>VLOOKUP(K989,[4]在职!$A:$D,4,0)</f>
        <v>45958</v>
      </c>
      <c r="Q989" s="102">
        <v>5</v>
      </c>
      <c r="R989" s="102">
        <v>5</v>
      </c>
      <c r="S989" s="104">
        <v>104</v>
      </c>
    </row>
    <row r="990" ht="16.5" hidden="1" spans="1:19">
      <c r="A990" s="46">
        <v>988</v>
      </c>
      <c r="B990" s="46" t="s">
        <v>45</v>
      </c>
      <c r="C990" s="46" t="s">
        <v>29</v>
      </c>
      <c r="D990" s="46" t="s">
        <v>27</v>
      </c>
      <c r="E990" s="46" t="s">
        <v>902</v>
      </c>
      <c r="F990" s="46" t="s">
        <v>903</v>
      </c>
      <c r="G990" s="46" t="s">
        <v>904</v>
      </c>
      <c r="H990" s="46" t="s">
        <v>1433</v>
      </c>
      <c r="I990" s="46" t="s">
        <v>905</v>
      </c>
      <c r="J990" s="83">
        <v>46093</v>
      </c>
      <c r="K990" s="46" t="s">
        <v>1255</v>
      </c>
      <c r="L990" s="46" t="s">
        <v>915</v>
      </c>
      <c r="M990" s="83" t="str">
        <f>VLOOKUP(K990,[4]在职!$A:$B,2,0)</f>
        <v>01766</v>
      </c>
      <c r="N990" s="83" t="str">
        <f>VLOOKUP(K990,[4]在职!$A:$G,7,0)</f>
        <v>河南销售部</v>
      </c>
      <c r="O990" s="83" t="str">
        <f>VLOOKUP(K990,[4]在职!$A:$I,9,0)</f>
        <v>一星销售顾问</v>
      </c>
      <c r="P990" s="83">
        <f>VLOOKUP(K990,[4]在职!$A:$D,4,0)</f>
        <v>45958</v>
      </c>
      <c r="Q990" s="102">
        <v>5</v>
      </c>
      <c r="R990" s="102">
        <v>5</v>
      </c>
      <c r="S990" s="104">
        <v>80</v>
      </c>
    </row>
    <row r="991" ht="16.5" hidden="1" spans="1:19">
      <c r="A991" s="46">
        <v>989</v>
      </c>
      <c r="B991" s="46" t="s">
        <v>45</v>
      </c>
      <c r="C991" s="46" t="s">
        <v>38</v>
      </c>
      <c r="D991" s="46" t="s">
        <v>27</v>
      </c>
      <c r="E991" s="46" t="s">
        <v>902</v>
      </c>
      <c r="F991" s="46" t="s">
        <v>903</v>
      </c>
      <c r="G991" s="46" t="s">
        <v>904</v>
      </c>
      <c r="H991" s="46" t="s">
        <v>1433</v>
      </c>
      <c r="I991" s="46" t="s">
        <v>905</v>
      </c>
      <c r="J991" s="83">
        <v>46093</v>
      </c>
      <c r="K991" s="46" t="s">
        <v>1454</v>
      </c>
      <c r="L991" s="46" t="s">
        <v>915</v>
      </c>
      <c r="M991" s="83" t="str">
        <f>VLOOKUP(K991,[4]在职!$A:$B,2,0)</f>
        <v>01693</v>
      </c>
      <c r="N991" s="83" t="str">
        <f>VLOOKUP(K991,[4]在职!$A:$G,7,0)</f>
        <v>营业七部</v>
      </c>
      <c r="O991" s="83" t="str">
        <f>VLOOKUP(K991,[4]在职!$A:$I,9,0)</f>
        <v>一星销售顾问</v>
      </c>
      <c r="P991" s="83">
        <f>VLOOKUP(K991,[4]在职!$A:$D,4,0)</f>
        <v>45908</v>
      </c>
      <c r="Q991" s="102">
        <v>5</v>
      </c>
      <c r="R991" s="102">
        <v>5</v>
      </c>
      <c r="S991" s="104">
        <v>100</v>
      </c>
    </row>
    <row r="992" ht="16.5" hidden="1" spans="1:19">
      <c r="A992" s="46">
        <v>990</v>
      </c>
      <c r="B992" s="46" t="s">
        <v>45</v>
      </c>
      <c r="C992" s="46" t="s">
        <v>38</v>
      </c>
      <c r="D992" s="46" t="s">
        <v>27</v>
      </c>
      <c r="E992" s="46" t="s">
        <v>902</v>
      </c>
      <c r="F992" s="46" t="s">
        <v>903</v>
      </c>
      <c r="G992" s="46" t="s">
        <v>904</v>
      </c>
      <c r="H992" s="46" t="s">
        <v>1433</v>
      </c>
      <c r="I992" s="46" t="s">
        <v>905</v>
      </c>
      <c r="J992" s="83">
        <v>46093</v>
      </c>
      <c r="K992" s="46" t="s">
        <v>1455</v>
      </c>
      <c r="L992" s="46" t="s">
        <v>915</v>
      </c>
      <c r="M992" s="83" t="str">
        <f>VLOOKUP(K992,[4]在职!$A:$B,2,0)</f>
        <v>01675</v>
      </c>
      <c r="N992" s="83" t="str">
        <f>VLOOKUP(K992,[4]在职!$A:$G,7,0)</f>
        <v>营业七部</v>
      </c>
      <c r="O992" s="83" t="str">
        <f>VLOOKUP(K992,[4]在职!$A:$I,9,0)</f>
        <v>一星销售顾问</v>
      </c>
      <c r="P992" s="83">
        <f>VLOOKUP(K992,[4]在职!$A:$D,4,0)</f>
        <v>45894</v>
      </c>
      <c r="Q992" s="102">
        <v>5</v>
      </c>
      <c r="R992" s="102">
        <v>5</v>
      </c>
      <c r="S992" s="104">
        <v>107</v>
      </c>
    </row>
    <row r="993" ht="16.5" hidden="1" spans="1:19">
      <c r="A993" s="46">
        <v>991</v>
      </c>
      <c r="B993" s="46" t="s">
        <v>45</v>
      </c>
      <c r="C993" s="46" t="s">
        <v>31</v>
      </c>
      <c r="D993" s="46" t="s">
        <v>27</v>
      </c>
      <c r="E993" s="46" t="s">
        <v>902</v>
      </c>
      <c r="F993" s="46" t="s">
        <v>903</v>
      </c>
      <c r="G993" s="46" t="s">
        <v>904</v>
      </c>
      <c r="H993" s="46" t="s">
        <v>1433</v>
      </c>
      <c r="I993" s="46" t="s">
        <v>905</v>
      </c>
      <c r="J993" s="83">
        <v>46093</v>
      </c>
      <c r="K993" s="46" t="s">
        <v>1456</v>
      </c>
      <c r="L993" s="46" t="s">
        <v>915</v>
      </c>
      <c r="M993" s="83" t="str">
        <f>VLOOKUP(K993,[4]在职!$A:$B,2,0)</f>
        <v>01480</v>
      </c>
      <c r="N993" s="83" t="str">
        <f>VLOOKUP(K993,[4]在职!$A:$G,7,0)</f>
        <v>湖北1部</v>
      </c>
      <c r="O993" s="83" t="str">
        <f>VLOOKUP(K993,[4]在职!$A:$I,9,0)</f>
        <v>一星销售顾问</v>
      </c>
      <c r="P993" s="83">
        <f>VLOOKUP(K993,[4]在职!$A:$D,4,0)</f>
        <v>45791</v>
      </c>
      <c r="Q993" s="102">
        <v>5</v>
      </c>
      <c r="R993" s="102">
        <v>5</v>
      </c>
      <c r="S993" s="104">
        <v>97</v>
      </c>
    </row>
    <row r="994" ht="16.5" hidden="1" spans="1:19">
      <c r="A994" s="46">
        <v>992</v>
      </c>
      <c r="B994" s="46" t="s">
        <v>45</v>
      </c>
      <c r="C994" s="46" t="s">
        <v>31</v>
      </c>
      <c r="D994" s="46" t="s">
        <v>27</v>
      </c>
      <c r="E994" s="46" t="s">
        <v>902</v>
      </c>
      <c r="F994" s="46" t="s">
        <v>903</v>
      </c>
      <c r="G994" s="46" t="s">
        <v>904</v>
      </c>
      <c r="H994" s="46" t="s">
        <v>1433</v>
      </c>
      <c r="I994" s="46" t="s">
        <v>905</v>
      </c>
      <c r="J994" s="83">
        <v>46093</v>
      </c>
      <c r="K994" s="46" t="s">
        <v>1030</v>
      </c>
      <c r="L994" s="46" t="s">
        <v>915</v>
      </c>
      <c r="M994" s="83" t="str">
        <f>VLOOKUP(K994,[4]在职!$A:$B,2,0)</f>
        <v>01187</v>
      </c>
      <c r="N994" s="83" t="str">
        <f>VLOOKUP(K994,[4]在职!$A:$G,7,0)</f>
        <v>湖北1部</v>
      </c>
      <c r="O994" s="83" t="str">
        <f>VLOOKUP(K994,[4]在职!$A:$I,9,0)</f>
        <v>二星销售顾问</v>
      </c>
      <c r="P994" s="83">
        <f>VLOOKUP(K994,[4]在职!$A:$D,4,0)</f>
        <v>45615</v>
      </c>
      <c r="Q994" s="102">
        <v>5</v>
      </c>
      <c r="R994" s="102">
        <v>5</v>
      </c>
      <c r="S994" s="104">
        <v>87</v>
      </c>
    </row>
    <row r="995" ht="16.5" hidden="1" spans="1:19">
      <c r="A995" s="46">
        <v>993</v>
      </c>
      <c r="B995" s="46" t="s">
        <v>45</v>
      </c>
      <c r="C995" s="46" t="s">
        <v>29</v>
      </c>
      <c r="D995" s="46" t="s">
        <v>27</v>
      </c>
      <c r="E995" s="46" t="s">
        <v>902</v>
      </c>
      <c r="F995" s="46" t="s">
        <v>903</v>
      </c>
      <c r="G995" s="46" t="s">
        <v>904</v>
      </c>
      <c r="H995" s="46" t="s">
        <v>1433</v>
      </c>
      <c r="I995" s="46" t="s">
        <v>905</v>
      </c>
      <c r="J995" s="83">
        <v>46093</v>
      </c>
      <c r="K995" s="46" t="s">
        <v>1457</v>
      </c>
      <c r="L995" s="46" t="s">
        <v>915</v>
      </c>
      <c r="M995" s="83" t="str">
        <f>VLOOKUP(K995,[4]在职!$A:$B,2,0)</f>
        <v>01626</v>
      </c>
      <c r="N995" s="83" t="str">
        <f>VLOOKUP(K995,[4]在职!$A:$G,7,0)</f>
        <v>河南销售部</v>
      </c>
      <c r="O995" s="83" t="str">
        <f>VLOOKUP(K995,[4]在职!$A:$I,9,0)</f>
        <v>一星销售顾问</v>
      </c>
      <c r="P995" s="83">
        <f>VLOOKUP(K995,[4]在职!$A:$D,4,0)</f>
        <v>45867</v>
      </c>
      <c r="Q995" s="102">
        <v>5</v>
      </c>
      <c r="R995" s="102">
        <v>5</v>
      </c>
      <c r="S995" s="104">
        <v>80</v>
      </c>
    </row>
    <row r="996" ht="16.5" hidden="1" spans="1:19">
      <c r="A996" s="46">
        <v>994</v>
      </c>
      <c r="B996" s="46" t="s">
        <v>45</v>
      </c>
      <c r="C996" s="46" t="s">
        <v>31</v>
      </c>
      <c r="D996" s="46" t="s">
        <v>27</v>
      </c>
      <c r="E996" s="46" t="s">
        <v>902</v>
      </c>
      <c r="F996" s="46" t="s">
        <v>903</v>
      </c>
      <c r="G996" s="46" t="s">
        <v>904</v>
      </c>
      <c r="H996" s="46" t="s">
        <v>1433</v>
      </c>
      <c r="I996" s="46" t="s">
        <v>905</v>
      </c>
      <c r="J996" s="83">
        <v>46093</v>
      </c>
      <c r="K996" s="46" t="s">
        <v>946</v>
      </c>
      <c r="L996" s="46" t="s">
        <v>915</v>
      </c>
      <c r="M996" s="83" t="str">
        <f>VLOOKUP(K996,[4]在职!$A:$B,2,0)</f>
        <v>01636</v>
      </c>
      <c r="N996" s="83" t="str">
        <f>VLOOKUP(K996,[4]在职!$A:$G,7,0)</f>
        <v>湖北1部</v>
      </c>
      <c r="O996" s="83" t="str">
        <f>VLOOKUP(K996,[4]在职!$A:$I,9,0)</f>
        <v>一星销售顾问</v>
      </c>
      <c r="P996" s="83">
        <f>VLOOKUP(K996,[4]在职!$A:$D,4,0)</f>
        <v>45872</v>
      </c>
      <c r="Q996" s="102">
        <v>5</v>
      </c>
      <c r="R996" s="102">
        <v>5</v>
      </c>
      <c r="S996" s="104">
        <v>127</v>
      </c>
    </row>
    <row r="997" ht="16.5" hidden="1" spans="1:19">
      <c r="A997" s="46">
        <v>995</v>
      </c>
      <c r="B997" s="46" t="s">
        <v>45</v>
      </c>
      <c r="C997" s="46" t="s">
        <v>38</v>
      </c>
      <c r="D997" s="46" t="s">
        <v>27</v>
      </c>
      <c r="E997" s="46" t="s">
        <v>902</v>
      </c>
      <c r="F997" s="46" t="s">
        <v>903</v>
      </c>
      <c r="G997" s="46" t="s">
        <v>904</v>
      </c>
      <c r="H997" s="46" t="s">
        <v>1433</v>
      </c>
      <c r="I997" s="46" t="s">
        <v>905</v>
      </c>
      <c r="J997" s="83">
        <v>46093</v>
      </c>
      <c r="K997" s="46" t="s">
        <v>992</v>
      </c>
      <c r="L997" s="46" t="s">
        <v>915</v>
      </c>
      <c r="M997" s="83" t="str">
        <f>VLOOKUP(K997,[4]在职!$A:$B,2,0)</f>
        <v>01398</v>
      </c>
      <c r="N997" s="83" t="str">
        <f>VLOOKUP(K997,[4]在职!$A:$G,7,0)</f>
        <v>营业六部</v>
      </c>
      <c r="O997" s="83" t="str">
        <f>VLOOKUP(K997,[4]在职!$A:$I,9,0)</f>
        <v>二星销售顾问</v>
      </c>
      <c r="P997" s="83">
        <f>VLOOKUP(K997,[4]在职!$A:$D,4,0)</f>
        <v>45738</v>
      </c>
      <c r="Q997" s="102">
        <v>5</v>
      </c>
      <c r="R997" s="102">
        <v>5</v>
      </c>
      <c r="S997" s="104">
        <v>100</v>
      </c>
    </row>
    <row r="998" ht="16.5" hidden="1" spans="1:19">
      <c r="A998" s="46">
        <v>996</v>
      </c>
      <c r="B998" s="46" t="s">
        <v>45</v>
      </c>
      <c r="C998" s="46" t="s">
        <v>35</v>
      </c>
      <c r="D998" s="46" t="s">
        <v>27</v>
      </c>
      <c r="E998" s="46" t="s">
        <v>902</v>
      </c>
      <c r="F998" s="46" t="s">
        <v>903</v>
      </c>
      <c r="G998" s="46" t="s">
        <v>904</v>
      </c>
      <c r="H998" s="46" t="s">
        <v>1433</v>
      </c>
      <c r="I998" s="46" t="s">
        <v>905</v>
      </c>
      <c r="J998" s="83">
        <v>46093</v>
      </c>
      <c r="K998" s="46" t="s">
        <v>1458</v>
      </c>
      <c r="L998" s="46" t="s">
        <v>915</v>
      </c>
      <c r="M998" s="83" t="str">
        <f>VLOOKUP(K998,[4]在职!$A:$B,2,0)</f>
        <v>01692</v>
      </c>
      <c r="N998" s="83" t="str">
        <f>VLOOKUP(K998,[4]在职!$A:$G,7,0)</f>
        <v>山东销售部</v>
      </c>
      <c r="O998" s="83" t="str">
        <f>VLOOKUP(K998,[4]在职!$A:$I,9,0)</f>
        <v>一星销售顾问</v>
      </c>
      <c r="P998" s="83">
        <f>VLOOKUP(K998,[4]在职!$A:$D,4,0)</f>
        <v>45910</v>
      </c>
      <c r="Q998" s="102">
        <v>5</v>
      </c>
      <c r="R998" s="102">
        <v>5</v>
      </c>
      <c r="S998" s="104">
        <v>70</v>
      </c>
    </row>
    <row r="999" ht="16.5" hidden="1" spans="1:19">
      <c r="A999" s="46">
        <v>997</v>
      </c>
      <c r="B999" s="46" t="s">
        <v>45</v>
      </c>
      <c r="C999" s="46" t="s">
        <v>33</v>
      </c>
      <c r="D999" s="46" t="s">
        <v>27</v>
      </c>
      <c r="E999" s="46" t="s">
        <v>902</v>
      </c>
      <c r="F999" s="46" t="s">
        <v>903</v>
      </c>
      <c r="G999" s="46" t="s">
        <v>904</v>
      </c>
      <c r="H999" s="46" t="s">
        <v>1433</v>
      </c>
      <c r="I999" s="46" t="s">
        <v>905</v>
      </c>
      <c r="J999" s="83">
        <v>46093</v>
      </c>
      <c r="K999" s="46" t="s">
        <v>998</v>
      </c>
      <c r="L999" s="46" t="s">
        <v>915</v>
      </c>
      <c r="M999" s="83" t="str">
        <f>VLOOKUP(K999,[4]在职!$A:$B,2,0)</f>
        <v>01542</v>
      </c>
      <c r="N999" s="83" t="str">
        <f>VLOOKUP(K999,[4]在职!$A:$G,7,0)</f>
        <v>辽宁销售部</v>
      </c>
      <c r="O999" s="83" t="str">
        <f>VLOOKUP(K999,[4]在职!$A:$I,9,0)</f>
        <v>一星销售顾问</v>
      </c>
      <c r="P999" s="83">
        <f>VLOOKUP(K999,[4]在职!$A:$D,4,0)</f>
        <v>45827</v>
      </c>
      <c r="Q999" s="102">
        <v>0</v>
      </c>
      <c r="R999" s="102">
        <v>0</v>
      </c>
      <c r="S999" s="104">
        <v>100</v>
      </c>
    </row>
    <row r="1000" ht="16.5" hidden="1" spans="1:19">
      <c r="A1000" s="46">
        <v>998</v>
      </c>
      <c r="B1000" s="46" t="s">
        <v>45</v>
      </c>
      <c r="C1000" s="46" t="s">
        <v>33</v>
      </c>
      <c r="D1000" s="46" t="s">
        <v>27</v>
      </c>
      <c r="E1000" s="46" t="s">
        <v>902</v>
      </c>
      <c r="F1000" s="46" t="s">
        <v>903</v>
      </c>
      <c r="G1000" s="46" t="s">
        <v>904</v>
      </c>
      <c r="H1000" s="46" t="s">
        <v>1433</v>
      </c>
      <c r="I1000" s="46" t="s">
        <v>905</v>
      </c>
      <c r="J1000" s="83">
        <v>46093</v>
      </c>
      <c r="K1000" s="46" t="s">
        <v>990</v>
      </c>
      <c r="L1000" s="46" t="s">
        <v>915</v>
      </c>
      <c r="M1000" s="83" t="str">
        <f>VLOOKUP(K1000,[4]在职!$A:$B,2,0)</f>
        <v>01426</v>
      </c>
      <c r="N1000" s="83" t="str">
        <f>VLOOKUP(K1000,[4]在职!$A:$G,7,0)</f>
        <v>辽宁销售部</v>
      </c>
      <c r="O1000" s="83" t="str">
        <f>VLOOKUP(K1000,[4]在职!$A:$I,9,0)</f>
        <v>二星销售顾问</v>
      </c>
      <c r="P1000" s="83">
        <f>VLOOKUP(K1000,[4]在职!$A:$D,4,0)</f>
        <v>45754</v>
      </c>
      <c r="Q1000" s="102">
        <v>5</v>
      </c>
      <c r="R1000" s="102">
        <v>5</v>
      </c>
      <c r="S1000" s="104">
        <v>100</v>
      </c>
    </row>
    <row r="1001" ht="16.5" hidden="1" spans="1:19">
      <c r="A1001" s="46">
        <v>999</v>
      </c>
      <c r="B1001" s="46" t="s">
        <v>45</v>
      </c>
      <c r="C1001" s="46" t="s">
        <v>35</v>
      </c>
      <c r="D1001" s="46" t="s">
        <v>27</v>
      </c>
      <c r="E1001" s="46" t="s">
        <v>902</v>
      </c>
      <c r="F1001" s="46" t="s">
        <v>903</v>
      </c>
      <c r="G1001" s="46" t="s">
        <v>904</v>
      </c>
      <c r="H1001" s="46" t="s">
        <v>1433</v>
      </c>
      <c r="I1001" s="46" t="s">
        <v>905</v>
      </c>
      <c r="J1001" s="83">
        <v>46093</v>
      </c>
      <c r="K1001" s="46" t="s">
        <v>1459</v>
      </c>
      <c r="L1001" s="46" t="s">
        <v>915</v>
      </c>
      <c r="M1001" s="83" t="str">
        <f>VLOOKUP(K1001,[4]在职!$A:$B,2,0)</f>
        <v>01664</v>
      </c>
      <c r="N1001" s="83" t="str">
        <f>VLOOKUP(K1001,[4]在职!$A:$G,7,0)</f>
        <v>山东销售部</v>
      </c>
      <c r="O1001" s="83" t="str">
        <f>VLOOKUP(K1001,[4]在职!$A:$I,9,0)</f>
        <v>一星销售顾问</v>
      </c>
      <c r="P1001" s="83">
        <f>VLOOKUP(K1001,[4]在职!$A:$D,4,0)</f>
        <v>45885</v>
      </c>
      <c r="Q1001" s="102">
        <v>5</v>
      </c>
      <c r="R1001" s="102">
        <v>5</v>
      </c>
      <c r="S1001" s="104">
        <v>90</v>
      </c>
    </row>
    <row r="1002" ht="16.5" hidden="1" spans="1:19">
      <c r="A1002" s="46">
        <v>1000</v>
      </c>
      <c r="B1002" s="46" t="s">
        <v>45</v>
      </c>
      <c r="C1002" s="46" t="s">
        <v>37</v>
      </c>
      <c r="D1002" s="46" t="s">
        <v>27</v>
      </c>
      <c r="E1002" s="46" t="s">
        <v>902</v>
      </c>
      <c r="F1002" s="46" t="s">
        <v>903</v>
      </c>
      <c r="G1002" s="46" t="s">
        <v>904</v>
      </c>
      <c r="H1002" s="46" t="s">
        <v>1433</v>
      </c>
      <c r="I1002" s="46" t="s">
        <v>905</v>
      </c>
      <c r="J1002" s="83">
        <v>46093</v>
      </c>
      <c r="K1002" s="46" t="s">
        <v>1460</v>
      </c>
      <c r="L1002" s="46" t="s">
        <v>915</v>
      </c>
      <c r="M1002" s="83" t="str">
        <f>VLOOKUP(K1002,[4]在职!$A:$B,2,0)</f>
        <v>01566</v>
      </c>
      <c r="N1002" s="83" t="str">
        <f>VLOOKUP(K1002,[4]在职!$A:$G,7,0)</f>
        <v>陕西2部</v>
      </c>
      <c r="O1002" s="83" t="str">
        <f>VLOOKUP(K1002,[4]在职!$A:$I,9,0)</f>
        <v>一星销售顾问</v>
      </c>
      <c r="P1002" s="83">
        <f>VLOOKUP(K1002,[4]在职!$A:$D,4,0)</f>
        <v>45838</v>
      </c>
      <c r="Q1002" s="102">
        <v>5</v>
      </c>
      <c r="R1002" s="102">
        <v>5</v>
      </c>
      <c r="S1002" s="104">
        <v>102</v>
      </c>
    </row>
    <row r="1003" ht="16.5" hidden="1" spans="1:19">
      <c r="A1003" s="46">
        <v>1001</v>
      </c>
      <c r="B1003" s="46" t="s">
        <v>45</v>
      </c>
      <c r="C1003" s="46" t="s">
        <v>38</v>
      </c>
      <c r="D1003" s="46" t="s">
        <v>27</v>
      </c>
      <c r="E1003" s="46" t="s">
        <v>902</v>
      </c>
      <c r="F1003" s="46" t="s">
        <v>903</v>
      </c>
      <c r="G1003" s="46" t="s">
        <v>904</v>
      </c>
      <c r="H1003" s="46" t="s">
        <v>1433</v>
      </c>
      <c r="I1003" s="46" t="s">
        <v>905</v>
      </c>
      <c r="J1003" s="83">
        <v>46093</v>
      </c>
      <c r="K1003" s="46" t="s">
        <v>1227</v>
      </c>
      <c r="L1003" s="46" t="s">
        <v>915</v>
      </c>
      <c r="M1003" s="83" t="str">
        <f>VLOOKUP(K1003,[4]在职!$A:$B,2,0)</f>
        <v>01764</v>
      </c>
      <c r="N1003" s="83" t="str">
        <f>VLOOKUP(K1003,[4]在职!$A:$G,7,0)</f>
        <v>营业二部</v>
      </c>
      <c r="O1003" s="83" t="str">
        <f>VLOOKUP(K1003,[4]在职!$A:$I,9,0)</f>
        <v>一星销售顾问</v>
      </c>
      <c r="P1003" s="83">
        <f>VLOOKUP(K1003,[4]在职!$A:$D,4,0)</f>
        <v>45962</v>
      </c>
      <c r="Q1003" s="102">
        <v>5</v>
      </c>
      <c r="R1003" s="102">
        <v>5</v>
      </c>
      <c r="S1003" s="104">
        <v>96</v>
      </c>
    </row>
    <row r="1004" ht="16.5" hidden="1" spans="1:19">
      <c r="A1004" s="46">
        <v>1002</v>
      </c>
      <c r="B1004" s="46" t="s">
        <v>45</v>
      </c>
      <c r="C1004" s="46" t="s">
        <v>38</v>
      </c>
      <c r="D1004" s="46" t="s">
        <v>27</v>
      </c>
      <c r="E1004" s="46" t="s">
        <v>902</v>
      </c>
      <c r="F1004" s="46" t="s">
        <v>903</v>
      </c>
      <c r="G1004" s="46" t="s">
        <v>904</v>
      </c>
      <c r="H1004" s="46" t="s">
        <v>1433</v>
      </c>
      <c r="I1004" s="46" t="s">
        <v>905</v>
      </c>
      <c r="J1004" s="83">
        <v>46093</v>
      </c>
      <c r="K1004" s="46" t="s">
        <v>1461</v>
      </c>
      <c r="L1004" s="46" t="s">
        <v>915</v>
      </c>
      <c r="M1004" s="83" t="str">
        <f>VLOOKUP(K1004,[4]在职!$A:$B,2,0)</f>
        <v>01731</v>
      </c>
      <c r="N1004" s="83" t="str">
        <f>VLOOKUP(K1004,[4]在职!$A:$G,7,0)</f>
        <v>湖南销售部</v>
      </c>
      <c r="O1004" s="83" t="str">
        <f>VLOOKUP(K1004,[4]在职!$A:$I,9,0)</f>
        <v>一星销售顾问</v>
      </c>
      <c r="P1004" s="83">
        <f>VLOOKUP(K1004,[4]在职!$A:$D,4,0)</f>
        <v>45943</v>
      </c>
      <c r="Q1004" s="102">
        <v>5</v>
      </c>
      <c r="R1004" s="102">
        <v>5</v>
      </c>
      <c r="S1004" s="104">
        <v>80</v>
      </c>
    </row>
    <row r="1005" ht="16.5" hidden="1" spans="1:19">
      <c r="A1005" s="46">
        <v>1003</v>
      </c>
      <c r="B1005" s="46" t="s">
        <v>45</v>
      </c>
      <c r="C1005" s="46" t="s">
        <v>35</v>
      </c>
      <c r="D1005" s="46" t="s">
        <v>27</v>
      </c>
      <c r="E1005" s="46" t="s">
        <v>902</v>
      </c>
      <c r="F1005" s="46" t="s">
        <v>903</v>
      </c>
      <c r="G1005" s="46" t="s">
        <v>904</v>
      </c>
      <c r="H1005" s="46" t="s">
        <v>1433</v>
      </c>
      <c r="I1005" s="46" t="s">
        <v>905</v>
      </c>
      <c r="J1005" s="83">
        <v>46093</v>
      </c>
      <c r="K1005" s="46" t="s">
        <v>1462</v>
      </c>
      <c r="L1005" s="46" t="s">
        <v>915</v>
      </c>
      <c r="M1005" s="83" t="str">
        <f>VLOOKUP(K1005,[4]在职!$A:$B,2,0)</f>
        <v>01561</v>
      </c>
      <c r="N1005" s="83" t="str">
        <f>VLOOKUP(K1005,[4]在职!$A:$G,7,0)</f>
        <v>山东销售部</v>
      </c>
      <c r="O1005" s="83" t="str">
        <f>VLOOKUP(K1005,[4]在职!$A:$I,9,0)</f>
        <v>一星销售顾问</v>
      </c>
      <c r="P1005" s="83">
        <f>VLOOKUP(K1005,[4]在职!$A:$D,4,0)</f>
        <v>45836</v>
      </c>
      <c r="Q1005" s="102">
        <v>5</v>
      </c>
      <c r="R1005" s="102">
        <v>5</v>
      </c>
      <c r="S1005" s="104">
        <v>80</v>
      </c>
    </row>
    <row r="1006" ht="16.5" hidden="1" spans="1:19">
      <c r="A1006" s="46">
        <v>1004</v>
      </c>
      <c r="B1006" s="46" t="s">
        <v>45</v>
      </c>
      <c r="C1006" s="46" t="s">
        <v>38</v>
      </c>
      <c r="D1006" s="46" t="s">
        <v>27</v>
      </c>
      <c r="E1006" s="46" t="s">
        <v>902</v>
      </c>
      <c r="F1006" s="46" t="s">
        <v>903</v>
      </c>
      <c r="G1006" s="46" t="s">
        <v>904</v>
      </c>
      <c r="H1006" s="46" t="s">
        <v>1433</v>
      </c>
      <c r="I1006" s="46" t="s">
        <v>905</v>
      </c>
      <c r="J1006" s="83">
        <v>46093</v>
      </c>
      <c r="K1006" s="46" t="s">
        <v>1463</v>
      </c>
      <c r="L1006" s="46" t="s">
        <v>915</v>
      </c>
      <c r="M1006" s="83" t="str">
        <f>VLOOKUP(K1006,[4]在职!$A:$B,2,0)</f>
        <v>01455</v>
      </c>
      <c r="N1006" s="83" t="str">
        <f>VLOOKUP(K1006,[4]在职!$A:$G,7,0)</f>
        <v>营业七部</v>
      </c>
      <c r="O1006" s="83" t="str">
        <f>VLOOKUP(K1006,[4]在职!$A:$I,9,0)</f>
        <v>一星销售顾问</v>
      </c>
      <c r="P1006" s="83">
        <f>VLOOKUP(K1006,[4]在职!$A:$D,4,0)</f>
        <v>45768</v>
      </c>
      <c r="Q1006" s="102">
        <v>5</v>
      </c>
      <c r="R1006" s="102">
        <v>5</v>
      </c>
      <c r="S1006" s="104">
        <v>90</v>
      </c>
    </row>
    <row r="1007" ht="16.5" hidden="1" spans="1:19">
      <c r="A1007" s="46">
        <v>1005</v>
      </c>
      <c r="B1007" s="46" t="s">
        <v>45</v>
      </c>
      <c r="C1007" s="46" t="s">
        <v>32</v>
      </c>
      <c r="D1007" s="46" t="s">
        <v>27</v>
      </c>
      <c r="E1007" s="46" t="s">
        <v>902</v>
      </c>
      <c r="F1007" s="46" t="s">
        <v>903</v>
      </c>
      <c r="G1007" s="46" t="s">
        <v>904</v>
      </c>
      <c r="H1007" s="46" t="s">
        <v>1433</v>
      </c>
      <c r="I1007" s="46" t="s">
        <v>905</v>
      </c>
      <c r="J1007" s="83">
        <v>46093</v>
      </c>
      <c r="K1007" s="46" t="s">
        <v>1464</v>
      </c>
      <c r="L1007" s="46" t="s">
        <v>915</v>
      </c>
      <c r="M1007" s="83" t="str">
        <f>VLOOKUP(K1007,[4]在职!$A:$B,2,0)</f>
        <v>01683</v>
      </c>
      <c r="N1007" s="83" t="str">
        <f>VLOOKUP(K1007,[4]在职!$A:$G,7,0)</f>
        <v>湖南销售部</v>
      </c>
      <c r="O1007" s="83" t="str">
        <f>VLOOKUP(K1007,[4]在职!$A:$I,9,0)</f>
        <v>一星销售顾问</v>
      </c>
      <c r="P1007" s="83">
        <f>VLOOKUP(K1007,[4]在职!$A:$D,4,0)</f>
        <v>45899</v>
      </c>
      <c r="Q1007" s="102">
        <v>5</v>
      </c>
      <c r="R1007" s="102">
        <v>5</v>
      </c>
      <c r="S1007" s="104">
        <v>90</v>
      </c>
    </row>
    <row r="1008" ht="16.5" hidden="1" spans="1:19">
      <c r="A1008" s="46">
        <v>1006</v>
      </c>
      <c r="B1008" s="46" t="s">
        <v>45</v>
      </c>
      <c r="C1008" s="46" t="s">
        <v>38</v>
      </c>
      <c r="D1008" s="46" t="s">
        <v>27</v>
      </c>
      <c r="E1008" s="46" t="s">
        <v>902</v>
      </c>
      <c r="F1008" s="46" t="s">
        <v>903</v>
      </c>
      <c r="G1008" s="46" t="s">
        <v>904</v>
      </c>
      <c r="H1008" s="46" t="s">
        <v>1433</v>
      </c>
      <c r="I1008" s="46" t="s">
        <v>905</v>
      </c>
      <c r="J1008" s="83">
        <v>46093</v>
      </c>
      <c r="K1008" s="46" t="s">
        <v>1026</v>
      </c>
      <c r="L1008" s="46" t="s">
        <v>915</v>
      </c>
      <c r="M1008" s="83" t="str">
        <f>VLOOKUP(K1008,[4]在职!$A:$B,2,0)</f>
        <v>01587</v>
      </c>
      <c r="N1008" s="83" t="str">
        <f>VLOOKUP(K1008,[4]在职!$A:$G,7,0)</f>
        <v>营业五部</v>
      </c>
      <c r="O1008" s="83" t="str">
        <f>VLOOKUP(K1008,[4]在职!$A:$I,9,0)</f>
        <v>二星销售顾问</v>
      </c>
      <c r="P1008" s="83">
        <f>VLOOKUP(K1008,[4]在职!$A:$D,4,0)</f>
        <v>45845</v>
      </c>
      <c r="Q1008" s="102">
        <v>5</v>
      </c>
      <c r="R1008" s="102">
        <v>5</v>
      </c>
      <c r="S1008" s="104">
        <v>110</v>
      </c>
    </row>
    <row r="1009" ht="16.5" hidden="1" spans="1:19">
      <c r="A1009" s="46">
        <v>1007</v>
      </c>
      <c r="B1009" s="46" t="s">
        <v>45</v>
      </c>
      <c r="C1009" s="46" t="s">
        <v>38</v>
      </c>
      <c r="D1009" s="46" t="s">
        <v>27</v>
      </c>
      <c r="E1009" s="46" t="s">
        <v>902</v>
      </c>
      <c r="F1009" s="46" t="s">
        <v>903</v>
      </c>
      <c r="G1009" s="46" t="s">
        <v>904</v>
      </c>
      <c r="H1009" s="46" t="s">
        <v>1433</v>
      </c>
      <c r="I1009" s="46" t="s">
        <v>905</v>
      </c>
      <c r="J1009" s="83">
        <v>46093</v>
      </c>
      <c r="K1009" s="46" t="s">
        <v>1032</v>
      </c>
      <c r="L1009" s="46" t="s">
        <v>915</v>
      </c>
      <c r="M1009" s="83" t="str">
        <f>VLOOKUP(K1009,[4]在职!$A:$B,2,0)</f>
        <v>01514</v>
      </c>
      <c r="N1009" s="83" t="str">
        <f>VLOOKUP(K1009,[4]在职!$A:$G,7,0)</f>
        <v>营业五部</v>
      </c>
      <c r="O1009" s="83" t="str">
        <f>VLOOKUP(K1009,[4]在职!$A:$I,9,0)</f>
        <v>一星销售顾问</v>
      </c>
      <c r="P1009" s="83">
        <f>VLOOKUP(K1009,[4]在职!$A:$D,4,0)</f>
        <v>45814</v>
      </c>
      <c r="Q1009" s="102">
        <v>5</v>
      </c>
      <c r="R1009" s="102">
        <v>5</v>
      </c>
      <c r="S1009" s="104">
        <v>110</v>
      </c>
    </row>
    <row r="1010" ht="16.5" hidden="1" spans="1:19">
      <c r="A1010" s="46">
        <v>1008</v>
      </c>
      <c r="B1010" s="46" t="s">
        <v>45</v>
      </c>
      <c r="C1010" s="46" t="s">
        <v>38</v>
      </c>
      <c r="D1010" s="46" t="s">
        <v>27</v>
      </c>
      <c r="E1010" s="46" t="s">
        <v>902</v>
      </c>
      <c r="F1010" s="46" t="s">
        <v>903</v>
      </c>
      <c r="G1010" s="46" t="s">
        <v>904</v>
      </c>
      <c r="H1010" s="46" t="s">
        <v>1433</v>
      </c>
      <c r="I1010" s="46" t="s">
        <v>905</v>
      </c>
      <c r="J1010" s="83">
        <v>46093</v>
      </c>
      <c r="K1010" s="46" t="s">
        <v>1036</v>
      </c>
      <c r="L1010" s="46" t="s">
        <v>915</v>
      </c>
      <c r="M1010" s="83" t="str">
        <f>VLOOKUP(K1010,[4]在职!$A:$B,2,0)</f>
        <v>01562</v>
      </c>
      <c r="N1010" s="83" t="str">
        <f>VLOOKUP(K1010,[4]在职!$A:$G,7,0)</f>
        <v>营业二部</v>
      </c>
      <c r="O1010" s="83" t="str">
        <f>VLOOKUP(K1010,[4]在职!$A:$I,9,0)</f>
        <v>二星销售顾问</v>
      </c>
      <c r="P1010" s="83">
        <f>VLOOKUP(K1010,[4]在职!$A:$D,4,0)</f>
        <v>45838</v>
      </c>
      <c r="Q1010" s="102">
        <v>0</v>
      </c>
      <c r="R1010" s="102">
        <v>0</v>
      </c>
      <c r="S1010" s="104">
        <v>110</v>
      </c>
    </row>
    <row r="1011" ht="16.5" hidden="1" spans="1:19">
      <c r="A1011" s="46">
        <v>1009</v>
      </c>
      <c r="B1011" s="46" t="s">
        <v>45</v>
      </c>
      <c r="C1011" s="46" t="s">
        <v>37</v>
      </c>
      <c r="D1011" s="46" t="s">
        <v>27</v>
      </c>
      <c r="E1011" s="46" t="s">
        <v>902</v>
      </c>
      <c r="F1011" s="46" t="s">
        <v>903</v>
      </c>
      <c r="G1011" s="46" t="s">
        <v>904</v>
      </c>
      <c r="H1011" s="46" t="s">
        <v>1433</v>
      </c>
      <c r="I1011" s="46" t="s">
        <v>905</v>
      </c>
      <c r="J1011" s="83">
        <v>46093</v>
      </c>
      <c r="K1011" s="46" t="s">
        <v>1465</v>
      </c>
      <c r="L1011" s="46" t="s">
        <v>915</v>
      </c>
      <c r="M1011" s="83" t="str">
        <f>VLOOKUP(K1011,[4]在职!$A:$B,2,0)</f>
        <v>01627</v>
      </c>
      <c r="N1011" s="83" t="str">
        <f>VLOOKUP(K1011,[4]在职!$A:$G,7,0)</f>
        <v>陕西2部</v>
      </c>
      <c r="O1011" s="83" t="str">
        <f>VLOOKUP(K1011,[4]在职!$A:$I,9,0)</f>
        <v>一星销售顾问</v>
      </c>
      <c r="P1011" s="83">
        <f>VLOOKUP(K1011,[4]在职!$A:$D,4,0)</f>
        <v>45870</v>
      </c>
      <c r="Q1011" s="102">
        <v>5</v>
      </c>
      <c r="R1011" s="102">
        <v>5</v>
      </c>
      <c r="S1011" s="104">
        <v>93</v>
      </c>
    </row>
    <row r="1012" ht="16.5" hidden="1" spans="1:19">
      <c r="A1012" s="46">
        <v>1010</v>
      </c>
      <c r="B1012" s="46" t="s">
        <v>45</v>
      </c>
      <c r="C1012" s="46" t="s">
        <v>37</v>
      </c>
      <c r="D1012" s="46" t="s">
        <v>27</v>
      </c>
      <c r="E1012" s="46" t="s">
        <v>902</v>
      </c>
      <c r="F1012" s="46" t="s">
        <v>903</v>
      </c>
      <c r="G1012" s="46" t="s">
        <v>904</v>
      </c>
      <c r="H1012" s="46" t="s">
        <v>1433</v>
      </c>
      <c r="I1012" s="46" t="s">
        <v>905</v>
      </c>
      <c r="J1012" s="83">
        <v>46093</v>
      </c>
      <c r="K1012" s="46" t="s">
        <v>1466</v>
      </c>
      <c r="L1012" s="46" t="s">
        <v>915</v>
      </c>
      <c r="M1012" s="83" t="str">
        <f>VLOOKUP(K1012,[4]在职!$A:$B,2,0)</f>
        <v>01617</v>
      </c>
      <c r="N1012" s="83" t="str">
        <f>VLOOKUP(K1012,[4]在职!$A:$G,7,0)</f>
        <v>陕西1部</v>
      </c>
      <c r="O1012" s="83" t="str">
        <f>VLOOKUP(K1012,[4]在职!$A:$I,9,0)</f>
        <v>一星销售顾问</v>
      </c>
      <c r="P1012" s="83">
        <f>VLOOKUP(K1012,[4]在职!$A:$D,4,0)</f>
        <v>45866</v>
      </c>
      <c r="Q1012" s="102">
        <v>0</v>
      </c>
      <c r="R1012" s="102">
        <v>0</v>
      </c>
      <c r="S1012" s="104">
        <v>110</v>
      </c>
    </row>
    <row r="1013" ht="16.5" hidden="1" spans="1:19">
      <c r="A1013" s="46">
        <v>1011</v>
      </c>
      <c r="B1013" s="46" t="s">
        <v>45</v>
      </c>
      <c r="C1013" s="46" t="s">
        <v>37</v>
      </c>
      <c r="D1013" s="46" t="s">
        <v>27</v>
      </c>
      <c r="E1013" s="46" t="s">
        <v>902</v>
      </c>
      <c r="F1013" s="46" t="s">
        <v>903</v>
      </c>
      <c r="G1013" s="46" t="s">
        <v>904</v>
      </c>
      <c r="H1013" s="46" t="s">
        <v>1433</v>
      </c>
      <c r="I1013" s="46" t="s">
        <v>905</v>
      </c>
      <c r="J1013" s="83">
        <v>46093</v>
      </c>
      <c r="K1013" s="46" t="s">
        <v>1467</v>
      </c>
      <c r="L1013" s="46" t="s">
        <v>915</v>
      </c>
      <c r="M1013" s="83" t="str">
        <f>VLOOKUP(K1013,[4]在职!$A:$B,2,0)</f>
        <v>01489</v>
      </c>
      <c r="N1013" s="83" t="str">
        <f>VLOOKUP(K1013,[4]在职!$A:$G,7,0)</f>
        <v>陕西1部</v>
      </c>
      <c r="O1013" s="83" t="str">
        <f>VLOOKUP(K1013,[4]在职!$A:$I,9,0)</f>
        <v>一星销售顾问</v>
      </c>
      <c r="P1013" s="83">
        <f>VLOOKUP(K1013,[4]在职!$A:$D,4,0)</f>
        <v>45796</v>
      </c>
      <c r="Q1013" s="102">
        <v>5</v>
      </c>
      <c r="R1013" s="102">
        <v>5</v>
      </c>
      <c r="S1013" s="104">
        <v>118</v>
      </c>
    </row>
    <row r="1014" ht="16.5" hidden="1" spans="1:19">
      <c r="A1014" s="46">
        <v>1012</v>
      </c>
      <c r="B1014" s="46" t="s">
        <v>45</v>
      </c>
      <c r="C1014" s="46" t="s">
        <v>38</v>
      </c>
      <c r="D1014" s="46" t="s">
        <v>27</v>
      </c>
      <c r="E1014" s="46" t="s">
        <v>902</v>
      </c>
      <c r="F1014" s="46" t="s">
        <v>903</v>
      </c>
      <c r="G1014" s="46" t="s">
        <v>904</v>
      </c>
      <c r="H1014" s="46" t="s">
        <v>1433</v>
      </c>
      <c r="I1014" s="46" t="s">
        <v>905</v>
      </c>
      <c r="J1014" s="83">
        <v>46093</v>
      </c>
      <c r="K1014" s="46" t="s">
        <v>1044</v>
      </c>
      <c r="L1014" s="46" t="s">
        <v>915</v>
      </c>
      <c r="M1014" s="83" t="str">
        <f>VLOOKUP(K1014,[4]在职!$A:$B,2,0)</f>
        <v>01658</v>
      </c>
      <c r="N1014" s="83" t="str">
        <f>VLOOKUP(K1014,[4]在职!$A:$G,7,0)</f>
        <v>营业三部</v>
      </c>
      <c r="O1014" s="83" t="str">
        <f>VLOOKUP(K1014,[4]在职!$A:$I,9,0)</f>
        <v>一星销售顾问</v>
      </c>
      <c r="P1014" s="83">
        <f>VLOOKUP(K1014,[4]在职!$A:$D,4,0)</f>
        <v>45881</v>
      </c>
      <c r="Q1014" s="102">
        <v>0</v>
      </c>
      <c r="R1014" s="102">
        <v>0</v>
      </c>
      <c r="S1014" s="104">
        <v>123</v>
      </c>
    </row>
    <row r="1015" ht="16.5" hidden="1" spans="1:19">
      <c r="A1015" s="46">
        <v>1013</v>
      </c>
      <c r="B1015" s="46" t="s">
        <v>45</v>
      </c>
      <c r="C1015" s="46" t="s">
        <v>38</v>
      </c>
      <c r="D1015" s="46" t="s">
        <v>27</v>
      </c>
      <c r="E1015" s="46" t="s">
        <v>902</v>
      </c>
      <c r="F1015" s="46" t="s">
        <v>903</v>
      </c>
      <c r="G1015" s="46" t="s">
        <v>904</v>
      </c>
      <c r="H1015" s="46" t="s">
        <v>1433</v>
      </c>
      <c r="I1015" s="46" t="s">
        <v>905</v>
      </c>
      <c r="J1015" s="83">
        <v>46093</v>
      </c>
      <c r="K1015" s="46" t="s">
        <v>1046</v>
      </c>
      <c r="L1015" s="46" t="s">
        <v>915</v>
      </c>
      <c r="M1015" s="83" t="str">
        <f>VLOOKUP(K1015,[4]在职!$A:$B,2,0)</f>
        <v>01525</v>
      </c>
      <c r="N1015" s="83" t="str">
        <f>VLOOKUP(K1015,[4]在职!$A:$G,7,0)</f>
        <v>营业三部</v>
      </c>
      <c r="O1015" s="83" t="str">
        <f>VLOOKUP(K1015,[4]在职!$A:$I,9,0)</f>
        <v>一星销售顾问</v>
      </c>
      <c r="P1015" s="83">
        <f>VLOOKUP(K1015,[4]在职!$A:$D,4,0)</f>
        <v>45815</v>
      </c>
      <c r="Q1015" s="102">
        <v>5</v>
      </c>
      <c r="R1015" s="102">
        <v>5</v>
      </c>
      <c r="S1015" s="104">
        <v>103</v>
      </c>
    </row>
    <row r="1016" ht="16.5" hidden="1" spans="1:19">
      <c r="A1016" s="46">
        <v>1014</v>
      </c>
      <c r="B1016" s="46" t="s">
        <v>45</v>
      </c>
      <c r="C1016" s="46" t="s">
        <v>38</v>
      </c>
      <c r="D1016" s="46" t="s">
        <v>27</v>
      </c>
      <c r="E1016" s="46" t="s">
        <v>902</v>
      </c>
      <c r="F1016" s="46" t="s">
        <v>903</v>
      </c>
      <c r="G1016" s="46" t="s">
        <v>904</v>
      </c>
      <c r="H1016" s="46" t="s">
        <v>1433</v>
      </c>
      <c r="I1016" s="46" t="s">
        <v>905</v>
      </c>
      <c r="J1016" s="83">
        <v>46093</v>
      </c>
      <c r="K1016" s="46" t="s">
        <v>1468</v>
      </c>
      <c r="L1016" s="46" t="s">
        <v>915</v>
      </c>
      <c r="M1016" s="83" t="str">
        <f>VLOOKUP(K1016,[4]在职!$A:$B,2,0)</f>
        <v>01709</v>
      </c>
      <c r="N1016" s="83" t="str">
        <f>VLOOKUP(K1016,[4]在职!$A:$G,7,0)</f>
        <v>营业五部</v>
      </c>
      <c r="O1016" s="83" t="str">
        <f>VLOOKUP(K1016,[4]在职!$A:$I,9,0)</f>
        <v>一星销售顾问</v>
      </c>
      <c r="P1016" s="83">
        <f>VLOOKUP(K1016,[4]在职!$A:$D,4,0)</f>
        <v>45927</v>
      </c>
      <c r="Q1016" s="102">
        <v>5</v>
      </c>
      <c r="R1016" s="102">
        <v>5</v>
      </c>
      <c r="S1016" s="104">
        <v>100</v>
      </c>
    </row>
    <row r="1017" ht="16.5" hidden="1" spans="1:19">
      <c r="A1017" s="46">
        <v>1015</v>
      </c>
      <c r="B1017" s="46" t="s">
        <v>45</v>
      </c>
      <c r="C1017" s="46" t="s">
        <v>38</v>
      </c>
      <c r="D1017" s="46" t="s">
        <v>27</v>
      </c>
      <c r="E1017" s="46" t="s">
        <v>902</v>
      </c>
      <c r="F1017" s="46" t="s">
        <v>903</v>
      </c>
      <c r="G1017" s="46" t="s">
        <v>904</v>
      </c>
      <c r="H1017" s="46" t="s">
        <v>1433</v>
      </c>
      <c r="I1017" s="46" t="s">
        <v>905</v>
      </c>
      <c r="J1017" s="83">
        <v>46093</v>
      </c>
      <c r="K1017" s="46" t="s">
        <v>1469</v>
      </c>
      <c r="L1017" s="46" t="s">
        <v>915</v>
      </c>
      <c r="M1017" s="83" t="str">
        <f>VLOOKUP(K1017,[4]在职!$A:$B,2,0)</f>
        <v>01703</v>
      </c>
      <c r="N1017" s="83" t="str">
        <f>VLOOKUP(K1017,[4]在职!$A:$G,7,0)</f>
        <v>营业五部</v>
      </c>
      <c r="O1017" s="83" t="str">
        <f>VLOOKUP(K1017,[4]在职!$A:$I,9,0)</f>
        <v>一星销售顾问</v>
      </c>
      <c r="P1017" s="83">
        <f>VLOOKUP(K1017,[4]在职!$A:$D,4,0)</f>
        <v>45914</v>
      </c>
      <c r="Q1017" s="102">
        <v>5</v>
      </c>
      <c r="R1017" s="102">
        <v>5</v>
      </c>
      <c r="S1017" s="104">
        <v>100</v>
      </c>
    </row>
    <row r="1018" ht="16.5" hidden="1" spans="1:19">
      <c r="A1018" s="46">
        <v>1016</v>
      </c>
      <c r="B1018" s="46" t="s">
        <v>45</v>
      </c>
      <c r="C1018" s="46" t="s">
        <v>38</v>
      </c>
      <c r="D1018" s="46" t="s">
        <v>27</v>
      </c>
      <c r="E1018" s="46" t="s">
        <v>902</v>
      </c>
      <c r="F1018" s="46" t="s">
        <v>903</v>
      </c>
      <c r="G1018" s="46" t="s">
        <v>904</v>
      </c>
      <c r="H1018" s="46" t="s">
        <v>1433</v>
      </c>
      <c r="I1018" s="46" t="s">
        <v>905</v>
      </c>
      <c r="J1018" s="83">
        <v>46093</v>
      </c>
      <c r="K1018" s="46" t="s">
        <v>1470</v>
      </c>
      <c r="L1018" s="46" t="s">
        <v>915</v>
      </c>
      <c r="M1018" s="83" t="str">
        <f>VLOOKUP(K1018,[4]在职!$A:$B,2,0)</f>
        <v>01667</v>
      </c>
      <c r="N1018" s="83" t="str">
        <f>VLOOKUP(K1018,[4]在职!$A:$G,7,0)</f>
        <v>营业三部</v>
      </c>
      <c r="O1018" s="83" t="str">
        <f>VLOOKUP(K1018,[4]在职!$A:$I,9,0)</f>
        <v>一星销售顾问</v>
      </c>
      <c r="P1018" s="83">
        <f>VLOOKUP(K1018,[4]在职!$A:$D,4,0)</f>
        <v>45896</v>
      </c>
      <c r="Q1018" s="102">
        <v>0</v>
      </c>
      <c r="R1018" s="102">
        <v>0</v>
      </c>
      <c r="S1018" s="104">
        <v>90</v>
      </c>
    </row>
    <row r="1019" ht="16.5" hidden="1" spans="1:19">
      <c r="A1019" s="46">
        <v>1017</v>
      </c>
      <c r="B1019" s="46" t="s">
        <v>45</v>
      </c>
      <c r="C1019" s="46" t="s">
        <v>38</v>
      </c>
      <c r="D1019" s="46" t="s">
        <v>27</v>
      </c>
      <c r="E1019" s="46" t="s">
        <v>902</v>
      </c>
      <c r="F1019" s="46" t="s">
        <v>903</v>
      </c>
      <c r="G1019" s="46" t="s">
        <v>904</v>
      </c>
      <c r="H1019" s="46" t="s">
        <v>1433</v>
      </c>
      <c r="I1019" s="46" t="s">
        <v>905</v>
      </c>
      <c r="J1019" s="83">
        <v>46093</v>
      </c>
      <c r="K1019" s="46" t="s">
        <v>1048</v>
      </c>
      <c r="L1019" s="46" t="s">
        <v>915</v>
      </c>
      <c r="M1019" s="83" t="str">
        <f>VLOOKUP(K1019,[4]在职!$A:$B,2,0)</f>
        <v>01669</v>
      </c>
      <c r="N1019" s="83" t="str">
        <f>VLOOKUP(K1019,[4]在职!$A:$G,7,0)</f>
        <v>营业五部</v>
      </c>
      <c r="O1019" s="83" t="str">
        <f>VLOOKUP(K1019,[4]在职!$A:$I,9,0)</f>
        <v>一星销售顾问</v>
      </c>
      <c r="P1019" s="83">
        <f>VLOOKUP(K1019,[4]在职!$A:$D,4,0)</f>
        <v>45882</v>
      </c>
      <c r="Q1019" s="102">
        <v>5</v>
      </c>
      <c r="R1019" s="102">
        <v>5</v>
      </c>
      <c r="S1019" s="104">
        <v>100</v>
      </c>
    </row>
    <row r="1020" ht="16.5" hidden="1" spans="1:19">
      <c r="A1020" s="46">
        <v>1018</v>
      </c>
      <c r="B1020" s="46" t="s">
        <v>45</v>
      </c>
      <c r="C1020" s="46" t="s">
        <v>38</v>
      </c>
      <c r="D1020" s="46" t="s">
        <v>27</v>
      </c>
      <c r="E1020" s="46" t="s">
        <v>902</v>
      </c>
      <c r="F1020" s="46" t="s">
        <v>903</v>
      </c>
      <c r="G1020" s="46" t="s">
        <v>904</v>
      </c>
      <c r="H1020" s="46" t="s">
        <v>1433</v>
      </c>
      <c r="I1020" s="46" t="s">
        <v>905</v>
      </c>
      <c r="J1020" s="83">
        <v>46093</v>
      </c>
      <c r="K1020" s="46" t="s">
        <v>1052</v>
      </c>
      <c r="L1020" s="46" t="s">
        <v>915</v>
      </c>
      <c r="M1020" s="83" t="str">
        <f>VLOOKUP(K1020,[4]在职!$A:$B,2,0)</f>
        <v>01600</v>
      </c>
      <c r="N1020" s="83" t="str">
        <f>VLOOKUP(K1020,[4]在职!$A:$G,7,0)</f>
        <v>营业五部</v>
      </c>
      <c r="O1020" s="83" t="str">
        <f>VLOOKUP(K1020,[4]在职!$A:$I,9,0)</f>
        <v>二星销售顾问</v>
      </c>
      <c r="P1020" s="83">
        <f>VLOOKUP(K1020,[4]在职!$A:$D,4,0)</f>
        <v>45855</v>
      </c>
      <c r="Q1020" s="102">
        <v>5</v>
      </c>
      <c r="R1020" s="102">
        <v>5</v>
      </c>
      <c r="S1020" s="104">
        <v>90</v>
      </c>
    </row>
    <row r="1021" ht="16.5" hidden="1" spans="1:19">
      <c r="A1021" s="46">
        <v>1019</v>
      </c>
      <c r="B1021" s="46" t="s">
        <v>45</v>
      </c>
      <c r="C1021" s="46" t="s">
        <v>29</v>
      </c>
      <c r="D1021" s="46" t="s">
        <v>27</v>
      </c>
      <c r="E1021" s="46" t="s">
        <v>902</v>
      </c>
      <c r="F1021" s="46" t="s">
        <v>903</v>
      </c>
      <c r="G1021" s="46" t="s">
        <v>904</v>
      </c>
      <c r="H1021" s="46" t="s">
        <v>1433</v>
      </c>
      <c r="I1021" s="46" t="s">
        <v>905</v>
      </c>
      <c r="J1021" s="83">
        <v>46093</v>
      </c>
      <c r="K1021" s="46" t="s">
        <v>1471</v>
      </c>
      <c r="L1021" s="46" t="s">
        <v>915</v>
      </c>
      <c r="M1021" s="83" t="str">
        <f>VLOOKUP(K1021,[4]在职!$A:$B,2,0)</f>
        <v>01545</v>
      </c>
      <c r="N1021" s="83" t="str">
        <f>VLOOKUP(K1021,[4]在职!$A:$G,7,0)</f>
        <v>河南销售部</v>
      </c>
      <c r="O1021" s="83" t="str">
        <f>VLOOKUP(K1021,[4]在职!$A:$I,9,0)</f>
        <v>一星销售顾问</v>
      </c>
      <c r="P1021" s="83">
        <f>VLOOKUP(K1021,[4]在职!$A:$D,4,0)</f>
        <v>45826</v>
      </c>
      <c r="Q1021" s="102">
        <v>0</v>
      </c>
      <c r="R1021" s="102">
        <v>0</v>
      </c>
      <c r="S1021" s="104">
        <v>80</v>
      </c>
    </row>
    <row r="1022" ht="16.5" hidden="1" spans="1:19">
      <c r="A1022" s="46">
        <v>1020</v>
      </c>
      <c r="B1022" s="46" t="s">
        <v>45</v>
      </c>
      <c r="C1022" s="46" t="s">
        <v>38</v>
      </c>
      <c r="D1022" s="46" t="s">
        <v>27</v>
      </c>
      <c r="E1022" s="46" t="s">
        <v>902</v>
      </c>
      <c r="F1022" s="46" t="s">
        <v>903</v>
      </c>
      <c r="G1022" s="46" t="s">
        <v>904</v>
      </c>
      <c r="H1022" s="46" t="s">
        <v>1433</v>
      </c>
      <c r="I1022" s="46" t="s">
        <v>905</v>
      </c>
      <c r="J1022" s="83">
        <v>46093</v>
      </c>
      <c r="K1022" s="46" t="s">
        <v>1058</v>
      </c>
      <c r="L1022" s="46" t="s">
        <v>915</v>
      </c>
      <c r="M1022" s="83" t="str">
        <f>VLOOKUP(K1022,[4]在职!$A:$B,2,0)</f>
        <v>01581</v>
      </c>
      <c r="N1022" s="83" t="str">
        <f>VLOOKUP(K1022,[4]在职!$A:$G,7,0)</f>
        <v>营业七部</v>
      </c>
      <c r="O1022" s="83" t="str">
        <f>VLOOKUP(K1022,[4]在职!$A:$I,9,0)</f>
        <v>一星销售顾问</v>
      </c>
      <c r="P1022" s="83">
        <f>VLOOKUP(K1022,[4]在职!$A:$D,4,0)</f>
        <v>45841</v>
      </c>
      <c r="Q1022" s="102">
        <v>5</v>
      </c>
      <c r="R1022" s="102">
        <v>5</v>
      </c>
      <c r="S1022" s="104">
        <v>97</v>
      </c>
    </row>
    <row r="1023" ht="16.5" hidden="1" spans="1:19">
      <c r="A1023" s="46">
        <v>1021</v>
      </c>
      <c r="B1023" s="46" t="s">
        <v>45</v>
      </c>
      <c r="C1023" s="46" t="s">
        <v>29</v>
      </c>
      <c r="D1023" s="46" t="s">
        <v>27</v>
      </c>
      <c r="E1023" s="46" t="s">
        <v>902</v>
      </c>
      <c r="F1023" s="46" t="s">
        <v>903</v>
      </c>
      <c r="G1023" s="46" t="s">
        <v>904</v>
      </c>
      <c r="H1023" s="46" t="s">
        <v>1433</v>
      </c>
      <c r="I1023" s="46" t="s">
        <v>905</v>
      </c>
      <c r="J1023" s="83">
        <v>46093</v>
      </c>
      <c r="K1023" s="46" t="s">
        <v>1472</v>
      </c>
      <c r="L1023" s="46" t="s">
        <v>915</v>
      </c>
      <c r="M1023" s="83" t="str">
        <f>VLOOKUP(K1023,[4]在职!$A:$B,2,0)</f>
        <v>01736</v>
      </c>
      <c r="N1023" s="83" t="str">
        <f>VLOOKUP(K1023,[4]在职!$A:$G,7,0)</f>
        <v>营业三部</v>
      </c>
      <c r="O1023" s="83" t="str">
        <f>VLOOKUP(K1023,[4]在职!$A:$I,9,0)</f>
        <v>一星销售顾问</v>
      </c>
      <c r="P1023" s="83">
        <f>VLOOKUP(K1023,[4]在职!$A:$D,4,0)</f>
        <v>45943</v>
      </c>
      <c r="Q1023" s="102">
        <v>0</v>
      </c>
      <c r="R1023" s="102">
        <v>0</v>
      </c>
      <c r="S1023" s="104">
        <v>90</v>
      </c>
    </row>
    <row r="1024" ht="16.5" hidden="1" spans="1:19">
      <c r="A1024" s="46">
        <v>1022</v>
      </c>
      <c r="B1024" s="46" t="s">
        <v>45</v>
      </c>
      <c r="C1024" s="46" t="s">
        <v>38</v>
      </c>
      <c r="D1024" s="46" t="s">
        <v>27</v>
      </c>
      <c r="E1024" s="46" t="s">
        <v>902</v>
      </c>
      <c r="F1024" s="46" t="s">
        <v>903</v>
      </c>
      <c r="G1024" s="46" t="s">
        <v>904</v>
      </c>
      <c r="H1024" s="46" t="s">
        <v>1433</v>
      </c>
      <c r="I1024" s="46" t="s">
        <v>905</v>
      </c>
      <c r="J1024" s="83">
        <v>46093</v>
      </c>
      <c r="K1024" s="46" t="s">
        <v>1473</v>
      </c>
      <c r="L1024" s="46" t="s">
        <v>915</v>
      </c>
      <c r="M1024" s="83" t="str">
        <f>VLOOKUP(K1024,[4]在职!$A:$B,2,0)</f>
        <v>01369</v>
      </c>
      <c r="N1024" s="83" t="str">
        <f>VLOOKUP(K1024,[4]在职!$A:$G,7,0)</f>
        <v>营业一部</v>
      </c>
      <c r="O1024" s="83" t="str">
        <f>VLOOKUP(K1024,[4]在职!$A:$I,9,0)</f>
        <v>一星销售顾问</v>
      </c>
      <c r="P1024" s="83">
        <f>VLOOKUP(K1024,[4]在职!$A:$D,4,0)</f>
        <v>45722</v>
      </c>
      <c r="Q1024" s="102">
        <v>5</v>
      </c>
      <c r="R1024" s="102">
        <v>5</v>
      </c>
      <c r="S1024" s="104">
        <v>127</v>
      </c>
    </row>
    <row r="1025" ht="16.5" hidden="1" spans="1:19">
      <c r="A1025" s="46">
        <v>1023</v>
      </c>
      <c r="B1025" s="46" t="s">
        <v>45</v>
      </c>
      <c r="C1025" s="46" t="s">
        <v>31</v>
      </c>
      <c r="D1025" s="46" t="s">
        <v>27</v>
      </c>
      <c r="E1025" s="46" t="s">
        <v>902</v>
      </c>
      <c r="F1025" s="46" t="s">
        <v>903</v>
      </c>
      <c r="G1025" s="46" t="s">
        <v>904</v>
      </c>
      <c r="H1025" s="46" t="s">
        <v>1433</v>
      </c>
      <c r="I1025" s="46" t="s">
        <v>905</v>
      </c>
      <c r="J1025" s="83">
        <v>46093</v>
      </c>
      <c r="K1025" s="46" t="s">
        <v>926</v>
      </c>
      <c r="L1025" s="46" t="s">
        <v>915</v>
      </c>
      <c r="M1025" s="83" t="str">
        <f>VLOOKUP(K1025,[4]在职!$A:$B,2,0)</f>
        <v>01657</v>
      </c>
      <c r="N1025" s="83" t="str">
        <f>VLOOKUP(K1025,[4]在职!$A:$G,7,0)</f>
        <v>湖北1部</v>
      </c>
      <c r="O1025" s="83" t="str">
        <f>VLOOKUP(K1025,[4]在职!$A:$I,9,0)</f>
        <v>二星销售顾问</v>
      </c>
      <c r="P1025" s="83">
        <f>VLOOKUP(K1025,[4]在职!$A:$D,4,0)</f>
        <v>45883</v>
      </c>
      <c r="Q1025" s="102">
        <v>5</v>
      </c>
      <c r="R1025" s="102">
        <v>5</v>
      </c>
      <c r="S1025" s="104">
        <v>117</v>
      </c>
    </row>
    <row r="1026" ht="16.5" hidden="1" spans="1:19">
      <c r="A1026" s="46">
        <v>1024</v>
      </c>
      <c r="B1026" s="46" t="s">
        <v>45</v>
      </c>
      <c r="C1026" s="46" t="s">
        <v>31</v>
      </c>
      <c r="D1026" s="46" t="s">
        <v>27</v>
      </c>
      <c r="E1026" s="46" t="s">
        <v>902</v>
      </c>
      <c r="F1026" s="46" t="s">
        <v>903</v>
      </c>
      <c r="G1026" s="46" t="s">
        <v>904</v>
      </c>
      <c r="H1026" s="46" t="s">
        <v>1433</v>
      </c>
      <c r="I1026" s="46" t="s">
        <v>905</v>
      </c>
      <c r="J1026" s="83">
        <v>46093</v>
      </c>
      <c r="K1026" s="46" t="s">
        <v>1474</v>
      </c>
      <c r="L1026" s="46" t="s">
        <v>915</v>
      </c>
      <c r="M1026" s="83" t="str">
        <f>VLOOKUP(K1026,[4]在职!$A:$B,2,0)</f>
        <v>01595</v>
      </c>
      <c r="N1026" s="83" t="str">
        <f>VLOOKUP(K1026,[4]在职!$A:$G,7,0)</f>
        <v>湖北1部</v>
      </c>
      <c r="O1026" s="83" t="str">
        <f>VLOOKUP(K1026,[4]在职!$A:$I,9,0)</f>
        <v>一星销售顾问</v>
      </c>
      <c r="P1026" s="83">
        <f>VLOOKUP(K1026,[4]在职!$A:$D,4,0)</f>
        <v>45853</v>
      </c>
      <c r="Q1026" s="102">
        <v>5</v>
      </c>
      <c r="R1026" s="102">
        <v>5</v>
      </c>
      <c r="S1026" s="104">
        <v>127</v>
      </c>
    </row>
    <row r="1027" ht="16.5" hidden="1" spans="1:19">
      <c r="A1027" s="46">
        <v>1025</v>
      </c>
      <c r="B1027" s="46" t="s">
        <v>45</v>
      </c>
      <c r="C1027" s="46" t="s">
        <v>36</v>
      </c>
      <c r="D1027" s="46" t="s">
        <v>27</v>
      </c>
      <c r="E1027" s="46" t="s">
        <v>902</v>
      </c>
      <c r="F1027" s="46" t="s">
        <v>903</v>
      </c>
      <c r="G1027" s="46" t="s">
        <v>904</v>
      </c>
      <c r="H1027" s="46" t="s">
        <v>1433</v>
      </c>
      <c r="I1027" s="46" t="s">
        <v>905</v>
      </c>
      <c r="J1027" s="83">
        <v>46093</v>
      </c>
      <c r="K1027" s="46" t="s">
        <v>1475</v>
      </c>
      <c r="L1027" s="46" t="s">
        <v>915</v>
      </c>
      <c r="M1027" s="83" t="str">
        <f>VLOOKUP(K1027,[4]在职!$A:$B,2,0)</f>
        <v>01573</v>
      </c>
      <c r="N1027" s="83" t="str">
        <f>VLOOKUP(K1027,[4]在职!$A:$G,7,0)</f>
        <v>山西销售部</v>
      </c>
      <c r="O1027" s="83" t="str">
        <f>VLOOKUP(K1027,[4]在职!$A:$I,9,0)</f>
        <v>一星销售顾问</v>
      </c>
      <c r="P1027" s="83">
        <f>VLOOKUP(K1027,[4]在职!$A:$D,4,0)</f>
        <v>45844</v>
      </c>
      <c r="Q1027" s="102">
        <v>5</v>
      </c>
      <c r="R1027" s="102">
        <v>5</v>
      </c>
      <c r="S1027" s="104">
        <v>110</v>
      </c>
    </row>
    <row r="1028" ht="16.5" hidden="1" spans="1:19">
      <c r="A1028" s="46">
        <v>1026</v>
      </c>
      <c r="B1028" s="46" t="s">
        <v>45</v>
      </c>
      <c r="C1028" s="46" t="s">
        <v>38</v>
      </c>
      <c r="D1028" s="46" t="s">
        <v>27</v>
      </c>
      <c r="E1028" s="46" t="s">
        <v>902</v>
      </c>
      <c r="F1028" s="46" t="s">
        <v>903</v>
      </c>
      <c r="G1028" s="46" t="s">
        <v>904</v>
      </c>
      <c r="H1028" s="46" t="s">
        <v>1433</v>
      </c>
      <c r="I1028" s="46" t="s">
        <v>905</v>
      </c>
      <c r="J1028" s="83">
        <v>46093</v>
      </c>
      <c r="K1028" s="46" t="s">
        <v>1016</v>
      </c>
      <c r="L1028" s="46" t="s">
        <v>915</v>
      </c>
      <c r="M1028" s="83" t="str">
        <f>VLOOKUP(K1028,[4]在职!$A:$B,2,0)</f>
        <v>01324</v>
      </c>
      <c r="N1028" s="83" t="str">
        <f>VLOOKUP(K1028,[4]在职!$A:$G,7,0)</f>
        <v>营业六部</v>
      </c>
      <c r="O1028" s="83" t="str">
        <f>VLOOKUP(K1028,[4]在职!$A:$I,9,0)</f>
        <v>二星销售顾问</v>
      </c>
      <c r="P1028" s="83">
        <f>VLOOKUP(K1028,[4]在职!$A:$D,4,0)</f>
        <v>45699</v>
      </c>
      <c r="Q1028" s="102">
        <v>5</v>
      </c>
      <c r="R1028" s="102">
        <v>5</v>
      </c>
      <c r="S1028" s="104">
        <v>80</v>
      </c>
    </row>
    <row r="1029" ht="16.5" hidden="1" spans="1:19">
      <c r="A1029" s="46">
        <v>1027</v>
      </c>
      <c r="B1029" s="46" t="s">
        <v>45</v>
      </c>
      <c r="C1029" s="46" t="s">
        <v>38</v>
      </c>
      <c r="D1029" s="46" t="s">
        <v>27</v>
      </c>
      <c r="E1029" s="46" t="s">
        <v>902</v>
      </c>
      <c r="F1029" s="46" t="s">
        <v>903</v>
      </c>
      <c r="G1029" s="46" t="s">
        <v>904</v>
      </c>
      <c r="H1029" s="46" t="s">
        <v>1433</v>
      </c>
      <c r="I1029" s="46" t="s">
        <v>905</v>
      </c>
      <c r="J1029" s="83">
        <v>46093</v>
      </c>
      <c r="K1029" s="46" t="s">
        <v>1476</v>
      </c>
      <c r="L1029" s="46" t="s">
        <v>915</v>
      </c>
      <c r="M1029" s="83" t="str">
        <f>VLOOKUP(K1029,[4]在职!$A:$B,2,0)</f>
        <v>01682</v>
      </c>
      <c r="N1029" s="83" t="str">
        <f>VLOOKUP(K1029,[4]在职!$A:$G,7,0)</f>
        <v>营业一部</v>
      </c>
      <c r="O1029" s="83" t="str">
        <f>VLOOKUP(K1029,[4]在职!$A:$I,9,0)</f>
        <v>一星销售顾问</v>
      </c>
      <c r="P1029" s="83">
        <f>VLOOKUP(K1029,[4]在职!$A:$D,4,0)</f>
        <v>45903</v>
      </c>
      <c r="Q1029" s="102">
        <v>5</v>
      </c>
      <c r="R1029" s="102">
        <v>5</v>
      </c>
      <c r="S1029" s="104">
        <v>110</v>
      </c>
    </row>
    <row r="1030" ht="16.5" hidden="1" spans="1:19">
      <c r="A1030" s="46">
        <v>1028</v>
      </c>
      <c r="B1030" s="46" t="s">
        <v>45</v>
      </c>
      <c r="C1030" s="46" t="s">
        <v>36</v>
      </c>
      <c r="D1030" s="46" t="s">
        <v>27</v>
      </c>
      <c r="E1030" s="46" t="s">
        <v>1080</v>
      </c>
      <c r="F1030" s="46" t="s">
        <v>1077</v>
      </c>
      <c r="G1030" s="46" t="s">
        <v>904</v>
      </c>
      <c r="H1030" s="46" t="s">
        <v>1433</v>
      </c>
      <c r="I1030" s="46" t="s">
        <v>905</v>
      </c>
      <c r="J1030" s="83">
        <v>46093</v>
      </c>
      <c r="K1030" s="46" t="s">
        <v>1435</v>
      </c>
      <c r="L1030" s="46" t="s">
        <v>915</v>
      </c>
      <c r="M1030" s="83" t="str">
        <f>VLOOKUP(K1030,[4]在职!$A:$B,2,0)</f>
        <v>01531</v>
      </c>
      <c r="N1030" s="83" t="str">
        <f>VLOOKUP(K1030,[4]在职!$A:$G,7,0)</f>
        <v>山西销售部</v>
      </c>
      <c r="O1030" s="83" t="str">
        <f>VLOOKUP(K1030,[4]在职!$A:$I,9,0)</f>
        <v>一星销售顾问</v>
      </c>
      <c r="P1030" s="83">
        <f>VLOOKUP(K1030,[4]在职!$A:$D,4,0)</f>
        <v>45820</v>
      </c>
      <c r="Q1030" s="102">
        <v>5</v>
      </c>
      <c r="R1030" s="102">
        <v>5</v>
      </c>
      <c r="S1030" s="104">
        <v>87</v>
      </c>
    </row>
    <row r="1031" ht="16.5" hidden="1" spans="1:19">
      <c r="A1031" s="46">
        <v>1029</v>
      </c>
      <c r="B1031" s="46" t="s">
        <v>45</v>
      </c>
      <c r="C1031" s="46" t="s">
        <v>34</v>
      </c>
      <c r="D1031" s="46" t="s">
        <v>27</v>
      </c>
      <c r="E1031" s="46" t="s">
        <v>1080</v>
      </c>
      <c r="F1031" s="46" t="s">
        <v>1077</v>
      </c>
      <c r="G1031" s="46" t="s">
        <v>904</v>
      </c>
      <c r="H1031" s="46" t="s">
        <v>1433</v>
      </c>
      <c r="I1031" s="46" t="s">
        <v>905</v>
      </c>
      <c r="J1031" s="83">
        <v>46093</v>
      </c>
      <c r="K1031" s="46" t="s">
        <v>906</v>
      </c>
      <c r="L1031" s="46" t="s">
        <v>915</v>
      </c>
      <c r="M1031" s="83" t="str">
        <f>VLOOKUP(K1031,[4]在职!$A:$B,2,0)</f>
        <v>01011</v>
      </c>
      <c r="N1031" s="83" t="str">
        <f>VLOOKUP(K1031,[4]在职!$A:$G,7,0)</f>
        <v>内蒙古销售部</v>
      </c>
      <c r="O1031" s="83" t="str">
        <f>VLOOKUP(K1031,[4]在职!$A:$I,9,0)</f>
        <v>一星销售顾问</v>
      </c>
      <c r="P1031" s="83">
        <f>VLOOKUP(K1031,[4]在职!$A:$D,4,0)</f>
        <v>45970</v>
      </c>
      <c r="Q1031" s="102">
        <v>5</v>
      </c>
      <c r="R1031" s="102">
        <v>5</v>
      </c>
      <c r="S1031" s="104">
        <v>80</v>
      </c>
    </row>
    <row r="1032" ht="16.5" hidden="1" spans="1:19">
      <c r="A1032" s="46">
        <v>1030</v>
      </c>
      <c r="B1032" s="46" t="s">
        <v>45</v>
      </c>
      <c r="C1032" s="46" t="s">
        <v>34</v>
      </c>
      <c r="D1032" s="46" t="s">
        <v>27</v>
      </c>
      <c r="E1032" s="46" t="s">
        <v>1080</v>
      </c>
      <c r="F1032" s="46" t="s">
        <v>1077</v>
      </c>
      <c r="G1032" s="46" t="s">
        <v>904</v>
      </c>
      <c r="H1032" s="46" t="s">
        <v>1433</v>
      </c>
      <c r="I1032" s="46" t="s">
        <v>905</v>
      </c>
      <c r="J1032" s="83">
        <v>46093</v>
      </c>
      <c r="K1032" s="46" t="s">
        <v>910</v>
      </c>
      <c r="L1032" s="46" t="s">
        <v>915</v>
      </c>
      <c r="M1032" s="83" t="str">
        <f>VLOOKUP(K1032,[4]在职!$A:$B,2,0)</f>
        <v>01423</v>
      </c>
      <c r="N1032" s="83" t="str">
        <f>VLOOKUP(K1032,[4]在职!$A:$G,7,0)</f>
        <v>内蒙古销售部</v>
      </c>
      <c r="O1032" s="83" t="str">
        <f>VLOOKUP(K1032,[4]在职!$A:$I,9,0)</f>
        <v>二星销售顾问</v>
      </c>
      <c r="P1032" s="83">
        <f>VLOOKUP(K1032,[4]在职!$A:$D,4,0)</f>
        <v>45749</v>
      </c>
      <c r="Q1032" s="102">
        <v>5</v>
      </c>
      <c r="R1032" s="102">
        <v>5</v>
      </c>
      <c r="S1032" s="104">
        <v>88</v>
      </c>
    </row>
    <row r="1033" ht="16.5" hidden="1" spans="1:19">
      <c r="A1033" s="46">
        <v>1031</v>
      </c>
      <c r="B1033" s="46" t="s">
        <v>45</v>
      </c>
      <c r="C1033" s="46" t="s">
        <v>34</v>
      </c>
      <c r="D1033" s="46" t="s">
        <v>27</v>
      </c>
      <c r="E1033" s="46" t="s">
        <v>1080</v>
      </c>
      <c r="F1033" s="46" t="s">
        <v>1077</v>
      </c>
      <c r="G1033" s="46" t="s">
        <v>904</v>
      </c>
      <c r="H1033" s="46" t="s">
        <v>1433</v>
      </c>
      <c r="I1033" s="46" t="s">
        <v>905</v>
      </c>
      <c r="J1033" s="83">
        <v>46093</v>
      </c>
      <c r="K1033" s="46" t="s">
        <v>912</v>
      </c>
      <c r="L1033" s="46" t="s">
        <v>915</v>
      </c>
      <c r="M1033" s="83" t="str">
        <f>VLOOKUP(K1033,[4]在职!$A:$B,2,0)</f>
        <v>01412</v>
      </c>
      <c r="N1033" s="83" t="str">
        <f>VLOOKUP(K1033,[4]在职!$A:$G,7,0)</f>
        <v>内蒙古销售部</v>
      </c>
      <c r="O1033" s="83" t="str">
        <f>VLOOKUP(K1033,[4]在职!$A:$I,9,0)</f>
        <v>一星销售顾问</v>
      </c>
      <c r="P1033" s="83">
        <f>VLOOKUP(K1033,[4]在职!$A:$D,4,0)</f>
        <v>45747</v>
      </c>
      <c r="Q1033" s="102">
        <v>5</v>
      </c>
      <c r="R1033" s="102">
        <v>5</v>
      </c>
      <c r="S1033" s="104">
        <v>88</v>
      </c>
    </row>
    <row r="1034" ht="16.5" hidden="1" spans="1:19">
      <c r="A1034" s="46">
        <v>1032</v>
      </c>
      <c r="B1034" s="46" t="s">
        <v>45</v>
      </c>
      <c r="C1034" s="46" t="s">
        <v>38</v>
      </c>
      <c r="D1034" s="46" t="s">
        <v>27</v>
      </c>
      <c r="E1034" s="46" t="s">
        <v>1080</v>
      </c>
      <c r="F1034" s="46" t="s">
        <v>1077</v>
      </c>
      <c r="G1034" s="46" t="s">
        <v>904</v>
      </c>
      <c r="H1034" s="46" t="s">
        <v>1433</v>
      </c>
      <c r="I1034" s="46" t="s">
        <v>905</v>
      </c>
      <c r="J1034" s="83">
        <v>46093</v>
      </c>
      <c r="K1034" s="46" t="s">
        <v>1436</v>
      </c>
      <c r="L1034" s="46" t="s">
        <v>915</v>
      </c>
      <c r="M1034" s="83" t="str">
        <f>VLOOKUP(K1034,[4]在职!$A:$B,2,0)</f>
        <v>01763</v>
      </c>
      <c r="N1034" s="83" t="str">
        <f>VLOOKUP(K1034,[4]在职!$A:$G,7,0)</f>
        <v>营业一部</v>
      </c>
      <c r="O1034" s="83" t="str">
        <f>VLOOKUP(K1034,[4]在职!$A:$I,9,0)</f>
        <v>一星销售顾问</v>
      </c>
      <c r="P1034" s="83">
        <f>VLOOKUP(K1034,[4]在职!$A:$D,4,0)</f>
        <v>45952</v>
      </c>
      <c r="Q1034" s="102">
        <v>5</v>
      </c>
      <c r="R1034" s="102">
        <v>5</v>
      </c>
      <c r="S1034" s="104">
        <v>90</v>
      </c>
    </row>
    <row r="1035" ht="16.5" hidden="1" spans="1:19">
      <c r="A1035" s="46">
        <v>1033</v>
      </c>
      <c r="B1035" s="46" t="s">
        <v>45</v>
      </c>
      <c r="C1035" s="46" t="s">
        <v>38</v>
      </c>
      <c r="D1035" s="46" t="s">
        <v>27</v>
      </c>
      <c r="E1035" s="46" t="s">
        <v>1080</v>
      </c>
      <c r="F1035" s="46" t="s">
        <v>1077</v>
      </c>
      <c r="G1035" s="46" t="s">
        <v>904</v>
      </c>
      <c r="H1035" s="46" t="s">
        <v>1433</v>
      </c>
      <c r="I1035" s="46" t="s">
        <v>905</v>
      </c>
      <c r="J1035" s="83">
        <v>46093</v>
      </c>
      <c r="K1035" s="46" t="s">
        <v>1437</v>
      </c>
      <c r="L1035" s="46" t="s">
        <v>915</v>
      </c>
      <c r="M1035" s="83" t="str">
        <f>VLOOKUP(K1035,[4]在职!$A:$B,2,0)</f>
        <v>01753</v>
      </c>
      <c r="N1035" s="83" t="str">
        <f>VLOOKUP(K1035,[4]在职!$A:$G,7,0)</f>
        <v>营业一部</v>
      </c>
      <c r="O1035" s="83" t="str">
        <f>VLOOKUP(K1035,[4]在职!$A:$I,9,0)</f>
        <v>一星销售顾问</v>
      </c>
      <c r="P1035" s="83">
        <f>VLOOKUP(K1035,[4]在职!$A:$D,4,0)</f>
        <v>45951</v>
      </c>
      <c r="Q1035" s="102">
        <v>5</v>
      </c>
      <c r="R1035" s="102">
        <v>5</v>
      </c>
      <c r="S1035" s="104">
        <v>90</v>
      </c>
    </row>
    <row r="1036" ht="16.5" hidden="1" spans="1:19">
      <c r="A1036" s="46">
        <v>1034</v>
      </c>
      <c r="B1036" s="46" t="s">
        <v>45</v>
      </c>
      <c r="C1036" s="46" t="s">
        <v>38</v>
      </c>
      <c r="D1036" s="46" t="s">
        <v>27</v>
      </c>
      <c r="E1036" s="46" t="s">
        <v>1080</v>
      </c>
      <c r="F1036" s="46" t="s">
        <v>1077</v>
      </c>
      <c r="G1036" s="46" t="s">
        <v>904</v>
      </c>
      <c r="H1036" s="46" t="s">
        <v>1433</v>
      </c>
      <c r="I1036" s="46" t="s">
        <v>905</v>
      </c>
      <c r="J1036" s="83">
        <v>46093</v>
      </c>
      <c r="K1036" s="46" t="s">
        <v>919</v>
      </c>
      <c r="L1036" s="46" t="s">
        <v>915</v>
      </c>
      <c r="M1036" s="83" t="str">
        <f>VLOOKUP(K1036,[4]在职!$A:$B,2,0)</f>
        <v>01512</v>
      </c>
      <c r="N1036" s="83" t="str">
        <f>VLOOKUP(K1036,[4]在职!$A:$G,7,0)</f>
        <v>营业一部</v>
      </c>
      <c r="O1036" s="83" t="str">
        <f>VLOOKUP(K1036,[4]在职!$A:$I,9,0)</f>
        <v>二星销售顾问</v>
      </c>
      <c r="P1036" s="83">
        <f>VLOOKUP(K1036,[4]在职!$A:$D,4,0)</f>
        <v>45812</v>
      </c>
      <c r="Q1036" s="102">
        <v>5</v>
      </c>
      <c r="R1036" s="102">
        <v>5</v>
      </c>
      <c r="S1036" s="104">
        <v>80</v>
      </c>
    </row>
    <row r="1037" ht="16.5" hidden="1" spans="1:19">
      <c r="A1037" s="46">
        <v>1035</v>
      </c>
      <c r="B1037" s="46" t="s">
        <v>45</v>
      </c>
      <c r="C1037" s="46" t="s">
        <v>38</v>
      </c>
      <c r="D1037" s="46" t="s">
        <v>27</v>
      </c>
      <c r="E1037" s="46" t="s">
        <v>1080</v>
      </c>
      <c r="F1037" s="46" t="s">
        <v>1077</v>
      </c>
      <c r="G1037" s="46" t="s">
        <v>904</v>
      </c>
      <c r="H1037" s="46" t="s">
        <v>1433</v>
      </c>
      <c r="I1037" s="46" t="s">
        <v>905</v>
      </c>
      <c r="J1037" s="83">
        <v>46093</v>
      </c>
      <c r="K1037" s="46" t="s">
        <v>1438</v>
      </c>
      <c r="L1037" s="46" t="s">
        <v>915</v>
      </c>
      <c r="M1037" s="83" t="str">
        <f>VLOOKUP(K1037,[4]在职!$A:$B,2,0)</f>
        <v>01732</v>
      </c>
      <c r="N1037" s="83" t="str">
        <f>VLOOKUP(K1037,[4]在职!$A:$G,7,0)</f>
        <v>营业七部</v>
      </c>
      <c r="O1037" s="83" t="str">
        <f>VLOOKUP(K1037,[4]在职!$A:$I,9,0)</f>
        <v>一星销售顾问</v>
      </c>
      <c r="P1037" s="83">
        <f>VLOOKUP(K1037,[4]在职!$A:$D,4,0)</f>
        <v>45944</v>
      </c>
      <c r="Q1037" s="102">
        <v>5</v>
      </c>
      <c r="R1037" s="102">
        <v>5</v>
      </c>
      <c r="S1037" s="104">
        <v>87</v>
      </c>
    </row>
    <row r="1038" ht="16.5" hidden="1" spans="1:19">
      <c r="A1038" s="46">
        <v>1036</v>
      </c>
      <c r="B1038" s="46" t="s">
        <v>45</v>
      </c>
      <c r="C1038" s="46" t="s">
        <v>38</v>
      </c>
      <c r="D1038" s="46" t="s">
        <v>27</v>
      </c>
      <c r="E1038" s="46" t="s">
        <v>1080</v>
      </c>
      <c r="F1038" s="46" t="s">
        <v>1077</v>
      </c>
      <c r="G1038" s="46" t="s">
        <v>904</v>
      </c>
      <c r="H1038" s="46" t="s">
        <v>1433</v>
      </c>
      <c r="I1038" s="46" t="s">
        <v>905</v>
      </c>
      <c r="J1038" s="83">
        <v>46093</v>
      </c>
      <c r="K1038" s="46" t="s">
        <v>922</v>
      </c>
      <c r="L1038" s="46" t="s">
        <v>915</v>
      </c>
      <c r="M1038" s="83" t="str">
        <f>VLOOKUP(K1038,[4]在职!$A:$B,2,0)</f>
        <v>01500</v>
      </c>
      <c r="N1038" s="83" t="str">
        <f>VLOOKUP(K1038,[4]在职!$A:$G,7,0)</f>
        <v>营业七部</v>
      </c>
      <c r="O1038" s="83" t="str">
        <f>VLOOKUP(K1038,[4]在职!$A:$I,9,0)</f>
        <v>一星销售顾问</v>
      </c>
      <c r="P1038" s="83">
        <f>VLOOKUP(K1038,[4]在职!$A:$D,4,0)</f>
        <v>45804</v>
      </c>
      <c r="Q1038" s="102">
        <v>5</v>
      </c>
      <c r="R1038" s="102">
        <v>5</v>
      </c>
      <c r="S1038" s="104">
        <v>82</v>
      </c>
    </row>
    <row r="1039" ht="16.5" hidden="1" spans="1:19">
      <c r="A1039" s="46">
        <v>1037</v>
      </c>
      <c r="B1039" s="46" t="s">
        <v>45</v>
      </c>
      <c r="C1039" s="46" t="s">
        <v>38</v>
      </c>
      <c r="D1039" s="46" t="s">
        <v>27</v>
      </c>
      <c r="E1039" s="46" t="s">
        <v>1080</v>
      </c>
      <c r="F1039" s="46" t="s">
        <v>1077</v>
      </c>
      <c r="G1039" s="46" t="s">
        <v>904</v>
      </c>
      <c r="H1039" s="46" t="s">
        <v>1433</v>
      </c>
      <c r="I1039" s="46" t="s">
        <v>905</v>
      </c>
      <c r="J1039" s="83">
        <v>46093</v>
      </c>
      <c r="K1039" s="46" t="s">
        <v>928</v>
      </c>
      <c r="L1039" s="46" t="s">
        <v>915</v>
      </c>
      <c r="M1039" s="83" t="str">
        <f>VLOOKUP(K1039,[4]在职!$A:$B,2,0)</f>
        <v>01634</v>
      </c>
      <c r="N1039" s="83" t="str">
        <f>VLOOKUP(K1039,[4]在职!$A:$G,7,0)</f>
        <v>营业四部</v>
      </c>
      <c r="O1039" s="83" t="str">
        <f>VLOOKUP(K1039,[4]在职!$A:$I,9,0)</f>
        <v>一星销售顾问</v>
      </c>
      <c r="P1039" s="83">
        <f>VLOOKUP(K1039,[4]在职!$A:$D,4,0)</f>
        <v>45872</v>
      </c>
      <c r="Q1039" s="102">
        <v>5</v>
      </c>
      <c r="R1039" s="102">
        <v>5</v>
      </c>
      <c r="S1039" s="104">
        <v>97</v>
      </c>
    </row>
    <row r="1040" ht="16.5" hidden="1" spans="1:19">
      <c r="A1040" s="46">
        <v>1038</v>
      </c>
      <c r="B1040" s="46" t="s">
        <v>45</v>
      </c>
      <c r="C1040" s="46" t="s">
        <v>38</v>
      </c>
      <c r="D1040" s="46" t="s">
        <v>27</v>
      </c>
      <c r="E1040" s="46" t="s">
        <v>1080</v>
      </c>
      <c r="F1040" s="46" t="s">
        <v>1077</v>
      </c>
      <c r="G1040" s="46" t="s">
        <v>904</v>
      </c>
      <c r="H1040" s="46" t="s">
        <v>1433</v>
      </c>
      <c r="I1040" s="46" t="s">
        <v>905</v>
      </c>
      <c r="J1040" s="83">
        <v>46093</v>
      </c>
      <c r="K1040" s="46" t="s">
        <v>930</v>
      </c>
      <c r="L1040" s="46" t="s">
        <v>915</v>
      </c>
      <c r="M1040" s="83" t="str">
        <f>VLOOKUP(K1040,[4]在职!$A:$B,2,0)</f>
        <v>01488</v>
      </c>
      <c r="N1040" s="83" t="str">
        <f>VLOOKUP(K1040,[4]在职!$A:$G,7,0)</f>
        <v>营业四部</v>
      </c>
      <c r="O1040" s="83" t="str">
        <f>VLOOKUP(K1040,[4]在职!$A:$I,9,0)</f>
        <v>二星销售顾问</v>
      </c>
      <c r="P1040" s="83">
        <f>VLOOKUP(K1040,[4]在职!$A:$D,4,0)</f>
        <v>45794</v>
      </c>
      <c r="Q1040" s="102">
        <v>5</v>
      </c>
      <c r="R1040" s="102">
        <v>5</v>
      </c>
      <c r="S1040" s="104">
        <v>97</v>
      </c>
    </row>
    <row r="1041" ht="16.5" hidden="1" spans="1:19">
      <c r="A1041" s="46">
        <v>1039</v>
      </c>
      <c r="B1041" s="46" t="s">
        <v>45</v>
      </c>
      <c r="C1041" s="46" t="s">
        <v>38</v>
      </c>
      <c r="D1041" s="46" t="s">
        <v>27</v>
      </c>
      <c r="E1041" s="46" t="s">
        <v>1080</v>
      </c>
      <c r="F1041" s="46" t="s">
        <v>1077</v>
      </c>
      <c r="G1041" s="46" t="s">
        <v>904</v>
      </c>
      <c r="H1041" s="46" t="s">
        <v>1433</v>
      </c>
      <c r="I1041" s="46" t="s">
        <v>905</v>
      </c>
      <c r="J1041" s="83">
        <v>46093</v>
      </c>
      <c r="K1041" s="46" t="s">
        <v>934</v>
      </c>
      <c r="L1041" s="46" t="s">
        <v>915</v>
      </c>
      <c r="M1041" s="83" t="str">
        <f>VLOOKUP(K1041,[4]在职!$A:$B,2,0)</f>
        <v>01547</v>
      </c>
      <c r="N1041" s="83" t="str">
        <f>VLOOKUP(K1041,[4]在职!$A:$G,7,0)</f>
        <v>营业四部</v>
      </c>
      <c r="O1041" s="83" t="str">
        <f>VLOOKUP(K1041,[4]在职!$A:$I,9,0)</f>
        <v>一星销售顾问</v>
      </c>
      <c r="P1041" s="83">
        <f>VLOOKUP(K1041,[4]在职!$A:$D,4,0)</f>
        <v>45830</v>
      </c>
      <c r="Q1041" s="102">
        <v>5</v>
      </c>
      <c r="R1041" s="102">
        <v>5</v>
      </c>
      <c r="S1041" s="104">
        <v>100</v>
      </c>
    </row>
    <row r="1042" ht="16.5" hidden="1" spans="1:19">
      <c r="A1042" s="46">
        <v>1040</v>
      </c>
      <c r="B1042" s="46" t="s">
        <v>45</v>
      </c>
      <c r="C1042" s="46" t="s">
        <v>38</v>
      </c>
      <c r="D1042" s="46" t="s">
        <v>27</v>
      </c>
      <c r="E1042" s="46" t="s">
        <v>1080</v>
      </c>
      <c r="F1042" s="46" t="s">
        <v>1077</v>
      </c>
      <c r="G1042" s="46" t="s">
        <v>904</v>
      </c>
      <c r="H1042" s="46" t="s">
        <v>1433</v>
      </c>
      <c r="I1042" s="46" t="s">
        <v>905</v>
      </c>
      <c r="J1042" s="83">
        <v>46093</v>
      </c>
      <c r="K1042" s="46" t="s">
        <v>1439</v>
      </c>
      <c r="L1042" s="46" t="s">
        <v>915</v>
      </c>
      <c r="M1042" s="83" t="str">
        <f>VLOOKUP(K1042,[4]在职!$A:$B,2,0)</f>
        <v>01646</v>
      </c>
      <c r="N1042" s="83" t="str">
        <f>VLOOKUP(K1042,[4]在职!$A:$G,7,0)</f>
        <v>营业六部</v>
      </c>
      <c r="O1042" s="83" t="str">
        <f>VLOOKUP(K1042,[4]在职!$A:$I,9,0)</f>
        <v>一星销售顾问</v>
      </c>
      <c r="P1042" s="83">
        <f>VLOOKUP(K1042,[4]在职!$A:$D,4,0)</f>
        <v>45878</v>
      </c>
      <c r="Q1042" s="102">
        <v>5</v>
      </c>
      <c r="R1042" s="102">
        <v>5</v>
      </c>
      <c r="S1042" s="104">
        <v>80</v>
      </c>
    </row>
    <row r="1043" ht="16.5" hidden="1" spans="1:19">
      <c r="A1043" s="46">
        <v>1041</v>
      </c>
      <c r="B1043" s="46" t="s">
        <v>45</v>
      </c>
      <c r="C1043" s="46" t="s">
        <v>36</v>
      </c>
      <c r="D1043" s="46" t="s">
        <v>27</v>
      </c>
      <c r="E1043" s="46" t="s">
        <v>1080</v>
      </c>
      <c r="F1043" s="46" t="s">
        <v>1077</v>
      </c>
      <c r="G1043" s="46" t="s">
        <v>904</v>
      </c>
      <c r="H1043" s="46" t="s">
        <v>1433</v>
      </c>
      <c r="I1043" s="46" t="s">
        <v>905</v>
      </c>
      <c r="J1043" s="83">
        <v>46093</v>
      </c>
      <c r="K1043" s="46" t="s">
        <v>1440</v>
      </c>
      <c r="L1043" s="46" t="s">
        <v>915</v>
      </c>
      <c r="M1043" s="83" t="str">
        <f>VLOOKUP(K1043,[4]在职!$A:$B,2,0)</f>
        <v>01824</v>
      </c>
      <c r="N1043" s="83" t="str">
        <f>VLOOKUP(K1043,[4]在职!$A:$G,7,0)</f>
        <v>山西销售部</v>
      </c>
      <c r="O1043" s="83" t="str">
        <f>VLOOKUP(K1043,[4]在职!$A:$I,9,0)</f>
        <v>一星销售顾问</v>
      </c>
      <c r="P1043" s="83">
        <f>VLOOKUP(K1043,[4]在职!$A:$D,4,0)</f>
        <v>45992</v>
      </c>
      <c r="Q1043" s="102">
        <v>5</v>
      </c>
      <c r="R1043" s="102">
        <v>5</v>
      </c>
      <c r="S1043" s="104">
        <v>82</v>
      </c>
    </row>
    <row r="1044" ht="16.5" hidden="1" spans="1:19">
      <c r="A1044" s="46">
        <v>1042</v>
      </c>
      <c r="B1044" s="46" t="s">
        <v>45</v>
      </c>
      <c r="C1044" s="46" t="s">
        <v>36</v>
      </c>
      <c r="D1044" s="46" t="s">
        <v>27</v>
      </c>
      <c r="E1044" s="46" t="s">
        <v>1080</v>
      </c>
      <c r="F1044" s="46" t="s">
        <v>1077</v>
      </c>
      <c r="G1044" s="46" t="s">
        <v>904</v>
      </c>
      <c r="H1044" s="46" t="s">
        <v>1433</v>
      </c>
      <c r="I1044" s="46" t="s">
        <v>905</v>
      </c>
      <c r="J1044" s="83">
        <v>46093</v>
      </c>
      <c r="K1044" s="46" t="s">
        <v>1441</v>
      </c>
      <c r="L1044" s="46" t="s">
        <v>915</v>
      </c>
      <c r="M1044" s="83" t="str">
        <f>VLOOKUP(K1044,[4]在职!$A:$B,2,0)</f>
        <v>01814</v>
      </c>
      <c r="N1044" s="83" t="str">
        <f>VLOOKUP(K1044,[4]在职!$A:$G,7,0)</f>
        <v>山西销售部</v>
      </c>
      <c r="O1044" s="83" t="str">
        <f>VLOOKUP(K1044,[4]在职!$A:$I,9,0)</f>
        <v>一星销售顾问</v>
      </c>
      <c r="P1044" s="83">
        <f>VLOOKUP(K1044,[4]在职!$A:$D,4,0)</f>
        <v>45986</v>
      </c>
      <c r="Q1044" s="102">
        <v>5</v>
      </c>
      <c r="R1044" s="102">
        <v>5</v>
      </c>
      <c r="S1044" s="104">
        <v>94</v>
      </c>
    </row>
    <row r="1045" ht="16.5" hidden="1" spans="1:19">
      <c r="A1045" s="46">
        <v>1043</v>
      </c>
      <c r="B1045" s="46" t="s">
        <v>45</v>
      </c>
      <c r="C1045" s="46" t="s">
        <v>29</v>
      </c>
      <c r="D1045" s="46" t="s">
        <v>27</v>
      </c>
      <c r="E1045" s="46" t="s">
        <v>1080</v>
      </c>
      <c r="F1045" s="46" t="s">
        <v>1077</v>
      </c>
      <c r="G1045" s="46" t="s">
        <v>904</v>
      </c>
      <c r="H1045" s="46" t="s">
        <v>1433</v>
      </c>
      <c r="I1045" s="46" t="s">
        <v>905</v>
      </c>
      <c r="J1045" s="83">
        <v>46093</v>
      </c>
      <c r="K1045" s="46" t="s">
        <v>1442</v>
      </c>
      <c r="L1045" s="46" t="s">
        <v>915</v>
      </c>
      <c r="M1045" s="83" t="str">
        <f>VLOOKUP(K1045,[4]在职!$A:$B,2,0)</f>
        <v>01620</v>
      </c>
      <c r="N1045" s="83" t="str">
        <f>VLOOKUP(K1045,[4]在职!$A:$G,7,0)</f>
        <v>河南销售部</v>
      </c>
      <c r="O1045" s="83" t="str">
        <f>VLOOKUP(K1045,[4]在职!$A:$I,9,0)</f>
        <v>一星销售顾问</v>
      </c>
      <c r="P1045" s="83">
        <f>VLOOKUP(K1045,[4]在职!$A:$D,4,0)</f>
        <v>45861</v>
      </c>
      <c r="Q1045" s="102">
        <v>5</v>
      </c>
      <c r="R1045" s="102">
        <v>5</v>
      </c>
      <c r="S1045" s="104">
        <v>84</v>
      </c>
    </row>
    <row r="1046" ht="16.5" hidden="1" spans="1:19">
      <c r="A1046" s="46">
        <v>1044</v>
      </c>
      <c r="B1046" s="46" t="s">
        <v>45</v>
      </c>
      <c r="C1046" s="46" t="s">
        <v>37</v>
      </c>
      <c r="D1046" s="46" t="s">
        <v>27</v>
      </c>
      <c r="E1046" s="46" t="s">
        <v>1080</v>
      </c>
      <c r="F1046" s="46" t="s">
        <v>1077</v>
      </c>
      <c r="G1046" s="46" t="s">
        <v>904</v>
      </c>
      <c r="H1046" s="46" t="s">
        <v>1433</v>
      </c>
      <c r="I1046" s="46" t="s">
        <v>905</v>
      </c>
      <c r="J1046" s="83">
        <v>46093</v>
      </c>
      <c r="K1046" s="46" t="s">
        <v>932</v>
      </c>
      <c r="L1046" s="46" t="s">
        <v>915</v>
      </c>
      <c r="M1046" s="83" t="str">
        <f>VLOOKUP(K1046,[4]在职!$A:$B,2,0)</f>
        <v>01654</v>
      </c>
      <c r="N1046" s="83" t="str">
        <f>VLOOKUP(K1046,[4]在职!$A:$G,7,0)</f>
        <v>陕西2部</v>
      </c>
      <c r="O1046" s="83" t="str">
        <f>VLOOKUP(K1046,[4]在职!$A:$I,9,0)</f>
        <v>一星销售顾问</v>
      </c>
      <c r="P1046" s="83">
        <f>VLOOKUP(K1046,[4]在职!$A:$D,4,0)</f>
        <v>45881</v>
      </c>
      <c r="Q1046" s="102">
        <v>5</v>
      </c>
      <c r="R1046" s="102">
        <v>5</v>
      </c>
      <c r="S1046" s="104">
        <v>87</v>
      </c>
    </row>
    <row r="1047" ht="16.5" hidden="1" spans="1:19">
      <c r="A1047" s="46">
        <v>1045</v>
      </c>
      <c r="B1047" s="46" t="s">
        <v>45</v>
      </c>
      <c r="C1047" s="46" t="s">
        <v>29</v>
      </c>
      <c r="D1047" s="46" t="s">
        <v>27</v>
      </c>
      <c r="E1047" s="46" t="s">
        <v>1080</v>
      </c>
      <c r="F1047" s="46" t="s">
        <v>1077</v>
      </c>
      <c r="G1047" s="46" t="s">
        <v>904</v>
      </c>
      <c r="H1047" s="46" t="s">
        <v>1433</v>
      </c>
      <c r="I1047" s="46" t="s">
        <v>905</v>
      </c>
      <c r="J1047" s="83">
        <v>46093</v>
      </c>
      <c r="K1047" s="46" t="s">
        <v>962</v>
      </c>
      <c r="L1047" s="46" t="s">
        <v>915</v>
      </c>
      <c r="M1047" s="83" t="str">
        <f>VLOOKUP(K1047,[4]在职!$A:$B,2,0)</f>
        <v>01597</v>
      </c>
      <c r="N1047" s="83" t="str">
        <f>VLOOKUP(K1047,[4]在职!$A:$G,7,0)</f>
        <v>河南销售部</v>
      </c>
      <c r="O1047" s="83" t="str">
        <f>VLOOKUP(K1047,[4]在职!$A:$I,9,0)</f>
        <v>二星销售顾问</v>
      </c>
      <c r="P1047" s="83">
        <f>VLOOKUP(K1047,[4]在职!$A:$D,4,0)</f>
        <v>45852</v>
      </c>
      <c r="Q1047" s="102">
        <v>5</v>
      </c>
      <c r="R1047" s="102">
        <v>5</v>
      </c>
      <c r="S1047" s="104">
        <v>90</v>
      </c>
    </row>
    <row r="1048" ht="16.5" hidden="1" spans="1:19">
      <c r="A1048" s="46">
        <v>1046</v>
      </c>
      <c r="B1048" s="46" t="s">
        <v>45</v>
      </c>
      <c r="C1048" s="46" t="s">
        <v>29</v>
      </c>
      <c r="D1048" s="46" t="s">
        <v>27</v>
      </c>
      <c r="E1048" s="46" t="s">
        <v>1080</v>
      </c>
      <c r="F1048" s="46" t="s">
        <v>1077</v>
      </c>
      <c r="G1048" s="46" t="s">
        <v>904</v>
      </c>
      <c r="H1048" s="46" t="s">
        <v>1433</v>
      </c>
      <c r="I1048" s="46" t="s">
        <v>905</v>
      </c>
      <c r="J1048" s="83">
        <v>46093</v>
      </c>
      <c r="K1048" s="46" t="s">
        <v>1443</v>
      </c>
      <c r="L1048" s="46" t="s">
        <v>915</v>
      </c>
      <c r="M1048" s="83" t="str">
        <f>VLOOKUP(K1048,[4]在职!$A:$B,2,0)</f>
        <v>01541</v>
      </c>
      <c r="N1048" s="83" t="str">
        <f>VLOOKUP(K1048,[4]在职!$A:$G,7,0)</f>
        <v>河南销售部</v>
      </c>
      <c r="O1048" s="83" t="str">
        <f>VLOOKUP(K1048,[4]在职!$A:$I,9,0)</f>
        <v>一星销售顾问</v>
      </c>
      <c r="P1048" s="83">
        <f>VLOOKUP(K1048,[4]在职!$A:$D,4,0)</f>
        <v>45823</v>
      </c>
      <c r="Q1048" s="102">
        <v>5</v>
      </c>
      <c r="R1048" s="102">
        <v>5</v>
      </c>
      <c r="S1048" s="104">
        <v>90</v>
      </c>
    </row>
    <row r="1049" ht="16.5" hidden="1" spans="1:19">
      <c r="A1049" s="46">
        <v>1047</v>
      </c>
      <c r="B1049" s="46" t="s">
        <v>45</v>
      </c>
      <c r="C1049" s="46" t="s">
        <v>26</v>
      </c>
      <c r="D1049" s="46" t="s">
        <v>27</v>
      </c>
      <c r="E1049" s="46" t="s">
        <v>1080</v>
      </c>
      <c r="F1049" s="46" t="s">
        <v>1077</v>
      </c>
      <c r="G1049" s="46" t="s">
        <v>904</v>
      </c>
      <c r="H1049" s="46" t="s">
        <v>1433</v>
      </c>
      <c r="I1049" s="46" t="s">
        <v>905</v>
      </c>
      <c r="J1049" s="83">
        <v>46093</v>
      </c>
      <c r="K1049" s="46" t="s">
        <v>1444</v>
      </c>
      <c r="L1049" s="46" t="s">
        <v>915</v>
      </c>
      <c r="M1049" s="83" t="str">
        <f>VLOOKUP(K1049,[4]在职!$A:$B,2,0)</f>
        <v>01850</v>
      </c>
      <c r="N1049" s="83" t="str">
        <f>VLOOKUP(K1049,[4]在职!$A:$G,7,0)</f>
        <v>河北销售部</v>
      </c>
      <c r="O1049" s="83" t="str">
        <f>VLOOKUP(K1049,[4]在职!$A:$I,9,0)</f>
        <v>一星销售顾问</v>
      </c>
      <c r="P1049" s="83">
        <f>VLOOKUP(K1049,[4]在职!$A:$D,4,0)</f>
        <v>46003</v>
      </c>
      <c r="Q1049" s="102">
        <v>5</v>
      </c>
      <c r="R1049" s="102">
        <v>5</v>
      </c>
      <c r="S1049" s="104">
        <v>97</v>
      </c>
    </row>
    <row r="1050" ht="16.5" hidden="1" spans="1:19">
      <c r="A1050" s="46">
        <v>1048</v>
      </c>
      <c r="B1050" s="46" t="s">
        <v>45</v>
      </c>
      <c r="C1050" s="46" t="s">
        <v>26</v>
      </c>
      <c r="D1050" s="46" t="s">
        <v>27</v>
      </c>
      <c r="E1050" s="46" t="s">
        <v>1080</v>
      </c>
      <c r="F1050" s="46" t="s">
        <v>1077</v>
      </c>
      <c r="G1050" s="46" t="s">
        <v>904</v>
      </c>
      <c r="H1050" s="46" t="s">
        <v>1433</v>
      </c>
      <c r="I1050" s="46" t="s">
        <v>905</v>
      </c>
      <c r="J1050" s="83">
        <v>46093</v>
      </c>
      <c r="K1050" s="46" t="s">
        <v>1445</v>
      </c>
      <c r="L1050" s="46" t="s">
        <v>915</v>
      </c>
      <c r="M1050" s="83" t="str">
        <f>VLOOKUP(K1050,[4]在职!$A:$B,2,0)</f>
        <v>01702</v>
      </c>
      <c r="N1050" s="83" t="str">
        <f>VLOOKUP(K1050,[4]在职!$A:$G,7,0)</f>
        <v>河北销售部</v>
      </c>
      <c r="O1050" s="83" t="str">
        <f>VLOOKUP(K1050,[4]在职!$A:$I,9,0)</f>
        <v>一星销售顾问</v>
      </c>
      <c r="P1050" s="83">
        <f>VLOOKUP(K1050,[4]在职!$A:$D,4,0)</f>
        <v>45918</v>
      </c>
      <c r="Q1050" s="102">
        <v>5</v>
      </c>
      <c r="R1050" s="102">
        <v>5</v>
      </c>
      <c r="S1050" s="104">
        <v>87</v>
      </c>
    </row>
    <row r="1051" ht="16.5" hidden="1" spans="1:19">
      <c r="A1051" s="46">
        <v>1049</v>
      </c>
      <c r="B1051" s="46" t="s">
        <v>45</v>
      </c>
      <c r="C1051" s="46" t="s">
        <v>38</v>
      </c>
      <c r="D1051" s="46" t="s">
        <v>27</v>
      </c>
      <c r="E1051" s="46" t="s">
        <v>1080</v>
      </c>
      <c r="F1051" s="46" t="s">
        <v>1077</v>
      </c>
      <c r="G1051" s="46" t="s">
        <v>904</v>
      </c>
      <c r="H1051" s="46" t="s">
        <v>1433</v>
      </c>
      <c r="I1051" s="46" t="s">
        <v>905</v>
      </c>
      <c r="J1051" s="83">
        <v>46093</v>
      </c>
      <c r="K1051" s="46" t="s">
        <v>1446</v>
      </c>
      <c r="L1051" s="46" t="s">
        <v>915</v>
      </c>
      <c r="M1051" s="83" t="str">
        <f>VLOOKUP(K1051,[4]在职!$A:$B,2,0)</f>
        <v>01631</v>
      </c>
      <c r="N1051" s="83" t="str">
        <f>VLOOKUP(K1051,[4]在职!$A:$G,7,0)</f>
        <v>营业三部</v>
      </c>
      <c r="O1051" s="83" t="str">
        <f>VLOOKUP(K1051,[4]在职!$A:$I,9,0)</f>
        <v>一星销售顾问</v>
      </c>
      <c r="P1051" s="83">
        <f>VLOOKUP(K1051,[4]在职!$A:$D,4,0)</f>
        <v>45873</v>
      </c>
      <c r="Q1051" s="102">
        <v>5</v>
      </c>
      <c r="R1051" s="102">
        <v>5</v>
      </c>
      <c r="S1051" s="104">
        <v>84</v>
      </c>
    </row>
    <row r="1052" ht="16.5" hidden="1" spans="1:19">
      <c r="A1052" s="46">
        <v>1050</v>
      </c>
      <c r="B1052" s="46" t="s">
        <v>45</v>
      </c>
      <c r="C1052" s="46" t="s">
        <v>38</v>
      </c>
      <c r="D1052" s="46" t="s">
        <v>27</v>
      </c>
      <c r="E1052" s="46" t="s">
        <v>1080</v>
      </c>
      <c r="F1052" s="46" t="s">
        <v>1077</v>
      </c>
      <c r="G1052" s="46" t="s">
        <v>904</v>
      </c>
      <c r="H1052" s="46" t="s">
        <v>1433</v>
      </c>
      <c r="I1052" s="46" t="s">
        <v>905</v>
      </c>
      <c r="J1052" s="83">
        <v>46093</v>
      </c>
      <c r="K1052" s="46" t="s">
        <v>1271</v>
      </c>
      <c r="L1052" s="46" t="s">
        <v>915</v>
      </c>
      <c r="M1052" s="83" t="str">
        <f>VLOOKUP(K1052,[4]在职!$A:$B,2,0)</f>
        <v>01790</v>
      </c>
      <c r="N1052" s="83" t="str">
        <f>VLOOKUP(K1052,[4]在职!$A:$G,7,0)</f>
        <v>营业四部</v>
      </c>
      <c r="O1052" s="83" t="str">
        <f>VLOOKUP(K1052,[4]在职!$A:$I,9,0)</f>
        <v>一星销售顾问</v>
      </c>
      <c r="P1052" s="83">
        <f>VLOOKUP(K1052,[4]在职!$A:$D,4,0)</f>
        <v>45974</v>
      </c>
      <c r="Q1052" s="102">
        <v>5</v>
      </c>
      <c r="R1052" s="102">
        <v>5</v>
      </c>
      <c r="S1052" s="104">
        <v>90</v>
      </c>
    </row>
    <row r="1053" ht="16.5" hidden="1" spans="1:19">
      <c r="A1053" s="46">
        <v>1051</v>
      </c>
      <c r="B1053" s="46" t="s">
        <v>45</v>
      </c>
      <c r="C1053" s="46" t="s">
        <v>38</v>
      </c>
      <c r="D1053" s="46" t="s">
        <v>27</v>
      </c>
      <c r="E1053" s="46" t="s">
        <v>1080</v>
      </c>
      <c r="F1053" s="46" t="s">
        <v>1077</v>
      </c>
      <c r="G1053" s="46" t="s">
        <v>904</v>
      </c>
      <c r="H1053" s="46" t="s">
        <v>1433</v>
      </c>
      <c r="I1053" s="46" t="s">
        <v>905</v>
      </c>
      <c r="J1053" s="83">
        <v>46093</v>
      </c>
      <c r="K1053" s="46" t="s">
        <v>1273</v>
      </c>
      <c r="L1053" s="46" t="s">
        <v>915</v>
      </c>
      <c r="M1053" s="83" t="str">
        <f>VLOOKUP(K1053,[4]在职!$A:$B,2,0)</f>
        <v>01767</v>
      </c>
      <c r="N1053" s="83" t="str">
        <f>VLOOKUP(K1053,[4]在职!$A:$G,7,0)</f>
        <v>营业四部</v>
      </c>
      <c r="O1053" s="83" t="str">
        <f>VLOOKUP(K1053,[4]在职!$A:$I,9,0)</f>
        <v>一星销售顾问</v>
      </c>
      <c r="P1053" s="83">
        <f>VLOOKUP(K1053,[4]在职!$A:$D,4,0)</f>
        <v>45959</v>
      </c>
      <c r="Q1053" s="102">
        <v>5</v>
      </c>
      <c r="R1053" s="102">
        <v>5</v>
      </c>
      <c r="S1053" s="104">
        <v>90</v>
      </c>
    </row>
    <row r="1054" ht="16.5" hidden="1" spans="1:19">
      <c r="A1054" s="46">
        <v>1052</v>
      </c>
      <c r="B1054" s="46" t="s">
        <v>45</v>
      </c>
      <c r="C1054" s="46" t="s">
        <v>38</v>
      </c>
      <c r="D1054" s="46" t="s">
        <v>27</v>
      </c>
      <c r="E1054" s="46" t="s">
        <v>1080</v>
      </c>
      <c r="F1054" s="46" t="s">
        <v>1077</v>
      </c>
      <c r="G1054" s="46" t="s">
        <v>904</v>
      </c>
      <c r="H1054" s="46" t="s">
        <v>1433</v>
      </c>
      <c r="I1054" s="46" t="s">
        <v>905</v>
      </c>
      <c r="J1054" s="83">
        <v>46093</v>
      </c>
      <c r="K1054" s="46" t="s">
        <v>1447</v>
      </c>
      <c r="L1054" s="46" t="s">
        <v>915</v>
      </c>
      <c r="M1054" s="83" t="str">
        <f>VLOOKUP(K1054,[4]在职!$A:$B,2,0)</f>
        <v>01735</v>
      </c>
      <c r="N1054" s="83" t="str">
        <f>VLOOKUP(K1054,[4]在职!$A:$G,7,0)</f>
        <v>营业四部</v>
      </c>
      <c r="O1054" s="83" t="str">
        <f>VLOOKUP(K1054,[4]在职!$A:$I,9,0)</f>
        <v>一星销售顾问</v>
      </c>
      <c r="P1054" s="83">
        <f>VLOOKUP(K1054,[4]在职!$A:$D,4,0)</f>
        <v>45943</v>
      </c>
      <c r="Q1054" s="102">
        <v>5</v>
      </c>
      <c r="R1054" s="102">
        <v>5</v>
      </c>
      <c r="S1054" s="104">
        <v>80</v>
      </c>
    </row>
    <row r="1055" ht="16.5" hidden="1" spans="1:19">
      <c r="A1055" s="46">
        <v>1053</v>
      </c>
      <c r="B1055" s="46" t="s">
        <v>45</v>
      </c>
      <c r="C1055" s="46" t="s">
        <v>36</v>
      </c>
      <c r="D1055" s="46" t="s">
        <v>27</v>
      </c>
      <c r="E1055" s="46" t="s">
        <v>1080</v>
      </c>
      <c r="F1055" s="46" t="s">
        <v>1077</v>
      </c>
      <c r="G1055" s="46" t="s">
        <v>904</v>
      </c>
      <c r="H1055" s="46" t="s">
        <v>1433</v>
      </c>
      <c r="I1055" s="46" t="s">
        <v>905</v>
      </c>
      <c r="J1055" s="83">
        <v>46093</v>
      </c>
      <c r="K1055" s="46" t="s">
        <v>1448</v>
      </c>
      <c r="L1055" s="46" t="s">
        <v>915</v>
      </c>
      <c r="M1055" s="83" t="str">
        <f>VLOOKUP(K1055,[4]在职!$A:$B,2,0)</f>
        <v>01650</v>
      </c>
      <c r="N1055" s="83" t="str">
        <f>VLOOKUP(K1055,[4]在职!$A:$G,7,0)</f>
        <v>山西销售部</v>
      </c>
      <c r="O1055" s="83" t="str">
        <f>VLOOKUP(K1055,[4]在职!$A:$I,9,0)</f>
        <v>一星销售顾问</v>
      </c>
      <c r="P1055" s="83">
        <f>VLOOKUP(K1055,[4]在职!$A:$D,4,0)</f>
        <v>45880</v>
      </c>
      <c r="Q1055" s="102">
        <v>5</v>
      </c>
      <c r="R1055" s="102">
        <v>5</v>
      </c>
      <c r="S1055" s="104">
        <v>90</v>
      </c>
    </row>
    <row r="1056" ht="16.5" hidden="1" spans="1:19">
      <c r="A1056" s="46">
        <v>1054</v>
      </c>
      <c r="B1056" s="46" t="s">
        <v>45</v>
      </c>
      <c r="C1056" s="46" t="s">
        <v>37</v>
      </c>
      <c r="D1056" s="46" t="s">
        <v>27</v>
      </c>
      <c r="E1056" s="46" t="s">
        <v>1080</v>
      </c>
      <c r="F1056" s="46" t="s">
        <v>1077</v>
      </c>
      <c r="G1056" s="46" t="s">
        <v>904</v>
      </c>
      <c r="H1056" s="46" t="s">
        <v>1433</v>
      </c>
      <c r="I1056" s="46" t="s">
        <v>905</v>
      </c>
      <c r="J1056" s="83">
        <v>46093</v>
      </c>
      <c r="K1056" s="46" t="s">
        <v>1449</v>
      </c>
      <c r="L1056" s="46" t="s">
        <v>915</v>
      </c>
      <c r="M1056" s="83" t="str">
        <f>VLOOKUP(K1056,[4]在职!$A:$B,2,0)</f>
        <v>00583</v>
      </c>
      <c r="N1056" s="83" t="str">
        <f>VLOOKUP(K1056,[4]在职!$A:$G,7,0)</f>
        <v>陕西2部</v>
      </c>
      <c r="O1056" s="83" t="str">
        <f>VLOOKUP(K1056,[4]在职!$A:$I,9,0)</f>
        <v>一星销售顾问</v>
      </c>
      <c r="P1056" s="83">
        <f>VLOOKUP(K1056,[4]在职!$A:$D,4,0)</f>
        <v>45763</v>
      </c>
      <c r="Q1056" s="102">
        <v>4.75</v>
      </c>
      <c r="R1056" s="102">
        <v>5</v>
      </c>
      <c r="S1056" s="104">
        <v>88</v>
      </c>
    </row>
    <row r="1057" ht="16.5" hidden="1" spans="1:19">
      <c r="A1057" s="46">
        <v>1055</v>
      </c>
      <c r="B1057" s="46" t="s">
        <v>45</v>
      </c>
      <c r="C1057" s="46" t="s">
        <v>31</v>
      </c>
      <c r="D1057" s="46" t="s">
        <v>27</v>
      </c>
      <c r="E1057" s="46" t="s">
        <v>1080</v>
      </c>
      <c r="F1057" s="46" t="s">
        <v>1077</v>
      </c>
      <c r="G1057" s="46" t="s">
        <v>904</v>
      </c>
      <c r="H1057" s="46" t="s">
        <v>1433</v>
      </c>
      <c r="I1057" s="46" t="s">
        <v>905</v>
      </c>
      <c r="J1057" s="83">
        <v>46093</v>
      </c>
      <c r="K1057" s="46" t="s">
        <v>1450</v>
      </c>
      <c r="L1057" s="46" t="s">
        <v>915</v>
      </c>
      <c r="M1057" s="83" t="str">
        <f>VLOOKUP(K1057,[4]在职!$A:$B,2,0)</f>
        <v>01629</v>
      </c>
      <c r="N1057" s="83" t="str">
        <f>VLOOKUP(K1057,[4]在职!$A:$G,7,0)</f>
        <v>湖北1部</v>
      </c>
      <c r="O1057" s="83" t="str">
        <f>VLOOKUP(K1057,[4]在职!$A:$I,9,0)</f>
        <v>一星销售顾问</v>
      </c>
      <c r="P1057" s="83">
        <f>VLOOKUP(K1057,[4]在职!$A:$D,4,0)</f>
        <v>45866</v>
      </c>
      <c r="Q1057" s="102">
        <v>5</v>
      </c>
      <c r="R1057" s="102">
        <v>5</v>
      </c>
      <c r="S1057" s="104">
        <v>97</v>
      </c>
    </row>
    <row r="1058" ht="16.5" hidden="1" spans="1:19">
      <c r="A1058" s="46">
        <v>1056</v>
      </c>
      <c r="B1058" s="46" t="s">
        <v>45</v>
      </c>
      <c r="C1058" s="46" t="s">
        <v>31</v>
      </c>
      <c r="D1058" s="46" t="s">
        <v>27</v>
      </c>
      <c r="E1058" s="46" t="s">
        <v>1080</v>
      </c>
      <c r="F1058" s="46" t="s">
        <v>1077</v>
      </c>
      <c r="G1058" s="46" t="s">
        <v>904</v>
      </c>
      <c r="H1058" s="46" t="s">
        <v>1433</v>
      </c>
      <c r="I1058" s="46" t="s">
        <v>905</v>
      </c>
      <c r="J1058" s="83">
        <v>46093</v>
      </c>
      <c r="K1058" s="46" t="s">
        <v>1006</v>
      </c>
      <c r="L1058" s="46" t="s">
        <v>915</v>
      </c>
      <c r="M1058" s="83" t="str">
        <f>VLOOKUP(K1058,[4]在职!$A:$B,2,0)</f>
        <v>01537</v>
      </c>
      <c r="N1058" s="83" t="str">
        <f>VLOOKUP(K1058,[4]在职!$A:$G,7,0)</f>
        <v>湖北1部</v>
      </c>
      <c r="O1058" s="83" t="str">
        <f>VLOOKUP(K1058,[4]在职!$A:$I,9,0)</f>
        <v>一星销售顾问</v>
      </c>
      <c r="P1058" s="83">
        <f>VLOOKUP(K1058,[4]在职!$A:$D,4,0)</f>
        <v>45821</v>
      </c>
      <c r="Q1058" s="102">
        <v>5</v>
      </c>
      <c r="R1058" s="102">
        <v>5</v>
      </c>
      <c r="S1058" s="104">
        <v>97</v>
      </c>
    </row>
    <row r="1059" ht="16.5" hidden="1" spans="1:19">
      <c r="A1059" s="46">
        <v>1057</v>
      </c>
      <c r="B1059" s="46" t="s">
        <v>45</v>
      </c>
      <c r="C1059" s="46" t="s">
        <v>36</v>
      </c>
      <c r="D1059" s="46" t="s">
        <v>27</v>
      </c>
      <c r="E1059" s="46" t="s">
        <v>1080</v>
      </c>
      <c r="F1059" s="46" t="s">
        <v>1077</v>
      </c>
      <c r="G1059" s="46" t="s">
        <v>904</v>
      </c>
      <c r="H1059" s="46" t="s">
        <v>1433</v>
      </c>
      <c r="I1059" s="46" t="s">
        <v>905</v>
      </c>
      <c r="J1059" s="83">
        <v>46093</v>
      </c>
      <c r="K1059" s="46" t="s">
        <v>1451</v>
      </c>
      <c r="L1059" s="46" t="s">
        <v>915</v>
      </c>
      <c r="M1059" s="83" t="str">
        <f>VLOOKUP(K1059,[4]在职!$A:$B,2,0)</f>
        <v>01726</v>
      </c>
      <c r="N1059" s="83" t="str">
        <f>VLOOKUP(K1059,[4]在职!$A:$G,7,0)</f>
        <v>山西销售部</v>
      </c>
      <c r="O1059" s="83" t="str">
        <f>VLOOKUP(K1059,[4]在职!$A:$I,9,0)</f>
        <v>一星销售顾问</v>
      </c>
      <c r="P1059" s="83">
        <f>VLOOKUP(K1059,[4]在职!$A:$D,4,0)</f>
        <v>45940</v>
      </c>
      <c r="Q1059" s="102">
        <v>5</v>
      </c>
      <c r="R1059" s="102">
        <v>5</v>
      </c>
      <c r="S1059" s="104">
        <v>90</v>
      </c>
    </row>
    <row r="1060" ht="16.5" hidden="1" spans="1:19">
      <c r="A1060" s="46">
        <v>1058</v>
      </c>
      <c r="B1060" s="46" t="s">
        <v>45</v>
      </c>
      <c r="C1060" s="46" t="s">
        <v>38</v>
      </c>
      <c r="D1060" s="46" t="s">
        <v>27</v>
      </c>
      <c r="E1060" s="46" t="s">
        <v>1080</v>
      </c>
      <c r="F1060" s="46" t="s">
        <v>1077</v>
      </c>
      <c r="G1060" s="46" t="s">
        <v>904</v>
      </c>
      <c r="H1060" s="46" t="s">
        <v>1433</v>
      </c>
      <c r="I1060" s="46" t="s">
        <v>905</v>
      </c>
      <c r="J1060" s="83">
        <v>46093</v>
      </c>
      <c r="K1060" s="46" t="s">
        <v>1263</v>
      </c>
      <c r="L1060" s="46" t="s">
        <v>915</v>
      </c>
      <c r="M1060" s="83" t="str">
        <f>VLOOKUP(K1060,[4]在职!$A:$B,2,0)</f>
        <v>01723</v>
      </c>
      <c r="N1060" s="83" t="str">
        <f>VLOOKUP(K1060,[4]在职!$A:$G,7,0)</f>
        <v>营业七部</v>
      </c>
      <c r="O1060" s="83" t="str">
        <f>VLOOKUP(K1060,[4]在职!$A:$I,9,0)</f>
        <v>一星销售顾问</v>
      </c>
      <c r="P1060" s="83">
        <f>VLOOKUP(K1060,[4]在职!$A:$D,4,0)</f>
        <v>45941</v>
      </c>
      <c r="Q1060" s="102">
        <v>5</v>
      </c>
      <c r="R1060" s="102">
        <v>5</v>
      </c>
      <c r="S1060" s="104">
        <v>88</v>
      </c>
    </row>
    <row r="1061" ht="16.5" hidden="1" spans="1:19">
      <c r="A1061" s="46">
        <v>1059</v>
      </c>
      <c r="B1061" s="46" t="s">
        <v>45</v>
      </c>
      <c r="C1061" s="46" t="s">
        <v>38</v>
      </c>
      <c r="D1061" s="46" t="s">
        <v>27</v>
      </c>
      <c r="E1061" s="46" t="s">
        <v>1080</v>
      </c>
      <c r="F1061" s="46" t="s">
        <v>1077</v>
      </c>
      <c r="G1061" s="46" t="s">
        <v>904</v>
      </c>
      <c r="H1061" s="46" t="s">
        <v>1433</v>
      </c>
      <c r="I1061" s="46" t="s">
        <v>905</v>
      </c>
      <c r="J1061" s="83">
        <v>46093</v>
      </c>
      <c r="K1061" s="46" t="s">
        <v>972</v>
      </c>
      <c r="L1061" s="46" t="s">
        <v>915</v>
      </c>
      <c r="M1061" s="83" t="str">
        <f>VLOOKUP(K1061,[4]在职!$A:$B,2,0)</f>
        <v>01599</v>
      </c>
      <c r="N1061" s="83" t="str">
        <f>VLOOKUP(K1061,[4]在职!$A:$G,7,0)</f>
        <v>营业七部</v>
      </c>
      <c r="O1061" s="83" t="str">
        <f>VLOOKUP(K1061,[4]在职!$A:$I,9,0)</f>
        <v>二星销售顾问</v>
      </c>
      <c r="P1061" s="83">
        <f>VLOOKUP(K1061,[4]在职!$A:$D,4,0)</f>
        <v>45855</v>
      </c>
      <c r="Q1061" s="102">
        <v>5</v>
      </c>
      <c r="R1061" s="102">
        <v>5</v>
      </c>
      <c r="S1061" s="104">
        <v>88</v>
      </c>
    </row>
    <row r="1062" ht="16.5" hidden="1" spans="1:19">
      <c r="A1062" s="46">
        <v>1060</v>
      </c>
      <c r="B1062" s="46" t="s">
        <v>45</v>
      </c>
      <c r="C1062" s="46" t="s">
        <v>37</v>
      </c>
      <c r="D1062" s="46" t="s">
        <v>27</v>
      </c>
      <c r="E1062" s="46" t="s">
        <v>1080</v>
      </c>
      <c r="F1062" s="46" t="s">
        <v>1077</v>
      </c>
      <c r="G1062" s="46" t="s">
        <v>904</v>
      </c>
      <c r="H1062" s="46" t="s">
        <v>1433</v>
      </c>
      <c r="I1062" s="46" t="s">
        <v>905</v>
      </c>
      <c r="J1062" s="83">
        <v>46093</v>
      </c>
      <c r="K1062" s="46" t="s">
        <v>1452</v>
      </c>
      <c r="L1062" s="46" t="s">
        <v>915</v>
      </c>
      <c r="M1062" s="83" t="str">
        <f>VLOOKUP(K1062,[4]在职!$A:$B,2,0)</f>
        <v>01720</v>
      </c>
      <c r="N1062" s="83" t="str">
        <f>VLOOKUP(K1062,[4]在职!$A:$G,7,0)</f>
        <v>陕西2部</v>
      </c>
      <c r="O1062" s="83" t="str">
        <f>VLOOKUP(K1062,[4]在职!$A:$I,9,0)</f>
        <v>一星销售顾问</v>
      </c>
      <c r="P1062" s="83">
        <f>VLOOKUP(K1062,[4]在职!$A:$D,4,0)</f>
        <v>45938</v>
      </c>
      <c r="Q1062" s="102">
        <v>5</v>
      </c>
      <c r="R1062" s="102">
        <v>5</v>
      </c>
      <c r="S1062" s="104">
        <v>100</v>
      </c>
    </row>
    <row r="1063" ht="16.5" hidden="1" spans="1:19">
      <c r="A1063" s="46">
        <v>1061</v>
      </c>
      <c r="B1063" s="46" t="s">
        <v>45</v>
      </c>
      <c r="C1063" s="46" t="s">
        <v>31</v>
      </c>
      <c r="D1063" s="46" t="s">
        <v>27</v>
      </c>
      <c r="E1063" s="46" t="s">
        <v>1080</v>
      </c>
      <c r="F1063" s="46" t="s">
        <v>1077</v>
      </c>
      <c r="G1063" s="46" t="s">
        <v>904</v>
      </c>
      <c r="H1063" s="46" t="s">
        <v>1433</v>
      </c>
      <c r="I1063" s="46" t="s">
        <v>905</v>
      </c>
      <c r="J1063" s="83">
        <v>46093</v>
      </c>
      <c r="K1063" s="46" t="s">
        <v>1453</v>
      </c>
      <c r="L1063" s="46" t="s">
        <v>915</v>
      </c>
      <c r="M1063" s="83" t="str">
        <f>VLOOKUP(K1063,[4]在职!$A:$B,2,0)</f>
        <v>01632</v>
      </c>
      <c r="N1063" s="83" t="str">
        <f>VLOOKUP(K1063,[4]在职!$A:$G,7,0)</f>
        <v>湖北1部</v>
      </c>
      <c r="O1063" s="83" t="str">
        <f>VLOOKUP(K1063,[4]在职!$A:$I,9,0)</f>
        <v>一星销售顾问</v>
      </c>
      <c r="P1063" s="83">
        <f>VLOOKUP(K1063,[4]在职!$A:$D,4,0)</f>
        <v>45873</v>
      </c>
      <c r="Q1063" s="102">
        <v>5</v>
      </c>
      <c r="R1063" s="102">
        <v>5</v>
      </c>
      <c r="S1063" s="104">
        <v>83</v>
      </c>
    </row>
    <row r="1064" ht="16.5" hidden="1" spans="1:19">
      <c r="A1064" s="46">
        <v>1062</v>
      </c>
      <c r="B1064" s="46" t="s">
        <v>45</v>
      </c>
      <c r="C1064" s="46" t="s">
        <v>29</v>
      </c>
      <c r="D1064" s="46" t="s">
        <v>27</v>
      </c>
      <c r="E1064" s="46" t="s">
        <v>1080</v>
      </c>
      <c r="F1064" s="46" t="s">
        <v>1077</v>
      </c>
      <c r="G1064" s="46" t="s">
        <v>904</v>
      </c>
      <c r="H1064" s="46" t="s">
        <v>1433</v>
      </c>
      <c r="I1064" s="46" t="s">
        <v>905</v>
      </c>
      <c r="J1064" s="83">
        <v>46093</v>
      </c>
      <c r="K1064" s="46" t="s">
        <v>1253</v>
      </c>
      <c r="L1064" s="46" t="s">
        <v>915</v>
      </c>
      <c r="M1064" s="83" t="str">
        <f>VLOOKUP(K1064,[4]在职!$A:$B,2,0)</f>
        <v>01762</v>
      </c>
      <c r="N1064" s="83" t="str">
        <f>VLOOKUP(K1064,[4]在职!$A:$G,7,0)</f>
        <v>河南销售部</v>
      </c>
      <c r="O1064" s="83" t="str">
        <f>VLOOKUP(K1064,[4]在职!$A:$I,9,0)</f>
        <v>一星销售顾问</v>
      </c>
      <c r="P1064" s="83">
        <f>VLOOKUP(K1064,[4]在职!$A:$D,4,0)</f>
        <v>45958</v>
      </c>
      <c r="Q1064" s="102">
        <v>5</v>
      </c>
      <c r="R1064" s="102">
        <v>5</v>
      </c>
      <c r="S1064" s="104">
        <v>68</v>
      </c>
    </row>
    <row r="1065" ht="16.5" hidden="1" spans="1:19">
      <c r="A1065" s="46">
        <v>1063</v>
      </c>
      <c r="B1065" s="46" t="s">
        <v>45</v>
      </c>
      <c r="C1065" s="46" t="s">
        <v>29</v>
      </c>
      <c r="D1065" s="46" t="s">
        <v>27</v>
      </c>
      <c r="E1065" s="46" t="s">
        <v>1080</v>
      </c>
      <c r="F1065" s="46" t="s">
        <v>1077</v>
      </c>
      <c r="G1065" s="46" t="s">
        <v>904</v>
      </c>
      <c r="H1065" s="46" t="s">
        <v>1433</v>
      </c>
      <c r="I1065" s="46" t="s">
        <v>905</v>
      </c>
      <c r="J1065" s="83">
        <v>46093</v>
      </c>
      <c r="K1065" s="46" t="s">
        <v>1255</v>
      </c>
      <c r="L1065" s="46" t="s">
        <v>915</v>
      </c>
      <c r="M1065" s="83" t="str">
        <f>VLOOKUP(K1065,[4]在职!$A:$B,2,0)</f>
        <v>01766</v>
      </c>
      <c r="N1065" s="83" t="str">
        <f>VLOOKUP(K1065,[4]在职!$A:$G,7,0)</f>
        <v>河南销售部</v>
      </c>
      <c r="O1065" s="83" t="str">
        <f>VLOOKUP(K1065,[4]在职!$A:$I,9,0)</f>
        <v>一星销售顾问</v>
      </c>
      <c r="P1065" s="83">
        <f>VLOOKUP(K1065,[4]在职!$A:$D,4,0)</f>
        <v>45958</v>
      </c>
      <c r="Q1065" s="102">
        <v>5</v>
      </c>
      <c r="R1065" s="102">
        <v>5</v>
      </c>
      <c r="S1065" s="104">
        <v>88</v>
      </c>
    </row>
    <row r="1066" ht="16.5" hidden="1" spans="1:19">
      <c r="A1066" s="46">
        <v>1064</v>
      </c>
      <c r="B1066" s="46" t="s">
        <v>45</v>
      </c>
      <c r="C1066" s="46" t="s">
        <v>38</v>
      </c>
      <c r="D1066" s="46" t="s">
        <v>27</v>
      </c>
      <c r="E1066" s="46" t="s">
        <v>1080</v>
      </c>
      <c r="F1066" s="46" t="s">
        <v>1077</v>
      </c>
      <c r="G1066" s="46" t="s">
        <v>904</v>
      </c>
      <c r="H1066" s="46" t="s">
        <v>1433</v>
      </c>
      <c r="I1066" s="46" t="s">
        <v>905</v>
      </c>
      <c r="J1066" s="83">
        <v>46093</v>
      </c>
      <c r="K1066" s="46" t="s">
        <v>1454</v>
      </c>
      <c r="L1066" s="46" t="s">
        <v>915</v>
      </c>
      <c r="M1066" s="83" t="str">
        <f>VLOOKUP(K1066,[4]在职!$A:$B,2,0)</f>
        <v>01693</v>
      </c>
      <c r="N1066" s="83" t="str">
        <f>VLOOKUP(K1066,[4]在职!$A:$G,7,0)</f>
        <v>营业七部</v>
      </c>
      <c r="O1066" s="83" t="str">
        <f>VLOOKUP(K1066,[4]在职!$A:$I,9,0)</f>
        <v>一星销售顾问</v>
      </c>
      <c r="P1066" s="83">
        <f>VLOOKUP(K1066,[4]在职!$A:$D,4,0)</f>
        <v>45908</v>
      </c>
      <c r="Q1066" s="102">
        <v>5</v>
      </c>
      <c r="R1066" s="102">
        <v>5</v>
      </c>
      <c r="S1066" s="104">
        <v>88</v>
      </c>
    </row>
    <row r="1067" ht="16.5" hidden="1" spans="1:19">
      <c r="A1067" s="46">
        <v>1065</v>
      </c>
      <c r="B1067" s="46" t="s">
        <v>45</v>
      </c>
      <c r="C1067" s="46" t="s">
        <v>38</v>
      </c>
      <c r="D1067" s="46" t="s">
        <v>27</v>
      </c>
      <c r="E1067" s="46" t="s">
        <v>1080</v>
      </c>
      <c r="F1067" s="46" t="s">
        <v>1077</v>
      </c>
      <c r="G1067" s="46" t="s">
        <v>904</v>
      </c>
      <c r="H1067" s="46" t="s">
        <v>1433</v>
      </c>
      <c r="I1067" s="46" t="s">
        <v>905</v>
      </c>
      <c r="J1067" s="83">
        <v>46093</v>
      </c>
      <c r="K1067" s="46" t="s">
        <v>1455</v>
      </c>
      <c r="L1067" s="46" t="s">
        <v>915</v>
      </c>
      <c r="M1067" s="83" t="str">
        <f>VLOOKUP(K1067,[4]在职!$A:$B,2,0)</f>
        <v>01675</v>
      </c>
      <c r="N1067" s="83" t="str">
        <f>VLOOKUP(K1067,[4]在职!$A:$G,7,0)</f>
        <v>营业七部</v>
      </c>
      <c r="O1067" s="83" t="str">
        <f>VLOOKUP(K1067,[4]在职!$A:$I,9,0)</f>
        <v>一星销售顾问</v>
      </c>
      <c r="P1067" s="83">
        <f>VLOOKUP(K1067,[4]在职!$A:$D,4,0)</f>
        <v>45894</v>
      </c>
      <c r="Q1067" s="102">
        <v>5</v>
      </c>
      <c r="R1067" s="102">
        <v>5</v>
      </c>
      <c r="S1067" s="104">
        <v>82</v>
      </c>
    </row>
    <row r="1068" ht="16.5" hidden="1" spans="1:19">
      <c r="A1068" s="46">
        <v>1066</v>
      </c>
      <c r="B1068" s="46" t="s">
        <v>45</v>
      </c>
      <c r="C1068" s="46" t="s">
        <v>31</v>
      </c>
      <c r="D1068" s="46" t="s">
        <v>27</v>
      </c>
      <c r="E1068" s="46" t="s">
        <v>1080</v>
      </c>
      <c r="F1068" s="46" t="s">
        <v>1077</v>
      </c>
      <c r="G1068" s="46" t="s">
        <v>904</v>
      </c>
      <c r="H1068" s="46" t="s">
        <v>1433</v>
      </c>
      <c r="I1068" s="46" t="s">
        <v>905</v>
      </c>
      <c r="J1068" s="83">
        <v>46093</v>
      </c>
      <c r="K1068" s="46" t="s">
        <v>1456</v>
      </c>
      <c r="L1068" s="46" t="s">
        <v>915</v>
      </c>
      <c r="M1068" s="83" t="str">
        <f>VLOOKUP(K1068,[4]在职!$A:$B,2,0)</f>
        <v>01480</v>
      </c>
      <c r="N1068" s="83" t="str">
        <f>VLOOKUP(K1068,[4]在职!$A:$G,7,0)</f>
        <v>湖北1部</v>
      </c>
      <c r="O1068" s="83" t="str">
        <f>VLOOKUP(K1068,[4]在职!$A:$I,9,0)</f>
        <v>一星销售顾问</v>
      </c>
      <c r="P1068" s="83">
        <f>VLOOKUP(K1068,[4]在职!$A:$D,4,0)</f>
        <v>45791</v>
      </c>
      <c r="Q1068" s="102">
        <v>5</v>
      </c>
      <c r="R1068" s="102">
        <v>5</v>
      </c>
      <c r="S1068" s="104">
        <v>100</v>
      </c>
    </row>
    <row r="1069" ht="16.5" hidden="1" spans="1:19">
      <c r="A1069" s="46">
        <v>1067</v>
      </c>
      <c r="B1069" s="46" t="s">
        <v>45</v>
      </c>
      <c r="C1069" s="46" t="s">
        <v>31</v>
      </c>
      <c r="D1069" s="46" t="s">
        <v>27</v>
      </c>
      <c r="E1069" s="46" t="s">
        <v>1080</v>
      </c>
      <c r="F1069" s="46" t="s">
        <v>1077</v>
      </c>
      <c r="G1069" s="46" t="s">
        <v>904</v>
      </c>
      <c r="H1069" s="46" t="s">
        <v>1433</v>
      </c>
      <c r="I1069" s="46" t="s">
        <v>905</v>
      </c>
      <c r="J1069" s="83">
        <v>46093</v>
      </c>
      <c r="K1069" s="46" t="s">
        <v>1030</v>
      </c>
      <c r="L1069" s="46" t="s">
        <v>915</v>
      </c>
      <c r="M1069" s="83" t="str">
        <f>VLOOKUP(K1069,[4]在职!$A:$B,2,0)</f>
        <v>01187</v>
      </c>
      <c r="N1069" s="83" t="str">
        <f>VLOOKUP(K1069,[4]在职!$A:$G,7,0)</f>
        <v>湖北1部</v>
      </c>
      <c r="O1069" s="83" t="str">
        <f>VLOOKUP(K1069,[4]在职!$A:$I,9,0)</f>
        <v>二星销售顾问</v>
      </c>
      <c r="P1069" s="83">
        <f>VLOOKUP(K1069,[4]在职!$A:$D,4,0)</f>
        <v>45615</v>
      </c>
      <c r="Q1069" s="102">
        <v>5</v>
      </c>
      <c r="R1069" s="102">
        <v>5</v>
      </c>
      <c r="S1069" s="104">
        <v>81</v>
      </c>
    </row>
    <row r="1070" ht="16.5" hidden="1" spans="1:19">
      <c r="A1070" s="46">
        <v>1068</v>
      </c>
      <c r="B1070" s="46" t="s">
        <v>45</v>
      </c>
      <c r="C1070" s="46" t="s">
        <v>29</v>
      </c>
      <c r="D1070" s="46" t="s">
        <v>27</v>
      </c>
      <c r="E1070" s="46" t="s">
        <v>1080</v>
      </c>
      <c r="F1070" s="46" t="s">
        <v>1077</v>
      </c>
      <c r="G1070" s="46" t="s">
        <v>904</v>
      </c>
      <c r="H1070" s="46" t="s">
        <v>1433</v>
      </c>
      <c r="I1070" s="46" t="s">
        <v>905</v>
      </c>
      <c r="J1070" s="83">
        <v>46093</v>
      </c>
      <c r="K1070" s="46" t="s">
        <v>1457</v>
      </c>
      <c r="L1070" s="46" t="s">
        <v>915</v>
      </c>
      <c r="M1070" s="83" t="str">
        <f>VLOOKUP(K1070,[4]在职!$A:$B,2,0)</f>
        <v>01626</v>
      </c>
      <c r="N1070" s="83" t="str">
        <f>VLOOKUP(K1070,[4]在职!$A:$G,7,0)</f>
        <v>河南销售部</v>
      </c>
      <c r="O1070" s="83" t="str">
        <f>VLOOKUP(K1070,[4]在职!$A:$I,9,0)</f>
        <v>一星销售顾问</v>
      </c>
      <c r="P1070" s="83">
        <f>VLOOKUP(K1070,[4]在职!$A:$D,4,0)</f>
        <v>45867</v>
      </c>
      <c r="Q1070" s="102">
        <v>5</v>
      </c>
      <c r="R1070" s="102">
        <v>5</v>
      </c>
      <c r="S1070" s="104">
        <v>82</v>
      </c>
    </row>
    <row r="1071" ht="16.5" hidden="1" spans="1:19">
      <c r="A1071" s="46">
        <v>1069</v>
      </c>
      <c r="B1071" s="46" t="s">
        <v>45</v>
      </c>
      <c r="C1071" s="46" t="s">
        <v>31</v>
      </c>
      <c r="D1071" s="46" t="s">
        <v>27</v>
      </c>
      <c r="E1071" s="46" t="s">
        <v>1080</v>
      </c>
      <c r="F1071" s="46" t="s">
        <v>1077</v>
      </c>
      <c r="G1071" s="46" t="s">
        <v>904</v>
      </c>
      <c r="H1071" s="46" t="s">
        <v>1433</v>
      </c>
      <c r="I1071" s="46" t="s">
        <v>905</v>
      </c>
      <c r="J1071" s="83">
        <v>46093</v>
      </c>
      <c r="K1071" s="46" t="s">
        <v>946</v>
      </c>
      <c r="L1071" s="46" t="s">
        <v>915</v>
      </c>
      <c r="M1071" s="83" t="str">
        <f>VLOOKUP(K1071,[4]在职!$A:$B,2,0)</f>
        <v>01636</v>
      </c>
      <c r="N1071" s="83" t="str">
        <f>VLOOKUP(K1071,[4]在职!$A:$G,7,0)</f>
        <v>湖北1部</v>
      </c>
      <c r="O1071" s="83" t="str">
        <f>VLOOKUP(K1071,[4]在职!$A:$I,9,0)</f>
        <v>一星销售顾问</v>
      </c>
      <c r="P1071" s="83">
        <f>VLOOKUP(K1071,[4]在职!$A:$D,4,0)</f>
        <v>45872</v>
      </c>
      <c r="Q1071" s="102">
        <v>5</v>
      </c>
      <c r="R1071" s="102">
        <v>5</v>
      </c>
      <c r="S1071" s="104">
        <v>90</v>
      </c>
    </row>
    <row r="1072" ht="16.5" hidden="1" spans="1:19">
      <c r="A1072" s="46">
        <v>1070</v>
      </c>
      <c r="B1072" s="46" t="s">
        <v>45</v>
      </c>
      <c r="C1072" s="46" t="s">
        <v>38</v>
      </c>
      <c r="D1072" s="46" t="s">
        <v>27</v>
      </c>
      <c r="E1072" s="46" t="s">
        <v>1080</v>
      </c>
      <c r="F1072" s="46" t="s">
        <v>1077</v>
      </c>
      <c r="G1072" s="46" t="s">
        <v>904</v>
      </c>
      <c r="H1072" s="46" t="s">
        <v>1433</v>
      </c>
      <c r="I1072" s="46" t="s">
        <v>905</v>
      </c>
      <c r="J1072" s="83">
        <v>46093</v>
      </c>
      <c r="K1072" s="46" t="s">
        <v>992</v>
      </c>
      <c r="L1072" s="46" t="s">
        <v>915</v>
      </c>
      <c r="M1072" s="83" t="str">
        <f>VLOOKUP(K1072,[4]在职!$A:$B,2,0)</f>
        <v>01398</v>
      </c>
      <c r="N1072" s="83" t="str">
        <f>VLOOKUP(K1072,[4]在职!$A:$G,7,0)</f>
        <v>营业六部</v>
      </c>
      <c r="O1072" s="83" t="str">
        <f>VLOOKUP(K1072,[4]在职!$A:$I,9,0)</f>
        <v>二星销售顾问</v>
      </c>
      <c r="P1072" s="83">
        <f>VLOOKUP(K1072,[4]在职!$A:$D,4,0)</f>
        <v>45738</v>
      </c>
      <c r="Q1072" s="102">
        <v>5</v>
      </c>
      <c r="R1072" s="102">
        <v>5</v>
      </c>
      <c r="S1072" s="104">
        <v>100</v>
      </c>
    </row>
    <row r="1073" ht="16.5" hidden="1" spans="1:19">
      <c r="A1073" s="46">
        <v>1071</v>
      </c>
      <c r="B1073" s="46" t="s">
        <v>45</v>
      </c>
      <c r="C1073" s="46" t="s">
        <v>35</v>
      </c>
      <c r="D1073" s="46" t="s">
        <v>27</v>
      </c>
      <c r="E1073" s="46" t="s">
        <v>1080</v>
      </c>
      <c r="F1073" s="46" t="s">
        <v>1077</v>
      </c>
      <c r="G1073" s="46" t="s">
        <v>904</v>
      </c>
      <c r="H1073" s="46" t="s">
        <v>1433</v>
      </c>
      <c r="I1073" s="46" t="s">
        <v>905</v>
      </c>
      <c r="J1073" s="83">
        <v>46093</v>
      </c>
      <c r="K1073" s="46" t="s">
        <v>1458</v>
      </c>
      <c r="L1073" s="46" t="s">
        <v>915</v>
      </c>
      <c r="M1073" s="83" t="str">
        <f>VLOOKUP(K1073,[4]在职!$A:$B,2,0)</f>
        <v>01692</v>
      </c>
      <c r="N1073" s="83" t="str">
        <f>VLOOKUP(K1073,[4]在职!$A:$G,7,0)</f>
        <v>山东销售部</v>
      </c>
      <c r="O1073" s="83" t="str">
        <f>VLOOKUP(K1073,[4]在职!$A:$I,9,0)</f>
        <v>一星销售顾问</v>
      </c>
      <c r="P1073" s="83">
        <f>VLOOKUP(K1073,[4]在职!$A:$D,4,0)</f>
        <v>45910</v>
      </c>
      <c r="Q1073" s="102">
        <v>5</v>
      </c>
      <c r="R1073" s="102">
        <v>5</v>
      </c>
      <c r="S1073" s="104">
        <v>80</v>
      </c>
    </row>
    <row r="1074" ht="16.5" hidden="1" spans="1:19">
      <c r="A1074" s="46">
        <v>1072</v>
      </c>
      <c r="B1074" s="46" t="s">
        <v>45</v>
      </c>
      <c r="C1074" s="46" t="s">
        <v>33</v>
      </c>
      <c r="D1074" s="46" t="s">
        <v>27</v>
      </c>
      <c r="E1074" s="46" t="s">
        <v>1080</v>
      </c>
      <c r="F1074" s="46" t="s">
        <v>1077</v>
      </c>
      <c r="G1074" s="46" t="s">
        <v>904</v>
      </c>
      <c r="H1074" s="46" t="s">
        <v>1433</v>
      </c>
      <c r="I1074" s="46" t="s">
        <v>905</v>
      </c>
      <c r="J1074" s="83">
        <v>46093</v>
      </c>
      <c r="K1074" s="46" t="s">
        <v>998</v>
      </c>
      <c r="L1074" s="46" t="s">
        <v>915</v>
      </c>
      <c r="M1074" s="83" t="str">
        <f>VLOOKUP(K1074,[4]在职!$A:$B,2,0)</f>
        <v>01542</v>
      </c>
      <c r="N1074" s="83" t="str">
        <f>VLOOKUP(K1074,[4]在职!$A:$G,7,0)</f>
        <v>辽宁销售部</v>
      </c>
      <c r="O1074" s="83" t="str">
        <f>VLOOKUP(K1074,[4]在职!$A:$I,9,0)</f>
        <v>一星销售顾问</v>
      </c>
      <c r="P1074" s="83">
        <f>VLOOKUP(K1074,[4]在职!$A:$D,4,0)</f>
        <v>45827</v>
      </c>
      <c r="Q1074" s="102">
        <v>0</v>
      </c>
      <c r="R1074" s="102">
        <v>0</v>
      </c>
      <c r="S1074" s="104">
        <v>80</v>
      </c>
    </row>
    <row r="1075" ht="16.5" hidden="1" spans="1:19">
      <c r="A1075" s="46">
        <v>1073</v>
      </c>
      <c r="B1075" s="46" t="s">
        <v>45</v>
      </c>
      <c r="C1075" s="46" t="s">
        <v>33</v>
      </c>
      <c r="D1075" s="46" t="s">
        <v>27</v>
      </c>
      <c r="E1075" s="46" t="s">
        <v>1080</v>
      </c>
      <c r="F1075" s="46" t="s">
        <v>1077</v>
      </c>
      <c r="G1075" s="46" t="s">
        <v>904</v>
      </c>
      <c r="H1075" s="46" t="s">
        <v>1433</v>
      </c>
      <c r="I1075" s="46" t="s">
        <v>905</v>
      </c>
      <c r="J1075" s="83">
        <v>46093</v>
      </c>
      <c r="K1075" s="46" t="s">
        <v>990</v>
      </c>
      <c r="L1075" s="46" t="s">
        <v>915</v>
      </c>
      <c r="M1075" s="83" t="str">
        <f>VLOOKUP(K1075,[4]在职!$A:$B,2,0)</f>
        <v>01426</v>
      </c>
      <c r="N1075" s="83" t="str">
        <f>VLOOKUP(K1075,[4]在职!$A:$G,7,0)</f>
        <v>辽宁销售部</v>
      </c>
      <c r="O1075" s="83" t="str">
        <f>VLOOKUP(K1075,[4]在职!$A:$I,9,0)</f>
        <v>二星销售顾问</v>
      </c>
      <c r="P1075" s="83">
        <f>VLOOKUP(K1075,[4]在职!$A:$D,4,0)</f>
        <v>45754</v>
      </c>
      <c r="Q1075" s="102">
        <v>5</v>
      </c>
      <c r="R1075" s="102">
        <v>5</v>
      </c>
      <c r="S1075" s="104">
        <v>100</v>
      </c>
    </row>
    <row r="1076" ht="16.5" hidden="1" spans="1:19">
      <c r="A1076" s="46">
        <v>1074</v>
      </c>
      <c r="B1076" s="46" t="s">
        <v>45</v>
      </c>
      <c r="C1076" s="46" t="s">
        <v>35</v>
      </c>
      <c r="D1076" s="46" t="s">
        <v>27</v>
      </c>
      <c r="E1076" s="46" t="s">
        <v>1080</v>
      </c>
      <c r="F1076" s="46" t="s">
        <v>1077</v>
      </c>
      <c r="G1076" s="46" t="s">
        <v>904</v>
      </c>
      <c r="H1076" s="46" t="s">
        <v>1433</v>
      </c>
      <c r="I1076" s="46" t="s">
        <v>905</v>
      </c>
      <c r="J1076" s="83">
        <v>46093</v>
      </c>
      <c r="K1076" s="46" t="s">
        <v>1459</v>
      </c>
      <c r="L1076" s="46" t="s">
        <v>915</v>
      </c>
      <c r="M1076" s="83" t="str">
        <f>VLOOKUP(K1076,[4]在职!$A:$B,2,0)</f>
        <v>01664</v>
      </c>
      <c r="N1076" s="83" t="str">
        <f>VLOOKUP(K1076,[4]在职!$A:$G,7,0)</f>
        <v>山东销售部</v>
      </c>
      <c r="O1076" s="83" t="str">
        <f>VLOOKUP(K1076,[4]在职!$A:$I,9,0)</f>
        <v>一星销售顾问</v>
      </c>
      <c r="P1076" s="83">
        <f>VLOOKUP(K1076,[4]在职!$A:$D,4,0)</f>
        <v>45885</v>
      </c>
      <c r="Q1076" s="102">
        <v>5</v>
      </c>
      <c r="R1076" s="102">
        <v>5</v>
      </c>
      <c r="S1076" s="104">
        <v>80</v>
      </c>
    </row>
    <row r="1077" ht="16.5" hidden="1" spans="1:19">
      <c r="A1077" s="46">
        <v>1075</v>
      </c>
      <c r="B1077" s="46" t="s">
        <v>45</v>
      </c>
      <c r="C1077" s="46" t="s">
        <v>37</v>
      </c>
      <c r="D1077" s="46" t="s">
        <v>27</v>
      </c>
      <c r="E1077" s="46" t="s">
        <v>1080</v>
      </c>
      <c r="F1077" s="46" t="s">
        <v>1077</v>
      </c>
      <c r="G1077" s="46" t="s">
        <v>904</v>
      </c>
      <c r="H1077" s="46" t="s">
        <v>1433</v>
      </c>
      <c r="I1077" s="46" t="s">
        <v>905</v>
      </c>
      <c r="J1077" s="83">
        <v>46093</v>
      </c>
      <c r="K1077" s="46" t="s">
        <v>1460</v>
      </c>
      <c r="L1077" s="46" t="s">
        <v>915</v>
      </c>
      <c r="M1077" s="83" t="str">
        <f>VLOOKUP(K1077,[4]在职!$A:$B,2,0)</f>
        <v>01566</v>
      </c>
      <c r="N1077" s="83" t="str">
        <f>VLOOKUP(K1077,[4]在职!$A:$G,7,0)</f>
        <v>陕西2部</v>
      </c>
      <c r="O1077" s="83" t="str">
        <f>VLOOKUP(K1077,[4]在职!$A:$I,9,0)</f>
        <v>一星销售顾问</v>
      </c>
      <c r="P1077" s="83">
        <f>VLOOKUP(K1077,[4]在职!$A:$D,4,0)</f>
        <v>45838</v>
      </c>
      <c r="Q1077" s="102">
        <v>5</v>
      </c>
      <c r="R1077" s="102">
        <v>5</v>
      </c>
      <c r="S1077" s="104">
        <v>82</v>
      </c>
    </row>
    <row r="1078" ht="16.5" hidden="1" spans="1:19">
      <c r="A1078" s="46">
        <v>1076</v>
      </c>
      <c r="B1078" s="46" t="s">
        <v>45</v>
      </c>
      <c r="C1078" s="46" t="s">
        <v>38</v>
      </c>
      <c r="D1078" s="46" t="s">
        <v>27</v>
      </c>
      <c r="E1078" s="46" t="s">
        <v>1080</v>
      </c>
      <c r="F1078" s="46" t="s">
        <v>1077</v>
      </c>
      <c r="G1078" s="46" t="s">
        <v>904</v>
      </c>
      <c r="H1078" s="46" t="s">
        <v>1433</v>
      </c>
      <c r="I1078" s="46" t="s">
        <v>905</v>
      </c>
      <c r="J1078" s="83">
        <v>46093</v>
      </c>
      <c r="K1078" s="46" t="s">
        <v>1227</v>
      </c>
      <c r="L1078" s="46" t="s">
        <v>915</v>
      </c>
      <c r="M1078" s="83" t="str">
        <f>VLOOKUP(K1078,[4]在职!$A:$B,2,0)</f>
        <v>01764</v>
      </c>
      <c r="N1078" s="83" t="str">
        <f>VLOOKUP(K1078,[4]在职!$A:$G,7,0)</f>
        <v>营业二部</v>
      </c>
      <c r="O1078" s="83" t="str">
        <f>VLOOKUP(K1078,[4]在职!$A:$I,9,0)</f>
        <v>一星销售顾问</v>
      </c>
      <c r="P1078" s="83">
        <f>VLOOKUP(K1078,[4]在职!$A:$D,4,0)</f>
        <v>45962</v>
      </c>
      <c r="Q1078" s="102">
        <v>5</v>
      </c>
      <c r="R1078" s="102">
        <v>5</v>
      </c>
      <c r="S1078" s="104">
        <v>83</v>
      </c>
    </row>
    <row r="1079" ht="16.5" hidden="1" spans="1:19">
      <c r="A1079" s="46">
        <v>1077</v>
      </c>
      <c r="B1079" s="46" t="s">
        <v>45</v>
      </c>
      <c r="C1079" s="46" t="s">
        <v>38</v>
      </c>
      <c r="D1079" s="46" t="s">
        <v>27</v>
      </c>
      <c r="E1079" s="46" t="s">
        <v>1080</v>
      </c>
      <c r="F1079" s="46" t="s">
        <v>1077</v>
      </c>
      <c r="G1079" s="46" t="s">
        <v>904</v>
      </c>
      <c r="H1079" s="46" t="s">
        <v>1433</v>
      </c>
      <c r="I1079" s="46" t="s">
        <v>905</v>
      </c>
      <c r="J1079" s="83">
        <v>46093</v>
      </c>
      <c r="K1079" s="46" t="s">
        <v>1461</v>
      </c>
      <c r="L1079" s="46" t="s">
        <v>915</v>
      </c>
      <c r="M1079" s="83" t="str">
        <f>VLOOKUP(K1079,[4]在职!$A:$B,2,0)</f>
        <v>01731</v>
      </c>
      <c r="N1079" s="83" t="str">
        <f>VLOOKUP(K1079,[4]在职!$A:$G,7,0)</f>
        <v>湖南销售部</v>
      </c>
      <c r="O1079" s="83" t="str">
        <f>VLOOKUP(K1079,[4]在职!$A:$I,9,0)</f>
        <v>一星销售顾问</v>
      </c>
      <c r="P1079" s="83">
        <f>VLOOKUP(K1079,[4]在职!$A:$D,4,0)</f>
        <v>45943</v>
      </c>
      <c r="Q1079" s="102">
        <v>5</v>
      </c>
      <c r="R1079" s="102">
        <v>5</v>
      </c>
      <c r="S1079" s="104">
        <v>82</v>
      </c>
    </row>
    <row r="1080" ht="16.5" hidden="1" spans="1:19">
      <c r="A1080" s="46">
        <v>1078</v>
      </c>
      <c r="B1080" s="46" t="s">
        <v>45</v>
      </c>
      <c r="C1080" s="46" t="s">
        <v>35</v>
      </c>
      <c r="D1080" s="46" t="s">
        <v>27</v>
      </c>
      <c r="E1080" s="46" t="s">
        <v>1080</v>
      </c>
      <c r="F1080" s="46" t="s">
        <v>1077</v>
      </c>
      <c r="G1080" s="46" t="s">
        <v>904</v>
      </c>
      <c r="H1080" s="46" t="s">
        <v>1433</v>
      </c>
      <c r="I1080" s="46" t="s">
        <v>905</v>
      </c>
      <c r="J1080" s="83">
        <v>46093</v>
      </c>
      <c r="K1080" s="46" t="s">
        <v>1462</v>
      </c>
      <c r="L1080" s="46" t="s">
        <v>915</v>
      </c>
      <c r="M1080" s="83" t="str">
        <f>VLOOKUP(K1080,[4]在职!$A:$B,2,0)</f>
        <v>01561</v>
      </c>
      <c r="N1080" s="83" t="str">
        <f>VLOOKUP(K1080,[4]在职!$A:$G,7,0)</f>
        <v>山东销售部</v>
      </c>
      <c r="O1080" s="83" t="str">
        <f>VLOOKUP(K1080,[4]在职!$A:$I,9,0)</f>
        <v>一星销售顾问</v>
      </c>
      <c r="P1080" s="83">
        <f>VLOOKUP(K1080,[4]在职!$A:$D,4,0)</f>
        <v>45836</v>
      </c>
      <c r="Q1080" s="102">
        <v>5</v>
      </c>
      <c r="R1080" s="102">
        <v>5</v>
      </c>
      <c r="S1080" s="104">
        <v>97</v>
      </c>
    </row>
    <row r="1081" ht="16.5" hidden="1" spans="1:19">
      <c r="A1081" s="46">
        <v>1079</v>
      </c>
      <c r="B1081" s="46" t="s">
        <v>45</v>
      </c>
      <c r="C1081" s="46" t="s">
        <v>38</v>
      </c>
      <c r="D1081" s="46" t="s">
        <v>27</v>
      </c>
      <c r="E1081" s="46" t="s">
        <v>1080</v>
      </c>
      <c r="F1081" s="46" t="s">
        <v>1077</v>
      </c>
      <c r="G1081" s="46" t="s">
        <v>904</v>
      </c>
      <c r="H1081" s="46" t="s">
        <v>1433</v>
      </c>
      <c r="I1081" s="46" t="s">
        <v>905</v>
      </c>
      <c r="J1081" s="83">
        <v>46093</v>
      </c>
      <c r="K1081" s="46" t="s">
        <v>1463</v>
      </c>
      <c r="L1081" s="46" t="s">
        <v>915</v>
      </c>
      <c r="M1081" s="83" t="str">
        <f>VLOOKUP(K1081,[4]在职!$A:$B,2,0)</f>
        <v>01455</v>
      </c>
      <c r="N1081" s="83" t="str">
        <f>VLOOKUP(K1081,[4]在职!$A:$G,7,0)</f>
        <v>营业七部</v>
      </c>
      <c r="O1081" s="83" t="str">
        <f>VLOOKUP(K1081,[4]在职!$A:$I,9,0)</f>
        <v>一星销售顾问</v>
      </c>
      <c r="P1081" s="83">
        <f>VLOOKUP(K1081,[4]在职!$A:$D,4,0)</f>
        <v>45768</v>
      </c>
      <c r="Q1081" s="102">
        <v>5</v>
      </c>
      <c r="R1081" s="102">
        <v>5</v>
      </c>
      <c r="S1081" s="104">
        <v>97</v>
      </c>
    </row>
    <row r="1082" ht="16.5" hidden="1" spans="1:19">
      <c r="A1082" s="46">
        <v>1080</v>
      </c>
      <c r="B1082" s="46" t="s">
        <v>45</v>
      </c>
      <c r="C1082" s="46" t="s">
        <v>32</v>
      </c>
      <c r="D1082" s="46" t="s">
        <v>27</v>
      </c>
      <c r="E1082" s="46" t="s">
        <v>1080</v>
      </c>
      <c r="F1082" s="46" t="s">
        <v>1077</v>
      </c>
      <c r="G1082" s="46" t="s">
        <v>904</v>
      </c>
      <c r="H1082" s="46" t="s">
        <v>1433</v>
      </c>
      <c r="I1082" s="46" t="s">
        <v>905</v>
      </c>
      <c r="J1082" s="83">
        <v>46093</v>
      </c>
      <c r="K1082" s="46" t="s">
        <v>1464</v>
      </c>
      <c r="L1082" s="46" t="s">
        <v>915</v>
      </c>
      <c r="M1082" s="83" t="str">
        <f>VLOOKUP(K1082,[4]在职!$A:$B,2,0)</f>
        <v>01683</v>
      </c>
      <c r="N1082" s="83" t="str">
        <f>VLOOKUP(K1082,[4]在职!$A:$G,7,0)</f>
        <v>湖南销售部</v>
      </c>
      <c r="O1082" s="83" t="str">
        <f>VLOOKUP(K1082,[4]在职!$A:$I,9,0)</f>
        <v>一星销售顾问</v>
      </c>
      <c r="P1082" s="83">
        <f>VLOOKUP(K1082,[4]在职!$A:$D,4,0)</f>
        <v>45899</v>
      </c>
      <c r="Q1082" s="102">
        <v>5</v>
      </c>
      <c r="R1082" s="102">
        <v>5</v>
      </c>
      <c r="S1082" s="104">
        <v>96</v>
      </c>
    </row>
    <row r="1083" ht="16.5" hidden="1" spans="1:19">
      <c r="A1083" s="46">
        <v>1081</v>
      </c>
      <c r="B1083" s="46" t="s">
        <v>45</v>
      </c>
      <c r="C1083" s="46" t="s">
        <v>38</v>
      </c>
      <c r="D1083" s="46" t="s">
        <v>27</v>
      </c>
      <c r="E1083" s="46" t="s">
        <v>1080</v>
      </c>
      <c r="F1083" s="46" t="s">
        <v>1077</v>
      </c>
      <c r="G1083" s="46" t="s">
        <v>904</v>
      </c>
      <c r="H1083" s="46" t="s">
        <v>1433</v>
      </c>
      <c r="I1083" s="46" t="s">
        <v>905</v>
      </c>
      <c r="J1083" s="83">
        <v>46093</v>
      </c>
      <c r="K1083" s="46" t="s">
        <v>1026</v>
      </c>
      <c r="L1083" s="46" t="s">
        <v>915</v>
      </c>
      <c r="M1083" s="83" t="str">
        <f>VLOOKUP(K1083,[4]在职!$A:$B,2,0)</f>
        <v>01587</v>
      </c>
      <c r="N1083" s="83" t="str">
        <f>VLOOKUP(K1083,[4]在职!$A:$G,7,0)</f>
        <v>营业五部</v>
      </c>
      <c r="O1083" s="83" t="str">
        <f>VLOOKUP(K1083,[4]在职!$A:$I,9,0)</f>
        <v>二星销售顾问</v>
      </c>
      <c r="P1083" s="83">
        <f>VLOOKUP(K1083,[4]在职!$A:$D,4,0)</f>
        <v>45845</v>
      </c>
      <c r="Q1083" s="102">
        <v>5</v>
      </c>
      <c r="R1083" s="102">
        <v>5</v>
      </c>
      <c r="S1083" s="104">
        <v>80</v>
      </c>
    </row>
    <row r="1084" ht="16.5" hidden="1" spans="1:19">
      <c r="A1084" s="46">
        <v>1082</v>
      </c>
      <c r="B1084" s="46" t="s">
        <v>45</v>
      </c>
      <c r="C1084" s="46" t="s">
        <v>38</v>
      </c>
      <c r="D1084" s="46" t="s">
        <v>27</v>
      </c>
      <c r="E1084" s="46" t="s">
        <v>1080</v>
      </c>
      <c r="F1084" s="46" t="s">
        <v>1077</v>
      </c>
      <c r="G1084" s="46" t="s">
        <v>904</v>
      </c>
      <c r="H1084" s="46" t="s">
        <v>1433</v>
      </c>
      <c r="I1084" s="46" t="s">
        <v>905</v>
      </c>
      <c r="J1084" s="83">
        <v>46093</v>
      </c>
      <c r="K1084" s="46" t="s">
        <v>1032</v>
      </c>
      <c r="L1084" s="46" t="s">
        <v>915</v>
      </c>
      <c r="M1084" s="83" t="str">
        <f>VLOOKUP(K1084,[4]在职!$A:$B,2,0)</f>
        <v>01514</v>
      </c>
      <c r="N1084" s="83" t="str">
        <f>VLOOKUP(K1084,[4]在职!$A:$G,7,0)</f>
        <v>营业五部</v>
      </c>
      <c r="O1084" s="83" t="str">
        <f>VLOOKUP(K1084,[4]在职!$A:$I,9,0)</f>
        <v>一星销售顾问</v>
      </c>
      <c r="P1084" s="83">
        <f>VLOOKUP(K1084,[4]在职!$A:$D,4,0)</f>
        <v>45814</v>
      </c>
      <c r="Q1084" s="102">
        <v>5</v>
      </c>
      <c r="R1084" s="102">
        <v>5</v>
      </c>
      <c r="S1084" s="104">
        <v>100</v>
      </c>
    </row>
    <row r="1085" ht="16.5" hidden="1" spans="1:19">
      <c r="A1085" s="46">
        <v>1083</v>
      </c>
      <c r="B1085" s="46" t="s">
        <v>45</v>
      </c>
      <c r="C1085" s="46" t="s">
        <v>38</v>
      </c>
      <c r="D1085" s="46" t="s">
        <v>27</v>
      </c>
      <c r="E1085" s="46" t="s">
        <v>1080</v>
      </c>
      <c r="F1085" s="46" t="s">
        <v>1077</v>
      </c>
      <c r="G1085" s="46" t="s">
        <v>904</v>
      </c>
      <c r="H1085" s="46" t="s">
        <v>1433</v>
      </c>
      <c r="I1085" s="46" t="s">
        <v>905</v>
      </c>
      <c r="J1085" s="83">
        <v>46093</v>
      </c>
      <c r="K1085" s="46" t="s">
        <v>1036</v>
      </c>
      <c r="L1085" s="46" t="s">
        <v>915</v>
      </c>
      <c r="M1085" s="83" t="str">
        <f>VLOOKUP(K1085,[4]在职!$A:$B,2,0)</f>
        <v>01562</v>
      </c>
      <c r="N1085" s="83" t="str">
        <f>VLOOKUP(K1085,[4]在职!$A:$G,7,0)</f>
        <v>营业二部</v>
      </c>
      <c r="O1085" s="83" t="str">
        <f>VLOOKUP(K1085,[4]在职!$A:$I,9,0)</f>
        <v>二星销售顾问</v>
      </c>
      <c r="P1085" s="83">
        <f>VLOOKUP(K1085,[4]在职!$A:$D,4,0)</f>
        <v>45838</v>
      </c>
      <c r="Q1085" s="102">
        <v>5</v>
      </c>
      <c r="R1085" s="102">
        <v>5</v>
      </c>
      <c r="S1085" s="104">
        <v>87</v>
      </c>
    </row>
    <row r="1086" ht="16.5" hidden="1" spans="1:19">
      <c r="A1086" s="46">
        <v>1084</v>
      </c>
      <c r="B1086" s="46" t="s">
        <v>45</v>
      </c>
      <c r="C1086" s="46" t="s">
        <v>37</v>
      </c>
      <c r="D1086" s="46" t="s">
        <v>27</v>
      </c>
      <c r="E1086" s="46" t="s">
        <v>1080</v>
      </c>
      <c r="F1086" s="46" t="s">
        <v>1077</v>
      </c>
      <c r="G1086" s="46" t="s">
        <v>904</v>
      </c>
      <c r="H1086" s="46" t="s">
        <v>1433</v>
      </c>
      <c r="I1086" s="46" t="s">
        <v>905</v>
      </c>
      <c r="J1086" s="83">
        <v>46093</v>
      </c>
      <c r="K1086" s="46" t="s">
        <v>1465</v>
      </c>
      <c r="L1086" s="46" t="s">
        <v>915</v>
      </c>
      <c r="M1086" s="83" t="str">
        <f>VLOOKUP(K1086,[4]在职!$A:$B,2,0)</f>
        <v>01627</v>
      </c>
      <c r="N1086" s="83" t="str">
        <f>VLOOKUP(K1086,[4]在职!$A:$G,7,0)</f>
        <v>陕西2部</v>
      </c>
      <c r="O1086" s="83" t="str">
        <f>VLOOKUP(K1086,[4]在职!$A:$I,9,0)</f>
        <v>一星销售顾问</v>
      </c>
      <c r="P1086" s="83">
        <f>VLOOKUP(K1086,[4]在职!$A:$D,4,0)</f>
        <v>45870</v>
      </c>
      <c r="Q1086" s="102">
        <v>5</v>
      </c>
      <c r="R1086" s="102">
        <v>5</v>
      </c>
      <c r="S1086" s="104">
        <v>86</v>
      </c>
    </row>
    <row r="1087" ht="16.5" hidden="1" spans="1:19">
      <c r="A1087" s="46">
        <v>1085</v>
      </c>
      <c r="B1087" s="46" t="s">
        <v>45</v>
      </c>
      <c r="C1087" s="46" t="s">
        <v>37</v>
      </c>
      <c r="D1087" s="46" t="s">
        <v>27</v>
      </c>
      <c r="E1087" s="46" t="s">
        <v>1080</v>
      </c>
      <c r="F1087" s="46" t="s">
        <v>1077</v>
      </c>
      <c r="G1087" s="46" t="s">
        <v>904</v>
      </c>
      <c r="H1087" s="46" t="s">
        <v>1433</v>
      </c>
      <c r="I1087" s="46" t="s">
        <v>905</v>
      </c>
      <c r="J1087" s="83">
        <v>46093</v>
      </c>
      <c r="K1087" s="46" t="s">
        <v>1466</v>
      </c>
      <c r="L1087" s="46" t="s">
        <v>915</v>
      </c>
      <c r="M1087" s="83" t="str">
        <f>VLOOKUP(K1087,[4]在职!$A:$B,2,0)</f>
        <v>01617</v>
      </c>
      <c r="N1087" s="83" t="str">
        <f>VLOOKUP(K1087,[4]在职!$A:$G,7,0)</f>
        <v>陕西1部</v>
      </c>
      <c r="O1087" s="83" t="str">
        <f>VLOOKUP(K1087,[4]在职!$A:$I,9,0)</f>
        <v>一星销售顾问</v>
      </c>
      <c r="P1087" s="83">
        <f>VLOOKUP(K1087,[4]在职!$A:$D,4,0)</f>
        <v>45866</v>
      </c>
      <c r="Q1087" s="102">
        <v>0</v>
      </c>
      <c r="R1087" s="102">
        <v>0</v>
      </c>
      <c r="S1087" s="104">
        <v>95</v>
      </c>
    </row>
    <row r="1088" ht="16.5" hidden="1" spans="1:19">
      <c r="A1088" s="46">
        <v>1086</v>
      </c>
      <c r="B1088" s="46" t="s">
        <v>45</v>
      </c>
      <c r="C1088" s="46" t="s">
        <v>37</v>
      </c>
      <c r="D1088" s="46" t="s">
        <v>27</v>
      </c>
      <c r="E1088" s="46" t="s">
        <v>1080</v>
      </c>
      <c r="F1088" s="46" t="s">
        <v>1077</v>
      </c>
      <c r="G1088" s="46" t="s">
        <v>904</v>
      </c>
      <c r="H1088" s="46" t="s">
        <v>1433</v>
      </c>
      <c r="I1088" s="46" t="s">
        <v>905</v>
      </c>
      <c r="J1088" s="83">
        <v>46093</v>
      </c>
      <c r="K1088" s="46" t="s">
        <v>1467</v>
      </c>
      <c r="L1088" s="46" t="s">
        <v>915</v>
      </c>
      <c r="M1088" s="83" t="str">
        <f>VLOOKUP(K1088,[4]在职!$A:$B,2,0)</f>
        <v>01489</v>
      </c>
      <c r="N1088" s="83" t="str">
        <f>VLOOKUP(K1088,[4]在职!$A:$G,7,0)</f>
        <v>陕西1部</v>
      </c>
      <c r="O1088" s="83" t="str">
        <f>VLOOKUP(K1088,[4]在职!$A:$I,9,0)</f>
        <v>一星销售顾问</v>
      </c>
      <c r="P1088" s="83">
        <f>VLOOKUP(K1088,[4]在职!$A:$D,4,0)</f>
        <v>45796</v>
      </c>
      <c r="Q1088" s="102">
        <v>5</v>
      </c>
      <c r="R1088" s="102">
        <v>5</v>
      </c>
      <c r="S1088" s="104">
        <v>95</v>
      </c>
    </row>
    <row r="1089" ht="16.5" hidden="1" spans="1:19">
      <c r="A1089" s="46">
        <v>1087</v>
      </c>
      <c r="B1089" s="46" t="s">
        <v>45</v>
      </c>
      <c r="C1089" s="46" t="s">
        <v>38</v>
      </c>
      <c r="D1089" s="46" t="s">
        <v>27</v>
      </c>
      <c r="E1089" s="46" t="s">
        <v>1080</v>
      </c>
      <c r="F1089" s="46" t="s">
        <v>1077</v>
      </c>
      <c r="G1089" s="46" t="s">
        <v>904</v>
      </c>
      <c r="H1089" s="46" t="s">
        <v>1433</v>
      </c>
      <c r="I1089" s="46" t="s">
        <v>905</v>
      </c>
      <c r="J1089" s="83">
        <v>46093</v>
      </c>
      <c r="K1089" s="46" t="s">
        <v>1044</v>
      </c>
      <c r="L1089" s="46" t="s">
        <v>915</v>
      </c>
      <c r="M1089" s="83" t="str">
        <f>VLOOKUP(K1089,[4]在职!$A:$B,2,0)</f>
        <v>01658</v>
      </c>
      <c r="N1089" s="83" t="str">
        <f>VLOOKUP(K1089,[4]在职!$A:$G,7,0)</f>
        <v>营业三部</v>
      </c>
      <c r="O1089" s="83" t="str">
        <f>VLOOKUP(K1089,[4]在职!$A:$I,9,0)</f>
        <v>一星销售顾问</v>
      </c>
      <c r="P1089" s="83">
        <f>VLOOKUP(K1089,[4]在职!$A:$D,4,0)</f>
        <v>45881</v>
      </c>
      <c r="Q1089" s="102">
        <v>5</v>
      </c>
      <c r="R1089" s="102">
        <v>5</v>
      </c>
      <c r="S1089" s="104">
        <v>80</v>
      </c>
    </row>
    <row r="1090" ht="16.5" hidden="1" spans="1:19">
      <c r="A1090" s="46">
        <v>1088</v>
      </c>
      <c r="B1090" s="46" t="s">
        <v>45</v>
      </c>
      <c r="C1090" s="46" t="s">
        <v>38</v>
      </c>
      <c r="D1090" s="46" t="s">
        <v>27</v>
      </c>
      <c r="E1090" s="46" t="s">
        <v>1080</v>
      </c>
      <c r="F1090" s="46" t="s">
        <v>1077</v>
      </c>
      <c r="G1090" s="46" t="s">
        <v>904</v>
      </c>
      <c r="H1090" s="46" t="s">
        <v>1433</v>
      </c>
      <c r="I1090" s="46" t="s">
        <v>905</v>
      </c>
      <c r="J1090" s="83">
        <v>46093</v>
      </c>
      <c r="K1090" s="46" t="s">
        <v>1046</v>
      </c>
      <c r="L1090" s="46" t="s">
        <v>915</v>
      </c>
      <c r="M1090" s="83" t="str">
        <f>VLOOKUP(K1090,[4]在职!$A:$B,2,0)</f>
        <v>01525</v>
      </c>
      <c r="N1090" s="83" t="str">
        <f>VLOOKUP(K1090,[4]在职!$A:$G,7,0)</f>
        <v>营业三部</v>
      </c>
      <c r="O1090" s="83" t="str">
        <f>VLOOKUP(K1090,[4]在职!$A:$I,9,0)</f>
        <v>一星销售顾问</v>
      </c>
      <c r="P1090" s="83">
        <f>VLOOKUP(K1090,[4]在职!$A:$D,4,0)</f>
        <v>45815</v>
      </c>
      <c r="Q1090" s="102">
        <v>5</v>
      </c>
      <c r="R1090" s="102">
        <v>5</v>
      </c>
      <c r="S1090" s="104">
        <v>80</v>
      </c>
    </row>
    <row r="1091" ht="16.5" hidden="1" spans="1:19">
      <c r="A1091" s="46">
        <v>1089</v>
      </c>
      <c r="B1091" s="46" t="s">
        <v>45</v>
      </c>
      <c r="C1091" s="46" t="s">
        <v>38</v>
      </c>
      <c r="D1091" s="46" t="s">
        <v>27</v>
      </c>
      <c r="E1091" s="46" t="s">
        <v>1080</v>
      </c>
      <c r="F1091" s="46" t="s">
        <v>1077</v>
      </c>
      <c r="G1091" s="46" t="s">
        <v>904</v>
      </c>
      <c r="H1091" s="46" t="s">
        <v>1433</v>
      </c>
      <c r="I1091" s="46" t="s">
        <v>905</v>
      </c>
      <c r="J1091" s="83">
        <v>46093</v>
      </c>
      <c r="K1091" s="46" t="s">
        <v>1468</v>
      </c>
      <c r="L1091" s="46" t="s">
        <v>915</v>
      </c>
      <c r="M1091" s="83" t="str">
        <f>VLOOKUP(K1091,[4]在职!$A:$B,2,0)</f>
        <v>01709</v>
      </c>
      <c r="N1091" s="83" t="str">
        <f>VLOOKUP(K1091,[4]在职!$A:$G,7,0)</f>
        <v>营业五部</v>
      </c>
      <c r="O1091" s="83" t="str">
        <f>VLOOKUP(K1091,[4]在职!$A:$I,9,0)</f>
        <v>一星销售顾问</v>
      </c>
      <c r="P1091" s="83">
        <f>VLOOKUP(K1091,[4]在职!$A:$D,4,0)</f>
        <v>45927</v>
      </c>
      <c r="Q1091" s="102">
        <v>5</v>
      </c>
      <c r="R1091" s="102">
        <v>5</v>
      </c>
      <c r="S1091" s="104">
        <v>84</v>
      </c>
    </row>
    <row r="1092" ht="16.5" hidden="1" spans="1:19">
      <c r="A1092" s="46">
        <v>1090</v>
      </c>
      <c r="B1092" s="46" t="s">
        <v>45</v>
      </c>
      <c r="C1092" s="46" t="s">
        <v>38</v>
      </c>
      <c r="D1092" s="46" t="s">
        <v>27</v>
      </c>
      <c r="E1092" s="46" t="s">
        <v>1080</v>
      </c>
      <c r="F1092" s="46" t="s">
        <v>1077</v>
      </c>
      <c r="G1092" s="46" t="s">
        <v>904</v>
      </c>
      <c r="H1092" s="46" t="s">
        <v>1433</v>
      </c>
      <c r="I1092" s="46" t="s">
        <v>905</v>
      </c>
      <c r="J1092" s="83">
        <v>46093</v>
      </c>
      <c r="K1092" s="46" t="s">
        <v>1469</v>
      </c>
      <c r="L1092" s="46" t="s">
        <v>915</v>
      </c>
      <c r="M1092" s="83" t="str">
        <f>VLOOKUP(K1092,[4]在职!$A:$B,2,0)</f>
        <v>01703</v>
      </c>
      <c r="N1092" s="83" t="str">
        <f>VLOOKUP(K1092,[4]在职!$A:$G,7,0)</f>
        <v>营业五部</v>
      </c>
      <c r="O1092" s="83" t="str">
        <f>VLOOKUP(K1092,[4]在职!$A:$I,9,0)</f>
        <v>一星销售顾问</v>
      </c>
      <c r="P1092" s="83">
        <f>VLOOKUP(K1092,[4]在职!$A:$D,4,0)</f>
        <v>45914</v>
      </c>
      <c r="Q1092" s="102">
        <v>5</v>
      </c>
      <c r="R1092" s="102">
        <v>5</v>
      </c>
      <c r="S1092" s="104">
        <v>88</v>
      </c>
    </row>
    <row r="1093" ht="16.5" hidden="1" spans="1:19">
      <c r="A1093" s="46">
        <v>1091</v>
      </c>
      <c r="B1093" s="46" t="s">
        <v>45</v>
      </c>
      <c r="C1093" s="46" t="s">
        <v>38</v>
      </c>
      <c r="D1093" s="46" t="s">
        <v>27</v>
      </c>
      <c r="E1093" s="46" t="s">
        <v>1080</v>
      </c>
      <c r="F1093" s="46" t="s">
        <v>1077</v>
      </c>
      <c r="G1093" s="46" t="s">
        <v>904</v>
      </c>
      <c r="H1093" s="46" t="s">
        <v>1433</v>
      </c>
      <c r="I1093" s="46" t="s">
        <v>905</v>
      </c>
      <c r="J1093" s="83">
        <v>46093</v>
      </c>
      <c r="K1093" s="46" t="s">
        <v>1470</v>
      </c>
      <c r="L1093" s="46" t="s">
        <v>915</v>
      </c>
      <c r="M1093" s="83" t="str">
        <f>VLOOKUP(K1093,[4]在职!$A:$B,2,0)</f>
        <v>01667</v>
      </c>
      <c r="N1093" s="83" t="str">
        <f>VLOOKUP(K1093,[4]在职!$A:$G,7,0)</f>
        <v>营业三部</v>
      </c>
      <c r="O1093" s="83" t="str">
        <f>VLOOKUP(K1093,[4]在职!$A:$I,9,0)</f>
        <v>一星销售顾问</v>
      </c>
      <c r="P1093" s="83">
        <f>VLOOKUP(K1093,[4]在职!$A:$D,4,0)</f>
        <v>45896</v>
      </c>
      <c r="Q1093" s="102">
        <v>5</v>
      </c>
      <c r="R1093" s="102">
        <v>5</v>
      </c>
      <c r="S1093" s="104">
        <v>100</v>
      </c>
    </row>
    <row r="1094" ht="16.5" hidden="1" spans="1:19">
      <c r="A1094" s="46">
        <v>1092</v>
      </c>
      <c r="B1094" s="46" t="s">
        <v>45</v>
      </c>
      <c r="C1094" s="46" t="s">
        <v>38</v>
      </c>
      <c r="D1094" s="46" t="s">
        <v>27</v>
      </c>
      <c r="E1094" s="46" t="s">
        <v>1080</v>
      </c>
      <c r="F1094" s="46" t="s">
        <v>1077</v>
      </c>
      <c r="G1094" s="46" t="s">
        <v>904</v>
      </c>
      <c r="H1094" s="46" t="s">
        <v>1433</v>
      </c>
      <c r="I1094" s="46" t="s">
        <v>905</v>
      </c>
      <c r="J1094" s="83">
        <v>46093</v>
      </c>
      <c r="K1094" s="46" t="s">
        <v>1048</v>
      </c>
      <c r="L1094" s="46" t="s">
        <v>915</v>
      </c>
      <c r="M1094" s="83" t="str">
        <f>VLOOKUP(K1094,[4]在职!$A:$B,2,0)</f>
        <v>01669</v>
      </c>
      <c r="N1094" s="83" t="str">
        <f>VLOOKUP(K1094,[4]在职!$A:$G,7,0)</f>
        <v>营业五部</v>
      </c>
      <c r="O1094" s="83" t="str">
        <f>VLOOKUP(K1094,[4]在职!$A:$I,9,0)</f>
        <v>一星销售顾问</v>
      </c>
      <c r="P1094" s="83">
        <f>VLOOKUP(K1094,[4]在职!$A:$D,4,0)</f>
        <v>45882</v>
      </c>
      <c r="Q1094" s="102">
        <v>5</v>
      </c>
      <c r="R1094" s="102">
        <v>5</v>
      </c>
      <c r="S1094" s="104">
        <v>84</v>
      </c>
    </row>
    <row r="1095" ht="16.5" hidden="1" spans="1:19">
      <c r="A1095" s="46">
        <v>1093</v>
      </c>
      <c r="B1095" s="46" t="s">
        <v>45</v>
      </c>
      <c r="C1095" s="46" t="s">
        <v>38</v>
      </c>
      <c r="D1095" s="46" t="s">
        <v>27</v>
      </c>
      <c r="E1095" s="46" t="s">
        <v>1080</v>
      </c>
      <c r="F1095" s="46" t="s">
        <v>1077</v>
      </c>
      <c r="G1095" s="46" t="s">
        <v>904</v>
      </c>
      <c r="H1095" s="46" t="s">
        <v>1433</v>
      </c>
      <c r="I1095" s="46" t="s">
        <v>905</v>
      </c>
      <c r="J1095" s="83">
        <v>46093</v>
      </c>
      <c r="K1095" s="46" t="s">
        <v>1052</v>
      </c>
      <c r="L1095" s="46" t="s">
        <v>915</v>
      </c>
      <c r="M1095" s="83" t="str">
        <f>VLOOKUP(K1095,[4]在职!$A:$B,2,0)</f>
        <v>01600</v>
      </c>
      <c r="N1095" s="83" t="str">
        <f>VLOOKUP(K1095,[4]在职!$A:$G,7,0)</f>
        <v>营业五部</v>
      </c>
      <c r="O1095" s="83" t="str">
        <f>VLOOKUP(K1095,[4]在职!$A:$I,9,0)</f>
        <v>二星销售顾问</v>
      </c>
      <c r="P1095" s="83">
        <f>VLOOKUP(K1095,[4]在职!$A:$D,4,0)</f>
        <v>45855</v>
      </c>
      <c r="Q1095" s="102">
        <v>5</v>
      </c>
      <c r="R1095" s="102">
        <v>5</v>
      </c>
      <c r="S1095" s="104">
        <v>88</v>
      </c>
    </row>
    <row r="1096" ht="16.5" hidden="1" spans="1:19">
      <c r="A1096" s="46">
        <v>1094</v>
      </c>
      <c r="B1096" s="46" t="s">
        <v>45</v>
      </c>
      <c r="C1096" s="46" t="s">
        <v>29</v>
      </c>
      <c r="D1096" s="46" t="s">
        <v>27</v>
      </c>
      <c r="E1096" s="46" t="s">
        <v>1080</v>
      </c>
      <c r="F1096" s="46" t="s">
        <v>1077</v>
      </c>
      <c r="G1096" s="46" t="s">
        <v>904</v>
      </c>
      <c r="H1096" s="46" t="s">
        <v>1433</v>
      </c>
      <c r="I1096" s="46" t="s">
        <v>905</v>
      </c>
      <c r="J1096" s="83">
        <v>46093</v>
      </c>
      <c r="K1096" s="46" t="s">
        <v>1471</v>
      </c>
      <c r="L1096" s="46" t="s">
        <v>915</v>
      </c>
      <c r="M1096" s="83" t="str">
        <f>VLOOKUP(K1096,[4]在职!$A:$B,2,0)</f>
        <v>01545</v>
      </c>
      <c r="N1096" s="83" t="str">
        <f>VLOOKUP(K1096,[4]在职!$A:$G,7,0)</f>
        <v>河南销售部</v>
      </c>
      <c r="O1096" s="83" t="str">
        <f>VLOOKUP(K1096,[4]在职!$A:$I,9,0)</f>
        <v>一星销售顾问</v>
      </c>
      <c r="P1096" s="83">
        <f>VLOOKUP(K1096,[4]在职!$A:$D,4,0)</f>
        <v>45826</v>
      </c>
      <c r="Q1096" s="102">
        <v>5</v>
      </c>
      <c r="R1096" s="102">
        <v>5</v>
      </c>
      <c r="S1096" s="104">
        <v>84</v>
      </c>
    </row>
    <row r="1097" ht="16.5" hidden="1" spans="1:19">
      <c r="A1097" s="46">
        <v>1095</v>
      </c>
      <c r="B1097" s="46" t="s">
        <v>45</v>
      </c>
      <c r="C1097" s="46" t="s">
        <v>38</v>
      </c>
      <c r="D1097" s="46" t="s">
        <v>27</v>
      </c>
      <c r="E1097" s="46" t="s">
        <v>1080</v>
      </c>
      <c r="F1097" s="46" t="s">
        <v>1077</v>
      </c>
      <c r="G1097" s="46" t="s">
        <v>904</v>
      </c>
      <c r="H1097" s="46" t="s">
        <v>1433</v>
      </c>
      <c r="I1097" s="46" t="s">
        <v>905</v>
      </c>
      <c r="J1097" s="83">
        <v>46093</v>
      </c>
      <c r="K1097" s="46" t="s">
        <v>1058</v>
      </c>
      <c r="L1097" s="46" t="s">
        <v>915</v>
      </c>
      <c r="M1097" s="83" t="str">
        <f>VLOOKUP(K1097,[4]在职!$A:$B,2,0)</f>
        <v>01581</v>
      </c>
      <c r="N1097" s="83" t="str">
        <f>VLOOKUP(K1097,[4]在职!$A:$G,7,0)</f>
        <v>营业七部</v>
      </c>
      <c r="O1097" s="83" t="str">
        <f>VLOOKUP(K1097,[4]在职!$A:$I,9,0)</f>
        <v>一星销售顾问</v>
      </c>
      <c r="P1097" s="83">
        <f>VLOOKUP(K1097,[4]在职!$A:$D,4,0)</f>
        <v>45841</v>
      </c>
      <c r="Q1097" s="102">
        <v>5</v>
      </c>
      <c r="R1097" s="102">
        <v>5</v>
      </c>
      <c r="S1097" s="104">
        <v>84</v>
      </c>
    </row>
    <row r="1098" ht="16.5" hidden="1" spans="1:19">
      <c r="A1098" s="46">
        <v>1096</v>
      </c>
      <c r="B1098" s="46" t="s">
        <v>45</v>
      </c>
      <c r="C1098" s="46" t="s">
        <v>29</v>
      </c>
      <c r="D1098" s="46" t="s">
        <v>27</v>
      </c>
      <c r="E1098" s="46" t="s">
        <v>1080</v>
      </c>
      <c r="F1098" s="46" t="s">
        <v>1077</v>
      </c>
      <c r="G1098" s="46" t="s">
        <v>904</v>
      </c>
      <c r="H1098" s="46" t="s">
        <v>1433</v>
      </c>
      <c r="I1098" s="46" t="s">
        <v>905</v>
      </c>
      <c r="J1098" s="83">
        <v>46093</v>
      </c>
      <c r="K1098" s="46" t="s">
        <v>1472</v>
      </c>
      <c r="L1098" s="46" t="s">
        <v>915</v>
      </c>
      <c r="M1098" s="83" t="str">
        <f>VLOOKUP(K1098,[4]在职!$A:$B,2,0)</f>
        <v>01736</v>
      </c>
      <c r="N1098" s="83" t="str">
        <f>VLOOKUP(K1098,[4]在职!$A:$G,7,0)</f>
        <v>营业三部</v>
      </c>
      <c r="O1098" s="83" t="str">
        <f>VLOOKUP(K1098,[4]在职!$A:$I,9,0)</f>
        <v>一星销售顾问</v>
      </c>
      <c r="P1098" s="83">
        <f>VLOOKUP(K1098,[4]在职!$A:$D,4,0)</f>
        <v>45943</v>
      </c>
      <c r="Q1098" s="102">
        <v>5</v>
      </c>
      <c r="R1098" s="102">
        <v>5</v>
      </c>
      <c r="S1098" s="104">
        <v>80</v>
      </c>
    </row>
    <row r="1099" ht="16.5" hidden="1" spans="1:19">
      <c r="A1099" s="46">
        <v>1097</v>
      </c>
      <c r="B1099" s="46" t="s">
        <v>45</v>
      </c>
      <c r="C1099" s="46" t="s">
        <v>38</v>
      </c>
      <c r="D1099" s="46" t="s">
        <v>27</v>
      </c>
      <c r="E1099" s="46" t="s">
        <v>1080</v>
      </c>
      <c r="F1099" s="46" t="s">
        <v>1077</v>
      </c>
      <c r="G1099" s="46" t="s">
        <v>904</v>
      </c>
      <c r="H1099" s="46" t="s">
        <v>1433</v>
      </c>
      <c r="I1099" s="46" t="s">
        <v>905</v>
      </c>
      <c r="J1099" s="83">
        <v>46093</v>
      </c>
      <c r="K1099" s="46" t="s">
        <v>1473</v>
      </c>
      <c r="L1099" s="46" t="s">
        <v>915</v>
      </c>
      <c r="M1099" s="83" t="str">
        <f>VLOOKUP(K1099,[4]在职!$A:$B,2,0)</f>
        <v>01369</v>
      </c>
      <c r="N1099" s="83" t="str">
        <f>VLOOKUP(K1099,[4]在职!$A:$G,7,0)</f>
        <v>营业一部</v>
      </c>
      <c r="O1099" s="83" t="str">
        <f>VLOOKUP(K1099,[4]在职!$A:$I,9,0)</f>
        <v>一星销售顾问</v>
      </c>
      <c r="P1099" s="83">
        <f>VLOOKUP(K1099,[4]在职!$A:$D,4,0)</f>
        <v>45722</v>
      </c>
      <c r="Q1099" s="102">
        <v>5</v>
      </c>
      <c r="R1099" s="102">
        <v>5</v>
      </c>
      <c r="S1099" s="104">
        <v>97</v>
      </c>
    </row>
    <row r="1100" ht="16.5" hidden="1" spans="1:19">
      <c r="A1100" s="46">
        <v>1098</v>
      </c>
      <c r="B1100" s="46" t="s">
        <v>45</v>
      </c>
      <c r="C1100" s="46" t="s">
        <v>31</v>
      </c>
      <c r="D1100" s="46" t="s">
        <v>27</v>
      </c>
      <c r="E1100" s="46" t="s">
        <v>1080</v>
      </c>
      <c r="F1100" s="46" t="s">
        <v>1077</v>
      </c>
      <c r="G1100" s="46" t="s">
        <v>904</v>
      </c>
      <c r="H1100" s="46" t="s">
        <v>1433</v>
      </c>
      <c r="I1100" s="46" t="s">
        <v>905</v>
      </c>
      <c r="J1100" s="83">
        <v>46093</v>
      </c>
      <c r="K1100" s="46" t="s">
        <v>926</v>
      </c>
      <c r="L1100" s="46" t="s">
        <v>915</v>
      </c>
      <c r="M1100" s="83" t="str">
        <f>VLOOKUP(K1100,[4]在职!$A:$B,2,0)</f>
        <v>01657</v>
      </c>
      <c r="N1100" s="83" t="str">
        <f>VLOOKUP(K1100,[4]在职!$A:$G,7,0)</f>
        <v>湖北1部</v>
      </c>
      <c r="O1100" s="83" t="str">
        <f>VLOOKUP(K1100,[4]在职!$A:$I,9,0)</f>
        <v>二星销售顾问</v>
      </c>
      <c r="P1100" s="83">
        <f>VLOOKUP(K1100,[4]在职!$A:$D,4,0)</f>
        <v>45883</v>
      </c>
      <c r="Q1100" s="102">
        <v>5</v>
      </c>
      <c r="R1100" s="102">
        <v>5</v>
      </c>
      <c r="S1100" s="104">
        <v>100</v>
      </c>
    </row>
    <row r="1101" ht="16.5" hidden="1" spans="1:19">
      <c r="A1101" s="46">
        <v>1099</v>
      </c>
      <c r="B1101" s="46" t="s">
        <v>45</v>
      </c>
      <c r="C1101" s="46" t="s">
        <v>31</v>
      </c>
      <c r="D1101" s="46" t="s">
        <v>27</v>
      </c>
      <c r="E1101" s="46" t="s">
        <v>1080</v>
      </c>
      <c r="F1101" s="46" t="s">
        <v>1077</v>
      </c>
      <c r="G1101" s="46" t="s">
        <v>904</v>
      </c>
      <c r="H1101" s="46" t="s">
        <v>1433</v>
      </c>
      <c r="I1101" s="46" t="s">
        <v>905</v>
      </c>
      <c r="J1101" s="83">
        <v>46093</v>
      </c>
      <c r="K1101" s="46" t="s">
        <v>1474</v>
      </c>
      <c r="L1101" s="46" t="s">
        <v>915</v>
      </c>
      <c r="M1101" s="83" t="str">
        <f>VLOOKUP(K1101,[4]在职!$A:$B,2,0)</f>
        <v>01595</v>
      </c>
      <c r="N1101" s="83" t="str">
        <f>VLOOKUP(K1101,[4]在职!$A:$G,7,0)</f>
        <v>湖北1部</v>
      </c>
      <c r="O1101" s="83" t="str">
        <f>VLOOKUP(K1101,[4]在职!$A:$I,9,0)</f>
        <v>一星销售顾问</v>
      </c>
      <c r="P1101" s="83">
        <f>VLOOKUP(K1101,[4]在职!$A:$D,4,0)</f>
        <v>45853</v>
      </c>
      <c r="Q1101" s="102">
        <v>5</v>
      </c>
      <c r="R1101" s="102">
        <v>5</v>
      </c>
      <c r="S1101" s="104">
        <v>90</v>
      </c>
    </row>
    <row r="1102" ht="16.5" hidden="1" spans="1:19">
      <c r="A1102" s="46">
        <v>1100</v>
      </c>
      <c r="B1102" s="46" t="s">
        <v>45</v>
      </c>
      <c r="C1102" s="46" t="s">
        <v>36</v>
      </c>
      <c r="D1102" s="46" t="s">
        <v>27</v>
      </c>
      <c r="E1102" s="46" t="s">
        <v>1080</v>
      </c>
      <c r="F1102" s="46" t="s">
        <v>1077</v>
      </c>
      <c r="G1102" s="46" t="s">
        <v>904</v>
      </c>
      <c r="H1102" s="46" t="s">
        <v>1433</v>
      </c>
      <c r="I1102" s="46" t="s">
        <v>905</v>
      </c>
      <c r="J1102" s="83">
        <v>46093</v>
      </c>
      <c r="K1102" s="46" t="s">
        <v>1475</v>
      </c>
      <c r="L1102" s="46" t="s">
        <v>915</v>
      </c>
      <c r="M1102" s="83" t="str">
        <f>VLOOKUP(K1102,[4]在职!$A:$B,2,0)</f>
        <v>01573</v>
      </c>
      <c r="N1102" s="83" t="str">
        <f>VLOOKUP(K1102,[4]在职!$A:$G,7,0)</f>
        <v>山西销售部</v>
      </c>
      <c r="O1102" s="83" t="str">
        <f>VLOOKUP(K1102,[4]在职!$A:$I,9,0)</f>
        <v>一星销售顾问</v>
      </c>
      <c r="P1102" s="83">
        <f>VLOOKUP(K1102,[4]在职!$A:$D,4,0)</f>
        <v>45844</v>
      </c>
      <c r="Q1102" s="102">
        <v>5</v>
      </c>
      <c r="R1102" s="102">
        <v>5</v>
      </c>
      <c r="S1102" s="104">
        <v>80</v>
      </c>
    </row>
    <row r="1103" ht="16.5" hidden="1" spans="1:19">
      <c r="A1103" s="46">
        <v>1101</v>
      </c>
      <c r="B1103" s="46" t="s">
        <v>45</v>
      </c>
      <c r="C1103" s="46" t="s">
        <v>38</v>
      </c>
      <c r="D1103" s="46" t="s">
        <v>27</v>
      </c>
      <c r="E1103" s="46" t="s">
        <v>1080</v>
      </c>
      <c r="F1103" s="46" t="s">
        <v>1077</v>
      </c>
      <c r="G1103" s="46" t="s">
        <v>904</v>
      </c>
      <c r="H1103" s="46" t="s">
        <v>1433</v>
      </c>
      <c r="I1103" s="46" t="s">
        <v>905</v>
      </c>
      <c r="J1103" s="83">
        <v>46093</v>
      </c>
      <c r="K1103" s="46" t="s">
        <v>1016</v>
      </c>
      <c r="L1103" s="46" t="s">
        <v>915</v>
      </c>
      <c r="M1103" s="83" t="str">
        <f>VLOOKUP(K1103,[4]在职!$A:$B,2,0)</f>
        <v>01324</v>
      </c>
      <c r="N1103" s="83" t="str">
        <f>VLOOKUP(K1103,[4]在职!$A:$G,7,0)</f>
        <v>营业六部</v>
      </c>
      <c r="O1103" s="83" t="str">
        <f>VLOOKUP(K1103,[4]在职!$A:$I,9,0)</f>
        <v>二星销售顾问</v>
      </c>
      <c r="P1103" s="83">
        <f>VLOOKUP(K1103,[4]在职!$A:$D,4,0)</f>
        <v>45699</v>
      </c>
      <c r="Q1103" s="102">
        <v>5</v>
      </c>
      <c r="R1103" s="102">
        <v>5</v>
      </c>
      <c r="S1103" s="104">
        <v>97</v>
      </c>
    </row>
    <row r="1104" ht="16.5" hidden="1" spans="1:19">
      <c r="A1104" s="46">
        <v>1102</v>
      </c>
      <c r="B1104" s="46" t="s">
        <v>45</v>
      </c>
      <c r="C1104" s="46" t="s">
        <v>38</v>
      </c>
      <c r="D1104" s="46" t="s">
        <v>27</v>
      </c>
      <c r="E1104" s="46" t="s">
        <v>1080</v>
      </c>
      <c r="F1104" s="46" t="s">
        <v>1077</v>
      </c>
      <c r="G1104" s="46" t="s">
        <v>904</v>
      </c>
      <c r="H1104" s="46" t="s">
        <v>1433</v>
      </c>
      <c r="I1104" s="46" t="s">
        <v>905</v>
      </c>
      <c r="J1104" s="83">
        <v>46093</v>
      </c>
      <c r="K1104" s="46" t="s">
        <v>1476</v>
      </c>
      <c r="L1104" s="46" t="s">
        <v>915</v>
      </c>
      <c r="M1104" s="83" t="str">
        <f>VLOOKUP(K1104,[4]在职!$A:$B,2,0)</f>
        <v>01682</v>
      </c>
      <c r="N1104" s="83" t="str">
        <f>VLOOKUP(K1104,[4]在职!$A:$G,7,0)</f>
        <v>营业一部</v>
      </c>
      <c r="O1104" s="83" t="str">
        <f>VLOOKUP(K1104,[4]在职!$A:$I,9,0)</f>
        <v>一星销售顾问</v>
      </c>
      <c r="P1104" s="83">
        <f>VLOOKUP(K1104,[4]在职!$A:$D,4,0)</f>
        <v>45903</v>
      </c>
      <c r="Q1104" s="102">
        <v>5</v>
      </c>
      <c r="R1104" s="102">
        <v>5</v>
      </c>
      <c r="S1104" s="104">
        <v>80</v>
      </c>
    </row>
    <row r="1105" ht="16.5" hidden="1" spans="1:19">
      <c r="A1105" s="46">
        <v>1103</v>
      </c>
      <c r="B1105" s="46" t="s">
        <v>45</v>
      </c>
      <c r="C1105" s="46" t="s">
        <v>36</v>
      </c>
      <c r="D1105" s="46" t="s">
        <v>27</v>
      </c>
      <c r="E1105" s="46" t="s">
        <v>1080</v>
      </c>
      <c r="F1105" s="46" t="s">
        <v>1077</v>
      </c>
      <c r="G1105" s="46" t="s">
        <v>904</v>
      </c>
      <c r="H1105" s="46" t="s">
        <v>1433</v>
      </c>
      <c r="I1105" s="46" t="s">
        <v>905</v>
      </c>
      <c r="J1105" s="83">
        <v>46093</v>
      </c>
      <c r="K1105" s="46" t="s">
        <v>1434</v>
      </c>
      <c r="L1105" s="46" t="s">
        <v>915</v>
      </c>
      <c r="M1105" s="83" t="str">
        <f>VLOOKUP(K1105,[4]在职!$A:$B,2,0)</f>
        <v>01680</v>
      </c>
      <c r="N1105" s="83" t="str">
        <f>VLOOKUP(K1105,[4]在职!$A:$G,7,0)</f>
        <v>山西销售部</v>
      </c>
      <c r="O1105" s="83" t="str">
        <f>VLOOKUP(K1105,[4]在职!$A:$I,9,0)</f>
        <v>一星销售顾问</v>
      </c>
      <c r="P1105" s="83">
        <f>VLOOKUP(K1105,[4]在职!$A:$D,4,0)</f>
        <v>45903</v>
      </c>
      <c r="Q1105" s="102">
        <v>5</v>
      </c>
      <c r="R1105" s="102">
        <v>5</v>
      </c>
      <c r="S1105" s="104">
        <v>90</v>
      </c>
    </row>
    <row r="1106" ht="16.5" hidden="1" spans="1:19">
      <c r="A1106" s="46">
        <v>1104</v>
      </c>
      <c r="B1106" s="46" t="s">
        <v>45</v>
      </c>
      <c r="C1106" s="46" t="s">
        <v>36</v>
      </c>
      <c r="D1106" s="46" t="s">
        <v>27</v>
      </c>
      <c r="E1106" s="46" t="s">
        <v>1076</v>
      </c>
      <c r="F1106" s="46" t="s">
        <v>1077</v>
      </c>
      <c r="G1106" s="46" t="s">
        <v>904</v>
      </c>
      <c r="H1106" s="46" t="s">
        <v>1433</v>
      </c>
      <c r="I1106" s="46" t="s">
        <v>905</v>
      </c>
      <c r="J1106" s="83">
        <v>46093</v>
      </c>
      <c r="K1106" s="46" t="s">
        <v>1434</v>
      </c>
      <c r="L1106" s="46" t="s">
        <v>915</v>
      </c>
      <c r="M1106" s="83" t="str">
        <f>VLOOKUP(K1106,[4]在职!$A:$B,2,0)</f>
        <v>01680</v>
      </c>
      <c r="N1106" s="83" t="str">
        <f>VLOOKUP(K1106,[4]在职!$A:$G,7,0)</f>
        <v>山西销售部</v>
      </c>
      <c r="O1106" s="83" t="str">
        <f>VLOOKUP(K1106,[4]在职!$A:$I,9,0)</f>
        <v>一星销售顾问</v>
      </c>
      <c r="P1106" s="83">
        <f>VLOOKUP(K1106,[4]在职!$A:$D,4,0)</f>
        <v>45903</v>
      </c>
      <c r="Q1106" s="102">
        <v>5</v>
      </c>
      <c r="R1106" s="102">
        <v>5</v>
      </c>
      <c r="S1106" s="104">
        <v>80</v>
      </c>
    </row>
    <row r="1107" ht="16.5" hidden="1" spans="1:19">
      <c r="A1107" s="46">
        <v>1105</v>
      </c>
      <c r="B1107" s="46" t="s">
        <v>45</v>
      </c>
      <c r="C1107" s="46" t="s">
        <v>36</v>
      </c>
      <c r="D1107" s="46" t="s">
        <v>27</v>
      </c>
      <c r="E1107" s="46" t="s">
        <v>1076</v>
      </c>
      <c r="F1107" s="46" t="s">
        <v>1077</v>
      </c>
      <c r="G1107" s="46" t="s">
        <v>904</v>
      </c>
      <c r="H1107" s="46" t="s">
        <v>1433</v>
      </c>
      <c r="I1107" s="46" t="s">
        <v>905</v>
      </c>
      <c r="J1107" s="83">
        <v>46093</v>
      </c>
      <c r="K1107" s="46" t="s">
        <v>1435</v>
      </c>
      <c r="L1107" s="46" t="s">
        <v>915</v>
      </c>
      <c r="M1107" s="83" t="str">
        <f>VLOOKUP(K1107,[4]在职!$A:$B,2,0)</f>
        <v>01531</v>
      </c>
      <c r="N1107" s="83" t="str">
        <f>VLOOKUP(K1107,[4]在职!$A:$G,7,0)</f>
        <v>山西销售部</v>
      </c>
      <c r="O1107" s="83" t="str">
        <f>VLOOKUP(K1107,[4]在职!$A:$I,9,0)</f>
        <v>一星销售顾问</v>
      </c>
      <c r="P1107" s="83">
        <f>VLOOKUP(K1107,[4]在职!$A:$D,4,0)</f>
        <v>45820</v>
      </c>
      <c r="Q1107" s="102">
        <v>5</v>
      </c>
      <c r="R1107" s="102">
        <v>5</v>
      </c>
      <c r="S1107" s="104">
        <v>80</v>
      </c>
    </row>
    <row r="1108" ht="16.5" hidden="1" spans="1:19">
      <c r="A1108" s="46">
        <v>1106</v>
      </c>
      <c r="B1108" s="46" t="s">
        <v>45</v>
      </c>
      <c r="C1108" s="46" t="s">
        <v>34</v>
      </c>
      <c r="D1108" s="46" t="s">
        <v>27</v>
      </c>
      <c r="E1108" s="46" t="s">
        <v>1076</v>
      </c>
      <c r="F1108" s="46" t="s">
        <v>1077</v>
      </c>
      <c r="G1108" s="46" t="s">
        <v>904</v>
      </c>
      <c r="H1108" s="46" t="s">
        <v>1433</v>
      </c>
      <c r="I1108" s="46" t="s">
        <v>905</v>
      </c>
      <c r="J1108" s="83">
        <v>46093</v>
      </c>
      <c r="K1108" s="46" t="s">
        <v>906</v>
      </c>
      <c r="L1108" s="46" t="s">
        <v>915</v>
      </c>
      <c r="M1108" s="83" t="str">
        <f>VLOOKUP(K1108,[4]在职!$A:$B,2,0)</f>
        <v>01011</v>
      </c>
      <c r="N1108" s="83" t="str">
        <f>VLOOKUP(K1108,[4]在职!$A:$G,7,0)</f>
        <v>内蒙古销售部</v>
      </c>
      <c r="O1108" s="83" t="str">
        <f>VLOOKUP(K1108,[4]在职!$A:$I,9,0)</f>
        <v>一星销售顾问</v>
      </c>
      <c r="P1108" s="83">
        <f>VLOOKUP(K1108,[4]在职!$A:$D,4,0)</f>
        <v>45970</v>
      </c>
      <c r="Q1108" s="102">
        <v>5</v>
      </c>
      <c r="R1108" s="102">
        <v>5</v>
      </c>
      <c r="S1108" s="104">
        <v>80</v>
      </c>
    </row>
    <row r="1109" ht="16.5" hidden="1" spans="1:19">
      <c r="A1109" s="46">
        <v>1107</v>
      </c>
      <c r="B1109" s="46" t="s">
        <v>45</v>
      </c>
      <c r="C1109" s="46" t="s">
        <v>34</v>
      </c>
      <c r="D1109" s="46" t="s">
        <v>27</v>
      </c>
      <c r="E1109" s="46" t="s">
        <v>1076</v>
      </c>
      <c r="F1109" s="46" t="s">
        <v>1077</v>
      </c>
      <c r="G1109" s="46" t="s">
        <v>904</v>
      </c>
      <c r="H1109" s="46" t="s">
        <v>1433</v>
      </c>
      <c r="I1109" s="46" t="s">
        <v>905</v>
      </c>
      <c r="J1109" s="83">
        <v>46093</v>
      </c>
      <c r="K1109" s="46" t="s">
        <v>910</v>
      </c>
      <c r="L1109" s="46" t="s">
        <v>915</v>
      </c>
      <c r="M1109" s="83" t="str">
        <f>VLOOKUP(K1109,[4]在职!$A:$B,2,0)</f>
        <v>01423</v>
      </c>
      <c r="N1109" s="83" t="str">
        <f>VLOOKUP(K1109,[4]在职!$A:$G,7,0)</f>
        <v>内蒙古销售部</v>
      </c>
      <c r="O1109" s="83" t="str">
        <f>VLOOKUP(K1109,[4]在职!$A:$I,9,0)</f>
        <v>二星销售顾问</v>
      </c>
      <c r="P1109" s="83">
        <f>VLOOKUP(K1109,[4]在职!$A:$D,4,0)</f>
        <v>45749</v>
      </c>
      <c r="Q1109" s="102">
        <v>5</v>
      </c>
      <c r="R1109" s="102">
        <v>5</v>
      </c>
      <c r="S1109" s="104">
        <v>100</v>
      </c>
    </row>
    <row r="1110" ht="16.5" hidden="1" spans="1:19">
      <c r="A1110" s="46">
        <v>1108</v>
      </c>
      <c r="B1110" s="46" t="s">
        <v>45</v>
      </c>
      <c r="C1110" s="46" t="s">
        <v>34</v>
      </c>
      <c r="D1110" s="46" t="s">
        <v>27</v>
      </c>
      <c r="E1110" s="46" t="s">
        <v>1076</v>
      </c>
      <c r="F1110" s="46" t="s">
        <v>1077</v>
      </c>
      <c r="G1110" s="46" t="s">
        <v>904</v>
      </c>
      <c r="H1110" s="46" t="s">
        <v>1433</v>
      </c>
      <c r="I1110" s="46" t="s">
        <v>905</v>
      </c>
      <c r="J1110" s="83">
        <v>46093</v>
      </c>
      <c r="K1110" s="46" t="s">
        <v>912</v>
      </c>
      <c r="L1110" s="46" t="s">
        <v>915</v>
      </c>
      <c r="M1110" s="83" t="str">
        <f>VLOOKUP(K1110,[4]在职!$A:$B,2,0)</f>
        <v>01412</v>
      </c>
      <c r="N1110" s="83" t="str">
        <f>VLOOKUP(K1110,[4]在职!$A:$G,7,0)</f>
        <v>内蒙古销售部</v>
      </c>
      <c r="O1110" s="83" t="str">
        <f>VLOOKUP(K1110,[4]在职!$A:$I,9,0)</f>
        <v>一星销售顾问</v>
      </c>
      <c r="P1110" s="83">
        <f>VLOOKUP(K1110,[4]在职!$A:$D,4,0)</f>
        <v>45747</v>
      </c>
      <c r="Q1110" s="102">
        <v>5</v>
      </c>
      <c r="R1110" s="102">
        <v>5</v>
      </c>
      <c r="S1110" s="104">
        <v>80</v>
      </c>
    </row>
    <row r="1111" ht="16.5" hidden="1" spans="1:19">
      <c r="A1111" s="46">
        <v>1109</v>
      </c>
      <c r="B1111" s="46" t="s">
        <v>45</v>
      </c>
      <c r="C1111" s="46" t="s">
        <v>38</v>
      </c>
      <c r="D1111" s="46" t="s">
        <v>27</v>
      </c>
      <c r="E1111" s="46" t="s">
        <v>1076</v>
      </c>
      <c r="F1111" s="46" t="s">
        <v>1077</v>
      </c>
      <c r="G1111" s="46" t="s">
        <v>904</v>
      </c>
      <c r="H1111" s="46" t="s">
        <v>1433</v>
      </c>
      <c r="I1111" s="46" t="s">
        <v>905</v>
      </c>
      <c r="J1111" s="83">
        <v>46093</v>
      </c>
      <c r="K1111" s="46" t="s">
        <v>1436</v>
      </c>
      <c r="L1111" s="46" t="s">
        <v>915</v>
      </c>
      <c r="M1111" s="83" t="str">
        <f>VLOOKUP(K1111,[4]在职!$A:$B,2,0)</f>
        <v>01763</v>
      </c>
      <c r="N1111" s="83" t="str">
        <f>VLOOKUP(K1111,[4]在职!$A:$G,7,0)</f>
        <v>营业一部</v>
      </c>
      <c r="O1111" s="83" t="str">
        <f>VLOOKUP(K1111,[4]在职!$A:$I,9,0)</f>
        <v>一星销售顾问</v>
      </c>
      <c r="P1111" s="83">
        <f>VLOOKUP(K1111,[4]在职!$A:$D,4,0)</f>
        <v>45952</v>
      </c>
      <c r="Q1111" s="102">
        <v>5</v>
      </c>
      <c r="R1111" s="102">
        <v>5</v>
      </c>
      <c r="S1111" s="104">
        <v>80</v>
      </c>
    </row>
    <row r="1112" ht="16.5" hidden="1" spans="1:19">
      <c r="A1112" s="46">
        <v>1110</v>
      </c>
      <c r="B1112" s="46" t="s">
        <v>45</v>
      </c>
      <c r="C1112" s="46" t="s">
        <v>38</v>
      </c>
      <c r="D1112" s="46" t="s">
        <v>27</v>
      </c>
      <c r="E1112" s="46" t="s">
        <v>1076</v>
      </c>
      <c r="F1112" s="46" t="s">
        <v>1077</v>
      </c>
      <c r="G1112" s="46" t="s">
        <v>904</v>
      </c>
      <c r="H1112" s="46" t="s">
        <v>1433</v>
      </c>
      <c r="I1112" s="46" t="s">
        <v>905</v>
      </c>
      <c r="J1112" s="83">
        <v>46093</v>
      </c>
      <c r="K1112" s="46" t="s">
        <v>1437</v>
      </c>
      <c r="L1112" s="46" t="s">
        <v>915</v>
      </c>
      <c r="M1112" s="83" t="str">
        <f>VLOOKUP(K1112,[4]在职!$A:$B,2,0)</f>
        <v>01753</v>
      </c>
      <c r="N1112" s="83" t="str">
        <f>VLOOKUP(K1112,[4]在职!$A:$G,7,0)</f>
        <v>营业一部</v>
      </c>
      <c r="O1112" s="83" t="str">
        <f>VLOOKUP(K1112,[4]在职!$A:$I,9,0)</f>
        <v>一星销售顾问</v>
      </c>
      <c r="P1112" s="83">
        <f>VLOOKUP(K1112,[4]在职!$A:$D,4,0)</f>
        <v>45951</v>
      </c>
      <c r="Q1112" s="102">
        <v>5</v>
      </c>
      <c r="R1112" s="102">
        <v>5</v>
      </c>
      <c r="S1112" s="104">
        <v>80</v>
      </c>
    </row>
    <row r="1113" ht="16.5" hidden="1" spans="1:19">
      <c r="A1113" s="46">
        <v>1111</v>
      </c>
      <c r="B1113" s="46" t="s">
        <v>45</v>
      </c>
      <c r="C1113" s="46" t="s">
        <v>38</v>
      </c>
      <c r="D1113" s="46" t="s">
        <v>27</v>
      </c>
      <c r="E1113" s="46" t="s">
        <v>1076</v>
      </c>
      <c r="F1113" s="46" t="s">
        <v>1077</v>
      </c>
      <c r="G1113" s="46" t="s">
        <v>904</v>
      </c>
      <c r="H1113" s="46" t="s">
        <v>1433</v>
      </c>
      <c r="I1113" s="46" t="s">
        <v>905</v>
      </c>
      <c r="J1113" s="83">
        <v>46093</v>
      </c>
      <c r="K1113" s="46" t="s">
        <v>919</v>
      </c>
      <c r="L1113" s="46" t="s">
        <v>915</v>
      </c>
      <c r="M1113" s="83" t="str">
        <f>VLOOKUP(K1113,[4]在职!$A:$B,2,0)</f>
        <v>01512</v>
      </c>
      <c r="N1113" s="83" t="str">
        <f>VLOOKUP(K1113,[4]在职!$A:$G,7,0)</f>
        <v>营业一部</v>
      </c>
      <c r="O1113" s="83" t="str">
        <f>VLOOKUP(K1113,[4]在职!$A:$I,9,0)</f>
        <v>二星销售顾问</v>
      </c>
      <c r="P1113" s="83">
        <f>VLOOKUP(K1113,[4]在职!$A:$D,4,0)</f>
        <v>45812</v>
      </c>
      <c r="Q1113" s="102">
        <v>5</v>
      </c>
      <c r="R1113" s="102">
        <v>5</v>
      </c>
      <c r="S1113" s="104">
        <v>100</v>
      </c>
    </row>
    <row r="1114" ht="16.5" hidden="1" spans="1:19">
      <c r="A1114" s="46">
        <v>1112</v>
      </c>
      <c r="B1114" s="46" t="s">
        <v>45</v>
      </c>
      <c r="C1114" s="46" t="s">
        <v>38</v>
      </c>
      <c r="D1114" s="46" t="s">
        <v>27</v>
      </c>
      <c r="E1114" s="46" t="s">
        <v>1076</v>
      </c>
      <c r="F1114" s="46" t="s">
        <v>1077</v>
      </c>
      <c r="G1114" s="46" t="s">
        <v>904</v>
      </c>
      <c r="H1114" s="46" t="s">
        <v>1433</v>
      </c>
      <c r="I1114" s="46" t="s">
        <v>905</v>
      </c>
      <c r="J1114" s="83">
        <v>46093</v>
      </c>
      <c r="K1114" s="46" t="s">
        <v>1438</v>
      </c>
      <c r="L1114" s="46" t="s">
        <v>915</v>
      </c>
      <c r="M1114" s="83" t="str">
        <f>VLOOKUP(K1114,[4]在职!$A:$B,2,0)</f>
        <v>01732</v>
      </c>
      <c r="N1114" s="83" t="str">
        <f>VLOOKUP(K1114,[4]在职!$A:$G,7,0)</f>
        <v>营业七部</v>
      </c>
      <c r="O1114" s="83" t="str">
        <f>VLOOKUP(K1114,[4]在职!$A:$I,9,0)</f>
        <v>一星销售顾问</v>
      </c>
      <c r="P1114" s="83">
        <f>VLOOKUP(K1114,[4]在职!$A:$D,4,0)</f>
        <v>45944</v>
      </c>
      <c r="Q1114" s="102">
        <v>5</v>
      </c>
      <c r="R1114" s="102">
        <v>5</v>
      </c>
      <c r="S1114" s="104">
        <v>80</v>
      </c>
    </row>
    <row r="1115" ht="16.5" hidden="1" spans="1:19">
      <c r="A1115" s="46">
        <v>1113</v>
      </c>
      <c r="B1115" s="46" t="s">
        <v>45</v>
      </c>
      <c r="C1115" s="46" t="s">
        <v>38</v>
      </c>
      <c r="D1115" s="46" t="s">
        <v>27</v>
      </c>
      <c r="E1115" s="46" t="s">
        <v>1076</v>
      </c>
      <c r="F1115" s="46" t="s">
        <v>1077</v>
      </c>
      <c r="G1115" s="46" t="s">
        <v>904</v>
      </c>
      <c r="H1115" s="46" t="s">
        <v>1433</v>
      </c>
      <c r="I1115" s="46" t="s">
        <v>905</v>
      </c>
      <c r="J1115" s="83">
        <v>46093</v>
      </c>
      <c r="K1115" s="46" t="s">
        <v>922</v>
      </c>
      <c r="L1115" s="46" t="s">
        <v>915</v>
      </c>
      <c r="M1115" s="83" t="str">
        <f>VLOOKUP(K1115,[4]在职!$A:$B,2,0)</f>
        <v>01500</v>
      </c>
      <c r="N1115" s="83" t="str">
        <f>VLOOKUP(K1115,[4]在职!$A:$G,7,0)</f>
        <v>营业七部</v>
      </c>
      <c r="O1115" s="83" t="str">
        <f>VLOOKUP(K1115,[4]在职!$A:$I,9,0)</f>
        <v>一星销售顾问</v>
      </c>
      <c r="P1115" s="83">
        <f>VLOOKUP(K1115,[4]在职!$A:$D,4,0)</f>
        <v>45804</v>
      </c>
      <c r="Q1115" s="102">
        <v>5</v>
      </c>
      <c r="R1115" s="102">
        <v>5</v>
      </c>
      <c r="S1115" s="104">
        <v>100</v>
      </c>
    </row>
    <row r="1116" ht="16.5" hidden="1" spans="1:19">
      <c r="A1116" s="46">
        <v>1114</v>
      </c>
      <c r="B1116" s="46" t="s">
        <v>45</v>
      </c>
      <c r="C1116" s="46" t="s">
        <v>38</v>
      </c>
      <c r="D1116" s="46" t="s">
        <v>27</v>
      </c>
      <c r="E1116" s="46" t="s">
        <v>1076</v>
      </c>
      <c r="F1116" s="46" t="s">
        <v>1077</v>
      </c>
      <c r="G1116" s="46" t="s">
        <v>904</v>
      </c>
      <c r="H1116" s="46" t="s">
        <v>1433</v>
      </c>
      <c r="I1116" s="46" t="s">
        <v>905</v>
      </c>
      <c r="J1116" s="83">
        <v>46093</v>
      </c>
      <c r="K1116" s="46" t="s">
        <v>928</v>
      </c>
      <c r="L1116" s="46" t="s">
        <v>915</v>
      </c>
      <c r="M1116" s="83" t="str">
        <f>VLOOKUP(K1116,[4]在职!$A:$B,2,0)</f>
        <v>01634</v>
      </c>
      <c r="N1116" s="83" t="str">
        <f>VLOOKUP(K1116,[4]在职!$A:$G,7,0)</f>
        <v>营业四部</v>
      </c>
      <c r="O1116" s="83" t="str">
        <f>VLOOKUP(K1116,[4]在职!$A:$I,9,0)</f>
        <v>一星销售顾问</v>
      </c>
      <c r="P1116" s="83">
        <f>VLOOKUP(K1116,[4]在职!$A:$D,4,0)</f>
        <v>45872</v>
      </c>
      <c r="Q1116" s="102">
        <v>5</v>
      </c>
      <c r="R1116" s="102">
        <v>5</v>
      </c>
      <c r="S1116" s="104">
        <v>100</v>
      </c>
    </row>
    <row r="1117" ht="16.5" hidden="1" spans="1:19">
      <c r="A1117" s="46">
        <v>1115</v>
      </c>
      <c r="B1117" s="46" t="s">
        <v>45</v>
      </c>
      <c r="C1117" s="46" t="s">
        <v>38</v>
      </c>
      <c r="D1117" s="46" t="s">
        <v>27</v>
      </c>
      <c r="E1117" s="46" t="s">
        <v>1076</v>
      </c>
      <c r="F1117" s="46" t="s">
        <v>1077</v>
      </c>
      <c r="G1117" s="46" t="s">
        <v>904</v>
      </c>
      <c r="H1117" s="46" t="s">
        <v>1433</v>
      </c>
      <c r="I1117" s="46" t="s">
        <v>905</v>
      </c>
      <c r="J1117" s="83">
        <v>46093</v>
      </c>
      <c r="K1117" s="46" t="s">
        <v>930</v>
      </c>
      <c r="L1117" s="46" t="s">
        <v>915</v>
      </c>
      <c r="M1117" s="83" t="str">
        <f>VLOOKUP(K1117,[4]在职!$A:$B,2,0)</f>
        <v>01488</v>
      </c>
      <c r="N1117" s="83" t="str">
        <f>VLOOKUP(K1117,[4]在职!$A:$G,7,0)</f>
        <v>营业四部</v>
      </c>
      <c r="O1117" s="83" t="str">
        <f>VLOOKUP(K1117,[4]在职!$A:$I,9,0)</f>
        <v>二星销售顾问</v>
      </c>
      <c r="P1117" s="83">
        <f>VLOOKUP(K1117,[4]在职!$A:$D,4,0)</f>
        <v>45794</v>
      </c>
      <c r="Q1117" s="102">
        <v>5</v>
      </c>
      <c r="R1117" s="102">
        <v>5</v>
      </c>
      <c r="S1117" s="104">
        <v>100</v>
      </c>
    </row>
    <row r="1118" ht="16.5" hidden="1" spans="1:19">
      <c r="A1118" s="46">
        <v>1116</v>
      </c>
      <c r="B1118" s="46" t="s">
        <v>45</v>
      </c>
      <c r="C1118" s="46" t="s">
        <v>38</v>
      </c>
      <c r="D1118" s="46" t="s">
        <v>27</v>
      </c>
      <c r="E1118" s="46" t="s">
        <v>1076</v>
      </c>
      <c r="F1118" s="46" t="s">
        <v>1077</v>
      </c>
      <c r="G1118" s="46" t="s">
        <v>904</v>
      </c>
      <c r="H1118" s="46" t="s">
        <v>1433</v>
      </c>
      <c r="I1118" s="46" t="s">
        <v>905</v>
      </c>
      <c r="J1118" s="83">
        <v>46093</v>
      </c>
      <c r="K1118" s="46" t="s">
        <v>934</v>
      </c>
      <c r="L1118" s="46" t="s">
        <v>915</v>
      </c>
      <c r="M1118" s="83" t="str">
        <f>VLOOKUP(K1118,[4]在职!$A:$B,2,0)</f>
        <v>01547</v>
      </c>
      <c r="N1118" s="83" t="str">
        <f>VLOOKUP(K1118,[4]在职!$A:$G,7,0)</f>
        <v>营业四部</v>
      </c>
      <c r="O1118" s="83" t="str">
        <f>VLOOKUP(K1118,[4]在职!$A:$I,9,0)</f>
        <v>一星销售顾问</v>
      </c>
      <c r="P1118" s="83">
        <f>VLOOKUP(K1118,[4]在职!$A:$D,4,0)</f>
        <v>45830</v>
      </c>
      <c r="Q1118" s="102">
        <v>5</v>
      </c>
      <c r="R1118" s="102">
        <v>5</v>
      </c>
      <c r="S1118" s="104">
        <v>100</v>
      </c>
    </row>
    <row r="1119" ht="16.5" hidden="1" spans="1:19">
      <c r="A1119" s="46">
        <v>1117</v>
      </c>
      <c r="B1119" s="46" t="s">
        <v>45</v>
      </c>
      <c r="C1119" s="46" t="s">
        <v>38</v>
      </c>
      <c r="D1119" s="46" t="s">
        <v>27</v>
      </c>
      <c r="E1119" s="46" t="s">
        <v>1076</v>
      </c>
      <c r="F1119" s="46" t="s">
        <v>1077</v>
      </c>
      <c r="G1119" s="46" t="s">
        <v>904</v>
      </c>
      <c r="H1119" s="46" t="s">
        <v>1433</v>
      </c>
      <c r="I1119" s="46" t="s">
        <v>905</v>
      </c>
      <c r="J1119" s="83">
        <v>46093</v>
      </c>
      <c r="K1119" s="46" t="s">
        <v>1439</v>
      </c>
      <c r="L1119" s="46" t="s">
        <v>915</v>
      </c>
      <c r="M1119" s="83" t="str">
        <f>VLOOKUP(K1119,[4]在职!$A:$B,2,0)</f>
        <v>01646</v>
      </c>
      <c r="N1119" s="83" t="str">
        <f>VLOOKUP(K1119,[4]在职!$A:$G,7,0)</f>
        <v>营业六部</v>
      </c>
      <c r="O1119" s="83" t="str">
        <f>VLOOKUP(K1119,[4]在职!$A:$I,9,0)</f>
        <v>一星销售顾问</v>
      </c>
      <c r="P1119" s="83">
        <f>VLOOKUP(K1119,[4]在职!$A:$D,4,0)</f>
        <v>45878</v>
      </c>
      <c r="Q1119" s="102">
        <v>5</v>
      </c>
      <c r="R1119" s="102">
        <v>5</v>
      </c>
      <c r="S1119" s="104">
        <v>80</v>
      </c>
    </row>
    <row r="1120" ht="16.5" hidden="1" spans="1:19">
      <c r="A1120" s="46">
        <v>1118</v>
      </c>
      <c r="B1120" s="46" t="s">
        <v>45</v>
      </c>
      <c r="C1120" s="46" t="s">
        <v>36</v>
      </c>
      <c r="D1120" s="46" t="s">
        <v>27</v>
      </c>
      <c r="E1120" s="46" t="s">
        <v>1076</v>
      </c>
      <c r="F1120" s="46" t="s">
        <v>1077</v>
      </c>
      <c r="G1120" s="46" t="s">
        <v>904</v>
      </c>
      <c r="H1120" s="46" t="s">
        <v>1433</v>
      </c>
      <c r="I1120" s="46" t="s">
        <v>905</v>
      </c>
      <c r="J1120" s="83">
        <v>46093</v>
      </c>
      <c r="K1120" s="46" t="s">
        <v>1440</v>
      </c>
      <c r="L1120" s="46" t="s">
        <v>915</v>
      </c>
      <c r="M1120" s="83" t="str">
        <f>VLOOKUP(K1120,[4]在职!$A:$B,2,0)</f>
        <v>01824</v>
      </c>
      <c r="N1120" s="83" t="str">
        <f>VLOOKUP(K1120,[4]在职!$A:$G,7,0)</f>
        <v>山西销售部</v>
      </c>
      <c r="O1120" s="83" t="str">
        <f>VLOOKUP(K1120,[4]在职!$A:$I,9,0)</f>
        <v>一星销售顾问</v>
      </c>
      <c r="P1120" s="83">
        <f>VLOOKUP(K1120,[4]在职!$A:$D,4,0)</f>
        <v>45992</v>
      </c>
      <c r="Q1120" s="102">
        <v>5</v>
      </c>
      <c r="R1120" s="102">
        <v>5</v>
      </c>
      <c r="S1120" s="104">
        <v>80</v>
      </c>
    </row>
    <row r="1121" ht="16.5" hidden="1" spans="1:19">
      <c r="A1121" s="46">
        <v>1119</v>
      </c>
      <c r="B1121" s="46" t="s">
        <v>45</v>
      </c>
      <c r="C1121" s="46" t="s">
        <v>36</v>
      </c>
      <c r="D1121" s="46" t="s">
        <v>27</v>
      </c>
      <c r="E1121" s="46" t="s">
        <v>1076</v>
      </c>
      <c r="F1121" s="46" t="s">
        <v>1077</v>
      </c>
      <c r="G1121" s="46" t="s">
        <v>904</v>
      </c>
      <c r="H1121" s="46" t="s">
        <v>1433</v>
      </c>
      <c r="I1121" s="46" t="s">
        <v>905</v>
      </c>
      <c r="J1121" s="83">
        <v>46093</v>
      </c>
      <c r="K1121" s="46" t="s">
        <v>1441</v>
      </c>
      <c r="L1121" s="46" t="s">
        <v>915</v>
      </c>
      <c r="M1121" s="83" t="str">
        <f>VLOOKUP(K1121,[4]在职!$A:$B,2,0)</f>
        <v>01814</v>
      </c>
      <c r="N1121" s="83" t="str">
        <f>VLOOKUP(K1121,[4]在职!$A:$G,7,0)</f>
        <v>山西销售部</v>
      </c>
      <c r="O1121" s="83" t="str">
        <f>VLOOKUP(K1121,[4]在职!$A:$I,9,0)</f>
        <v>一星销售顾问</v>
      </c>
      <c r="P1121" s="83">
        <f>VLOOKUP(K1121,[4]在职!$A:$D,4,0)</f>
        <v>45986</v>
      </c>
      <c r="Q1121" s="102">
        <v>5</v>
      </c>
      <c r="R1121" s="102">
        <v>5</v>
      </c>
      <c r="S1121" s="104">
        <v>100</v>
      </c>
    </row>
    <row r="1122" ht="16.5" hidden="1" spans="1:19">
      <c r="A1122" s="46">
        <v>1120</v>
      </c>
      <c r="B1122" s="46" t="s">
        <v>45</v>
      </c>
      <c r="C1122" s="46" t="s">
        <v>29</v>
      </c>
      <c r="D1122" s="46" t="s">
        <v>27</v>
      </c>
      <c r="E1122" s="46" t="s">
        <v>1076</v>
      </c>
      <c r="F1122" s="46" t="s">
        <v>1077</v>
      </c>
      <c r="G1122" s="46" t="s">
        <v>904</v>
      </c>
      <c r="H1122" s="46" t="s">
        <v>1433</v>
      </c>
      <c r="I1122" s="46" t="s">
        <v>905</v>
      </c>
      <c r="J1122" s="83">
        <v>46093</v>
      </c>
      <c r="K1122" s="46" t="s">
        <v>1442</v>
      </c>
      <c r="L1122" s="46" t="s">
        <v>915</v>
      </c>
      <c r="M1122" s="83" t="str">
        <f>VLOOKUP(K1122,[4]在职!$A:$B,2,0)</f>
        <v>01620</v>
      </c>
      <c r="N1122" s="83" t="str">
        <f>VLOOKUP(K1122,[4]在职!$A:$G,7,0)</f>
        <v>河南销售部</v>
      </c>
      <c r="O1122" s="83" t="str">
        <f>VLOOKUP(K1122,[4]在职!$A:$I,9,0)</f>
        <v>一星销售顾问</v>
      </c>
      <c r="P1122" s="83">
        <f>VLOOKUP(K1122,[4]在职!$A:$D,4,0)</f>
        <v>45861</v>
      </c>
      <c r="Q1122" s="102">
        <v>5</v>
      </c>
      <c r="R1122" s="102">
        <v>5</v>
      </c>
      <c r="S1122" s="104">
        <v>90</v>
      </c>
    </row>
    <row r="1123" ht="16.5" hidden="1" spans="1:19">
      <c r="A1123" s="46">
        <v>1121</v>
      </c>
      <c r="B1123" s="46" t="s">
        <v>45</v>
      </c>
      <c r="C1123" s="46" t="s">
        <v>37</v>
      </c>
      <c r="D1123" s="46" t="s">
        <v>27</v>
      </c>
      <c r="E1123" s="46" t="s">
        <v>1076</v>
      </c>
      <c r="F1123" s="46" t="s">
        <v>1077</v>
      </c>
      <c r="G1123" s="46" t="s">
        <v>904</v>
      </c>
      <c r="H1123" s="46" t="s">
        <v>1433</v>
      </c>
      <c r="I1123" s="46" t="s">
        <v>905</v>
      </c>
      <c r="J1123" s="83">
        <v>46093</v>
      </c>
      <c r="K1123" s="46" t="s">
        <v>932</v>
      </c>
      <c r="L1123" s="46" t="s">
        <v>915</v>
      </c>
      <c r="M1123" s="83" t="str">
        <f>VLOOKUP(K1123,[4]在职!$A:$B,2,0)</f>
        <v>01654</v>
      </c>
      <c r="N1123" s="83" t="str">
        <f>VLOOKUP(K1123,[4]在职!$A:$G,7,0)</f>
        <v>陕西2部</v>
      </c>
      <c r="O1123" s="83" t="str">
        <f>VLOOKUP(K1123,[4]在职!$A:$I,9,0)</f>
        <v>一星销售顾问</v>
      </c>
      <c r="P1123" s="83">
        <f>VLOOKUP(K1123,[4]在职!$A:$D,4,0)</f>
        <v>45881</v>
      </c>
      <c r="Q1123" s="102">
        <v>5</v>
      </c>
      <c r="R1123" s="102">
        <v>5</v>
      </c>
      <c r="S1123" s="104">
        <v>80</v>
      </c>
    </row>
    <row r="1124" ht="16.5" hidden="1" spans="1:19">
      <c r="A1124" s="46">
        <v>1122</v>
      </c>
      <c r="B1124" s="46" t="s">
        <v>45</v>
      </c>
      <c r="C1124" s="46" t="s">
        <v>29</v>
      </c>
      <c r="D1124" s="46" t="s">
        <v>27</v>
      </c>
      <c r="E1124" s="46" t="s">
        <v>1076</v>
      </c>
      <c r="F1124" s="46" t="s">
        <v>1077</v>
      </c>
      <c r="G1124" s="46" t="s">
        <v>904</v>
      </c>
      <c r="H1124" s="46" t="s">
        <v>1433</v>
      </c>
      <c r="I1124" s="46" t="s">
        <v>905</v>
      </c>
      <c r="J1124" s="83">
        <v>46093</v>
      </c>
      <c r="K1124" s="46" t="s">
        <v>962</v>
      </c>
      <c r="L1124" s="46" t="s">
        <v>915</v>
      </c>
      <c r="M1124" s="83" t="str">
        <f>VLOOKUP(K1124,[4]在职!$A:$B,2,0)</f>
        <v>01597</v>
      </c>
      <c r="N1124" s="83" t="str">
        <f>VLOOKUP(K1124,[4]在职!$A:$G,7,0)</f>
        <v>河南销售部</v>
      </c>
      <c r="O1124" s="83" t="str">
        <f>VLOOKUP(K1124,[4]在职!$A:$I,9,0)</f>
        <v>二星销售顾问</v>
      </c>
      <c r="P1124" s="83">
        <f>VLOOKUP(K1124,[4]在职!$A:$D,4,0)</f>
        <v>45852</v>
      </c>
      <c r="Q1124" s="102">
        <v>5</v>
      </c>
      <c r="R1124" s="102">
        <v>5</v>
      </c>
      <c r="S1124" s="104">
        <v>100</v>
      </c>
    </row>
    <row r="1125" ht="16.5" hidden="1" spans="1:19">
      <c r="A1125" s="46">
        <v>1123</v>
      </c>
      <c r="B1125" s="46" t="s">
        <v>45</v>
      </c>
      <c r="C1125" s="46" t="s">
        <v>29</v>
      </c>
      <c r="D1125" s="46" t="s">
        <v>27</v>
      </c>
      <c r="E1125" s="46" t="s">
        <v>1076</v>
      </c>
      <c r="F1125" s="46" t="s">
        <v>1077</v>
      </c>
      <c r="G1125" s="46" t="s">
        <v>904</v>
      </c>
      <c r="H1125" s="46" t="s">
        <v>1433</v>
      </c>
      <c r="I1125" s="46" t="s">
        <v>905</v>
      </c>
      <c r="J1125" s="83">
        <v>46093</v>
      </c>
      <c r="K1125" s="46" t="s">
        <v>1443</v>
      </c>
      <c r="L1125" s="46" t="s">
        <v>915</v>
      </c>
      <c r="M1125" s="83" t="str">
        <f>VLOOKUP(K1125,[4]在职!$A:$B,2,0)</f>
        <v>01541</v>
      </c>
      <c r="N1125" s="83" t="str">
        <f>VLOOKUP(K1125,[4]在职!$A:$G,7,0)</f>
        <v>河南销售部</v>
      </c>
      <c r="O1125" s="83" t="str">
        <f>VLOOKUP(K1125,[4]在职!$A:$I,9,0)</f>
        <v>一星销售顾问</v>
      </c>
      <c r="P1125" s="83">
        <f>VLOOKUP(K1125,[4]在职!$A:$D,4,0)</f>
        <v>45823</v>
      </c>
      <c r="Q1125" s="102">
        <v>5</v>
      </c>
      <c r="R1125" s="102">
        <v>5</v>
      </c>
      <c r="S1125" s="104">
        <v>100</v>
      </c>
    </row>
    <row r="1126" ht="16.5" hidden="1" spans="1:19">
      <c r="A1126" s="46">
        <v>1124</v>
      </c>
      <c r="B1126" s="46" t="s">
        <v>45</v>
      </c>
      <c r="C1126" s="46" t="s">
        <v>26</v>
      </c>
      <c r="D1126" s="46" t="s">
        <v>27</v>
      </c>
      <c r="E1126" s="46" t="s">
        <v>1076</v>
      </c>
      <c r="F1126" s="46" t="s">
        <v>1077</v>
      </c>
      <c r="G1126" s="46" t="s">
        <v>904</v>
      </c>
      <c r="H1126" s="46" t="s">
        <v>1433</v>
      </c>
      <c r="I1126" s="46" t="s">
        <v>905</v>
      </c>
      <c r="J1126" s="83">
        <v>46093</v>
      </c>
      <c r="K1126" s="46" t="s">
        <v>1444</v>
      </c>
      <c r="L1126" s="46" t="s">
        <v>915</v>
      </c>
      <c r="M1126" s="83" t="str">
        <f>VLOOKUP(K1126,[4]在职!$A:$B,2,0)</f>
        <v>01850</v>
      </c>
      <c r="N1126" s="83" t="str">
        <f>VLOOKUP(K1126,[4]在职!$A:$G,7,0)</f>
        <v>河北销售部</v>
      </c>
      <c r="O1126" s="83" t="str">
        <f>VLOOKUP(K1126,[4]在职!$A:$I,9,0)</f>
        <v>一星销售顾问</v>
      </c>
      <c r="P1126" s="83">
        <f>VLOOKUP(K1126,[4]在职!$A:$D,4,0)</f>
        <v>46003</v>
      </c>
      <c r="Q1126" s="102">
        <v>0</v>
      </c>
      <c r="R1126" s="102">
        <v>0</v>
      </c>
      <c r="S1126" s="104">
        <v>100</v>
      </c>
    </row>
    <row r="1127" ht="16.5" hidden="1" spans="1:19">
      <c r="A1127" s="46">
        <v>1125</v>
      </c>
      <c r="B1127" s="46" t="s">
        <v>45</v>
      </c>
      <c r="C1127" s="46" t="s">
        <v>26</v>
      </c>
      <c r="D1127" s="46" t="s">
        <v>27</v>
      </c>
      <c r="E1127" s="46" t="s">
        <v>1076</v>
      </c>
      <c r="F1127" s="46" t="s">
        <v>1077</v>
      </c>
      <c r="G1127" s="46" t="s">
        <v>904</v>
      </c>
      <c r="H1127" s="46" t="s">
        <v>1433</v>
      </c>
      <c r="I1127" s="46" t="s">
        <v>905</v>
      </c>
      <c r="J1127" s="83">
        <v>46093</v>
      </c>
      <c r="K1127" s="46" t="s">
        <v>1445</v>
      </c>
      <c r="L1127" s="46" t="s">
        <v>915</v>
      </c>
      <c r="M1127" s="83" t="str">
        <f>VLOOKUP(K1127,[4]在职!$A:$B,2,0)</f>
        <v>01702</v>
      </c>
      <c r="N1127" s="83" t="str">
        <f>VLOOKUP(K1127,[4]在职!$A:$G,7,0)</f>
        <v>河北销售部</v>
      </c>
      <c r="O1127" s="83" t="str">
        <f>VLOOKUP(K1127,[4]在职!$A:$I,9,0)</f>
        <v>一星销售顾问</v>
      </c>
      <c r="P1127" s="83">
        <f>VLOOKUP(K1127,[4]在职!$A:$D,4,0)</f>
        <v>45918</v>
      </c>
      <c r="Q1127" s="102">
        <v>5</v>
      </c>
      <c r="R1127" s="102">
        <v>5</v>
      </c>
      <c r="S1127" s="104">
        <v>100</v>
      </c>
    </row>
    <row r="1128" ht="16.5" hidden="1" spans="1:19">
      <c r="A1128" s="46">
        <v>1126</v>
      </c>
      <c r="B1128" s="46" t="s">
        <v>45</v>
      </c>
      <c r="C1128" s="46" t="s">
        <v>38</v>
      </c>
      <c r="D1128" s="46" t="s">
        <v>27</v>
      </c>
      <c r="E1128" s="46" t="s">
        <v>1076</v>
      </c>
      <c r="F1128" s="46" t="s">
        <v>1077</v>
      </c>
      <c r="G1128" s="46" t="s">
        <v>904</v>
      </c>
      <c r="H1128" s="46" t="s">
        <v>1433</v>
      </c>
      <c r="I1128" s="46" t="s">
        <v>905</v>
      </c>
      <c r="J1128" s="83">
        <v>46093</v>
      </c>
      <c r="K1128" s="46" t="s">
        <v>1446</v>
      </c>
      <c r="L1128" s="46" t="s">
        <v>915</v>
      </c>
      <c r="M1128" s="83" t="str">
        <f>VLOOKUP(K1128,[4]在职!$A:$B,2,0)</f>
        <v>01631</v>
      </c>
      <c r="N1128" s="83" t="str">
        <f>VLOOKUP(K1128,[4]在职!$A:$G,7,0)</f>
        <v>营业三部</v>
      </c>
      <c r="O1128" s="83" t="str">
        <f>VLOOKUP(K1128,[4]在职!$A:$I,9,0)</f>
        <v>一星销售顾问</v>
      </c>
      <c r="P1128" s="83">
        <f>VLOOKUP(K1128,[4]在职!$A:$D,4,0)</f>
        <v>45873</v>
      </c>
      <c r="Q1128" s="102">
        <v>5</v>
      </c>
      <c r="R1128" s="102">
        <v>5</v>
      </c>
      <c r="S1128" s="104">
        <v>90</v>
      </c>
    </row>
    <row r="1129" ht="16.5" hidden="1" spans="1:19">
      <c r="A1129" s="46">
        <v>1127</v>
      </c>
      <c r="B1129" s="46" t="s">
        <v>45</v>
      </c>
      <c r="C1129" s="46" t="s">
        <v>38</v>
      </c>
      <c r="D1129" s="46" t="s">
        <v>27</v>
      </c>
      <c r="E1129" s="46" t="s">
        <v>1076</v>
      </c>
      <c r="F1129" s="46" t="s">
        <v>1077</v>
      </c>
      <c r="G1129" s="46" t="s">
        <v>904</v>
      </c>
      <c r="H1129" s="46" t="s">
        <v>1433</v>
      </c>
      <c r="I1129" s="46" t="s">
        <v>905</v>
      </c>
      <c r="J1129" s="83">
        <v>46093</v>
      </c>
      <c r="K1129" s="46" t="s">
        <v>1271</v>
      </c>
      <c r="L1129" s="46" t="s">
        <v>915</v>
      </c>
      <c r="M1129" s="83" t="str">
        <f>VLOOKUP(K1129,[4]在职!$A:$B,2,0)</f>
        <v>01790</v>
      </c>
      <c r="N1129" s="83" t="str">
        <f>VLOOKUP(K1129,[4]在职!$A:$G,7,0)</f>
        <v>营业四部</v>
      </c>
      <c r="O1129" s="83" t="str">
        <f>VLOOKUP(K1129,[4]在职!$A:$I,9,0)</f>
        <v>一星销售顾问</v>
      </c>
      <c r="P1129" s="83">
        <f>VLOOKUP(K1129,[4]在职!$A:$D,4,0)</f>
        <v>45974</v>
      </c>
      <c r="Q1129" s="102">
        <v>0</v>
      </c>
      <c r="R1129" s="102">
        <v>0</v>
      </c>
      <c r="S1129" s="104">
        <v>0</v>
      </c>
    </row>
    <row r="1130" ht="16.5" hidden="1" spans="1:19">
      <c r="A1130" s="46">
        <v>1128</v>
      </c>
      <c r="B1130" s="46" t="s">
        <v>45</v>
      </c>
      <c r="C1130" s="46" t="s">
        <v>38</v>
      </c>
      <c r="D1130" s="46" t="s">
        <v>27</v>
      </c>
      <c r="E1130" s="46" t="s">
        <v>1076</v>
      </c>
      <c r="F1130" s="46" t="s">
        <v>1077</v>
      </c>
      <c r="G1130" s="46" t="s">
        <v>904</v>
      </c>
      <c r="H1130" s="46" t="s">
        <v>1433</v>
      </c>
      <c r="I1130" s="46" t="s">
        <v>905</v>
      </c>
      <c r="J1130" s="83">
        <v>46093</v>
      </c>
      <c r="K1130" s="46" t="s">
        <v>1273</v>
      </c>
      <c r="L1130" s="46" t="s">
        <v>915</v>
      </c>
      <c r="M1130" s="83" t="str">
        <f>VLOOKUP(K1130,[4]在职!$A:$B,2,0)</f>
        <v>01767</v>
      </c>
      <c r="N1130" s="83" t="str">
        <f>VLOOKUP(K1130,[4]在职!$A:$G,7,0)</f>
        <v>营业四部</v>
      </c>
      <c r="O1130" s="83" t="str">
        <f>VLOOKUP(K1130,[4]在职!$A:$I,9,0)</f>
        <v>一星销售顾问</v>
      </c>
      <c r="P1130" s="83">
        <f>VLOOKUP(K1130,[4]在职!$A:$D,4,0)</f>
        <v>45959</v>
      </c>
      <c r="Q1130" s="102">
        <v>5</v>
      </c>
      <c r="R1130" s="102">
        <v>5</v>
      </c>
      <c r="S1130" s="104">
        <v>100</v>
      </c>
    </row>
    <row r="1131" ht="16.5" hidden="1" spans="1:19">
      <c r="A1131" s="46">
        <v>1129</v>
      </c>
      <c r="B1131" s="46" t="s">
        <v>45</v>
      </c>
      <c r="C1131" s="46" t="s">
        <v>38</v>
      </c>
      <c r="D1131" s="46" t="s">
        <v>27</v>
      </c>
      <c r="E1131" s="46" t="s">
        <v>1076</v>
      </c>
      <c r="F1131" s="46" t="s">
        <v>1077</v>
      </c>
      <c r="G1131" s="46" t="s">
        <v>904</v>
      </c>
      <c r="H1131" s="46" t="s">
        <v>1433</v>
      </c>
      <c r="I1131" s="46" t="s">
        <v>905</v>
      </c>
      <c r="J1131" s="83">
        <v>46093</v>
      </c>
      <c r="K1131" s="46" t="s">
        <v>1447</v>
      </c>
      <c r="L1131" s="46" t="s">
        <v>915</v>
      </c>
      <c r="M1131" s="83" t="str">
        <f>VLOOKUP(K1131,[4]在职!$A:$B,2,0)</f>
        <v>01735</v>
      </c>
      <c r="N1131" s="83" t="str">
        <f>VLOOKUP(K1131,[4]在职!$A:$G,7,0)</f>
        <v>营业四部</v>
      </c>
      <c r="O1131" s="83" t="str">
        <f>VLOOKUP(K1131,[4]在职!$A:$I,9,0)</f>
        <v>一星销售顾问</v>
      </c>
      <c r="P1131" s="83">
        <f>VLOOKUP(K1131,[4]在职!$A:$D,4,0)</f>
        <v>45943</v>
      </c>
      <c r="Q1131" s="102">
        <v>5</v>
      </c>
      <c r="R1131" s="102">
        <v>5</v>
      </c>
      <c r="S1131" s="104">
        <v>80</v>
      </c>
    </row>
    <row r="1132" ht="16.5" hidden="1" spans="1:19">
      <c r="A1132" s="46">
        <v>1130</v>
      </c>
      <c r="B1132" s="46" t="s">
        <v>45</v>
      </c>
      <c r="C1132" s="46" t="s">
        <v>36</v>
      </c>
      <c r="D1132" s="46" t="s">
        <v>27</v>
      </c>
      <c r="E1132" s="46" t="s">
        <v>1076</v>
      </c>
      <c r="F1132" s="46" t="s">
        <v>1077</v>
      </c>
      <c r="G1132" s="46" t="s">
        <v>904</v>
      </c>
      <c r="H1132" s="46" t="s">
        <v>1433</v>
      </c>
      <c r="I1132" s="46" t="s">
        <v>905</v>
      </c>
      <c r="J1132" s="83">
        <v>46093</v>
      </c>
      <c r="K1132" s="46" t="s">
        <v>1448</v>
      </c>
      <c r="L1132" s="46" t="s">
        <v>915</v>
      </c>
      <c r="M1132" s="83" t="str">
        <f>VLOOKUP(K1132,[4]在职!$A:$B,2,0)</f>
        <v>01650</v>
      </c>
      <c r="N1132" s="83" t="str">
        <f>VLOOKUP(K1132,[4]在职!$A:$G,7,0)</f>
        <v>山西销售部</v>
      </c>
      <c r="O1132" s="83" t="str">
        <f>VLOOKUP(K1132,[4]在职!$A:$I,9,0)</f>
        <v>一星销售顾问</v>
      </c>
      <c r="P1132" s="83">
        <f>VLOOKUP(K1132,[4]在职!$A:$D,4,0)</f>
        <v>45880</v>
      </c>
      <c r="Q1132" s="102">
        <v>5</v>
      </c>
      <c r="R1132" s="102">
        <v>5</v>
      </c>
      <c r="S1132" s="104">
        <v>100</v>
      </c>
    </row>
    <row r="1133" ht="16.5" hidden="1" spans="1:19">
      <c r="A1133" s="46">
        <v>1131</v>
      </c>
      <c r="B1133" s="46" t="s">
        <v>45</v>
      </c>
      <c r="C1133" s="46" t="s">
        <v>37</v>
      </c>
      <c r="D1133" s="46" t="s">
        <v>27</v>
      </c>
      <c r="E1133" s="46" t="s">
        <v>1076</v>
      </c>
      <c r="F1133" s="46" t="s">
        <v>1077</v>
      </c>
      <c r="G1133" s="46" t="s">
        <v>904</v>
      </c>
      <c r="H1133" s="46" t="s">
        <v>1433</v>
      </c>
      <c r="I1133" s="46" t="s">
        <v>905</v>
      </c>
      <c r="J1133" s="83">
        <v>46093</v>
      </c>
      <c r="K1133" s="46" t="s">
        <v>1449</v>
      </c>
      <c r="L1133" s="46" t="s">
        <v>915</v>
      </c>
      <c r="M1133" s="83" t="str">
        <f>VLOOKUP(K1133,[4]在职!$A:$B,2,0)</f>
        <v>00583</v>
      </c>
      <c r="N1133" s="83" t="str">
        <f>VLOOKUP(K1133,[4]在职!$A:$G,7,0)</f>
        <v>陕西2部</v>
      </c>
      <c r="O1133" s="83" t="str">
        <f>VLOOKUP(K1133,[4]在职!$A:$I,9,0)</f>
        <v>一星销售顾问</v>
      </c>
      <c r="P1133" s="83">
        <f>VLOOKUP(K1133,[4]在职!$A:$D,4,0)</f>
        <v>45763</v>
      </c>
      <c r="Q1133" s="102">
        <v>5</v>
      </c>
      <c r="R1133" s="102">
        <v>5</v>
      </c>
      <c r="S1133" s="104">
        <v>80</v>
      </c>
    </row>
    <row r="1134" ht="16.5" hidden="1" spans="1:19">
      <c r="A1134" s="46">
        <v>1132</v>
      </c>
      <c r="B1134" s="46" t="s">
        <v>45</v>
      </c>
      <c r="C1134" s="46" t="s">
        <v>31</v>
      </c>
      <c r="D1134" s="46" t="s">
        <v>27</v>
      </c>
      <c r="E1134" s="46" t="s">
        <v>1076</v>
      </c>
      <c r="F1134" s="46" t="s">
        <v>1077</v>
      </c>
      <c r="G1134" s="46" t="s">
        <v>904</v>
      </c>
      <c r="H1134" s="46" t="s">
        <v>1433</v>
      </c>
      <c r="I1134" s="46" t="s">
        <v>905</v>
      </c>
      <c r="J1134" s="83">
        <v>46093</v>
      </c>
      <c r="K1134" s="46" t="s">
        <v>1450</v>
      </c>
      <c r="L1134" s="46" t="s">
        <v>915</v>
      </c>
      <c r="M1134" s="83" t="str">
        <f>VLOOKUP(K1134,[4]在职!$A:$B,2,0)</f>
        <v>01629</v>
      </c>
      <c r="N1134" s="83" t="str">
        <f>VLOOKUP(K1134,[4]在职!$A:$G,7,0)</f>
        <v>湖北1部</v>
      </c>
      <c r="O1134" s="83" t="str">
        <f>VLOOKUP(K1134,[4]在职!$A:$I,9,0)</f>
        <v>一星销售顾问</v>
      </c>
      <c r="P1134" s="83">
        <f>VLOOKUP(K1134,[4]在职!$A:$D,4,0)</f>
        <v>45866</v>
      </c>
      <c r="Q1134" s="102">
        <v>5</v>
      </c>
      <c r="R1134" s="102">
        <v>5</v>
      </c>
      <c r="S1134" s="104">
        <v>100</v>
      </c>
    </row>
    <row r="1135" ht="16.5" hidden="1" spans="1:19">
      <c r="A1135" s="46">
        <v>1133</v>
      </c>
      <c r="B1135" s="46" t="s">
        <v>45</v>
      </c>
      <c r="C1135" s="46" t="s">
        <v>31</v>
      </c>
      <c r="D1135" s="46" t="s">
        <v>27</v>
      </c>
      <c r="E1135" s="46" t="s">
        <v>1076</v>
      </c>
      <c r="F1135" s="46" t="s">
        <v>1077</v>
      </c>
      <c r="G1135" s="46" t="s">
        <v>904</v>
      </c>
      <c r="H1135" s="46" t="s">
        <v>1433</v>
      </c>
      <c r="I1135" s="46" t="s">
        <v>905</v>
      </c>
      <c r="J1135" s="83">
        <v>46093</v>
      </c>
      <c r="K1135" s="46" t="s">
        <v>1006</v>
      </c>
      <c r="L1135" s="46" t="s">
        <v>915</v>
      </c>
      <c r="M1135" s="83" t="str">
        <f>VLOOKUP(K1135,[4]在职!$A:$B,2,0)</f>
        <v>01537</v>
      </c>
      <c r="N1135" s="83" t="str">
        <f>VLOOKUP(K1135,[4]在职!$A:$G,7,0)</f>
        <v>湖北1部</v>
      </c>
      <c r="O1135" s="83" t="str">
        <f>VLOOKUP(K1135,[4]在职!$A:$I,9,0)</f>
        <v>一星销售顾问</v>
      </c>
      <c r="P1135" s="83">
        <f>VLOOKUP(K1135,[4]在职!$A:$D,4,0)</f>
        <v>45821</v>
      </c>
      <c r="Q1135" s="102">
        <v>5</v>
      </c>
      <c r="R1135" s="102">
        <v>5</v>
      </c>
      <c r="S1135" s="104">
        <v>100</v>
      </c>
    </row>
    <row r="1136" ht="16.5" hidden="1" spans="1:19">
      <c r="A1136" s="46">
        <v>1134</v>
      </c>
      <c r="B1136" s="46" t="s">
        <v>45</v>
      </c>
      <c r="C1136" s="46" t="s">
        <v>31</v>
      </c>
      <c r="D1136" s="46" t="s">
        <v>27</v>
      </c>
      <c r="E1136" s="46" t="s">
        <v>1076</v>
      </c>
      <c r="F1136" s="46" t="s">
        <v>1077</v>
      </c>
      <c r="G1136" s="46" t="s">
        <v>904</v>
      </c>
      <c r="H1136" s="46" t="s">
        <v>1433</v>
      </c>
      <c r="I1136" s="46" t="s">
        <v>905</v>
      </c>
      <c r="J1136" s="83">
        <v>46093</v>
      </c>
      <c r="K1136" s="46" t="s">
        <v>1068</v>
      </c>
      <c r="L1136" s="46" t="s">
        <v>915</v>
      </c>
      <c r="M1136" s="83" t="str">
        <f>VLOOKUP(K1136,[4]在职!$A:$B,2,0)</f>
        <v>01404</v>
      </c>
      <c r="N1136" s="83" t="str">
        <f>VLOOKUP(K1136,[4]在职!$A:$G,7,0)</f>
        <v>湖北1部</v>
      </c>
      <c r="O1136" s="83" t="str">
        <f>VLOOKUP(K1136,[4]在职!$A:$I,9,0)</f>
        <v>二星销售顾问</v>
      </c>
      <c r="P1136" s="83">
        <f>VLOOKUP(K1136,[4]在职!$A:$D,4,0)</f>
        <v>45740</v>
      </c>
      <c r="Q1136" s="102">
        <v>5</v>
      </c>
      <c r="R1136" s="102">
        <v>5</v>
      </c>
      <c r="S1136" s="104">
        <v>100</v>
      </c>
    </row>
    <row r="1137" ht="16.5" hidden="1" spans="1:19">
      <c r="A1137" s="46">
        <v>1135</v>
      </c>
      <c r="B1137" s="46" t="s">
        <v>45</v>
      </c>
      <c r="C1137" s="46" t="s">
        <v>36</v>
      </c>
      <c r="D1137" s="46" t="s">
        <v>27</v>
      </c>
      <c r="E1137" s="46" t="s">
        <v>1076</v>
      </c>
      <c r="F1137" s="46" t="s">
        <v>1077</v>
      </c>
      <c r="G1137" s="46" t="s">
        <v>904</v>
      </c>
      <c r="H1137" s="46" t="s">
        <v>1433</v>
      </c>
      <c r="I1137" s="46" t="s">
        <v>905</v>
      </c>
      <c r="J1137" s="83">
        <v>46093</v>
      </c>
      <c r="K1137" s="46" t="s">
        <v>1451</v>
      </c>
      <c r="L1137" s="46" t="s">
        <v>915</v>
      </c>
      <c r="M1137" s="83" t="str">
        <f>VLOOKUP(K1137,[4]在职!$A:$B,2,0)</f>
        <v>01726</v>
      </c>
      <c r="N1137" s="83" t="str">
        <f>VLOOKUP(K1137,[4]在职!$A:$G,7,0)</f>
        <v>山西销售部</v>
      </c>
      <c r="O1137" s="83" t="str">
        <f>VLOOKUP(K1137,[4]在职!$A:$I,9,0)</f>
        <v>一星销售顾问</v>
      </c>
      <c r="P1137" s="83">
        <f>VLOOKUP(K1137,[4]在职!$A:$D,4,0)</f>
        <v>45940</v>
      </c>
      <c r="Q1137" s="102">
        <v>5</v>
      </c>
      <c r="R1137" s="102">
        <v>5</v>
      </c>
      <c r="S1137" s="104">
        <v>80</v>
      </c>
    </row>
    <row r="1138" ht="16.5" hidden="1" spans="1:19">
      <c r="A1138" s="46">
        <v>1136</v>
      </c>
      <c r="B1138" s="46" t="s">
        <v>45</v>
      </c>
      <c r="C1138" s="46" t="s">
        <v>38</v>
      </c>
      <c r="D1138" s="46" t="s">
        <v>27</v>
      </c>
      <c r="E1138" s="46" t="s">
        <v>1076</v>
      </c>
      <c r="F1138" s="46" t="s">
        <v>1077</v>
      </c>
      <c r="G1138" s="46" t="s">
        <v>904</v>
      </c>
      <c r="H1138" s="46" t="s">
        <v>1433</v>
      </c>
      <c r="I1138" s="46" t="s">
        <v>905</v>
      </c>
      <c r="J1138" s="83">
        <v>46093</v>
      </c>
      <c r="K1138" s="46" t="s">
        <v>1263</v>
      </c>
      <c r="L1138" s="46" t="s">
        <v>915</v>
      </c>
      <c r="M1138" s="83" t="str">
        <f>VLOOKUP(K1138,[4]在职!$A:$B,2,0)</f>
        <v>01723</v>
      </c>
      <c r="N1138" s="83" t="str">
        <f>VLOOKUP(K1138,[4]在职!$A:$G,7,0)</f>
        <v>营业七部</v>
      </c>
      <c r="O1138" s="83" t="str">
        <f>VLOOKUP(K1138,[4]在职!$A:$I,9,0)</f>
        <v>一星销售顾问</v>
      </c>
      <c r="P1138" s="83">
        <f>VLOOKUP(K1138,[4]在职!$A:$D,4,0)</f>
        <v>45941</v>
      </c>
      <c r="Q1138" s="102">
        <v>5</v>
      </c>
      <c r="R1138" s="102">
        <v>5</v>
      </c>
      <c r="S1138" s="104">
        <v>80</v>
      </c>
    </row>
    <row r="1139" ht="16.5" hidden="1" spans="1:19">
      <c r="A1139" s="46">
        <v>1137</v>
      </c>
      <c r="B1139" s="46" t="s">
        <v>45</v>
      </c>
      <c r="C1139" s="46" t="s">
        <v>38</v>
      </c>
      <c r="D1139" s="46" t="s">
        <v>27</v>
      </c>
      <c r="E1139" s="46" t="s">
        <v>1076</v>
      </c>
      <c r="F1139" s="46" t="s">
        <v>1077</v>
      </c>
      <c r="G1139" s="46" t="s">
        <v>904</v>
      </c>
      <c r="H1139" s="46" t="s">
        <v>1433</v>
      </c>
      <c r="I1139" s="46" t="s">
        <v>905</v>
      </c>
      <c r="J1139" s="83">
        <v>46093</v>
      </c>
      <c r="K1139" s="46" t="s">
        <v>972</v>
      </c>
      <c r="L1139" s="46" t="s">
        <v>915</v>
      </c>
      <c r="M1139" s="83" t="str">
        <f>VLOOKUP(K1139,[4]在职!$A:$B,2,0)</f>
        <v>01599</v>
      </c>
      <c r="N1139" s="83" t="str">
        <f>VLOOKUP(K1139,[4]在职!$A:$G,7,0)</f>
        <v>营业七部</v>
      </c>
      <c r="O1139" s="83" t="str">
        <f>VLOOKUP(K1139,[4]在职!$A:$I,9,0)</f>
        <v>二星销售顾问</v>
      </c>
      <c r="P1139" s="83">
        <f>VLOOKUP(K1139,[4]在职!$A:$D,4,0)</f>
        <v>45855</v>
      </c>
      <c r="Q1139" s="102">
        <v>5</v>
      </c>
      <c r="R1139" s="102">
        <v>5</v>
      </c>
      <c r="S1139" s="104">
        <v>100</v>
      </c>
    </row>
    <row r="1140" ht="16.5" hidden="1" spans="1:19">
      <c r="A1140" s="46">
        <v>1138</v>
      </c>
      <c r="B1140" s="46" t="s">
        <v>45</v>
      </c>
      <c r="C1140" s="46" t="s">
        <v>38</v>
      </c>
      <c r="D1140" s="46" t="s">
        <v>27</v>
      </c>
      <c r="E1140" s="46" t="s">
        <v>1076</v>
      </c>
      <c r="F1140" s="46" t="s">
        <v>1077</v>
      </c>
      <c r="G1140" s="46" t="s">
        <v>904</v>
      </c>
      <c r="H1140" s="46" t="s">
        <v>1433</v>
      </c>
      <c r="I1140" s="46" t="s">
        <v>905</v>
      </c>
      <c r="J1140" s="83">
        <v>46093</v>
      </c>
      <c r="K1140" s="46" t="s">
        <v>974</v>
      </c>
      <c r="L1140" s="46" t="s">
        <v>915</v>
      </c>
      <c r="M1140" s="83" t="str">
        <f>VLOOKUP(K1140,[4]在职!$A:$B,2,0)</f>
        <v>01465</v>
      </c>
      <c r="N1140" s="83" t="str">
        <f>VLOOKUP(K1140,[4]在职!$A:$G,7,0)</f>
        <v>营业七部</v>
      </c>
      <c r="O1140" s="83" t="str">
        <f>VLOOKUP(K1140,[4]在职!$A:$I,9,0)</f>
        <v>二星销售顾问</v>
      </c>
      <c r="P1140" s="83">
        <f>VLOOKUP(K1140,[4]在职!$A:$D,4,0)</f>
        <v>45768</v>
      </c>
      <c r="Q1140" s="102">
        <v>5</v>
      </c>
      <c r="R1140" s="102">
        <v>5</v>
      </c>
      <c r="S1140" s="104">
        <v>100</v>
      </c>
    </row>
    <row r="1141" ht="16.5" hidden="1" spans="1:19">
      <c r="A1141" s="46">
        <v>1139</v>
      </c>
      <c r="B1141" s="46" t="s">
        <v>45</v>
      </c>
      <c r="C1141" s="46" t="s">
        <v>37</v>
      </c>
      <c r="D1141" s="46" t="s">
        <v>27</v>
      </c>
      <c r="E1141" s="46" t="s">
        <v>1076</v>
      </c>
      <c r="F1141" s="46" t="s">
        <v>1077</v>
      </c>
      <c r="G1141" s="46" t="s">
        <v>904</v>
      </c>
      <c r="H1141" s="46" t="s">
        <v>1433</v>
      </c>
      <c r="I1141" s="46" t="s">
        <v>905</v>
      </c>
      <c r="J1141" s="83">
        <v>46093</v>
      </c>
      <c r="K1141" s="46" t="s">
        <v>1452</v>
      </c>
      <c r="L1141" s="46" t="s">
        <v>915</v>
      </c>
      <c r="M1141" s="83" t="str">
        <f>VLOOKUP(K1141,[4]在职!$A:$B,2,0)</f>
        <v>01720</v>
      </c>
      <c r="N1141" s="83" t="str">
        <f>VLOOKUP(K1141,[4]在职!$A:$G,7,0)</f>
        <v>陕西2部</v>
      </c>
      <c r="O1141" s="83" t="str">
        <f>VLOOKUP(K1141,[4]在职!$A:$I,9,0)</f>
        <v>一星销售顾问</v>
      </c>
      <c r="P1141" s="83">
        <f>VLOOKUP(K1141,[4]在职!$A:$D,4,0)</f>
        <v>45938</v>
      </c>
      <c r="Q1141" s="102">
        <v>5</v>
      </c>
      <c r="R1141" s="102">
        <v>5</v>
      </c>
      <c r="S1141" s="104">
        <v>100</v>
      </c>
    </row>
    <row r="1142" ht="16.5" hidden="1" spans="1:19">
      <c r="A1142" s="46">
        <v>1140</v>
      </c>
      <c r="B1142" s="46" t="s">
        <v>45</v>
      </c>
      <c r="C1142" s="46" t="s">
        <v>31</v>
      </c>
      <c r="D1142" s="46" t="s">
        <v>27</v>
      </c>
      <c r="E1142" s="46" t="s">
        <v>1076</v>
      </c>
      <c r="F1142" s="46" t="s">
        <v>1077</v>
      </c>
      <c r="G1142" s="46" t="s">
        <v>904</v>
      </c>
      <c r="H1142" s="46" t="s">
        <v>1433</v>
      </c>
      <c r="I1142" s="46" t="s">
        <v>905</v>
      </c>
      <c r="J1142" s="83">
        <v>46093</v>
      </c>
      <c r="K1142" s="46" t="s">
        <v>1453</v>
      </c>
      <c r="L1142" s="46" t="s">
        <v>915</v>
      </c>
      <c r="M1142" s="83" t="str">
        <f>VLOOKUP(K1142,[4]在职!$A:$B,2,0)</f>
        <v>01632</v>
      </c>
      <c r="N1142" s="83" t="str">
        <f>VLOOKUP(K1142,[4]在职!$A:$G,7,0)</f>
        <v>湖北1部</v>
      </c>
      <c r="O1142" s="83" t="str">
        <f>VLOOKUP(K1142,[4]在职!$A:$I,9,0)</f>
        <v>一星销售顾问</v>
      </c>
      <c r="P1142" s="83">
        <f>VLOOKUP(K1142,[4]在职!$A:$D,4,0)</f>
        <v>45873</v>
      </c>
      <c r="Q1142" s="102">
        <v>5</v>
      </c>
      <c r="R1142" s="102">
        <v>5</v>
      </c>
      <c r="S1142" s="104">
        <v>100</v>
      </c>
    </row>
    <row r="1143" ht="16.5" hidden="1" spans="1:19">
      <c r="A1143" s="46">
        <v>1141</v>
      </c>
      <c r="B1143" s="46" t="s">
        <v>45</v>
      </c>
      <c r="C1143" s="46" t="s">
        <v>29</v>
      </c>
      <c r="D1143" s="46" t="s">
        <v>27</v>
      </c>
      <c r="E1143" s="46" t="s">
        <v>1076</v>
      </c>
      <c r="F1143" s="46" t="s">
        <v>1077</v>
      </c>
      <c r="G1143" s="46" t="s">
        <v>904</v>
      </c>
      <c r="H1143" s="46" t="s">
        <v>1433</v>
      </c>
      <c r="I1143" s="46" t="s">
        <v>905</v>
      </c>
      <c r="J1143" s="83">
        <v>46093</v>
      </c>
      <c r="K1143" s="46" t="s">
        <v>1253</v>
      </c>
      <c r="L1143" s="46" t="s">
        <v>915</v>
      </c>
      <c r="M1143" s="83" t="str">
        <f>VLOOKUP(K1143,[4]在职!$A:$B,2,0)</f>
        <v>01762</v>
      </c>
      <c r="N1143" s="83" t="str">
        <f>VLOOKUP(K1143,[4]在职!$A:$G,7,0)</f>
        <v>河南销售部</v>
      </c>
      <c r="O1143" s="83" t="str">
        <f>VLOOKUP(K1143,[4]在职!$A:$I,9,0)</f>
        <v>一星销售顾问</v>
      </c>
      <c r="P1143" s="83">
        <f>VLOOKUP(K1143,[4]在职!$A:$D,4,0)</f>
        <v>45958</v>
      </c>
      <c r="Q1143" s="102">
        <v>5</v>
      </c>
      <c r="R1143" s="102">
        <v>5</v>
      </c>
      <c r="S1143" s="104">
        <v>55</v>
      </c>
    </row>
    <row r="1144" ht="16.5" hidden="1" spans="1:19">
      <c r="A1144" s="46">
        <v>1142</v>
      </c>
      <c r="B1144" s="46" t="s">
        <v>45</v>
      </c>
      <c r="C1144" s="46" t="s">
        <v>29</v>
      </c>
      <c r="D1144" s="46" t="s">
        <v>27</v>
      </c>
      <c r="E1144" s="46" t="s">
        <v>1076</v>
      </c>
      <c r="F1144" s="46" t="s">
        <v>1077</v>
      </c>
      <c r="G1144" s="46" t="s">
        <v>904</v>
      </c>
      <c r="H1144" s="46" t="s">
        <v>1433</v>
      </c>
      <c r="I1144" s="46" t="s">
        <v>905</v>
      </c>
      <c r="J1144" s="83">
        <v>46093</v>
      </c>
      <c r="K1144" s="46" t="s">
        <v>1255</v>
      </c>
      <c r="L1144" s="46" t="s">
        <v>915</v>
      </c>
      <c r="M1144" s="83" t="str">
        <f>VLOOKUP(K1144,[4]在职!$A:$B,2,0)</f>
        <v>01766</v>
      </c>
      <c r="N1144" s="83" t="str">
        <f>VLOOKUP(K1144,[4]在职!$A:$G,7,0)</f>
        <v>河南销售部</v>
      </c>
      <c r="O1144" s="83" t="str">
        <f>VLOOKUP(K1144,[4]在职!$A:$I,9,0)</f>
        <v>一星销售顾问</v>
      </c>
      <c r="P1144" s="83">
        <f>VLOOKUP(K1144,[4]在职!$A:$D,4,0)</f>
        <v>45958</v>
      </c>
      <c r="Q1144" s="102">
        <v>5</v>
      </c>
      <c r="R1144" s="102">
        <v>5</v>
      </c>
      <c r="S1144" s="104">
        <v>80</v>
      </c>
    </row>
    <row r="1145" ht="16.5" hidden="1" spans="1:19">
      <c r="A1145" s="46">
        <v>1143</v>
      </c>
      <c r="B1145" s="46" t="s">
        <v>45</v>
      </c>
      <c r="C1145" s="46" t="s">
        <v>38</v>
      </c>
      <c r="D1145" s="46" t="s">
        <v>27</v>
      </c>
      <c r="E1145" s="46" t="s">
        <v>1076</v>
      </c>
      <c r="F1145" s="46" t="s">
        <v>1077</v>
      </c>
      <c r="G1145" s="46" t="s">
        <v>904</v>
      </c>
      <c r="H1145" s="46" t="s">
        <v>1433</v>
      </c>
      <c r="I1145" s="46" t="s">
        <v>905</v>
      </c>
      <c r="J1145" s="83">
        <v>46093</v>
      </c>
      <c r="K1145" s="46" t="s">
        <v>1454</v>
      </c>
      <c r="L1145" s="46" t="s">
        <v>915</v>
      </c>
      <c r="M1145" s="83" t="str">
        <f>VLOOKUP(K1145,[4]在职!$A:$B,2,0)</f>
        <v>01693</v>
      </c>
      <c r="N1145" s="83" t="str">
        <f>VLOOKUP(K1145,[4]在职!$A:$G,7,0)</f>
        <v>营业七部</v>
      </c>
      <c r="O1145" s="83" t="str">
        <f>VLOOKUP(K1145,[4]在职!$A:$I,9,0)</f>
        <v>一星销售顾问</v>
      </c>
      <c r="P1145" s="83">
        <f>VLOOKUP(K1145,[4]在职!$A:$D,4,0)</f>
        <v>45908</v>
      </c>
      <c r="Q1145" s="102">
        <v>5</v>
      </c>
      <c r="R1145" s="102">
        <v>5</v>
      </c>
      <c r="S1145" s="104">
        <v>100</v>
      </c>
    </row>
    <row r="1146" ht="16.5" hidden="1" spans="1:19">
      <c r="A1146" s="46">
        <v>1144</v>
      </c>
      <c r="B1146" s="46" t="s">
        <v>45</v>
      </c>
      <c r="C1146" s="46" t="s">
        <v>38</v>
      </c>
      <c r="D1146" s="46" t="s">
        <v>27</v>
      </c>
      <c r="E1146" s="46" t="s">
        <v>1076</v>
      </c>
      <c r="F1146" s="46" t="s">
        <v>1077</v>
      </c>
      <c r="G1146" s="46" t="s">
        <v>904</v>
      </c>
      <c r="H1146" s="46" t="s">
        <v>1433</v>
      </c>
      <c r="I1146" s="46" t="s">
        <v>905</v>
      </c>
      <c r="J1146" s="83">
        <v>46093</v>
      </c>
      <c r="K1146" s="46" t="s">
        <v>1455</v>
      </c>
      <c r="L1146" s="46" t="s">
        <v>915</v>
      </c>
      <c r="M1146" s="83" t="str">
        <f>VLOOKUP(K1146,[4]在职!$A:$B,2,0)</f>
        <v>01675</v>
      </c>
      <c r="N1146" s="83" t="str">
        <f>VLOOKUP(K1146,[4]在职!$A:$G,7,0)</f>
        <v>营业七部</v>
      </c>
      <c r="O1146" s="83" t="str">
        <f>VLOOKUP(K1146,[4]在职!$A:$I,9,0)</f>
        <v>一星销售顾问</v>
      </c>
      <c r="P1146" s="83">
        <f>VLOOKUP(K1146,[4]在职!$A:$D,4,0)</f>
        <v>45894</v>
      </c>
      <c r="Q1146" s="102">
        <v>5</v>
      </c>
      <c r="R1146" s="102">
        <v>5</v>
      </c>
      <c r="S1146" s="104">
        <v>100</v>
      </c>
    </row>
    <row r="1147" ht="16.5" hidden="1" spans="1:19">
      <c r="A1147" s="46">
        <v>1145</v>
      </c>
      <c r="B1147" s="46" t="s">
        <v>45</v>
      </c>
      <c r="C1147" s="46" t="s">
        <v>31</v>
      </c>
      <c r="D1147" s="46" t="s">
        <v>27</v>
      </c>
      <c r="E1147" s="46" t="s">
        <v>1076</v>
      </c>
      <c r="F1147" s="46" t="s">
        <v>1077</v>
      </c>
      <c r="G1147" s="46" t="s">
        <v>904</v>
      </c>
      <c r="H1147" s="46" t="s">
        <v>1433</v>
      </c>
      <c r="I1147" s="46" t="s">
        <v>905</v>
      </c>
      <c r="J1147" s="83">
        <v>46093</v>
      </c>
      <c r="K1147" s="46" t="s">
        <v>1456</v>
      </c>
      <c r="L1147" s="46" t="s">
        <v>915</v>
      </c>
      <c r="M1147" s="83" t="str">
        <f>VLOOKUP(K1147,[4]在职!$A:$B,2,0)</f>
        <v>01480</v>
      </c>
      <c r="N1147" s="83" t="str">
        <f>VLOOKUP(K1147,[4]在职!$A:$G,7,0)</f>
        <v>湖北1部</v>
      </c>
      <c r="O1147" s="83" t="str">
        <f>VLOOKUP(K1147,[4]在职!$A:$I,9,0)</f>
        <v>一星销售顾问</v>
      </c>
      <c r="P1147" s="83">
        <f>VLOOKUP(K1147,[4]在职!$A:$D,4,0)</f>
        <v>45791</v>
      </c>
      <c r="Q1147" s="102">
        <v>0</v>
      </c>
      <c r="R1147" s="102">
        <v>0</v>
      </c>
      <c r="S1147" s="104">
        <v>100</v>
      </c>
    </row>
    <row r="1148" ht="16.5" hidden="1" spans="1:19">
      <c r="A1148" s="46">
        <v>1146</v>
      </c>
      <c r="B1148" s="46" t="s">
        <v>45</v>
      </c>
      <c r="C1148" s="46" t="s">
        <v>31</v>
      </c>
      <c r="D1148" s="46" t="s">
        <v>27</v>
      </c>
      <c r="E1148" s="46" t="s">
        <v>1076</v>
      </c>
      <c r="F1148" s="46" t="s">
        <v>1077</v>
      </c>
      <c r="G1148" s="46" t="s">
        <v>904</v>
      </c>
      <c r="H1148" s="46" t="s">
        <v>1433</v>
      </c>
      <c r="I1148" s="46" t="s">
        <v>905</v>
      </c>
      <c r="J1148" s="83">
        <v>46093</v>
      </c>
      <c r="K1148" s="46" t="s">
        <v>1030</v>
      </c>
      <c r="L1148" s="46" t="s">
        <v>915</v>
      </c>
      <c r="M1148" s="83" t="str">
        <f>VLOOKUP(K1148,[4]在职!$A:$B,2,0)</f>
        <v>01187</v>
      </c>
      <c r="N1148" s="83" t="str">
        <f>VLOOKUP(K1148,[4]在职!$A:$G,7,0)</f>
        <v>湖北1部</v>
      </c>
      <c r="O1148" s="83" t="str">
        <f>VLOOKUP(K1148,[4]在职!$A:$I,9,0)</f>
        <v>二星销售顾问</v>
      </c>
      <c r="P1148" s="83">
        <f>VLOOKUP(K1148,[4]在职!$A:$D,4,0)</f>
        <v>45615</v>
      </c>
      <c r="Q1148" s="102">
        <v>5</v>
      </c>
      <c r="R1148" s="102">
        <v>5</v>
      </c>
      <c r="S1148" s="104">
        <v>100</v>
      </c>
    </row>
    <row r="1149" ht="16.5" hidden="1" spans="1:19">
      <c r="A1149" s="46">
        <v>1147</v>
      </c>
      <c r="B1149" s="46" t="s">
        <v>45</v>
      </c>
      <c r="C1149" s="46" t="s">
        <v>29</v>
      </c>
      <c r="D1149" s="46" t="s">
        <v>27</v>
      </c>
      <c r="E1149" s="46" t="s">
        <v>1076</v>
      </c>
      <c r="F1149" s="46" t="s">
        <v>1077</v>
      </c>
      <c r="G1149" s="46" t="s">
        <v>904</v>
      </c>
      <c r="H1149" s="46" t="s">
        <v>1433</v>
      </c>
      <c r="I1149" s="46" t="s">
        <v>905</v>
      </c>
      <c r="J1149" s="83">
        <v>46093</v>
      </c>
      <c r="K1149" s="46" t="s">
        <v>1457</v>
      </c>
      <c r="L1149" s="46" t="s">
        <v>915</v>
      </c>
      <c r="M1149" s="83" t="str">
        <f>VLOOKUP(K1149,[4]在职!$A:$B,2,0)</f>
        <v>01626</v>
      </c>
      <c r="N1149" s="83" t="str">
        <f>VLOOKUP(K1149,[4]在职!$A:$G,7,0)</f>
        <v>河南销售部</v>
      </c>
      <c r="O1149" s="83" t="str">
        <f>VLOOKUP(K1149,[4]在职!$A:$I,9,0)</f>
        <v>一星销售顾问</v>
      </c>
      <c r="P1149" s="83">
        <f>VLOOKUP(K1149,[4]在职!$A:$D,4,0)</f>
        <v>45867</v>
      </c>
      <c r="Q1149" s="102">
        <v>5</v>
      </c>
      <c r="R1149" s="102">
        <v>5</v>
      </c>
      <c r="S1149" s="104">
        <v>90</v>
      </c>
    </row>
    <row r="1150" ht="16.5" hidden="1" spans="1:19">
      <c r="A1150" s="46">
        <v>1148</v>
      </c>
      <c r="B1150" s="46" t="s">
        <v>45</v>
      </c>
      <c r="C1150" s="46" t="s">
        <v>31</v>
      </c>
      <c r="D1150" s="46" t="s">
        <v>27</v>
      </c>
      <c r="E1150" s="46" t="s">
        <v>1076</v>
      </c>
      <c r="F1150" s="46" t="s">
        <v>1077</v>
      </c>
      <c r="G1150" s="46" t="s">
        <v>904</v>
      </c>
      <c r="H1150" s="46" t="s">
        <v>1433</v>
      </c>
      <c r="I1150" s="46" t="s">
        <v>905</v>
      </c>
      <c r="J1150" s="83">
        <v>46093</v>
      </c>
      <c r="K1150" s="46" t="s">
        <v>946</v>
      </c>
      <c r="L1150" s="46" t="s">
        <v>915</v>
      </c>
      <c r="M1150" s="83" t="str">
        <f>VLOOKUP(K1150,[4]在职!$A:$B,2,0)</f>
        <v>01636</v>
      </c>
      <c r="N1150" s="83" t="str">
        <f>VLOOKUP(K1150,[4]在职!$A:$G,7,0)</f>
        <v>湖北1部</v>
      </c>
      <c r="O1150" s="83" t="str">
        <f>VLOOKUP(K1150,[4]在职!$A:$I,9,0)</f>
        <v>一星销售顾问</v>
      </c>
      <c r="P1150" s="83">
        <f>VLOOKUP(K1150,[4]在职!$A:$D,4,0)</f>
        <v>45872</v>
      </c>
      <c r="Q1150" s="102">
        <v>5</v>
      </c>
      <c r="R1150" s="102">
        <v>5</v>
      </c>
      <c r="S1150" s="104">
        <v>100</v>
      </c>
    </row>
    <row r="1151" ht="16.5" hidden="1" spans="1:19">
      <c r="A1151" s="46">
        <v>1149</v>
      </c>
      <c r="B1151" s="46" t="s">
        <v>45</v>
      </c>
      <c r="C1151" s="46" t="s">
        <v>38</v>
      </c>
      <c r="D1151" s="46" t="s">
        <v>27</v>
      </c>
      <c r="E1151" s="46" t="s">
        <v>1076</v>
      </c>
      <c r="F1151" s="46" t="s">
        <v>1077</v>
      </c>
      <c r="G1151" s="46" t="s">
        <v>904</v>
      </c>
      <c r="H1151" s="46" t="s">
        <v>1433</v>
      </c>
      <c r="I1151" s="46" t="s">
        <v>905</v>
      </c>
      <c r="J1151" s="83">
        <v>46093</v>
      </c>
      <c r="K1151" s="46" t="s">
        <v>992</v>
      </c>
      <c r="L1151" s="46" t="s">
        <v>915</v>
      </c>
      <c r="M1151" s="83" t="str">
        <f>VLOOKUP(K1151,[4]在职!$A:$B,2,0)</f>
        <v>01398</v>
      </c>
      <c r="N1151" s="83" t="str">
        <f>VLOOKUP(K1151,[4]在职!$A:$G,7,0)</f>
        <v>营业六部</v>
      </c>
      <c r="O1151" s="83" t="str">
        <f>VLOOKUP(K1151,[4]在职!$A:$I,9,0)</f>
        <v>二星销售顾问</v>
      </c>
      <c r="P1151" s="83">
        <f>VLOOKUP(K1151,[4]在职!$A:$D,4,0)</f>
        <v>45738</v>
      </c>
      <c r="Q1151" s="102">
        <v>5</v>
      </c>
      <c r="R1151" s="102">
        <v>5</v>
      </c>
      <c r="S1151" s="104">
        <v>80</v>
      </c>
    </row>
    <row r="1152" ht="16.5" hidden="1" spans="1:19">
      <c r="A1152" s="46">
        <v>1150</v>
      </c>
      <c r="B1152" s="46" t="s">
        <v>45</v>
      </c>
      <c r="C1152" s="46" t="s">
        <v>35</v>
      </c>
      <c r="D1152" s="46" t="s">
        <v>27</v>
      </c>
      <c r="E1152" s="46" t="s">
        <v>1076</v>
      </c>
      <c r="F1152" s="46" t="s">
        <v>1077</v>
      </c>
      <c r="G1152" s="46" t="s">
        <v>904</v>
      </c>
      <c r="H1152" s="46" t="s">
        <v>1433</v>
      </c>
      <c r="I1152" s="46" t="s">
        <v>905</v>
      </c>
      <c r="J1152" s="83">
        <v>46093</v>
      </c>
      <c r="K1152" s="46" t="s">
        <v>1458</v>
      </c>
      <c r="L1152" s="46" t="s">
        <v>915</v>
      </c>
      <c r="M1152" s="83" t="str">
        <f>VLOOKUP(K1152,[4]在职!$A:$B,2,0)</f>
        <v>01692</v>
      </c>
      <c r="N1152" s="83" t="str">
        <f>VLOOKUP(K1152,[4]在职!$A:$G,7,0)</f>
        <v>山东销售部</v>
      </c>
      <c r="O1152" s="83" t="str">
        <f>VLOOKUP(K1152,[4]在职!$A:$I,9,0)</f>
        <v>一星销售顾问</v>
      </c>
      <c r="P1152" s="83">
        <f>VLOOKUP(K1152,[4]在职!$A:$D,4,0)</f>
        <v>45910</v>
      </c>
      <c r="Q1152" s="102">
        <v>5</v>
      </c>
      <c r="R1152" s="102">
        <v>5</v>
      </c>
      <c r="S1152" s="104">
        <v>80</v>
      </c>
    </row>
    <row r="1153" ht="16.5" hidden="1" spans="1:19">
      <c r="A1153" s="46">
        <v>1151</v>
      </c>
      <c r="B1153" s="46" t="s">
        <v>45</v>
      </c>
      <c r="C1153" s="46" t="s">
        <v>33</v>
      </c>
      <c r="D1153" s="46" t="s">
        <v>27</v>
      </c>
      <c r="E1153" s="46" t="s">
        <v>1076</v>
      </c>
      <c r="F1153" s="46" t="s">
        <v>1077</v>
      </c>
      <c r="G1153" s="46" t="s">
        <v>904</v>
      </c>
      <c r="H1153" s="46" t="s">
        <v>1433</v>
      </c>
      <c r="I1153" s="46" t="s">
        <v>905</v>
      </c>
      <c r="J1153" s="83">
        <v>46093</v>
      </c>
      <c r="K1153" s="46" t="s">
        <v>998</v>
      </c>
      <c r="L1153" s="46" t="s">
        <v>915</v>
      </c>
      <c r="M1153" s="83" t="str">
        <f>VLOOKUP(K1153,[4]在职!$A:$B,2,0)</f>
        <v>01542</v>
      </c>
      <c r="N1153" s="83" t="str">
        <f>VLOOKUP(K1153,[4]在职!$A:$G,7,0)</f>
        <v>辽宁销售部</v>
      </c>
      <c r="O1153" s="83" t="str">
        <f>VLOOKUP(K1153,[4]在职!$A:$I,9,0)</f>
        <v>一星销售顾问</v>
      </c>
      <c r="P1153" s="83">
        <f>VLOOKUP(K1153,[4]在职!$A:$D,4,0)</f>
        <v>45827</v>
      </c>
      <c r="Q1153" s="102">
        <v>0</v>
      </c>
      <c r="R1153" s="102">
        <v>0</v>
      </c>
      <c r="S1153" s="104">
        <v>80</v>
      </c>
    </row>
    <row r="1154" ht="16.5" hidden="1" spans="1:19">
      <c r="A1154" s="46">
        <v>1152</v>
      </c>
      <c r="B1154" s="46" t="s">
        <v>45</v>
      </c>
      <c r="C1154" s="46" t="s">
        <v>33</v>
      </c>
      <c r="D1154" s="46" t="s">
        <v>27</v>
      </c>
      <c r="E1154" s="46" t="s">
        <v>1076</v>
      </c>
      <c r="F1154" s="46" t="s">
        <v>1077</v>
      </c>
      <c r="G1154" s="46" t="s">
        <v>904</v>
      </c>
      <c r="H1154" s="46" t="s">
        <v>1433</v>
      </c>
      <c r="I1154" s="46" t="s">
        <v>905</v>
      </c>
      <c r="J1154" s="83">
        <v>46093</v>
      </c>
      <c r="K1154" s="46" t="s">
        <v>990</v>
      </c>
      <c r="L1154" s="46" t="s">
        <v>915</v>
      </c>
      <c r="M1154" s="83" t="str">
        <f>VLOOKUP(K1154,[4]在职!$A:$B,2,0)</f>
        <v>01426</v>
      </c>
      <c r="N1154" s="83" t="str">
        <f>VLOOKUP(K1154,[4]在职!$A:$G,7,0)</f>
        <v>辽宁销售部</v>
      </c>
      <c r="O1154" s="83" t="str">
        <f>VLOOKUP(K1154,[4]在职!$A:$I,9,0)</f>
        <v>二星销售顾问</v>
      </c>
      <c r="P1154" s="83">
        <f>VLOOKUP(K1154,[4]在职!$A:$D,4,0)</f>
        <v>45754</v>
      </c>
      <c r="Q1154" s="102">
        <v>5</v>
      </c>
      <c r="R1154" s="102">
        <v>5</v>
      </c>
      <c r="S1154" s="104">
        <v>80</v>
      </c>
    </row>
    <row r="1155" ht="16.5" hidden="1" spans="1:19">
      <c r="A1155" s="46">
        <v>1153</v>
      </c>
      <c r="B1155" s="46" t="s">
        <v>45</v>
      </c>
      <c r="C1155" s="46" t="s">
        <v>35</v>
      </c>
      <c r="D1155" s="46" t="s">
        <v>27</v>
      </c>
      <c r="E1155" s="46" t="s">
        <v>1076</v>
      </c>
      <c r="F1155" s="46" t="s">
        <v>1077</v>
      </c>
      <c r="G1155" s="46" t="s">
        <v>904</v>
      </c>
      <c r="H1155" s="46" t="s">
        <v>1433</v>
      </c>
      <c r="I1155" s="46" t="s">
        <v>905</v>
      </c>
      <c r="J1155" s="83">
        <v>46093</v>
      </c>
      <c r="K1155" s="46" t="s">
        <v>1459</v>
      </c>
      <c r="L1155" s="46" t="s">
        <v>915</v>
      </c>
      <c r="M1155" s="83" t="str">
        <f>VLOOKUP(K1155,[4]在职!$A:$B,2,0)</f>
        <v>01664</v>
      </c>
      <c r="N1155" s="83" t="str">
        <f>VLOOKUP(K1155,[4]在职!$A:$G,7,0)</f>
        <v>山东销售部</v>
      </c>
      <c r="O1155" s="83" t="str">
        <f>VLOOKUP(K1155,[4]在职!$A:$I,9,0)</f>
        <v>一星销售顾问</v>
      </c>
      <c r="P1155" s="83">
        <f>VLOOKUP(K1155,[4]在职!$A:$D,4,0)</f>
        <v>45885</v>
      </c>
      <c r="Q1155" s="102">
        <v>5</v>
      </c>
      <c r="R1155" s="102">
        <v>5</v>
      </c>
      <c r="S1155" s="104">
        <v>100</v>
      </c>
    </row>
    <row r="1156" ht="16.5" hidden="1" spans="1:19">
      <c r="A1156" s="46">
        <v>1154</v>
      </c>
      <c r="B1156" s="46" t="s">
        <v>45</v>
      </c>
      <c r="C1156" s="46" t="s">
        <v>37</v>
      </c>
      <c r="D1156" s="46" t="s">
        <v>27</v>
      </c>
      <c r="E1156" s="46" t="s">
        <v>1076</v>
      </c>
      <c r="F1156" s="46" t="s">
        <v>1077</v>
      </c>
      <c r="G1156" s="46" t="s">
        <v>904</v>
      </c>
      <c r="H1156" s="46" t="s">
        <v>1433</v>
      </c>
      <c r="I1156" s="46" t="s">
        <v>905</v>
      </c>
      <c r="J1156" s="83">
        <v>46093</v>
      </c>
      <c r="K1156" s="46" t="s">
        <v>1460</v>
      </c>
      <c r="L1156" s="46" t="s">
        <v>915</v>
      </c>
      <c r="M1156" s="83" t="str">
        <f>VLOOKUP(K1156,[4]在职!$A:$B,2,0)</f>
        <v>01566</v>
      </c>
      <c r="N1156" s="83" t="str">
        <f>VLOOKUP(K1156,[4]在职!$A:$G,7,0)</f>
        <v>陕西2部</v>
      </c>
      <c r="O1156" s="83" t="str">
        <f>VLOOKUP(K1156,[4]在职!$A:$I,9,0)</f>
        <v>一星销售顾问</v>
      </c>
      <c r="P1156" s="83">
        <f>VLOOKUP(K1156,[4]在职!$A:$D,4,0)</f>
        <v>45838</v>
      </c>
      <c r="Q1156" s="102">
        <v>5</v>
      </c>
      <c r="R1156" s="102">
        <v>5</v>
      </c>
      <c r="S1156" s="104">
        <v>80</v>
      </c>
    </row>
    <row r="1157" ht="16.5" hidden="1" spans="1:19">
      <c r="A1157" s="46">
        <v>1155</v>
      </c>
      <c r="B1157" s="46" t="s">
        <v>45</v>
      </c>
      <c r="C1157" s="46" t="s">
        <v>38</v>
      </c>
      <c r="D1157" s="46" t="s">
        <v>27</v>
      </c>
      <c r="E1157" s="46" t="s">
        <v>1076</v>
      </c>
      <c r="F1157" s="46" t="s">
        <v>1077</v>
      </c>
      <c r="G1157" s="46" t="s">
        <v>904</v>
      </c>
      <c r="H1157" s="46" t="s">
        <v>1433</v>
      </c>
      <c r="I1157" s="46" t="s">
        <v>905</v>
      </c>
      <c r="J1157" s="83">
        <v>46093</v>
      </c>
      <c r="K1157" s="46" t="s">
        <v>1227</v>
      </c>
      <c r="L1157" s="46" t="s">
        <v>915</v>
      </c>
      <c r="M1157" s="83" t="str">
        <f>VLOOKUP(K1157,[4]在职!$A:$B,2,0)</f>
        <v>01764</v>
      </c>
      <c r="N1157" s="83" t="str">
        <f>VLOOKUP(K1157,[4]在职!$A:$G,7,0)</f>
        <v>营业二部</v>
      </c>
      <c r="O1157" s="83" t="str">
        <f>VLOOKUP(K1157,[4]在职!$A:$I,9,0)</f>
        <v>一星销售顾问</v>
      </c>
      <c r="P1157" s="83">
        <f>VLOOKUP(K1157,[4]在职!$A:$D,4,0)</f>
        <v>45962</v>
      </c>
      <c r="Q1157" s="102">
        <v>0</v>
      </c>
      <c r="R1157" s="102">
        <v>0</v>
      </c>
      <c r="S1157" s="104">
        <v>100</v>
      </c>
    </row>
    <row r="1158" ht="16.5" hidden="1" spans="1:19">
      <c r="A1158" s="46">
        <v>1156</v>
      </c>
      <c r="B1158" s="46" t="s">
        <v>45</v>
      </c>
      <c r="C1158" s="46" t="s">
        <v>38</v>
      </c>
      <c r="D1158" s="46" t="s">
        <v>27</v>
      </c>
      <c r="E1158" s="46" t="s">
        <v>1076</v>
      </c>
      <c r="F1158" s="46" t="s">
        <v>1077</v>
      </c>
      <c r="G1158" s="46" t="s">
        <v>904</v>
      </c>
      <c r="H1158" s="46" t="s">
        <v>1433</v>
      </c>
      <c r="I1158" s="46" t="s">
        <v>905</v>
      </c>
      <c r="J1158" s="83">
        <v>46093</v>
      </c>
      <c r="K1158" s="46" t="s">
        <v>1461</v>
      </c>
      <c r="L1158" s="46" t="s">
        <v>915</v>
      </c>
      <c r="M1158" s="83" t="str">
        <f>VLOOKUP(K1158,[4]在职!$A:$B,2,0)</f>
        <v>01731</v>
      </c>
      <c r="N1158" s="83" t="str">
        <f>VLOOKUP(K1158,[4]在职!$A:$G,7,0)</f>
        <v>湖南销售部</v>
      </c>
      <c r="O1158" s="83" t="str">
        <f>VLOOKUP(K1158,[4]在职!$A:$I,9,0)</f>
        <v>一星销售顾问</v>
      </c>
      <c r="P1158" s="83">
        <f>VLOOKUP(K1158,[4]在职!$A:$D,4,0)</f>
        <v>45943</v>
      </c>
      <c r="Q1158" s="102">
        <v>5</v>
      </c>
      <c r="R1158" s="102">
        <v>5</v>
      </c>
      <c r="S1158" s="104">
        <v>100</v>
      </c>
    </row>
    <row r="1159" ht="16.5" hidden="1" spans="1:19">
      <c r="A1159" s="46">
        <v>1157</v>
      </c>
      <c r="B1159" s="46" t="s">
        <v>45</v>
      </c>
      <c r="C1159" s="46" t="s">
        <v>35</v>
      </c>
      <c r="D1159" s="46" t="s">
        <v>27</v>
      </c>
      <c r="E1159" s="46" t="s">
        <v>1076</v>
      </c>
      <c r="F1159" s="46" t="s">
        <v>1077</v>
      </c>
      <c r="G1159" s="46" t="s">
        <v>904</v>
      </c>
      <c r="H1159" s="46" t="s">
        <v>1433</v>
      </c>
      <c r="I1159" s="46" t="s">
        <v>905</v>
      </c>
      <c r="J1159" s="83">
        <v>46093</v>
      </c>
      <c r="K1159" s="46" t="s">
        <v>1462</v>
      </c>
      <c r="L1159" s="46" t="s">
        <v>915</v>
      </c>
      <c r="M1159" s="83" t="str">
        <f>VLOOKUP(K1159,[4]在职!$A:$B,2,0)</f>
        <v>01561</v>
      </c>
      <c r="N1159" s="83" t="str">
        <f>VLOOKUP(K1159,[4]在职!$A:$G,7,0)</f>
        <v>山东销售部</v>
      </c>
      <c r="O1159" s="83" t="str">
        <f>VLOOKUP(K1159,[4]在职!$A:$I,9,0)</f>
        <v>一星销售顾问</v>
      </c>
      <c r="P1159" s="83">
        <f>VLOOKUP(K1159,[4]在职!$A:$D,4,0)</f>
        <v>45836</v>
      </c>
      <c r="Q1159" s="102">
        <v>5</v>
      </c>
      <c r="R1159" s="102">
        <v>5</v>
      </c>
      <c r="S1159" s="104">
        <v>100</v>
      </c>
    </row>
    <row r="1160" ht="16.5" hidden="1" spans="1:19">
      <c r="A1160" s="46">
        <v>1158</v>
      </c>
      <c r="B1160" s="46" t="s">
        <v>45</v>
      </c>
      <c r="C1160" s="46" t="s">
        <v>38</v>
      </c>
      <c r="D1160" s="46" t="s">
        <v>27</v>
      </c>
      <c r="E1160" s="46" t="s">
        <v>1076</v>
      </c>
      <c r="F1160" s="46" t="s">
        <v>1077</v>
      </c>
      <c r="G1160" s="46" t="s">
        <v>904</v>
      </c>
      <c r="H1160" s="46" t="s">
        <v>1433</v>
      </c>
      <c r="I1160" s="46" t="s">
        <v>905</v>
      </c>
      <c r="J1160" s="83">
        <v>46093</v>
      </c>
      <c r="K1160" s="46" t="s">
        <v>1463</v>
      </c>
      <c r="L1160" s="46" t="s">
        <v>915</v>
      </c>
      <c r="M1160" s="83" t="str">
        <f>VLOOKUP(K1160,[4]在职!$A:$B,2,0)</f>
        <v>01455</v>
      </c>
      <c r="N1160" s="83" t="str">
        <f>VLOOKUP(K1160,[4]在职!$A:$G,7,0)</f>
        <v>营业七部</v>
      </c>
      <c r="O1160" s="83" t="str">
        <f>VLOOKUP(K1160,[4]在职!$A:$I,9,0)</f>
        <v>一星销售顾问</v>
      </c>
      <c r="P1160" s="83">
        <f>VLOOKUP(K1160,[4]在职!$A:$D,4,0)</f>
        <v>45768</v>
      </c>
      <c r="Q1160" s="102">
        <v>5</v>
      </c>
      <c r="R1160" s="102">
        <v>5</v>
      </c>
      <c r="S1160" s="104">
        <v>100</v>
      </c>
    </row>
    <row r="1161" ht="16.5" hidden="1" spans="1:19">
      <c r="A1161" s="46">
        <v>1159</v>
      </c>
      <c r="B1161" s="46" t="s">
        <v>45</v>
      </c>
      <c r="C1161" s="46" t="s">
        <v>32</v>
      </c>
      <c r="D1161" s="46" t="s">
        <v>27</v>
      </c>
      <c r="E1161" s="46" t="s">
        <v>1076</v>
      </c>
      <c r="F1161" s="46" t="s">
        <v>1077</v>
      </c>
      <c r="G1161" s="46" t="s">
        <v>904</v>
      </c>
      <c r="H1161" s="46" t="s">
        <v>1433</v>
      </c>
      <c r="I1161" s="46" t="s">
        <v>905</v>
      </c>
      <c r="J1161" s="83">
        <v>46093</v>
      </c>
      <c r="K1161" s="46" t="s">
        <v>1464</v>
      </c>
      <c r="L1161" s="46" t="s">
        <v>915</v>
      </c>
      <c r="M1161" s="83" t="str">
        <f>VLOOKUP(K1161,[4]在职!$A:$B,2,0)</f>
        <v>01683</v>
      </c>
      <c r="N1161" s="83" t="str">
        <f>VLOOKUP(K1161,[4]在职!$A:$G,7,0)</f>
        <v>湖南销售部</v>
      </c>
      <c r="O1161" s="83" t="str">
        <f>VLOOKUP(K1161,[4]在职!$A:$I,9,0)</f>
        <v>一星销售顾问</v>
      </c>
      <c r="P1161" s="83">
        <f>VLOOKUP(K1161,[4]在职!$A:$D,4,0)</f>
        <v>45899</v>
      </c>
      <c r="Q1161" s="102">
        <v>4.75</v>
      </c>
      <c r="R1161" s="102">
        <v>5</v>
      </c>
      <c r="S1161" s="104">
        <v>100</v>
      </c>
    </row>
    <row r="1162" ht="16.5" hidden="1" spans="1:19">
      <c r="A1162" s="46">
        <v>1160</v>
      </c>
      <c r="B1162" s="46" t="s">
        <v>45</v>
      </c>
      <c r="C1162" s="46" t="s">
        <v>38</v>
      </c>
      <c r="D1162" s="46" t="s">
        <v>27</v>
      </c>
      <c r="E1162" s="46" t="s">
        <v>1076</v>
      </c>
      <c r="F1162" s="46" t="s">
        <v>1077</v>
      </c>
      <c r="G1162" s="46" t="s">
        <v>904</v>
      </c>
      <c r="H1162" s="46" t="s">
        <v>1433</v>
      </c>
      <c r="I1162" s="46" t="s">
        <v>905</v>
      </c>
      <c r="J1162" s="83">
        <v>46093</v>
      </c>
      <c r="K1162" s="46" t="s">
        <v>1026</v>
      </c>
      <c r="L1162" s="46" t="s">
        <v>915</v>
      </c>
      <c r="M1162" s="83" t="str">
        <f>VLOOKUP(K1162,[4]在职!$A:$B,2,0)</f>
        <v>01587</v>
      </c>
      <c r="N1162" s="83" t="str">
        <f>VLOOKUP(K1162,[4]在职!$A:$G,7,0)</f>
        <v>营业五部</v>
      </c>
      <c r="O1162" s="83" t="str">
        <f>VLOOKUP(K1162,[4]在职!$A:$I,9,0)</f>
        <v>二星销售顾问</v>
      </c>
      <c r="P1162" s="83">
        <f>VLOOKUP(K1162,[4]在职!$A:$D,4,0)</f>
        <v>45845</v>
      </c>
      <c r="Q1162" s="102">
        <v>5</v>
      </c>
      <c r="R1162" s="102">
        <v>5</v>
      </c>
      <c r="S1162" s="104">
        <v>100</v>
      </c>
    </row>
    <row r="1163" ht="16.5" hidden="1" spans="1:19">
      <c r="A1163" s="46">
        <v>1161</v>
      </c>
      <c r="B1163" s="46" t="s">
        <v>45</v>
      </c>
      <c r="C1163" s="46" t="s">
        <v>38</v>
      </c>
      <c r="D1163" s="46" t="s">
        <v>27</v>
      </c>
      <c r="E1163" s="46" t="s">
        <v>1076</v>
      </c>
      <c r="F1163" s="46" t="s">
        <v>1077</v>
      </c>
      <c r="G1163" s="46" t="s">
        <v>904</v>
      </c>
      <c r="H1163" s="46" t="s">
        <v>1433</v>
      </c>
      <c r="I1163" s="46" t="s">
        <v>905</v>
      </c>
      <c r="J1163" s="83">
        <v>46093</v>
      </c>
      <c r="K1163" s="46" t="s">
        <v>1032</v>
      </c>
      <c r="L1163" s="46" t="s">
        <v>915</v>
      </c>
      <c r="M1163" s="83" t="str">
        <f>VLOOKUP(K1163,[4]在职!$A:$B,2,0)</f>
        <v>01514</v>
      </c>
      <c r="N1163" s="83" t="str">
        <f>VLOOKUP(K1163,[4]在职!$A:$G,7,0)</f>
        <v>营业五部</v>
      </c>
      <c r="O1163" s="83" t="str">
        <f>VLOOKUP(K1163,[4]在职!$A:$I,9,0)</f>
        <v>一星销售顾问</v>
      </c>
      <c r="P1163" s="83">
        <f>VLOOKUP(K1163,[4]在职!$A:$D,4,0)</f>
        <v>45814</v>
      </c>
      <c r="Q1163" s="102">
        <v>5</v>
      </c>
      <c r="R1163" s="102">
        <v>5</v>
      </c>
      <c r="S1163" s="104">
        <v>100</v>
      </c>
    </row>
    <row r="1164" ht="16.5" hidden="1" spans="1:19">
      <c r="A1164" s="46">
        <v>1162</v>
      </c>
      <c r="B1164" s="46" t="s">
        <v>45</v>
      </c>
      <c r="C1164" s="46" t="s">
        <v>38</v>
      </c>
      <c r="D1164" s="46" t="s">
        <v>27</v>
      </c>
      <c r="E1164" s="46" t="s">
        <v>1076</v>
      </c>
      <c r="F1164" s="46" t="s">
        <v>1077</v>
      </c>
      <c r="G1164" s="46" t="s">
        <v>904</v>
      </c>
      <c r="H1164" s="46" t="s">
        <v>1433</v>
      </c>
      <c r="I1164" s="46" t="s">
        <v>905</v>
      </c>
      <c r="J1164" s="83">
        <v>46093</v>
      </c>
      <c r="K1164" s="46" t="s">
        <v>1036</v>
      </c>
      <c r="L1164" s="46" t="s">
        <v>915</v>
      </c>
      <c r="M1164" s="83" t="str">
        <f>VLOOKUP(K1164,[4]在职!$A:$B,2,0)</f>
        <v>01562</v>
      </c>
      <c r="N1164" s="83" t="str">
        <f>VLOOKUP(K1164,[4]在职!$A:$G,7,0)</f>
        <v>营业二部</v>
      </c>
      <c r="O1164" s="83" t="str">
        <f>VLOOKUP(K1164,[4]在职!$A:$I,9,0)</f>
        <v>二星销售顾问</v>
      </c>
      <c r="P1164" s="83">
        <f>VLOOKUP(K1164,[4]在职!$A:$D,4,0)</f>
        <v>45838</v>
      </c>
      <c r="Q1164" s="102">
        <v>5</v>
      </c>
      <c r="R1164" s="102">
        <v>5</v>
      </c>
      <c r="S1164" s="104">
        <v>100</v>
      </c>
    </row>
    <row r="1165" ht="16.5" hidden="1" spans="1:19">
      <c r="A1165" s="46">
        <v>1163</v>
      </c>
      <c r="B1165" s="46" t="s">
        <v>45</v>
      </c>
      <c r="C1165" s="46" t="s">
        <v>37</v>
      </c>
      <c r="D1165" s="46" t="s">
        <v>27</v>
      </c>
      <c r="E1165" s="46" t="s">
        <v>1076</v>
      </c>
      <c r="F1165" s="46" t="s">
        <v>1077</v>
      </c>
      <c r="G1165" s="46" t="s">
        <v>904</v>
      </c>
      <c r="H1165" s="46" t="s">
        <v>1433</v>
      </c>
      <c r="I1165" s="46" t="s">
        <v>905</v>
      </c>
      <c r="J1165" s="83">
        <v>46093</v>
      </c>
      <c r="K1165" s="46" t="s">
        <v>1465</v>
      </c>
      <c r="L1165" s="46" t="s">
        <v>915</v>
      </c>
      <c r="M1165" s="83" t="str">
        <f>VLOOKUP(K1165,[4]在职!$A:$B,2,0)</f>
        <v>01627</v>
      </c>
      <c r="N1165" s="83" t="str">
        <f>VLOOKUP(K1165,[4]在职!$A:$G,7,0)</f>
        <v>陕西2部</v>
      </c>
      <c r="O1165" s="83" t="str">
        <f>VLOOKUP(K1165,[4]在职!$A:$I,9,0)</f>
        <v>一星销售顾问</v>
      </c>
      <c r="P1165" s="83">
        <f>VLOOKUP(K1165,[4]在职!$A:$D,4,0)</f>
        <v>45870</v>
      </c>
      <c r="Q1165" s="102">
        <v>5</v>
      </c>
      <c r="R1165" s="102">
        <v>5</v>
      </c>
      <c r="S1165" s="104">
        <v>100</v>
      </c>
    </row>
    <row r="1166" ht="16.5" hidden="1" spans="1:19">
      <c r="A1166" s="46">
        <v>1164</v>
      </c>
      <c r="B1166" s="46" t="s">
        <v>45</v>
      </c>
      <c r="C1166" s="46" t="s">
        <v>37</v>
      </c>
      <c r="D1166" s="46" t="s">
        <v>27</v>
      </c>
      <c r="E1166" s="46" t="s">
        <v>1076</v>
      </c>
      <c r="F1166" s="46" t="s">
        <v>1077</v>
      </c>
      <c r="G1166" s="46" t="s">
        <v>904</v>
      </c>
      <c r="H1166" s="46" t="s">
        <v>1433</v>
      </c>
      <c r="I1166" s="46" t="s">
        <v>905</v>
      </c>
      <c r="J1166" s="83">
        <v>46093</v>
      </c>
      <c r="K1166" s="46" t="s">
        <v>1466</v>
      </c>
      <c r="L1166" s="46" t="s">
        <v>915</v>
      </c>
      <c r="M1166" s="83" t="str">
        <f>VLOOKUP(K1166,[4]在职!$A:$B,2,0)</f>
        <v>01617</v>
      </c>
      <c r="N1166" s="83" t="str">
        <f>VLOOKUP(K1166,[4]在职!$A:$G,7,0)</f>
        <v>陕西1部</v>
      </c>
      <c r="O1166" s="83" t="str">
        <f>VLOOKUP(K1166,[4]在职!$A:$I,9,0)</f>
        <v>一星销售顾问</v>
      </c>
      <c r="P1166" s="83">
        <f>VLOOKUP(K1166,[4]在职!$A:$D,4,0)</f>
        <v>45866</v>
      </c>
      <c r="Q1166" s="102">
        <v>0</v>
      </c>
      <c r="R1166" s="102">
        <v>0</v>
      </c>
      <c r="S1166" s="104">
        <v>100</v>
      </c>
    </row>
    <row r="1167" ht="16.5" hidden="1" spans="1:19">
      <c r="A1167" s="46">
        <v>1165</v>
      </c>
      <c r="B1167" s="46" t="s">
        <v>45</v>
      </c>
      <c r="C1167" s="46" t="s">
        <v>37</v>
      </c>
      <c r="D1167" s="46" t="s">
        <v>27</v>
      </c>
      <c r="E1167" s="46" t="s">
        <v>1076</v>
      </c>
      <c r="F1167" s="46" t="s">
        <v>1077</v>
      </c>
      <c r="G1167" s="46" t="s">
        <v>904</v>
      </c>
      <c r="H1167" s="46" t="s">
        <v>1433</v>
      </c>
      <c r="I1167" s="46" t="s">
        <v>905</v>
      </c>
      <c r="J1167" s="83">
        <v>46093</v>
      </c>
      <c r="K1167" s="46" t="s">
        <v>1467</v>
      </c>
      <c r="L1167" s="46" t="s">
        <v>915</v>
      </c>
      <c r="M1167" s="83" t="str">
        <f>VLOOKUP(K1167,[4]在职!$A:$B,2,0)</f>
        <v>01489</v>
      </c>
      <c r="N1167" s="83" t="str">
        <f>VLOOKUP(K1167,[4]在职!$A:$G,7,0)</f>
        <v>陕西1部</v>
      </c>
      <c r="O1167" s="83" t="str">
        <f>VLOOKUP(K1167,[4]在职!$A:$I,9,0)</f>
        <v>一星销售顾问</v>
      </c>
      <c r="P1167" s="83">
        <f>VLOOKUP(K1167,[4]在职!$A:$D,4,0)</f>
        <v>45796</v>
      </c>
      <c r="Q1167" s="102">
        <v>5</v>
      </c>
      <c r="R1167" s="102">
        <v>5</v>
      </c>
      <c r="S1167" s="104">
        <v>100</v>
      </c>
    </row>
    <row r="1168" ht="16.5" hidden="1" spans="1:19">
      <c r="A1168" s="46">
        <v>1166</v>
      </c>
      <c r="B1168" s="46" t="s">
        <v>45</v>
      </c>
      <c r="C1168" s="46" t="s">
        <v>38</v>
      </c>
      <c r="D1168" s="46" t="s">
        <v>27</v>
      </c>
      <c r="E1168" s="46" t="s">
        <v>1076</v>
      </c>
      <c r="F1168" s="46" t="s">
        <v>1077</v>
      </c>
      <c r="G1168" s="46" t="s">
        <v>904</v>
      </c>
      <c r="H1168" s="46" t="s">
        <v>1433</v>
      </c>
      <c r="I1168" s="46" t="s">
        <v>905</v>
      </c>
      <c r="J1168" s="83">
        <v>46093</v>
      </c>
      <c r="K1168" s="46" t="s">
        <v>1044</v>
      </c>
      <c r="L1168" s="46" t="s">
        <v>915</v>
      </c>
      <c r="M1168" s="83" t="str">
        <f>VLOOKUP(K1168,[4]在职!$A:$B,2,0)</f>
        <v>01658</v>
      </c>
      <c r="N1168" s="83" t="str">
        <f>VLOOKUP(K1168,[4]在职!$A:$G,7,0)</f>
        <v>营业三部</v>
      </c>
      <c r="O1168" s="83" t="str">
        <f>VLOOKUP(K1168,[4]在职!$A:$I,9,0)</f>
        <v>一星销售顾问</v>
      </c>
      <c r="P1168" s="83">
        <f>VLOOKUP(K1168,[4]在职!$A:$D,4,0)</f>
        <v>45881</v>
      </c>
      <c r="Q1168" s="102">
        <v>5</v>
      </c>
      <c r="R1168" s="102">
        <v>5</v>
      </c>
      <c r="S1168" s="104">
        <v>90</v>
      </c>
    </row>
    <row r="1169" ht="16.5" hidden="1" spans="1:19">
      <c r="A1169" s="46">
        <v>1167</v>
      </c>
      <c r="B1169" s="46" t="s">
        <v>45</v>
      </c>
      <c r="C1169" s="46" t="s">
        <v>38</v>
      </c>
      <c r="D1169" s="46" t="s">
        <v>27</v>
      </c>
      <c r="E1169" s="46" t="s">
        <v>1076</v>
      </c>
      <c r="F1169" s="46" t="s">
        <v>1077</v>
      </c>
      <c r="G1169" s="46" t="s">
        <v>904</v>
      </c>
      <c r="H1169" s="46" t="s">
        <v>1433</v>
      </c>
      <c r="I1169" s="46" t="s">
        <v>905</v>
      </c>
      <c r="J1169" s="83">
        <v>46093</v>
      </c>
      <c r="K1169" s="46" t="s">
        <v>1046</v>
      </c>
      <c r="L1169" s="46" t="s">
        <v>915</v>
      </c>
      <c r="M1169" s="83" t="str">
        <f>VLOOKUP(K1169,[4]在职!$A:$B,2,0)</f>
        <v>01525</v>
      </c>
      <c r="N1169" s="83" t="str">
        <f>VLOOKUP(K1169,[4]在职!$A:$G,7,0)</f>
        <v>营业三部</v>
      </c>
      <c r="O1169" s="83" t="str">
        <f>VLOOKUP(K1169,[4]在职!$A:$I,9,0)</f>
        <v>一星销售顾问</v>
      </c>
      <c r="P1169" s="83">
        <f>VLOOKUP(K1169,[4]在职!$A:$D,4,0)</f>
        <v>45815</v>
      </c>
      <c r="Q1169" s="102">
        <v>5</v>
      </c>
      <c r="R1169" s="102">
        <v>5</v>
      </c>
      <c r="S1169" s="104">
        <v>90</v>
      </c>
    </row>
    <row r="1170" ht="16.5" hidden="1" spans="1:19">
      <c r="A1170" s="46">
        <v>1168</v>
      </c>
      <c r="B1170" s="46" t="s">
        <v>45</v>
      </c>
      <c r="C1170" s="46" t="s">
        <v>38</v>
      </c>
      <c r="D1170" s="46" t="s">
        <v>27</v>
      </c>
      <c r="E1170" s="46" t="s">
        <v>1076</v>
      </c>
      <c r="F1170" s="46" t="s">
        <v>1077</v>
      </c>
      <c r="G1170" s="46" t="s">
        <v>904</v>
      </c>
      <c r="H1170" s="46" t="s">
        <v>1433</v>
      </c>
      <c r="I1170" s="46" t="s">
        <v>905</v>
      </c>
      <c r="J1170" s="83">
        <v>46093</v>
      </c>
      <c r="K1170" s="46" t="s">
        <v>1468</v>
      </c>
      <c r="L1170" s="46" t="s">
        <v>915</v>
      </c>
      <c r="M1170" s="83" t="str">
        <f>VLOOKUP(K1170,[4]在职!$A:$B,2,0)</f>
        <v>01709</v>
      </c>
      <c r="N1170" s="83" t="str">
        <f>VLOOKUP(K1170,[4]在职!$A:$G,7,0)</f>
        <v>营业五部</v>
      </c>
      <c r="O1170" s="83" t="str">
        <f>VLOOKUP(K1170,[4]在职!$A:$I,9,0)</f>
        <v>一星销售顾问</v>
      </c>
      <c r="P1170" s="83">
        <f>VLOOKUP(K1170,[4]在职!$A:$D,4,0)</f>
        <v>45927</v>
      </c>
      <c r="Q1170" s="102">
        <v>5</v>
      </c>
      <c r="R1170" s="102">
        <v>5</v>
      </c>
      <c r="S1170" s="104">
        <v>80</v>
      </c>
    </row>
    <row r="1171" ht="16.5" hidden="1" spans="1:19">
      <c r="A1171" s="46">
        <v>1169</v>
      </c>
      <c r="B1171" s="46" t="s">
        <v>45</v>
      </c>
      <c r="C1171" s="46" t="s">
        <v>38</v>
      </c>
      <c r="D1171" s="46" t="s">
        <v>27</v>
      </c>
      <c r="E1171" s="46" t="s">
        <v>1076</v>
      </c>
      <c r="F1171" s="46" t="s">
        <v>1077</v>
      </c>
      <c r="G1171" s="46" t="s">
        <v>904</v>
      </c>
      <c r="H1171" s="46" t="s">
        <v>1433</v>
      </c>
      <c r="I1171" s="46" t="s">
        <v>905</v>
      </c>
      <c r="J1171" s="83">
        <v>46093</v>
      </c>
      <c r="K1171" s="46" t="s">
        <v>1469</v>
      </c>
      <c r="L1171" s="46" t="s">
        <v>915</v>
      </c>
      <c r="M1171" s="83" t="str">
        <f>VLOOKUP(K1171,[4]在职!$A:$B,2,0)</f>
        <v>01703</v>
      </c>
      <c r="N1171" s="83" t="str">
        <f>VLOOKUP(K1171,[4]在职!$A:$G,7,0)</f>
        <v>营业五部</v>
      </c>
      <c r="O1171" s="83" t="str">
        <f>VLOOKUP(K1171,[4]在职!$A:$I,9,0)</f>
        <v>一星销售顾问</v>
      </c>
      <c r="P1171" s="83">
        <f>VLOOKUP(K1171,[4]在职!$A:$D,4,0)</f>
        <v>45914</v>
      </c>
      <c r="Q1171" s="102">
        <v>5</v>
      </c>
      <c r="R1171" s="102">
        <v>5</v>
      </c>
      <c r="S1171" s="104">
        <v>100</v>
      </c>
    </row>
    <row r="1172" ht="16.5" hidden="1" spans="1:19">
      <c r="A1172" s="46">
        <v>1170</v>
      </c>
      <c r="B1172" s="46" t="s">
        <v>45</v>
      </c>
      <c r="C1172" s="46" t="s">
        <v>38</v>
      </c>
      <c r="D1172" s="46" t="s">
        <v>27</v>
      </c>
      <c r="E1172" s="46" t="s">
        <v>1076</v>
      </c>
      <c r="F1172" s="46" t="s">
        <v>1077</v>
      </c>
      <c r="G1172" s="46" t="s">
        <v>904</v>
      </c>
      <c r="H1172" s="46" t="s">
        <v>1433</v>
      </c>
      <c r="I1172" s="46" t="s">
        <v>905</v>
      </c>
      <c r="J1172" s="83">
        <v>46093</v>
      </c>
      <c r="K1172" s="46" t="s">
        <v>1470</v>
      </c>
      <c r="L1172" s="46" t="s">
        <v>915</v>
      </c>
      <c r="M1172" s="83" t="str">
        <f>VLOOKUP(K1172,[4]在职!$A:$B,2,0)</f>
        <v>01667</v>
      </c>
      <c r="N1172" s="83" t="str">
        <f>VLOOKUP(K1172,[4]在职!$A:$G,7,0)</f>
        <v>营业三部</v>
      </c>
      <c r="O1172" s="83" t="str">
        <f>VLOOKUP(K1172,[4]在职!$A:$I,9,0)</f>
        <v>一星销售顾问</v>
      </c>
      <c r="P1172" s="83">
        <f>VLOOKUP(K1172,[4]在职!$A:$D,4,0)</f>
        <v>45896</v>
      </c>
      <c r="Q1172" s="102">
        <v>5</v>
      </c>
      <c r="R1172" s="102">
        <v>5</v>
      </c>
      <c r="S1172" s="104">
        <v>100</v>
      </c>
    </row>
    <row r="1173" ht="16.5" hidden="1" spans="1:19">
      <c r="A1173" s="46">
        <v>1171</v>
      </c>
      <c r="B1173" s="46" t="s">
        <v>45</v>
      </c>
      <c r="C1173" s="46" t="s">
        <v>38</v>
      </c>
      <c r="D1173" s="46" t="s">
        <v>27</v>
      </c>
      <c r="E1173" s="46" t="s">
        <v>1076</v>
      </c>
      <c r="F1173" s="46" t="s">
        <v>1077</v>
      </c>
      <c r="G1173" s="46" t="s">
        <v>904</v>
      </c>
      <c r="H1173" s="46" t="s">
        <v>1433</v>
      </c>
      <c r="I1173" s="46" t="s">
        <v>905</v>
      </c>
      <c r="J1173" s="83">
        <v>46093</v>
      </c>
      <c r="K1173" s="46" t="s">
        <v>1048</v>
      </c>
      <c r="L1173" s="46" t="s">
        <v>915</v>
      </c>
      <c r="M1173" s="83" t="str">
        <f>VLOOKUP(K1173,[4]在职!$A:$B,2,0)</f>
        <v>01669</v>
      </c>
      <c r="N1173" s="83" t="str">
        <f>VLOOKUP(K1173,[4]在职!$A:$G,7,0)</f>
        <v>营业五部</v>
      </c>
      <c r="O1173" s="83" t="str">
        <f>VLOOKUP(K1173,[4]在职!$A:$I,9,0)</f>
        <v>一星销售顾问</v>
      </c>
      <c r="P1173" s="83">
        <f>VLOOKUP(K1173,[4]在职!$A:$D,4,0)</f>
        <v>45882</v>
      </c>
      <c r="Q1173" s="102">
        <v>5</v>
      </c>
      <c r="R1173" s="102">
        <v>5</v>
      </c>
      <c r="S1173" s="104">
        <v>100</v>
      </c>
    </row>
    <row r="1174" ht="16.5" hidden="1" spans="1:19">
      <c r="A1174" s="46">
        <v>1172</v>
      </c>
      <c r="B1174" s="46" t="s">
        <v>45</v>
      </c>
      <c r="C1174" s="46" t="s">
        <v>38</v>
      </c>
      <c r="D1174" s="46" t="s">
        <v>27</v>
      </c>
      <c r="E1174" s="46" t="s">
        <v>1076</v>
      </c>
      <c r="F1174" s="46" t="s">
        <v>1077</v>
      </c>
      <c r="G1174" s="46" t="s">
        <v>904</v>
      </c>
      <c r="H1174" s="46" t="s">
        <v>1433</v>
      </c>
      <c r="I1174" s="46" t="s">
        <v>905</v>
      </c>
      <c r="J1174" s="83">
        <v>46093</v>
      </c>
      <c r="K1174" s="46" t="s">
        <v>1052</v>
      </c>
      <c r="L1174" s="46" t="s">
        <v>915</v>
      </c>
      <c r="M1174" s="83" t="str">
        <f>VLOOKUP(K1174,[4]在职!$A:$B,2,0)</f>
        <v>01600</v>
      </c>
      <c r="N1174" s="83" t="str">
        <f>VLOOKUP(K1174,[4]在职!$A:$G,7,0)</f>
        <v>营业五部</v>
      </c>
      <c r="O1174" s="83" t="str">
        <f>VLOOKUP(K1174,[4]在职!$A:$I,9,0)</f>
        <v>二星销售顾问</v>
      </c>
      <c r="P1174" s="83">
        <f>VLOOKUP(K1174,[4]在职!$A:$D,4,0)</f>
        <v>45855</v>
      </c>
      <c r="Q1174" s="102">
        <v>5</v>
      </c>
      <c r="R1174" s="102">
        <v>5</v>
      </c>
      <c r="S1174" s="104">
        <v>80</v>
      </c>
    </row>
    <row r="1175" ht="16.5" hidden="1" spans="1:19">
      <c r="A1175" s="46">
        <v>1173</v>
      </c>
      <c r="B1175" s="46" t="s">
        <v>45</v>
      </c>
      <c r="C1175" s="46" t="s">
        <v>29</v>
      </c>
      <c r="D1175" s="46" t="s">
        <v>27</v>
      </c>
      <c r="E1175" s="46" t="s">
        <v>1076</v>
      </c>
      <c r="F1175" s="46" t="s">
        <v>1077</v>
      </c>
      <c r="G1175" s="46" t="s">
        <v>904</v>
      </c>
      <c r="H1175" s="46" t="s">
        <v>1433</v>
      </c>
      <c r="I1175" s="46" t="s">
        <v>905</v>
      </c>
      <c r="J1175" s="83">
        <v>46093</v>
      </c>
      <c r="K1175" s="46" t="s">
        <v>1471</v>
      </c>
      <c r="L1175" s="46" t="s">
        <v>915</v>
      </c>
      <c r="M1175" s="83" t="str">
        <f>VLOOKUP(K1175,[4]在职!$A:$B,2,0)</f>
        <v>01545</v>
      </c>
      <c r="N1175" s="83" t="str">
        <f>VLOOKUP(K1175,[4]在职!$A:$G,7,0)</f>
        <v>河南销售部</v>
      </c>
      <c r="O1175" s="83" t="str">
        <f>VLOOKUP(K1175,[4]在职!$A:$I,9,0)</f>
        <v>一星销售顾问</v>
      </c>
      <c r="P1175" s="83">
        <f>VLOOKUP(K1175,[4]在职!$A:$D,4,0)</f>
        <v>45826</v>
      </c>
      <c r="Q1175" s="102">
        <v>5</v>
      </c>
      <c r="R1175" s="102">
        <v>5</v>
      </c>
      <c r="S1175" s="104">
        <v>90</v>
      </c>
    </row>
    <row r="1176" ht="16.5" hidden="1" spans="1:19">
      <c r="A1176" s="46">
        <v>1174</v>
      </c>
      <c r="B1176" s="46" t="s">
        <v>45</v>
      </c>
      <c r="C1176" s="46" t="s">
        <v>38</v>
      </c>
      <c r="D1176" s="46" t="s">
        <v>27</v>
      </c>
      <c r="E1176" s="46" t="s">
        <v>1076</v>
      </c>
      <c r="F1176" s="46" t="s">
        <v>1077</v>
      </c>
      <c r="G1176" s="46" t="s">
        <v>904</v>
      </c>
      <c r="H1176" s="46" t="s">
        <v>1433</v>
      </c>
      <c r="I1176" s="46" t="s">
        <v>905</v>
      </c>
      <c r="J1176" s="83">
        <v>46093</v>
      </c>
      <c r="K1176" s="46" t="s">
        <v>1058</v>
      </c>
      <c r="L1176" s="46" t="s">
        <v>915</v>
      </c>
      <c r="M1176" s="83" t="str">
        <f>VLOOKUP(K1176,[4]在职!$A:$B,2,0)</f>
        <v>01581</v>
      </c>
      <c r="N1176" s="83" t="str">
        <f>VLOOKUP(K1176,[4]在职!$A:$G,7,0)</f>
        <v>营业七部</v>
      </c>
      <c r="O1176" s="83" t="str">
        <f>VLOOKUP(K1176,[4]在职!$A:$I,9,0)</f>
        <v>一星销售顾问</v>
      </c>
      <c r="P1176" s="83">
        <f>VLOOKUP(K1176,[4]在职!$A:$D,4,0)</f>
        <v>45841</v>
      </c>
      <c r="Q1176" s="102">
        <v>5</v>
      </c>
      <c r="R1176" s="102">
        <v>5</v>
      </c>
      <c r="S1176" s="104">
        <v>80</v>
      </c>
    </row>
    <row r="1177" ht="16.5" hidden="1" spans="1:19">
      <c r="A1177" s="46">
        <v>1175</v>
      </c>
      <c r="B1177" s="46" t="s">
        <v>45</v>
      </c>
      <c r="C1177" s="46" t="s">
        <v>29</v>
      </c>
      <c r="D1177" s="46" t="s">
        <v>27</v>
      </c>
      <c r="E1177" s="46" t="s">
        <v>1076</v>
      </c>
      <c r="F1177" s="46" t="s">
        <v>1077</v>
      </c>
      <c r="G1177" s="46" t="s">
        <v>904</v>
      </c>
      <c r="H1177" s="46" t="s">
        <v>1433</v>
      </c>
      <c r="I1177" s="46" t="s">
        <v>905</v>
      </c>
      <c r="J1177" s="83">
        <v>46093</v>
      </c>
      <c r="K1177" s="46" t="s">
        <v>1472</v>
      </c>
      <c r="L1177" s="46" t="s">
        <v>915</v>
      </c>
      <c r="M1177" s="83" t="str">
        <f>VLOOKUP(K1177,[4]在职!$A:$B,2,0)</f>
        <v>01736</v>
      </c>
      <c r="N1177" s="83" t="str">
        <f>VLOOKUP(K1177,[4]在职!$A:$G,7,0)</f>
        <v>营业三部</v>
      </c>
      <c r="O1177" s="83" t="str">
        <f>VLOOKUP(K1177,[4]在职!$A:$I,9,0)</f>
        <v>一星销售顾问</v>
      </c>
      <c r="P1177" s="83">
        <f>VLOOKUP(K1177,[4]在职!$A:$D,4,0)</f>
        <v>45943</v>
      </c>
      <c r="Q1177" s="102">
        <v>5</v>
      </c>
      <c r="R1177" s="102">
        <v>5</v>
      </c>
      <c r="S1177" s="104">
        <v>80</v>
      </c>
    </row>
    <row r="1178" ht="16.5" hidden="1" spans="1:19">
      <c r="A1178" s="46">
        <v>1176</v>
      </c>
      <c r="B1178" s="46" t="s">
        <v>45</v>
      </c>
      <c r="C1178" s="46" t="s">
        <v>38</v>
      </c>
      <c r="D1178" s="46" t="s">
        <v>27</v>
      </c>
      <c r="E1178" s="46" t="s">
        <v>1076</v>
      </c>
      <c r="F1178" s="46" t="s">
        <v>1077</v>
      </c>
      <c r="G1178" s="46" t="s">
        <v>904</v>
      </c>
      <c r="H1178" s="46" t="s">
        <v>1433</v>
      </c>
      <c r="I1178" s="46" t="s">
        <v>905</v>
      </c>
      <c r="J1178" s="83">
        <v>46093</v>
      </c>
      <c r="K1178" s="46" t="s">
        <v>1473</v>
      </c>
      <c r="L1178" s="46" t="s">
        <v>915</v>
      </c>
      <c r="M1178" s="83" t="str">
        <f>VLOOKUP(K1178,[4]在职!$A:$B,2,0)</f>
        <v>01369</v>
      </c>
      <c r="N1178" s="83" t="str">
        <f>VLOOKUP(K1178,[4]在职!$A:$G,7,0)</f>
        <v>营业一部</v>
      </c>
      <c r="O1178" s="83" t="str">
        <f>VLOOKUP(K1178,[4]在职!$A:$I,9,0)</f>
        <v>一星销售顾问</v>
      </c>
      <c r="P1178" s="83">
        <f>VLOOKUP(K1178,[4]在职!$A:$D,4,0)</f>
        <v>45722</v>
      </c>
      <c r="Q1178" s="102">
        <v>5</v>
      </c>
      <c r="R1178" s="102">
        <v>5</v>
      </c>
      <c r="S1178" s="104">
        <v>80</v>
      </c>
    </row>
    <row r="1179" ht="16.5" hidden="1" spans="1:19">
      <c r="A1179" s="46">
        <v>1177</v>
      </c>
      <c r="B1179" s="46" t="s">
        <v>45</v>
      </c>
      <c r="C1179" s="46" t="s">
        <v>31</v>
      </c>
      <c r="D1179" s="46" t="s">
        <v>27</v>
      </c>
      <c r="E1179" s="46" t="s">
        <v>1076</v>
      </c>
      <c r="F1179" s="46" t="s">
        <v>1077</v>
      </c>
      <c r="G1179" s="46" t="s">
        <v>904</v>
      </c>
      <c r="H1179" s="46" t="s">
        <v>1433</v>
      </c>
      <c r="I1179" s="46" t="s">
        <v>905</v>
      </c>
      <c r="J1179" s="83">
        <v>46093</v>
      </c>
      <c r="K1179" s="46" t="s">
        <v>926</v>
      </c>
      <c r="L1179" s="46" t="s">
        <v>915</v>
      </c>
      <c r="M1179" s="83" t="str">
        <f>VLOOKUP(K1179,[4]在职!$A:$B,2,0)</f>
        <v>01657</v>
      </c>
      <c r="N1179" s="83" t="str">
        <f>VLOOKUP(K1179,[4]在职!$A:$G,7,0)</f>
        <v>湖北1部</v>
      </c>
      <c r="O1179" s="83" t="str">
        <f>VLOOKUP(K1179,[4]在职!$A:$I,9,0)</f>
        <v>二星销售顾问</v>
      </c>
      <c r="P1179" s="83">
        <f>VLOOKUP(K1179,[4]在职!$A:$D,4,0)</f>
        <v>45883</v>
      </c>
      <c r="Q1179" s="102">
        <v>5</v>
      </c>
      <c r="R1179" s="102">
        <v>5</v>
      </c>
      <c r="S1179" s="104">
        <v>100</v>
      </c>
    </row>
    <row r="1180" ht="16.5" hidden="1" spans="1:19">
      <c r="A1180" s="46">
        <v>1178</v>
      </c>
      <c r="B1180" s="46" t="s">
        <v>45</v>
      </c>
      <c r="C1180" s="46" t="s">
        <v>31</v>
      </c>
      <c r="D1180" s="46" t="s">
        <v>27</v>
      </c>
      <c r="E1180" s="46" t="s">
        <v>1076</v>
      </c>
      <c r="F1180" s="46" t="s">
        <v>1077</v>
      </c>
      <c r="G1180" s="46" t="s">
        <v>904</v>
      </c>
      <c r="H1180" s="46" t="s">
        <v>1433</v>
      </c>
      <c r="I1180" s="46" t="s">
        <v>905</v>
      </c>
      <c r="J1180" s="83">
        <v>46093</v>
      </c>
      <c r="K1180" s="46" t="s">
        <v>1474</v>
      </c>
      <c r="L1180" s="46" t="s">
        <v>915</v>
      </c>
      <c r="M1180" s="83" t="str">
        <f>VLOOKUP(K1180,[4]在职!$A:$B,2,0)</f>
        <v>01595</v>
      </c>
      <c r="N1180" s="83" t="str">
        <f>VLOOKUP(K1180,[4]在职!$A:$G,7,0)</f>
        <v>湖北1部</v>
      </c>
      <c r="O1180" s="83" t="str">
        <f>VLOOKUP(K1180,[4]在职!$A:$I,9,0)</f>
        <v>一星销售顾问</v>
      </c>
      <c r="P1180" s="83">
        <f>VLOOKUP(K1180,[4]在职!$A:$D,4,0)</f>
        <v>45853</v>
      </c>
      <c r="Q1180" s="102">
        <v>5</v>
      </c>
      <c r="R1180" s="102">
        <v>5</v>
      </c>
      <c r="S1180" s="104">
        <v>100</v>
      </c>
    </row>
    <row r="1181" ht="16.5" hidden="1" spans="1:19">
      <c r="A1181" s="46">
        <v>1179</v>
      </c>
      <c r="B1181" s="46" t="s">
        <v>45</v>
      </c>
      <c r="C1181" s="46" t="s">
        <v>36</v>
      </c>
      <c r="D1181" s="46" t="s">
        <v>27</v>
      </c>
      <c r="E1181" s="46" t="s">
        <v>1076</v>
      </c>
      <c r="F1181" s="46" t="s">
        <v>1077</v>
      </c>
      <c r="G1181" s="46" t="s">
        <v>904</v>
      </c>
      <c r="H1181" s="46" t="s">
        <v>1433</v>
      </c>
      <c r="I1181" s="46" t="s">
        <v>905</v>
      </c>
      <c r="J1181" s="83">
        <v>46093</v>
      </c>
      <c r="K1181" s="46" t="s">
        <v>1475</v>
      </c>
      <c r="L1181" s="46" t="s">
        <v>915</v>
      </c>
      <c r="M1181" s="83" t="str">
        <f>VLOOKUP(K1181,[4]在职!$A:$B,2,0)</f>
        <v>01573</v>
      </c>
      <c r="N1181" s="83" t="str">
        <f>VLOOKUP(K1181,[4]在职!$A:$G,7,0)</f>
        <v>山西销售部</v>
      </c>
      <c r="O1181" s="83" t="str">
        <f>VLOOKUP(K1181,[4]在职!$A:$I,9,0)</f>
        <v>一星销售顾问</v>
      </c>
      <c r="P1181" s="83">
        <f>VLOOKUP(K1181,[4]在职!$A:$D,4,0)</f>
        <v>45844</v>
      </c>
      <c r="Q1181" s="102">
        <v>5</v>
      </c>
      <c r="R1181" s="102">
        <v>5</v>
      </c>
      <c r="S1181" s="104">
        <v>80</v>
      </c>
    </row>
    <row r="1182" ht="16.5" hidden="1" spans="1:19">
      <c r="A1182" s="46">
        <v>1180</v>
      </c>
      <c r="B1182" s="46" t="s">
        <v>45</v>
      </c>
      <c r="C1182" s="46" t="s">
        <v>38</v>
      </c>
      <c r="D1182" s="46" t="s">
        <v>27</v>
      </c>
      <c r="E1182" s="46" t="s">
        <v>1076</v>
      </c>
      <c r="F1182" s="46" t="s">
        <v>1077</v>
      </c>
      <c r="G1182" s="46" t="s">
        <v>904</v>
      </c>
      <c r="H1182" s="46" t="s">
        <v>1433</v>
      </c>
      <c r="I1182" s="46" t="s">
        <v>905</v>
      </c>
      <c r="J1182" s="83">
        <v>46093</v>
      </c>
      <c r="K1182" s="46" t="s">
        <v>1016</v>
      </c>
      <c r="L1182" s="46" t="s">
        <v>915</v>
      </c>
      <c r="M1182" s="83" t="str">
        <f>VLOOKUP(K1182,[4]在职!$A:$B,2,0)</f>
        <v>01324</v>
      </c>
      <c r="N1182" s="83" t="str">
        <f>VLOOKUP(K1182,[4]在职!$A:$G,7,0)</f>
        <v>营业六部</v>
      </c>
      <c r="O1182" s="83" t="str">
        <f>VLOOKUP(K1182,[4]在职!$A:$I,9,0)</f>
        <v>二星销售顾问</v>
      </c>
      <c r="P1182" s="83">
        <f>VLOOKUP(K1182,[4]在职!$A:$D,4,0)</f>
        <v>45699</v>
      </c>
      <c r="Q1182" s="102">
        <v>5</v>
      </c>
      <c r="R1182" s="102">
        <v>5</v>
      </c>
      <c r="S1182" s="104">
        <v>100</v>
      </c>
    </row>
    <row r="1183" ht="16.5" hidden="1" spans="1:19">
      <c r="A1183" s="46">
        <v>1181</v>
      </c>
      <c r="B1183" s="46" t="s">
        <v>45</v>
      </c>
      <c r="C1183" s="83" t="s">
        <v>38</v>
      </c>
      <c r="D1183" s="83" t="s">
        <v>27</v>
      </c>
      <c r="E1183" s="83" t="s">
        <v>1076</v>
      </c>
      <c r="F1183" s="83" t="s">
        <v>1077</v>
      </c>
      <c r="G1183" s="83" t="s">
        <v>904</v>
      </c>
      <c r="H1183" s="83" t="s">
        <v>1433</v>
      </c>
      <c r="I1183" s="46" t="s">
        <v>905</v>
      </c>
      <c r="J1183" s="83">
        <v>46093</v>
      </c>
      <c r="K1183" s="83" t="s">
        <v>1476</v>
      </c>
      <c r="L1183" s="83" t="s">
        <v>915</v>
      </c>
      <c r="M1183" s="83" t="str">
        <f>VLOOKUP(K1183,[4]在职!$A:$B,2,0)</f>
        <v>01682</v>
      </c>
      <c r="N1183" s="83" t="str">
        <f>VLOOKUP(K1183,[4]在职!$A:$G,7,0)</f>
        <v>营业一部</v>
      </c>
      <c r="O1183" s="83" t="str">
        <f>VLOOKUP(K1183,[4]在职!$A:$I,9,0)</f>
        <v>一星销售顾问</v>
      </c>
      <c r="P1183" s="83">
        <f>VLOOKUP(K1183,[4]在职!$A:$D,4,0)</f>
        <v>45903</v>
      </c>
      <c r="Q1183" s="102">
        <v>5</v>
      </c>
      <c r="R1183" s="102">
        <v>5</v>
      </c>
      <c r="S1183" s="104">
        <v>100</v>
      </c>
    </row>
    <row r="1184" ht="16.5" hidden="1" spans="1:19">
      <c r="A1184" s="46">
        <v>1182</v>
      </c>
      <c r="B1184" s="46" t="s">
        <v>45</v>
      </c>
      <c r="C1184" s="7" t="s">
        <v>38</v>
      </c>
      <c r="D1184" s="83" t="s">
        <v>27</v>
      </c>
      <c r="E1184" s="83" t="s">
        <v>1076</v>
      </c>
      <c r="F1184" s="83" t="s">
        <v>1077</v>
      </c>
      <c r="G1184" s="83" t="s">
        <v>904</v>
      </c>
      <c r="H1184" s="83" t="s">
        <v>1433</v>
      </c>
      <c r="I1184" s="46" t="s">
        <v>905</v>
      </c>
      <c r="J1184" s="83">
        <v>46093</v>
      </c>
      <c r="K1184" s="5" t="s">
        <v>1321</v>
      </c>
      <c r="L1184" s="84" t="s">
        <v>907</v>
      </c>
      <c r="M1184" s="83" t="str">
        <f>VLOOKUP(K1184,[4]在职!$A:$B,2,0)</f>
        <v>01821</v>
      </c>
      <c r="N1184" s="83" t="str">
        <f>VLOOKUP(K1184,[4]在职!$A:$G,7,0)</f>
        <v>营业一部</v>
      </c>
      <c r="O1184" s="83" t="str">
        <f>VLOOKUP(K1184,[4]在职!$A:$I,9,0)</f>
        <v>一星销售顾问</v>
      </c>
      <c r="P1184" s="83">
        <f>VLOOKUP(K1184,[4]在职!$A:$D,4,0)</f>
        <v>45992</v>
      </c>
      <c r="Q1184" s="102">
        <v>0</v>
      </c>
      <c r="R1184" s="102">
        <v>0</v>
      </c>
      <c r="S1184" s="104">
        <v>0</v>
      </c>
    </row>
    <row r="1185" ht="16.5" hidden="1" spans="1:19">
      <c r="A1185" s="46">
        <v>1183</v>
      </c>
      <c r="B1185" s="46" t="s">
        <v>45</v>
      </c>
      <c r="C1185" s="7" t="s">
        <v>26</v>
      </c>
      <c r="D1185" s="83" t="s">
        <v>27</v>
      </c>
      <c r="E1185" s="83" t="s">
        <v>1076</v>
      </c>
      <c r="F1185" s="83" t="s">
        <v>1077</v>
      </c>
      <c r="G1185" s="83" t="s">
        <v>904</v>
      </c>
      <c r="H1185" s="83" t="s">
        <v>1433</v>
      </c>
      <c r="I1185" s="46" t="s">
        <v>905</v>
      </c>
      <c r="J1185" s="83">
        <v>46093</v>
      </c>
      <c r="K1185" s="5" t="s">
        <v>1313</v>
      </c>
      <c r="L1185" s="84" t="s">
        <v>907</v>
      </c>
      <c r="M1185" s="83" t="str">
        <f>VLOOKUP(K1185,[4]在职!$A:$B,2,0)</f>
        <v>01671</v>
      </c>
      <c r="N1185" s="83" t="str">
        <f>VLOOKUP(K1185,[4]在职!$A:$G,7,0)</f>
        <v>河北销售部</v>
      </c>
      <c r="O1185" s="83" t="str">
        <f>VLOOKUP(K1185,[4]在职!$A:$I,9,0)</f>
        <v>一星销售顾问</v>
      </c>
      <c r="P1185" s="83">
        <f>VLOOKUP(K1185,[4]在职!$A:$D,4,0)</f>
        <v>45890</v>
      </c>
      <c r="Q1185" s="102">
        <v>0</v>
      </c>
      <c r="R1185" s="102">
        <v>0</v>
      </c>
      <c r="S1185" s="104">
        <v>0</v>
      </c>
    </row>
    <row r="1186" ht="16.5" hidden="1" spans="1:19">
      <c r="A1186" s="46">
        <v>1184</v>
      </c>
      <c r="B1186" s="46" t="s">
        <v>45</v>
      </c>
      <c r="C1186" s="7" t="s">
        <v>26</v>
      </c>
      <c r="D1186" s="83" t="s">
        <v>27</v>
      </c>
      <c r="E1186" s="83" t="s">
        <v>1076</v>
      </c>
      <c r="F1186" s="83" t="s">
        <v>1077</v>
      </c>
      <c r="G1186" s="83" t="s">
        <v>904</v>
      </c>
      <c r="H1186" s="83" t="s">
        <v>1433</v>
      </c>
      <c r="I1186" s="46" t="s">
        <v>905</v>
      </c>
      <c r="J1186" s="83">
        <v>46093</v>
      </c>
      <c r="K1186" s="5" t="s">
        <v>1477</v>
      </c>
      <c r="L1186" s="84" t="s">
        <v>907</v>
      </c>
      <c r="M1186" s="83" t="str">
        <f>VLOOKUP(K1186,[4]在职!$A:$B,2,0)</f>
        <v>01530</v>
      </c>
      <c r="N1186" s="83" t="str">
        <f>VLOOKUP(K1186,[4]在职!$A:$G,7,0)</f>
        <v>河北销售部</v>
      </c>
      <c r="O1186" s="83" t="str">
        <f>VLOOKUP(K1186,[4]在职!$A:$I,9,0)</f>
        <v>一星销售顾问</v>
      </c>
      <c r="P1186" s="83">
        <f>VLOOKUP(K1186,[4]在职!$A:$D,4,0)</f>
        <v>45819</v>
      </c>
      <c r="Q1186" s="102">
        <v>0</v>
      </c>
      <c r="R1186" s="102">
        <v>0</v>
      </c>
      <c r="S1186" s="104">
        <v>0</v>
      </c>
    </row>
    <row r="1187" ht="16.5" hidden="1" spans="1:19">
      <c r="A1187" s="46">
        <v>1185</v>
      </c>
      <c r="B1187" s="46" t="s">
        <v>45</v>
      </c>
      <c r="C1187" s="7" t="s">
        <v>31</v>
      </c>
      <c r="D1187" s="83" t="s">
        <v>27</v>
      </c>
      <c r="E1187" s="83" t="s">
        <v>1076</v>
      </c>
      <c r="F1187" s="83" t="s">
        <v>1077</v>
      </c>
      <c r="G1187" s="83" t="s">
        <v>904</v>
      </c>
      <c r="H1187" s="83" t="s">
        <v>1433</v>
      </c>
      <c r="I1187" s="46" t="s">
        <v>905</v>
      </c>
      <c r="J1187" s="83">
        <v>46093</v>
      </c>
      <c r="K1187" s="5" t="s">
        <v>1478</v>
      </c>
      <c r="L1187" s="84" t="s">
        <v>907</v>
      </c>
      <c r="M1187" s="83" t="str">
        <f>VLOOKUP(K1187,[4]在职!$A:$B,2,0)</f>
        <v>01685</v>
      </c>
      <c r="N1187" s="83" t="str">
        <f>VLOOKUP(K1187,[4]在职!$A:$G,7,0)</f>
        <v>湖北2部</v>
      </c>
      <c r="O1187" s="83" t="str">
        <f>VLOOKUP(K1187,[4]在职!$A:$I,9,0)</f>
        <v>一星销售顾问</v>
      </c>
      <c r="P1187" s="83">
        <f>VLOOKUP(K1187,[4]在职!$A:$D,4,0)</f>
        <v>45905</v>
      </c>
      <c r="Q1187" s="102">
        <v>0</v>
      </c>
      <c r="R1187" s="102">
        <v>0</v>
      </c>
      <c r="S1187" s="104">
        <v>0</v>
      </c>
    </row>
    <row r="1188" ht="16.5" hidden="1" spans="1:19">
      <c r="A1188" s="46">
        <v>1186</v>
      </c>
      <c r="B1188" s="46" t="s">
        <v>45</v>
      </c>
      <c r="C1188" s="7" t="s">
        <v>38</v>
      </c>
      <c r="D1188" s="83" t="s">
        <v>27</v>
      </c>
      <c r="E1188" s="83" t="s">
        <v>1076</v>
      </c>
      <c r="F1188" s="83" t="s">
        <v>1077</v>
      </c>
      <c r="G1188" s="83" t="s">
        <v>904</v>
      </c>
      <c r="H1188" s="83" t="s">
        <v>1433</v>
      </c>
      <c r="I1188" s="46" t="s">
        <v>905</v>
      </c>
      <c r="J1188" s="83">
        <v>46093</v>
      </c>
      <c r="K1188" s="5" t="s">
        <v>952</v>
      </c>
      <c r="L1188" s="84" t="s">
        <v>907</v>
      </c>
      <c r="M1188" s="83" t="str">
        <f>VLOOKUP(K1188,[4]在职!$A:$B,2,0)</f>
        <v>01690</v>
      </c>
      <c r="N1188" s="83" t="str">
        <f>VLOOKUP(K1188,[4]在职!$A:$G,7,0)</f>
        <v>营业一部</v>
      </c>
      <c r="O1188" s="83" t="str">
        <f>VLOOKUP(K1188,[4]在职!$A:$I,9,0)</f>
        <v>一星销售顾问</v>
      </c>
      <c r="P1188" s="83">
        <f>VLOOKUP(K1188,[4]在职!$A:$D,4,0)</f>
        <v>45909</v>
      </c>
      <c r="Q1188" s="102">
        <v>0</v>
      </c>
      <c r="R1188" s="102">
        <v>0</v>
      </c>
      <c r="S1188" s="104">
        <v>0</v>
      </c>
    </row>
    <row r="1189" ht="16.5" hidden="1" spans="1:19">
      <c r="A1189" s="46">
        <v>1187</v>
      </c>
      <c r="B1189" s="46" t="s">
        <v>45</v>
      </c>
      <c r="C1189" s="7" t="s">
        <v>38</v>
      </c>
      <c r="D1189" s="83" t="s">
        <v>27</v>
      </c>
      <c r="E1189" s="83" t="s">
        <v>1076</v>
      </c>
      <c r="F1189" s="83" t="s">
        <v>1077</v>
      </c>
      <c r="G1189" s="83" t="s">
        <v>904</v>
      </c>
      <c r="H1189" s="83" t="s">
        <v>1433</v>
      </c>
      <c r="I1189" s="46" t="s">
        <v>905</v>
      </c>
      <c r="J1189" s="83">
        <v>46093</v>
      </c>
      <c r="K1189" s="5" t="s">
        <v>954</v>
      </c>
      <c r="L1189" s="84" t="s">
        <v>907</v>
      </c>
      <c r="M1189" s="83" t="str">
        <f>VLOOKUP(K1189,[4]在职!$A:$B,2,0)</f>
        <v>01307</v>
      </c>
      <c r="N1189" s="83" t="str">
        <f>VLOOKUP(K1189,[4]在职!$A:$G,7,0)</f>
        <v>营业一部</v>
      </c>
      <c r="O1189" s="83" t="str">
        <f>VLOOKUP(K1189,[4]在职!$A:$I,9,0)</f>
        <v>二星销售顾问</v>
      </c>
      <c r="P1189" s="83">
        <f>VLOOKUP(K1189,[4]在职!$A:$D,4,0)</f>
        <v>45701</v>
      </c>
      <c r="Q1189" s="102">
        <v>0</v>
      </c>
      <c r="R1189" s="102">
        <v>0</v>
      </c>
      <c r="S1189" s="104">
        <v>0</v>
      </c>
    </row>
    <row r="1190" ht="16.5" hidden="1" spans="1:19">
      <c r="A1190" s="46">
        <v>1188</v>
      </c>
      <c r="B1190" s="46" t="s">
        <v>45</v>
      </c>
      <c r="C1190" s="7" t="s">
        <v>38</v>
      </c>
      <c r="D1190" s="83" t="s">
        <v>27</v>
      </c>
      <c r="E1190" s="83" t="s">
        <v>1076</v>
      </c>
      <c r="F1190" s="83" t="s">
        <v>1077</v>
      </c>
      <c r="G1190" s="83" t="s">
        <v>904</v>
      </c>
      <c r="H1190" s="83" t="s">
        <v>1433</v>
      </c>
      <c r="I1190" s="46" t="s">
        <v>905</v>
      </c>
      <c r="J1190" s="83">
        <v>46093</v>
      </c>
      <c r="K1190" s="5" t="s">
        <v>1479</v>
      </c>
      <c r="L1190" s="84" t="s">
        <v>907</v>
      </c>
      <c r="M1190" s="83" t="str">
        <f>VLOOKUP(K1190,[4]在职!$A:$B,2,0)</f>
        <v>01440</v>
      </c>
      <c r="N1190" s="83" t="str">
        <f>VLOOKUP(K1190,[4]在职!$A:$G,7,0)</f>
        <v>营业三部</v>
      </c>
      <c r="O1190" s="83" t="str">
        <f>VLOOKUP(K1190,[4]在职!$A:$I,9,0)</f>
        <v>一星销售顾问</v>
      </c>
      <c r="P1190" s="83">
        <f>VLOOKUP(K1190,[4]在职!$A:$D,4,0)</f>
        <v>45764</v>
      </c>
      <c r="Q1190" s="102">
        <v>0</v>
      </c>
      <c r="R1190" s="102">
        <v>0</v>
      </c>
      <c r="S1190" s="104">
        <v>0</v>
      </c>
    </row>
    <row r="1191" ht="16.5" hidden="1" spans="1:19">
      <c r="A1191" s="46">
        <v>1189</v>
      </c>
      <c r="B1191" s="46" t="s">
        <v>45</v>
      </c>
      <c r="C1191" s="7" t="s">
        <v>38</v>
      </c>
      <c r="D1191" s="83" t="s">
        <v>27</v>
      </c>
      <c r="E1191" s="83" t="s">
        <v>1076</v>
      </c>
      <c r="F1191" s="83" t="s">
        <v>1077</v>
      </c>
      <c r="G1191" s="83" t="s">
        <v>904</v>
      </c>
      <c r="H1191" s="83" t="s">
        <v>1433</v>
      </c>
      <c r="I1191" s="46" t="s">
        <v>905</v>
      </c>
      <c r="J1191" s="83">
        <v>46093</v>
      </c>
      <c r="K1191" s="5" t="s">
        <v>964</v>
      </c>
      <c r="L1191" s="84" t="s">
        <v>907</v>
      </c>
      <c r="M1191" s="83" t="str">
        <f>VLOOKUP(K1191,[4]在职!$A:$B,2,0)</f>
        <v>01405</v>
      </c>
      <c r="N1191" s="83" t="str">
        <f>VLOOKUP(K1191,[4]在职!$A:$G,7,0)</f>
        <v>营业七部</v>
      </c>
      <c r="O1191" s="83" t="str">
        <f>VLOOKUP(K1191,[4]在职!$A:$I,9,0)</f>
        <v>一星销售顾问</v>
      </c>
      <c r="P1191" s="83">
        <f>VLOOKUP(K1191,[4]在职!$A:$D,4,0)</f>
        <v>45738</v>
      </c>
      <c r="Q1191" s="102">
        <v>0</v>
      </c>
      <c r="R1191" s="102">
        <v>0</v>
      </c>
      <c r="S1191" s="104">
        <v>0</v>
      </c>
    </row>
    <row r="1192" ht="16.5" hidden="1" spans="1:19">
      <c r="A1192" s="46">
        <v>1190</v>
      </c>
      <c r="B1192" s="46" t="s">
        <v>45</v>
      </c>
      <c r="C1192" s="7" t="s">
        <v>38</v>
      </c>
      <c r="D1192" s="83" t="s">
        <v>27</v>
      </c>
      <c r="E1192" s="83" t="s">
        <v>1076</v>
      </c>
      <c r="F1192" s="83" t="s">
        <v>1077</v>
      </c>
      <c r="G1192" s="83" t="s">
        <v>904</v>
      </c>
      <c r="H1192" s="83" t="s">
        <v>1433</v>
      </c>
      <c r="I1192" s="46" t="s">
        <v>905</v>
      </c>
      <c r="J1192" s="83">
        <v>46093</v>
      </c>
      <c r="K1192" s="5" t="s">
        <v>1480</v>
      </c>
      <c r="L1192" s="84" t="s">
        <v>907</v>
      </c>
      <c r="M1192" s="83" t="str">
        <f>VLOOKUP(K1192,[4]在职!$A:$B,2,0)</f>
        <v>01724</v>
      </c>
      <c r="N1192" s="83" t="str">
        <f>VLOOKUP(K1192,[4]在职!$A:$G,7,0)</f>
        <v>营业五部</v>
      </c>
      <c r="O1192" s="83" t="str">
        <f>VLOOKUP(K1192,[4]在职!$A:$I,9,0)</f>
        <v>一星销售顾问</v>
      </c>
      <c r="P1192" s="83">
        <f>VLOOKUP(K1192,[4]在职!$A:$D,4,0)</f>
        <v>45939</v>
      </c>
      <c r="Q1192" s="102">
        <v>0</v>
      </c>
      <c r="R1192" s="102">
        <v>0</v>
      </c>
      <c r="S1192" s="104">
        <v>0</v>
      </c>
    </row>
    <row r="1193" ht="16.5" hidden="1" spans="1:19">
      <c r="A1193" s="46">
        <v>1191</v>
      </c>
      <c r="B1193" s="46" t="s">
        <v>45</v>
      </c>
      <c r="C1193" s="7" t="s">
        <v>38</v>
      </c>
      <c r="D1193" s="83" t="s">
        <v>27</v>
      </c>
      <c r="E1193" s="83" t="s">
        <v>1076</v>
      </c>
      <c r="F1193" s="83" t="s">
        <v>1077</v>
      </c>
      <c r="G1193" s="83" t="s">
        <v>904</v>
      </c>
      <c r="H1193" s="83" t="s">
        <v>1433</v>
      </c>
      <c r="I1193" s="46" t="s">
        <v>905</v>
      </c>
      <c r="J1193" s="83">
        <v>46093</v>
      </c>
      <c r="K1193" s="5" t="s">
        <v>1481</v>
      </c>
      <c r="L1193" s="84" t="s">
        <v>907</v>
      </c>
      <c r="M1193" s="83" t="str">
        <f>VLOOKUP(K1193,[4]在职!$A:$B,2,0)</f>
        <v>01710</v>
      </c>
      <c r="N1193" s="83" t="str">
        <f>VLOOKUP(K1193,[4]在职!$A:$G,7,0)</f>
        <v>营业五部</v>
      </c>
      <c r="O1193" s="83" t="str">
        <f>VLOOKUP(K1193,[4]在职!$A:$I,9,0)</f>
        <v>一星销售顾问</v>
      </c>
      <c r="P1193" s="83">
        <f>VLOOKUP(K1193,[4]在职!$A:$D,4,0)</f>
        <v>45927</v>
      </c>
      <c r="Q1193" s="102">
        <v>0</v>
      </c>
      <c r="R1193" s="102">
        <v>0</v>
      </c>
      <c r="S1193" s="104">
        <v>0</v>
      </c>
    </row>
    <row r="1194" ht="16.5" hidden="1" spans="1:19">
      <c r="A1194" s="46">
        <v>1192</v>
      </c>
      <c r="B1194" s="46" t="s">
        <v>45</v>
      </c>
      <c r="C1194" s="7" t="s">
        <v>37</v>
      </c>
      <c r="D1194" s="83" t="s">
        <v>27</v>
      </c>
      <c r="E1194" s="83" t="s">
        <v>1076</v>
      </c>
      <c r="F1194" s="83" t="s">
        <v>1077</v>
      </c>
      <c r="G1194" s="83" t="s">
        <v>904</v>
      </c>
      <c r="H1194" s="83" t="s">
        <v>1433</v>
      </c>
      <c r="I1194" s="46" t="s">
        <v>905</v>
      </c>
      <c r="J1194" s="83">
        <v>46093</v>
      </c>
      <c r="K1194" s="5" t="s">
        <v>1482</v>
      </c>
      <c r="L1194" s="84" t="s">
        <v>907</v>
      </c>
      <c r="M1194" s="83" t="str">
        <f>VLOOKUP(K1194,[4]在职!$A:$B,2,0)</f>
        <v>01665</v>
      </c>
      <c r="N1194" s="83" t="str">
        <f>VLOOKUP(K1194,[4]在职!$A:$G,7,0)</f>
        <v>陕西1部</v>
      </c>
      <c r="O1194" s="83" t="str">
        <f>VLOOKUP(K1194,[4]在职!$A:$I,9,0)</f>
        <v>一星销售顾问</v>
      </c>
      <c r="P1194" s="83">
        <f>VLOOKUP(K1194,[4]在职!$A:$D,4,0)</f>
        <v>45887</v>
      </c>
      <c r="Q1194" s="102">
        <v>0</v>
      </c>
      <c r="R1194" s="102">
        <v>0</v>
      </c>
      <c r="S1194" s="104">
        <v>0</v>
      </c>
    </row>
    <row r="1195" ht="16.5" hidden="1" spans="1:19">
      <c r="A1195" s="46">
        <v>1193</v>
      </c>
      <c r="B1195" s="46" t="s">
        <v>45</v>
      </c>
      <c r="C1195" s="7" t="s">
        <v>37</v>
      </c>
      <c r="D1195" s="83" t="s">
        <v>27</v>
      </c>
      <c r="E1195" s="83" t="s">
        <v>1076</v>
      </c>
      <c r="F1195" s="83" t="s">
        <v>1077</v>
      </c>
      <c r="G1195" s="83" t="s">
        <v>904</v>
      </c>
      <c r="H1195" s="83" t="s">
        <v>1433</v>
      </c>
      <c r="I1195" s="46" t="s">
        <v>905</v>
      </c>
      <c r="J1195" s="83">
        <v>46093</v>
      </c>
      <c r="K1195" s="5" t="s">
        <v>1483</v>
      </c>
      <c r="L1195" s="84" t="s">
        <v>907</v>
      </c>
      <c r="M1195" s="83" t="str">
        <f>VLOOKUP(K1195,[4]在职!$A:$B,2,0)</f>
        <v>01656</v>
      </c>
      <c r="N1195" s="83" t="str">
        <f>VLOOKUP(K1195,[4]在职!$A:$G,7,0)</f>
        <v>陕西1部</v>
      </c>
      <c r="O1195" s="83" t="str">
        <f>VLOOKUP(K1195,[4]在职!$A:$I,9,0)</f>
        <v>一星销售顾问</v>
      </c>
      <c r="P1195" s="83">
        <f>VLOOKUP(K1195,[4]在职!$A:$D,4,0)</f>
        <v>45882</v>
      </c>
      <c r="Q1195" s="102">
        <v>0</v>
      </c>
      <c r="R1195" s="102">
        <v>0</v>
      </c>
      <c r="S1195" s="104">
        <v>0</v>
      </c>
    </row>
    <row r="1196" ht="16.5" hidden="1" spans="1:19">
      <c r="A1196" s="46">
        <v>1194</v>
      </c>
      <c r="B1196" s="46" t="s">
        <v>45</v>
      </c>
      <c r="C1196" s="7" t="s">
        <v>37</v>
      </c>
      <c r="D1196" s="83" t="s">
        <v>27</v>
      </c>
      <c r="E1196" s="83" t="s">
        <v>1076</v>
      </c>
      <c r="F1196" s="83" t="s">
        <v>1077</v>
      </c>
      <c r="G1196" s="83" t="s">
        <v>904</v>
      </c>
      <c r="H1196" s="83" t="s">
        <v>1433</v>
      </c>
      <c r="I1196" s="46" t="s">
        <v>905</v>
      </c>
      <c r="J1196" s="83">
        <v>46093</v>
      </c>
      <c r="K1196" s="5" t="s">
        <v>1484</v>
      </c>
      <c r="L1196" s="84" t="s">
        <v>907</v>
      </c>
      <c r="M1196" s="83" t="str">
        <f>VLOOKUP(K1196,[4]在职!$A:$B,2,0)</f>
        <v>01653</v>
      </c>
      <c r="N1196" s="83" t="str">
        <f>VLOOKUP(K1196,[4]在职!$A:$G,7,0)</f>
        <v>陕西1部</v>
      </c>
      <c r="O1196" s="83" t="str">
        <f>VLOOKUP(K1196,[4]在职!$A:$I,9,0)</f>
        <v>一星销售顾问</v>
      </c>
      <c r="P1196" s="83">
        <f>VLOOKUP(K1196,[4]在职!$A:$D,4,0)</f>
        <v>45881</v>
      </c>
      <c r="Q1196" s="102">
        <v>0</v>
      </c>
      <c r="R1196" s="102">
        <v>0</v>
      </c>
      <c r="S1196" s="104">
        <v>0</v>
      </c>
    </row>
    <row r="1197" ht="16.5" hidden="1" spans="1:19">
      <c r="A1197" s="46">
        <v>1195</v>
      </c>
      <c r="B1197" s="46" t="s">
        <v>45</v>
      </c>
      <c r="C1197" s="7" t="s">
        <v>38</v>
      </c>
      <c r="D1197" s="83" t="s">
        <v>27</v>
      </c>
      <c r="E1197" s="83" t="s">
        <v>1076</v>
      </c>
      <c r="F1197" s="83" t="s">
        <v>1077</v>
      </c>
      <c r="G1197" s="83" t="s">
        <v>904</v>
      </c>
      <c r="H1197" s="83" t="s">
        <v>1433</v>
      </c>
      <c r="I1197" s="46" t="s">
        <v>905</v>
      </c>
      <c r="J1197" s="83">
        <v>46093</v>
      </c>
      <c r="K1197" s="5" t="s">
        <v>1485</v>
      </c>
      <c r="L1197" s="84" t="s">
        <v>907</v>
      </c>
      <c r="M1197" s="83" t="str">
        <f>VLOOKUP(K1197,[4]在职!$A:$B,2,0)</f>
        <v>01740</v>
      </c>
      <c r="N1197" s="83" t="str">
        <f>VLOOKUP(K1197,[4]在职!$A:$G,7,0)</f>
        <v>营业三部</v>
      </c>
      <c r="O1197" s="83" t="str">
        <f>VLOOKUP(K1197,[4]在职!$A:$I,9,0)</f>
        <v>一星销售顾问</v>
      </c>
      <c r="P1197" s="83">
        <f>VLOOKUP(K1197,[4]在职!$A:$D,4,0)</f>
        <v>45947</v>
      </c>
      <c r="Q1197" s="102">
        <v>0</v>
      </c>
      <c r="R1197" s="102">
        <v>0</v>
      </c>
      <c r="S1197" s="104">
        <v>0</v>
      </c>
    </row>
    <row r="1198" ht="16.5" hidden="1" spans="1:19">
      <c r="A1198" s="46">
        <v>1196</v>
      </c>
      <c r="B1198" s="46" t="s">
        <v>45</v>
      </c>
      <c r="C1198" s="7" t="s">
        <v>38</v>
      </c>
      <c r="D1198" s="83" t="s">
        <v>27</v>
      </c>
      <c r="E1198" s="83" t="s">
        <v>1076</v>
      </c>
      <c r="F1198" s="83" t="s">
        <v>1077</v>
      </c>
      <c r="G1198" s="83" t="s">
        <v>904</v>
      </c>
      <c r="H1198" s="83" t="s">
        <v>1433</v>
      </c>
      <c r="I1198" s="46" t="s">
        <v>905</v>
      </c>
      <c r="J1198" s="83">
        <v>46093</v>
      </c>
      <c r="K1198" s="5" t="s">
        <v>1486</v>
      </c>
      <c r="L1198" s="84" t="s">
        <v>907</v>
      </c>
      <c r="M1198" s="83" t="str">
        <f>VLOOKUP(K1198,[4]在职!$A:$B,2,0)</f>
        <v>01729</v>
      </c>
      <c r="N1198" s="83" t="str">
        <f>VLOOKUP(K1198,[4]在职!$A:$G,7,0)</f>
        <v>营业三部</v>
      </c>
      <c r="O1198" s="83" t="str">
        <f>VLOOKUP(K1198,[4]在职!$A:$I,9,0)</f>
        <v>一星销售顾问</v>
      </c>
      <c r="P1198" s="83">
        <f>VLOOKUP(K1198,[4]在职!$A:$D,4,0)</f>
        <v>45945</v>
      </c>
      <c r="Q1198" s="102">
        <v>0</v>
      </c>
      <c r="R1198" s="102">
        <v>0</v>
      </c>
      <c r="S1198" s="104">
        <v>0</v>
      </c>
    </row>
    <row r="1199" ht="16.5" hidden="1" spans="1:19">
      <c r="A1199" s="46">
        <v>1197</v>
      </c>
      <c r="B1199" s="46" t="s">
        <v>45</v>
      </c>
      <c r="C1199" s="7" t="s">
        <v>38</v>
      </c>
      <c r="D1199" s="83" t="s">
        <v>27</v>
      </c>
      <c r="E1199" s="83" t="s">
        <v>1076</v>
      </c>
      <c r="F1199" s="83" t="s">
        <v>1077</v>
      </c>
      <c r="G1199" s="83" t="s">
        <v>904</v>
      </c>
      <c r="H1199" s="83" t="s">
        <v>1433</v>
      </c>
      <c r="I1199" s="46" t="s">
        <v>905</v>
      </c>
      <c r="J1199" s="83">
        <v>46093</v>
      </c>
      <c r="K1199" s="5" t="s">
        <v>970</v>
      </c>
      <c r="L1199" s="84" t="s">
        <v>907</v>
      </c>
      <c r="M1199" s="83" t="str">
        <f>VLOOKUP(K1199,[4]在职!$A:$B,2,0)</f>
        <v>01498</v>
      </c>
      <c r="N1199" s="83" t="str">
        <f>VLOOKUP(K1199,[4]在职!$A:$G,7,0)</f>
        <v>营业三部</v>
      </c>
      <c r="O1199" s="83" t="str">
        <f>VLOOKUP(K1199,[4]在职!$A:$I,9,0)</f>
        <v>一星销售顾问</v>
      </c>
      <c r="P1199" s="83">
        <f>VLOOKUP(K1199,[4]在职!$A:$D,4,0)</f>
        <v>45800</v>
      </c>
      <c r="Q1199" s="102">
        <v>0</v>
      </c>
      <c r="R1199" s="102">
        <v>0</v>
      </c>
      <c r="S1199" s="104">
        <v>0</v>
      </c>
    </row>
    <row r="1200" ht="16.5" hidden="1" spans="1:19">
      <c r="A1200" s="46">
        <v>1198</v>
      </c>
      <c r="B1200" s="46" t="s">
        <v>45</v>
      </c>
      <c r="C1200" s="7" t="s">
        <v>37</v>
      </c>
      <c r="D1200" s="83" t="s">
        <v>27</v>
      </c>
      <c r="E1200" s="83" t="s">
        <v>1076</v>
      </c>
      <c r="F1200" s="83" t="s">
        <v>1077</v>
      </c>
      <c r="G1200" s="83" t="s">
        <v>904</v>
      </c>
      <c r="H1200" s="83" t="s">
        <v>1433</v>
      </c>
      <c r="I1200" s="46" t="s">
        <v>905</v>
      </c>
      <c r="J1200" s="83">
        <v>46093</v>
      </c>
      <c r="K1200" s="5" t="s">
        <v>1487</v>
      </c>
      <c r="L1200" s="84" t="s">
        <v>907</v>
      </c>
      <c r="M1200" s="83" t="str">
        <f>VLOOKUP(K1200,[4]在职!$A:$B,2,0)</f>
        <v>01770</v>
      </c>
      <c r="N1200" s="83" t="str">
        <f>VLOOKUP(K1200,[4]在职!$A:$G,7,0)</f>
        <v>陕西2部</v>
      </c>
      <c r="O1200" s="83" t="str">
        <f>VLOOKUP(K1200,[4]在职!$A:$I,9,0)</f>
        <v>一星销售顾问</v>
      </c>
      <c r="P1200" s="83">
        <f>VLOOKUP(K1200,[4]在职!$A:$D,4,0)</f>
        <v>45967</v>
      </c>
      <c r="Q1200" s="102">
        <v>0</v>
      </c>
      <c r="R1200" s="102">
        <v>0</v>
      </c>
      <c r="S1200" s="104">
        <v>0</v>
      </c>
    </row>
    <row r="1201" ht="16.5" hidden="1" spans="1:19">
      <c r="A1201" s="46">
        <v>1199</v>
      </c>
      <c r="B1201" s="46" t="s">
        <v>45</v>
      </c>
      <c r="C1201" s="7" t="s">
        <v>37</v>
      </c>
      <c r="D1201" s="83" t="s">
        <v>27</v>
      </c>
      <c r="E1201" s="83" t="s">
        <v>1076</v>
      </c>
      <c r="F1201" s="83" t="s">
        <v>1077</v>
      </c>
      <c r="G1201" s="83" t="s">
        <v>904</v>
      </c>
      <c r="H1201" s="83" t="s">
        <v>1433</v>
      </c>
      <c r="I1201" s="46" t="s">
        <v>905</v>
      </c>
      <c r="J1201" s="83">
        <v>46093</v>
      </c>
      <c r="K1201" s="5" t="s">
        <v>1488</v>
      </c>
      <c r="L1201" s="84" t="s">
        <v>907</v>
      </c>
      <c r="M1201" s="83" t="str">
        <f>VLOOKUP(K1201,[4]在职!$A:$B,2,0)</f>
        <v>01526</v>
      </c>
      <c r="N1201" s="83" t="str">
        <f>VLOOKUP(K1201,[4]在职!$A:$G,7,0)</f>
        <v>陕西2部</v>
      </c>
      <c r="O1201" s="83" t="str">
        <f>VLOOKUP(K1201,[4]在职!$A:$I,9,0)</f>
        <v>一星销售顾问</v>
      </c>
      <c r="P1201" s="83">
        <f>VLOOKUP(K1201,[4]在职!$A:$D,4,0)</f>
        <v>45817</v>
      </c>
      <c r="Q1201" s="102">
        <v>0</v>
      </c>
      <c r="R1201" s="102">
        <v>0</v>
      </c>
      <c r="S1201" s="104">
        <v>0</v>
      </c>
    </row>
    <row r="1202" ht="16.5" hidden="1" spans="1:19">
      <c r="A1202" s="46">
        <v>1200</v>
      </c>
      <c r="B1202" s="46" t="s">
        <v>45</v>
      </c>
      <c r="C1202" s="7" t="s">
        <v>38</v>
      </c>
      <c r="D1202" s="83" t="s">
        <v>27</v>
      </c>
      <c r="E1202" s="83" t="s">
        <v>1076</v>
      </c>
      <c r="F1202" s="83" t="s">
        <v>1077</v>
      </c>
      <c r="G1202" s="83" t="s">
        <v>904</v>
      </c>
      <c r="H1202" s="83" t="s">
        <v>1433</v>
      </c>
      <c r="I1202" s="46" t="s">
        <v>905</v>
      </c>
      <c r="J1202" s="83">
        <v>46093</v>
      </c>
      <c r="K1202" s="5" t="s">
        <v>1489</v>
      </c>
      <c r="L1202" s="84" t="s">
        <v>907</v>
      </c>
      <c r="M1202" s="83" t="str">
        <f>VLOOKUP(K1202,[4]在职!$A:$B,2,0)</f>
        <v>01704</v>
      </c>
      <c r="N1202" s="83" t="str">
        <f>VLOOKUP(K1202,[4]在职!$A:$G,7,0)</f>
        <v>营业六部</v>
      </c>
      <c r="O1202" s="83" t="str">
        <f>VLOOKUP(K1202,[4]在职!$A:$I,9,0)</f>
        <v>一星销售顾问</v>
      </c>
      <c r="P1202" s="83">
        <f>VLOOKUP(K1202,[4]在职!$A:$D,4,0)</f>
        <v>45920</v>
      </c>
      <c r="Q1202" s="102">
        <v>0</v>
      </c>
      <c r="R1202" s="102">
        <v>0</v>
      </c>
      <c r="S1202" s="104">
        <v>0</v>
      </c>
    </row>
    <row r="1203" ht="16.5" hidden="1" spans="1:19">
      <c r="A1203" s="46">
        <v>1201</v>
      </c>
      <c r="B1203" s="46" t="s">
        <v>45</v>
      </c>
      <c r="C1203" s="7" t="s">
        <v>38</v>
      </c>
      <c r="D1203" s="83" t="s">
        <v>27</v>
      </c>
      <c r="E1203" s="83" t="s">
        <v>1076</v>
      </c>
      <c r="F1203" s="83" t="s">
        <v>1077</v>
      </c>
      <c r="G1203" s="83" t="s">
        <v>904</v>
      </c>
      <c r="H1203" s="83" t="s">
        <v>1433</v>
      </c>
      <c r="I1203" s="46" t="s">
        <v>905</v>
      </c>
      <c r="J1203" s="83">
        <v>46093</v>
      </c>
      <c r="K1203" s="5" t="s">
        <v>1490</v>
      </c>
      <c r="L1203" s="84" t="s">
        <v>907</v>
      </c>
      <c r="M1203" s="83" t="str">
        <f>VLOOKUP(K1203,[4]在职!$A:$B,2,0)</f>
        <v>01699</v>
      </c>
      <c r="N1203" s="83" t="str">
        <f>VLOOKUP(K1203,[4]在职!$A:$G,7,0)</f>
        <v>营业六部</v>
      </c>
      <c r="O1203" s="83" t="str">
        <f>VLOOKUP(K1203,[4]在职!$A:$I,9,0)</f>
        <v>一星销售顾问</v>
      </c>
      <c r="P1203" s="83">
        <f>VLOOKUP(K1203,[4]在职!$A:$D,4,0)</f>
        <v>45918</v>
      </c>
      <c r="Q1203" s="102">
        <v>0</v>
      </c>
      <c r="R1203" s="102">
        <v>0</v>
      </c>
      <c r="S1203" s="104">
        <v>0</v>
      </c>
    </row>
    <row r="1204" ht="16.5" hidden="1" spans="1:19">
      <c r="A1204" s="46">
        <v>1202</v>
      </c>
      <c r="B1204" s="46" t="s">
        <v>45</v>
      </c>
      <c r="C1204" s="7" t="s">
        <v>38</v>
      </c>
      <c r="D1204" s="83" t="s">
        <v>27</v>
      </c>
      <c r="E1204" s="83" t="s">
        <v>1076</v>
      </c>
      <c r="F1204" s="83" t="s">
        <v>1077</v>
      </c>
      <c r="G1204" s="83" t="s">
        <v>904</v>
      </c>
      <c r="H1204" s="83" t="s">
        <v>1433</v>
      </c>
      <c r="I1204" s="46" t="s">
        <v>905</v>
      </c>
      <c r="J1204" s="83">
        <v>46093</v>
      </c>
      <c r="K1204" s="5" t="s">
        <v>994</v>
      </c>
      <c r="L1204" s="84" t="s">
        <v>907</v>
      </c>
      <c r="M1204" s="83" t="str">
        <f>VLOOKUP(K1204,[4]在职!$A:$B,2,0)</f>
        <v>01477</v>
      </c>
      <c r="N1204" s="83" t="str">
        <f>VLOOKUP(K1204,[4]在职!$A:$G,7,0)</f>
        <v>湖南销售部</v>
      </c>
      <c r="O1204" s="83" t="str">
        <f>VLOOKUP(K1204,[4]在职!$A:$I,9,0)</f>
        <v>二星销售顾问</v>
      </c>
      <c r="P1204" s="83">
        <f>VLOOKUP(K1204,[4]在职!$A:$D,4,0)</f>
        <v>45790</v>
      </c>
      <c r="Q1204" s="102">
        <v>0</v>
      </c>
      <c r="R1204" s="102">
        <v>0</v>
      </c>
      <c r="S1204" s="104">
        <v>0</v>
      </c>
    </row>
    <row r="1205" ht="16.5" hidden="1" spans="1:19">
      <c r="A1205" s="46">
        <v>1204</v>
      </c>
      <c r="B1205" s="46" t="s">
        <v>45</v>
      </c>
      <c r="C1205" s="7" t="s">
        <v>38</v>
      </c>
      <c r="D1205" s="83" t="s">
        <v>27</v>
      </c>
      <c r="E1205" s="83" t="s">
        <v>1076</v>
      </c>
      <c r="F1205" s="83" t="s">
        <v>1077</v>
      </c>
      <c r="G1205" s="83" t="s">
        <v>904</v>
      </c>
      <c r="H1205" s="83" t="s">
        <v>1433</v>
      </c>
      <c r="I1205" s="46" t="s">
        <v>905</v>
      </c>
      <c r="J1205" s="83">
        <v>46093</v>
      </c>
      <c r="K1205" s="5" t="s">
        <v>1491</v>
      </c>
      <c r="L1205" s="84" t="s">
        <v>907</v>
      </c>
      <c r="M1205" s="83" t="str">
        <f>VLOOKUP(K1205,[4]在职!$A:$B,2,0)</f>
        <v>01719</v>
      </c>
      <c r="N1205" s="83" t="str">
        <f>VLOOKUP(K1205,[4]在职!$A:$G,7,0)</f>
        <v>营业三部</v>
      </c>
      <c r="O1205" s="83" t="str">
        <f>VLOOKUP(K1205,[4]在职!$A:$I,9,0)</f>
        <v>一星销售顾问</v>
      </c>
      <c r="P1205" s="83">
        <f>VLOOKUP(K1205,[4]在职!$A:$D,4,0)</f>
        <v>45938</v>
      </c>
      <c r="Q1205" s="102">
        <v>0</v>
      </c>
      <c r="R1205" s="102">
        <v>0</v>
      </c>
      <c r="S1205" s="104">
        <v>0</v>
      </c>
    </row>
    <row r="1206" ht="16.5" hidden="1" spans="1:19">
      <c r="A1206" s="46">
        <v>1205</v>
      </c>
      <c r="B1206" s="46" t="s">
        <v>45</v>
      </c>
      <c r="C1206" s="7" t="s">
        <v>38</v>
      </c>
      <c r="D1206" s="83" t="s">
        <v>27</v>
      </c>
      <c r="E1206" s="83" t="s">
        <v>1076</v>
      </c>
      <c r="F1206" s="83" t="s">
        <v>1077</v>
      </c>
      <c r="G1206" s="83" t="s">
        <v>904</v>
      </c>
      <c r="H1206" s="83" t="s">
        <v>1433</v>
      </c>
      <c r="I1206" s="46" t="s">
        <v>905</v>
      </c>
      <c r="J1206" s="83">
        <v>46093</v>
      </c>
      <c r="K1206" s="5" t="s">
        <v>1020</v>
      </c>
      <c r="L1206" s="84" t="s">
        <v>907</v>
      </c>
      <c r="M1206" s="83" t="str">
        <f>VLOOKUP(K1206,[4]在职!$A:$B,2,0)</f>
        <v>01575</v>
      </c>
      <c r="N1206" s="83" t="str">
        <f>VLOOKUP(K1206,[4]在职!$A:$G,7,0)</f>
        <v>营业三部</v>
      </c>
      <c r="O1206" s="83" t="str">
        <f>VLOOKUP(K1206,[4]在职!$A:$I,9,0)</f>
        <v>一星销售顾问</v>
      </c>
      <c r="P1206" s="83">
        <f>VLOOKUP(K1206,[4]在职!$A:$D,4,0)</f>
        <v>45844</v>
      </c>
      <c r="Q1206" s="102">
        <v>0</v>
      </c>
      <c r="R1206" s="102">
        <v>0</v>
      </c>
      <c r="S1206" s="104">
        <v>0</v>
      </c>
    </row>
    <row r="1207" ht="16.5" hidden="1" spans="1:19">
      <c r="A1207" s="46">
        <v>1206</v>
      </c>
      <c r="B1207" s="46" t="s">
        <v>45</v>
      </c>
      <c r="C1207" s="7" t="s">
        <v>35</v>
      </c>
      <c r="D1207" s="83" t="s">
        <v>27</v>
      </c>
      <c r="E1207" s="83" t="s">
        <v>1076</v>
      </c>
      <c r="F1207" s="83" t="s">
        <v>1077</v>
      </c>
      <c r="G1207" s="83" t="s">
        <v>904</v>
      </c>
      <c r="H1207" s="83" t="s">
        <v>1433</v>
      </c>
      <c r="I1207" s="46" t="s">
        <v>905</v>
      </c>
      <c r="J1207" s="83">
        <v>46093</v>
      </c>
      <c r="K1207" s="5" t="s">
        <v>1492</v>
      </c>
      <c r="L1207" s="84" t="s">
        <v>907</v>
      </c>
      <c r="M1207" s="83" t="str">
        <f>VLOOKUP(K1207,[4]在职!$A:$B,2,0)</f>
        <v>01849</v>
      </c>
      <c r="N1207" s="83" t="str">
        <f>VLOOKUP(K1207,[4]在职!$A:$G,7,0)</f>
        <v>山东销售部</v>
      </c>
      <c r="O1207" s="83" t="str">
        <f>VLOOKUP(K1207,[4]在职!$A:$I,9,0)</f>
        <v>一星销售顾问</v>
      </c>
      <c r="P1207" s="83">
        <f>VLOOKUP(K1207,[4]在职!$A:$D,4,0)</f>
        <v>46003</v>
      </c>
      <c r="Q1207" s="102">
        <v>0</v>
      </c>
      <c r="R1207" s="102">
        <v>0</v>
      </c>
      <c r="S1207" s="104">
        <v>0</v>
      </c>
    </row>
    <row r="1208" ht="16.5" hidden="1" spans="1:19">
      <c r="A1208" s="46">
        <v>1207</v>
      </c>
      <c r="B1208" s="46" t="s">
        <v>45</v>
      </c>
      <c r="C1208" s="7" t="s">
        <v>35</v>
      </c>
      <c r="D1208" s="83" t="s">
        <v>27</v>
      </c>
      <c r="E1208" s="83" t="s">
        <v>1076</v>
      </c>
      <c r="F1208" s="83" t="s">
        <v>1077</v>
      </c>
      <c r="G1208" s="83" t="s">
        <v>904</v>
      </c>
      <c r="H1208" s="83" t="s">
        <v>1433</v>
      </c>
      <c r="I1208" s="46" t="s">
        <v>905</v>
      </c>
      <c r="J1208" s="83">
        <v>46093</v>
      </c>
      <c r="K1208" s="5" t="s">
        <v>1493</v>
      </c>
      <c r="L1208" s="84" t="s">
        <v>907</v>
      </c>
      <c r="M1208" s="83" t="str">
        <f>VLOOKUP(K1208,[4]在职!$A:$B,2,0)</f>
        <v>01705</v>
      </c>
      <c r="N1208" s="83" t="str">
        <f>VLOOKUP(K1208,[4]在职!$A:$G,7,0)</f>
        <v>山东销售部</v>
      </c>
      <c r="O1208" s="83" t="str">
        <f>VLOOKUP(K1208,[4]在职!$A:$I,9,0)</f>
        <v>一星销售顾问</v>
      </c>
      <c r="P1208" s="83">
        <f>VLOOKUP(K1208,[4]在职!$A:$D,4,0)</f>
        <v>45922</v>
      </c>
      <c r="Q1208" s="102">
        <v>0</v>
      </c>
      <c r="R1208" s="102">
        <v>0</v>
      </c>
      <c r="S1208" s="104">
        <v>0</v>
      </c>
    </row>
    <row r="1209" ht="16.5" hidden="1" spans="1:19">
      <c r="A1209" s="46">
        <v>1208</v>
      </c>
      <c r="B1209" s="46" t="s">
        <v>45</v>
      </c>
      <c r="C1209" s="7" t="s">
        <v>35</v>
      </c>
      <c r="D1209" s="83" t="s">
        <v>27</v>
      </c>
      <c r="E1209" s="83" t="s">
        <v>1076</v>
      </c>
      <c r="F1209" s="83" t="s">
        <v>1077</v>
      </c>
      <c r="G1209" s="83" t="s">
        <v>904</v>
      </c>
      <c r="H1209" s="83" t="s">
        <v>1433</v>
      </c>
      <c r="I1209" s="46" t="s">
        <v>905</v>
      </c>
      <c r="J1209" s="83">
        <v>46093</v>
      </c>
      <c r="K1209" s="5" t="s">
        <v>1494</v>
      </c>
      <c r="L1209" s="84" t="s">
        <v>907</v>
      </c>
      <c r="M1209" s="83" t="str">
        <f>VLOOKUP(K1209,[4]在职!$A:$B,2,0)</f>
        <v>01679</v>
      </c>
      <c r="N1209" s="83" t="str">
        <f>VLOOKUP(K1209,[4]在职!$A:$G,7,0)</f>
        <v>山东销售部</v>
      </c>
      <c r="O1209" s="83" t="str">
        <f>VLOOKUP(K1209,[4]在职!$A:$I,9,0)</f>
        <v>一星销售顾问</v>
      </c>
      <c r="P1209" s="83">
        <f>VLOOKUP(K1209,[4]在职!$A:$D,4,0)</f>
        <v>45900</v>
      </c>
      <c r="Q1209" s="102">
        <v>0</v>
      </c>
      <c r="R1209" s="102">
        <v>0</v>
      </c>
      <c r="S1209" s="104">
        <v>0</v>
      </c>
    </row>
    <row r="1210" ht="16.5" hidden="1" spans="1:19">
      <c r="A1210" s="46">
        <v>1209</v>
      </c>
      <c r="B1210" s="46" t="s">
        <v>45</v>
      </c>
      <c r="C1210" s="7" t="s">
        <v>38</v>
      </c>
      <c r="D1210" s="83" t="s">
        <v>27</v>
      </c>
      <c r="E1210" s="83" t="s">
        <v>1076</v>
      </c>
      <c r="F1210" s="83" t="s">
        <v>1077</v>
      </c>
      <c r="G1210" s="83" t="s">
        <v>904</v>
      </c>
      <c r="H1210" s="83" t="s">
        <v>1433</v>
      </c>
      <c r="I1210" s="46" t="s">
        <v>905</v>
      </c>
      <c r="J1210" s="83">
        <v>46093</v>
      </c>
      <c r="K1210" s="5" t="s">
        <v>1495</v>
      </c>
      <c r="L1210" s="84" t="s">
        <v>907</v>
      </c>
      <c r="M1210" s="83" t="str">
        <f>VLOOKUP(K1210,[4]在职!$A:$B,2,0)</f>
        <v>01652</v>
      </c>
      <c r="N1210" s="83" t="str">
        <f>VLOOKUP(K1210,[4]在职!$A:$G,7,0)</f>
        <v>营业五部</v>
      </c>
      <c r="O1210" s="83" t="str">
        <f>VLOOKUP(K1210,[4]在职!$A:$I,9,0)</f>
        <v>一星销售顾问</v>
      </c>
      <c r="P1210" s="83">
        <f>VLOOKUP(K1210,[4]在职!$A:$D,4,0)</f>
        <v>45878</v>
      </c>
      <c r="Q1210" s="102">
        <v>0</v>
      </c>
      <c r="R1210" s="102">
        <v>0</v>
      </c>
      <c r="S1210" s="104">
        <v>0</v>
      </c>
    </row>
    <row r="1211" ht="16.5" hidden="1" spans="1:19">
      <c r="A1211" s="46">
        <v>1210</v>
      </c>
      <c r="B1211" s="46" t="s">
        <v>45</v>
      </c>
      <c r="C1211" s="7" t="s">
        <v>38</v>
      </c>
      <c r="D1211" s="83" t="s">
        <v>27</v>
      </c>
      <c r="E1211" s="83" t="s">
        <v>1076</v>
      </c>
      <c r="F1211" s="83" t="s">
        <v>1077</v>
      </c>
      <c r="G1211" s="83" t="s">
        <v>904</v>
      </c>
      <c r="H1211" s="83" t="s">
        <v>1433</v>
      </c>
      <c r="I1211" s="46" t="s">
        <v>905</v>
      </c>
      <c r="J1211" s="83">
        <v>46093</v>
      </c>
      <c r="K1211" s="5" t="s">
        <v>1496</v>
      </c>
      <c r="L1211" s="84" t="s">
        <v>907</v>
      </c>
      <c r="M1211" s="83" t="str">
        <f>VLOOKUP(K1211,[4]在职!$A:$B,2,0)</f>
        <v>01557</v>
      </c>
      <c r="N1211" s="83" t="str">
        <f>VLOOKUP(K1211,[4]在职!$A:$G,7,0)</f>
        <v>营业五部</v>
      </c>
      <c r="O1211" s="83" t="str">
        <f>VLOOKUP(K1211,[4]在职!$A:$I,9,0)</f>
        <v>一星销售顾问</v>
      </c>
      <c r="P1211" s="83">
        <f>VLOOKUP(K1211,[4]在职!$A:$D,4,0)</f>
        <v>45836</v>
      </c>
      <c r="Q1211" s="102">
        <v>0</v>
      </c>
      <c r="R1211" s="102">
        <v>0</v>
      </c>
      <c r="S1211" s="104">
        <v>0</v>
      </c>
    </row>
    <row r="1212" ht="16.5" hidden="1" spans="1:19">
      <c r="A1212" s="46">
        <v>1212</v>
      </c>
      <c r="B1212" s="46" t="s">
        <v>45</v>
      </c>
      <c r="C1212" s="7" t="s">
        <v>38</v>
      </c>
      <c r="D1212" s="83" t="s">
        <v>27</v>
      </c>
      <c r="E1212" s="83" t="s">
        <v>1076</v>
      </c>
      <c r="F1212" s="83" t="s">
        <v>1077</v>
      </c>
      <c r="G1212" s="83" t="s">
        <v>904</v>
      </c>
      <c r="H1212" s="83" t="s">
        <v>1433</v>
      </c>
      <c r="I1212" s="46" t="s">
        <v>905</v>
      </c>
      <c r="J1212" s="83">
        <v>46093</v>
      </c>
      <c r="K1212" s="5" t="s">
        <v>1497</v>
      </c>
      <c r="L1212" s="84" t="s">
        <v>907</v>
      </c>
      <c r="M1212" s="83" t="str">
        <f>VLOOKUP(K1212,[4]在职!$A:$B,2,0)</f>
        <v>01739</v>
      </c>
      <c r="N1212" s="83" t="str">
        <f>VLOOKUP(K1212,[4]在职!$A:$G,7,0)</f>
        <v>营业六部</v>
      </c>
      <c r="O1212" s="83" t="str">
        <f>VLOOKUP(K1212,[4]在职!$A:$I,9,0)</f>
        <v>一星销售顾问</v>
      </c>
      <c r="P1212" s="83">
        <f>VLOOKUP(K1212,[4]在职!$A:$D,4,0)</f>
        <v>45944</v>
      </c>
      <c r="Q1212" s="102">
        <v>0</v>
      </c>
      <c r="R1212" s="102">
        <v>0</v>
      </c>
      <c r="S1212" s="104">
        <v>0</v>
      </c>
    </row>
    <row r="1213" ht="16.5" hidden="1" spans="1:19">
      <c r="A1213" s="46">
        <v>1213</v>
      </c>
      <c r="B1213" s="46" t="s">
        <v>45</v>
      </c>
      <c r="C1213" s="7" t="s">
        <v>38</v>
      </c>
      <c r="D1213" s="83" t="s">
        <v>27</v>
      </c>
      <c r="E1213" s="83" t="s">
        <v>1076</v>
      </c>
      <c r="F1213" s="83" t="s">
        <v>1077</v>
      </c>
      <c r="G1213" s="83" t="s">
        <v>904</v>
      </c>
      <c r="H1213" s="83" t="s">
        <v>1433</v>
      </c>
      <c r="I1213" s="46" t="s">
        <v>905</v>
      </c>
      <c r="J1213" s="83">
        <v>46093</v>
      </c>
      <c r="K1213" s="5" t="s">
        <v>1022</v>
      </c>
      <c r="L1213" s="84" t="s">
        <v>907</v>
      </c>
      <c r="M1213" s="83" t="str">
        <f>VLOOKUP(K1213,[4]在职!$A:$B,2,0)</f>
        <v>01579</v>
      </c>
      <c r="N1213" s="83" t="str">
        <f>VLOOKUP(K1213,[4]在职!$A:$G,7,0)</f>
        <v>营业六部</v>
      </c>
      <c r="O1213" s="83" t="str">
        <f>VLOOKUP(K1213,[4]在职!$A:$I,9,0)</f>
        <v>二星销售顾问</v>
      </c>
      <c r="P1213" s="83">
        <f>VLOOKUP(K1213,[4]在职!$A:$D,4,0)</f>
        <v>45844</v>
      </c>
      <c r="Q1213" s="102">
        <v>0</v>
      </c>
      <c r="R1213" s="102">
        <v>0</v>
      </c>
      <c r="S1213" s="104">
        <v>0</v>
      </c>
    </row>
    <row r="1214" ht="16.5" hidden="1" spans="1:19">
      <c r="A1214" s="46">
        <v>1214</v>
      </c>
      <c r="B1214" s="46" t="s">
        <v>45</v>
      </c>
      <c r="C1214" s="7" t="s">
        <v>38</v>
      </c>
      <c r="D1214" s="83" t="s">
        <v>27</v>
      </c>
      <c r="E1214" s="83" t="s">
        <v>1076</v>
      </c>
      <c r="F1214" s="83" t="s">
        <v>1077</v>
      </c>
      <c r="G1214" s="83" t="s">
        <v>904</v>
      </c>
      <c r="H1214" s="83" t="s">
        <v>1433</v>
      </c>
      <c r="I1214" s="46" t="s">
        <v>905</v>
      </c>
      <c r="J1214" s="83">
        <v>46093</v>
      </c>
      <c r="K1214" s="5" t="s">
        <v>1498</v>
      </c>
      <c r="L1214" s="84" t="s">
        <v>907</v>
      </c>
      <c r="M1214" s="83" t="str">
        <f>VLOOKUP(K1214,[4]在职!$A:$B,2,0)</f>
        <v>01274</v>
      </c>
      <c r="N1214" s="83" t="str">
        <f>VLOOKUP(K1214,[4]在职!$A:$G,7,0)</f>
        <v>营业六部</v>
      </c>
      <c r="O1214" s="83" t="str">
        <f>VLOOKUP(K1214,[4]在职!$A:$I,9,0)</f>
        <v>一星销售顾问</v>
      </c>
      <c r="P1214" s="83">
        <f>VLOOKUP(K1214,[4]在职!$A:$D,4,0)</f>
        <v>45989</v>
      </c>
      <c r="Q1214" s="102">
        <v>0</v>
      </c>
      <c r="R1214" s="102">
        <v>0</v>
      </c>
      <c r="S1214" s="104">
        <v>0</v>
      </c>
    </row>
    <row r="1215" ht="16.5" hidden="1" spans="1:19">
      <c r="A1215" s="46">
        <v>1215</v>
      </c>
      <c r="B1215" s="46" t="s">
        <v>45</v>
      </c>
      <c r="C1215" s="7" t="s">
        <v>38</v>
      </c>
      <c r="D1215" s="83" t="s">
        <v>27</v>
      </c>
      <c r="E1215" s="83" t="s">
        <v>1076</v>
      </c>
      <c r="F1215" s="83" t="s">
        <v>1077</v>
      </c>
      <c r="G1215" s="83" t="s">
        <v>904</v>
      </c>
      <c r="H1215" s="83" t="s">
        <v>1433</v>
      </c>
      <c r="I1215" s="46" t="s">
        <v>905</v>
      </c>
      <c r="J1215" s="83">
        <v>46093</v>
      </c>
      <c r="K1215" s="5" t="s">
        <v>1040</v>
      </c>
      <c r="L1215" s="84" t="s">
        <v>907</v>
      </c>
      <c r="M1215" s="83" t="str">
        <f>VLOOKUP(K1215,[4]在职!$A:$B,2,0)</f>
        <v>01660</v>
      </c>
      <c r="N1215" s="83" t="str">
        <f>VLOOKUP(K1215,[4]在职!$A:$G,7,0)</f>
        <v>营业六部</v>
      </c>
      <c r="O1215" s="83" t="str">
        <f>VLOOKUP(K1215,[4]在职!$A:$I,9,0)</f>
        <v>一星销售顾问</v>
      </c>
      <c r="P1215" s="83">
        <f>VLOOKUP(K1215,[4]在职!$A:$D,4,0)</f>
        <v>45883</v>
      </c>
      <c r="Q1215" s="102">
        <v>0</v>
      </c>
      <c r="R1215" s="102">
        <v>0</v>
      </c>
      <c r="S1215" s="104">
        <v>0</v>
      </c>
    </row>
    <row r="1216" ht="16.5" hidden="1" spans="1:19">
      <c r="A1216" s="46">
        <v>1216</v>
      </c>
      <c r="B1216" s="46" t="s">
        <v>45</v>
      </c>
      <c r="C1216" s="7" t="s">
        <v>38</v>
      </c>
      <c r="D1216" s="83" t="s">
        <v>27</v>
      </c>
      <c r="E1216" s="83" t="s">
        <v>1076</v>
      </c>
      <c r="F1216" s="83" t="s">
        <v>1077</v>
      </c>
      <c r="G1216" s="83" t="s">
        <v>904</v>
      </c>
      <c r="H1216" s="83" t="s">
        <v>1433</v>
      </c>
      <c r="I1216" s="46" t="s">
        <v>905</v>
      </c>
      <c r="J1216" s="83">
        <v>46093</v>
      </c>
      <c r="K1216" s="5" t="s">
        <v>1042</v>
      </c>
      <c r="L1216" s="84" t="s">
        <v>907</v>
      </c>
      <c r="M1216" s="83" t="str">
        <f>VLOOKUP(K1216,[4]在职!$A:$B,2,0)</f>
        <v>01615</v>
      </c>
      <c r="N1216" s="83" t="str">
        <f>VLOOKUP(K1216,[4]在职!$A:$G,7,0)</f>
        <v>营业六部</v>
      </c>
      <c r="O1216" s="83" t="str">
        <f>VLOOKUP(K1216,[4]在职!$A:$I,9,0)</f>
        <v>一星销售顾问</v>
      </c>
      <c r="P1216" s="83">
        <f>VLOOKUP(K1216,[4]在职!$A:$D,4,0)</f>
        <v>45864</v>
      </c>
      <c r="Q1216" s="102">
        <v>0</v>
      </c>
      <c r="R1216" s="102">
        <v>0</v>
      </c>
      <c r="S1216" s="104">
        <v>0</v>
      </c>
    </row>
    <row r="1217" ht="16.5" hidden="1" spans="1:19">
      <c r="A1217" s="46">
        <v>1217</v>
      </c>
      <c r="B1217" s="46" t="s">
        <v>45</v>
      </c>
      <c r="C1217" s="7" t="s">
        <v>37</v>
      </c>
      <c r="D1217" s="83" t="s">
        <v>27</v>
      </c>
      <c r="E1217" s="83" t="s">
        <v>1076</v>
      </c>
      <c r="F1217" s="83" t="s">
        <v>1077</v>
      </c>
      <c r="G1217" s="83" t="s">
        <v>904</v>
      </c>
      <c r="H1217" s="83" t="s">
        <v>1433</v>
      </c>
      <c r="I1217" s="46" t="s">
        <v>905</v>
      </c>
      <c r="J1217" s="83">
        <v>46093</v>
      </c>
      <c r="K1217" s="5" t="s">
        <v>1499</v>
      </c>
      <c r="L1217" s="84" t="s">
        <v>907</v>
      </c>
      <c r="M1217" s="83" t="str">
        <f>VLOOKUP(K1217,[4]在职!$A:$B,2,0)</f>
        <v>01589</v>
      </c>
      <c r="N1217" s="83" t="str">
        <f>VLOOKUP(K1217,[4]在职!$A:$G,7,0)</f>
        <v>陕西1部</v>
      </c>
      <c r="O1217" s="83" t="str">
        <f>VLOOKUP(K1217,[4]在职!$A:$I,9,0)</f>
        <v>一星销售顾问</v>
      </c>
      <c r="P1217" s="83">
        <f>VLOOKUP(K1217,[4]在职!$A:$D,4,0)</f>
        <v>45843</v>
      </c>
      <c r="Q1217" s="102">
        <v>0</v>
      </c>
      <c r="R1217" s="102">
        <v>0</v>
      </c>
      <c r="S1217" s="104">
        <v>0</v>
      </c>
    </row>
    <row r="1218" ht="16.5" hidden="1" spans="1:19">
      <c r="A1218" s="46">
        <v>1218</v>
      </c>
      <c r="B1218" s="46" t="s">
        <v>45</v>
      </c>
      <c r="C1218" s="7" t="s">
        <v>38</v>
      </c>
      <c r="D1218" s="83" t="s">
        <v>27</v>
      </c>
      <c r="E1218" s="83" t="s">
        <v>1076</v>
      </c>
      <c r="F1218" s="83" t="s">
        <v>1077</v>
      </c>
      <c r="G1218" s="83" t="s">
        <v>904</v>
      </c>
      <c r="H1218" s="83" t="s">
        <v>1433</v>
      </c>
      <c r="I1218" s="46" t="s">
        <v>905</v>
      </c>
      <c r="J1218" s="83">
        <v>46093</v>
      </c>
      <c r="K1218" s="5" t="s">
        <v>1500</v>
      </c>
      <c r="L1218" s="84" t="s">
        <v>907</v>
      </c>
      <c r="M1218" s="83" t="str">
        <f>VLOOKUP(K1218,[4]在职!$A:$B,2,0)</f>
        <v>01785</v>
      </c>
      <c r="N1218" s="83" t="str">
        <f>VLOOKUP(K1218,[4]在职!$A:$G,7,0)</f>
        <v>营业二部</v>
      </c>
      <c r="O1218" s="83" t="str">
        <f>VLOOKUP(K1218,[4]在职!$A:$I,9,0)</f>
        <v>一星销售顾问</v>
      </c>
      <c r="P1218" s="83">
        <f>VLOOKUP(K1218,[4]在职!$A:$D,4,0)</f>
        <v>45971</v>
      </c>
      <c r="Q1218" s="102">
        <v>0</v>
      </c>
      <c r="R1218" s="102">
        <v>0</v>
      </c>
      <c r="S1218" s="104">
        <v>0</v>
      </c>
    </row>
    <row r="1219" ht="16.5" hidden="1" spans="1:19">
      <c r="A1219" s="46">
        <v>1219</v>
      </c>
      <c r="B1219" s="46" t="s">
        <v>45</v>
      </c>
      <c r="C1219" s="7" t="s">
        <v>38</v>
      </c>
      <c r="D1219" s="83" t="s">
        <v>27</v>
      </c>
      <c r="E1219" s="83" t="s">
        <v>1076</v>
      </c>
      <c r="F1219" s="83" t="s">
        <v>1077</v>
      </c>
      <c r="G1219" s="83" t="s">
        <v>904</v>
      </c>
      <c r="H1219" s="83" t="s">
        <v>1433</v>
      </c>
      <c r="I1219" s="46" t="s">
        <v>905</v>
      </c>
      <c r="J1219" s="83">
        <v>46093</v>
      </c>
      <c r="K1219" s="5" t="s">
        <v>1064</v>
      </c>
      <c r="L1219" s="84" t="s">
        <v>907</v>
      </c>
      <c r="M1219" s="83" t="str">
        <f>VLOOKUP(K1219,[4]在职!$A:$B,2,0)</f>
        <v>00569</v>
      </c>
      <c r="N1219" s="83" t="str">
        <f>VLOOKUP(K1219,[4]在职!$A:$G,7,0)</f>
        <v>营业二部</v>
      </c>
      <c r="O1219" s="83" t="str">
        <f>VLOOKUP(K1219,[4]在职!$A:$I,9,0)</f>
        <v>二星销售顾问</v>
      </c>
      <c r="P1219" s="83">
        <f>VLOOKUP(K1219,[4]在职!$A:$D,4,0)</f>
        <v>45849</v>
      </c>
      <c r="Q1219" s="102">
        <v>0</v>
      </c>
      <c r="R1219" s="102">
        <v>0</v>
      </c>
      <c r="S1219" s="104">
        <v>0</v>
      </c>
    </row>
    <row r="1220" ht="16.5" hidden="1" spans="1:19">
      <c r="A1220" s="46">
        <v>1220</v>
      </c>
      <c r="B1220" s="46" t="s">
        <v>45</v>
      </c>
      <c r="C1220" s="7" t="s">
        <v>38</v>
      </c>
      <c r="D1220" s="83" t="s">
        <v>27</v>
      </c>
      <c r="E1220" s="83" t="s">
        <v>1076</v>
      </c>
      <c r="F1220" s="83" t="s">
        <v>1077</v>
      </c>
      <c r="G1220" s="83" t="s">
        <v>904</v>
      </c>
      <c r="H1220" s="83" t="s">
        <v>1433</v>
      </c>
      <c r="I1220" s="46" t="s">
        <v>905</v>
      </c>
      <c r="J1220" s="83">
        <v>46093</v>
      </c>
      <c r="K1220" s="5" t="s">
        <v>1501</v>
      </c>
      <c r="L1220" s="84" t="s">
        <v>907</v>
      </c>
      <c r="M1220" s="83" t="str">
        <f>VLOOKUP(K1220,[4]在职!$A:$B,2,0)</f>
        <v>01540</v>
      </c>
      <c r="N1220" s="83" t="str">
        <f>VLOOKUP(K1220,[4]在职!$A:$G,7,0)</f>
        <v>营业三部</v>
      </c>
      <c r="O1220" s="83" t="str">
        <f>VLOOKUP(K1220,[4]在职!$A:$I,9,0)</f>
        <v>一星销售顾问</v>
      </c>
      <c r="P1220" s="83">
        <f>VLOOKUP(K1220,[4]在职!$A:$D,4,0)</f>
        <v>45821</v>
      </c>
      <c r="Q1220" s="102">
        <v>0</v>
      </c>
      <c r="R1220" s="102">
        <v>0</v>
      </c>
      <c r="S1220" s="104">
        <v>0</v>
      </c>
    </row>
    <row r="1221" ht="16.5" hidden="1" spans="1:19">
      <c r="A1221" s="46">
        <v>1221</v>
      </c>
      <c r="B1221" s="46" t="s">
        <v>45</v>
      </c>
      <c r="C1221" s="7" t="s">
        <v>29</v>
      </c>
      <c r="D1221" s="83" t="s">
        <v>27</v>
      </c>
      <c r="E1221" s="83" t="s">
        <v>1076</v>
      </c>
      <c r="F1221" s="83" t="s">
        <v>1077</v>
      </c>
      <c r="G1221" s="83" t="s">
        <v>904</v>
      </c>
      <c r="H1221" s="83" t="s">
        <v>1433</v>
      </c>
      <c r="I1221" s="46" t="s">
        <v>905</v>
      </c>
      <c r="J1221" s="83">
        <v>46093</v>
      </c>
      <c r="K1221" s="5" t="s">
        <v>1502</v>
      </c>
      <c r="L1221" s="84" t="s">
        <v>907</v>
      </c>
      <c r="M1221" s="83" t="str">
        <f>VLOOKUP(K1221,[4]在职!$A:$B,2,0)</f>
        <v>01529</v>
      </c>
      <c r="N1221" s="83" t="str">
        <f>VLOOKUP(K1221,[4]在职!$A:$G,7,0)</f>
        <v>河南销售部</v>
      </c>
      <c r="O1221" s="83" t="str">
        <f>VLOOKUP(K1221,[4]在职!$A:$I,9,0)</f>
        <v>一星销售顾问</v>
      </c>
      <c r="P1221" s="83">
        <f>VLOOKUP(K1221,[4]在职!$A:$D,4,0)</f>
        <v>45822</v>
      </c>
      <c r="Q1221" s="102">
        <v>0</v>
      </c>
      <c r="R1221" s="102">
        <v>0</v>
      </c>
      <c r="S1221" s="104">
        <v>0</v>
      </c>
    </row>
    <row r="1222" ht="16.5" hidden="1" spans="1:19">
      <c r="A1222" s="46">
        <v>1222</v>
      </c>
      <c r="B1222" s="46" t="s">
        <v>45</v>
      </c>
      <c r="C1222" s="7" t="s">
        <v>38</v>
      </c>
      <c r="D1222" s="83" t="s">
        <v>27</v>
      </c>
      <c r="E1222" s="83" t="s">
        <v>1076</v>
      </c>
      <c r="F1222" s="83" t="s">
        <v>1077</v>
      </c>
      <c r="G1222" s="83" t="s">
        <v>904</v>
      </c>
      <c r="H1222" s="83" t="s">
        <v>1433</v>
      </c>
      <c r="I1222" s="46" t="s">
        <v>905</v>
      </c>
      <c r="J1222" s="83">
        <v>46093</v>
      </c>
      <c r="K1222" s="5" t="s">
        <v>1503</v>
      </c>
      <c r="L1222" s="84" t="s">
        <v>907</v>
      </c>
      <c r="M1222" s="83" t="str">
        <f>VLOOKUP(K1222,[4]在职!$A:$B,2,0)</f>
        <v>01560</v>
      </c>
      <c r="N1222" s="83" t="str">
        <f>VLOOKUP(K1222,[4]在职!$A:$G,7,0)</f>
        <v>营业五部</v>
      </c>
      <c r="O1222" s="83" t="str">
        <f>VLOOKUP(K1222,[4]在职!$A:$I,9,0)</f>
        <v>一星销售顾问</v>
      </c>
      <c r="P1222" s="83">
        <f>VLOOKUP(K1222,[4]在职!$A:$D,4,0)</f>
        <v>45838</v>
      </c>
      <c r="Q1222" s="102">
        <v>0</v>
      </c>
      <c r="R1222" s="102">
        <v>0</v>
      </c>
      <c r="S1222" s="104">
        <v>0</v>
      </c>
    </row>
    <row r="1223" ht="16.5" hidden="1" spans="1:19">
      <c r="A1223" s="46">
        <v>1223</v>
      </c>
      <c r="B1223" s="46" t="s">
        <v>45</v>
      </c>
      <c r="C1223" s="7" t="s">
        <v>38</v>
      </c>
      <c r="D1223" s="83" t="s">
        <v>27</v>
      </c>
      <c r="E1223" s="46" t="s">
        <v>1080</v>
      </c>
      <c r="F1223" s="46" t="s">
        <v>1077</v>
      </c>
      <c r="G1223" s="46" t="s">
        <v>904</v>
      </c>
      <c r="H1223" s="46" t="s">
        <v>1433</v>
      </c>
      <c r="I1223" s="46" t="s">
        <v>905</v>
      </c>
      <c r="J1223" s="83">
        <v>46093</v>
      </c>
      <c r="K1223" s="5" t="s">
        <v>1321</v>
      </c>
      <c r="L1223" s="84" t="s">
        <v>907</v>
      </c>
      <c r="M1223" s="83" t="str">
        <f>VLOOKUP(K1223,[4]在职!$A:$B,2,0)</f>
        <v>01821</v>
      </c>
      <c r="N1223" s="83" t="str">
        <f>VLOOKUP(K1223,[4]在职!$A:$G,7,0)</f>
        <v>营业一部</v>
      </c>
      <c r="O1223" s="83" t="str">
        <f>VLOOKUP(K1223,[4]在职!$A:$I,9,0)</f>
        <v>一星销售顾问</v>
      </c>
      <c r="P1223" s="83">
        <f>VLOOKUP(K1223,[4]在职!$A:$D,4,0)</f>
        <v>45992</v>
      </c>
      <c r="Q1223" s="102">
        <v>0</v>
      </c>
      <c r="R1223" s="102">
        <v>0</v>
      </c>
      <c r="S1223" s="104">
        <v>0</v>
      </c>
    </row>
    <row r="1224" ht="16.5" hidden="1" spans="1:19">
      <c r="A1224" s="46">
        <v>1224</v>
      </c>
      <c r="B1224" s="46" t="s">
        <v>45</v>
      </c>
      <c r="C1224" s="7" t="s">
        <v>26</v>
      </c>
      <c r="D1224" s="83" t="s">
        <v>27</v>
      </c>
      <c r="E1224" s="46" t="s">
        <v>1080</v>
      </c>
      <c r="F1224" s="46" t="s">
        <v>1077</v>
      </c>
      <c r="G1224" s="46" t="s">
        <v>904</v>
      </c>
      <c r="H1224" s="46" t="s">
        <v>1433</v>
      </c>
      <c r="I1224" s="46" t="s">
        <v>905</v>
      </c>
      <c r="J1224" s="83">
        <v>46093</v>
      </c>
      <c r="K1224" s="5" t="s">
        <v>1313</v>
      </c>
      <c r="L1224" s="84" t="s">
        <v>907</v>
      </c>
      <c r="M1224" s="83" t="str">
        <f>VLOOKUP(K1224,[4]在职!$A:$B,2,0)</f>
        <v>01671</v>
      </c>
      <c r="N1224" s="83" t="str">
        <f>VLOOKUP(K1224,[4]在职!$A:$G,7,0)</f>
        <v>河北销售部</v>
      </c>
      <c r="O1224" s="83" t="str">
        <f>VLOOKUP(K1224,[4]在职!$A:$I,9,0)</f>
        <v>一星销售顾问</v>
      </c>
      <c r="P1224" s="83">
        <f>VLOOKUP(K1224,[4]在职!$A:$D,4,0)</f>
        <v>45890</v>
      </c>
      <c r="Q1224" s="102">
        <v>0</v>
      </c>
      <c r="R1224" s="102">
        <v>0</v>
      </c>
      <c r="S1224" s="104">
        <v>0</v>
      </c>
    </row>
    <row r="1225" ht="16.5" hidden="1" spans="1:19">
      <c r="A1225" s="46">
        <v>1225</v>
      </c>
      <c r="B1225" s="46" t="s">
        <v>45</v>
      </c>
      <c r="C1225" s="7" t="s">
        <v>26</v>
      </c>
      <c r="D1225" s="83" t="s">
        <v>27</v>
      </c>
      <c r="E1225" s="46" t="s">
        <v>1080</v>
      </c>
      <c r="F1225" s="46" t="s">
        <v>1077</v>
      </c>
      <c r="G1225" s="46" t="s">
        <v>904</v>
      </c>
      <c r="H1225" s="46" t="s">
        <v>1433</v>
      </c>
      <c r="I1225" s="46" t="s">
        <v>905</v>
      </c>
      <c r="J1225" s="83">
        <v>46093</v>
      </c>
      <c r="K1225" s="5" t="s">
        <v>1477</v>
      </c>
      <c r="L1225" s="84" t="s">
        <v>907</v>
      </c>
      <c r="M1225" s="83" t="str">
        <f>VLOOKUP(K1225,[4]在职!$A:$B,2,0)</f>
        <v>01530</v>
      </c>
      <c r="N1225" s="83" t="str">
        <f>VLOOKUP(K1225,[4]在职!$A:$G,7,0)</f>
        <v>河北销售部</v>
      </c>
      <c r="O1225" s="83" t="str">
        <f>VLOOKUP(K1225,[4]在职!$A:$I,9,0)</f>
        <v>一星销售顾问</v>
      </c>
      <c r="P1225" s="83">
        <f>VLOOKUP(K1225,[4]在职!$A:$D,4,0)</f>
        <v>45819</v>
      </c>
      <c r="Q1225" s="102">
        <v>0</v>
      </c>
      <c r="R1225" s="102">
        <v>0</v>
      </c>
      <c r="S1225" s="104">
        <v>0</v>
      </c>
    </row>
    <row r="1226" ht="16.5" hidden="1" spans="1:19">
      <c r="A1226" s="46">
        <v>1226</v>
      </c>
      <c r="B1226" s="46" t="s">
        <v>45</v>
      </c>
      <c r="C1226" s="7" t="s">
        <v>31</v>
      </c>
      <c r="D1226" s="83" t="s">
        <v>27</v>
      </c>
      <c r="E1226" s="46" t="s">
        <v>1080</v>
      </c>
      <c r="F1226" s="46" t="s">
        <v>1077</v>
      </c>
      <c r="G1226" s="46" t="s">
        <v>904</v>
      </c>
      <c r="H1226" s="46" t="s">
        <v>1433</v>
      </c>
      <c r="I1226" s="46" t="s">
        <v>905</v>
      </c>
      <c r="J1226" s="83">
        <v>46093</v>
      </c>
      <c r="K1226" s="5" t="s">
        <v>1478</v>
      </c>
      <c r="L1226" s="84" t="s">
        <v>907</v>
      </c>
      <c r="M1226" s="83" t="str">
        <f>VLOOKUP(K1226,[4]在职!$A:$B,2,0)</f>
        <v>01685</v>
      </c>
      <c r="N1226" s="83" t="str">
        <f>VLOOKUP(K1226,[4]在职!$A:$G,7,0)</f>
        <v>湖北2部</v>
      </c>
      <c r="O1226" s="83" t="str">
        <f>VLOOKUP(K1226,[4]在职!$A:$I,9,0)</f>
        <v>一星销售顾问</v>
      </c>
      <c r="P1226" s="83">
        <f>VLOOKUP(K1226,[4]在职!$A:$D,4,0)</f>
        <v>45905</v>
      </c>
      <c r="Q1226" s="102">
        <v>0</v>
      </c>
      <c r="R1226" s="102">
        <v>0</v>
      </c>
      <c r="S1226" s="104">
        <v>0</v>
      </c>
    </row>
    <row r="1227" ht="16.5" hidden="1" spans="1:19">
      <c r="A1227" s="46">
        <v>1227</v>
      </c>
      <c r="B1227" s="46" t="s">
        <v>45</v>
      </c>
      <c r="C1227" s="7" t="s">
        <v>38</v>
      </c>
      <c r="D1227" s="83" t="s">
        <v>27</v>
      </c>
      <c r="E1227" s="46" t="s">
        <v>1080</v>
      </c>
      <c r="F1227" s="46" t="s">
        <v>1077</v>
      </c>
      <c r="G1227" s="46" t="s">
        <v>904</v>
      </c>
      <c r="H1227" s="46" t="s">
        <v>1433</v>
      </c>
      <c r="I1227" s="46" t="s">
        <v>905</v>
      </c>
      <c r="J1227" s="83">
        <v>46093</v>
      </c>
      <c r="K1227" s="5" t="s">
        <v>952</v>
      </c>
      <c r="L1227" s="84" t="s">
        <v>907</v>
      </c>
      <c r="M1227" s="83" t="str">
        <f>VLOOKUP(K1227,[4]在职!$A:$B,2,0)</f>
        <v>01690</v>
      </c>
      <c r="N1227" s="83" t="str">
        <f>VLOOKUP(K1227,[4]在职!$A:$G,7,0)</f>
        <v>营业一部</v>
      </c>
      <c r="O1227" s="83" t="str">
        <f>VLOOKUP(K1227,[4]在职!$A:$I,9,0)</f>
        <v>一星销售顾问</v>
      </c>
      <c r="P1227" s="83">
        <f>VLOOKUP(K1227,[4]在职!$A:$D,4,0)</f>
        <v>45909</v>
      </c>
      <c r="Q1227" s="102">
        <v>0</v>
      </c>
      <c r="R1227" s="102">
        <v>0</v>
      </c>
      <c r="S1227" s="104">
        <v>0</v>
      </c>
    </row>
    <row r="1228" ht="16.5" hidden="1" spans="1:19">
      <c r="A1228" s="46">
        <v>1228</v>
      </c>
      <c r="B1228" s="46" t="s">
        <v>45</v>
      </c>
      <c r="C1228" s="7" t="s">
        <v>38</v>
      </c>
      <c r="D1228" s="83" t="s">
        <v>27</v>
      </c>
      <c r="E1228" s="46" t="s">
        <v>1080</v>
      </c>
      <c r="F1228" s="46" t="s">
        <v>1077</v>
      </c>
      <c r="G1228" s="46" t="s">
        <v>904</v>
      </c>
      <c r="H1228" s="46" t="s">
        <v>1433</v>
      </c>
      <c r="I1228" s="46" t="s">
        <v>905</v>
      </c>
      <c r="J1228" s="83">
        <v>46093</v>
      </c>
      <c r="K1228" s="5" t="s">
        <v>954</v>
      </c>
      <c r="L1228" s="84" t="s">
        <v>907</v>
      </c>
      <c r="M1228" s="83" t="str">
        <f>VLOOKUP(K1228,[4]在职!$A:$B,2,0)</f>
        <v>01307</v>
      </c>
      <c r="N1228" s="83" t="str">
        <f>VLOOKUP(K1228,[4]在职!$A:$G,7,0)</f>
        <v>营业一部</v>
      </c>
      <c r="O1228" s="83" t="str">
        <f>VLOOKUP(K1228,[4]在职!$A:$I,9,0)</f>
        <v>二星销售顾问</v>
      </c>
      <c r="P1228" s="83">
        <f>VLOOKUP(K1228,[4]在职!$A:$D,4,0)</f>
        <v>45701</v>
      </c>
      <c r="Q1228" s="102">
        <v>0</v>
      </c>
      <c r="R1228" s="102">
        <v>0</v>
      </c>
      <c r="S1228" s="104">
        <v>0</v>
      </c>
    </row>
    <row r="1229" ht="16.5" hidden="1" spans="1:19">
      <c r="A1229" s="46">
        <v>1229</v>
      </c>
      <c r="B1229" s="46" t="s">
        <v>45</v>
      </c>
      <c r="C1229" s="7" t="s">
        <v>38</v>
      </c>
      <c r="D1229" s="83" t="s">
        <v>27</v>
      </c>
      <c r="E1229" s="46" t="s">
        <v>1080</v>
      </c>
      <c r="F1229" s="46" t="s">
        <v>1077</v>
      </c>
      <c r="G1229" s="46" t="s">
        <v>904</v>
      </c>
      <c r="H1229" s="46" t="s">
        <v>1433</v>
      </c>
      <c r="I1229" s="46" t="s">
        <v>905</v>
      </c>
      <c r="J1229" s="83">
        <v>46093</v>
      </c>
      <c r="K1229" s="5" t="s">
        <v>1479</v>
      </c>
      <c r="L1229" s="84" t="s">
        <v>907</v>
      </c>
      <c r="M1229" s="83" t="str">
        <f>VLOOKUP(K1229,[4]在职!$A:$B,2,0)</f>
        <v>01440</v>
      </c>
      <c r="N1229" s="83" t="str">
        <f>VLOOKUP(K1229,[4]在职!$A:$G,7,0)</f>
        <v>营业三部</v>
      </c>
      <c r="O1229" s="83" t="str">
        <f>VLOOKUP(K1229,[4]在职!$A:$I,9,0)</f>
        <v>一星销售顾问</v>
      </c>
      <c r="P1229" s="83">
        <f>VLOOKUP(K1229,[4]在职!$A:$D,4,0)</f>
        <v>45764</v>
      </c>
      <c r="Q1229" s="102">
        <v>0</v>
      </c>
      <c r="R1229" s="102">
        <v>0</v>
      </c>
      <c r="S1229" s="104">
        <v>0</v>
      </c>
    </row>
    <row r="1230" ht="16.5" hidden="1" spans="1:19">
      <c r="A1230" s="46">
        <v>1230</v>
      </c>
      <c r="B1230" s="46" t="s">
        <v>45</v>
      </c>
      <c r="C1230" s="7" t="s">
        <v>38</v>
      </c>
      <c r="D1230" s="83" t="s">
        <v>27</v>
      </c>
      <c r="E1230" s="46" t="s">
        <v>1080</v>
      </c>
      <c r="F1230" s="46" t="s">
        <v>1077</v>
      </c>
      <c r="G1230" s="46" t="s">
        <v>904</v>
      </c>
      <c r="H1230" s="46" t="s">
        <v>1433</v>
      </c>
      <c r="I1230" s="46" t="s">
        <v>905</v>
      </c>
      <c r="J1230" s="83">
        <v>46093</v>
      </c>
      <c r="K1230" s="5" t="s">
        <v>964</v>
      </c>
      <c r="L1230" s="84" t="s">
        <v>907</v>
      </c>
      <c r="M1230" s="83" t="str">
        <f>VLOOKUP(K1230,[4]在职!$A:$B,2,0)</f>
        <v>01405</v>
      </c>
      <c r="N1230" s="83" t="str">
        <f>VLOOKUP(K1230,[4]在职!$A:$G,7,0)</f>
        <v>营业七部</v>
      </c>
      <c r="O1230" s="83" t="str">
        <f>VLOOKUP(K1230,[4]在职!$A:$I,9,0)</f>
        <v>一星销售顾问</v>
      </c>
      <c r="P1230" s="83">
        <f>VLOOKUP(K1230,[4]在职!$A:$D,4,0)</f>
        <v>45738</v>
      </c>
      <c r="Q1230" s="102">
        <v>0</v>
      </c>
      <c r="R1230" s="102">
        <v>0</v>
      </c>
      <c r="S1230" s="104">
        <v>0</v>
      </c>
    </row>
    <row r="1231" ht="16.5" hidden="1" spans="1:19">
      <c r="A1231" s="46">
        <v>1231</v>
      </c>
      <c r="B1231" s="46" t="s">
        <v>45</v>
      </c>
      <c r="C1231" s="7" t="s">
        <v>38</v>
      </c>
      <c r="D1231" s="83" t="s">
        <v>27</v>
      </c>
      <c r="E1231" s="46" t="s">
        <v>1080</v>
      </c>
      <c r="F1231" s="46" t="s">
        <v>1077</v>
      </c>
      <c r="G1231" s="46" t="s">
        <v>904</v>
      </c>
      <c r="H1231" s="46" t="s">
        <v>1433</v>
      </c>
      <c r="I1231" s="46" t="s">
        <v>905</v>
      </c>
      <c r="J1231" s="83">
        <v>46093</v>
      </c>
      <c r="K1231" s="5" t="s">
        <v>1480</v>
      </c>
      <c r="L1231" s="84" t="s">
        <v>907</v>
      </c>
      <c r="M1231" s="83" t="str">
        <f>VLOOKUP(K1231,[4]在职!$A:$B,2,0)</f>
        <v>01724</v>
      </c>
      <c r="N1231" s="83" t="str">
        <f>VLOOKUP(K1231,[4]在职!$A:$G,7,0)</f>
        <v>营业五部</v>
      </c>
      <c r="O1231" s="83" t="str">
        <f>VLOOKUP(K1231,[4]在职!$A:$I,9,0)</f>
        <v>一星销售顾问</v>
      </c>
      <c r="P1231" s="83">
        <f>VLOOKUP(K1231,[4]在职!$A:$D,4,0)</f>
        <v>45939</v>
      </c>
      <c r="Q1231" s="102">
        <v>0</v>
      </c>
      <c r="R1231" s="102">
        <v>0</v>
      </c>
      <c r="S1231" s="104">
        <v>0</v>
      </c>
    </row>
    <row r="1232" ht="16.5" hidden="1" spans="1:19">
      <c r="A1232" s="46">
        <v>1232</v>
      </c>
      <c r="B1232" s="46" t="s">
        <v>45</v>
      </c>
      <c r="C1232" s="7" t="s">
        <v>38</v>
      </c>
      <c r="D1232" s="83" t="s">
        <v>27</v>
      </c>
      <c r="E1232" s="46" t="s">
        <v>1080</v>
      </c>
      <c r="F1232" s="46" t="s">
        <v>1077</v>
      </c>
      <c r="G1232" s="46" t="s">
        <v>904</v>
      </c>
      <c r="H1232" s="46" t="s">
        <v>1433</v>
      </c>
      <c r="I1232" s="46" t="s">
        <v>905</v>
      </c>
      <c r="J1232" s="83">
        <v>46093</v>
      </c>
      <c r="K1232" s="5" t="s">
        <v>1481</v>
      </c>
      <c r="L1232" s="84" t="s">
        <v>907</v>
      </c>
      <c r="M1232" s="83" t="str">
        <f>VLOOKUP(K1232,[4]在职!$A:$B,2,0)</f>
        <v>01710</v>
      </c>
      <c r="N1232" s="83" t="str">
        <f>VLOOKUP(K1232,[4]在职!$A:$G,7,0)</f>
        <v>营业五部</v>
      </c>
      <c r="O1232" s="83" t="str">
        <f>VLOOKUP(K1232,[4]在职!$A:$I,9,0)</f>
        <v>一星销售顾问</v>
      </c>
      <c r="P1232" s="83">
        <f>VLOOKUP(K1232,[4]在职!$A:$D,4,0)</f>
        <v>45927</v>
      </c>
      <c r="Q1232" s="102">
        <v>0</v>
      </c>
      <c r="R1232" s="102">
        <v>0</v>
      </c>
      <c r="S1232" s="104">
        <v>0</v>
      </c>
    </row>
    <row r="1233" ht="16.5" hidden="1" spans="1:19">
      <c r="A1233" s="46">
        <v>1233</v>
      </c>
      <c r="B1233" s="46" t="s">
        <v>45</v>
      </c>
      <c r="C1233" s="7" t="s">
        <v>37</v>
      </c>
      <c r="D1233" s="83" t="s">
        <v>27</v>
      </c>
      <c r="E1233" s="46" t="s">
        <v>1080</v>
      </c>
      <c r="F1233" s="46" t="s">
        <v>1077</v>
      </c>
      <c r="G1233" s="46" t="s">
        <v>904</v>
      </c>
      <c r="H1233" s="46" t="s">
        <v>1433</v>
      </c>
      <c r="I1233" s="46" t="s">
        <v>905</v>
      </c>
      <c r="J1233" s="83">
        <v>46093</v>
      </c>
      <c r="K1233" s="5" t="s">
        <v>1482</v>
      </c>
      <c r="L1233" s="84" t="s">
        <v>907</v>
      </c>
      <c r="M1233" s="83" t="str">
        <f>VLOOKUP(K1233,[4]在职!$A:$B,2,0)</f>
        <v>01665</v>
      </c>
      <c r="N1233" s="83" t="str">
        <f>VLOOKUP(K1233,[4]在职!$A:$G,7,0)</f>
        <v>陕西1部</v>
      </c>
      <c r="O1233" s="83" t="str">
        <f>VLOOKUP(K1233,[4]在职!$A:$I,9,0)</f>
        <v>一星销售顾问</v>
      </c>
      <c r="P1233" s="83">
        <f>VLOOKUP(K1233,[4]在职!$A:$D,4,0)</f>
        <v>45887</v>
      </c>
      <c r="Q1233" s="102">
        <v>0</v>
      </c>
      <c r="R1233" s="102">
        <v>0</v>
      </c>
      <c r="S1233" s="104">
        <v>0</v>
      </c>
    </row>
    <row r="1234" ht="16.5" hidden="1" spans="1:19">
      <c r="A1234" s="46">
        <v>1234</v>
      </c>
      <c r="B1234" s="46" t="s">
        <v>45</v>
      </c>
      <c r="C1234" s="7" t="s">
        <v>37</v>
      </c>
      <c r="D1234" s="83" t="s">
        <v>27</v>
      </c>
      <c r="E1234" s="46" t="s">
        <v>1080</v>
      </c>
      <c r="F1234" s="46" t="s">
        <v>1077</v>
      </c>
      <c r="G1234" s="46" t="s">
        <v>904</v>
      </c>
      <c r="H1234" s="46" t="s">
        <v>1433</v>
      </c>
      <c r="I1234" s="46" t="s">
        <v>905</v>
      </c>
      <c r="J1234" s="83">
        <v>46093</v>
      </c>
      <c r="K1234" s="5" t="s">
        <v>1483</v>
      </c>
      <c r="L1234" s="84" t="s">
        <v>907</v>
      </c>
      <c r="M1234" s="83" t="str">
        <f>VLOOKUP(K1234,[4]在职!$A:$B,2,0)</f>
        <v>01656</v>
      </c>
      <c r="N1234" s="83" t="str">
        <f>VLOOKUP(K1234,[4]在职!$A:$G,7,0)</f>
        <v>陕西1部</v>
      </c>
      <c r="O1234" s="83" t="str">
        <f>VLOOKUP(K1234,[4]在职!$A:$I,9,0)</f>
        <v>一星销售顾问</v>
      </c>
      <c r="P1234" s="83">
        <f>VLOOKUP(K1234,[4]在职!$A:$D,4,0)</f>
        <v>45882</v>
      </c>
      <c r="Q1234" s="102">
        <v>0</v>
      </c>
      <c r="R1234" s="102">
        <v>0</v>
      </c>
      <c r="S1234" s="104">
        <v>0</v>
      </c>
    </row>
    <row r="1235" ht="16.5" hidden="1" spans="1:19">
      <c r="A1235" s="46">
        <v>1235</v>
      </c>
      <c r="B1235" s="46" t="s">
        <v>45</v>
      </c>
      <c r="C1235" s="7" t="s">
        <v>37</v>
      </c>
      <c r="D1235" s="83" t="s">
        <v>27</v>
      </c>
      <c r="E1235" s="46" t="s">
        <v>1080</v>
      </c>
      <c r="F1235" s="46" t="s">
        <v>1077</v>
      </c>
      <c r="G1235" s="46" t="s">
        <v>904</v>
      </c>
      <c r="H1235" s="46" t="s">
        <v>1433</v>
      </c>
      <c r="I1235" s="46" t="s">
        <v>905</v>
      </c>
      <c r="J1235" s="83">
        <v>46093</v>
      </c>
      <c r="K1235" s="5" t="s">
        <v>1484</v>
      </c>
      <c r="L1235" s="84" t="s">
        <v>907</v>
      </c>
      <c r="M1235" s="83" t="str">
        <f>VLOOKUP(K1235,[4]在职!$A:$B,2,0)</f>
        <v>01653</v>
      </c>
      <c r="N1235" s="83" t="str">
        <f>VLOOKUP(K1235,[4]在职!$A:$G,7,0)</f>
        <v>陕西1部</v>
      </c>
      <c r="O1235" s="83" t="str">
        <f>VLOOKUP(K1235,[4]在职!$A:$I,9,0)</f>
        <v>一星销售顾问</v>
      </c>
      <c r="P1235" s="83">
        <f>VLOOKUP(K1235,[4]在职!$A:$D,4,0)</f>
        <v>45881</v>
      </c>
      <c r="Q1235" s="102">
        <v>0</v>
      </c>
      <c r="R1235" s="102">
        <v>0</v>
      </c>
      <c r="S1235" s="104">
        <v>0</v>
      </c>
    </row>
    <row r="1236" ht="16.5" hidden="1" spans="1:19">
      <c r="A1236" s="46">
        <v>1236</v>
      </c>
      <c r="B1236" s="46" t="s">
        <v>45</v>
      </c>
      <c r="C1236" s="7" t="s">
        <v>38</v>
      </c>
      <c r="D1236" s="83" t="s">
        <v>27</v>
      </c>
      <c r="E1236" s="46" t="s">
        <v>1080</v>
      </c>
      <c r="F1236" s="46" t="s">
        <v>1077</v>
      </c>
      <c r="G1236" s="46" t="s">
        <v>904</v>
      </c>
      <c r="H1236" s="46" t="s">
        <v>1433</v>
      </c>
      <c r="I1236" s="46" t="s">
        <v>905</v>
      </c>
      <c r="J1236" s="83">
        <v>46093</v>
      </c>
      <c r="K1236" s="5" t="s">
        <v>1485</v>
      </c>
      <c r="L1236" s="84" t="s">
        <v>907</v>
      </c>
      <c r="M1236" s="83" t="str">
        <f>VLOOKUP(K1236,[4]在职!$A:$B,2,0)</f>
        <v>01740</v>
      </c>
      <c r="N1236" s="83" t="str">
        <f>VLOOKUP(K1236,[4]在职!$A:$G,7,0)</f>
        <v>营业三部</v>
      </c>
      <c r="O1236" s="83" t="str">
        <f>VLOOKUP(K1236,[4]在职!$A:$I,9,0)</f>
        <v>一星销售顾问</v>
      </c>
      <c r="P1236" s="83">
        <f>VLOOKUP(K1236,[4]在职!$A:$D,4,0)</f>
        <v>45947</v>
      </c>
      <c r="Q1236" s="102">
        <v>0</v>
      </c>
      <c r="R1236" s="102">
        <v>0</v>
      </c>
      <c r="S1236" s="104">
        <v>0</v>
      </c>
    </row>
    <row r="1237" ht="16.5" hidden="1" spans="1:19">
      <c r="A1237" s="46">
        <v>1237</v>
      </c>
      <c r="B1237" s="46" t="s">
        <v>45</v>
      </c>
      <c r="C1237" s="7" t="s">
        <v>38</v>
      </c>
      <c r="D1237" s="83" t="s">
        <v>27</v>
      </c>
      <c r="E1237" s="46" t="s">
        <v>1080</v>
      </c>
      <c r="F1237" s="46" t="s">
        <v>1077</v>
      </c>
      <c r="G1237" s="46" t="s">
        <v>904</v>
      </c>
      <c r="H1237" s="46" t="s">
        <v>1433</v>
      </c>
      <c r="I1237" s="46" t="s">
        <v>905</v>
      </c>
      <c r="J1237" s="83">
        <v>46093</v>
      </c>
      <c r="K1237" s="5" t="s">
        <v>1486</v>
      </c>
      <c r="L1237" s="84" t="s">
        <v>907</v>
      </c>
      <c r="M1237" s="83" t="str">
        <f>VLOOKUP(K1237,[4]在职!$A:$B,2,0)</f>
        <v>01729</v>
      </c>
      <c r="N1237" s="83" t="str">
        <f>VLOOKUP(K1237,[4]在职!$A:$G,7,0)</f>
        <v>营业三部</v>
      </c>
      <c r="O1237" s="83" t="str">
        <f>VLOOKUP(K1237,[4]在职!$A:$I,9,0)</f>
        <v>一星销售顾问</v>
      </c>
      <c r="P1237" s="83">
        <f>VLOOKUP(K1237,[4]在职!$A:$D,4,0)</f>
        <v>45945</v>
      </c>
      <c r="Q1237" s="102">
        <v>0</v>
      </c>
      <c r="R1237" s="102">
        <v>0</v>
      </c>
      <c r="S1237" s="104">
        <v>0</v>
      </c>
    </row>
    <row r="1238" ht="16.5" hidden="1" spans="1:19">
      <c r="A1238" s="46">
        <v>1239</v>
      </c>
      <c r="B1238" s="46" t="s">
        <v>45</v>
      </c>
      <c r="C1238" s="7" t="s">
        <v>37</v>
      </c>
      <c r="D1238" s="83" t="s">
        <v>27</v>
      </c>
      <c r="E1238" s="46" t="s">
        <v>1080</v>
      </c>
      <c r="F1238" s="46" t="s">
        <v>1077</v>
      </c>
      <c r="G1238" s="46" t="s">
        <v>904</v>
      </c>
      <c r="H1238" s="46" t="s">
        <v>1433</v>
      </c>
      <c r="I1238" s="46" t="s">
        <v>905</v>
      </c>
      <c r="J1238" s="83">
        <v>46093</v>
      </c>
      <c r="K1238" s="5" t="s">
        <v>1487</v>
      </c>
      <c r="L1238" s="84" t="s">
        <v>907</v>
      </c>
      <c r="M1238" s="83" t="str">
        <f>VLOOKUP(K1238,[4]在职!$A:$B,2,0)</f>
        <v>01770</v>
      </c>
      <c r="N1238" s="83" t="str">
        <f>VLOOKUP(K1238,[4]在职!$A:$G,7,0)</f>
        <v>陕西2部</v>
      </c>
      <c r="O1238" s="83" t="str">
        <f>VLOOKUP(K1238,[4]在职!$A:$I,9,0)</f>
        <v>一星销售顾问</v>
      </c>
      <c r="P1238" s="83">
        <f>VLOOKUP(K1238,[4]在职!$A:$D,4,0)</f>
        <v>45967</v>
      </c>
      <c r="Q1238" s="102">
        <v>0</v>
      </c>
      <c r="R1238" s="102">
        <v>0</v>
      </c>
      <c r="S1238" s="104">
        <v>0</v>
      </c>
    </row>
    <row r="1239" ht="16.5" hidden="1" spans="1:19">
      <c r="A1239" s="46">
        <v>1240</v>
      </c>
      <c r="B1239" s="46" t="s">
        <v>45</v>
      </c>
      <c r="C1239" s="7" t="s">
        <v>37</v>
      </c>
      <c r="D1239" s="83" t="s">
        <v>27</v>
      </c>
      <c r="E1239" s="46" t="s">
        <v>1080</v>
      </c>
      <c r="F1239" s="46" t="s">
        <v>1077</v>
      </c>
      <c r="G1239" s="46" t="s">
        <v>904</v>
      </c>
      <c r="H1239" s="46" t="s">
        <v>1433</v>
      </c>
      <c r="I1239" s="46" t="s">
        <v>905</v>
      </c>
      <c r="J1239" s="83">
        <v>46093</v>
      </c>
      <c r="K1239" s="5" t="s">
        <v>1488</v>
      </c>
      <c r="L1239" s="84" t="s">
        <v>907</v>
      </c>
      <c r="M1239" s="83" t="str">
        <f>VLOOKUP(K1239,[4]在职!$A:$B,2,0)</f>
        <v>01526</v>
      </c>
      <c r="N1239" s="83" t="str">
        <f>VLOOKUP(K1239,[4]在职!$A:$G,7,0)</f>
        <v>陕西2部</v>
      </c>
      <c r="O1239" s="83" t="str">
        <f>VLOOKUP(K1239,[4]在职!$A:$I,9,0)</f>
        <v>一星销售顾问</v>
      </c>
      <c r="P1239" s="83">
        <f>VLOOKUP(K1239,[4]在职!$A:$D,4,0)</f>
        <v>45817</v>
      </c>
      <c r="Q1239" s="102">
        <v>0</v>
      </c>
      <c r="R1239" s="102">
        <v>0</v>
      </c>
      <c r="S1239" s="104">
        <v>0</v>
      </c>
    </row>
    <row r="1240" ht="16.5" hidden="1" spans="1:19">
      <c r="A1240" s="46">
        <v>1241</v>
      </c>
      <c r="B1240" s="46" t="s">
        <v>45</v>
      </c>
      <c r="C1240" s="7" t="s">
        <v>38</v>
      </c>
      <c r="D1240" s="83" t="s">
        <v>27</v>
      </c>
      <c r="E1240" s="46" t="s">
        <v>1080</v>
      </c>
      <c r="F1240" s="46" t="s">
        <v>1077</v>
      </c>
      <c r="G1240" s="46" t="s">
        <v>904</v>
      </c>
      <c r="H1240" s="46" t="s">
        <v>1433</v>
      </c>
      <c r="I1240" s="46" t="s">
        <v>905</v>
      </c>
      <c r="J1240" s="83">
        <v>46093</v>
      </c>
      <c r="K1240" s="5" t="s">
        <v>1489</v>
      </c>
      <c r="L1240" s="84" t="s">
        <v>907</v>
      </c>
      <c r="M1240" s="83" t="str">
        <f>VLOOKUP(K1240,[4]在职!$A:$B,2,0)</f>
        <v>01704</v>
      </c>
      <c r="N1240" s="83" t="str">
        <f>VLOOKUP(K1240,[4]在职!$A:$G,7,0)</f>
        <v>营业六部</v>
      </c>
      <c r="O1240" s="83" t="str">
        <f>VLOOKUP(K1240,[4]在职!$A:$I,9,0)</f>
        <v>一星销售顾问</v>
      </c>
      <c r="P1240" s="83">
        <f>VLOOKUP(K1240,[4]在职!$A:$D,4,0)</f>
        <v>45920</v>
      </c>
      <c r="Q1240" s="102">
        <v>0</v>
      </c>
      <c r="R1240" s="102">
        <v>0</v>
      </c>
      <c r="S1240" s="104">
        <v>0</v>
      </c>
    </row>
    <row r="1241" ht="16.5" hidden="1" spans="1:19">
      <c r="A1241" s="46">
        <v>1242</v>
      </c>
      <c r="B1241" s="46" t="s">
        <v>45</v>
      </c>
      <c r="C1241" s="7" t="s">
        <v>38</v>
      </c>
      <c r="D1241" s="83" t="s">
        <v>27</v>
      </c>
      <c r="E1241" s="46" t="s">
        <v>1080</v>
      </c>
      <c r="F1241" s="46" t="s">
        <v>1077</v>
      </c>
      <c r="G1241" s="46" t="s">
        <v>904</v>
      </c>
      <c r="H1241" s="46" t="s">
        <v>1433</v>
      </c>
      <c r="I1241" s="46" t="s">
        <v>905</v>
      </c>
      <c r="J1241" s="83">
        <v>46093</v>
      </c>
      <c r="K1241" s="5" t="s">
        <v>1490</v>
      </c>
      <c r="L1241" s="84" t="s">
        <v>907</v>
      </c>
      <c r="M1241" s="83" t="str">
        <f>VLOOKUP(K1241,[4]在职!$A:$B,2,0)</f>
        <v>01699</v>
      </c>
      <c r="N1241" s="83" t="str">
        <f>VLOOKUP(K1241,[4]在职!$A:$G,7,0)</f>
        <v>营业六部</v>
      </c>
      <c r="O1241" s="83" t="str">
        <f>VLOOKUP(K1241,[4]在职!$A:$I,9,0)</f>
        <v>一星销售顾问</v>
      </c>
      <c r="P1241" s="83">
        <f>VLOOKUP(K1241,[4]在职!$A:$D,4,0)</f>
        <v>45918</v>
      </c>
      <c r="Q1241" s="102">
        <v>0</v>
      </c>
      <c r="R1241" s="102">
        <v>0</v>
      </c>
      <c r="S1241" s="104">
        <v>0</v>
      </c>
    </row>
    <row r="1242" ht="16.5" hidden="1" spans="1:19">
      <c r="A1242" s="46">
        <v>1243</v>
      </c>
      <c r="B1242" s="46" t="s">
        <v>45</v>
      </c>
      <c r="C1242" s="7" t="s">
        <v>38</v>
      </c>
      <c r="D1242" s="83" t="s">
        <v>27</v>
      </c>
      <c r="E1242" s="46" t="s">
        <v>1080</v>
      </c>
      <c r="F1242" s="46" t="s">
        <v>1077</v>
      </c>
      <c r="G1242" s="46" t="s">
        <v>904</v>
      </c>
      <c r="H1242" s="46" t="s">
        <v>1433</v>
      </c>
      <c r="I1242" s="46" t="s">
        <v>905</v>
      </c>
      <c r="J1242" s="83">
        <v>46093</v>
      </c>
      <c r="K1242" s="5" t="s">
        <v>994</v>
      </c>
      <c r="L1242" s="84" t="s">
        <v>907</v>
      </c>
      <c r="M1242" s="83" t="str">
        <f>VLOOKUP(K1242,[4]在职!$A:$B,2,0)</f>
        <v>01477</v>
      </c>
      <c r="N1242" s="83" t="str">
        <f>VLOOKUP(K1242,[4]在职!$A:$G,7,0)</f>
        <v>湖南销售部</v>
      </c>
      <c r="O1242" s="83" t="str">
        <f>VLOOKUP(K1242,[4]在职!$A:$I,9,0)</f>
        <v>二星销售顾问</v>
      </c>
      <c r="P1242" s="83">
        <f>VLOOKUP(K1242,[4]在职!$A:$D,4,0)</f>
        <v>45790</v>
      </c>
      <c r="Q1242" s="102">
        <v>0</v>
      </c>
      <c r="R1242" s="102">
        <v>0</v>
      </c>
      <c r="S1242" s="104">
        <v>0</v>
      </c>
    </row>
    <row r="1243" ht="16.5" hidden="1" spans="1:19">
      <c r="A1243" s="46">
        <v>1245</v>
      </c>
      <c r="B1243" s="46" t="s">
        <v>45</v>
      </c>
      <c r="C1243" s="7" t="s">
        <v>38</v>
      </c>
      <c r="D1243" s="83" t="s">
        <v>27</v>
      </c>
      <c r="E1243" s="46" t="s">
        <v>1080</v>
      </c>
      <c r="F1243" s="46" t="s">
        <v>1077</v>
      </c>
      <c r="G1243" s="46" t="s">
        <v>904</v>
      </c>
      <c r="H1243" s="46" t="s">
        <v>1433</v>
      </c>
      <c r="I1243" s="46" t="s">
        <v>905</v>
      </c>
      <c r="J1243" s="83">
        <v>46093</v>
      </c>
      <c r="K1243" s="5" t="s">
        <v>1491</v>
      </c>
      <c r="L1243" s="84" t="s">
        <v>907</v>
      </c>
      <c r="M1243" s="83" t="str">
        <f>VLOOKUP(K1243,[4]在职!$A:$B,2,0)</f>
        <v>01719</v>
      </c>
      <c r="N1243" s="83" t="str">
        <f>VLOOKUP(K1243,[4]在职!$A:$G,7,0)</f>
        <v>营业三部</v>
      </c>
      <c r="O1243" s="83" t="str">
        <f>VLOOKUP(K1243,[4]在职!$A:$I,9,0)</f>
        <v>一星销售顾问</v>
      </c>
      <c r="P1243" s="83">
        <f>VLOOKUP(K1243,[4]在职!$A:$D,4,0)</f>
        <v>45938</v>
      </c>
      <c r="Q1243" s="102">
        <v>0</v>
      </c>
      <c r="R1243" s="102">
        <v>0</v>
      </c>
      <c r="S1243" s="104">
        <v>0</v>
      </c>
    </row>
    <row r="1244" ht="16.5" hidden="1" spans="1:19">
      <c r="A1244" s="46">
        <v>1246</v>
      </c>
      <c r="B1244" s="46" t="s">
        <v>45</v>
      </c>
      <c r="C1244" s="7" t="s">
        <v>38</v>
      </c>
      <c r="D1244" s="83" t="s">
        <v>27</v>
      </c>
      <c r="E1244" s="46" t="s">
        <v>1080</v>
      </c>
      <c r="F1244" s="46" t="s">
        <v>1077</v>
      </c>
      <c r="G1244" s="46" t="s">
        <v>904</v>
      </c>
      <c r="H1244" s="46" t="s">
        <v>1433</v>
      </c>
      <c r="I1244" s="46" t="s">
        <v>905</v>
      </c>
      <c r="J1244" s="83">
        <v>46093</v>
      </c>
      <c r="K1244" s="5" t="s">
        <v>1020</v>
      </c>
      <c r="L1244" s="84" t="s">
        <v>907</v>
      </c>
      <c r="M1244" s="83" t="str">
        <f>VLOOKUP(K1244,[4]在职!$A:$B,2,0)</f>
        <v>01575</v>
      </c>
      <c r="N1244" s="83" t="str">
        <f>VLOOKUP(K1244,[4]在职!$A:$G,7,0)</f>
        <v>营业三部</v>
      </c>
      <c r="O1244" s="83" t="str">
        <f>VLOOKUP(K1244,[4]在职!$A:$I,9,0)</f>
        <v>一星销售顾问</v>
      </c>
      <c r="P1244" s="83">
        <f>VLOOKUP(K1244,[4]在职!$A:$D,4,0)</f>
        <v>45844</v>
      </c>
      <c r="Q1244" s="102">
        <v>0</v>
      </c>
      <c r="R1244" s="102">
        <v>0</v>
      </c>
      <c r="S1244" s="104">
        <v>0</v>
      </c>
    </row>
    <row r="1245" ht="16.5" hidden="1" spans="1:19">
      <c r="A1245" s="46">
        <v>1247</v>
      </c>
      <c r="B1245" s="46" t="s">
        <v>45</v>
      </c>
      <c r="C1245" s="7" t="s">
        <v>35</v>
      </c>
      <c r="D1245" s="83" t="s">
        <v>27</v>
      </c>
      <c r="E1245" s="46" t="s">
        <v>1080</v>
      </c>
      <c r="F1245" s="46" t="s">
        <v>1077</v>
      </c>
      <c r="G1245" s="46" t="s">
        <v>904</v>
      </c>
      <c r="H1245" s="46" t="s">
        <v>1433</v>
      </c>
      <c r="I1245" s="46" t="s">
        <v>905</v>
      </c>
      <c r="J1245" s="83">
        <v>46093</v>
      </c>
      <c r="K1245" s="5" t="s">
        <v>1492</v>
      </c>
      <c r="L1245" s="84" t="s">
        <v>907</v>
      </c>
      <c r="M1245" s="83" t="str">
        <f>VLOOKUP(K1245,[4]在职!$A:$B,2,0)</f>
        <v>01849</v>
      </c>
      <c r="N1245" s="83" t="str">
        <f>VLOOKUP(K1245,[4]在职!$A:$G,7,0)</f>
        <v>山东销售部</v>
      </c>
      <c r="O1245" s="83" t="str">
        <f>VLOOKUP(K1245,[4]在职!$A:$I,9,0)</f>
        <v>一星销售顾问</v>
      </c>
      <c r="P1245" s="83">
        <f>VLOOKUP(K1245,[4]在职!$A:$D,4,0)</f>
        <v>46003</v>
      </c>
      <c r="Q1245" s="102">
        <v>0</v>
      </c>
      <c r="R1245" s="102">
        <v>0</v>
      </c>
      <c r="S1245" s="104">
        <v>0</v>
      </c>
    </row>
    <row r="1246" ht="16.5" hidden="1" spans="1:19">
      <c r="A1246" s="46">
        <v>1248</v>
      </c>
      <c r="B1246" s="46" t="s">
        <v>45</v>
      </c>
      <c r="C1246" s="7" t="s">
        <v>35</v>
      </c>
      <c r="D1246" s="83" t="s">
        <v>27</v>
      </c>
      <c r="E1246" s="46" t="s">
        <v>1080</v>
      </c>
      <c r="F1246" s="46" t="s">
        <v>1077</v>
      </c>
      <c r="G1246" s="46" t="s">
        <v>904</v>
      </c>
      <c r="H1246" s="46" t="s">
        <v>1433</v>
      </c>
      <c r="I1246" s="46" t="s">
        <v>905</v>
      </c>
      <c r="J1246" s="83">
        <v>46093</v>
      </c>
      <c r="K1246" s="5" t="s">
        <v>1493</v>
      </c>
      <c r="L1246" s="84" t="s">
        <v>907</v>
      </c>
      <c r="M1246" s="83" t="str">
        <f>VLOOKUP(K1246,[4]在职!$A:$B,2,0)</f>
        <v>01705</v>
      </c>
      <c r="N1246" s="83" t="str">
        <f>VLOOKUP(K1246,[4]在职!$A:$G,7,0)</f>
        <v>山东销售部</v>
      </c>
      <c r="O1246" s="83" t="str">
        <f>VLOOKUP(K1246,[4]在职!$A:$I,9,0)</f>
        <v>一星销售顾问</v>
      </c>
      <c r="P1246" s="83">
        <f>VLOOKUP(K1246,[4]在职!$A:$D,4,0)</f>
        <v>45922</v>
      </c>
      <c r="Q1246" s="102">
        <v>0</v>
      </c>
      <c r="R1246" s="102">
        <v>0</v>
      </c>
      <c r="S1246" s="104">
        <v>0</v>
      </c>
    </row>
    <row r="1247" ht="16.5" hidden="1" spans="1:19">
      <c r="A1247" s="46">
        <v>1249</v>
      </c>
      <c r="B1247" s="46" t="s">
        <v>45</v>
      </c>
      <c r="C1247" s="7" t="s">
        <v>35</v>
      </c>
      <c r="D1247" s="83" t="s">
        <v>27</v>
      </c>
      <c r="E1247" s="46" t="s">
        <v>1080</v>
      </c>
      <c r="F1247" s="46" t="s">
        <v>1077</v>
      </c>
      <c r="G1247" s="46" t="s">
        <v>904</v>
      </c>
      <c r="H1247" s="46" t="s">
        <v>1433</v>
      </c>
      <c r="I1247" s="46" t="s">
        <v>905</v>
      </c>
      <c r="J1247" s="83">
        <v>46093</v>
      </c>
      <c r="K1247" s="5" t="s">
        <v>1494</v>
      </c>
      <c r="L1247" s="84" t="s">
        <v>907</v>
      </c>
      <c r="M1247" s="83" t="str">
        <f>VLOOKUP(K1247,[4]在职!$A:$B,2,0)</f>
        <v>01679</v>
      </c>
      <c r="N1247" s="83" t="str">
        <f>VLOOKUP(K1247,[4]在职!$A:$G,7,0)</f>
        <v>山东销售部</v>
      </c>
      <c r="O1247" s="83" t="str">
        <f>VLOOKUP(K1247,[4]在职!$A:$I,9,0)</f>
        <v>一星销售顾问</v>
      </c>
      <c r="P1247" s="83">
        <f>VLOOKUP(K1247,[4]在职!$A:$D,4,0)</f>
        <v>45900</v>
      </c>
      <c r="Q1247" s="102">
        <v>0</v>
      </c>
      <c r="R1247" s="102">
        <v>0</v>
      </c>
      <c r="S1247" s="104">
        <v>0</v>
      </c>
    </row>
    <row r="1248" ht="16.5" hidden="1" spans="1:19">
      <c r="A1248" s="46">
        <v>1250</v>
      </c>
      <c r="B1248" s="46" t="s">
        <v>45</v>
      </c>
      <c r="C1248" s="7" t="s">
        <v>38</v>
      </c>
      <c r="D1248" s="83" t="s">
        <v>27</v>
      </c>
      <c r="E1248" s="46" t="s">
        <v>1080</v>
      </c>
      <c r="F1248" s="46" t="s">
        <v>1077</v>
      </c>
      <c r="G1248" s="46" t="s">
        <v>904</v>
      </c>
      <c r="H1248" s="46" t="s">
        <v>1433</v>
      </c>
      <c r="I1248" s="46" t="s">
        <v>905</v>
      </c>
      <c r="J1248" s="83">
        <v>46093</v>
      </c>
      <c r="K1248" s="5" t="s">
        <v>1495</v>
      </c>
      <c r="L1248" s="84" t="s">
        <v>907</v>
      </c>
      <c r="M1248" s="83" t="str">
        <f>VLOOKUP(K1248,[4]在职!$A:$B,2,0)</f>
        <v>01652</v>
      </c>
      <c r="N1248" s="83" t="str">
        <f>VLOOKUP(K1248,[4]在职!$A:$G,7,0)</f>
        <v>营业五部</v>
      </c>
      <c r="O1248" s="83" t="str">
        <f>VLOOKUP(K1248,[4]在职!$A:$I,9,0)</f>
        <v>一星销售顾问</v>
      </c>
      <c r="P1248" s="83">
        <f>VLOOKUP(K1248,[4]在职!$A:$D,4,0)</f>
        <v>45878</v>
      </c>
      <c r="Q1248" s="102">
        <v>0</v>
      </c>
      <c r="R1248" s="102">
        <v>0</v>
      </c>
      <c r="S1248" s="104">
        <v>0</v>
      </c>
    </row>
    <row r="1249" ht="16.5" hidden="1" spans="1:19">
      <c r="A1249" s="46">
        <v>1251</v>
      </c>
      <c r="B1249" s="46" t="s">
        <v>45</v>
      </c>
      <c r="C1249" s="7" t="s">
        <v>38</v>
      </c>
      <c r="D1249" s="83" t="s">
        <v>27</v>
      </c>
      <c r="E1249" s="46" t="s">
        <v>1080</v>
      </c>
      <c r="F1249" s="46" t="s">
        <v>1077</v>
      </c>
      <c r="G1249" s="46" t="s">
        <v>904</v>
      </c>
      <c r="H1249" s="46" t="s">
        <v>1433</v>
      </c>
      <c r="I1249" s="46" t="s">
        <v>905</v>
      </c>
      <c r="J1249" s="83">
        <v>46093</v>
      </c>
      <c r="K1249" s="5" t="s">
        <v>1496</v>
      </c>
      <c r="L1249" s="84" t="s">
        <v>907</v>
      </c>
      <c r="M1249" s="83" t="str">
        <f>VLOOKUP(K1249,[4]在职!$A:$B,2,0)</f>
        <v>01557</v>
      </c>
      <c r="N1249" s="83" t="str">
        <f>VLOOKUP(K1249,[4]在职!$A:$G,7,0)</f>
        <v>营业五部</v>
      </c>
      <c r="O1249" s="83" t="str">
        <f>VLOOKUP(K1249,[4]在职!$A:$I,9,0)</f>
        <v>一星销售顾问</v>
      </c>
      <c r="P1249" s="83">
        <f>VLOOKUP(K1249,[4]在职!$A:$D,4,0)</f>
        <v>45836</v>
      </c>
      <c r="Q1249" s="102">
        <v>0</v>
      </c>
      <c r="R1249" s="102">
        <v>0</v>
      </c>
      <c r="S1249" s="104">
        <v>0</v>
      </c>
    </row>
    <row r="1250" ht="16.5" hidden="1" spans="1:19">
      <c r="A1250" s="46">
        <v>1253</v>
      </c>
      <c r="B1250" s="46" t="s">
        <v>45</v>
      </c>
      <c r="C1250" s="7" t="s">
        <v>38</v>
      </c>
      <c r="D1250" s="83" t="s">
        <v>27</v>
      </c>
      <c r="E1250" s="46" t="s">
        <v>1080</v>
      </c>
      <c r="F1250" s="46" t="s">
        <v>1077</v>
      </c>
      <c r="G1250" s="46" t="s">
        <v>904</v>
      </c>
      <c r="H1250" s="46" t="s">
        <v>1433</v>
      </c>
      <c r="I1250" s="46" t="s">
        <v>905</v>
      </c>
      <c r="J1250" s="83">
        <v>46093</v>
      </c>
      <c r="K1250" s="5" t="s">
        <v>1497</v>
      </c>
      <c r="L1250" s="84" t="s">
        <v>907</v>
      </c>
      <c r="M1250" s="83" t="str">
        <f>VLOOKUP(K1250,[4]在职!$A:$B,2,0)</f>
        <v>01739</v>
      </c>
      <c r="N1250" s="83" t="str">
        <f>VLOOKUP(K1250,[4]在职!$A:$G,7,0)</f>
        <v>营业六部</v>
      </c>
      <c r="O1250" s="83" t="str">
        <f>VLOOKUP(K1250,[4]在职!$A:$I,9,0)</f>
        <v>一星销售顾问</v>
      </c>
      <c r="P1250" s="83">
        <f>VLOOKUP(K1250,[4]在职!$A:$D,4,0)</f>
        <v>45944</v>
      </c>
      <c r="Q1250" s="102">
        <v>0</v>
      </c>
      <c r="R1250" s="102">
        <v>0</v>
      </c>
      <c r="S1250" s="104">
        <v>0</v>
      </c>
    </row>
    <row r="1251" ht="16.5" hidden="1" spans="1:19">
      <c r="A1251" s="46">
        <v>1254</v>
      </c>
      <c r="B1251" s="46" t="s">
        <v>45</v>
      </c>
      <c r="C1251" s="7" t="s">
        <v>38</v>
      </c>
      <c r="D1251" s="83" t="s">
        <v>27</v>
      </c>
      <c r="E1251" s="46" t="s">
        <v>1080</v>
      </c>
      <c r="F1251" s="46" t="s">
        <v>1077</v>
      </c>
      <c r="G1251" s="46" t="s">
        <v>904</v>
      </c>
      <c r="H1251" s="46" t="s">
        <v>1433</v>
      </c>
      <c r="I1251" s="46" t="s">
        <v>905</v>
      </c>
      <c r="J1251" s="83">
        <v>46093</v>
      </c>
      <c r="K1251" s="5" t="s">
        <v>1022</v>
      </c>
      <c r="L1251" s="84" t="s">
        <v>907</v>
      </c>
      <c r="M1251" s="83" t="str">
        <f>VLOOKUP(K1251,[4]在职!$A:$B,2,0)</f>
        <v>01579</v>
      </c>
      <c r="N1251" s="83" t="str">
        <f>VLOOKUP(K1251,[4]在职!$A:$G,7,0)</f>
        <v>营业六部</v>
      </c>
      <c r="O1251" s="83" t="str">
        <f>VLOOKUP(K1251,[4]在职!$A:$I,9,0)</f>
        <v>二星销售顾问</v>
      </c>
      <c r="P1251" s="83">
        <f>VLOOKUP(K1251,[4]在职!$A:$D,4,0)</f>
        <v>45844</v>
      </c>
      <c r="Q1251" s="102">
        <v>0</v>
      </c>
      <c r="R1251" s="102">
        <v>0</v>
      </c>
      <c r="S1251" s="104">
        <v>0</v>
      </c>
    </row>
    <row r="1252" ht="16.5" hidden="1" spans="1:19">
      <c r="A1252" s="46">
        <v>1255</v>
      </c>
      <c r="B1252" s="46" t="s">
        <v>45</v>
      </c>
      <c r="C1252" s="7" t="s">
        <v>38</v>
      </c>
      <c r="D1252" s="83" t="s">
        <v>27</v>
      </c>
      <c r="E1252" s="46" t="s">
        <v>1080</v>
      </c>
      <c r="F1252" s="46" t="s">
        <v>1077</v>
      </c>
      <c r="G1252" s="46" t="s">
        <v>904</v>
      </c>
      <c r="H1252" s="46" t="s">
        <v>1433</v>
      </c>
      <c r="I1252" s="46" t="s">
        <v>905</v>
      </c>
      <c r="J1252" s="83">
        <v>46093</v>
      </c>
      <c r="K1252" s="5" t="s">
        <v>1498</v>
      </c>
      <c r="L1252" s="84" t="s">
        <v>907</v>
      </c>
      <c r="M1252" s="83" t="str">
        <f>VLOOKUP(K1252,[4]在职!$A:$B,2,0)</f>
        <v>01274</v>
      </c>
      <c r="N1252" s="83" t="str">
        <f>VLOOKUP(K1252,[4]在职!$A:$G,7,0)</f>
        <v>营业六部</v>
      </c>
      <c r="O1252" s="83" t="str">
        <f>VLOOKUP(K1252,[4]在职!$A:$I,9,0)</f>
        <v>一星销售顾问</v>
      </c>
      <c r="P1252" s="83">
        <f>VLOOKUP(K1252,[4]在职!$A:$D,4,0)</f>
        <v>45989</v>
      </c>
      <c r="Q1252" s="102">
        <v>0</v>
      </c>
      <c r="R1252" s="102">
        <v>0</v>
      </c>
      <c r="S1252" s="104">
        <v>0</v>
      </c>
    </row>
    <row r="1253" ht="16.5" hidden="1" spans="1:19">
      <c r="A1253" s="46">
        <v>1256</v>
      </c>
      <c r="B1253" s="46" t="s">
        <v>45</v>
      </c>
      <c r="C1253" s="7" t="s">
        <v>38</v>
      </c>
      <c r="D1253" s="83" t="s">
        <v>27</v>
      </c>
      <c r="E1253" s="46" t="s">
        <v>1080</v>
      </c>
      <c r="F1253" s="46" t="s">
        <v>1077</v>
      </c>
      <c r="G1253" s="46" t="s">
        <v>904</v>
      </c>
      <c r="H1253" s="46" t="s">
        <v>1433</v>
      </c>
      <c r="I1253" s="46" t="s">
        <v>905</v>
      </c>
      <c r="J1253" s="83">
        <v>46093</v>
      </c>
      <c r="K1253" s="5" t="s">
        <v>1040</v>
      </c>
      <c r="L1253" s="84" t="s">
        <v>907</v>
      </c>
      <c r="M1253" s="83" t="str">
        <f>VLOOKUP(K1253,[4]在职!$A:$B,2,0)</f>
        <v>01660</v>
      </c>
      <c r="N1253" s="83" t="str">
        <f>VLOOKUP(K1253,[4]在职!$A:$G,7,0)</f>
        <v>营业六部</v>
      </c>
      <c r="O1253" s="83" t="str">
        <f>VLOOKUP(K1253,[4]在职!$A:$I,9,0)</f>
        <v>一星销售顾问</v>
      </c>
      <c r="P1253" s="83">
        <f>VLOOKUP(K1253,[4]在职!$A:$D,4,0)</f>
        <v>45883</v>
      </c>
      <c r="Q1253" s="102">
        <v>0</v>
      </c>
      <c r="R1253" s="102">
        <v>0</v>
      </c>
      <c r="S1253" s="104">
        <v>0</v>
      </c>
    </row>
    <row r="1254" ht="16.5" hidden="1" spans="1:19">
      <c r="A1254" s="46">
        <v>1257</v>
      </c>
      <c r="B1254" s="46" t="s">
        <v>45</v>
      </c>
      <c r="C1254" s="7" t="s">
        <v>38</v>
      </c>
      <c r="D1254" s="83" t="s">
        <v>27</v>
      </c>
      <c r="E1254" s="46" t="s">
        <v>1080</v>
      </c>
      <c r="F1254" s="46" t="s">
        <v>1077</v>
      </c>
      <c r="G1254" s="46" t="s">
        <v>904</v>
      </c>
      <c r="H1254" s="46" t="s">
        <v>1433</v>
      </c>
      <c r="I1254" s="46" t="s">
        <v>905</v>
      </c>
      <c r="J1254" s="83">
        <v>46093</v>
      </c>
      <c r="K1254" s="5" t="s">
        <v>1042</v>
      </c>
      <c r="L1254" s="84" t="s">
        <v>907</v>
      </c>
      <c r="M1254" s="83" t="str">
        <f>VLOOKUP(K1254,[4]在职!$A:$B,2,0)</f>
        <v>01615</v>
      </c>
      <c r="N1254" s="83" t="str">
        <f>VLOOKUP(K1254,[4]在职!$A:$G,7,0)</f>
        <v>营业六部</v>
      </c>
      <c r="O1254" s="83" t="str">
        <f>VLOOKUP(K1254,[4]在职!$A:$I,9,0)</f>
        <v>一星销售顾问</v>
      </c>
      <c r="P1254" s="83">
        <f>VLOOKUP(K1254,[4]在职!$A:$D,4,0)</f>
        <v>45864</v>
      </c>
      <c r="Q1254" s="102">
        <v>0</v>
      </c>
      <c r="R1254" s="102">
        <v>0</v>
      </c>
      <c r="S1254" s="104">
        <v>0</v>
      </c>
    </row>
    <row r="1255" ht="16.5" hidden="1" spans="1:19">
      <c r="A1255" s="46">
        <v>1258</v>
      </c>
      <c r="B1255" s="46" t="s">
        <v>45</v>
      </c>
      <c r="C1255" s="7" t="s">
        <v>37</v>
      </c>
      <c r="D1255" s="83" t="s">
        <v>27</v>
      </c>
      <c r="E1255" s="46" t="s">
        <v>1080</v>
      </c>
      <c r="F1255" s="46" t="s">
        <v>1077</v>
      </c>
      <c r="G1255" s="46" t="s">
        <v>904</v>
      </c>
      <c r="H1255" s="46" t="s">
        <v>1433</v>
      </c>
      <c r="I1255" s="46" t="s">
        <v>905</v>
      </c>
      <c r="J1255" s="83">
        <v>46093</v>
      </c>
      <c r="K1255" s="5" t="s">
        <v>1499</v>
      </c>
      <c r="L1255" s="84" t="s">
        <v>907</v>
      </c>
      <c r="M1255" s="83" t="str">
        <f>VLOOKUP(K1255,[4]在职!$A:$B,2,0)</f>
        <v>01589</v>
      </c>
      <c r="N1255" s="83" t="str">
        <f>VLOOKUP(K1255,[4]在职!$A:$G,7,0)</f>
        <v>陕西1部</v>
      </c>
      <c r="O1255" s="83" t="str">
        <f>VLOOKUP(K1255,[4]在职!$A:$I,9,0)</f>
        <v>一星销售顾问</v>
      </c>
      <c r="P1255" s="83">
        <f>VLOOKUP(K1255,[4]在职!$A:$D,4,0)</f>
        <v>45843</v>
      </c>
      <c r="Q1255" s="102">
        <v>0</v>
      </c>
      <c r="R1255" s="102">
        <v>0</v>
      </c>
      <c r="S1255" s="104">
        <v>0</v>
      </c>
    </row>
    <row r="1256" ht="16.5" hidden="1" spans="1:19">
      <c r="A1256" s="46">
        <v>1259</v>
      </c>
      <c r="B1256" s="46" t="s">
        <v>45</v>
      </c>
      <c r="C1256" s="7" t="s">
        <v>38</v>
      </c>
      <c r="D1256" s="83" t="s">
        <v>27</v>
      </c>
      <c r="E1256" s="46" t="s">
        <v>1080</v>
      </c>
      <c r="F1256" s="46" t="s">
        <v>1077</v>
      </c>
      <c r="G1256" s="46" t="s">
        <v>904</v>
      </c>
      <c r="H1256" s="46" t="s">
        <v>1433</v>
      </c>
      <c r="I1256" s="46" t="s">
        <v>905</v>
      </c>
      <c r="J1256" s="83">
        <v>46093</v>
      </c>
      <c r="K1256" s="5" t="s">
        <v>1500</v>
      </c>
      <c r="L1256" s="84" t="s">
        <v>907</v>
      </c>
      <c r="M1256" s="83" t="str">
        <f>VLOOKUP(K1256,[4]在职!$A:$B,2,0)</f>
        <v>01785</v>
      </c>
      <c r="N1256" s="83" t="str">
        <f>VLOOKUP(K1256,[4]在职!$A:$G,7,0)</f>
        <v>营业二部</v>
      </c>
      <c r="O1256" s="83" t="str">
        <f>VLOOKUP(K1256,[4]在职!$A:$I,9,0)</f>
        <v>一星销售顾问</v>
      </c>
      <c r="P1256" s="83">
        <f>VLOOKUP(K1256,[4]在职!$A:$D,4,0)</f>
        <v>45971</v>
      </c>
      <c r="Q1256" s="102">
        <v>0</v>
      </c>
      <c r="R1256" s="102">
        <v>0</v>
      </c>
      <c r="S1256" s="104">
        <v>0</v>
      </c>
    </row>
    <row r="1257" ht="16.5" hidden="1" spans="1:19">
      <c r="A1257" s="46">
        <v>1260</v>
      </c>
      <c r="B1257" s="46" t="s">
        <v>45</v>
      </c>
      <c r="C1257" s="7" t="s">
        <v>38</v>
      </c>
      <c r="D1257" s="83" t="s">
        <v>27</v>
      </c>
      <c r="E1257" s="46" t="s">
        <v>1080</v>
      </c>
      <c r="F1257" s="46" t="s">
        <v>1077</v>
      </c>
      <c r="G1257" s="46" t="s">
        <v>904</v>
      </c>
      <c r="H1257" s="46" t="s">
        <v>1433</v>
      </c>
      <c r="I1257" s="46" t="s">
        <v>905</v>
      </c>
      <c r="J1257" s="83">
        <v>46093</v>
      </c>
      <c r="K1257" s="5" t="s">
        <v>1064</v>
      </c>
      <c r="L1257" s="84" t="s">
        <v>907</v>
      </c>
      <c r="M1257" s="83" t="str">
        <f>VLOOKUP(K1257,[4]在职!$A:$B,2,0)</f>
        <v>00569</v>
      </c>
      <c r="N1257" s="83" t="str">
        <f>VLOOKUP(K1257,[4]在职!$A:$G,7,0)</f>
        <v>营业二部</v>
      </c>
      <c r="O1257" s="83" t="str">
        <f>VLOOKUP(K1257,[4]在职!$A:$I,9,0)</f>
        <v>二星销售顾问</v>
      </c>
      <c r="P1257" s="83">
        <f>VLOOKUP(K1257,[4]在职!$A:$D,4,0)</f>
        <v>45849</v>
      </c>
      <c r="Q1257" s="102">
        <v>0</v>
      </c>
      <c r="R1257" s="102">
        <v>0</v>
      </c>
      <c r="S1257" s="104">
        <v>0</v>
      </c>
    </row>
    <row r="1258" ht="16.5" hidden="1" spans="1:19">
      <c r="A1258" s="46">
        <v>1261</v>
      </c>
      <c r="B1258" s="46" t="s">
        <v>45</v>
      </c>
      <c r="C1258" s="7" t="s">
        <v>38</v>
      </c>
      <c r="D1258" s="83" t="s">
        <v>27</v>
      </c>
      <c r="E1258" s="46" t="s">
        <v>1080</v>
      </c>
      <c r="F1258" s="46" t="s">
        <v>1077</v>
      </c>
      <c r="G1258" s="46" t="s">
        <v>904</v>
      </c>
      <c r="H1258" s="46" t="s">
        <v>1433</v>
      </c>
      <c r="I1258" s="46" t="s">
        <v>905</v>
      </c>
      <c r="J1258" s="83">
        <v>46093</v>
      </c>
      <c r="K1258" s="5" t="s">
        <v>1501</v>
      </c>
      <c r="L1258" s="84" t="s">
        <v>907</v>
      </c>
      <c r="M1258" s="83" t="str">
        <f>VLOOKUP(K1258,[4]在职!$A:$B,2,0)</f>
        <v>01540</v>
      </c>
      <c r="N1258" s="83" t="str">
        <f>VLOOKUP(K1258,[4]在职!$A:$G,7,0)</f>
        <v>营业三部</v>
      </c>
      <c r="O1258" s="83" t="str">
        <f>VLOOKUP(K1258,[4]在职!$A:$I,9,0)</f>
        <v>一星销售顾问</v>
      </c>
      <c r="P1258" s="83">
        <f>VLOOKUP(K1258,[4]在职!$A:$D,4,0)</f>
        <v>45821</v>
      </c>
      <c r="Q1258" s="102">
        <v>0</v>
      </c>
      <c r="R1258" s="102">
        <v>0</v>
      </c>
      <c r="S1258" s="104">
        <v>0</v>
      </c>
    </row>
    <row r="1259" ht="16.5" hidden="1" spans="1:19">
      <c r="A1259" s="46">
        <v>1262</v>
      </c>
      <c r="B1259" s="46" t="s">
        <v>45</v>
      </c>
      <c r="C1259" s="7" t="s">
        <v>29</v>
      </c>
      <c r="D1259" s="83" t="s">
        <v>27</v>
      </c>
      <c r="E1259" s="46" t="s">
        <v>1080</v>
      </c>
      <c r="F1259" s="46" t="s">
        <v>1077</v>
      </c>
      <c r="G1259" s="46" t="s">
        <v>904</v>
      </c>
      <c r="H1259" s="46" t="s">
        <v>1433</v>
      </c>
      <c r="I1259" s="46" t="s">
        <v>905</v>
      </c>
      <c r="J1259" s="83">
        <v>46093</v>
      </c>
      <c r="K1259" s="5" t="s">
        <v>1502</v>
      </c>
      <c r="L1259" s="84" t="s">
        <v>907</v>
      </c>
      <c r="M1259" s="83" t="str">
        <f>VLOOKUP(K1259,[4]在职!$A:$B,2,0)</f>
        <v>01529</v>
      </c>
      <c r="N1259" s="83" t="str">
        <f>VLOOKUP(K1259,[4]在职!$A:$G,7,0)</f>
        <v>河南销售部</v>
      </c>
      <c r="O1259" s="83" t="str">
        <f>VLOOKUP(K1259,[4]在职!$A:$I,9,0)</f>
        <v>一星销售顾问</v>
      </c>
      <c r="P1259" s="83">
        <f>VLOOKUP(K1259,[4]在职!$A:$D,4,0)</f>
        <v>45822</v>
      </c>
      <c r="Q1259" s="102">
        <v>0</v>
      </c>
      <c r="R1259" s="102">
        <v>0</v>
      </c>
      <c r="S1259" s="104">
        <v>0</v>
      </c>
    </row>
    <row r="1260" ht="16.5" hidden="1" spans="1:19">
      <c r="A1260" s="46">
        <v>1263</v>
      </c>
      <c r="B1260" s="46" t="s">
        <v>45</v>
      </c>
      <c r="C1260" s="7" t="s">
        <v>38</v>
      </c>
      <c r="D1260" s="83" t="s">
        <v>27</v>
      </c>
      <c r="E1260" s="46" t="s">
        <v>1080</v>
      </c>
      <c r="F1260" s="46" t="s">
        <v>1077</v>
      </c>
      <c r="G1260" s="46" t="s">
        <v>904</v>
      </c>
      <c r="H1260" s="46" t="s">
        <v>1433</v>
      </c>
      <c r="I1260" s="46" t="s">
        <v>905</v>
      </c>
      <c r="J1260" s="83">
        <v>46093</v>
      </c>
      <c r="K1260" s="5" t="s">
        <v>1503</v>
      </c>
      <c r="L1260" s="84" t="s">
        <v>907</v>
      </c>
      <c r="M1260" s="83" t="str">
        <f>VLOOKUP(K1260,[4]在职!$A:$B,2,0)</f>
        <v>01560</v>
      </c>
      <c r="N1260" s="83" t="str">
        <f>VLOOKUP(K1260,[4]在职!$A:$G,7,0)</f>
        <v>营业五部</v>
      </c>
      <c r="O1260" s="83" t="str">
        <f>VLOOKUP(K1260,[4]在职!$A:$I,9,0)</f>
        <v>一星销售顾问</v>
      </c>
      <c r="P1260" s="83">
        <f>VLOOKUP(K1260,[4]在职!$A:$D,4,0)</f>
        <v>45838</v>
      </c>
      <c r="Q1260" s="102">
        <v>0</v>
      </c>
      <c r="R1260" s="102">
        <v>0</v>
      </c>
      <c r="S1260" s="104">
        <v>0</v>
      </c>
    </row>
    <row r="1261" ht="16.5" hidden="1" spans="1:19">
      <c r="A1261" s="46">
        <v>1264</v>
      </c>
      <c r="B1261" s="46" t="s">
        <v>45</v>
      </c>
      <c r="C1261" s="7" t="s">
        <v>38</v>
      </c>
      <c r="D1261" s="46" t="s">
        <v>27</v>
      </c>
      <c r="E1261" s="46" t="s">
        <v>902</v>
      </c>
      <c r="F1261" s="46" t="s">
        <v>903</v>
      </c>
      <c r="G1261" s="46" t="s">
        <v>904</v>
      </c>
      <c r="H1261" s="46" t="s">
        <v>1433</v>
      </c>
      <c r="I1261" s="46" t="s">
        <v>905</v>
      </c>
      <c r="J1261" s="83">
        <v>46093</v>
      </c>
      <c r="K1261" s="5" t="s">
        <v>1321</v>
      </c>
      <c r="L1261" s="84" t="s">
        <v>907</v>
      </c>
      <c r="M1261" s="83" t="str">
        <f>VLOOKUP(K1261,[4]在职!$A:$B,2,0)</f>
        <v>01821</v>
      </c>
      <c r="N1261" s="83" t="str">
        <f>VLOOKUP(K1261,[4]在职!$A:$G,7,0)</f>
        <v>营业一部</v>
      </c>
      <c r="O1261" s="83" t="str">
        <f>VLOOKUP(K1261,[4]在职!$A:$I,9,0)</f>
        <v>一星销售顾问</v>
      </c>
      <c r="P1261" s="83">
        <f>VLOOKUP(K1261,[4]在职!$A:$D,4,0)</f>
        <v>45992</v>
      </c>
      <c r="Q1261" s="102">
        <v>0</v>
      </c>
      <c r="R1261" s="102">
        <v>0</v>
      </c>
      <c r="S1261" s="104">
        <v>0</v>
      </c>
    </row>
    <row r="1262" ht="16.5" hidden="1" spans="1:19">
      <c r="A1262" s="46">
        <v>1265</v>
      </c>
      <c r="B1262" s="46" t="s">
        <v>45</v>
      </c>
      <c r="C1262" s="7" t="s">
        <v>26</v>
      </c>
      <c r="D1262" s="46" t="s">
        <v>27</v>
      </c>
      <c r="E1262" s="46" t="s">
        <v>902</v>
      </c>
      <c r="F1262" s="46" t="s">
        <v>903</v>
      </c>
      <c r="G1262" s="46" t="s">
        <v>904</v>
      </c>
      <c r="H1262" s="46" t="s">
        <v>1433</v>
      </c>
      <c r="I1262" s="46" t="s">
        <v>905</v>
      </c>
      <c r="J1262" s="83">
        <v>46093</v>
      </c>
      <c r="K1262" s="5" t="s">
        <v>1313</v>
      </c>
      <c r="L1262" s="84" t="s">
        <v>907</v>
      </c>
      <c r="M1262" s="83" t="str">
        <f>VLOOKUP(K1262,[4]在职!$A:$B,2,0)</f>
        <v>01671</v>
      </c>
      <c r="N1262" s="83" t="str">
        <f>VLOOKUP(K1262,[4]在职!$A:$G,7,0)</f>
        <v>河北销售部</v>
      </c>
      <c r="O1262" s="83" t="str">
        <f>VLOOKUP(K1262,[4]在职!$A:$I,9,0)</f>
        <v>一星销售顾问</v>
      </c>
      <c r="P1262" s="83">
        <f>VLOOKUP(K1262,[4]在职!$A:$D,4,0)</f>
        <v>45890</v>
      </c>
      <c r="Q1262" s="102">
        <v>0</v>
      </c>
      <c r="R1262" s="102">
        <v>0</v>
      </c>
      <c r="S1262" s="104">
        <v>0</v>
      </c>
    </row>
    <row r="1263" ht="16.5" hidden="1" spans="1:19">
      <c r="A1263" s="46">
        <v>1266</v>
      </c>
      <c r="B1263" s="46" t="s">
        <v>45</v>
      </c>
      <c r="C1263" s="7" t="s">
        <v>26</v>
      </c>
      <c r="D1263" s="46" t="s">
        <v>27</v>
      </c>
      <c r="E1263" s="46" t="s">
        <v>902</v>
      </c>
      <c r="F1263" s="46" t="s">
        <v>903</v>
      </c>
      <c r="G1263" s="46" t="s">
        <v>904</v>
      </c>
      <c r="H1263" s="46" t="s">
        <v>1433</v>
      </c>
      <c r="I1263" s="46" t="s">
        <v>905</v>
      </c>
      <c r="J1263" s="83">
        <v>46093</v>
      </c>
      <c r="K1263" s="5" t="s">
        <v>1477</v>
      </c>
      <c r="L1263" s="84" t="s">
        <v>907</v>
      </c>
      <c r="M1263" s="83" t="str">
        <f>VLOOKUP(K1263,[4]在职!$A:$B,2,0)</f>
        <v>01530</v>
      </c>
      <c r="N1263" s="83" t="str">
        <f>VLOOKUP(K1263,[4]在职!$A:$G,7,0)</f>
        <v>河北销售部</v>
      </c>
      <c r="O1263" s="83" t="str">
        <f>VLOOKUP(K1263,[4]在职!$A:$I,9,0)</f>
        <v>一星销售顾问</v>
      </c>
      <c r="P1263" s="83">
        <f>VLOOKUP(K1263,[4]在职!$A:$D,4,0)</f>
        <v>45819</v>
      </c>
      <c r="Q1263" s="102">
        <v>0</v>
      </c>
      <c r="R1263" s="102">
        <v>0</v>
      </c>
      <c r="S1263" s="104">
        <v>0</v>
      </c>
    </row>
    <row r="1264" ht="16.5" hidden="1" spans="1:19">
      <c r="A1264" s="46">
        <v>1267</v>
      </c>
      <c r="B1264" s="46" t="s">
        <v>45</v>
      </c>
      <c r="C1264" s="7" t="s">
        <v>31</v>
      </c>
      <c r="D1264" s="46" t="s">
        <v>27</v>
      </c>
      <c r="E1264" s="46" t="s">
        <v>902</v>
      </c>
      <c r="F1264" s="46" t="s">
        <v>903</v>
      </c>
      <c r="G1264" s="46" t="s">
        <v>904</v>
      </c>
      <c r="H1264" s="46" t="s">
        <v>1433</v>
      </c>
      <c r="I1264" s="46" t="s">
        <v>905</v>
      </c>
      <c r="J1264" s="83">
        <v>46093</v>
      </c>
      <c r="K1264" s="5" t="s">
        <v>1478</v>
      </c>
      <c r="L1264" s="84" t="s">
        <v>907</v>
      </c>
      <c r="M1264" s="83" t="str">
        <f>VLOOKUP(K1264,[4]在职!$A:$B,2,0)</f>
        <v>01685</v>
      </c>
      <c r="N1264" s="83" t="str">
        <f>VLOOKUP(K1264,[4]在职!$A:$G,7,0)</f>
        <v>湖北2部</v>
      </c>
      <c r="O1264" s="83" t="str">
        <f>VLOOKUP(K1264,[4]在职!$A:$I,9,0)</f>
        <v>一星销售顾问</v>
      </c>
      <c r="P1264" s="83">
        <f>VLOOKUP(K1264,[4]在职!$A:$D,4,0)</f>
        <v>45905</v>
      </c>
      <c r="Q1264" s="102">
        <v>0</v>
      </c>
      <c r="R1264" s="102">
        <v>0</v>
      </c>
      <c r="S1264" s="104">
        <v>0</v>
      </c>
    </row>
    <row r="1265" ht="16.5" hidden="1" spans="1:19">
      <c r="A1265" s="46">
        <v>1268</v>
      </c>
      <c r="B1265" s="46" t="s">
        <v>45</v>
      </c>
      <c r="C1265" s="7" t="s">
        <v>38</v>
      </c>
      <c r="D1265" s="46" t="s">
        <v>27</v>
      </c>
      <c r="E1265" s="46" t="s">
        <v>902</v>
      </c>
      <c r="F1265" s="46" t="s">
        <v>903</v>
      </c>
      <c r="G1265" s="46" t="s">
        <v>904</v>
      </c>
      <c r="H1265" s="46" t="s">
        <v>1433</v>
      </c>
      <c r="I1265" s="46" t="s">
        <v>905</v>
      </c>
      <c r="J1265" s="83">
        <v>46093</v>
      </c>
      <c r="K1265" s="5" t="s">
        <v>952</v>
      </c>
      <c r="L1265" s="84" t="s">
        <v>907</v>
      </c>
      <c r="M1265" s="83" t="str">
        <f>VLOOKUP(K1265,[4]在职!$A:$B,2,0)</f>
        <v>01690</v>
      </c>
      <c r="N1265" s="83" t="str">
        <f>VLOOKUP(K1265,[4]在职!$A:$G,7,0)</f>
        <v>营业一部</v>
      </c>
      <c r="O1265" s="83" t="str">
        <f>VLOOKUP(K1265,[4]在职!$A:$I,9,0)</f>
        <v>一星销售顾问</v>
      </c>
      <c r="P1265" s="83">
        <f>VLOOKUP(K1265,[4]在职!$A:$D,4,0)</f>
        <v>45909</v>
      </c>
      <c r="Q1265" s="102">
        <v>0</v>
      </c>
      <c r="R1265" s="102">
        <v>0</v>
      </c>
      <c r="S1265" s="104">
        <v>0</v>
      </c>
    </row>
    <row r="1266" ht="16.5" hidden="1" spans="1:19">
      <c r="A1266" s="46">
        <v>1269</v>
      </c>
      <c r="B1266" s="46" t="s">
        <v>45</v>
      </c>
      <c r="C1266" s="7" t="s">
        <v>38</v>
      </c>
      <c r="D1266" s="46" t="s">
        <v>27</v>
      </c>
      <c r="E1266" s="46" t="s">
        <v>902</v>
      </c>
      <c r="F1266" s="46" t="s">
        <v>903</v>
      </c>
      <c r="G1266" s="46" t="s">
        <v>904</v>
      </c>
      <c r="H1266" s="46" t="s">
        <v>1433</v>
      </c>
      <c r="I1266" s="46" t="s">
        <v>905</v>
      </c>
      <c r="J1266" s="83">
        <v>46093</v>
      </c>
      <c r="K1266" s="5" t="s">
        <v>954</v>
      </c>
      <c r="L1266" s="84" t="s">
        <v>907</v>
      </c>
      <c r="M1266" s="83" t="str">
        <f>VLOOKUP(K1266,[4]在职!$A:$B,2,0)</f>
        <v>01307</v>
      </c>
      <c r="N1266" s="83" t="str">
        <f>VLOOKUP(K1266,[4]在职!$A:$G,7,0)</f>
        <v>营业一部</v>
      </c>
      <c r="O1266" s="83" t="str">
        <f>VLOOKUP(K1266,[4]在职!$A:$I,9,0)</f>
        <v>二星销售顾问</v>
      </c>
      <c r="P1266" s="83">
        <f>VLOOKUP(K1266,[4]在职!$A:$D,4,0)</f>
        <v>45701</v>
      </c>
      <c r="Q1266" s="102">
        <v>0</v>
      </c>
      <c r="R1266" s="102">
        <v>0</v>
      </c>
      <c r="S1266" s="104">
        <v>0</v>
      </c>
    </row>
    <row r="1267" ht="16.5" hidden="1" spans="1:19">
      <c r="A1267" s="46">
        <v>1270</v>
      </c>
      <c r="B1267" s="46" t="s">
        <v>45</v>
      </c>
      <c r="C1267" s="7" t="s">
        <v>38</v>
      </c>
      <c r="D1267" s="46" t="s">
        <v>27</v>
      </c>
      <c r="E1267" s="46" t="s">
        <v>902</v>
      </c>
      <c r="F1267" s="46" t="s">
        <v>903</v>
      </c>
      <c r="G1267" s="46" t="s">
        <v>904</v>
      </c>
      <c r="H1267" s="46" t="s">
        <v>1433</v>
      </c>
      <c r="I1267" s="46" t="s">
        <v>905</v>
      </c>
      <c r="J1267" s="83">
        <v>46093</v>
      </c>
      <c r="K1267" s="5" t="s">
        <v>1479</v>
      </c>
      <c r="L1267" s="84" t="s">
        <v>907</v>
      </c>
      <c r="M1267" s="83" t="str">
        <f>VLOOKUP(K1267,[4]在职!$A:$B,2,0)</f>
        <v>01440</v>
      </c>
      <c r="N1267" s="83" t="str">
        <f>VLOOKUP(K1267,[4]在职!$A:$G,7,0)</f>
        <v>营业三部</v>
      </c>
      <c r="O1267" s="83" t="str">
        <f>VLOOKUP(K1267,[4]在职!$A:$I,9,0)</f>
        <v>一星销售顾问</v>
      </c>
      <c r="P1267" s="83">
        <f>VLOOKUP(K1267,[4]在职!$A:$D,4,0)</f>
        <v>45764</v>
      </c>
      <c r="Q1267" s="102">
        <v>0</v>
      </c>
      <c r="R1267" s="102">
        <v>0</v>
      </c>
      <c r="S1267" s="104">
        <v>0</v>
      </c>
    </row>
    <row r="1268" ht="16.5" hidden="1" spans="1:19">
      <c r="A1268" s="46">
        <v>1271</v>
      </c>
      <c r="B1268" s="46" t="s">
        <v>45</v>
      </c>
      <c r="C1268" s="7" t="s">
        <v>38</v>
      </c>
      <c r="D1268" s="46" t="s">
        <v>27</v>
      </c>
      <c r="E1268" s="46" t="s">
        <v>902</v>
      </c>
      <c r="F1268" s="46" t="s">
        <v>903</v>
      </c>
      <c r="G1268" s="46" t="s">
        <v>904</v>
      </c>
      <c r="H1268" s="46" t="s">
        <v>1433</v>
      </c>
      <c r="I1268" s="46" t="s">
        <v>905</v>
      </c>
      <c r="J1268" s="83">
        <v>46093</v>
      </c>
      <c r="K1268" s="5" t="s">
        <v>964</v>
      </c>
      <c r="L1268" s="84" t="s">
        <v>907</v>
      </c>
      <c r="M1268" s="83" t="str">
        <f>VLOOKUP(K1268,[4]在职!$A:$B,2,0)</f>
        <v>01405</v>
      </c>
      <c r="N1268" s="83" t="str">
        <f>VLOOKUP(K1268,[4]在职!$A:$G,7,0)</f>
        <v>营业七部</v>
      </c>
      <c r="O1268" s="83" t="str">
        <f>VLOOKUP(K1268,[4]在职!$A:$I,9,0)</f>
        <v>一星销售顾问</v>
      </c>
      <c r="P1268" s="83">
        <f>VLOOKUP(K1268,[4]在职!$A:$D,4,0)</f>
        <v>45738</v>
      </c>
      <c r="Q1268" s="102">
        <v>0</v>
      </c>
      <c r="R1268" s="102">
        <v>0</v>
      </c>
      <c r="S1268" s="104">
        <v>0</v>
      </c>
    </row>
    <row r="1269" ht="16.5" hidden="1" spans="1:19">
      <c r="A1269" s="46">
        <v>1272</v>
      </c>
      <c r="B1269" s="46" t="s">
        <v>45</v>
      </c>
      <c r="C1269" s="7" t="s">
        <v>38</v>
      </c>
      <c r="D1269" s="46" t="s">
        <v>27</v>
      </c>
      <c r="E1269" s="46" t="s">
        <v>902</v>
      </c>
      <c r="F1269" s="46" t="s">
        <v>903</v>
      </c>
      <c r="G1269" s="46" t="s">
        <v>904</v>
      </c>
      <c r="H1269" s="46" t="s">
        <v>1433</v>
      </c>
      <c r="I1269" s="46" t="s">
        <v>905</v>
      </c>
      <c r="J1269" s="83">
        <v>46093</v>
      </c>
      <c r="K1269" s="5" t="s">
        <v>1480</v>
      </c>
      <c r="L1269" s="84" t="s">
        <v>907</v>
      </c>
      <c r="M1269" s="83" t="str">
        <f>VLOOKUP(K1269,[4]在职!$A:$B,2,0)</f>
        <v>01724</v>
      </c>
      <c r="N1269" s="83" t="str">
        <f>VLOOKUP(K1269,[4]在职!$A:$G,7,0)</f>
        <v>营业五部</v>
      </c>
      <c r="O1269" s="83" t="str">
        <f>VLOOKUP(K1269,[4]在职!$A:$I,9,0)</f>
        <v>一星销售顾问</v>
      </c>
      <c r="P1269" s="83">
        <f>VLOOKUP(K1269,[4]在职!$A:$D,4,0)</f>
        <v>45939</v>
      </c>
      <c r="Q1269" s="102">
        <v>0</v>
      </c>
      <c r="R1269" s="102">
        <v>0</v>
      </c>
      <c r="S1269" s="104">
        <v>0</v>
      </c>
    </row>
    <row r="1270" ht="16.5" hidden="1" spans="1:19">
      <c r="A1270" s="46">
        <v>1274</v>
      </c>
      <c r="B1270" s="46" t="s">
        <v>45</v>
      </c>
      <c r="C1270" s="7" t="s">
        <v>37</v>
      </c>
      <c r="D1270" s="46" t="s">
        <v>27</v>
      </c>
      <c r="E1270" s="46" t="s">
        <v>902</v>
      </c>
      <c r="F1270" s="46" t="s">
        <v>903</v>
      </c>
      <c r="G1270" s="46" t="s">
        <v>904</v>
      </c>
      <c r="H1270" s="46" t="s">
        <v>1433</v>
      </c>
      <c r="I1270" s="46" t="s">
        <v>905</v>
      </c>
      <c r="J1270" s="83">
        <v>46093</v>
      </c>
      <c r="K1270" s="5" t="s">
        <v>1482</v>
      </c>
      <c r="L1270" s="84" t="s">
        <v>907</v>
      </c>
      <c r="M1270" s="83" t="str">
        <f>VLOOKUP(K1270,[4]在职!$A:$B,2,0)</f>
        <v>01665</v>
      </c>
      <c r="N1270" s="83" t="str">
        <f>VLOOKUP(K1270,[4]在职!$A:$G,7,0)</f>
        <v>陕西1部</v>
      </c>
      <c r="O1270" s="83" t="str">
        <f>VLOOKUP(K1270,[4]在职!$A:$I,9,0)</f>
        <v>一星销售顾问</v>
      </c>
      <c r="P1270" s="83">
        <f>VLOOKUP(K1270,[4]在职!$A:$D,4,0)</f>
        <v>45887</v>
      </c>
      <c r="Q1270" s="102">
        <v>0</v>
      </c>
      <c r="R1270" s="102">
        <v>0</v>
      </c>
      <c r="S1270" s="104">
        <v>0</v>
      </c>
    </row>
    <row r="1271" ht="16.5" hidden="1" spans="1:19">
      <c r="A1271" s="46">
        <v>1275</v>
      </c>
      <c r="B1271" s="46" t="s">
        <v>45</v>
      </c>
      <c r="C1271" s="7" t="s">
        <v>37</v>
      </c>
      <c r="D1271" s="46" t="s">
        <v>27</v>
      </c>
      <c r="E1271" s="46" t="s">
        <v>902</v>
      </c>
      <c r="F1271" s="46" t="s">
        <v>903</v>
      </c>
      <c r="G1271" s="46" t="s">
        <v>904</v>
      </c>
      <c r="H1271" s="46" t="s">
        <v>1433</v>
      </c>
      <c r="I1271" s="46" t="s">
        <v>905</v>
      </c>
      <c r="J1271" s="83">
        <v>46093</v>
      </c>
      <c r="K1271" s="5" t="s">
        <v>1483</v>
      </c>
      <c r="L1271" s="84" t="s">
        <v>907</v>
      </c>
      <c r="M1271" s="83" t="str">
        <f>VLOOKUP(K1271,[4]在职!$A:$B,2,0)</f>
        <v>01656</v>
      </c>
      <c r="N1271" s="83" t="str">
        <f>VLOOKUP(K1271,[4]在职!$A:$G,7,0)</f>
        <v>陕西1部</v>
      </c>
      <c r="O1271" s="83" t="str">
        <f>VLOOKUP(K1271,[4]在职!$A:$I,9,0)</f>
        <v>一星销售顾问</v>
      </c>
      <c r="P1271" s="83">
        <f>VLOOKUP(K1271,[4]在职!$A:$D,4,0)</f>
        <v>45882</v>
      </c>
      <c r="Q1271" s="102">
        <v>0</v>
      </c>
      <c r="R1271" s="102">
        <v>0</v>
      </c>
      <c r="S1271" s="104">
        <v>0</v>
      </c>
    </row>
    <row r="1272" ht="16.5" hidden="1" spans="1:19">
      <c r="A1272" s="46">
        <v>1276</v>
      </c>
      <c r="B1272" s="46" t="s">
        <v>45</v>
      </c>
      <c r="C1272" s="7" t="s">
        <v>37</v>
      </c>
      <c r="D1272" s="46" t="s">
        <v>27</v>
      </c>
      <c r="E1272" s="46" t="s">
        <v>902</v>
      </c>
      <c r="F1272" s="46" t="s">
        <v>903</v>
      </c>
      <c r="G1272" s="46" t="s">
        <v>904</v>
      </c>
      <c r="H1272" s="46" t="s">
        <v>1433</v>
      </c>
      <c r="I1272" s="46" t="s">
        <v>905</v>
      </c>
      <c r="J1272" s="83">
        <v>46093</v>
      </c>
      <c r="K1272" s="5" t="s">
        <v>1484</v>
      </c>
      <c r="L1272" s="84" t="s">
        <v>907</v>
      </c>
      <c r="M1272" s="83" t="str">
        <f>VLOOKUP(K1272,[4]在职!$A:$B,2,0)</f>
        <v>01653</v>
      </c>
      <c r="N1272" s="83" t="str">
        <f>VLOOKUP(K1272,[4]在职!$A:$G,7,0)</f>
        <v>陕西1部</v>
      </c>
      <c r="O1272" s="83" t="str">
        <f>VLOOKUP(K1272,[4]在职!$A:$I,9,0)</f>
        <v>一星销售顾问</v>
      </c>
      <c r="P1272" s="83">
        <f>VLOOKUP(K1272,[4]在职!$A:$D,4,0)</f>
        <v>45881</v>
      </c>
      <c r="Q1272" s="102">
        <v>0</v>
      </c>
      <c r="R1272" s="102">
        <v>0</v>
      </c>
      <c r="S1272" s="104">
        <v>0</v>
      </c>
    </row>
    <row r="1273" ht="16.5" hidden="1" spans="1:19">
      <c r="A1273" s="46">
        <v>1277</v>
      </c>
      <c r="B1273" s="46" t="s">
        <v>45</v>
      </c>
      <c r="C1273" s="7" t="s">
        <v>38</v>
      </c>
      <c r="D1273" s="46" t="s">
        <v>27</v>
      </c>
      <c r="E1273" s="46" t="s">
        <v>902</v>
      </c>
      <c r="F1273" s="46" t="s">
        <v>903</v>
      </c>
      <c r="G1273" s="46" t="s">
        <v>904</v>
      </c>
      <c r="H1273" s="46" t="s">
        <v>1433</v>
      </c>
      <c r="I1273" s="46" t="s">
        <v>905</v>
      </c>
      <c r="J1273" s="83">
        <v>46093</v>
      </c>
      <c r="K1273" s="5" t="s">
        <v>1485</v>
      </c>
      <c r="L1273" s="84" t="s">
        <v>907</v>
      </c>
      <c r="M1273" s="83" t="str">
        <f>VLOOKUP(K1273,[4]在职!$A:$B,2,0)</f>
        <v>01740</v>
      </c>
      <c r="N1273" s="83" t="str">
        <f>VLOOKUP(K1273,[4]在职!$A:$G,7,0)</f>
        <v>营业三部</v>
      </c>
      <c r="O1273" s="83" t="str">
        <f>VLOOKUP(K1273,[4]在职!$A:$I,9,0)</f>
        <v>一星销售顾问</v>
      </c>
      <c r="P1273" s="83">
        <f>VLOOKUP(K1273,[4]在职!$A:$D,4,0)</f>
        <v>45947</v>
      </c>
      <c r="Q1273" s="102">
        <v>0</v>
      </c>
      <c r="R1273" s="102">
        <v>0</v>
      </c>
      <c r="S1273" s="104">
        <v>0</v>
      </c>
    </row>
    <row r="1274" ht="16.5" hidden="1" spans="1:19">
      <c r="A1274" s="46">
        <v>1278</v>
      </c>
      <c r="B1274" s="46" t="s">
        <v>45</v>
      </c>
      <c r="C1274" s="7" t="s">
        <v>38</v>
      </c>
      <c r="D1274" s="46" t="s">
        <v>27</v>
      </c>
      <c r="E1274" s="46" t="s">
        <v>902</v>
      </c>
      <c r="F1274" s="46" t="s">
        <v>903</v>
      </c>
      <c r="G1274" s="46" t="s">
        <v>904</v>
      </c>
      <c r="H1274" s="46" t="s">
        <v>1433</v>
      </c>
      <c r="I1274" s="46" t="s">
        <v>905</v>
      </c>
      <c r="J1274" s="83">
        <v>46093</v>
      </c>
      <c r="K1274" s="5" t="s">
        <v>1486</v>
      </c>
      <c r="L1274" s="84" t="s">
        <v>907</v>
      </c>
      <c r="M1274" s="83" t="str">
        <f>VLOOKUP(K1274,[4]在职!$A:$B,2,0)</f>
        <v>01729</v>
      </c>
      <c r="N1274" s="83" t="str">
        <f>VLOOKUP(K1274,[4]在职!$A:$G,7,0)</f>
        <v>营业三部</v>
      </c>
      <c r="O1274" s="83" t="str">
        <f>VLOOKUP(K1274,[4]在职!$A:$I,9,0)</f>
        <v>一星销售顾问</v>
      </c>
      <c r="P1274" s="83">
        <f>VLOOKUP(K1274,[4]在职!$A:$D,4,0)</f>
        <v>45945</v>
      </c>
      <c r="Q1274" s="102">
        <v>0</v>
      </c>
      <c r="R1274" s="102">
        <v>0</v>
      </c>
      <c r="S1274" s="104">
        <v>0</v>
      </c>
    </row>
    <row r="1275" ht="16.5" hidden="1" spans="1:19">
      <c r="A1275" s="46">
        <v>1279</v>
      </c>
      <c r="B1275" s="46" t="s">
        <v>45</v>
      </c>
      <c r="C1275" s="7" t="s">
        <v>38</v>
      </c>
      <c r="D1275" s="46" t="s">
        <v>27</v>
      </c>
      <c r="E1275" s="46" t="s">
        <v>902</v>
      </c>
      <c r="F1275" s="46" t="s">
        <v>903</v>
      </c>
      <c r="G1275" s="46" t="s">
        <v>904</v>
      </c>
      <c r="H1275" s="46" t="s">
        <v>1433</v>
      </c>
      <c r="I1275" s="46" t="s">
        <v>905</v>
      </c>
      <c r="J1275" s="83">
        <v>46093</v>
      </c>
      <c r="K1275" s="5" t="s">
        <v>970</v>
      </c>
      <c r="L1275" s="84" t="s">
        <v>907</v>
      </c>
      <c r="M1275" s="83" t="str">
        <f>VLOOKUP(K1275,[4]在职!$A:$B,2,0)</f>
        <v>01498</v>
      </c>
      <c r="N1275" s="83" t="str">
        <f>VLOOKUP(K1275,[4]在职!$A:$G,7,0)</f>
        <v>营业三部</v>
      </c>
      <c r="O1275" s="83" t="str">
        <f>VLOOKUP(K1275,[4]在职!$A:$I,9,0)</f>
        <v>一星销售顾问</v>
      </c>
      <c r="P1275" s="83">
        <f>VLOOKUP(K1275,[4]在职!$A:$D,4,0)</f>
        <v>45800</v>
      </c>
      <c r="Q1275" s="102">
        <v>0</v>
      </c>
      <c r="R1275" s="102">
        <v>0</v>
      </c>
      <c r="S1275" s="104">
        <v>0</v>
      </c>
    </row>
    <row r="1276" ht="16.5" hidden="1" spans="1:19">
      <c r="A1276" s="46">
        <v>1280</v>
      </c>
      <c r="B1276" s="46" t="s">
        <v>45</v>
      </c>
      <c r="C1276" s="7" t="s">
        <v>37</v>
      </c>
      <c r="D1276" s="46" t="s">
        <v>27</v>
      </c>
      <c r="E1276" s="46" t="s">
        <v>902</v>
      </c>
      <c r="F1276" s="46" t="s">
        <v>903</v>
      </c>
      <c r="G1276" s="46" t="s">
        <v>904</v>
      </c>
      <c r="H1276" s="46" t="s">
        <v>1433</v>
      </c>
      <c r="I1276" s="46" t="s">
        <v>905</v>
      </c>
      <c r="J1276" s="83">
        <v>46093</v>
      </c>
      <c r="K1276" s="5" t="s">
        <v>1487</v>
      </c>
      <c r="L1276" s="84" t="s">
        <v>907</v>
      </c>
      <c r="M1276" s="83" t="str">
        <f>VLOOKUP(K1276,[4]在职!$A:$B,2,0)</f>
        <v>01770</v>
      </c>
      <c r="N1276" s="83" t="str">
        <f>VLOOKUP(K1276,[4]在职!$A:$G,7,0)</f>
        <v>陕西2部</v>
      </c>
      <c r="O1276" s="83" t="str">
        <f>VLOOKUP(K1276,[4]在职!$A:$I,9,0)</f>
        <v>一星销售顾问</v>
      </c>
      <c r="P1276" s="83">
        <f>VLOOKUP(K1276,[4]在职!$A:$D,4,0)</f>
        <v>45967</v>
      </c>
      <c r="Q1276" s="102">
        <v>0</v>
      </c>
      <c r="R1276" s="102">
        <v>0</v>
      </c>
      <c r="S1276" s="104">
        <v>0</v>
      </c>
    </row>
    <row r="1277" ht="16.5" hidden="1" spans="1:19">
      <c r="A1277" s="46">
        <v>1281</v>
      </c>
      <c r="B1277" s="46" t="s">
        <v>45</v>
      </c>
      <c r="C1277" s="7" t="s">
        <v>37</v>
      </c>
      <c r="D1277" s="46" t="s">
        <v>27</v>
      </c>
      <c r="E1277" s="46" t="s">
        <v>902</v>
      </c>
      <c r="F1277" s="46" t="s">
        <v>903</v>
      </c>
      <c r="G1277" s="46" t="s">
        <v>904</v>
      </c>
      <c r="H1277" s="46" t="s">
        <v>1433</v>
      </c>
      <c r="I1277" s="46" t="s">
        <v>905</v>
      </c>
      <c r="J1277" s="83">
        <v>46093</v>
      </c>
      <c r="K1277" s="5" t="s">
        <v>1488</v>
      </c>
      <c r="L1277" s="84" t="s">
        <v>907</v>
      </c>
      <c r="M1277" s="83" t="str">
        <f>VLOOKUP(K1277,[4]在职!$A:$B,2,0)</f>
        <v>01526</v>
      </c>
      <c r="N1277" s="83" t="str">
        <f>VLOOKUP(K1277,[4]在职!$A:$G,7,0)</f>
        <v>陕西2部</v>
      </c>
      <c r="O1277" s="83" t="str">
        <f>VLOOKUP(K1277,[4]在职!$A:$I,9,0)</f>
        <v>一星销售顾问</v>
      </c>
      <c r="P1277" s="83">
        <f>VLOOKUP(K1277,[4]在职!$A:$D,4,0)</f>
        <v>45817</v>
      </c>
      <c r="Q1277" s="102">
        <v>0</v>
      </c>
      <c r="R1277" s="102">
        <v>0</v>
      </c>
      <c r="S1277" s="104">
        <v>0</v>
      </c>
    </row>
    <row r="1278" ht="16.5" hidden="1" spans="1:19">
      <c r="A1278" s="46">
        <v>1282</v>
      </c>
      <c r="B1278" s="46" t="s">
        <v>45</v>
      </c>
      <c r="C1278" s="7" t="s">
        <v>38</v>
      </c>
      <c r="D1278" s="46" t="s">
        <v>27</v>
      </c>
      <c r="E1278" s="46" t="s">
        <v>902</v>
      </c>
      <c r="F1278" s="46" t="s">
        <v>903</v>
      </c>
      <c r="G1278" s="46" t="s">
        <v>904</v>
      </c>
      <c r="H1278" s="46" t="s">
        <v>1433</v>
      </c>
      <c r="I1278" s="46" t="s">
        <v>905</v>
      </c>
      <c r="J1278" s="83">
        <v>46093</v>
      </c>
      <c r="K1278" s="5" t="s">
        <v>1489</v>
      </c>
      <c r="L1278" s="84" t="s">
        <v>907</v>
      </c>
      <c r="M1278" s="83" t="str">
        <f>VLOOKUP(K1278,[4]在职!$A:$B,2,0)</f>
        <v>01704</v>
      </c>
      <c r="N1278" s="83" t="str">
        <f>VLOOKUP(K1278,[4]在职!$A:$G,7,0)</f>
        <v>营业六部</v>
      </c>
      <c r="O1278" s="83" t="str">
        <f>VLOOKUP(K1278,[4]在职!$A:$I,9,0)</f>
        <v>一星销售顾问</v>
      </c>
      <c r="P1278" s="83">
        <f>VLOOKUP(K1278,[4]在职!$A:$D,4,0)</f>
        <v>45920</v>
      </c>
      <c r="Q1278" s="102">
        <v>0</v>
      </c>
      <c r="R1278" s="102">
        <v>0</v>
      </c>
      <c r="S1278" s="104">
        <v>0</v>
      </c>
    </row>
    <row r="1279" ht="16.5" hidden="1" spans="1:19">
      <c r="A1279" s="46">
        <v>1283</v>
      </c>
      <c r="B1279" s="46" t="s">
        <v>45</v>
      </c>
      <c r="C1279" s="7" t="s">
        <v>38</v>
      </c>
      <c r="D1279" s="46" t="s">
        <v>27</v>
      </c>
      <c r="E1279" s="46" t="s">
        <v>902</v>
      </c>
      <c r="F1279" s="46" t="s">
        <v>903</v>
      </c>
      <c r="G1279" s="46" t="s">
        <v>904</v>
      </c>
      <c r="H1279" s="46" t="s">
        <v>1433</v>
      </c>
      <c r="I1279" s="46" t="s">
        <v>905</v>
      </c>
      <c r="J1279" s="83">
        <v>46093</v>
      </c>
      <c r="K1279" s="5" t="s">
        <v>1490</v>
      </c>
      <c r="L1279" s="84" t="s">
        <v>907</v>
      </c>
      <c r="M1279" s="83" t="str">
        <f>VLOOKUP(K1279,[4]在职!$A:$B,2,0)</f>
        <v>01699</v>
      </c>
      <c r="N1279" s="83" t="str">
        <f>VLOOKUP(K1279,[4]在职!$A:$G,7,0)</f>
        <v>营业六部</v>
      </c>
      <c r="O1279" s="83" t="str">
        <f>VLOOKUP(K1279,[4]在职!$A:$I,9,0)</f>
        <v>一星销售顾问</v>
      </c>
      <c r="P1279" s="83">
        <f>VLOOKUP(K1279,[4]在职!$A:$D,4,0)</f>
        <v>45918</v>
      </c>
      <c r="Q1279" s="102">
        <v>0</v>
      </c>
      <c r="R1279" s="102">
        <v>0</v>
      </c>
      <c r="S1279" s="104">
        <v>0</v>
      </c>
    </row>
    <row r="1280" ht="16.5" hidden="1" spans="1:19">
      <c r="A1280" s="46">
        <v>1284</v>
      </c>
      <c r="B1280" s="46" t="s">
        <v>45</v>
      </c>
      <c r="C1280" s="7" t="s">
        <v>38</v>
      </c>
      <c r="D1280" s="46" t="s">
        <v>27</v>
      </c>
      <c r="E1280" s="46" t="s">
        <v>902</v>
      </c>
      <c r="F1280" s="46" t="s">
        <v>903</v>
      </c>
      <c r="G1280" s="46" t="s">
        <v>904</v>
      </c>
      <c r="H1280" s="46" t="s">
        <v>1433</v>
      </c>
      <c r="I1280" s="46" t="s">
        <v>905</v>
      </c>
      <c r="J1280" s="83">
        <v>46093</v>
      </c>
      <c r="K1280" s="5" t="s">
        <v>994</v>
      </c>
      <c r="L1280" s="84" t="s">
        <v>907</v>
      </c>
      <c r="M1280" s="83" t="str">
        <f>VLOOKUP(K1280,[4]在职!$A:$B,2,0)</f>
        <v>01477</v>
      </c>
      <c r="N1280" s="83" t="str">
        <f>VLOOKUP(K1280,[4]在职!$A:$G,7,0)</f>
        <v>湖南销售部</v>
      </c>
      <c r="O1280" s="83" t="str">
        <f>VLOOKUP(K1280,[4]在职!$A:$I,9,0)</f>
        <v>二星销售顾问</v>
      </c>
      <c r="P1280" s="83">
        <f>VLOOKUP(K1280,[4]在职!$A:$D,4,0)</f>
        <v>45790</v>
      </c>
      <c r="Q1280" s="102">
        <v>0</v>
      </c>
      <c r="R1280" s="102">
        <v>0</v>
      </c>
      <c r="S1280" s="104">
        <v>0</v>
      </c>
    </row>
    <row r="1281" ht="16.5" hidden="1" spans="1:19">
      <c r="A1281" s="46">
        <v>1286</v>
      </c>
      <c r="B1281" s="46" t="s">
        <v>45</v>
      </c>
      <c r="C1281" s="7" t="s">
        <v>38</v>
      </c>
      <c r="D1281" s="46" t="s">
        <v>27</v>
      </c>
      <c r="E1281" s="46" t="s">
        <v>902</v>
      </c>
      <c r="F1281" s="46" t="s">
        <v>903</v>
      </c>
      <c r="G1281" s="46" t="s">
        <v>904</v>
      </c>
      <c r="H1281" s="46" t="s">
        <v>1433</v>
      </c>
      <c r="I1281" s="46" t="s">
        <v>905</v>
      </c>
      <c r="J1281" s="83">
        <v>46093</v>
      </c>
      <c r="K1281" s="5" t="s">
        <v>1491</v>
      </c>
      <c r="L1281" s="84" t="s">
        <v>907</v>
      </c>
      <c r="M1281" s="83" t="str">
        <f>VLOOKUP(K1281,[4]在职!$A:$B,2,0)</f>
        <v>01719</v>
      </c>
      <c r="N1281" s="83" t="str">
        <f>VLOOKUP(K1281,[4]在职!$A:$G,7,0)</f>
        <v>营业三部</v>
      </c>
      <c r="O1281" s="83" t="str">
        <f>VLOOKUP(K1281,[4]在职!$A:$I,9,0)</f>
        <v>一星销售顾问</v>
      </c>
      <c r="P1281" s="83">
        <f>VLOOKUP(K1281,[4]在职!$A:$D,4,0)</f>
        <v>45938</v>
      </c>
      <c r="Q1281" s="102">
        <v>0</v>
      </c>
      <c r="R1281" s="102">
        <v>0</v>
      </c>
      <c r="S1281" s="104">
        <v>0</v>
      </c>
    </row>
    <row r="1282" ht="16.5" hidden="1" spans="1:19">
      <c r="A1282" s="46">
        <v>1287</v>
      </c>
      <c r="B1282" s="46" t="s">
        <v>45</v>
      </c>
      <c r="C1282" s="7" t="s">
        <v>38</v>
      </c>
      <c r="D1282" s="46" t="s">
        <v>27</v>
      </c>
      <c r="E1282" s="46" t="s">
        <v>902</v>
      </c>
      <c r="F1282" s="46" t="s">
        <v>903</v>
      </c>
      <c r="G1282" s="46" t="s">
        <v>904</v>
      </c>
      <c r="H1282" s="46" t="s">
        <v>1433</v>
      </c>
      <c r="I1282" s="46" t="s">
        <v>905</v>
      </c>
      <c r="J1282" s="83">
        <v>46093</v>
      </c>
      <c r="K1282" s="5" t="s">
        <v>1020</v>
      </c>
      <c r="L1282" s="84" t="s">
        <v>907</v>
      </c>
      <c r="M1282" s="83" t="str">
        <f>VLOOKUP(K1282,[4]在职!$A:$B,2,0)</f>
        <v>01575</v>
      </c>
      <c r="N1282" s="83" t="str">
        <f>VLOOKUP(K1282,[4]在职!$A:$G,7,0)</f>
        <v>营业三部</v>
      </c>
      <c r="O1282" s="83" t="str">
        <f>VLOOKUP(K1282,[4]在职!$A:$I,9,0)</f>
        <v>一星销售顾问</v>
      </c>
      <c r="P1282" s="83">
        <f>VLOOKUP(K1282,[4]在职!$A:$D,4,0)</f>
        <v>45844</v>
      </c>
      <c r="Q1282" s="102">
        <v>0</v>
      </c>
      <c r="R1282" s="102">
        <v>0</v>
      </c>
      <c r="S1282" s="104">
        <v>0</v>
      </c>
    </row>
    <row r="1283" ht="16.5" hidden="1" spans="1:19">
      <c r="A1283" s="46">
        <v>1288</v>
      </c>
      <c r="B1283" s="46" t="s">
        <v>45</v>
      </c>
      <c r="C1283" s="7" t="s">
        <v>35</v>
      </c>
      <c r="D1283" s="46" t="s">
        <v>27</v>
      </c>
      <c r="E1283" s="46" t="s">
        <v>902</v>
      </c>
      <c r="F1283" s="46" t="s">
        <v>903</v>
      </c>
      <c r="G1283" s="46" t="s">
        <v>904</v>
      </c>
      <c r="H1283" s="46" t="s">
        <v>1433</v>
      </c>
      <c r="I1283" s="46" t="s">
        <v>905</v>
      </c>
      <c r="J1283" s="83">
        <v>46093</v>
      </c>
      <c r="K1283" s="5" t="s">
        <v>1492</v>
      </c>
      <c r="L1283" s="84" t="s">
        <v>907</v>
      </c>
      <c r="M1283" s="83" t="str">
        <f>VLOOKUP(K1283,[4]在职!$A:$B,2,0)</f>
        <v>01849</v>
      </c>
      <c r="N1283" s="83" t="str">
        <f>VLOOKUP(K1283,[4]在职!$A:$G,7,0)</f>
        <v>山东销售部</v>
      </c>
      <c r="O1283" s="83" t="str">
        <f>VLOOKUP(K1283,[4]在职!$A:$I,9,0)</f>
        <v>一星销售顾问</v>
      </c>
      <c r="P1283" s="83">
        <f>VLOOKUP(K1283,[4]在职!$A:$D,4,0)</f>
        <v>46003</v>
      </c>
      <c r="Q1283" s="102">
        <v>0</v>
      </c>
      <c r="R1283" s="102">
        <v>0</v>
      </c>
      <c r="S1283" s="104">
        <v>0</v>
      </c>
    </row>
    <row r="1284" ht="16.5" hidden="1" spans="1:19">
      <c r="A1284" s="46">
        <v>1289</v>
      </c>
      <c r="B1284" s="46" t="s">
        <v>45</v>
      </c>
      <c r="C1284" s="7" t="s">
        <v>35</v>
      </c>
      <c r="D1284" s="46" t="s">
        <v>27</v>
      </c>
      <c r="E1284" s="46" t="s">
        <v>902</v>
      </c>
      <c r="F1284" s="46" t="s">
        <v>903</v>
      </c>
      <c r="G1284" s="46" t="s">
        <v>904</v>
      </c>
      <c r="H1284" s="46" t="s">
        <v>1433</v>
      </c>
      <c r="I1284" s="46" t="s">
        <v>905</v>
      </c>
      <c r="J1284" s="83">
        <v>46093</v>
      </c>
      <c r="K1284" s="5" t="s">
        <v>1493</v>
      </c>
      <c r="L1284" s="84" t="s">
        <v>907</v>
      </c>
      <c r="M1284" s="83" t="str">
        <f>VLOOKUP(K1284,[4]在职!$A:$B,2,0)</f>
        <v>01705</v>
      </c>
      <c r="N1284" s="83" t="str">
        <f>VLOOKUP(K1284,[4]在职!$A:$G,7,0)</f>
        <v>山东销售部</v>
      </c>
      <c r="O1284" s="83" t="str">
        <f>VLOOKUP(K1284,[4]在职!$A:$I,9,0)</f>
        <v>一星销售顾问</v>
      </c>
      <c r="P1284" s="83">
        <f>VLOOKUP(K1284,[4]在职!$A:$D,4,0)</f>
        <v>45922</v>
      </c>
      <c r="Q1284" s="102">
        <v>0</v>
      </c>
      <c r="R1284" s="102">
        <v>0</v>
      </c>
      <c r="S1284" s="104">
        <v>0</v>
      </c>
    </row>
    <row r="1285" ht="16.5" hidden="1" spans="1:19">
      <c r="A1285" s="46">
        <v>1290</v>
      </c>
      <c r="B1285" s="46" t="s">
        <v>45</v>
      </c>
      <c r="C1285" s="7" t="s">
        <v>35</v>
      </c>
      <c r="D1285" s="46" t="s">
        <v>27</v>
      </c>
      <c r="E1285" s="46" t="s">
        <v>902</v>
      </c>
      <c r="F1285" s="46" t="s">
        <v>903</v>
      </c>
      <c r="G1285" s="46" t="s">
        <v>904</v>
      </c>
      <c r="H1285" s="46" t="s">
        <v>1433</v>
      </c>
      <c r="I1285" s="46" t="s">
        <v>905</v>
      </c>
      <c r="J1285" s="83">
        <v>46093</v>
      </c>
      <c r="K1285" s="5" t="s">
        <v>1494</v>
      </c>
      <c r="L1285" s="84" t="s">
        <v>907</v>
      </c>
      <c r="M1285" s="83" t="str">
        <f>VLOOKUP(K1285,[4]在职!$A:$B,2,0)</f>
        <v>01679</v>
      </c>
      <c r="N1285" s="83" t="str">
        <f>VLOOKUP(K1285,[4]在职!$A:$G,7,0)</f>
        <v>山东销售部</v>
      </c>
      <c r="O1285" s="83" t="str">
        <f>VLOOKUP(K1285,[4]在职!$A:$I,9,0)</f>
        <v>一星销售顾问</v>
      </c>
      <c r="P1285" s="83">
        <f>VLOOKUP(K1285,[4]在职!$A:$D,4,0)</f>
        <v>45900</v>
      </c>
      <c r="Q1285" s="102">
        <v>0</v>
      </c>
      <c r="R1285" s="102">
        <v>0</v>
      </c>
      <c r="S1285" s="104">
        <v>0</v>
      </c>
    </row>
    <row r="1286" ht="16.5" hidden="1" spans="1:19">
      <c r="A1286" s="46">
        <v>1291</v>
      </c>
      <c r="B1286" s="46" t="s">
        <v>45</v>
      </c>
      <c r="C1286" s="7" t="s">
        <v>38</v>
      </c>
      <c r="D1286" s="46" t="s">
        <v>27</v>
      </c>
      <c r="E1286" s="46" t="s">
        <v>902</v>
      </c>
      <c r="F1286" s="46" t="s">
        <v>903</v>
      </c>
      <c r="G1286" s="46" t="s">
        <v>904</v>
      </c>
      <c r="H1286" s="46" t="s">
        <v>1433</v>
      </c>
      <c r="I1286" s="46" t="s">
        <v>905</v>
      </c>
      <c r="J1286" s="83">
        <v>46093</v>
      </c>
      <c r="K1286" s="5" t="s">
        <v>1495</v>
      </c>
      <c r="L1286" s="84" t="s">
        <v>907</v>
      </c>
      <c r="M1286" s="83" t="str">
        <f>VLOOKUP(K1286,[4]在职!$A:$B,2,0)</f>
        <v>01652</v>
      </c>
      <c r="N1286" s="83" t="str">
        <f>VLOOKUP(K1286,[4]在职!$A:$G,7,0)</f>
        <v>营业五部</v>
      </c>
      <c r="O1286" s="83" t="str">
        <f>VLOOKUP(K1286,[4]在职!$A:$I,9,0)</f>
        <v>一星销售顾问</v>
      </c>
      <c r="P1286" s="83">
        <f>VLOOKUP(K1286,[4]在职!$A:$D,4,0)</f>
        <v>45878</v>
      </c>
      <c r="Q1286" s="102">
        <v>0</v>
      </c>
      <c r="R1286" s="102">
        <v>0</v>
      </c>
      <c r="S1286" s="104">
        <v>0</v>
      </c>
    </row>
    <row r="1287" ht="16.5" hidden="1" spans="1:19">
      <c r="A1287" s="46">
        <v>1292</v>
      </c>
      <c r="B1287" s="46" t="s">
        <v>45</v>
      </c>
      <c r="C1287" s="7" t="s">
        <v>38</v>
      </c>
      <c r="D1287" s="46" t="s">
        <v>27</v>
      </c>
      <c r="E1287" s="46" t="s">
        <v>902</v>
      </c>
      <c r="F1287" s="46" t="s">
        <v>903</v>
      </c>
      <c r="G1287" s="46" t="s">
        <v>904</v>
      </c>
      <c r="H1287" s="46" t="s">
        <v>1433</v>
      </c>
      <c r="I1287" s="46" t="s">
        <v>905</v>
      </c>
      <c r="J1287" s="83">
        <v>46093</v>
      </c>
      <c r="K1287" s="5" t="s">
        <v>1496</v>
      </c>
      <c r="L1287" s="84" t="s">
        <v>907</v>
      </c>
      <c r="M1287" s="83" t="str">
        <f>VLOOKUP(K1287,[4]在职!$A:$B,2,0)</f>
        <v>01557</v>
      </c>
      <c r="N1287" s="83" t="str">
        <f>VLOOKUP(K1287,[4]在职!$A:$G,7,0)</f>
        <v>营业五部</v>
      </c>
      <c r="O1287" s="83" t="str">
        <f>VLOOKUP(K1287,[4]在职!$A:$I,9,0)</f>
        <v>一星销售顾问</v>
      </c>
      <c r="P1287" s="83">
        <f>VLOOKUP(K1287,[4]在职!$A:$D,4,0)</f>
        <v>45836</v>
      </c>
      <c r="Q1287" s="102">
        <v>0</v>
      </c>
      <c r="R1287" s="102">
        <v>0</v>
      </c>
      <c r="S1287" s="104">
        <v>0</v>
      </c>
    </row>
    <row r="1288" ht="16.5" hidden="1" spans="1:19">
      <c r="A1288" s="46">
        <v>1294</v>
      </c>
      <c r="B1288" s="46" t="s">
        <v>45</v>
      </c>
      <c r="C1288" s="7" t="s">
        <v>38</v>
      </c>
      <c r="D1288" s="46" t="s">
        <v>27</v>
      </c>
      <c r="E1288" s="46" t="s">
        <v>902</v>
      </c>
      <c r="F1288" s="46" t="s">
        <v>903</v>
      </c>
      <c r="G1288" s="46" t="s">
        <v>904</v>
      </c>
      <c r="H1288" s="46" t="s">
        <v>1433</v>
      </c>
      <c r="I1288" s="46" t="s">
        <v>905</v>
      </c>
      <c r="J1288" s="83">
        <v>46093</v>
      </c>
      <c r="K1288" s="5" t="s">
        <v>1497</v>
      </c>
      <c r="L1288" s="84" t="s">
        <v>907</v>
      </c>
      <c r="M1288" s="83" t="str">
        <f>VLOOKUP(K1288,[4]在职!$A:$B,2,0)</f>
        <v>01739</v>
      </c>
      <c r="N1288" s="83" t="str">
        <f>VLOOKUP(K1288,[4]在职!$A:$G,7,0)</f>
        <v>营业六部</v>
      </c>
      <c r="O1288" s="83" t="str">
        <f>VLOOKUP(K1288,[4]在职!$A:$I,9,0)</f>
        <v>一星销售顾问</v>
      </c>
      <c r="P1288" s="83">
        <f>VLOOKUP(K1288,[4]在职!$A:$D,4,0)</f>
        <v>45944</v>
      </c>
      <c r="Q1288" s="102">
        <v>0</v>
      </c>
      <c r="R1288" s="102">
        <v>0</v>
      </c>
      <c r="S1288" s="104">
        <v>0</v>
      </c>
    </row>
    <row r="1289" ht="16.5" hidden="1" spans="1:19">
      <c r="A1289" s="46">
        <v>1295</v>
      </c>
      <c r="B1289" s="46" t="s">
        <v>45</v>
      </c>
      <c r="C1289" s="7" t="s">
        <v>38</v>
      </c>
      <c r="D1289" s="46" t="s">
        <v>27</v>
      </c>
      <c r="E1289" s="46" t="s">
        <v>902</v>
      </c>
      <c r="F1289" s="46" t="s">
        <v>903</v>
      </c>
      <c r="G1289" s="46" t="s">
        <v>904</v>
      </c>
      <c r="H1289" s="46" t="s">
        <v>1433</v>
      </c>
      <c r="I1289" s="46" t="s">
        <v>905</v>
      </c>
      <c r="J1289" s="83">
        <v>46093</v>
      </c>
      <c r="K1289" s="5" t="s">
        <v>1022</v>
      </c>
      <c r="L1289" s="84" t="s">
        <v>907</v>
      </c>
      <c r="M1289" s="83" t="str">
        <f>VLOOKUP(K1289,[4]在职!$A:$B,2,0)</f>
        <v>01579</v>
      </c>
      <c r="N1289" s="83" t="str">
        <f>VLOOKUP(K1289,[4]在职!$A:$G,7,0)</f>
        <v>营业六部</v>
      </c>
      <c r="O1289" s="83" t="str">
        <f>VLOOKUP(K1289,[4]在职!$A:$I,9,0)</f>
        <v>二星销售顾问</v>
      </c>
      <c r="P1289" s="83">
        <f>VLOOKUP(K1289,[4]在职!$A:$D,4,0)</f>
        <v>45844</v>
      </c>
      <c r="Q1289" s="102">
        <v>0</v>
      </c>
      <c r="R1289" s="102">
        <v>0</v>
      </c>
      <c r="S1289" s="104">
        <v>0</v>
      </c>
    </row>
    <row r="1290" ht="16.5" hidden="1" spans="1:19">
      <c r="A1290" s="46">
        <v>1296</v>
      </c>
      <c r="B1290" s="46" t="s">
        <v>45</v>
      </c>
      <c r="C1290" s="7" t="s">
        <v>38</v>
      </c>
      <c r="D1290" s="46" t="s">
        <v>27</v>
      </c>
      <c r="E1290" s="46" t="s">
        <v>902</v>
      </c>
      <c r="F1290" s="46" t="s">
        <v>903</v>
      </c>
      <c r="G1290" s="46" t="s">
        <v>904</v>
      </c>
      <c r="H1290" s="46" t="s">
        <v>1433</v>
      </c>
      <c r="I1290" s="46" t="s">
        <v>905</v>
      </c>
      <c r="J1290" s="83">
        <v>46093</v>
      </c>
      <c r="K1290" s="5" t="s">
        <v>1498</v>
      </c>
      <c r="L1290" s="84" t="s">
        <v>907</v>
      </c>
      <c r="M1290" s="83" t="str">
        <f>VLOOKUP(K1290,[4]在职!$A:$B,2,0)</f>
        <v>01274</v>
      </c>
      <c r="N1290" s="83" t="str">
        <f>VLOOKUP(K1290,[4]在职!$A:$G,7,0)</f>
        <v>营业六部</v>
      </c>
      <c r="O1290" s="83" t="str">
        <f>VLOOKUP(K1290,[4]在职!$A:$I,9,0)</f>
        <v>一星销售顾问</v>
      </c>
      <c r="P1290" s="83">
        <f>VLOOKUP(K1290,[4]在职!$A:$D,4,0)</f>
        <v>45989</v>
      </c>
      <c r="Q1290" s="102">
        <v>0</v>
      </c>
      <c r="R1290" s="102">
        <v>0</v>
      </c>
      <c r="S1290" s="104">
        <v>0</v>
      </c>
    </row>
    <row r="1291" ht="16.5" hidden="1" spans="1:19">
      <c r="A1291" s="46">
        <v>1297</v>
      </c>
      <c r="B1291" s="46" t="s">
        <v>45</v>
      </c>
      <c r="C1291" s="7" t="s">
        <v>38</v>
      </c>
      <c r="D1291" s="46" t="s">
        <v>27</v>
      </c>
      <c r="E1291" s="46" t="s">
        <v>902</v>
      </c>
      <c r="F1291" s="46" t="s">
        <v>903</v>
      </c>
      <c r="G1291" s="46" t="s">
        <v>904</v>
      </c>
      <c r="H1291" s="46" t="s">
        <v>1433</v>
      </c>
      <c r="I1291" s="46" t="s">
        <v>905</v>
      </c>
      <c r="J1291" s="83">
        <v>46093</v>
      </c>
      <c r="K1291" s="5" t="s">
        <v>1040</v>
      </c>
      <c r="L1291" s="84" t="s">
        <v>907</v>
      </c>
      <c r="M1291" s="83" t="str">
        <f>VLOOKUP(K1291,[4]在职!$A:$B,2,0)</f>
        <v>01660</v>
      </c>
      <c r="N1291" s="83" t="str">
        <f>VLOOKUP(K1291,[4]在职!$A:$G,7,0)</f>
        <v>营业六部</v>
      </c>
      <c r="O1291" s="83" t="str">
        <f>VLOOKUP(K1291,[4]在职!$A:$I,9,0)</f>
        <v>一星销售顾问</v>
      </c>
      <c r="P1291" s="83">
        <f>VLOOKUP(K1291,[4]在职!$A:$D,4,0)</f>
        <v>45883</v>
      </c>
      <c r="Q1291" s="102">
        <v>0</v>
      </c>
      <c r="R1291" s="102">
        <v>0</v>
      </c>
      <c r="S1291" s="104">
        <v>0</v>
      </c>
    </row>
    <row r="1292" ht="16.5" hidden="1" spans="1:19">
      <c r="A1292" s="46">
        <v>1298</v>
      </c>
      <c r="B1292" s="46" t="s">
        <v>45</v>
      </c>
      <c r="C1292" s="7" t="s">
        <v>38</v>
      </c>
      <c r="D1292" s="46" t="s">
        <v>27</v>
      </c>
      <c r="E1292" s="46" t="s">
        <v>902</v>
      </c>
      <c r="F1292" s="46" t="s">
        <v>903</v>
      </c>
      <c r="G1292" s="46" t="s">
        <v>904</v>
      </c>
      <c r="H1292" s="46" t="s">
        <v>1433</v>
      </c>
      <c r="I1292" s="46" t="s">
        <v>905</v>
      </c>
      <c r="J1292" s="83">
        <v>46093</v>
      </c>
      <c r="K1292" s="5" t="s">
        <v>1042</v>
      </c>
      <c r="L1292" s="84" t="s">
        <v>907</v>
      </c>
      <c r="M1292" s="83" t="str">
        <f>VLOOKUP(K1292,[4]在职!$A:$B,2,0)</f>
        <v>01615</v>
      </c>
      <c r="N1292" s="83" t="str">
        <f>VLOOKUP(K1292,[4]在职!$A:$G,7,0)</f>
        <v>营业六部</v>
      </c>
      <c r="O1292" s="83" t="str">
        <f>VLOOKUP(K1292,[4]在职!$A:$I,9,0)</f>
        <v>一星销售顾问</v>
      </c>
      <c r="P1292" s="83">
        <f>VLOOKUP(K1292,[4]在职!$A:$D,4,0)</f>
        <v>45864</v>
      </c>
      <c r="Q1292" s="102">
        <v>0</v>
      </c>
      <c r="R1292" s="102">
        <v>0</v>
      </c>
      <c r="S1292" s="104">
        <v>0</v>
      </c>
    </row>
    <row r="1293" ht="16.5" hidden="1" spans="1:19">
      <c r="A1293" s="46">
        <v>1299</v>
      </c>
      <c r="B1293" s="46" t="s">
        <v>45</v>
      </c>
      <c r="C1293" s="7" t="s">
        <v>37</v>
      </c>
      <c r="D1293" s="46" t="s">
        <v>27</v>
      </c>
      <c r="E1293" s="46" t="s">
        <v>902</v>
      </c>
      <c r="F1293" s="46" t="s">
        <v>903</v>
      </c>
      <c r="G1293" s="46" t="s">
        <v>904</v>
      </c>
      <c r="H1293" s="46" t="s">
        <v>1433</v>
      </c>
      <c r="I1293" s="46" t="s">
        <v>905</v>
      </c>
      <c r="J1293" s="83">
        <v>46093</v>
      </c>
      <c r="K1293" s="5" t="s">
        <v>1499</v>
      </c>
      <c r="L1293" s="84" t="s">
        <v>907</v>
      </c>
      <c r="M1293" s="83" t="str">
        <f>VLOOKUP(K1293,[4]在职!$A:$B,2,0)</f>
        <v>01589</v>
      </c>
      <c r="N1293" s="83" t="str">
        <f>VLOOKUP(K1293,[4]在职!$A:$G,7,0)</f>
        <v>陕西1部</v>
      </c>
      <c r="O1293" s="83" t="str">
        <f>VLOOKUP(K1293,[4]在职!$A:$I,9,0)</f>
        <v>一星销售顾问</v>
      </c>
      <c r="P1293" s="83">
        <f>VLOOKUP(K1293,[4]在职!$A:$D,4,0)</f>
        <v>45843</v>
      </c>
      <c r="Q1293" s="102">
        <v>0</v>
      </c>
      <c r="R1293" s="102">
        <v>0</v>
      </c>
      <c r="S1293" s="104">
        <v>0</v>
      </c>
    </row>
    <row r="1294" ht="16.5" hidden="1" spans="1:19">
      <c r="A1294" s="46">
        <v>1300</v>
      </c>
      <c r="B1294" s="46" t="s">
        <v>45</v>
      </c>
      <c r="C1294" s="7" t="s">
        <v>38</v>
      </c>
      <c r="D1294" s="46" t="s">
        <v>27</v>
      </c>
      <c r="E1294" s="46" t="s">
        <v>902</v>
      </c>
      <c r="F1294" s="46" t="s">
        <v>903</v>
      </c>
      <c r="G1294" s="46" t="s">
        <v>904</v>
      </c>
      <c r="H1294" s="46" t="s">
        <v>1433</v>
      </c>
      <c r="I1294" s="46" t="s">
        <v>905</v>
      </c>
      <c r="J1294" s="83">
        <v>46093</v>
      </c>
      <c r="K1294" s="5" t="s">
        <v>1500</v>
      </c>
      <c r="L1294" s="84" t="s">
        <v>907</v>
      </c>
      <c r="M1294" s="83" t="str">
        <f>VLOOKUP(K1294,[4]在职!$A:$B,2,0)</f>
        <v>01785</v>
      </c>
      <c r="N1294" s="83" t="str">
        <f>VLOOKUP(K1294,[4]在职!$A:$G,7,0)</f>
        <v>营业二部</v>
      </c>
      <c r="O1294" s="83" t="str">
        <f>VLOOKUP(K1294,[4]在职!$A:$I,9,0)</f>
        <v>一星销售顾问</v>
      </c>
      <c r="P1294" s="83">
        <f>VLOOKUP(K1294,[4]在职!$A:$D,4,0)</f>
        <v>45971</v>
      </c>
      <c r="Q1294" s="102">
        <v>0</v>
      </c>
      <c r="R1294" s="102">
        <v>0</v>
      </c>
      <c r="S1294" s="104">
        <v>0</v>
      </c>
    </row>
    <row r="1295" ht="16.5" hidden="1" spans="1:19">
      <c r="A1295" s="46">
        <v>1301</v>
      </c>
      <c r="B1295" s="46" t="s">
        <v>45</v>
      </c>
      <c r="C1295" s="7" t="s">
        <v>38</v>
      </c>
      <c r="D1295" s="46" t="s">
        <v>27</v>
      </c>
      <c r="E1295" s="46" t="s">
        <v>902</v>
      </c>
      <c r="F1295" s="46" t="s">
        <v>903</v>
      </c>
      <c r="G1295" s="46" t="s">
        <v>904</v>
      </c>
      <c r="H1295" s="46" t="s">
        <v>1433</v>
      </c>
      <c r="I1295" s="46" t="s">
        <v>905</v>
      </c>
      <c r="J1295" s="83">
        <v>46093</v>
      </c>
      <c r="K1295" s="5" t="s">
        <v>1064</v>
      </c>
      <c r="L1295" s="84" t="s">
        <v>907</v>
      </c>
      <c r="M1295" s="83" t="str">
        <f>VLOOKUP(K1295,[4]在职!$A:$B,2,0)</f>
        <v>00569</v>
      </c>
      <c r="N1295" s="83" t="str">
        <f>VLOOKUP(K1295,[4]在职!$A:$G,7,0)</f>
        <v>营业二部</v>
      </c>
      <c r="O1295" s="83" t="str">
        <f>VLOOKUP(K1295,[4]在职!$A:$I,9,0)</f>
        <v>二星销售顾问</v>
      </c>
      <c r="P1295" s="83">
        <f>VLOOKUP(K1295,[4]在职!$A:$D,4,0)</f>
        <v>45849</v>
      </c>
      <c r="Q1295" s="102">
        <v>0</v>
      </c>
      <c r="R1295" s="102">
        <v>0</v>
      </c>
      <c r="S1295" s="104">
        <v>0</v>
      </c>
    </row>
    <row r="1296" ht="16.5" hidden="1" spans="1:19">
      <c r="A1296" s="46">
        <v>1302</v>
      </c>
      <c r="B1296" s="46" t="s">
        <v>45</v>
      </c>
      <c r="C1296" s="7" t="s">
        <v>38</v>
      </c>
      <c r="D1296" s="46" t="s">
        <v>27</v>
      </c>
      <c r="E1296" s="46" t="s">
        <v>902</v>
      </c>
      <c r="F1296" s="46" t="s">
        <v>903</v>
      </c>
      <c r="G1296" s="46" t="s">
        <v>904</v>
      </c>
      <c r="H1296" s="46" t="s">
        <v>1433</v>
      </c>
      <c r="I1296" s="46" t="s">
        <v>905</v>
      </c>
      <c r="J1296" s="83">
        <v>46093</v>
      </c>
      <c r="K1296" s="5" t="s">
        <v>1501</v>
      </c>
      <c r="L1296" s="84" t="s">
        <v>907</v>
      </c>
      <c r="M1296" s="83" t="str">
        <f>VLOOKUP(K1296,[4]在职!$A:$B,2,0)</f>
        <v>01540</v>
      </c>
      <c r="N1296" s="83" t="str">
        <f>VLOOKUP(K1296,[4]在职!$A:$G,7,0)</f>
        <v>营业三部</v>
      </c>
      <c r="O1296" s="83" t="str">
        <f>VLOOKUP(K1296,[4]在职!$A:$I,9,0)</f>
        <v>一星销售顾问</v>
      </c>
      <c r="P1296" s="83">
        <f>VLOOKUP(K1296,[4]在职!$A:$D,4,0)</f>
        <v>45821</v>
      </c>
      <c r="Q1296" s="102">
        <v>0</v>
      </c>
      <c r="R1296" s="102">
        <v>0</v>
      </c>
      <c r="S1296" s="104">
        <v>0</v>
      </c>
    </row>
    <row r="1297" ht="16.5" hidden="1" spans="1:19">
      <c r="A1297" s="46">
        <v>1303</v>
      </c>
      <c r="B1297" s="46" t="s">
        <v>45</v>
      </c>
      <c r="C1297" s="7" t="s">
        <v>29</v>
      </c>
      <c r="D1297" s="46" t="s">
        <v>27</v>
      </c>
      <c r="E1297" s="46" t="s">
        <v>902</v>
      </c>
      <c r="F1297" s="46" t="s">
        <v>903</v>
      </c>
      <c r="G1297" s="46" t="s">
        <v>904</v>
      </c>
      <c r="H1297" s="46" t="s">
        <v>1433</v>
      </c>
      <c r="I1297" s="46" t="s">
        <v>905</v>
      </c>
      <c r="J1297" s="83">
        <v>46093</v>
      </c>
      <c r="K1297" s="5" t="s">
        <v>1502</v>
      </c>
      <c r="L1297" s="84" t="s">
        <v>907</v>
      </c>
      <c r="M1297" s="83" t="str">
        <f>VLOOKUP(K1297,[4]在职!$A:$B,2,0)</f>
        <v>01529</v>
      </c>
      <c r="N1297" s="83" t="str">
        <f>VLOOKUP(K1297,[4]在职!$A:$G,7,0)</f>
        <v>河南销售部</v>
      </c>
      <c r="O1297" s="83" t="str">
        <f>VLOOKUP(K1297,[4]在职!$A:$I,9,0)</f>
        <v>一星销售顾问</v>
      </c>
      <c r="P1297" s="83">
        <f>VLOOKUP(K1297,[4]在职!$A:$D,4,0)</f>
        <v>45822</v>
      </c>
      <c r="Q1297" s="102">
        <v>0</v>
      </c>
      <c r="R1297" s="102">
        <v>0</v>
      </c>
      <c r="S1297" s="104">
        <v>0</v>
      </c>
    </row>
    <row r="1298" ht="16.5" hidden="1" spans="1:19">
      <c r="A1298" s="46">
        <v>1304</v>
      </c>
      <c r="B1298" s="46" t="s">
        <v>45</v>
      </c>
      <c r="C1298" s="7" t="s">
        <v>38</v>
      </c>
      <c r="D1298" s="46" t="s">
        <v>27</v>
      </c>
      <c r="E1298" s="46" t="s">
        <v>902</v>
      </c>
      <c r="F1298" s="46" t="s">
        <v>903</v>
      </c>
      <c r="G1298" s="46" t="s">
        <v>904</v>
      </c>
      <c r="H1298" s="46" t="s">
        <v>1433</v>
      </c>
      <c r="I1298" s="46" t="s">
        <v>905</v>
      </c>
      <c r="J1298" s="83">
        <v>46093</v>
      </c>
      <c r="K1298" s="5" t="s">
        <v>1503</v>
      </c>
      <c r="L1298" s="84" t="s">
        <v>907</v>
      </c>
      <c r="M1298" s="83" t="str">
        <f>VLOOKUP(K1298,[4]在职!$A:$B,2,0)</f>
        <v>01560</v>
      </c>
      <c r="N1298" s="83" t="str">
        <f>VLOOKUP(K1298,[4]在职!$A:$G,7,0)</f>
        <v>营业五部</v>
      </c>
      <c r="O1298" s="83" t="str">
        <f>VLOOKUP(K1298,[4]在职!$A:$I,9,0)</f>
        <v>一星销售顾问</v>
      </c>
      <c r="P1298" s="83">
        <f>VLOOKUP(K1298,[4]在职!$A:$D,4,0)</f>
        <v>45838</v>
      </c>
      <c r="Q1298" s="102">
        <v>0</v>
      </c>
      <c r="R1298" s="102">
        <v>0</v>
      </c>
      <c r="S1298" s="104">
        <v>0</v>
      </c>
    </row>
    <row r="1299" ht="16.5" hidden="1" spans="1:19">
      <c r="A1299" s="46">
        <v>1305</v>
      </c>
      <c r="B1299" s="46" t="s">
        <v>45</v>
      </c>
      <c r="C1299" s="7" t="s">
        <v>38</v>
      </c>
      <c r="D1299" s="7" t="s">
        <v>30</v>
      </c>
      <c r="E1299" s="7" t="s">
        <v>1504</v>
      </c>
      <c r="F1299" s="7" t="s">
        <v>1077</v>
      </c>
      <c r="G1299" s="7" t="s">
        <v>904</v>
      </c>
      <c r="H1299" s="7" t="s">
        <v>1433</v>
      </c>
      <c r="I1299" s="7" t="s">
        <v>1389</v>
      </c>
      <c r="J1299" s="83">
        <v>46097</v>
      </c>
      <c r="K1299" s="7" t="s">
        <v>1408</v>
      </c>
      <c r="L1299" s="7" t="s">
        <v>915</v>
      </c>
      <c r="M1299" s="5" t="s">
        <v>1409</v>
      </c>
      <c r="N1299" s="7" t="str">
        <f>VLOOKUP(K1299,[5]在职!$A:$G,7,0)</f>
        <v>营业七部</v>
      </c>
      <c r="O1299" s="7" t="str">
        <f>VLOOKUP(K1299,[5]在职!$A:$I,9,0)</f>
        <v>三星销售顾问</v>
      </c>
      <c r="P1299" s="83">
        <f>VLOOKUP(K1299,[5]在职!$A:$D,4,0)</f>
        <v>45723</v>
      </c>
      <c r="Q1299" s="102">
        <v>5</v>
      </c>
      <c r="R1299" s="102">
        <v>5</v>
      </c>
      <c r="S1299" s="104">
        <v>90</v>
      </c>
    </row>
    <row r="1300" ht="16.5" hidden="1" spans="1:19">
      <c r="A1300" s="46">
        <v>1306</v>
      </c>
      <c r="B1300" s="46" t="s">
        <v>45</v>
      </c>
      <c r="C1300" s="7" t="s">
        <v>38</v>
      </c>
      <c r="D1300" s="7" t="s">
        <v>30</v>
      </c>
      <c r="E1300" s="7" t="s">
        <v>1504</v>
      </c>
      <c r="F1300" s="7" t="s">
        <v>1077</v>
      </c>
      <c r="G1300" s="7" t="s">
        <v>904</v>
      </c>
      <c r="H1300" s="7" t="s">
        <v>1433</v>
      </c>
      <c r="I1300" s="7" t="s">
        <v>1389</v>
      </c>
      <c r="J1300" s="83">
        <v>46097</v>
      </c>
      <c r="K1300" s="7" t="s">
        <v>1410</v>
      </c>
      <c r="L1300" s="7" t="s">
        <v>915</v>
      </c>
      <c r="M1300" s="5" t="s">
        <v>1411</v>
      </c>
      <c r="N1300" s="7" t="str">
        <f>VLOOKUP(K1300,[5]在职!$A:$G,7,0)</f>
        <v>营业二部</v>
      </c>
      <c r="O1300" s="7" t="str">
        <f>VLOOKUP(K1300,[5]在职!$A:$I,9,0)</f>
        <v>B岗经理</v>
      </c>
      <c r="P1300" s="83">
        <f>VLOOKUP(K1300,[5]在职!$A:$D,4,0)</f>
        <v>45377</v>
      </c>
      <c r="Q1300" s="102">
        <v>5</v>
      </c>
      <c r="R1300" s="102">
        <v>5</v>
      </c>
      <c r="S1300" s="104">
        <v>80</v>
      </c>
    </row>
    <row r="1301" ht="16.5" hidden="1" spans="1:19">
      <c r="A1301" s="46">
        <v>1307</v>
      </c>
      <c r="B1301" s="46" t="s">
        <v>45</v>
      </c>
      <c r="C1301" s="7" t="s">
        <v>38</v>
      </c>
      <c r="D1301" s="7" t="s">
        <v>30</v>
      </c>
      <c r="E1301" s="7" t="s">
        <v>1504</v>
      </c>
      <c r="F1301" s="7" t="s">
        <v>1077</v>
      </c>
      <c r="G1301" s="7" t="s">
        <v>904</v>
      </c>
      <c r="H1301" s="7" t="s">
        <v>1433</v>
      </c>
      <c r="I1301" s="7" t="s">
        <v>1389</v>
      </c>
      <c r="J1301" s="83">
        <v>46097</v>
      </c>
      <c r="K1301" s="7" t="s">
        <v>1424</v>
      </c>
      <c r="L1301" s="7" t="s">
        <v>915</v>
      </c>
      <c r="M1301" s="5" t="s">
        <v>1425</v>
      </c>
      <c r="N1301" s="7" t="str">
        <f>VLOOKUP(K1301,[5]在职!$A:$G,7,0)</f>
        <v>营业六部</v>
      </c>
      <c r="O1301" s="7" t="str">
        <f>VLOOKUP(K1301,[5]在职!$A:$I,9,0)</f>
        <v>B岗经理</v>
      </c>
      <c r="P1301" s="83">
        <f>VLOOKUP(K1301,[5]在职!$A:$D,4,0)</f>
        <v>45616</v>
      </c>
      <c r="Q1301" s="102">
        <v>5</v>
      </c>
      <c r="R1301" s="102">
        <v>5</v>
      </c>
      <c r="S1301" s="104">
        <v>70</v>
      </c>
    </row>
    <row r="1302" ht="16.5" hidden="1" spans="1:19">
      <c r="A1302" s="46">
        <v>1308</v>
      </c>
      <c r="B1302" s="46" t="s">
        <v>45</v>
      </c>
      <c r="C1302" s="7" t="s">
        <v>38</v>
      </c>
      <c r="D1302" s="7" t="s">
        <v>30</v>
      </c>
      <c r="E1302" s="7" t="s">
        <v>1504</v>
      </c>
      <c r="F1302" s="7" t="s">
        <v>1077</v>
      </c>
      <c r="G1302" s="7" t="s">
        <v>904</v>
      </c>
      <c r="H1302" s="7" t="s">
        <v>1433</v>
      </c>
      <c r="I1302" s="7" t="s">
        <v>1389</v>
      </c>
      <c r="J1302" s="83">
        <v>46097</v>
      </c>
      <c r="K1302" s="7" t="s">
        <v>1396</v>
      </c>
      <c r="L1302" s="7" t="s">
        <v>915</v>
      </c>
      <c r="M1302" s="5" t="s">
        <v>1397</v>
      </c>
      <c r="N1302" s="7" t="str">
        <f>VLOOKUP(K1302,[5]在职!$A:$G,7,0)</f>
        <v>营业五部</v>
      </c>
      <c r="O1302" s="7" t="str">
        <f>VLOOKUP(K1302,[5]在职!$A:$I,9,0)</f>
        <v>B岗经理</v>
      </c>
      <c r="P1302" s="83">
        <f>VLOOKUP(K1302,[5]在职!$A:$D,4,0)</f>
        <v>45705</v>
      </c>
      <c r="Q1302" s="102">
        <v>5</v>
      </c>
      <c r="R1302" s="102">
        <v>5</v>
      </c>
      <c r="S1302" s="104">
        <v>80</v>
      </c>
    </row>
    <row r="1303" ht="16.5" hidden="1" spans="1:19">
      <c r="A1303" s="46">
        <v>1309</v>
      </c>
      <c r="B1303" s="46" t="s">
        <v>45</v>
      </c>
      <c r="C1303" s="7" t="s">
        <v>37</v>
      </c>
      <c r="D1303" s="7" t="s">
        <v>30</v>
      </c>
      <c r="E1303" s="7" t="s">
        <v>1504</v>
      </c>
      <c r="F1303" s="7" t="s">
        <v>1077</v>
      </c>
      <c r="G1303" s="7" t="s">
        <v>904</v>
      </c>
      <c r="H1303" s="7" t="s">
        <v>1433</v>
      </c>
      <c r="I1303" s="7" t="s">
        <v>1389</v>
      </c>
      <c r="J1303" s="83">
        <v>46097</v>
      </c>
      <c r="K1303" s="7" t="s">
        <v>1406</v>
      </c>
      <c r="L1303" s="7" t="s">
        <v>915</v>
      </c>
      <c r="M1303" s="5" t="s">
        <v>1407</v>
      </c>
      <c r="N1303" s="7" t="str">
        <f>VLOOKUP(K1303,[5]在职!$A:$G,7,0)</f>
        <v>陕西1部</v>
      </c>
      <c r="O1303" s="7" t="str">
        <f>VLOOKUP(K1303,[5]在职!$A:$I,9,0)</f>
        <v>三星销售顾问</v>
      </c>
      <c r="P1303" s="83">
        <f>VLOOKUP(K1303,[5]在职!$A:$D,4,0)</f>
        <v>45467</v>
      </c>
      <c r="Q1303" s="102">
        <v>5</v>
      </c>
      <c r="R1303" s="102">
        <v>5</v>
      </c>
      <c r="S1303" s="104">
        <v>60</v>
      </c>
    </row>
    <row r="1304" ht="16.5" hidden="1" spans="1:19">
      <c r="A1304" s="46">
        <v>1310</v>
      </c>
      <c r="B1304" s="46" t="s">
        <v>45</v>
      </c>
      <c r="C1304" s="7" t="s">
        <v>35</v>
      </c>
      <c r="D1304" s="7" t="s">
        <v>30</v>
      </c>
      <c r="E1304" s="7" t="s">
        <v>1504</v>
      </c>
      <c r="F1304" s="7" t="s">
        <v>1077</v>
      </c>
      <c r="G1304" s="7" t="s">
        <v>904</v>
      </c>
      <c r="H1304" s="7" t="s">
        <v>1433</v>
      </c>
      <c r="I1304" s="7" t="s">
        <v>1389</v>
      </c>
      <c r="J1304" s="83">
        <v>46097</v>
      </c>
      <c r="K1304" s="7" t="s">
        <v>1416</v>
      </c>
      <c r="L1304" s="7" t="s">
        <v>915</v>
      </c>
      <c r="M1304" s="5" t="s">
        <v>1417</v>
      </c>
      <c r="N1304" s="7" t="str">
        <f>VLOOKUP(K1304,[5]在职!$A:$G,7,0)</f>
        <v>山东销售部</v>
      </c>
      <c r="O1304" s="7" t="str">
        <f>VLOOKUP(K1304,[5]在职!$A:$I,9,0)</f>
        <v>三星销售顾问</v>
      </c>
      <c r="P1304" s="83">
        <f>VLOOKUP(K1304,[5]在职!$A:$D,4,0)</f>
        <v>45505</v>
      </c>
      <c r="Q1304" s="102">
        <v>5</v>
      </c>
      <c r="R1304" s="102">
        <v>5</v>
      </c>
      <c r="S1304" s="104">
        <v>60</v>
      </c>
    </row>
    <row r="1305" ht="16.5" hidden="1" spans="1:19">
      <c r="A1305" s="46">
        <v>1311</v>
      </c>
      <c r="B1305" s="46" t="s">
        <v>45</v>
      </c>
      <c r="C1305" s="7" t="s">
        <v>38</v>
      </c>
      <c r="D1305" s="7" t="s">
        <v>30</v>
      </c>
      <c r="E1305" s="7" t="s">
        <v>1504</v>
      </c>
      <c r="F1305" s="7" t="s">
        <v>1077</v>
      </c>
      <c r="G1305" s="7" t="s">
        <v>904</v>
      </c>
      <c r="H1305" s="7" t="s">
        <v>1433</v>
      </c>
      <c r="I1305" s="7" t="s">
        <v>1389</v>
      </c>
      <c r="J1305" s="83">
        <v>46097</v>
      </c>
      <c r="K1305" s="7" t="s">
        <v>1426</v>
      </c>
      <c r="L1305" s="7" t="s">
        <v>915</v>
      </c>
      <c r="M1305" s="5" t="s">
        <v>1427</v>
      </c>
      <c r="N1305" s="7" t="str">
        <f>VLOOKUP(K1305,[5]在职!$A:$G,7,0)</f>
        <v>营业五部</v>
      </c>
      <c r="O1305" s="7" t="str">
        <f>VLOOKUP(K1305,[5]在职!$A:$I,9,0)</f>
        <v>B岗经理</v>
      </c>
      <c r="P1305" s="83">
        <f>VLOOKUP(K1305,[5]在职!$A:$D,4,0)</f>
        <v>45821</v>
      </c>
      <c r="Q1305" s="102">
        <v>5</v>
      </c>
      <c r="R1305" s="102">
        <v>5</v>
      </c>
      <c r="S1305" s="104">
        <v>40</v>
      </c>
    </row>
    <row r="1306" ht="16.5" hidden="1" spans="1:19">
      <c r="A1306" s="46">
        <v>1312</v>
      </c>
      <c r="B1306" s="46" t="s">
        <v>45</v>
      </c>
      <c r="C1306" s="7" t="s">
        <v>38</v>
      </c>
      <c r="D1306" s="7" t="s">
        <v>30</v>
      </c>
      <c r="E1306" s="7" t="s">
        <v>1504</v>
      </c>
      <c r="F1306" s="7" t="s">
        <v>1077</v>
      </c>
      <c r="G1306" s="7" t="s">
        <v>904</v>
      </c>
      <c r="H1306" s="7" t="s">
        <v>1433</v>
      </c>
      <c r="I1306" s="7" t="s">
        <v>1389</v>
      </c>
      <c r="J1306" s="83">
        <v>46097</v>
      </c>
      <c r="K1306" s="7" t="s">
        <v>1392</v>
      </c>
      <c r="L1306" s="7" t="s">
        <v>915</v>
      </c>
      <c r="M1306" s="5" t="s">
        <v>1393</v>
      </c>
      <c r="N1306" s="7" t="str">
        <f>VLOOKUP(K1306,[5]在职!$A:$G,7,0)</f>
        <v>营业二部</v>
      </c>
      <c r="O1306" s="7" t="str">
        <f>VLOOKUP(K1306,[5]在职!$A:$I,9,0)</f>
        <v>三星销售顾问</v>
      </c>
      <c r="P1306" s="83">
        <f>VLOOKUP(K1306,[5]在职!$A:$D,4,0)</f>
        <v>45586</v>
      </c>
      <c r="Q1306" s="102">
        <v>5</v>
      </c>
      <c r="R1306" s="102">
        <v>5</v>
      </c>
      <c r="S1306" s="104">
        <v>70</v>
      </c>
    </row>
    <row r="1307" ht="16.5" hidden="1" spans="1:19">
      <c r="A1307" s="46">
        <v>1313</v>
      </c>
      <c r="B1307" s="46" t="s">
        <v>45</v>
      </c>
      <c r="C1307" s="7" t="s">
        <v>38</v>
      </c>
      <c r="D1307" s="7" t="s">
        <v>30</v>
      </c>
      <c r="E1307" s="7" t="s">
        <v>1504</v>
      </c>
      <c r="F1307" s="7" t="s">
        <v>1077</v>
      </c>
      <c r="G1307" s="7" t="s">
        <v>904</v>
      </c>
      <c r="H1307" s="7" t="s">
        <v>1433</v>
      </c>
      <c r="I1307" s="7" t="s">
        <v>1389</v>
      </c>
      <c r="J1307" s="83">
        <v>46097</v>
      </c>
      <c r="K1307" s="7" t="s">
        <v>1418</v>
      </c>
      <c r="L1307" s="7" t="s">
        <v>915</v>
      </c>
      <c r="M1307" s="5" t="s">
        <v>1419</v>
      </c>
      <c r="N1307" s="7" t="str">
        <f>VLOOKUP(K1307,[5]在职!$A:$G,7,0)</f>
        <v>营业二部</v>
      </c>
      <c r="O1307" s="7" t="str">
        <f>VLOOKUP(K1307,[5]在职!$A:$I,9,0)</f>
        <v>三星销售顾问</v>
      </c>
      <c r="P1307" s="83">
        <f>VLOOKUP(K1307,[5]在职!$A:$D,4,0)</f>
        <v>45097</v>
      </c>
      <c r="Q1307" s="102">
        <v>5</v>
      </c>
      <c r="R1307" s="102">
        <v>5</v>
      </c>
      <c r="S1307" s="104">
        <v>60</v>
      </c>
    </row>
    <row r="1308" ht="16.5" hidden="1" spans="1:19">
      <c r="A1308" s="46">
        <v>1314</v>
      </c>
      <c r="B1308" s="46" t="s">
        <v>45</v>
      </c>
      <c r="C1308" s="7" t="s">
        <v>38</v>
      </c>
      <c r="D1308" s="7" t="s">
        <v>30</v>
      </c>
      <c r="E1308" s="7" t="s">
        <v>1504</v>
      </c>
      <c r="F1308" s="7" t="s">
        <v>1077</v>
      </c>
      <c r="G1308" s="7" t="s">
        <v>904</v>
      </c>
      <c r="H1308" s="7" t="s">
        <v>1433</v>
      </c>
      <c r="I1308" s="7" t="s">
        <v>1389</v>
      </c>
      <c r="J1308" s="83">
        <v>46097</v>
      </c>
      <c r="K1308" s="7" t="s">
        <v>1398</v>
      </c>
      <c r="L1308" s="7" t="s">
        <v>915</v>
      </c>
      <c r="M1308" s="5" t="s">
        <v>1399</v>
      </c>
      <c r="N1308" s="7" t="str">
        <f>VLOOKUP(K1308,[5]在职!$A:$G,7,0)</f>
        <v>营业二部</v>
      </c>
      <c r="O1308" s="7" t="str">
        <f>VLOOKUP(K1308,[5]在职!$A:$I,9,0)</f>
        <v>三星销售顾问</v>
      </c>
      <c r="P1308" s="83">
        <f>VLOOKUP(K1308,[5]在职!$A:$D,4,0)</f>
        <v>45475</v>
      </c>
      <c r="Q1308" s="102">
        <v>5</v>
      </c>
      <c r="R1308" s="102">
        <v>5</v>
      </c>
      <c r="S1308" s="104">
        <v>70</v>
      </c>
    </row>
    <row r="1309" ht="16.5" hidden="1" spans="1:19">
      <c r="A1309" s="46">
        <v>1315</v>
      </c>
      <c r="B1309" s="46" t="s">
        <v>45</v>
      </c>
      <c r="C1309" s="7" t="s">
        <v>38</v>
      </c>
      <c r="D1309" s="7" t="s">
        <v>30</v>
      </c>
      <c r="E1309" s="7" t="s">
        <v>1504</v>
      </c>
      <c r="F1309" s="7" t="s">
        <v>1077</v>
      </c>
      <c r="G1309" s="7" t="s">
        <v>904</v>
      </c>
      <c r="H1309" s="7" t="s">
        <v>1433</v>
      </c>
      <c r="I1309" s="7" t="s">
        <v>1389</v>
      </c>
      <c r="J1309" s="83">
        <v>46097</v>
      </c>
      <c r="K1309" s="7" t="s">
        <v>1404</v>
      </c>
      <c r="L1309" s="7" t="s">
        <v>915</v>
      </c>
      <c r="M1309" s="5" t="s">
        <v>1405</v>
      </c>
      <c r="N1309" s="7" t="str">
        <f>VLOOKUP(K1309,[5]在职!$A:$G,7,0)</f>
        <v>营业七部</v>
      </c>
      <c r="O1309" s="7" t="str">
        <f>VLOOKUP(K1309,[5]在职!$A:$I,9,0)</f>
        <v>三星销售顾问</v>
      </c>
      <c r="P1309" s="83">
        <f>VLOOKUP(K1309,[5]在职!$A:$D,4,0)</f>
        <v>45425</v>
      </c>
      <c r="Q1309" s="102">
        <v>0</v>
      </c>
      <c r="R1309" s="102">
        <v>0</v>
      </c>
      <c r="S1309" s="104">
        <v>60</v>
      </c>
    </row>
    <row r="1310" ht="16.5" hidden="1" spans="1:19">
      <c r="A1310" s="46">
        <v>1316</v>
      </c>
      <c r="B1310" s="46" t="s">
        <v>45</v>
      </c>
      <c r="C1310" s="46" t="s">
        <v>24</v>
      </c>
      <c r="D1310" s="7" t="s">
        <v>30</v>
      </c>
      <c r="E1310" s="7" t="s">
        <v>1504</v>
      </c>
      <c r="F1310" s="7" t="s">
        <v>1077</v>
      </c>
      <c r="G1310" s="7" t="s">
        <v>904</v>
      </c>
      <c r="H1310" s="7" t="s">
        <v>1433</v>
      </c>
      <c r="I1310" s="7" t="s">
        <v>1389</v>
      </c>
      <c r="J1310" s="83">
        <v>46097</v>
      </c>
      <c r="K1310" s="7" t="s">
        <v>1394</v>
      </c>
      <c r="L1310" s="7" t="s">
        <v>915</v>
      </c>
      <c r="M1310" s="5" t="s">
        <v>1395</v>
      </c>
      <c r="N1310" s="7" t="str">
        <f>VLOOKUP(K1310,[5]在职!$A:$G,7,0)</f>
        <v>陕西1部</v>
      </c>
      <c r="O1310" s="7" t="str">
        <f>VLOOKUP(K1310,[5]在职!$A:$I,9,0)</f>
        <v>三星销售顾问</v>
      </c>
      <c r="P1310" s="83">
        <f>VLOOKUP(K1310,[5]在职!$A:$D,4,0)</f>
        <v>45602</v>
      </c>
      <c r="Q1310" s="102">
        <v>5</v>
      </c>
      <c r="R1310" s="102">
        <v>5</v>
      </c>
      <c r="S1310" s="104">
        <v>70</v>
      </c>
    </row>
    <row r="1311" ht="16.5" hidden="1" spans="1:19">
      <c r="A1311" s="46">
        <v>1317</v>
      </c>
      <c r="B1311" s="46" t="s">
        <v>45</v>
      </c>
      <c r="C1311" s="7" t="s">
        <v>36</v>
      </c>
      <c r="D1311" s="7" t="s">
        <v>30</v>
      </c>
      <c r="E1311" s="7" t="s">
        <v>1504</v>
      </c>
      <c r="F1311" s="7" t="s">
        <v>1077</v>
      </c>
      <c r="G1311" s="7" t="s">
        <v>904</v>
      </c>
      <c r="H1311" s="7" t="s">
        <v>1433</v>
      </c>
      <c r="I1311" s="7" t="s">
        <v>1389</v>
      </c>
      <c r="J1311" s="83">
        <v>46097</v>
      </c>
      <c r="K1311" s="7" t="s">
        <v>1414</v>
      </c>
      <c r="L1311" s="7" t="s">
        <v>915</v>
      </c>
      <c r="M1311" s="5" t="s">
        <v>1415</v>
      </c>
      <c r="N1311" s="7" t="str">
        <f>VLOOKUP(K1311,[5]在职!$A:$G,7,0)</f>
        <v>山西销售部</v>
      </c>
      <c r="O1311" s="7" t="str">
        <f>VLOOKUP(K1311,[5]在职!$A:$I,9,0)</f>
        <v>三星销售顾问</v>
      </c>
      <c r="P1311" s="83">
        <f>VLOOKUP(K1311,[5]在职!$A:$D,4,0)</f>
        <v>45539</v>
      </c>
      <c r="Q1311" s="102">
        <v>5</v>
      </c>
      <c r="R1311" s="102">
        <v>5</v>
      </c>
      <c r="S1311" s="104">
        <v>40</v>
      </c>
    </row>
    <row r="1312" ht="16.5" hidden="1" spans="1:19">
      <c r="A1312" s="46">
        <v>1318</v>
      </c>
      <c r="B1312" s="46" t="s">
        <v>45</v>
      </c>
      <c r="C1312" s="7" t="s">
        <v>32</v>
      </c>
      <c r="D1312" s="7" t="s">
        <v>30</v>
      </c>
      <c r="E1312" s="7" t="s">
        <v>1504</v>
      </c>
      <c r="F1312" s="7" t="s">
        <v>1077</v>
      </c>
      <c r="G1312" s="7" t="s">
        <v>904</v>
      </c>
      <c r="H1312" s="7" t="s">
        <v>1433</v>
      </c>
      <c r="I1312" s="7" t="s">
        <v>1389</v>
      </c>
      <c r="J1312" s="83">
        <v>46097</v>
      </c>
      <c r="K1312" s="7" t="s">
        <v>1428</v>
      </c>
      <c r="L1312" s="7" t="s">
        <v>915</v>
      </c>
      <c r="M1312" s="5" t="s">
        <v>1429</v>
      </c>
      <c r="N1312" s="7" t="str">
        <f>VLOOKUP(K1312,[5]在职!$A:$G,7,0)</f>
        <v>湖南销售部</v>
      </c>
      <c r="O1312" s="7" t="str">
        <f>VLOOKUP(K1312,[5]在职!$A:$I,9,0)</f>
        <v>三星销售顾问</v>
      </c>
      <c r="P1312" s="83">
        <f>VLOOKUP(K1312,[5]在职!$A:$D,4,0)</f>
        <v>45353</v>
      </c>
      <c r="Q1312" s="102">
        <v>5</v>
      </c>
      <c r="R1312" s="102">
        <v>5</v>
      </c>
      <c r="S1312" s="104">
        <v>30</v>
      </c>
    </row>
    <row r="1313" ht="16.5" hidden="1" spans="1:19">
      <c r="A1313" s="46">
        <v>1319</v>
      </c>
      <c r="B1313" s="46" t="s">
        <v>45</v>
      </c>
      <c r="C1313" s="7" t="s">
        <v>31</v>
      </c>
      <c r="D1313" s="7" t="s">
        <v>30</v>
      </c>
      <c r="E1313" s="7" t="s">
        <v>1504</v>
      </c>
      <c r="F1313" s="7" t="s">
        <v>1077</v>
      </c>
      <c r="G1313" s="7" t="s">
        <v>904</v>
      </c>
      <c r="H1313" s="7" t="s">
        <v>1433</v>
      </c>
      <c r="I1313" s="7" t="s">
        <v>1389</v>
      </c>
      <c r="J1313" s="83">
        <v>46097</v>
      </c>
      <c r="K1313" s="7" t="s">
        <v>1390</v>
      </c>
      <c r="L1313" s="7" t="s">
        <v>915</v>
      </c>
      <c r="M1313" s="5" t="s">
        <v>1391</v>
      </c>
      <c r="N1313" s="7" t="str">
        <f>VLOOKUP(K1313,[5]在职!$A:$G,7,0)</f>
        <v>湖北2部</v>
      </c>
      <c r="O1313" s="7" t="str">
        <f>VLOOKUP(K1313,[5]在职!$A:$I,9,0)</f>
        <v>三星销售顾问</v>
      </c>
      <c r="P1313" s="83">
        <f>VLOOKUP(K1313,[5]在职!$A:$D,4,0)</f>
        <v>45706</v>
      </c>
      <c r="Q1313" s="102">
        <v>5</v>
      </c>
      <c r="R1313" s="102">
        <v>5</v>
      </c>
      <c r="S1313" s="104">
        <v>70</v>
      </c>
    </row>
    <row r="1314" ht="16.5" hidden="1" spans="1:19">
      <c r="A1314" s="46">
        <v>1320</v>
      </c>
      <c r="B1314" s="46" t="s">
        <v>45</v>
      </c>
      <c r="C1314" s="7" t="s">
        <v>29</v>
      </c>
      <c r="D1314" s="7" t="s">
        <v>30</v>
      </c>
      <c r="E1314" s="7" t="s">
        <v>1504</v>
      </c>
      <c r="F1314" s="7" t="s">
        <v>1077</v>
      </c>
      <c r="G1314" s="7" t="s">
        <v>904</v>
      </c>
      <c r="H1314" s="7" t="s">
        <v>1433</v>
      </c>
      <c r="I1314" s="7" t="s">
        <v>1389</v>
      </c>
      <c r="J1314" s="83">
        <v>46097</v>
      </c>
      <c r="K1314" s="7" t="s">
        <v>1402</v>
      </c>
      <c r="L1314" s="7" t="s">
        <v>915</v>
      </c>
      <c r="M1314" s="5" t="s">
        <v>1403</v>
      </c>
      <c r="N1314" s="7" t="str">
        <f>VLOOKUP(K1314,[5]在职!$A:$G,7,0)</f>
        <v>河南销售部</v>
      </c>
      <c r="O1314" s="7" t="str">
        <f>VLOOKUP(K1314,[5]在职!$A:$I,9,0)</f>
        <v>二星销售顾问</v>
      </c>
      <c r="P1314" s="83">
        <f>VLOOKUP(K1314,[5]在职!$A:$D,4,0)</f>
        <v>45743</v>
      </c>
      <c r="Q1314" s="102">
        <v>5</v>
      </c>
      <c r="R1314" s="102">
        <v>5</v>
      </c>
      <c r="S1314" s="104">
        <v>70</v>
      </c>
    </row>
    <row r="1315" ht="16.5" hidden="1" spans="1:19">
      <c r="A1315" s="46">
        <v>1321</v>
      </c>
      <c r="B1315" s="46" t="s">
        <v>45</v>
      </c>
      <c r="C1315" s="7" t="s">
        <v>26</v>
      </c>
      <c r="D1315" s="7" t="s">
        <v>30</v>
      </c>
      <c r="E1315" s="7" t="s">
        <v>1504</v>
      </c>
      <c r="F1315" s="7" t="s">
        <v>1077</v>
      </c>
      <c r="G1315" s="7" t="s">
        <v>904</v>
      </c>
      <c r="H1315" s="7" t="s">
        <v>1433</v>
      </c>
      <c r="I1315" s="7" t="s">
        <v>1389</v>
      </c>
      <c r="J1315" s="83">
        <v>46097</v>
      </c>
      <c r="K1315" s="7" t="s">
        <v>1420</v>
      </c>
      <c r="L1315" s="7" t="s">
        <v>915</v>
      </c>
      <c r="M1315" s="5" t="s">
        <v>1421</v>
      </c>
      <c r="N1315" s="7" t="str">
        <f>VLOOKUP(K1315,[5]在职!$A:$G,7,0)</f>
        <v>河北销售部</v>
      </c>
      <c r="O1315" s="7" t="str">
        <f>VLOOKUP(K1315,[5]在职!$A:$I,9,0)</f>
        <v>二星销售顾问</v>
      </c>
      <c r="P1315" s="83">
        <f>VLOOKUP(K1315,[5]在职!$A:$D,4,0)</f>
        <v>45790</v>
      </c>
      <c r="Q1315" s="102">
        <v>5</v>
      </c>
      <c r="R1315" s="102">
        <v>5</v>
      </c>
      <c r="S1315" s="104">
        <v>80</v>
      </c>
    </row>
    <row r="1316" ht="16.5" hidden="1" spans="1:19">
      <c r="A1316" s="46">
        <v>1322</v>
      </c>
      <c r="B1316" s="46" t="s">
        <v>45</v>
      </c>
      <c r="C1316" s="46" t="s">
        <v>38</v>
      </c>
      <c r="D1316" s="46" t="s">
        <v>30</v>
      </c>
      <c r="E1316" s="46" t="s">
        <v>1505</v>
      </c>
      <c r="F1316" s="46" t="s">
        <v>1363</v>
      </c>
      <c r="G1316" s="46" t="s">
        <v>904</v>
      </c>
      <c r="H1316" s="46" t="s">
        <v>1433</v>
      </c>
      <c r="I1316" s="46" t="s">
        <v>1351</v>
      </c>
      <c r="J1316" s="83">
        <v>46098</v>
      </c>
      <c r="K1316" s="7" t="s">
        <v>1408</v>
      </c>
      <c r="L1316" s="7" t="s">
        <v>915</v>
      </c>
      <c r="M1316" s="5" t="s">
        <v>1409</v>
      </c>
      <c r="N1316" s="7" t="str">
        <f>VLOOKUP(K1316,[5]在职!$A:$G,7,0)</f>
        <v>营业七部</v>
      </c>
      <c r="O1316" s="7" t="str">
        <f>VLOOKUP(K1316,[5]在职!$A:$I,9,0)</f>
        <v>三星销售顾问</v>
      </c>
      <c r="P1316" s="83">
        <f>VLOOKUP(K1316,[5]在职!$A:$D,4,0)</f>
        <v>45723</v>
      </c>
      <c r="Q1316" s="102">
        <v>5</v>
      </c>
      <c r="R1316" s="102">
        <v>5</v>
      </c>
      <c r="S1316" s="104" t="s">
        <v>1351</v>
      </c>
    </row>
    <row r="1317" ht="16.5" hidden="1" spans="1:19">
      <c r="A1317" s="46">
        <v>1323</v>
      </c>
      <c r="B1317" s="46" t="s">
        <v>45</v>
      </c>
      <c r="C1317" s="46" t="s">
        <v>38</v>
      </c>
      <c r="D1317" s="46" t="s">
        <v>30</v>
      </c>
      <c r="E1317" s="46" t="s">
        <v>1505</v>
      </c>
      <c r="F1317" s="46" t="s">
        <v>1363</v>
      </c>
      <c r="G1317" s="46" t="s">
        <v>904</v>
      </c>
      <c r="H1317" s="46" t="s">
        <v>1433</v>
      </c>
      <c r="I1317" s="46" t="s">
        <v>1351</v>
      </c>
      <c r="J1317" s="83">
        <v>46098</v>
      </c>
      <c r="K1317" s="7" t="s">
        <v>1410</v>
      </c>
      <c r="L1317" s="7" t="s">
        <v>915</v>
      </c>
      <c r="M1317" s="5" t="s">
        <v>1411</v>
      </c>
      <c r="N1317" s="7" t="str">
        <f>VLOOKUP(K1317,[5]在职!$A:$G,7,0)</f>
        <v>营业二部</v>
      </c>
      <c r="O1317" s="7" t="str">
        <f>VLOOKUP(K1317,[5]在职!$A:$I,9,0)</f>
        <v>B岗经理</v>
      </c>
      <c r="P1317" s="83">
        <f>VLOOKUP(K1317,[5]在职!$A:$D,4,0)</f>
        <v>45377</v>
      </c>
      <c r="Q1317" s="102">
        <v>5</v>
      </c>
      <c r="R1317" s="102">
        <v>5</v>
      </c>
      <c r="S1317" s="104" t="s">
        <v>1351</v>
      </c>
    </row>
    <row r="1318" ht="16.5" hidden="1" spans="1:19">
      <c r="A1318" s="46">
        <v>1324</v>
      </c>
      <c r="B1318" s="46" t="s">
        <v>45</v>
      </c>
      <c r="C1318" s="46" t="s">
        <v>38</v>
      </c>
      <c r="D1318" s="46" t="s">
        <v>30</v>
      </c>
      <c r="E1318" s="46" t="s">
        <v>1505</v>
      </c>
      <c r="F1318" s="46" t="s">
        <v>1363</v>
      </c>
      <c r="G1318" s="46" t="s">
        <v>904</v>
      </c>
      <c r="H1318" s="46" t="s">
        <v>1433</v>
      </c>
      <c r="I1318" s="46" t="s">
        <v>1351</v>
      </c>
      <c r="J1318" s="83">
        <v>46098</v>
      </c>
      <c r="K1318" s="7" t="s">
        <v>1424</v>
      </c>
      <c r="L1318" s="7" t="s">
        <v>915</v>
      </c>
      <c r="M1318" s="5" t="s">
        <v>1425</v>
      </c>
      <c r="N1318" s="7" t="str">
        <f>VLOOKUP(K1318,[5]在职!$A:$G,7,0)</f>
        <v>营业六部</v>
      </c>
      <c r="O1318" s="7" t="str">
        <f>VLOOKUP(K1318,[5]在职!$A:$I,9,0)</f>
        <v>B岗经理</v>
      </c>
      <c r="P1318" s="83">
        <f>VLOOKUP(K1318,[5]在职!$A:$D,4,0)</f>
        <v>45616</v>
      </c>
      <c r="Q1318" s="102">
        <v>5</v>
      </c>
      <c r="R1318" s="102">
        <v>5</v>
      </c>
      <c r="S1318" s="104" t="s">
        <v>1351</v>
      </c>
    </row>
    <row r="1319" ht="16.5" hidden="1" spans="1:19">
      <c r="A1319" s="46">
        <v>1325</v>
      </c>
      <c r="B1319" s="46" t="s">
        <v>45</v>
      </c>
      <c r="C1319" s="46" t="s">
        <v>38</v>
      </c>
      <c r="D1319" s="46" t="s">
        <v>30</v>
      </c>
      <c r="E1319" s="46" t="s">
        <v>1505</v>
      </c>
      <c r="F1319" s="46" t="s">
        <v>1363</v>
      </c>
      <c r="G1319" s="46" t="s">
        <v>904</v>
      </c>
      <c r="H1319" s="46" t="s">
        <v>1433</v>
      </c>
      <c r="I1319" s="46" t="s">
        <v>1351</v>
      </c>
      <c r="J1319" s="83">
        <v>46098</v>
      </c>
      <c r="K1319" s="7" t="s">
        <v>1396</v>
      </c>
      <c r="L1319" s="7" t="s">
        <v>915</v>
      </c>
      <c r="M1319" s="5" t="s">
        <v>1397</v>
      </c>
      <c r="N1319" s="7" t="str">
        <f>VLOOKUP(K1319,[5]在职!$A:$G,7,0)</f>
        <v>营业五部</v>
      </c>
      <c r="O1319" s="7" t="str">
        <f>VLOOKUP(K1319,[5]在职!$A:$I,9,0)</f>
        <v>B岗经理</v>
      </c>
      <c r="P1319" s="83">
        <f>VLOOKUP(K1319,[5]在职!$A:$D,4,0)</f>
        <v>45705</v>
      </c>
      <c r="Q1319" s="102">
        <v>5</v>
      </c>
      <c r="R1319" s="102">
        <v>5</v>
      </c>
      <c r="S1319" s="104" t="s">
        <v>1351</v>
      </c>
    </row>
    <row r="1320" ht="16.5" hidden="1" spans="1:19">
      <c r="A1320" s="46">
        <v>1326</v>
      </c>
      <c r="B1320" s="46" t="s">
        <v>45</v>
      </c>
      <c r="C1320" s="46" t="s">
        <v>37</v>
      </c>
      <c r="D1320" s="46" t="s">
        <v>30</v>
      </c>
      <c r="E1320" s="46" t="s">
        <v>1505</v>
      </c>
      <c r="F1320" s="46" t="s">
        <v>1363</v>
      </c>
      <c r="G1320" s="46" t="s">
        <v>904</v>
      </c>
      <c r="H1320" s="46" t="s">
        <v>1433</v>
      </c>
      <c r="I1320" s="46" t="s">
        <v>1351</v>
      </c>
      <c r="J1320" s="83">
        <v>46098</v>
      </c>
      <c r="K1320" s="7" t="s">
        <v>1406</v>
      </c>
      <c r="L1320" s="7" t="s">
        <v>915</v>
      </c>
      <c r="M1320" s="5" t="s">
        <v>1407</v>
      </c>
      <c r="N1320" s="7" t="str">
        <f>VLOOKUP(K1320,[5]在职!$A:$G,7,0)</f>
        <v>陕西1部</v>
      </c>
      <c r="O1320" s="7" t="str">
        <f>VLOOKUP(K1320,[5]在职!$A:$I,9,0)</f>
        <v>三星销售顾问</v>
      </c>
      <c r="P1320" s="83">
        <f>VLOOKUP(K1320,[5]在职!$A:$D,4,0)</f>
        <v>45467</v>
      </c>
      <c r="Q1320" s="102">
        <v>5</v>
      </c>
      <c r="R1320" s="102">
        <v>5</v>
      </c>
      <c r="S1320" s="104" t="s">
        <v>1351</v>
      </c>
    </row>
    <row r="1321" ht="16.5" hidden="1" spans="1:19">
      <c r="A1321" s="46">
        <v>1327</v>
      </c>
      <c r="B1321" s="46" t="s">
        <v>45</v>
      </c>
      <c r="C1321" s="46" t="s">
        <v>35</v>
      </c>
      <c r="D1321" s="46" t="s">
        <v>30</v>
      </c>
      <c r="E1321" s="46" t="s">
        <v>1505</v>
      </c>
      <c r="F1321" s="46" t="s">
        <v>1363</v>
      </c>
      <c r="G1321" s="46" t="s">
        <v>904</v>
      </c>
      <c r="H1321" s="46" t="s">
        <v>1433</v>
      </c>
      <c r="I1321" s="46" t="s">
        <v>1351</v>
      </c>
      <c r="J1321" s="83">
        <v>46098</v>
      </c>
      <c r="K1321" s="7" t="s">
        <v>1416</v>
      </c>
      <c r="L1321" s="7" t="s">
        <v>915</v>
      </c>
      <c r="M1321" s="5" t="s">
        <v>1417</v>
      </c>
      <c r="N1321" s="7" t="str">
        <f>VLOOKUP(K1321,[5]在职!$A:$G,7,0)</f>
        <v>山东销售部</v>
      </c>
      <c r="O1321" s="7" t="str">
        <f>VLOOKUP(K1321,[5]在职!$A:$I,9,0)</f>
        <v>三星销售顾问</v>
      </c>
      <c r="P1321" s="83">
        <f>VLOOKUP(K1321,[5]在职!$A:$D,4,0)</f>
        <v>45505</v>
      </c>
      <c r="Q1321" s="102">
        <v>5</v>
      </c>
      <c r="R1321" s="102">
        <v>5</v>
      </c>
      <c r="S1321" s="104" t="s">
        <v>1351</v>
      </c>
    </row>
    <row r="1322" ht="16.5" hidden="1" spans="1:19">
      <c r="A1322" s="46">
        <v>1328</v>
      </c>
      <c r="B1322" s="46" t="s">
        <v>45</v>
      </c>
      <c r="C1322" s="46" t="s">
        <v>38</v>
      </c>
      <c r="D1322" s="46" t="s">
        <v>30</v>
      </c>
      <c r="E1322" s="46" t="s">
        <v>1505</v>
      </c>
      <c r="F1322" s="46" t="s">
        <v>1363</v>
      </c>
      <c r="G1322" s="46" t="s">
        <v>904</v>
      </c>
      <c r="H1322" s="46" t="s">
        <v>1433</v>
      </c>
      <c r="I1322" s="46" t="s">
        <v>1351</v>
      </c>
      <c r="J1322" s="83">
        <v>46098</v>
      </c>
      <c r="K1322" s="7" t="s">
        <v>1426</v>
      </c>
      <c r="L1322" s="7" t="s">
        <v>915</v>
      </c>
      <c r="M1322" s="5" t="s">
        <v>1427</v>
      </c>
      <c r="N1322" s="7" t="str">
        <f>VLOOKUP(K1322,[5]在职!$A:$G,7,0)</f>
        <v>营业五部</v>
      </c>
      <c r="O1322" s="7" t="str">
        <f>VLOOKUP(K1322,[5]在职!$A:$I,9,0)</f>
        <v>B岗经理</v>
      </c>
      <c r="P1322" s="83">
        <f>VLOOKUP(K1322,[5]在职!$A:$D,4,0)</f>
        <v>45821</v>
      </c>
      <c r="Q1322" s="102">
        <v>5</v>
      </c>
      <c r="R1322" s="102">
        <v>4.8</v>
      </c>
      <c r="S1322" s="104" t="s">
        <v>1351</v>
      </c>
    </row>
    <row r="1323" ht="16.5" hidden="1" spans="1:19">
      <c r="A1323" s="46">
        <v>1329</v>
      </c>
      <c r="B1323" s="46" t="s">
        <v>45</v>
      </c>
      <c r="C1323" s="46" t="s">
        <v>38</v>
      </c>
      <c r="D1323" s="46" t="s">
        <v>30</v>
      </c>
      <c r="E1323" s="46" t="s">
        <v>1505</v>
      </c>
      <c r="F1323" s="46" t="s">
        <v>1363</v>
      </c>
      <c r="G1323" s="46" t="s">
        <v>904</v>
      </c>
      <c r="H1323" s="46" t="s">
        <v>1433</v>
      </c>
      <c r="I1323" s="46" t="s">
        <v>1351</v>
      </c>
      <c r="J1323" s="83">
        <v>46098</v>
      </c>
      <c r="K1323" s="7" t="s">
        <v>1392</v>
      </c>
      <c r="L1323" s="7" t="s">
        <v>915</v>
      </c>
      <c r="M1323" s="5" t="s">
        <v>1393</v>
      </c>
      <c r="N1323" s="7" t="str">
        <f>VLOOKUP(K1323,[5]在职!$A:$G,7,0)</f>
        <v>营业二部</v>
      </c>
      <c r="O1323" s="7" t="str">
        <f>VLOOKUP(K1323,[5]在职!$A:$I,9,0)</f>
        <v>三星销售顾问</v>
      </c>
      <c r="P1323" s="83">
        <f>VLOOKUP(K1323,[5]在职!$A:$D,4,0)</f>
        <v>45586</v>
      </c>
      <c r="Q1323" s="102">
        <v>5</v>
      </c>
      <c r="R1323" s="102">
        <v>5</v>
      </c>
      <c r="S1323" s="104" t="s">
        <v>1351</v>
      </c>
    </row>
    <row r="1324" ht="16.5" hidden="1" spans="1:19">
      <c r="A1324" s="46">
        <v>1330</v>
      </c>
      <c r="B1324" s="46" t="s">
        <v>45</v>
      </c>
      <c r="C1324" s="46" t="s">
        <v>38</v>
      </c>
      <c r="D1324" s="46" t="s">
        <v>30</v>
      </c>
      <c r="E1324" s="46" t="s">
        <v>1505</v>
      </c>
      <c r="F1324" s="46" t="s">
        <v>1363</v>
      </c>
      <c r="G1324" s="46" t="s">
        <v>904</v>
      </c>
      <c r="H1324" s="46" t="s">
        <v>1433</v>
      </c>
      <c r="I1324" s="46" t="s">
        <v>1351</v>
      </c>
      <c r="J1324" s="83">
        <v>46098</v>
      </c>
      <c r="K1324" s="7" t="s">
        <v>1418</v>
      </c>
      <c r="L1324" s="7" t="s">
        <v>915</v>
      </c>
      <c r="M1324" s="5" t="s">
        <v>1419</v>
      </c>
      <c r="N1324" s="7" t="str">
        <f>VLOOKUP(K1324,[5]在职!$A:$G,7,0)</f>
        <v>营业二部</v>
      </c>
      <c r="O1324" s="7" t="str">
        <f>VLOOKUP(K1324,[5]在职!$A:$I,9,0)</f>
        <v>三星销售顾问</v>
      </c>
      <c r="P1324" s="83">
        <f>VLOOKUP(K1324,[5]在职!$A:$D,4,0)</f>
        <v>45097</v>
      </c>
      <c r="Q1324" s="102">
        <v>5</v>
      </c>
      <c r="R1324" s="102">
        <v>5</v>
      </c>
      <c r="S1324" s="104" t="s">
        <v>1351</v>
      </c>
    </row>
    <row r="1325" ht="16.5" hidden="1" spans="1:19">
      <c r="A1325" s="46">
        <v>1331</v>
      </c>
      <c r="B1325" s="46" t="s">
        <v>45</v>
      </c>
      <c r="C1325" s="46" t="s">
        <v>38</v>
      </c>
      <c r="D1325" s="46" t="s">
        <v>30</v>
      </c>
      <c r="E1325" s="46" t="s">
        <v>1505</v>
      </c>
      <c r="F1325" s="46" t="s">
        <v>1363</v>
      </c>
      <c r="G1325" s="46" t="s">
        <v>904</v>
      </c>
      <c r="H1325" s="46" t="s">
        <v>1433</v>
      </c>
      <c r="I1325" s="46" t="s">
        <v>1351</v>
      </c>
      <c r="J1325" s="83">
        <v>46098</v>
      </c>
      <c r="K1325" s="7" t="s">
        <v>1398</v>
      </c>
      <c r="L1325" s="7" t="s">
        <v>915</v>
      </c>
      <c r="M1325" s="5" t="s">
        <v>1399</v>
      </c>
      <c r="N1325" s="7" t="str">
        <f>VLOOKUP(K1325,[5]在职!$A:$G,7,0)</f>
        <v>营业二部</v>
      </c>
      <c r="O1325" s="7" t="str">
        <f>VLOOKUP(K1325,[5]在职!$A:$I,9,0)</f>
        <v>三星销售顾问</v>
      </c>
      <c r="P1325" s="83">
        <f>VLOOKUP(K1325,[5]在职!$A:$D,4,0)</f>
        <v>45475</v>
      </c>
      <c r="Q1325" s="102">
        <v>5</v>
      </c>
      <c r="R1325" s="102">
        <v>5</v>
      </c>
      <c r="S1325" s="104" t="s">
        <v>1351</v>
      </c>
    </row>
    <row r="1326" ht="16.5" hidden="1" spans="1:19">
      <c r="A1326" s="46">
        <v>1332</v>
      </c>
      <c r="B1326" s="46" t="s">
        <v>45</v>
      </c>
      <c r="C1326" s="46" t="s">
        <v>38</v>
      </c>
      <c r="D1326" s="46" t="s">
        <v>30</v>
      </c>
      <c r="E1326" s="46" t="s">
        <v>1505</v>
      </c>
      <c r="F1326" s="46" t="s">
        <v>1363</v>
      </c>
      <c r="G1326" s="46" t="s">
        <v>904</v>
      </c>
      <c r="H1326" s="46" t="s">
        <v>1433</v>
      </c>
      <c r="I1326" s="46" t="s">
        <v>1351</v>
      </c>
      <c r="J1326" s="83">
        <v>46098</v>
      </c>
      <c r="K1326" s="7" t="s">
        <v>1404</v>
      </c>
      <c r="L1326" s="7" t="s">
        <v>915</v>
      </c>
      <c r="M1326" s="5" t="s">
        <v>1405</v>
      </c>
      <c r="N1326" s="7" t="str">
        <f>VLOOKUP(K1326,[5]在职!$A:$G,7,0)</f>
        <v>营业七部</v>
      </c>
      <c r="O1326" s="7" t="str">
        <f>VLOOKUP(K1326,[5]在职!$A:$I,9,0)</f>
        <v>三星销售顾问</v>
      </c>
      <c r="P1326" s="83">
        <f>VLOOKUP(K1326,[5]在职!$A:$D,4,0)</f>
        <v>45425</v>
      </c>
      <c r="Q1326" s="102">
        <v>5</v>
      </c>
      <c r="R1326" s="102">
        <v>5</v>
      </c>
      <c r="S1326" s="104" t="s">
        <v>1351</v>
      </c>
    </row>
    <row r="1327" ht="16.5" hidden="1" spans="1:19">
      <c r="A1327" s="46">
        <v>1333</v>
      </c>
      <c r="B1327" s="46" t="s">
        <v>45</v>
      </c>
      <c r="C1327" s="46" t="s">
        <v>24</v>
      </c>
      <c r="D1327" s="46" t="s">
        <v>30</v>
      </c>
      <c r="E1327" s="46" t="s">
        <v>1505</v>
      </c>
      <c r="F1327" s="46" t="s">
        <v>1363</v>
      </c>
      <c r="G1327" s="46" t="s">
        <v>904</v>
      </c>
      <c r="H1327" s="46" t="s">
        <v>1433</v>
      </c>
      <c r="I1327" s="46" t="s">
        <v>1351</v>
      </c>
      <c r="J1327" s="83">
        <v>46098</v>
      </c>
      <c r="K1327" s="7" t="s">
        <v>1394</v>
      </c>
      <c r="L1327" s="7" t="s">
        <v>915</v>
      </c>
      <c r="M1327" s="5" t="s">
        <v>1395</v>
      </c>
      <c r="N1327" s="7" t="str">
        <f>VLOOKUP(K1327,[5]在职!$A:$G,7,0)</f>
        <v>陕西1部</v>
      </c>
      <c r="O1327" s="7" t="str">
        <f>VLOOKUP(K1327,[5]在职!$A:$I,9,0)</f>
        <v>三星销售顾问</v>
      </c>
      <c r="P1327" s="83">
        <f>VLOOKUP(K1327,[5]在职!$A:$D,4,0)</f>
        <v>45602</v>
      </c>
      <c r="Q1327" s="102">
        <v>5</v>
      </c>
      <c r="R1327" s="102">
        <v>5</v>
      </c>
      <c r="S1327" s="104" t="s">
        <v>1351</v>
      </c>
    </row>
    <row r="1328" ht="16.5" hidden="1" spans="1:19">
      <c r="A1328" s="46">
        <v>1334</v>
      </c>
      <c r="B1328" s="46" t="s">
        <v>45</v>
      </c>
      <c r="C1328" s="46" t="s">
        <v>36</v>
      </c>
      <c r="D1328" s="46" t="s">
        <v>30</v>
      </c>
      <c r="E1328" s="46" t="s">
        <v>1505</v>
      </c>
      <c r="F1328" s="46" t="s">
        <v>1363</v>
      </c>
      <c r="G1328" s="46" t="s">
        <v>904</v>
      </c>
      <c r="H1328" s="46" t="s">
        <v>1433</v>
      </c>
      <c r="I1328" s="46" t="s">
        <v>1351</v>
      </c>
      <c r="J1328" s="83">
        <v>46098</v>
      </c>
      <c r="K1328" s="7" t="s">
        <v>1414</v>
      </c>
      <c r="L1328" s="7" t="s">
        <v>915</v>
      </c>
      <c r="M1328" s="5" t="s">
        <v>1415</v>
      </c>
      <c r="N1328" s="7" t="str">
        <f>VLOOKUP(K1328,[5]在职!$A:$G,7,0)</f>
        <v>山西销售部</v>
      </c>
      <c r="O1328" s="7" t="str">
        <f>VLOOKUP(K1328,[5]在职!$A:$I,9,0)</f>
        <v>三星销售顾问</v>
      </c>
      <c r="P1328" s="83">
        <f>VLOOKUP(K1328,[5]在职!$A:$D,4,0)</f>
        <v>45539</v>
      </c>
      <c r="Q1328" s="102">
        <v>5</v>
      </c>
      <c r="R1328" s="102">
        <v>5</v>
      </c>
      <c r="S1328" s="104" t="s">
        <v>1351</v>
      </c>
    </row>
    <row r="1329" ht="16.5" hidden="1" spans="1:19">
      <c r="A1329" s="46">
        <v>1335</v>
      </c>
      <c r="B1329" s="46" t="s">
        <v>45</v>
      </c>
      <c r="C1329" s="46" t="s">
        <v>32</v>
      </c>
      <c r="D1329" s="46" t="s">
        <v>30</v>
      </c>
      <c r="E1329" s="46" t="s">
        <v>1505</v>
      </c>
      <c r="F1329" s="46" t="s">
        <v>1363</v>
      </c>
      <c r="G1329" s="46" t="s">
        <v>904</v>
      </c>
      <c r="H1329" s="46" t="s">
        <v>1433</v>
      </c>
      <c r="I1329" s="46" t="s">
        <v>1351</v>
      </c>
      <c r="J1329" s="83">
        <v>46098</v>
      </c>
      <c r="K1329" s="7" t="s">
        <v>1428</v>
      </c>
      <c r="L1329" s="7" t="s">
        <v>915</v>
      </c>
      <c r="M1329" s="5" t="s">
        <v>1429</v>
      </c>
      <c r="N1329" s="7" t="str">
        <f>VLOOKUP(K1329,[5]在职!$A:$G,7,0)</f>
        <v>湖南销售部</v>
      </c>
      <c r="O1329" s="7" t="str">
        <f>VLOOKUP(K1329,[5]在职!$A:$I,9,0)</f>
        <v>三星销售顾问</v>
      </c>
      <c r="P1329" s="83">
        <f>VLOOKUP(K1329,[5]在职!$A:$D,4,0)</f>
        <v>45353</v>
      </c>
      <c r="Q1329" s="102">
        <v>5</v>
      </c>
      <c r="R1329" s="102">
        <v>5</v>
      </c>
      <c r="S1329" s="104" t="s">
        <v>1351</v>
      </c>
    </row>
    <row r="1330" ht="16.5" hidden="1" spans="1:19">
      <c r="A1330" s="46">
        <v>1336</v>
      </c>
      <c r="B1330" s="46" t="s">
        <v>45</v>
      </c>
      <c r="C1330" s="46" t="s">
        <v>31</v>
      </c>
      <c r="D1330" s="46" t="s">
        <v>30</v>
      </c>
      <c r="E1330" s="46" t="s">
        <v>1505</v>
      </c>
      <c r="F1330" s="46" t="s">
        <v>1363</v>
      </c>
      <c r="G1330" s="46" t="s">
        <v>904</v>
      </c>
      <c r="H1330" s="46" t="s">
        <v>1433</v>
      </c>
      <c r="I1330" s="46" t="s">
        <v>1351</v>
      </c>
      <c r="J1330" s="83">
        <v>46098</v>
      </c>
      <c r="K1330" s="7" t="s">
        <v>1390</v>
      </c>
      <c r="L1330" s="7" t="s">
        <v>915</v>
      </c>
      <c r="M1330" s="5" t="s">
        <v>1391</v>
      </c>
      <c r="N1330" s="7" t="str">
        <f>VLOOKUP(K1330,[5]在职!$A:$G,7,0)</f>
        <v>湖北2部</v>
      </c>
      <c r="O1330" s="7" t="str">
        <f>VLOOKUP(K1330,[5]在职!$A:$I,9,0)</f>
        <v>三星销售顾问</v>
      </c>
      <c r="P1330" s="83">
        <f>VLOOKUP(K1330,[5]在职!$A:$D,4,0)</f>
        <v>45706</v>
      </c>
      <c r="Q1330" s="102">
        <v>5</v>
      </c>
      <c r="R1330" s="102">
        <v>5</v>
      </c>
      <c r="S1330" s="104" t="s">
        <v>1351</v>
      </c>
    </row>
    <row r="1331" ht="16.5" hidden="1" spans="1:19">
      <c r="A1331" s="46">
        <v>1337</v>
      </c>
      <c r="B1331" s="46" t="s">
        <v>45</v>
      </c>
      <c r="C1331" s="46" t="s">
        <v>29</v>
      </c>
      <c r="D1331" s="46" t="s">
        <v>30</v>
      </c>
      <c r="E1331" s="46" t="s">
        <v>1505</v>
      </c>
      <c r="F1331" s="46" t="s">
        <v>1363</v>
      </c>
      <c r="G1331" s="46" t="s">
        <v>904</v>
      </c>
      <c r="H1331" s="46" t="s">
        <v>1433</v>
      </c>
      <c r="I1331" s="46" t="s">
        <v>1351</v>
      </c>
      <c r="J1331" s="83">
        <v>46098</v>
      </c>
      <c r="K1331" s="7" t="s">
        <v>1402</v>
      </c>
      <c r="L1331" s="7" t="s">
        <v>915</v>
      </c>
      <c r="M1331" s="5" t="s">
        <v>1403</v>
      </c>
      <c r="N1331" s="7" t="str">
        <f>VLOOKUP(K1331,[5]在职!$A:$G,7,0)</f>
        <v>河南销售部</v>
      </c>
      <c r="O1331" s="7" t="str">
        <f>VLOOKUP(K1331,[5]在职!$A:$I,9,0)</f>
        <v>二星销售顾问</v>
      </c>
      <c r="P1331" s="83">
        <f>VLOOKUP(K1331,[5]在职!$A:$D,4,0)</f>
        <v>45743</v>
      </c>
      <c r="Q1331" s="102">
        <v>5</v>
      </c>
      <c r="R1331" s="102">
        <v>5</v>
      </c>
      <c r="S1331" s="104" t="s">
        <v>1351</v>
      </c>
    </row>
    <row r="1332" ht="16.5" hidden="1" spans="1:19">
      <c r="A1332" s="46">
        <v>1338</v>
      </c>
      <c r="B1332" s="46" t="s">
        <v>45</v>
      </c>
      <c r="C1332" s="46" t="s">
        <v>26</v>
      </c>
      <c r="D1332" s="46" t="s">
        <v>30</v>
      </c>
      <c r="E1332" s="46" t="s">
        <v>1505</v>
      </c>
      <c r="F1332" s="46" t="s">
        <v>1363</v>
      </c>
      <c r="G1332" s="46" t="s">
        <v>904</v>
      </c>
      <c r="H1332" s="46" t="s">
        <v>1433</v>
      </c>
      <c r="I1332" s="46" t="s">
        <v>1351</v>
      </c>
      <c r="J1332" s="83">
        <v>46098</v>
      </c>
      <c r="K1332" s="7" t="s">
        <v>1420</v>
      </c>
      <c r="L1332" s="7" t="s">
        <v>915</v>
      </c>
      <c r="M1332" s="5" t="s">
        <v>1421</v>
      </c>
      <c r="N1332" s="7" t="str">
        <f>VLOOKUP(K1332,[5]在职!$A:$G,7,0)</f>
        <v>河北销售部</v>
      </c>
      <c r="O1332" s="7" t="str">
        <f>VLOOKUP(K1332,[5]在职!$A:$I,9,0)</f>
        <v>二星销售顾问</v>
      </c>
      <c r="P1332" s="83">
        <f>VLOOKUP(K1332,[5]在职!$A:$D,4,0)</f>
        <v>45790</v>
      </c>
      <c r="Q1332" s="102">
        <v>0</v>
      </c>
      <c r="R1332" s="102">
        <v>0</v>
      </c>
      <c r="S1332" s="104" t="s">
        <v>1351</v>
      </c>
    </row>
    <row r="1333" ht="16.5" spans="1:19">
      <c r="A1333" s="46">
        <v>1339</v>
      </c>
      <c r="B1333" s="46" t="s">
        <v>45</v>
      </c>
      <c r="C1333" s="46" t="s">
        <v>29</v>
      </c>
      <c r="D1333" s="46" t="s">
        <v>25</v>
      </c>
      <c r="E1333" s="46" t="s">
        <v>1170</v>
      </c>
      <c r="F1333" s="46" t="s">
        <v>903</v>
      </c>
      <c r="G1333" s="46" t="s">
        <v>904</v>
      </c>
      <c r="H1333" s="46" t="s">
        <v>1433</v>
      </c>
      <c r="I1333" s="46" t="s">
        <v>905</v>
      </c>
      <c r="J1333" s="83">
        <v>46106</v>
      </c>
      <c r="K1333" s="46" t="s">
        <v>1506</v>
      </c>
      <c r="L1333" s="46" t="s">
        <v>915</v>
      </c>
      <c r="M1333" s="46" t="str">
        <f>VLOOKUP(K1333,[4]在职!$A:$B,2,0)</f>
        <v>00866</v>
      </c>
      <c r="N1333" s="46" t="str">
        <f>VLOOKUP(K1333,[4]在职!$A:$G,7,0)</f>
        <v>河南销售部</v>
      </c>
      <c r="O1333" s="46" t="str">
        <f>VLOOKUP(K1333,[4]在职!$A:$I,9,0)</f>
        <v>实习销售</v>
      </c>
      <c r="P1333" s="83">
        <f>VLOOKUP(K1333,[4]在职!$A:$D,4,0)</f>
        <v>46086</v>
      </c>
      <c r="Q1333" s="46">
        <v>4.75</v>
      </c>
      <c r="R1333" s="46">
        <v>5</v>
      </c>
      <c r="S1333" s="46">
        <v>100</v>
      </c>
    </row>
    <row r="1334" ht="16.5" spans="1:19">
      <c r="A1334" s="46">
        <v>1340</v>
      </c>
      <c r="B1334" s="46" t="s">
        <v>45</v>
      </c>
      <c r="C1334" s="46" t="s">
        <v>29</v>
      </c>
      <c r="D1334" s="46" t="s">
        <v>25</v>
      </c>
      <c r="E1334" s="46" t="s">
        <v>1170</v>
      </c>
      <c r="F1334" s="46" t="s">
        <v>903</v>
      </c>
      <c r="G1334" s="46" t="s">
        <v>904</v>
      </c>
      <c r="H1334" s="46" t="s">
        <v>1433</v>
      </c>
      <c r="I1334" s="46" t="s">
        <v>905</v>
      </c>
      <c r="J1334" s="83">
        <v>46106</v>
      </c>
      <c r="K1334" s="46" t="s">
        <v>1279</v>
      </c>
      <c r="L1334" s="46" t="s">
        <v>907</v>
      </c>
      <c r="M1334" s="46" t="str">
        <f>VLOOKUP(K1334,[4]在职!$A:$B,2,0)</f>
        <v>01610</v>
      </c>
      <c r="N1334" s="46" t="str">
        <f>VLOOKUP(K1334,[4]在职!$A:$G,7,0)</f>
        <v>河南销售部</v>
      </c>
      <c r="O1334" s="46" t="str">
        <f>VLOOKUP(K1334,[4]在职!$A:$I,9,0)</f>
        <v>实习销售</v>
      </c>
      <c r="P1334" s="83">
        <f>VLOOKUP(K1334,[4]在职!$A:$D,4,0)</f>
        <v>46018</v>
      </c>
      <c r="Q1334" s="105">
        <v>0</v>
      </c>
      <c r="R1334" s="105">
        <v>0</v>
      </c>
      <c r="S1334" s="46">
        <v>0</v>
      </c>
    </row>
    <row r="1335" ht="16.5" spans="1:19">
      <c r="A1335" s="46">
        <v>1341</v>
      </c>
      <c r="B1335" s="46" t="s">
        <v>45</v>
      </c>
      <c r="C1335" s="46" t="s">
        <v>29</v>
      </c>
      <c r="D1335" s="46" t="s">
        <v>25</v>
      </c>
      <c r="E1335" s="46" t="s">
        <v>1170</v>
      </c>
      <c r="F1335" s="46" t="s">
        <v>903</v>
      </c>
      <c r="G1335" s="46" t="s">
        <v>904</v>
      </c>
      <c r="H1335" s="46" t="s">
        <v>1433</v>
      </c>
      <c r="I1335" s="46" t="s">
        <v>905</v>
      </c>
      <c r="J1335" s="83">
        <v>46106</v>
      </c>
      <c r="K1335" s="46" t="s">
        <v>1205</v>
      </c>
      <c r="L1335" s="46" t="s">
        <v>915</v>
      </c>
      <c r="M1335" s="46" t="str">
        <f>VLOOKUP(K1335,[4]在职!$A:$B,2,0)</f>
        <v>01870</v>
      </c>
      <c r="N1335" s="46" t="str">
        <f>VLOOKUP(K1335,[4]在职!$A:$G,7,0)</f>
        <v>河南销售部</v>
      </c>
      <c r="O1335" s="46" t="str">
        <f>VLOOKUP(K1335,[4]在职!$A:$I,9,0)</f>
        <v>实习销售</v>
      </c>
      <c r="P1335" s="83">
        <f>VLOOKUP(K1335,[4]在职!$A:$D,4,0)</f>
        <v>46011</v>
      </c>
      <c r="Q1335" s="105">
        <v>5</v>
      </c>
      <c r="R1335" s="105">
        <v>5</v>
      </c>
      <c r="S1335" s="46">
        <v>95</v>
      </c>
    </row>
    <row r="1336" ht="16.5" spans="1:19">
      <c r="A1336" s="46">
        <v>1342</v>
      </c>
      <c r="B1336" s="46" t="s">
        <v>45</v>
      </c>
      <c r="C1336" s="46" t="s">
        <v>31</v>
      </c>
      <c r="D1336" s="46" t="s">
        <v>25</v>
      </c>
      <c r="E1336" s="46" t="s">
        <v>1170</v>
      </c>
      <c r="F1336" s="46" t="s">
        <v>903</v>
      </c>
      <c r="G1336" s="46" t="s">
        <v>904</v>
      </c>
      <c r="H1336" s="46" t="s">
        <v>1433</v>
      </c>
      <c r="I1336" s="46" t="s">
        <v>905</v>
      </c>
      <c r="J1336" s="83">
        <v>46106</v>
      </c>
      <c r="K1336" s="46" t="s">
        <v>1507</v>
      </c>
      <c r="L1336" s="46" t="s">
        <v>907</v>
      </c>
      <c r="M1336" s="46" t="str">
        <f>VLOOKUP(K1336,[4]在职!$A:$B,2,0)</f>
        <v>01944</v>
      </c>
      <c r="N1336" s="46" t="str">
        <f>VLOOKUP(K1336,[4]在职!$A:$G,7,0)</f>
        <v>湖北1部</v>
      </c>
      <c r="O1336" s="46" t="str">
        <f>VLOOKUP(K1336,[4]在职!$A:$I,9,0)</f>
        <v>实习销售</v>
      </c>
      <c r="P1336" s="83">
        <f>VLOOKUP(K1336,[4]在职!$A:$D,4,0)</f>
        <v>46081</v>
      </c>
      <c r="Q1336" s="105">
        <v>0</v>
      </c>
      <c r="R1336" s="105">
        <v>0</v>
      </c>
      <c r="S1336" s="46">
        <v>0</v>
      </c>
    </row>
    <row r="1337" ht="16.5" spans="1:19">
      <c r="A1337" s="46">
        <v>1343</v>
      </c>
      <c r="B1337" s="46" t="s">
        <v>45</v>
      </c>
      <c r="C1337" s="46" t="s">
        <v>31</v>
      </c>
      <c r="D1337" s="46" t="s">
        <v>25</v>
      </c>
      <c r="E1337" s="46" t="s">
        <v>1170</v>
      </c>
      <c r="F1337" s="46" t="s">
        <v>903</v>
      </c>
      <c r="G1337" s="46" t="s">
        <v>904</v>
      </c>
      <c r="H1337" s="46" t="s">
        <v>1433</v>
      </c>
      <c r="I1337" s="46" t="s">
        <v>905</v>
      </c>
      <c r="J1337" s="83">
        <v>46106</v>
      </c>
      <c r="K1337" s="46" t="s">
        <v>1508</v>
      </c>
      <c r="L1337" s="46" t="s">
        <v>915</v>
      </c>
      <c r="M1337" s="46" t="str">
        <f>VLOOKUP(K1337,[4]在职!$A:$B,2,0)</f>
        <v>01942</v>
      </c>
      <c r="N1337" s="46" t="str">
        <f>VLOOKUP(K1337,[4]在职!$A:$G,7,0)</f>
        <v>湖北2部</v>
      </c>
      <c r="O1337" s="46" t="str">
        <f>VLOOKUP(K1337,[4]在职!$A:$I,9,0)</f>
        <v>实习销售</v>
      </c>
      <c r="P1337" s="83">
        <f>VLOOKUP(K1337,[4]在职!$A:$D,4,0)</f>
        <v>46081</v>
      </c>
      <c r="Q1337" s="105">
        <v>5</v>
      </c>
      <c r="R1337" s="105">
        <v>5</v>
      </c>
      <c r="S1337" s="46">
        <v>80</v>
      </c>
    </row>
    <row r="1338" ht="16.5" spans="1:19">
      <c r="A1338" s="46">
        <v>1344</v>
      </c>
      <c r="B1338" s="46" t="s">
        <v>45</v>
      </c>
      <c r="C1338" s="46" t="s">
        <v>31</v>
      </c>
      <c r="D1338" s="46" t="s">
        <v>25</v>
      </c>
      <c r="E1338" s="46" t="s">
        <v>1170</v>
      </c>
      <c r="F1338" s="46" t="s">
        <v>903</v>
      </c>
      <c r="G1338" s="46" t="s">
        <v>904</v>
      </c>
      <c r="H1338" s="46" t="s">
        <v>1433</v>
      </c>
      <c r="I1338" s="46" t="s">
        <v>905</v>
      </c>
      <c r="J1338" s="83">
        <v>46106</v>
      </c>
      <c r="K1338" s="46" t="s">
        <v>1509</v>
      </c>
      <c r="L1338" s="46" t="s">
        <v>915</v>
      </c>
      <c r="M1338" s="46" t="str">
        <f>VLOOKUP(K1338,[4]在职!$A:$B,2,0)</f>
        <v>01946</v>
      </c>
      <c r="N1338" s="46" t="str">
        <f>VLOOKUP(K1338,[4]在职!$A:$G,7,0)</f>
        <v>湖北1部</v>
      </c>
      <c r="O1338" s="46" t="str">
        <f>VLOOKUP(K1338,[4]在职!$A:$I,9,0)</f>
        <v>实习销售</v>
      </c>
      <c r="P1338" s="83">
        <f>VLOOKUP(K1338,[4]在职!$A:$D,4,0)</f>
        <v>46082</v>
      </c>
      <c r="Q1338" s="105">
        <v>5</v>
      </c>
      <c r="R1338" s="105">
        <v>5</v>
      </c>
      <c r="S1338" s="46">
        <v>100</v>
      </c>
    </row>
    <row r="1339" ht="16.5" spans="1:19">
      <c r="A1339" s="46">
        <v>1345</v>
      </c>
      <c r="B1339" s="46" t="s">
        <v>45</v>
      </c>
      <c r="C1339" s="46" t="s">
        <v>31</v>
      </c>
      <c r="D1339" s="46" t="s">
        <v>25</v>
      </c>
      <c r="E1339" s="46" t="s">
        <v>1170</v>
      </c>
      <c r="F1339" s="46" t="s">
        <v>903</v>
      </c>
      <c r="G1339" s="46" t="s">
        <v>904</v>
      </c>
      <c r="H1339" s="46" t="s">
        <v>1433</v>
      </c>
      <c r="I1339" s="46" t="s">
        <v>905</v>
      </c>
      <c r="J1339" s="83">
        <v>46106</v>
      </c>
      <c r="K1339" s="46" t="s">
        <v>1510</v>
      </c>
      <c r="L1339" s="46" t="s">
        <v>915</v>
      </c>
      <c r="M1339" s="46" t="str">
        <f>VLOOKUP(K1339,[4]在职!$A:$B,2,0)</f>
        <v>01977</v>
      </c>
      <c r="N1339" s="46" t="str">
        <f>VLOOKUP(K1339,[4]在职!$A:$G,7,0)</f>
        <v>湖北1部</v>
      </c>
      <c r="O1339" s="46" t="str">
        <f>VLOOKUP(K1339,[4]在职!$A:$I,9,0)</f>
        <v>实习销售</v>
      </c>
      <c r="P1339" s="83">
        <f>VLOOKUP(K1339,[4]在职!$A:$D,4,0)</f>
        <v>46090</v>
      </c>
      <c r="Q1339" s="105">
        <v>5</v>
      </c>
      <c r="R1339" s="105">
        <v>5</v>
      </c>
      <c r="S1339" s="46">
        <v>100</v>
      </c>
    </row>
    <row r="1340" ht="16.5" spans="1:19">
      <c r="A1340" s="46">
        <v>1346</v>
      </c>
      <c r="B1340" s="46" t="s">
        <v>45</v>
      </c>
      <c r="C1340" s="46" t="s">
        <v>32</v>
      </c>
      <c r="D1340" s="46" t="s">
        <v>25</v>
      </c>
      <c r="E1340" s="46" t="s">
        <v>1170</v>
      </c>
      <c r="F1340" s="46" t="s">
        <v>903</v>
      </c>
      <c r="G1340" s="46" t="s">
        <v>904</v>
      </c>
      <c r="H1340" s="46" t="s">
        <v>1433</v>
      </c>
      <c r="I1340" s="46" t="s">
        <v>905</v>
      </c>
      <c r="J1340" s="83">
        <v>46106</v>
      </c>
      <c r="K1340" s="46" t="s">
        <v>1511</v>
      </c>
      <c r="L1340" s="46" t="s">
        <v>915</v>
      </c>
      <c r="M1340" s="46" t="str">
        <f>VLOOKUP(K1340,[4]在职!$A:$B,2,0)</f>
        <v>01926</v>
      </c>
      <c r="N1340" s="46" t="str">
        <f>VLOOKUP(K1340,[4]在职!$A:$G,7,0)</f>
        <v>湖南销售部</v>
      </c>
      <c r="O1340" s="46" t="str">
        <f>VLOOKUP(K1340,[4]在职!$A:$I,9,0)</f>
        <v>实习销售</v>
      </c>
      <c r="P1340" s="83">
        <f>VLOOKUP(K1340,[4]在职!$A:$D,4,0)</f>
        <v>46050</v>
      </c>
      <c r="Q1340" s="105">
        <v>0</v>
      </c>
      <c r="R1340" s="105">
        <v>0</v>
      </c>
      <c r="S1340" s="46">
        <v>100</v>
      </c>
    </row>
    <row r="1341" ht="16.5" spans="1:19">
      <c r="A1341" s="46">
        <v>1347</v>
      </c>
      <c r="B1341" s="46" t="s">
        <v>45</v>
      </c>
      <c r="C1341" s="46" t="s">
        <v>32</v>
      </c>
      <c r="D1341" s="46" t="s">
        <v>25</v>
      </c>
      <c r="E1341" s="46" t="s">
        <v>1170</v>
      </c>
      <c r="F1341" s="46" t="s">
        <v>903</v>
      </c>
      <c r="G1341" s="46" t="s">
        <v>904</v>
      </c>
      <c r="H1341" s="46" t="s">
        <v>1433</v>
      </c>
      <c r="I1341" s="46" t="s">
        <v>905</v>
      </c>
      <c r="J1341" s="83">
        <v>46106</v>
      </c>
      <c r="K1341" s="46" t="s">
        <v>1261</v>
      </c>
      <c r="L1341" s="46" t="s">
        <v>915</v>
      </c>
      <c r="M1341" s="46" t="str">
        <f>VLOOKUP(K1341,[4]在职!$A:$B,2,0)</f>
        <v>01907</v>
      </c>
      <c r="N1341" s="46" t="str">
        <f>VLOOKUP(K1341,[4]在职!$A:$G,7,0)</f>
        <v>湖南销售部</v>
      </c>
      <c r="O1341" s="46" t="str">
        <f>VLOOKUP(K1341,[4]在职!$A:$I,9,0)</f>
        <v>实习销售</v>
      </c>
      <c r="P1341" s="83">
        <f>VLOOKUP(K1341,[4]在职!$A:$D,4,0)</f>
        <v>46030</v>
      </c>
      <c r="Q1341" s="105">
        <v>5</v>
      </c>
      <c r="R1341" s="105">
        <v>5</v>
      </c>
      <c r="S1341" s="46">
        <v>100</v>
      </c>
    </row>
    <row r="1342" ht="16.5" spans="1:19">
      <c r="A1342" s="46">
        <v>1348</v>
      </c>
      <c r="B1342" s="46" t="s">
        <v>45</v>
      </c>
      <c r="C1342" s="46" t="s">
        <v>32</v>
      </c>
      <c r="D1342" s="46" t="s">
        <v>25</v>
      </c>
      <c r="E1342" s="46" t="s">
        <v>1170</v>
      </c>
      <c r="F1342" s="46" t="s">
        <v>903</v>
      </c>
      <c r="G1342" s="46" t="s">
        <v>904</v>
      </c>
      <c r="H1342" s="46" t="s">
        <v>1433</v>
      </c>
      <c r="I1342" s="46" t="s">
        <v>905</v>
      </c>
      <c r="J1342" s="83">
        <v>46106</v>
      </c>
      <c r="K1342" s="46" t="s">
        <v>1259</v>
      </c>
      <c r="L1342" s="46" t="s">
        <v>915</v>
      </c>
      <c r="M1342" s="46" t="str">
        <f>VLOOKUP(K1342,[4]在职!$A:$B,2,0)</f>
        <v>01873</v>
      </c>
      <c r="N1342" s="46" t="str">
        <f>VLOOKUP(K1342,[4]在职!$A:$G,7,0)</f>
        <v>湖南销售部</v>
      </c>
      <c r="O1342" s="46" t="str">
        <f>VLOOKUP(K1342,[4]在职!$A:$I,9,0)</f>
        <v>实习销售</v>
      </c>
      <c r="P1342" s="83">
        <f>VLOOKUP(K1342,[4]在职!$A:$D,4,0)</f>
        <v>46013</v>
      </c>
      <c r="Q1342" s="105">
        <v>5</v>
      </c>
      <c r="R1342" s="105">
        <v>5</v>
      </c>
      <c r="S1342" s="46">
        <v>100</v>
      </c>
    </row>
    <row r="1343" ht="16.5" spans="1:19">
      <c r="A1343" s="46">
        <v>1349</v>
      </c>
      <c r="B1343" s="46" t="s">
        <v>45</v>
      </c>
      <c r="C1343" s="46" t="s">
        <v>32</v>
      </c>
      <c r="D1343" s="46" t="s">
        <v>25</v>
      </c>
      <c r="E1343" s="46" t="s">
        <v>1170</v>
      </c>
      <c r="F1343" s="46" t="s">
        <v>903</v>
      </c>
      <c r="G1343" s="46" t="s">
        <v>904</v>
      </c>
      <c r="H1343" s="46" t="s">
        <v>1433</v>
      </c>
      <c r="I1343" s="46" t="s">
        <v>905</v>
      </c>
      <c r="J1343" s="83">
        <v>46106</v>
      </c>
      <c r="K1343" s="46" t="s">
        <v>1512</v>
      </c>
      <c r="L1343" s="46" t="s">
        <v>915</v>
      </c>
      <c r="M1343" s="46" t="str">
        <f>VLOOKUP(K1343,[4]在职!$A:$B,2,0)</f>
        <v>01920</v>
      </c>
      <c r="N1343" s="46" t="str">
        <f>VLOOKUP(K1343,[4]在职!$A:$G,7,0)</f>
        <v>湖南销售部</v>
      </c>
      <c r="O1343" s="46" t="str">
        <f>VLOOKUP(K1343,[4]在职!$A:$I,9,0)</f>
        <v>实习销售</v>
      </c>
      <c r="P1343" s="83">
        <f>VLOOKUP(K1343,[4]在职!$A:$D,4,0)</f>
        <v>46048</v>
      </c>
      <c r="Q1343" s="105">
        <v>5</v>
      </c>
      <c r="R1343" s="105">
        <v>5</v>
      </c>
      <c r="S1343" s="46">
        <v>100</v>
      </c>
    </row>
    <row r="1344" ht="16.5" spans="1:19">
      <c r="A1344" s="46">
        <v>1350</v>
      </c>
      <c r="B1344" s="46" t="s">
        <v>45</v>
      </c>
      <c r="C1344" s="46" t="s">
        <v>33</v>
      </c>
      <c r="D1344" s="46" t="s">
        <v>25</v>
      </c>
      <c r="E1344" s="46" t="s">
        <v>1170</v>
      </c>
      <c r="F1344" s="46" t="s">
        <v>903</v>
      </c>
      <c r="G1344" s="46" t="s">
        <v>904</v>
      </c>
      <c r="H1344" s="46" t="s">
        <v>1433</v>
      </c>
      <c r="I1344" s="46" t="s">
        <v>905</v>
      </c>
      <c r="J1344" s="83">
        <v>46106</v>
      </c>
      <c r="K1344" s="46" t="s">
        <v>1513</v>
      </c>
      <c r="L1344" s="46" t="s">
        <v>915</v>
      </c>
      <c r="M1344" s="46" t="str">
        <f>VLOOKUP(K1344,[4]在职!$A:$B,2,0)</f>
        <v>01961</v>
      </c>
      <c r="N1344" s="46" t="str">
        <f>VLOOKUP(K1344,[4]在职!$A:$G,7,0)</f>
        <v>辽宁销售部</v>
      </c>
      <c r="O1344" s="46" t="str">
        <f>VLOOKUP(K1344,[4]在职!$A:$I,9,0)</f>
        <v>实习销售</v>
      </c>
      <c r="P1344" s="83">
        <f>VLOOKUP(K1344,[4]在职!$A:$D,4,0)</f>
        <v>46086</v>
      </c>
      <c r="Q1344" s="105">
        <v>5</v>
      </c>
      <c r="R1344" s="105">
        <v>5</v>
      </c>
      <c r="S1344" s="46">
        <v>80</v>
      </c>
    </row>
    <row r="1345" ht="16.5" spans="1:19">
      <c r="A1345" s="46">
        <v>1351</v>
      </c>
      <c r="B1345" s="46" t="s">
        <v>45</v>
      </c>
      <c r="C1345" s="46" t="s">
        <v>33</v>
      </c>
      <c r="D1345" s="46" t="s">
        <v>25</v>
      </c>
      <c r="E1345" s="46" t="s">
        <v>1170</v>
      </c>
      <c r="F1345" s="46" t="s">
        <v>903</v>
      </c>
      <c r="G1345" s="46" t="s">
        <v>904</v>
      </c>
      <c r="H1345" s="46" t="s">
        <v>1433</v>
      </c>
      <c r="I1345" s="46" t="s">
        <v>905</v>
      </c>
      <c r="J1345" s="83">
        <v>46106</v>
      </c>
      <c r="K1345" s="46" t="s">
        <v>1514</v>
      </c>
      <c r="L1345" s="46" t="s">
        <v>915</v>
      </c>
      <c r="M1345" s="46" t="str">
        <f>VLOOKUP(K1345,[4]在职!$A:$B,2,0)</f>
        <v>01925</v>
      </c>
      <c r="N1345" s="46" t="str">
        <f>VLOOKUP(K1345,[4]在职!$A:$G,7,0)</f>
        <v>辽宁销售部</v>
      </c>
      <c r="O1345" s="46" t="str">
        <f>VLOOKUP(K1345,[4]在职!$A:$I,9,0)</f>
        <v>实习销售</v>
      </c>
      <c r="P1345" s="83">
        <f>VLOOKUP(K1345,[4]在职!$A:$D,4,0)</f>
        <v>46048</v>
      </c>
      <c r="Q1345" s="105">
        <v>5</v>
      </c>
      <c r="R1345" s="105">
        <v>5</v>
      </c>
      <c r="S1345" s="46">
        <v>100</v>
      </c>
    </row>
    <row r="1346" ht="16.5" spans="1:19">
      <c r="A1346" s="46">
        <v>1352</v>
      </c>
      <c r="B1346" s="46" t="s">
        <v>45</v>
      </c>
      <c r="C1346" s="46" t="s">
        <v>35</v>
      </c>
      <c r="D1346" s="46" t="s">
        <v>25</v>
      </c>
      <c r="E1346" s="46" t="s">
        <v>1170</v>
      </c>
      <c r="F1346" s="46" t="s">
        <v>903</v>
      </c>
      <c r="G1346" s="46" t="s">
        <v>904</v>
      </c>
      <c r="H1346" s="46" t="s">
        <v>1433</v>
      </c>
      <c r="I1346" s="46" t="s">
        <v>905</v>
      </c>
      <c r="J1346" s="83">
        <v>46106</v>
      </c>
      <c r="K1346" s="46" t="s">
        <v>1515</v>
      </c>
      <c r="L1346" s="46" t="s">
        <v>915</v>
      </c>
      <c r="M1346" s="46" t="str">
        <f>VLOOKUP(K1346,[4]在职!$A:$B,2,0)</f>
        <v>01936</v>
      </c>
      <c r="N1346" s="46" t="str">
        <f>VLOOKUP(K1346,[4]在职!$A:$G,7,0)</f>
        <v>山东销售部</v>
      </c>
      <c r="O1346" s="46" t="str">
        <f>VLOOKUP(K1346,[4]在职!$A:$I,9,0)</f>
        <v>实习销售</v>
      </c>
      <c r="P1346" s="83">
        <f>VLOOKUP(K1346,[4]在职!$A:$D,4,0)</f>
        <v>46079</v>
      </c>
      <c r="Q1346" s="105">
        <v>5</v>
      </c>
      <c r="R1346" s="105">
        <v>5</v>
      </c>
      <c r="S1346" s="46">
        <v>95</v>
      </c>
    </row>
    <row r="1347" ht="16.5" spans="1:19">
      <c r="A1347" s="46">
        <v>1353</v>
      </c>
      <c r="B1347" s="46" t="s">
        <v>45</v>
      </c>
      <c r="C1347" s="46" t="s">
        <v>35</v>
      </c>
      <c r="D1347" s="46" t="s">
        <v>25</v>
      </c>
      <c r="E1347" s="46" t="s">
        <v>1170</v>
      </c>
      <c r="F1347" s="46" t="s">
        <v>903</v>
      </c>
      <c r="G1347" s="46" t="s">
        <v>904</v>
      </c>
      <c r="H1347" s="46" t="s">
        <v>1433</v>
      </c>
      <c r="I1347" s="46" t="s">
        <v>905</v>
      </c>
      <c r="J1347" s="83">
        <v>46106</v>
      </c>
      <c r="K1347" s="46" t="s">
        <v>1516</v>
      </c>
      <c r="L1347" s="46" t="s">
        <v>915</v>
      </c>
      <c r="M1347" s="46" t="str">
        <f>VLOOKUP(K1347,[4]在职!$A:$B,2,0)</f>
        <v>01947</v>
      </c>
      <c r="N1347" s="46" t="str">
        <f>VLOOKUP(K1347,[4]在职!$A:$G,7,0)</f>
        <v>山东销售部</v>
      </c>
      <c r="O1347" s="46" t="str">
        <f>VLOOKUP(K1347,[4]在职!$A:$I,9,0)</f>
        <v>实习销售</v>
      </c>
      <c r="P1347" s="83">
        <f>VLOOKUP(K1347,[4]在职!$A:$D,4,0)</f>
        <v>46083</v>
      </c>
      <c r="Q1347" s="105">
        <v>5</v>
      </c>
      <c r="R1347" s="105">
        <v>4.6</v>
      </c>
      <c r="S1347" s="46">
        <v>85</v>
      </c>
    </row>
    <row r="1348" ht="16.5" spans="1:19">
      <c r="A1348" s="46">
        <v>1354</v>
      </c>
      <c r="B1348" s="46" t="s">
        <v>45</v>
      </c>
      <c r="C1348" s="46" t="s">
        <v>24</v>
      </c>
      <c r="D1348" s="46" t="s">
        <v>25</v>
      </c>
      <c r="E1348" s="46" t="s">
        <v>1170</v>
      </c>
      <c r="F1348" s="46" t="s">
        <v>903</v>
      </c>
      <c r="G1348" s="46" t="s">
        <v>904</v>
      </c>
      <c r="H1348" s="46" t="s">
        <v>1433</v>
      </c>
      <c r="I1348" s="46" t="s">
        <v>905</v>
      </c>
      <c r="J1348" s="83">
        <v>46106</v>
      </c>
      <c r="K1348" s="46" t="s">
        <v>1517</v>
      </c>
      <c r="L1348" s="46" t="s">
        <v>915</v>
      </c>
      <c r="M1348" s="46" t="str">
        <f>VLOOKUP(K1348,[4]在职!$A:$B,2,0)</f>
        <v>01973</v>
      </c>
      <c r="N1348" s="46" t="str">
        <f>VLOOKUP(K1348,[4]在职!$A:$G,7,0)</f>
        <v>陕西1部</v>
      </c>
      <c r="O1348" s="46" t="str">
        <f>VLOOKUP(K1348,[4]在职!$A:$I,9,0)</f>
        <v>实习销售</v>
      </c>
      <c r="P1348" s="83">
        <f>VLOOKUP(K1348,[4]在职!$A:$D,4,0)</f>
        <v>46089</v>
      </c>
      <c r="Q1348" s="105">
        <v>0</v>
      </c>
      <c r="R1348" s="105">
        <v>0</v>
      </c>
      <c r="S1348" s="46">
        <v>100</v>
      </c>
    </row>
    <row r="1349" ht="16.5" spans="1:19">
      <c r="A1349" s="46">
        <v>1355</v>
      </c>
      <c r="B1349" s="46" t="s">
        <v>45</v>
      </c>
      <c r="C1349" s="46" t="s">
        <v>37</v>
      </c>
      <c r="D1349" s="46" t="s">
        <v>25</v>
      </c>
      <c r="E1349" s="46" t="s">
        <v>1170</v>
      </c>
      <c r="F1349" s="46" t="s">
        <v>903</v>
      </c>
      <c r="G1349" s="46" t="s">
        <v>904</v>
      </c>
      <c r="H1349" s="46" t="s">
        <v>1433</v>
      </c>
      <c r="I1349" s="46" t="s">
        <v>905</v>
      </c>
      <c r="J1349" s="83">
        <v>46106</v>
      </c>
      <c r="K1349" s="46" t="s">
        <v>1518</v>
      </c>
      <c r="L1349" s="46" t="s">
        <v>915</v>
      </c>
      <c r="M1349" s="46" t="str">
        <f>VLOOKUP(K1349,[4]在职!$A:$B,2,0)</f>
        <v>01930</v>
      </c>
      <c r="N1349" s="46" t="str">
        <f>VLOOKUP(K1349,[4]在职!$A:$G,7,0)</f>
        <v>陕西2部</v>
      </c>
      <c r="O1349" s="46" t="str">
        <f>VLOOKUP(K1349,[4]在职!$A:$I,9,0)</f>
        <v>实习销售</v>
      </c>
      <c r="P1349" s="83">
        <f>VLOOKUP(K1349,[4]在职!$A:$D,4,0)</f>
        <v>46054</v>
      </c>
      <c r="Q1349" s="105">
        <v>0</v>
      </c>
      <c r="R1349" s="105">
        <v>0</v>
      </c>
      <c r="S1349" s="46">
        <v>100</v>
      </c>
    </row>
    <row r="1350" ht="16.5" spans="1:19">
      <c r="A1350" s="46">
        <v>1356</v>
      </c>
      <c r="B1350" s="46" t="s">
        <v>45</v>
      </c>
      <c r="C1350" s="46" t="s">
        <v>37</v>
      </c>
      <c r="D1350" s="46" t="s">
        <v>25</v>
      </c>
      <c r="E1350" s="46" t="s">
        <v>1170</v>
      </c>
      <c r="F1350" s="46" t="s">
        <v>903</v>
      </c>
      <c r="G1350" s="46" t="s">
        <v>904</v>
      </c>
      <c r="H1350" s="46" t="s">
        <v>1433</v>
      </c>
      <c r="I1350" s="46" t="s">
        <v>905</v>
      </c>
      <c r="J1350" s="83">
        <v>46106</v>
      </c>
      <c r="K1350" s="46" t="s">
        <v>1519</v>
      </c>
      <c r="L1350" s="46" t="s">
        <v>915</v>
      </c>
      <c r="M1350" s="46" t="str">
        <f>VLOOKUP(K1350,[4]在职!$A:$B,2,0)</f>
        <v>01943</v>
      </c>
      <c r="N1350" s="46" t="str">
        <f>VLOOKUP(K1350,[4]在职!$A:$G,7,0)</f>
        <v>陕西2部</v>
      </c>
      <c r="O1350" s="46" t="str">
        <f>VLOOKUP(K1350,[4]在职!$A:$I,9,0)</f>
        <v>实习销售</v>
      </c>
      <c r="P1350" s="83">
        <f>VLOOKUP(K1350,[4]在职!$A:$D,4,0)</f>
        <v>46084</v>
      </c>
      <c r="Q1350" s="105">
        <v>5</v>
      </c>
      <c r="R1350" s="105">
        <v>5</v>
      </c>
      <c r="S1350" s="46">
        <v>0</v>
      </c>
    </row>
    <row r="1351" ht="16.5" spans="1:19">
      <c r="A1351" s="46">
        <v>1357</v>
      </c>
      <c r="B1351" s="46" t="s">
        <v>45</v>
      </c>
      <c r="C1351" s="46" t="s">
        <v>37</v>
      </c>
      <c r="D1351" s="46" t="s">
        <v>25</v>
      </c>
      <c r="E1351" s="46" t="s">
        <v>1170</v>
      </c>
      <c r="F1351" s="46" t="s">
        <v>903</v>
      </c>
      <c r="G1351" s="46" t="s">
        <v>904</v>
      </c>
      <c r="H1351" s="46" t="s">
        <v>1433</v>
      </c>
      <c r="I1351" s="46" t="s">
        <v>905</v>
      </c>
      <c r="J1351" s="83">
        <v>46106</v>
      </c>
      <c r="K1351" s="46" t="s">
        <v>1520</v>
      </c>
      <c r="L1351" s="46" t="s">
        <v>915</v>
      </c>
      <c r="M1351" s="46" t="str">
        <f>VLOOKUP(K1351,[4]在职!$A:$B,2,0)</f>
        <v>01955</v>
      </c>
      <c r="N1351" s="46" t="str">
        <f>VLOOKUP(K1351,[4]在职!$A:$G,7,0)</f>
        <v>陕西1部</v>
      </c>
      <c r="O1351" s="46" t="str">
        <f>VLOOKUP(K1351,[4]在职!$A:$I,9,0)</f>
        <v>实习销售</v>
      </c>
      <c r="P1351" s="83">
        <f>VLOOKUP(K1351,[4]在职!$A:$D,4,0)</f>
        <v>46085</v>
      </c>
      <c r="Q1351" s="105">
        <v>5</v>
      </c>
      <c r="R1351" s="105">
        <v>5</v>
      </c>
      <c r="S1351" s="46">
        <v>100</v>
      </c>
    </row>
    <row r="1352" ht="16.5" spans="1:19">
      <c r="A1352" s="46">
        <v>1358</v>
      </c>
      <c r="B1352" s="46" t="s">
        <v>45</v>
      </c>
      <c r="C1352" s="46" t="s">
        <v>37</v>
      </c>
      <c r="D1352" s="46" t="s">
        <v>25</v>
      </c>
      <c r="E1352" s="46" t="s">
        <v>1170</v>
      </c>
      <c r="F1352" s="46" t="s">
        <v>903</v>
      </c>
      <c r="G1352" s="46" t="s">
        <v>904</v>
      </c>
      <c r="H1352" s="46" t="s">
        <v>1433</v>
      </c>
      <c r="I1352" s="46" t="s">
        <v>905</v>
      </c>
      <c r="J1352" s="83">
        <v>46106</v>
      </c>
      <c r="K1352" s="46" t="s">
        <v>1521</v>
      </c>
      <c r="L1352" s="46" t="s">
        <v>915</v>
      </c>
      <c r="M1352" s="46" t="str">
        <f>VLOOKUP(K1352,[4]在职!$A:$B,2,0)</f>
        <v>01932</v>
      </c>
      <c r="N1352" s="46" t="str">
        <f>VLOOKUP(K1352,[4]在职!$A:$G,7,0)</f>
        <v>陕西2部</v>
      </c>
      <c r="O1352" s="46" t="str">
        <f>VLOOKUP(K1352,[4]在职!$A:$I,9,0)</f>
        <v>实习销售</v>
      </c>
      <c r="P1352" s="83">
        <f>VLOOKUP(K1352,[4]在职!$A:$D,4,0)</f>
        <v>46058</v>
      </c>
      <c r="Q1352" s="105">
        <v>5</v>
      </c>
      <c r="R1352" s="105">
        <v>5</v>
      </c>
      <c r="S1352" s="46">
        <v>100</v>
      </c>
    </row>
    <row r="1353" ht="16.5" spans="1:19">
      <c r="A1353" s="46">
        <v>1359</v>
      </c>
      <c r="B1353" s="46" t="s">
        <v>45</v>
      </c>
      <c r="C1353" s="46" t="s">
        <v>38</v>
      </c>
      <c r="D1353" s="46" t="s">
        <v>25</v>
      </c>
      <c r="E1353" s="46" t="s">
        <v>1170</v>
      </c>
      <c r="F1353" s="46" t="s">
        <v>903</v>
      </c>
      <c r="G1353" s="46" t="s">
        <v>904</v>
      </c>
      <c r="H1353" s="46" t="s">
        <v>1433</v>
      </c>
      <c r="I1353" s="46" t="s">
        <v>905</v>
      </c>
      <c r="J1353" s="83">
        <v>46106</v>
      </c>
      <c r="K1353" s="46" t="s">
        <v>1522</v>
      </c>
      <c r="L1353" s="46" t="s">
        <v>915</v>
      </c>
      <c r="M1353" s="46" t="str">
        <f>VLOOKUP(K1353,[4]在职!$A:$B,2,0)</f>
        <v>01978</v>
      </c>
      <c r="N1353" s="46" t="str">
        <f>VLOOKUP(K1353,[4]在职!$A:$G,7,0)</f>
        <v>营业一部</v>
      </c>
      <c r="O1353" s="46" t="str">
        <f>VLOOKUP(K1353,[4]在职!$A:$I,9,0)</f>
        <v>实习销售</v>
      </c>
      <c r="P1353" s="83">
        <f>VLOOKUP(K1353,[4]在职!$A:$D,4,0)</f>
        <v>46086</v>
      </c>
      <c r="Q1353" s="105">
        <v>5</v>
      </c>
      <c r="R1353" s="105">
        <v>5</v>
      </c>
      <c r="S1353" s="46">
        <v>100</v>
      </c>
    </row>
    <row r="1354" ht="16.5" spans="1:19">
      <c r="A1354" s="46">
        <v>1360</v>
      </c>
      <c r="B1354" s="46" t="s">
        <v>45</v>
      </c>
      <c r="C1354" s="46" t="s">
        <v>38</v>
      </c>
      <c r="D1354" s="46" t="s">
        <v>25</v>
      </c>
      <c r="E1354" s="46" t="s">
        <v>1170</v>
      </c>
      <c r="F1354" s="46" t="s">
        <v>903</v>
      </c>
      <c r="G1354" s="46" t="s">
        <v>904</v>
      </c>
      <c r="H1354" s="46" t="s">
        <v>1433</v>
      </c>
      <c r="I1354" s="46" t="s">
        <v>905</v>
      </c>
      <c r="J1354" s="83">
        <v>46106</v>
      </c>
      <c r="K1354" s="46" t="s">
        <v>1523</v>
      </c>
      <c r="L1354" s="46" t="s">
        <v>915</v>
      </c>
      <c r="M1354" s="46" t="str">
        <f>VLOOKUP(K1354,[4]在职!$A:$B,2,0)</f>
        <v>01963</v>
      </c>
      <c r="N1354" s="46" t="str">
        <f>VLOOKUP(K1354,[4]在职!$A:$G,7,0)</f>
        <v>营业一部</v>
      </c>
      <c r="O1354" s="46" t="str">
        <f>VLOOKUP(K1354,[4]在职!$A:$I,9,0)</f>
        <v>实习销售</v>
      </c>
      <c r="P1354" s="83">
        <f>VLOOKUP(K1354,[4]在职!$A:$D,4,0)</f>
        <v>46085</v>
      </c>
      <c r="Q1354" s="105">
        <v>5</v>
      </c>
      <c r="R1354" s="105">
        <v>5</v>
      </c>
      <c r="S1354" s="46">
        <v>80</v>
      </c>
    </row>
    <row r="1355" ht="16.5" spans="1:19">
      <c r="A1355" s="46">
        <v>1361</v>
      </c>
      <c r="B1355" s="46" t="s">
        <v>45</v>
      </c>
      <c r="C1355" s="46" t="s">
        <v>38</v>
      </c>
      <c r="D1355" s="46" t="s">
        <v>25</v>
      </c>
      <c r="E1355" s="46" t="s">
        <v>1170</v>
      </c>
      <c r="F1355" s="46" t="s">
        <v>903</v>
      </c>
      <c r="G1355" s="46" t="s">
        <v>904</v>
      </c>
      <c r="H1355" s="46" t="s">
        <v>1433</v>
      </c>
      <c r="I1355" s="46" t="s">
        <v>905</v>
      </c>
      <c r="J1355" s="83">
        <v>46106</v>
      </c>
      <c r="K1355" s="46" t="s">
        <v>1524</v>
      </c>
      <c r="L1355" s="46" t="s">
        <v>915</v>
      </c>
      <c r="M1355" s="46" t="str">
        <f>VLOOKUP(K1355,[4]在职!$A:$B,2,0)</f>
        <v>01964</v>
      </c>
      <c r="N1355" s="46" t="str">
        <f>VLOOKUP(K1355,[4]在职!$A:$G,7,0)</f>
        <v>营业一部</v>
      </c>
      <c r="O1355" s="46" t="str">
        <f>VLOOKUP(K1355,[4]在职!$A:$I,9,0)</f>
        <v>实习销售</v>
      </c>
      <c r="P1355" s="83">
        <f>VLOOKUP(K1355,[4]在职!$A:$D,4,0)</f>
        <v>46083</v>
      </c>
      <c r="Q1355" s="105">
        <v>5</v>
      </c>
      <c r="R1355" s="105">
        <v>5</v>
      </c>
      <c r="S1355" s="46">
        <v>100</v>
      </c>
    </row>
    <row r="1356" ht="16.5" spans="1:19">
      <c r="A1356" s="46">
        <v>1362</v>
      </c>
      <c r="B1356" s="46" t="s">
        <v>45</v>
      </c>
      <c r="C1356" s="46" t="s">
        <v>38</v>
      </c>
      <c r="D1356" s="46" t="s">
        <v>25</v>
      </c>
      <c r="E1356" s="46" t="s">
        <v>1170</v>
      </c>
      <c r="F1356" s="46" t="s">
        <v>903</v>
      </c>
      <c r="G1356" s="46" t="s">
        <v>904</v>
      </c>
      <c r="H1356" s="46" t="s">
        <v>1433</v>
      </c>
      <c r="I1356" s="46" t="s">
        <v>905</v>
      </c>
      <c r="J1356" s="83">
        <v>46106</v>
      </c>
      <c r="K1356" s="46" t="s">
        <v>1525</v>
      </c>
      <c r="L1356" s="46" t="s">
        <v>915</v>
      </c>
      <c r="M1356" s="46" t="str">
        <f>VLOOKUP(K1356,[4]在职!$A:$B,2,0)</f>
        <v>01929</v>
      </c>
      <c r="N1356" s="46" t="str">
        <f>VLOOKUP(K1356,[4]在职!$A:$G,7,0)</f>
        <v>营业一部</v>
      </c>
      <c r="O1356" s="46" t="str">
        <f>VLOOKUP(K1356,[4]在职!$A:$I,9,0)</f>
        <v>实习销售</v>
      </c>
      <c r="P1356" s="83">
        <f>VLOOKUP(K1356,[4]在职!$A:$D,4,0)</f>
        <v>46048</v>
      </c>
      <c r="Q1356" s="105">
        <v>5</v>
      </c>
      <c r="R1356" s="105">
        <v>5</v>
      </c>
      <c r="S1356" s="46">
        <v>100</v>
      </c>
    </row>
    <row r="1357" ht="16.5" spans="1:19">
      <c r="A1357" s="46">
        <v>1363</v>
      </c>
      <c r="B1357" s="46" t="s">
        <v>45</v>
      </c>
      <c r="C1357" s="46" t="s">
        <v>38</v>
      </c>
      <c r="D1357" s="46" t="s">
        <v>25</v>
      </c>
      <c r="E1357" s="46" t="s">
        <v>1170</v>
      </c>
      <c r="F1357" s="46" t="s">
        <v>903</v>
      </c>
      <c r="G1357" s="46" t="s">
        <v>904</v>
      </c>
      <c r="H1357" s="46" t="s">
        <v>1433</v>
      </c>
      <c r="I1357" s="46" t="s">
        <v>905</v>
      </c>
      <c r="J1357" s="83">
        <v>46106</v>
      </c>
      <c r="K1357" s="46" t="s">
        <v>1437</v>
      </c>
      <c r="L1357" s="46" t="s">
        <v>915</v>
      </c>
      <c r="M1357" s="46" t="str">
        <f>VLOOKUP(K1357,[4]在职!$A:$B,2,0)</f>
        <v>01753</v>
      </c>
      <c r="N1357" s="46" t="str">
        <f>VLOOKUP(K1357,[4]在职!$A:$G,7,0)</f>
        <v>营业一部</v>
      </c>
      <c r="O1357" s="46" t="str">
        <f>VLOOKUP(K1357,[4]在职!$A:$I,9,0)</f>
        <v>一星销售顾问</v>
      </c>
      <c r="P1357" s="83">
        <f>VLOOKUP(K1357,[4]在职!$A:$D,4,0)</f>
        <v>45951</v>
      </c>
      <c r="Q1357" s="105">
        <v>5</v>
      </c>
      <c r="R1357" s="105">
        <v>5</v>
      </c>
      <c r="S1357" s="46">
        <v>100</v>
      </c>
    </row>
    <row r="1358" ht="16.5" spans="1:19">
      <c r="A1358" s="46">
        <v>1364</v>
      </c>
      <c r="B1358" s="46" t="s">
        <v>45</v>
      </c>
      <c r="C1358" s="46" t="s">
        <v>38</v>
      </c>
      <c r="D1358" s="46" t="s">
        <v>25</v>
      </c>
      <c r="E1358" s="46" t="s">
        <v>1170</v>
      </c>
      <c r="F1358" s="46" t="s">
        <v>903</v>
      </c>
      <c r="G1358" s="46" t="s">
        <v>904</v>
      </c>
      <c r="H1358" s="46" t="s">
        <v>1433</v>
      </c>
      <c r="I1358" s="46" t="s">
        <v>905</v>
      </c>
      <c r="J1358" s="83">
        <v>46106</v>
      </c>
      <c r="K1358" s="46" t="s">
        <v>1321</v>
      </c>
      <c r="L1358" s="46" t="s">
        <v>915</v>
      </c>
      <c r="M1358" s="46" t="str">
        <f>VLOOKUP(K1358,[4]在职!$A:$B,2,0)</f>
        <v>01821</v>
      </c>
      <c r="N1358" s="46" t="str">
        <f>VLOOKUP(K1358,[4]在职!$A:$G,7,0)</f>
        <v>营业一部</v>
      </c>
      <c r="O1358" s="46" t="str">
        <f>VLOOKUP(K1358,[4]在职!$A:$I,9,0)</f>
        <v>一星销售顾问</v>
      </c>
      <c r="P1358" s="83">
        <f>VLOOKUP(K1358,[4]在职!$A:$D,4,0)</f>
        <v>45992</v>
      </c>
      <c r="Q1358" s="105">
        <v>5</v>
      </c>
      <c r="R1358" s="105">
        <v>5</v>
      </c>
      <c r="S1358" s="46">
        <v>100</v>
      </c>
    </row>
    <row r="1359" ht="16.5" spans="1:19">
      <c r="A1359" s="46">
        <v>1365</v>
      </c>
      <c r="B1359" s="46" t="s">
        <v>45</v>
      </c>
      <c r="C1359" s="46" t="s">
        <v>38</v>
      </c>
      <c r="D1359" s="46" t="s">
        <v>25</v>
      </c>
      <c r="E1359" s="46" t="s">
        <v>1170</v>
      </c>
      <c r="F1359" s="46" t="s">
        <v>903</v>
      </c>
      <c r="G1359" s="46" t="s">
        <v>904</v>
      </c>
      <c r="H1359" s="46" t="s">
        <v>1433</v>
      </c>
      <c r="I1359" s="46" t="s">
        <v>905</v>
      </c>
      <c r="J1359" s="83">
        <v>46106</v>
      </c>
      <c r="K1359" s="46" t="s">
        <v>1436</v>
      </c>
      <c r="L1359" s="46" t="s">
        <v>915</v>
      </c>
      <c r="M1359" s="46" t="str">
        <f>VLOOKUP(K1359,[4]在职!$A:$B,2,0)</f>
        <v>01763</v>
      </c>
      <c r="N1359" s="46" t="str">
        <f>VLOOKUP(K1359,[4]在职!$A:$G,7,0)</f>
        <v>营业一部</v>
      </c>
      <c r="O1359" s="46" t="str">
        <f>VLOOKUP(K1359,[4]在职!$A:$I,9,0)</f>
        <v>一星销售顾问</v>
      </c>
      <c r="P1359" s="83">
        <f>VLOOKUP(K1359,[4]在职!$A:$D,4,0)</f>
        <v>45952</v>
      </c>
      <c r="Q1359" s="105">
        <v>5</v>
      </c>
      <c r="R1359" s="105">
        <v>5</v>
      </c>
      <c r="S1359" s="46">
        <v>100</v>
      </c>
    </row>
    <row r="1360" ht="16.5" spans="1:19">
      <c r="A1360" s="46">
        <v>1366</v>
      </c>
      <c r="B1360" s="46" t="s">
        <v>45</v>
      </c>
      <c r="C1360" s="46" t="s">
        <v>38</v>
      </c>
      <c r="D1360" s="46" t="s">
        <v>25</v>
      </c>
      <c r="E1360" s="46" t="s">
        <v>1170</v>
      </c>
      <c r="F1360" s="46" t="s">
        <v>903</v>
      </c>
      <c r="G1360" s="46" t="s">
        <v>904</v>
      </c>
      <c r="H1360" s="46" t="s">
        <v>1433</v>
      </c>
      <c r="I1360" s="46" t="s">
        <v>905</v>
      </c>
      <c r="J1360" s="83">
        <v>46106</v>
      </c>
      <c r="K1360" s="46" t="s">
        <v>1293</v>
      </c>
      <c r="L1360" s="46" t="s">
        <v>915</v>
      </c>
      <c r="M1360" s="46" t="str">
        <f>VLOOKUP(K1360,[4]在职!$A:$B,2,0)</f>
        <v>01901</v>
      </c>
      <c r="N1360" s="46" t="str">
        <f>VLOOKUP(K1360,[4]在职!$A:$G,7,0)</f>
        <v>营业六部</v>
      </c>
      <c r="O1360" s="46" t="str">
        <f>VLOOKUP(K1360,[4]在职!$A:$I,9,0)</f>
        <v>实习销售</v>
      </c>
      <c r="P1360" s="83">
        <f>VLOOKUP(K1360,[4]在职!$A:$D,4,0)</f>
        <v>46022</v>
      </c>
      <c r="Q1360" s="105">
        <v>5</v>
      </c>
      <c r="R1360" s="105">
        <v>5</v>
      </c>
      <c r="S1360" s="46">
        <v>100</v>
      </c>
    </row>
    <row r="1361" ht="16.5" spans="1:19">
      <c r="A1361" s="46">
        <v>1367</v>
      </c>
      <c r="B1361" s="46" t="s">
        <v>45</v>
      </c>
      <c r="C1361" s="46" t="s">
        <v>38</v>
      </c>
      <c r="D1361" s="46" t="s">
        <v>25</v>
      </c>
      <c r="E1361" s="46" t="s">
        <v>1170</v>
      </c>
      <c r="F1361" s="46" t="s">
        <v>903</v>
      </c>
      <c r="G1361" s="46" t="s">
        <v>904</v>
      </c>
      <c r="H1361" s="46" t="s">
        <v>1433</v>
      </c>
      <c r="I1361" s="46" t="s">
        <v>905</v>
      </c>
      <c r="J1361" s="83">
        <v>46106</v>
      </c>
      <c r="K1361" s="46" t="s">
        <v>1295</v>
      </c>
      <c r="L1361" s="46" t="s">
        <v>915</v>
      </c>
      <c r="M1361" s="46" t="str">
        <f>VLOOKUP(K1361,[4]在职!$A:$B,2,0)</f>
        <v>01792</v>
      </c>
      <c r="N1361" s="46" t="str">
        <f>VLOOKUP(K1361,[4]在职!$A:$G,7,0)</f>
        <v>营业六部</v>
      </c>
      <c r="O1361" s="46" t="str">
        <f>VLOOKUP(K1361,[4]在职!$A:$I,9,0)</f>
        <v>实习销售</v>
      </c>
      <c r="P1361" s="83">
        <f>VLOOKUP(K1361,[4]在职!$A:$D,4,0)</f>
        <v>45978</v>
      </c>
      <c r="Q1361" s="105">
        <v>5</v>
      </c>
      <c r="R1361" s="105">
        <v>5</v>
      </c>
      <c r="S1361" s="46">
        <v>100</v>
      </c>
    </row>
    <row r="1362" ht="16.5" spans="1:19">
      <c r="A1362" s="46">
        <v>1368</v>
      </c>
      <c r="B1362" s="46" t="s">
        <v>45</v>
      </c>
      <c r="C1362" s="46" t="s">
        <v>38</v>
      </c>
      <c r="D1362" s="46" t="s">
        <v>25</v>
      </c>
      <c r="E1362" s="46" t="s">
        <v>1170</v>
      </c>
      <c r="F1362" s="46" t="s">
        <v>903</v>
      </c>
      <c r="G1362" s="46" t="s">
        <v>904</v>
      </c>
      <c r="H1362" s="46" t="s">
        <v>1433</v>
      </c>
      <c r="I1362" s="46" t="s">
        <v>905</v>
      </c>
      <c r="J1362" s="83">
        <v>46106</v>
      </c>
      <c r="K1362" s="46" t="s">
        <v>1526</v>
      </c>
      <c r="L1362" s="46" t="s">
        <v>915</v>
      </c>
      <c r="M1362" s="46" t="str">
        <f>VLOOKUP(K1362,[4]在职!$A:$B,2,0)</f>
        <v>01966</v>
      </c>
      <c r="N1362" s="46" t="str">
        <f>VLOOKUP(K1362,[4]在职!$A:$G,7,0)</f>
        <v>营业一部</v>
      </c>
      <c r="O1362" s="46" t="str">
        <f>VLOOKUP(K1362,[4]在职!$A:$I,9,0)</f>
        <v>实习销售</v>
      </c>
      <c r="P1362" s="83">
        <f>VLOOKUP(K1362,[4]在职!$A:$D,4,0)</f>
        <v>46086</v>
      </c>
      <c r="Q1362" s="105">
        <v>5</v>
      </c>
      <c r="R1362" s="105">
        <v>5</v>
      </c>
      <c r="S1362" s="46">
        <v>100</v>
      </c>
    </row>
    <row r="1363" ht="16.5" spans="1:19">
      <c r="A1363" s="46">
        <v>1369</v>
      </c>
      <c r="B1363" s="46" t="s">
        <v>45</v>
      </c>
      <c r="C1363" s="46" t="s">
        <v>26</v>
      </c>
      <c r="D1363" s="46" t="s">
        <v>25</v>
      </c>
      <c r="E1363" s="46" t="s">
        <v>1170</v>
      </c>
      <c r="F1363" s="46" t="s">
        <v>903</v>
      </c>
      <c r="G1363" s="46" t="s">
        <v>904</v>
      </c>
      <c r="H1363" s="46" t="s">
        <v>1433</v>
      </c>
      <c r="I1363" s="46" t="s">
        <v>905</v>
      </c>
      <c r="J1363" s="83">
        <v>46106</v>
      </c>
      <c r="K1363" s="46" t="s">
        <v>1283</v>
      </c>
      <c r="L1363" s="46" t="s">
        <v>915</v>
      </c>
      <c r="M1363" s="46" t="str">
        <f>VLOOKUP(K1363,[4]在职!$A:$B,2,0)</f>
        <v>01880</v>
      </c>
      <c r="N1363" s="46" t="str">
        <f>VLOOKUP(K1363,[4]在职!$A:$G,7,0)</f>
        <v>河北销售部</v>
      </c>
      <c r="O1363" s="46" t="str">
        <f>VLOOKUP(K1363,[4]在职!$A:$I,9,0)</f>
        <v>实习销售</v>
      </c>
      <c r="P1363" s="83">
        <f>VLOOKUP(K1363,[4]在职!$A:$D,4,0)</f>
        <v>46015</v>
      </c>
      <c r="Q1363" s="105">
        <v>5</v>
      </c>
      <c r="R1363" s="105">
        <v>5</v>
      </c>
      <c r="S1363" s="46">
        <v>80</v>
      </c>
    </row>
    <row r="1364" ht="16.5" spans="1:19">
      <c r="A1364" s="46">
        <v>1370</v>
      </c>
      <c r="B1364" s="46" t="s">
        <v>45</v>
      </c>
      <c r="C1364" s="46" t="s">
        <v>26</v>
      </c>
      <c r="D1364" s="46" t="s">
        <v>25</v>
      </c>
      <c r="E1364" s="46" t="s">
        <v>1170</v>
      </c>
      <c r="F1364" s="46" t="s">
        <v>903</v>
      </c>
      <c r="G1364" s="46" t="s">
        <v>904</v>
      </c>
      <c r="H1364" s="46" t="s">
        <v>1433</v>
      </c>
      <c r="I1364" s="46" t="s">
        <v>905</v>
      </c>
      <c r="J1364" s="83">
        <v>46106</v>
      </c>
      <c r="K1364" s="46" t="s">
        <v>1285</v>
      </c>
      <c r="L1364" s="46" t="s">
        <v>915</v>
      </c>
      <c r="M1364" s="46" t="str">
        <f>VLOOKUP(K1364,[4]在职!$A:$B,2,0)</f>
        <v>01817</v>
      </c>
      <c r="N1364" s="46" t="str">
        <f>VLOOKUP(K1364,[4]在职!$A:$G,7,0)</f>
        <v>河北销售部</v>
      </c>
      <c r="O1364" s="46" t="str">
        <f>VLOOKUP(K1364,[4]在职!$A:$I,9,0)</f>
        <v>实习销售</v>
      </c>
      <c r="P1364" s="83">
        <f>VLOOKUP(K1364,[4]在职!$A:$D,4,0)</f>
        <v>45989</v>
      </c>
      <c r="Q1364" s="105">
        <v>5</v>
      </c>
      <c r="R1364" s="105">
        <v>5</v>
      </c>
      <c r="S1364" s="46">
        <v>100</v>
      </c>
    </row>
    <row r="1365" ht="16.5" spans="1:19">
      <c r="A1365" s="46">
        <v>1371</v>
      </c>
      <c r="B1365" s="46" t="s">
        <v>45</v>
      </c>
      <c r="C1365" s="46" t="s">
        <v>38</v>
      </c>
      <c r="D1365" s="46" t="s">
        <v>25</v>
      </c>
      <c r="E1365" s="46" t="s">
        <v>1170</v>
      </c>
      <c r="F1365" s="46" t="s">
        <v>903</v>
      </c>
      <c r="G1365" s="46" t="s">
        <v>904</v>
      </c>
      <c r="H1365" s="46" t="s">
        <v>1433</v>
      </c>
      <c r="I1365" s="46" t="s">
        <v>905</v>
      </c>
      <c r="J1365" s="83">
        <v>46106</v>
      </c>
      <c r="K1365" s="46" t="s">
        <v>1263</v>
      </c>
      <c r="L1365" s="46" t="s">
        <v>907</v>
      </c>
      <c r="M1365" s="46" t="str">
        <f>VLOOKUP(K1365,[4]在职!$A:$B,2,0)</f>
        <v>01723</v>
      </c>
      <c r="N1365" s="46" t="str">
        <f>VLOOKUP(K1365,[4]在职!$A:$G,7,0)</f>
        <v>营业七部</v>
      </c>
      <c r="O1365" s="46" t="str">
        <f>VLOOKUP(K1365,[4]在职!$A:$I,9,0)</f>
        <v>一星销售顾问</v>
      </c>
      <c r="P1365" s="83">
        <f>VLOOKUP(K1365,[4]在职!$A:$D,4,0)</f>
        <v>45941</v>
      </c>
      <c r="Q1365" s="105">
        <v>0</v>
      </c>
      <c r="R1365" s="105">
        <v>0</v>
      </c>
      <c r="S1365" s="46">
        <v>0</v>
      </c>
    </row>
    <row r="1366" ht="16.5" spans="1:19">
      <c r="A1366" s="46">
        <v>1372</v>
      </c>
      <c r="B1366" s="46" t="s">
        <v>45</v>
      </c>
      <c r="C1366" s="46" t="s">
        <v>38</v>
      </c>
      <c r="D1366" s="46" t="s">
        <v>25</v>
      </c>
      <c r="E1366" s="46" t="s">
        <v>1170</v>
      </c>
      <c r="F1366" s="46" t="s">
        <v>903</v>
      </c>
      <c r="G1366" s="46" t="s">
        <v>904</v>
      </c>
      <c r="H1366" s="46" t="s">
        <v>1433</v>
      </c>
      <c r="I1366" s="46" t="s">
        <v>905</v>
      </c>
      <c r="J1366" s="83">
        <v>46106</v>
      </c>
      <c r="K1366" s="46" t="s">
        <v>1197</v>
      </c>
      <c r="L1366" s="46" t="s">
        <v>907</v>
      </c>
      <c r="M1366" s="46" t="str">
        <f>VLOOKUP(K1366,[4]在职!$A:$B,2,0)</f>
        <v>01900</v>
      </c>
      <c r="N1366" s="46" t="str">
        <f>VLOOKUP(K1366,[4]在职!$A:$G,7,0)</f>
        <v>营业七部</v>
      </c>
      <c r="O1366" s="46" t="str">
        <f>VLOOKUP(K1366,[4]在职!$A:$I,9,0)</f>
        <v>实习销售</v>
      </c>
      <c r="P1366" s="83">
        <f>VLOOKUP(K1366,[4]在职!$A:$D,4,0)</f>
        <v>46021</v>
      </c>
      <c r="Q1366" s="105">
        <v>0</v>
      </c>
      <c r="R1366" s="105">
        <v>0</v>
      </c>
      <c r="S1366" s="46">
        <v>0</v>
      </c>
    </row>
    <row r="1367" ht="16.5" spans="1:19">
      <c r="A1367" s="46">
        <v>1373</v>
      </c>
      <c r="B1367" s="46" t="s">
        <v>45</v>
      </c>
      <c r="C1367" s="46" t="s">
        <v>38</v>
      </c>
      <c r="D1367" s="46" t="s">
        <v>25</v>
      </c>
      <c r="E1367" s="46" t="s">
        <v>1170</v>
      </c>
      <c r="F1367" s="46" t="s">
        <v>903</v>
      </c>
      <c r="G1367" s="46" t="s">
        <v>904</v>
      </c>
      <c r="H1367" s="46" t="s">
        <v>1433</v>
      </c>
      <c r="I1367" s="46" t="s">
        <v>905</v>
      </c>
      <c r="J1367" s="83">
        <v>46106</v>
      </c>
      <c r="K1367" s="46" t="s">
        <v>1527</v>
      </c>
      <c r="L1367" s="46" t="s">
        <v>915</v>
      </c>
      <c r="M1367" s="46" t="str">
        <f>VLOOKUP(K1367,[4]在职!$A:$B,2,0)</f>
        <v>01969</v>
      </c>
      <c r="N1367" s="46" t="str">
        <f>VLOOKUP(K1367,[4]在职!$A:$G,7,0)</f>
        <v>营业六部</v>
      </c>
      <c r="O1367" s="46" t="str">
        <f>VLOOKUP(K1367,[4]在职!$A:$I,9,0)</f>
        <v>实习销售</v>
      </c>
      <c r="P1367" s="83">
        <f>VLOOKUP(K1367,[4]在职!$A:$D,4,0)</f>
        <v>46087</v>
      </c>
      <c r="Q1367" s="105">
        <v>5</v>
      </c>
      <c r="R1367" s="105">
        <v>5</v>
      </c>
      <c r="S1367" s="46">
        <v>100</v>
      </c>
    </row>
    <row r="1368" ht="16.5" spans="1:19">
      <c r="A1368" s="46">
        <v>1374</v>
      </c>
      <c r="B1368" s="46" t="s">
        <v>45</v>
      </c>
      <c r="C1368" s="46" t="s">
        <v>38</v>
      </c>
      <c r="D1368" s="46" t="s">
        <v>25</v>
      </c>
      <c r="E1368" s="46" t="s">
        <v>1170</v>
      </c>
      <c r="F1368" s="46" t="s">
        <v>903</v>
      </c>
      <c r="G1368" s="46" t="s">
        <v>904</v>
      </c>
      <c r="H1368" s="46" t="s">
        <v>1433</v>
      </c>
      <c r="I1368" s="46" t="s">
        <v>905</v>
      </c>
      <c r="J1368" s="83">
        <v>46106</v>
      </c>
      <c r="K1368" s="46" t="s">
        <v>1528</v>
      </c>
      <c r="L1368" s="46" t="s">
        <v>915</v>
      </c>
      <c r="M1368" s="46" t="str">
        <f>VLOOKUP(K1368,[4]在职!$A:$B,2,0)</f>
        <v>01959</v>
      </c>
      <c r="N1368" s="46" t="str">
        <f>VLOOKUP(K1368,[4]在职!$A:$G,7,0)</f>
        <v>营业七部</v>
      </c>
      <c r="O1368" s="46" t="str">
        <f>VLOOKUP(K1368,[4]在职!$A:$I,9,0)</f>
        <v>实习销售</v>
      </c>
      <c r="P1368" s="83">
        <f>VLOOKUP(K1368,[4]在职!$A:$D,4,0)</f>
        <v>46085</v>
      </c>
      <c r="Q1368" s="105">
        <v>0</v>
      </c>
      <c r="R1368" s="105">
        <v>0</v>
      </c>
      <c r="S1368" s="46">
        <v>100</v>
      </c>
    </row>
    <row r="1369" ht="16.5" spans="1:19">
      <c r="A1369" s="46">
        <v>1375</v>
      </c>
      <c r="B1369" s="46" t="s">
        <v>45</v>
      </c>
      <c r="C1369" s="46" t="s">
        <v>38</v>
      </c>
      <c r="D1369" s="46" t="s">
        <v>25</v>
      </c>
      <c r="E1369" s="46" t="s">
        <v>1170</v>
      </c>
      <c r="F1369" s="46" t="s">
        <v>903</v>
      </c>
      <c r="G1369" s="46" t="s">
        <v>904</v>
      </c>
      <c r="H1369" s="46" t="s">
        <v>1433</v>
      </c>
      <c r="I1369" s="46" t="s">
        <v>905</v>
      </c>
      <c r="J1369" s="83">
        <v>46106</v>
      </c>
      <c r="K1369" s="46" t="s">
        <v>1529</v>
      </c>
      <c r="L1369" s="46" t="s">
        <v>915</v>
      </c>
      <c r="M1369" s="46" t="str">
        <f>VLOOKUP(K1369,[4]在职!$A:$B,2,0)</f>
        <v>01958</v>
      </c>
      <c r="N1369" s="46" t="str">
        <f>VLOOKUP(K1369,[4]在职!$A:$G,7,0)</f>
        <v>营业七部</v>
      </c>
      <c r="O1369" s="46" t="str">
        <f>VLOOKUP(K1369,[4]在职!$A:$I,9,0)</f>
        <v>实习销售</v>
      </c>
      <c r="P1369" s="83">
        <f>VLOOKUP(K1369,[4]在职!$A:$D,4,0)</f>
        <v>46084</v>
      </c>
      <c r="Q1369" s="105">
        <v>5</v>
      </c>
      <c r="R1369" s="105">
        <v>5</v>
      </c>
      <c r="S1369" s="46">
        <v>80</v>
      </c>
    </row>
    <row r="1370" ht="16.5" spans="1:19">
      <c r="A1370" s="46">
        <v>1376</v>
      </c>
      <c r="B1370" s="46" t="s">
        <v>45</v>
      </c>
      <c r="C1370" s="46" t="s">
        <v>38</v>
      </c>
      <c r="D1370" s="46" t="s">
        <v>25</v>
      </c>
      <c r="E1370" s="46" t="s">
        <v>1170</v>
      </c>
      <c r="F1370" s="46" t="s">
        <v>903</v>
      </c>
      <c r="G1370" s="46" t="s">
        <v>904</v>
      </c>
      <c r="H1370" s="46" t="s">
        <v>1433</v>
      </c>
      <c r="I1370" s="46" t="s">
        <v>905</v>
      </c>
      <c r="J1370" s="83">
        <v>46106</v>
      </c>
      <c r="K1370" s="46" t="s">
        <v>1530</v>
      </c>
      <c r="L1370" s="46" t="s">
        <v>915</v>
      </c>
      <c r="M1370" s="46" t="str">
        <f>VLOOKUP(K1370,[4]在职!$A:$B,2,0)</f>
        <v>01970</v>
      </c>
      <c r="N1370" s="46" t="str">
        <f>VLOOKUP(K1370,[4]在职!$A:$G,7,0)</f>
        <v>营业三部</v>
      </c>
      <c r="O1370" s="46" t="str">
        <f>VLOOKUP(K1370,[4]在职!$A:$I,9,0)</f>
        <v>实习销售</v>
      </c>
      <c r="P1370" s="83">
        <f>VLOOKUP(K1370,[4]在职!$A:$D,4,0)</f>
        <v>46088</v>
      </c>
      <c r="Q1370" s="105">
        <v>5</v>
      </c>
      <c r="R1370" s="105">
        <v>5</v>
      </c>
      <c r="S1370" s="46">
        <v>100</v>
      </c>
    </row>
    <row r="1371" ht="16.5" spans="1:19">
      <c r="A1371" s="46">
        <v>1377</v>
      </c>
      <c r="B1371" s="46" t="s">
        <v>45</v>
      </c>
      <c r="C1371" s="46" t="s">
        <v>38</v>
      </c>
      <c r="D1371" s="46" t="s">
        <v>25</v>
      </c>
      <c r="E1371" s="46" t="s">
        <v>1170</v>
      </c>
      <c r="F1371" s="46" t="s">
        <v>903</v>
      </c>
      <c r="G1371" s="46" t="s">
        <v>904</v>
      </c>
      <c r="H1371" s="46" t="s">
        <v>1433</v>
      </c>
      <c r="I1371" s="46" t="s">
        <v>905</v>
      </c>
      <c r="J1371" s="83">
        <v>46106</v>
      </c>
      <c r="K1371" s="46" t="s">
        <v>1215</v>
      </c>
      <c r="L1371" s="46" t="s">
        <v>907</v>
      </c>
      <c r="M1371" s="46" t="str">
        <f>VLOOKUP(K1371,[4]在职!$A:$B,2,0)</f>
        <v>01854</v>
      </c>
      <c r="N1371" s="46" t="str">
        <f>VLOOKUP(K1371,[4]在职!$A:$G,7,0)</f>
        <v>营业六部</v>
      </c>
      <c r="O1371" s="46" t="str">
        <f>VLOOKUP(K1371,[4]在职!$A:$I,9,0)</f>
        <v>实习销售</v>
      </c>
      <c r="P1371" s="83">
        <f>VLOOKUP(K1371,[4]在职!$A:$D,4,0)</f>
        <v>46005</v>
      </c>
      <c r="Q1371" s="105">
        <v>0</v>
      </c>
      <c r="R1371" s="105">
        <v>0</v>
      </c>
      <c r="S1371" s="46">
        <v>0</v>
      </c>
    </row>
    <row r="1372" ht="16.5" spans="1:19">
      <c r="A1372" s="46">
        <v>1378</v>
      </c>
      <c r="B1372" s="46" t="s">
        <v>45</v>
      </c>
      <c r="C1372" s="46" t="s">
        <v>38</v>
      </c>
      <c r="D1372" s="46" t="s">
        <v>25</v>
      </c>
      <c r="E1372" s="46" t="s">
        <v>1170</v>
      </c>
      <c r="F1372" s="46" t="s">
        <v>903</v>
      </c>
      <c r="G1372" s="46" t="s">
        <v>904</v>
      </c>
      <c r="H1372" s="46" t="s">
        <v>1433</v>
      </c>
      <c r="I1372" s="46" t="s">
        <v>905</v>
      </c>
      <c r="J1372" s="83">
        <v>46106</v>
      </c>
      <c r="K1372" s="46" t="s">
        <v>1531</v>
      </c>
      <c r="L1372" s="46" t="s">
        <v>915</v>
      </c>
      <c r="M1372" s="46" t="str">
        <f>VLOOKUP(K1372,[4]在职!$A:$B,2,0)</f>
        <v>01938</v>
      </c>
      <c r="N1372" s="46" t="str">
        <f>VLOOKUP(K1372,[4]在职!$A:$G,7,0)</f>
        <v>杨薇</v>
      </c>
      <c r="O1372" s="46" t="str">
        <f>VLOOKUP(K1372,[4]在职!$A:$I,9,0)</f>
        <v>实习销售</v>
      </c>
      <c r="P1372" s="83">
        <f>VLOOKUP(K1372,[4]在职!$A:$D,4,0)</f>
        <v>46080</v>
      </c>
      <c r="Q1372" s="105">
        <v>5</v>
      </c>
      <c r="R1372" s="105">
        <v>5</v>
      </c>
      <c r="S1372" s="46">
        <v>100</v>
      </c>
    </row>
    <row r="1373" ht="16.5" spans="1:19">
      <c r="A1373" s="46">
        <v>1379</v>
      </c>
      <c r="B1373" s="46" t="s">
        <v>45</v>
      </c>
      <c r="C1373" s="46" t="s">
        <v>38</v>
      </c>
      <c r="D1373" s="46" t="s">
        <v>25</v>
      </c>
      <c r="E1373" s="46" t="s">
        <v>1170</v>
      </c>
      <c r="F1373" s="46" t="s">
        <v>903</v>
      </c>
      <c r="G1373" s="46" t="s">
        <v>904</v>
      </c>
      <c r="H1373" s="46" t="s">
        <v>1433</v>
      </c>
      <c r="I1373" s="46" t="s">
        <v>905</v>
      </c>
      <c r="J1373" s="83">
        <v>46106</v>
      </c>
      <c r="K1373" s="46" t="s">
        <v>1171</v>
      </c>
      <c r="L1373" s="46" t="s">
        <v>915</v>
      </c>
      <c r="M1373" s="46" t="str">
        <f>VLOOKUP(K1373,[4]在职!$A:$B,2,0)</f>
        <v>01876</v>
      </c>
      <c r="N1373" s="46" t="str">
        <f>VLOOKUP(K1373,[4]在职!$A:$G,7,0)</f>
        <v>营业五部</v>
      </c>
      <c r="O1373" s="46" t="str">
        <f>VLOOKUP(K1373,[4]在职!$A:$I,9,0)</f>
        <v>实习销售</v>
      </c>
      <c r="P1373" s="83">
        <f>VLOOKUP(K1373,[4]在职!$A:$D,4,0)</f>
        <v>46017</v>
      </c>
      <c r="Q1373" s="105">
        <v>5</v>
      </c>
      <c r="R1373" s="105">
        <v>5</v>
      </c>
      <c r="S1373" s="46">
        <v>100</v>
      </c>
    </row>
    <row r="1374" ht="16.5" spans="1:19">
      <c r="A1374" s="46">
        <v>1380</v>
      </c>
      <c r="B1374" s="46" t="s">
        <v>45</v>
      </c>
      <c r="C1374" s="46" t="s">
        <v>38</v>
      </c>
      <c r="D1374" s="46" t="s">
        <v>25</v>
      </c>
      <c r="E1374" s="46" t="s">
        <v>1170</v>
      </c>
      <c r="F1374" s="46" t="s">
        <v>903</v>
      </c>
      <c r="G1374" s="46" t="s">
        <v>904</v>
      </c>
      <c r="H1374" s="46" t="s">
        <v>1433</v>
      </c>
      <c r="I1374" s="46" t="s">
        <v>905</v>
      </c>
      <c r="J1374" s="83">
        <v>46106</v>
      </c>
      <c r="K1374" s="46" t="s">
        <v>1195</v>
      </c>
      <c r="L1374" s="46" t="s">
        <v>907</v>
      </c>
      <c r="M1374" s="46" t="str">
        <f>VLOOKUP(K1374,[4]在职!$A:$B,2,0)</f>
        <v>01765</v>
      </c>
      <c r="N1374" s="46" t="str">
        <f>VLOOKUP(K1374,[4]在职!$A:$G,7,0)</f>
        <v>营业五部</v>
      </c>
      <c r="O1374" s="46" t="str">
        <f>VLOOKUP(K1374,[4]在职!$A:$I,9,0)</f>
        <v>实习销售</v>
      </c>
      <c r="P1374" s="83">
        <f>VLOOKUP(K1374,[4]在职!$A:$D,4,0)</f>
        <v>45962</v>
      </c>
      <c r="Q1374" s="105">
        <v>0</v>
      </c>
      <c r="R1374" s="105">
        <v>0</v>
      </c>
      <c r="S1374" s="46">
        <v>0</v>
      </c>
    </row>
    <row r="1375" ht="16.5" spans="1:19">
      <c r="A1375" s="46">
        <v>1381</v>
      </c>
      <c r="B1375" s="46" t="s">
        <v>45</v>
      </c>
      <c r="C1375" s="46" t="s">
        <v>38</v>
      </c>
      <c r="D1375" s="46" t="s">
        <v>25</v>
      </c>
      <c r="E1375" s="46" t="s">
        <v>1170</v>
      </c>
      <c r="F1375" s="46" t="s">
        <v>903</v>
      </c>
      <c r="G1375" s="46" t="s">
        <v>904</v>
      </c>
      <c r="H1375" s="46" t="s">
        <v>1433</v>
      </c>
      <c r="I1375" s="46" t="s">
        <v>905</v>
      </c>
      <c r="J1375" s="83">
        <v>46106</v>
      </c>
      <c r="K1375" s="46" t="s">
        <v>1193</v>
      </c>
      <c r="L1375" s="46" t="s">
        <v>907</v>
      </c>
      <c r="M1375" s="46" t="str">
        <f>VLOOKUP(K1375,[4]在职!$A:$B,2,0)</f>
        <v>01881</v>
      </c>
      <c r="N1375" s="46" t="str">
        <f>VLOOKUP(K1375,[4]在职!$A:$G,7,0)</f>
        <v>营业五部</v>
      </c>
      <c r="O1375" s="46" t="str">
        <f>VLOOKUP(K1375,[4]在职!$A:$I,9,0)</f>
        <v>实习销售</v>
      </c>
      <c r="P1375" s="83">
        <f>VLOOKUP(K1375,[4]在职!$A:$D,4,0)</f>
        <v>46022</v>
      </c>
      <c r="Q1375" s="105">
        <v>0</v>
      </c>
      <c r="R1375" s="105">
        <v>0</v>
      </c>
      <c r="S1375" s="46">
        <v>0</v>
      </c>
    </row>
    <row r="1376" ht="16.5" spans="1:19">
      <c r="A1376" s="46">
        <v>1382</v>
      </c>
      <c r="B1376" s="46" t="s">
        <v>45</v>
      </c>
      <c r="C1376" s="46" t="s">
        <v>38</v>
      </c>
      <c r="D1376" s="46" t="s">
        <v>25</v>
      </c>
      <c r="E1376" s="46" t="s">
        <v>1170</v>
      </c>
      <c r="F1376" s="46" t="s">
        <v>903</v>
      </c>
      <c r="G1376" s="46" t="s">
        <v>904</v>
      </c>
      <c r="H1376" s="46" t="s">
        <v>1433</v>
      </c>
      <c r="I1376" s="46" t="s">
        <v>905</v>
      </c>
      <c r="J1376" s="83">
        <v>46106</v>
      </c>
      <c r="K1376" s="46" t="s">
        <v>1532</v>
      </c>
      <c r="L1376" s="46" t="s">
        <v>915</v>
      </c>
      <c r="M1376" s="46" t="str">
        <f>VLOOKUP(K1376,[4]在职!$A:$B,2,0)</f>
        <v>01924</v>
      </c>
      <c r="N1376" s="46" t="str">
        <f>VLOOKUP(K1376,[4]在职!$A:$G,7,0)</f>
        <v>营业一部</v>
      </c>
      <c r="O1376" s="46" t="str">
        <f>VLOOKUP(K1376,[4]在职!$A:$I,9,0)</f>
        <v>实习销售</v>
      </c>
      <c r="P1376" s="83">
        <f>VLOOKUP(K1376,[4]在职!$A:$D,4,0)</f>
        <v>46048</v>
      </c>
      <c r="Q1376" s="105">
        <v>4.75</v>
      </c>
      <c r="R1376" s="105">
        <v>5</v>
      </c>
      <c r="S1376" s="46">
        <v>80</v>
      </c>
    </row>
    <row r="1377" ht="16.5" spans="1:19">
      <c r="A1377" s="46">
        <v>1383</v>
      </c>
      <c r="B1377" s="46" t="s">
        <v>45</v>
      </c>
      <c r="C1377" s="46" t="s">
        <v>38</v>
      </c>
      <c r="D1377" s="46" t="s">
        <v>25</v>
      </c>
      <c r="E1377" s="46" t="s">
        <v>1170</v>
      </c>
      <c r="F1377" s="46" t="s">
        <v>903</v>
      </c>
      <c r="G1377" s="46" t="s">
        <v>904</v>
      </c>
      <c r="H1377" s="46" t="s">
        <v>1433</v>
      </c>
      <c r="I1377" s="46" t="s">
        <v>905</v>
      </c>
      <c r="J1377" s="83">
        <v>46106</v>
      </c>
      <c r="K1377" s="46" t="s">
        <v>1184</v>
      </c>
      <c r="L1377" s="46" t="s">
        <v>915</v>
      </c>
      <c r="M1377" s="46" t="str">
        <f>VLOOKUP(K1377,[4]在职!$A:$B,2,0)</f>
        <v>01893</v>
      </c>
      <c r="N1377" s="46" t="str">
        <f>VLOOKUP(K1377,[4]在职!$A:$G,7,0)</f>
        <v>营业三部</v>
      </c>
      <c r="O1377" s="46" t="str">
        <f>VLOOKUP(K1377,[4]在职!$A:$I,9,0)</f>
        <v>实习销售</v>
      </c>
      <c r="P1377" s="83">
        <f>VLOOKUP(K1377,[4]在职!$A:$D,4,0)</f>
        <v>46019</v>
      </c>
      <c r="Q1377" s="105">
        <v>5</v>
      </c>
      <c r="R1377" s="105">
        <v>5</v>
      </c>
      <c r="S1377" s="46">
        <v>80</v>
      </c>
    </row>
    <row r="1378" ht="16.5" spans="1:19">
      <c r="A1378" s="46">
        <v>1384</v>
      </c>
      <c r="B1378" s="46" t="s">
        <v>45</v>
      </c>
      <c r="C1378" s="46" t="s">
        <v>38</v>
      </c>
      <c r="D1378" s="46" t="s">
        <v>25</v>
      </c>
      <c r="E1378" s="46" t="s">
        <v>1170</v>
      </c>
      <c r="F1378" s="46" t="s">
        <v>903</v>
      </c>
      <c r="G1378" s="46" t="s">
        <v>904</v>
      </c>
      <c r="H1378" s="46" t="s">
        <v>1433</v>
      </c>
      <c r="I1378" s="46" t="s">
        <v>905</v>
      </c>
      <c r="J1378" s="83">
        <v>46106</v>
      </c>
      <c r="K1378" s="46" t="s">
        <v>1533</v>
      </c>
      <c r="L1378" s="46" t="s">
        <v>907</v>
      </c>
      <c r="M1378" s="46" t="str">
        <f>VLOOKUP(K1378,[4]在职!$A:$B,2,0)</f>
        <v>01939</v>
      </c>
      <c r="N1378" s="46" t="str">
        <f>VLOOKUP(K1378,[4]在职!$A:$G,7,0)</f>
        <v>营业一部</v>
      </c>
      <c r="O1378" s="46" t="str">
        <f>VLOOKUP(K1378,[4]在职!$A:$I,9,0)</f>
        <v>实习销售</v>
      </c>
      <c r="P1378" s="83">
        <f>VLOOKUP(K1378,[4]在职!$A:$D,4,0)</f>
        <v>46081</v>
      </c>
      <c r="Q1378" s="105">
        <v>0</v>
      </c>
      <c r="R1378" s="105">
        <v>0</v>
      </c>
      <c r="S1378" s="46">
        <v>0</v>
      </c>
    </row>
    <row r="1379" ht="16.5" spans="1:19">
      <c r="A1379" s="46">
        <v>1385</v>
      </c>
      <c r="B1379" s="46" t="s">
        <v>45</v>
      </c>
      <c r="C1379" s="46" t="s">
        <v>38</v>
      </c>
      <c r="D1379" s="46" t="s">
        <v>25</v>
      </c>
      <c r="E1379" s="46" t="s">
        <v>1170</v>
      </c>
      <c r="F1379" s="46" t="s">
        <v>903</v>
      </c>
      <c r="G1379" s="46" t="s">
        <v>904</v>
      </c>
      <c r="H1379" s="46" t="s">
        <v>1433</v>
      </c>
      <c r="I1379" s="46" t="s">
        <v>905</v>
      </c>
      <c r="J1379" s="83">
        <v>46106</v>
      </c>
      <c r="K1379" s="46" t="s">
        <v>1534</v>
      </c>
      <c r="L1379" s="46" t="s">
        <v>907</v>
      </c>
      <c r="M1379" s="46" t="str">
        <f>VLOOKUP(K1379,[4]在职!$A:$B,2,0)</f>
        <v>01921</v>
      </c>
      <c r="N1379" s="46" t="str">
        <f>VLOOKUP(K1379,[4]在职!$A:$G,7,0)</f>
        <v>营业一部</v>
      </c>
      <c r="O1379" s="46" t="str">
        <f>VLOOKUP(K1379,[4]在职!$A:$I,9,0)</f>
        <v>实习销售</v>
      </c>
      <c r="P1379" s="83">
        <f>VLOOKUP(K1379,[4]在职!$A:$D,4,0)</f>
        <v>46048</v>
      </c>
      <c r="Q1379" s="105">
        <v>0</v>
      </c>
      <c r="R1379" s="105">
        <v>0</v>
      </c>
      <c r="S1379" s="46">
        <v>0</v>
      </c>
    </row>
    <row r="1380" ht="16.5" spans="1:19">
      <c r="A1380" s="46">
        <v>1386</v>
      </c>
      <c r="B1380" s="46" t="s">
        <v>45</v>
      </c>
      <c r="C1380" s="46" t="s">
        <v>38</v>
      </c>
      <c r="D1380" s="46" t="s">
        <v>25</v>
      </c>
      <c r="E1380" s="46" t="s">
        <v>1170</v>
      </c>
      <c r="F1380" s="46" t="s">
        <v>903</v>
      </c>
      <c r="G1380" s="46" t="s">
        <v>904</v>
      </c>
      <c r="H1380" s="46" t="s">
        <v>1433</v>
      </c>
      <c r="I1380" s="46" t="s">
        <v>905</v>
      </c>
      <c r="J1380" s="83">
        <v>46106</v>
      </c>
      <c r="K1380" s="46" t="s">
        <v>1476</v>
      </c>
      <c r="L1380" s="46" t="s">
        <v>907</v>
      </c>
      <c r="M1380" s="46" t="str">
        <f>VLOOKUP(K1380,[4]在职!$A:$B,2,0)</f>
        <v>01682</v>
      </c>
      <c r="N1380" s="46" t="str">
        <f>VLOOKUP(K1380,[4]在职!$A:$G,7,0)</f>
        <v>营业一部</v>
      </c>
      <c r="O1380" s="46" t="str">
        <f>VLOOKUP(K1380,[4]在职!$A:$I,9,0)</f>
        <v>一星销售顾问</v>
      </c>
      <c r="P1380" s="83">
        <f>VLOOKUP(K1380,[4]在职!$A:$D,4,0)</f>
        <v>45903</v>
      </c>
      <c r="Q1380" s="105">
        <v>0</v>
      </c>
      <c r="R1380" s="105">
        <v>0</v>
      </c>
      <c r="S1380" s="46">
        <v>0</v>
      </c>
    </row>
    <row r="1381" ht="16.5" spans="1:19">
      <c r="A1381" s="46">
        <v>1387</v>
      </c>
      <c r="B1381" s="46" t="s">
        <v>45</v>
      </c>
      <c r="C1381" s="46" t="s">
        <v>35</v>
      </c>
      <c r="D1381" s="46" t="s">
        <v>25</v>
      </c>
      <c r="E1381" s="46" t="s">
        <v>1170</v>
      </c>
      <c r="F1381" s="46" t="s">
        <v>903</v>
      </c>
      <c r="G1381" s="46" t="s">
        <v>904</v>
      </c>
      <c r="H1381" s="46" t="s">
        <v>1433</v>
      </c>
      <c r="I1381" s="46" t="s">
        <v>905</v>
      </c>
      <c r="J1381" s="83">
        <v>46106</v>
      </c>
      <c r="K1381" s="46" t="s">
        <v>1535</v>
      </c>
      <c r="L1381" s="46" t="s">
        <v>915</v>
      </c>
      <c r="M1381" s="46" t="str">
        <f>VLOOKUP(K1381,[4]在职!$A:$B,2,0)</f>
        <v>01956</v>
      </c>
      <c r="N1381" s="46" t="str">
        <f>VLOOKUP(K1381,[4]在职!$A:$G,7,0)</f>
        <v>山东销售部</v>
      </c>
      <c r="O1381" s="46" t="str">
        <f>VLOOKUP(K1381,[4]在职!$A:$I,9,0)</f>
        <v>实习销售</v>
      </c>
      <c r="P1381" s="83">
        <f>VLOOKUP(K1381,[4]在职!$A:$D,4,0)</f>
        <v>46084</v>
      </c>
      <c r="Q1381" s="105">
        <v>5</v>
      </c>
      <c r="R1381" s="105">
        <v>5</v>
      </c>
      <c r="S1381" s="46">
        <v>100</v>
      </c>
    </row>
    <row r="1382" ht="16.5" spans="1:19">
      <c r="A1382" s="46">
        <v>1388</v>
      </c>
      <c r="B1382" s="46" t="s">
        <v>45</v>
      </c>
      <c r="C1382" s="46" t="s">
        <v>29</v>
      </c>
      <c r="D1382" s="46" t="s">
        <v>25</v>
      </c>
      <c r="E1382" s="46" t="s">
        <v>1536</v>
      </c>
      <c r="F1382" s="46" t="s">
        <v>1371</v>
      </c>
      <c r="G1382" s="46" t="s">
        <v>904</v>
      </c>
      <c r="H1382" s="46" t="s">
        <v>1433</v>
      </c>
      <c r="I1382" s="46" t="s">
        <v>905</v>
      </c>
      <c r="J1382" s="83">
        <v>46106</v>
      </c>
      <c r="K1382" s="46" t="s">
        <v>1506</v>
      </c>
      <c r="L1382" s="46" t="s">
        <v>915</v>
      </c>
      <c r="M1382" s="46" t="str">
        <f>VLOOKUP(K1382,[4]在职!$A:$B,2,0)</f>
        <v>00866</v>
      </c>
      <c r="N1382" s="46" t="str">
        <f>VLOOKUP(K1382,[4]在职!$A:$G,7,0)</f>
        <v>河南销售部</v>
      </c>
      <c r="O1382" s="46" t="str">
        <f>VLOOKUP(K1382,[4]在职!$A:$I,9,0)</f>
        <v>实习销售</v>
      </c>
      <c r="P1382" s="83">
        <f>VLOOKUP(K1382,[4]在职!$A:$D,4,0)</f>
        <v>46086</v>
      </c>
      <c r="Q1382" s="105">
        <v>5</v>
      </c>
      <c r="R1382" s="105">
        <v>4.6</v>
      </c>
      <c r="S1382" s="46">
        <v>80</v>
      </c>
    </row>
    <row r="1383" ht="16.5" spans="1:19">
      <c r="A1383" s="46">
        <v>1389</v>
      </c>
      <c r="B1383" s="46" t="s">
        <v>45</v>
      </c>
      <c r="C1383" s="46" t="s">
        <v>29</v>
      </c>
      <c r="D1383" s="46" t="s">
        <v>25</v>
      </c>
      <c r="E1383" s="46" t="s">
        <v>1536</v>
      </c>
      <c r="F1383" s="46" t="s">
        <v>1371</v>
      </c>
      <c r="G1383" s="46" t="s">
        <v>904</v>
      </c>
      <c r="H1383" s="46" t="s">
        <v>1433</v>
      </c>
      <c r="I1383" s="46" t="s">
        <v>905</v>
      </c>
      <c r="J1383" s="83">
        <v>46106</v>
      </c>
      <c r="K1383" s="46" t="s">
        <v>1279</v>
      </c>
      <c r="L1383" s="46" t="s">
        <v>907</v>
      </c>
      <c r="M1383" s="46" t="str">
        <f>VLOOKUP(K1383,[4]在职!$A:$B,2,0)</f>
        <v>01610</v>
      </c>
      <c r="N1383" s="46" t="str">
        <f>VLOOKUP(K1383,[4]在职!$A:$G,7,0)</f>
        <v>河南销售部</v>
      </c>
      <c r="O1383" s="46" t="str">
        <f>VLOOKUP(K1383,[4]在职!$A:$I,9,0)</f>
        <v>实习销售</v>
      </c>
      <c r="P1383" s="83">
        <f>VLOOKUP(K1383,[4]在职!$A:$D,4,0)</f>
        <v>46018</v>
      </c>
      <c r="Q1383" s="105">
        <v>0</v>
      </c>
      <c r="R1383" s="105">
        <v>0</v>
      </c>
      <c r="S1383" s="46">
        <v>0</v>
      </c>
    </row>
    <row r="1384" ht="16.5" spans="1:19">
      <c r="A1384" s="46">
        <v>1390</v>
      </c>
      <c r="B1384" s="46" t="s">
        <v>45</v>
      </c>
      <c r="C1384" s="46" t="s">
        <v>29</v>
      </c>
      <c r="D1384" s="46" t="s">
        <v>25</v>
      </c>
      <c r="E1384" s="46" t="s">
        <v>1536</v>
      </c>
      <c r="F1384" s="46" t="s">
        <v>1371</v>
      </c>
      <c r="G1384" s="46" t="s">
        <v>904</v>
      </c>
      <c r="H1384" s="46" t="s">
        <v>1433</v>
      </c>
      <c r="I1384" s="46" t="s">
        <v>905</v>
      </c>
      <c r="J1384" s="83">
        <v>46106</v>
      </c>
      <c r="K1384" s="46" t="s">
        <v>1205</v>
      </c>
      <c r="L1384" s="46" t="s">
        <v>915</v>
      </c>
      <c r="M1384" s="46" t="str">
        <f>VLOOKUP(K1384,[4]在职!$A:$B,2,0)</f>
        <v>01870</v>
      </c>
      <c r="N1384" s="46" t="str">
        <f>VLOOKUP(K1384,[4]在职!$A:$G,7,0)</f>
        <v>河南销售部</v>
      </c>
      <c r="O1384" s="46" t="str">
        <f>VLOOKUP(K1384,[4]在职!$A:$I,9,0)</f>
        <v>实习销售</v>
      </c>
      <c r="P1384" s="83">
        <f>VLOOKUP(K1384,[4]在职!$A:$D,4,0)</f>
        <v>46011</v>
      </c>
      <c r="Q1384" s="105">
        <v>5</v>
      </c>
      <c r="R1384" s="105">
        <v>5</v>
      </c>
      <c r="S1384" s="46">
        <v>80</v>
      </c>
    </row>
    <row r="1385" ht="16.5" spans="1:19">
      <c r="A1385" s="46">
        <v>1391</v>
      </c>
      <c r="B1385" s="46" t="s">
        <v>45</v>
      </c>
      <c r="C1385" s="46" t="s">
        <v>31</v>
      </c>
      <c r="D1385" s="46" t="s">
        <v>25</v>
      </c>
      <c r="E1385" s="46" t="s">
        <v>1536</v>
      </c>
      <c r="F1385" s="46" t="s">
        <v>1371</v>
      </c>
      <c r="G1385" s="46" t="s">
        <v>904</v>
      </c>
      <c r="H1385" s="46" t="s">
        <v>1433</v>
      </c>
      <c r="I1385" s="46" t="s">
        <v>905</v>
      </c>
      <c r="J1385" s="83">
        <v>46106</v>
      </c>
      <c r="K1385" s="46" t="s">
        <v>1507</v>
      </c>
      <c r="L1385" s="46" t="s">
        <v>907</v>
      </c>
      <c r="M1385" s="46" t="str">
        <f>VLOOKUP(K1385,[4]在职!$A:$B,2,0)</f>
        <v>01944</v>
      </c>
      <c r="N1385" s="46" t="str">
        <f>VLOOKUP(K1385,[4]在职!$A:$G,7,0)</f>
        <v>湖北1部</v>
      </c>
      <c r="O1385" s="46" t="str">
        <f>VLOOKUP(K1385,[4]在职!$A:$I,9,0)</f>
        <v>实习销售</v>
      </c>
      <c r="P1385" s="83">
        <f>VLOOKUP(K1385,[4]在职!$A:$D,4,0)</f>
        <v>46081</v>
      </c>
      <c r="Q1385" s="105">
        <v>0</v>
      </c>
      <c r="R1385" s="105">
        <v>0</v>
      </c>
      <c r="S1385" s="46">
        <v>0</v>
      </c>
    </row>
    <row r="1386" ht="16.5" spans="1:19">
      <c r="A1386" s="46">
        <v>1392</v>
      </c>
      <c r="B1386" s="46" t="s">
        <v>45</v>
      </c>
      <c r="C1386" s="46" t="s">
        <v>31</v>
      </c>
      <c r="D1386" s="46" t="s">
        <v>25</v>
      </c>
      <c r="E1386" s="46" t="s">
        <v>1536</v>
      </c>
      <c r="F1386" s="46" t="s">
        <v>1371</v>
      </c>
      <c r="G1386" s="46" t="s">
        <v>904</v>
      </c>
      <c r="H1386" s="46" t="s">
        <v>1433</v>
      </c>
      <c r="I1386" s="46" t="s">
        <v>905</v>
      </c>
      <c r="J1386" s="83">
        <v>46106</v>
      </c>
      <c r="K1386" s="46" t="s">
        <v>1508</v>
      </c>
      <c r="L1386" s="46" t="s">
        <v>915</v>
      </c>
      <c r="M1386" s="46" t="str">
        <f>VLOOKUP(K1386,[4]在职!$A:$B,2,0)</f>
        <v>01942</v>
      </c>
      <c r="N1386" s="46" t="str">
        <f>VLOOKUP(K1386,[4]在职!$A:$G,7,0)</f>
        <v>湖北2部</v>
      </c>
      <c r="O1386" s="46" t="str">
        <f>VLOOKUP(K1386,[4]在职!$A:$I,9,0)</f>
        <v>实习销售</v>
      </c>
      <c r="P1386" s="83">
        <f>VLOOKUP(K1386,[4]在职!$A:$D,4,0)</f>
        <v>46081</v>
      </c>
      <c r="Q1386" s="105">
        <v>5</v>
      </c>
      <c r="R1386" s="105">
        <v>5</v>
      </c>
      <c r="S1386" s="46">
        <v>40</v>
      </c>
    </row>
    <row r="1387" ht="16.5" spans="1:19">
      <c r="A1387" s="46">
        <v>1393</v>
      </c>
      <c r="B1387" s="46" t="s">
        <v>45</v>
      </c>
      <c r="C1387" s="46" t="s">
        <v>31</v>
      </c>
      <c r="D1387" s="46" t="s">
        <v>25</v>
      </c>
      <c r="E1387" s="46" t="s">
        <v>1536</v>
      </c>
      <c r="F1387" s="46" t="s">
        <v>1371</v>
      </c>
      <c r="G1387" s="46" t="s">
        <v>904</v>
      </c>
      <c r="H1387" s="46" t="s">
        <v>1433</v>
      </c>
      <c r="I1387" s="46" t="s">
        <v>905</v>
      </c>
      <c r="J1387" s="83">
        <v>46106</v>
      </c>
      <c r="K1387" s="46" t="s">
        <v>1509</v>
      </c>
      <c r="L1387" s="46" t="s">
        <v>915</v>
      </c>
      <c r="M1387" s="46" t="str">
        <f>VLOOKUP(K1387,[4]在职!$A:$B,2,0)</f>
        <v>01946</v>
      </c>
      <c r="N1387" s="46" t="str">
        <f>VLOOKUP(K1387,[4]在职!$A:$G,7,0)</f>
        <v>湖北1部</v>
      </c>
      <c r="O1387" s="46" t="str">
        <f>VLOOKUP(K1387,[4]在职!$A:$I,9,0)</f>
        <v>实习销售</v>
      </c>
      <c r="P1387" s="83">
        <f>VLOOKUP(K1387,[4]在职!$A:$D,4,0)</f>
        <v>46082</v>
      </c>
      <c r="Q1387" s="105">
        <v>5</v>
      </c>
      <c r="R1387" s="105">
        <v>5</v>
      </c>
      <c r="S1387" s="46">
        <v>80</v>
      </c>
    </row>
    <row r="1388" ht="16.5" spans="1:19">
      <c r="A1388" s="46">
        <v>1394</v>
      </c>
      <c r="B1388" s="46" t="s">
        <v>45</v>
      </c>
      <c r="C1388" s="46" t="s">
        <v>31</v>
      </c>
      <c r="D1388" s="46" t="s">
        <v>25</v>
      </c>
      <c r="E1388" s="46" t="s">
        <v>1536</v>
      </c>
      <c r="F1388" s="46" t="s">
        <v>1371</v>
      </c>
      <c r="G1388" s="46" t="s">
        <v>904</v>
      </c>
      <c r="H1388" s="46" t="s">
        <v>1433</v>
      </c>
      <c r="I1388" s="46" t="s">
        <v>905</v>
      </c>
      <c r="J1388" s="83">
        <v>46106</v>
      </c>
      <c r="K1388" s="46" t="s">
        <v>1510</v>
      </c>
      <c r="L1388" s="46" t="s">
        <v>915</v>
      </c>
      <c r="M1388" s="46" t="str">
        <f>VLOOKUP(K1388,[4]在职!$A:$B,2,0)</f>
        <v>01977</v>
      </c>
      <c r="N1388" s="46" t="str">
        <f>VLOOKUP(K1388,[4]在职!$A:$G,7,0)</f>
        <v>湖北1部</v>
      </c>
      <c r="O1388" s="46" t="str">
        <f>VLOOKUP(K1388,[4]在职!$A:$I,9,0)</f>
        <v>实习销售</v>
      </c>
      <c r="P1388" s="83">
        <f>VLOOKUP(K1388,[4]在职!$A:$D,4,0)</f>
        <v>46090</v>
      </c>
      <c r="Q1388" s="105">
        <v>5</v>
      </c>
      <c r="R1388" s="105">
        <v>5</v>
      </c>
      <c r="S1388" s="46">
        <v>100</v>
      </c>
    </row>
    <row r="1389" ht="16.5" spans="1:19">
      <c r="A1389" s="46">
        <v>1395</v>
      </c>
      <c r="B1389" s="46" t="s">
        <v>45</v>
      </c>
      <c r="C1389" s="46" t="s">
        <v>32</v>
      </c>
      <c r="D1389" s="46" t="s">
        <v>25</v>
      </c>
      <c r="E1389" s="46" t="s">
        <v>1536</v>
      </c>
      <c r="F1389" s="46" t="s">
        <v>1371</v>
      </c>
      <c r="G1389" s="46" t="s">
        <v>904</v>
      </c>
      <c r="H1389" s="46" t="s">
        <v>1433</v>
      </c>
      <c r="I1389" s="46" t="s">
        <v>905</v>
      </c>
      <c r="J1389" s="83">
        <v>46106</v>
      </c>
      <c r="K1389" s="46" t="s">
        <v>1511</v>
      </c>
      <c r="L1389" s="46" t="s">
        <v>915</v>
      </c>
      <c r="M1389" s="46" t="str">
        <f>VLOOKUP(K1389,[4]在职!$A:$B,2,0)</f>
        <v>01926</v>
      </c>
      <c r="N1389" s="46" t="str">
        <f>VLOOKUP(K1389,[4]在职!$A:$G,7,0)</f>
        <v>湖南销售部</v>
      </c>
      <c r="O1389" s="46" t="str">
        <f>VLOOKUP(K1389,[4]在职!$A:$I,9,0)</f>
        <v>实习销售</v>
      </c>
      <c r="P1389" s="83">
        <f>VLOOKUP(K1389,[4]在职!$A:$D,4,0)</f>
        <v>46050</v>
      </c>
      <c r="Q1389" s="105">
        <v>5</v>
      </c>
      <c r="R1389" s="105">
        <v>5</v>
      </c>
      <c r="S1389" s="46">
        <v>80</v>
      </c>
    </row>
    <row r="1390" ht="16.5" spans="1:19">
      <c r="A1390" s="46">
        <v>1396</v>
      </c>
      <c r="B1390" s="46" t="s">
        <v>45</v>
      </c>
      <c r="C1390" s="46" t="s">
        <v>32</v>
      </c>
      <c r="D1390" s="46" t="s">
        <v>25</v>
      </c>
      <c r="E1390" s="46" t="s">
        <v>1536</v>
      </c>
      <c r="F1390" s="46" t="s">
        <v>1371</v>
      </c>
      <c r="G1390" s="46" t="s">
        <v>904</v>
      </c>
      <c r="H1390" s="46" t="s">
        <v>1433</v>
      </c>
      <c r="I1390" s="46" t="s">
        <v>905</v>
      </c>
      <c r="J1390" s="83">
        <v>46106</v>
      </c>
      <c r="K1390" s="46" t="s">
        <v>1261</v>
      </c>
      <c r="L1390" s="46" t="s">
        <v>915</v>
      </c>
      <c r="M1390" s="46" t="str">
        <f>VLOOKUP(K1390,[4]在职!$A:$B,2,0)</f>
        <v>01907</v>
      </c>
      <c r="N1390" s="46" t="str">
        <f>VLOOKUP(K1390,[4]在职!$A:$G,7,0)</f>
        <v>湖南销售部</v>
      </c>
      <c r="O1390" s="46" t="str">
        <f>VLOOKUP(K1390,[4]在职!$A:$I,9,0)</f>
        <v>实习销售</v>
      </c>
      <c r="P1390" s="83">
        <f>VLOOKUP(K1390,[4]在职!$A:$D,4,0)</f>
        <v>46030</v>
      </c>
      <c r="Q1390" s="105">
        <v>5</v>
      </c>
      <c r="R1390" s="105">
        <v>5</v>
      </c>
      <c r="S1390" s="46">
        <v>80</v>
      </c>
    </row>
    <row r="1391" ht="16.5" spans="1:19">
      <c r="A1391" s="46">
        <v>1397</v>
      </c>
      <c r="B1391" s="46" t="s">
        <v>45</v>
      </c>
      <c r="C1391" s="46" t="s">
        <v>32</v>
      </c>
      <c r="D1391" s="46" t="s">
        <v>25</v>
      </c>
      <c r="E1391" s="46" t="s">
        <v>1536</v>
      </c>
      <c r="F1391" s="46" t="s">
        <v>1371</v>
      </c>
      <c r="G1391" s="46" t="s">
        <v>904</v>
      </c>
      <c r="H1391" s="46" t="s">
        <v>1433</v>
      </c>
      <c r="I1391" s="46" t="s">
        <v>905</v>
      </c>
      <c r="J1391" s="83">
        <v>46106</v>
      </c>
      <c r="K1391" s="46" t="s">
        <v>1259</v>
      </c>
      <c r="L1391" s="46" t="s">
        <v>915</v>
      </c>
      <c r="M1391" s="46" t="str">
        <f>VLOOKUP(K1391,[4]在职!$A:$B,2,0)</f>
        <v>01873</v>
      </c>
      <c r="N1391" s="46" t="str">
        <f>VLOOKUP(K1391,[4]在职!$A:$G,7,0)</f>
        <v>湖南销售部</v>
      </c>
      <c r="O1391" s="46" t="str">
        <f>VLOOKUP(K1391,[4]在职!$A:$I,9,0)</f>
        <v>实习销售</v>
      </c>
      <c r="P1391" s="83">
        <f>VLOOKUP(K1391,[4]在职!$A:$D,4,0)</f>
        <v>46013</v>
      </c>
      <c r="Q1391" s="105">
        <v>5</v>
      </c>
      <c r="R1391" s="105">
        <v>5</v>
      </c>
      <c r="S1391" s="46">
        <v>100</v>
      </c>
    </row>
    <row r="1392" ht="16.5" spans="1:19">
      <c r="A1392" s="46">
        <v>1398</v>
      </c>
      <c r="B1392" s="46" t="s">
        <v>45</v>
      </c>
      <c r="C1392" s="46" t="s">
        <v>32</v>
      </c>
      <c r="D1392" s="46" t="s">
        <v>25</v>
      </c>
      <c r="E1392" s="46" t="s">
        <v>1536</v>
      </c>
      <c r="F1392" s="46" t="s">
        <v>1371</v>
      </c>
      <c r="G1392" s="46" t="s">
        <v>904</v>
      </c>
      <c r="H1392" s="46" t="s">
        <v>1433</v>
      </c>
      <c r="I1392" s="46" t="s">
        <v>905</v>
      </c>
      <c r="J1392" s="83">
        <v>46106</v>
      </c>
      <c r="K1392" s="46" t="s">
        <v>1512</v>
      </c>
      <c r="L1392" s="46" t="s">
        <v>915</v>
      </c>
      <c r="M1392" s="46" t="str">
        <f>VLOOKUP(K1392,[4]在职!$A:$B,2,0)</f>
        <v>01920</v>
      </c>
      <c r="N1392" s="46" t="str">
        <f>VLOOKUP(K1392,[4]在职!$A:$G,7,0)</f>
        <v>湖南销售部</v>
      </c>
      <c r="O1392" s="46" t="str">
        <f>VLOOKUP(K1392,[4]在职!$A:$I,9,0)</f>
        <v>实习销售</v>
      </c>
      <c r="P1392" s="83">
        <f>VLOOKUP(K1392,[4]在职!$A:$D,4,0)</f>
        <v>46048</v>
      </c>
      <c r="Q1392" s="105">
        <v>5</v>
      </c>
      <c r="R1392" s="105">
        <v>5</v>
      </c>
      <c r="S1392" s="46">
        <v>60</v>
      </c>
    </row>
    <row r="1393" ht="16.5" spans="1:19">
      <c r="A1393" s="46">
        <v>1399</v>
      </c>
      <c r="B1393" s="46" t="s">
        <v>45</v>
      </c>
      <c r="C1393" s="46" t="s">
        <v>33</v>
      </c>
      <c r="D1393" s="46" t="s">
        <v>25</v>
      </c>
      <c r="E1393" s="46" t="s">
        <v>1536</v>
      </c>
      <c r="F1393" s="46" t="s">
        <v>1371</v>
      </c>
      <c r="G1393" s="46" t="s">
        <v>904</v>
      </c>
      <c r="H1393" s="46" t="s">
        <v>1433</v>
      </c>
      <c r="I1393" s="46" t="s">
        <v>905</v>
      </c>
      <c r="J1393" s="83">
        <v>46106</v>
      </c>
      <c r="K1393" s="46" t="s">
        <v>1513</v>
      </c>
      <c r="L1393" s="46" t="s">
        <v>915</v>
      </c>
      <c r="M1393" s="46" t="str">
        <f>VLOOKUP(K1393,[4]在职!$A:$B,2,0)</f>
        <v>01961</v>
      </c>
      <c r="N1393" s="46" t="str">
        <f>VLOOKUP(K1393,[4]在职!$A:$G,7,0)</f>
        <v>辽宁销售部</v>
      </c>
      <c r="O1393" s="46" t="str">
        <f>VLOOKUP(K1393,[4]在职!$A:$I,9,0)</f>
        <v>实习销售</v>
      </c>
      <c r="P1393" s="83">
        <f>VLOOKUP(K1393,[4]在职!$A:$D,4,0)</f>
        <v>46086</v>
      </c>
      <c r="Q1393" s="105">
        <v>5</v>
      </c>
      <c r="R1393" s="105">
        <v>5</v>
      </c>
      <c r="S1393" s="46">
        <v>80</v>
      </c>
    </row>
    <row r="1394" ht="16.5" spans="1:19">
      <c r="A1394" s="46">
        <v>1400</v>
      </c>
      <c r="B1394" s="46" t="s">
        <v>45</v>
      </c>
      <c r="C1394" s="46" t="s">
        <v>33</v>
      </c>
      <c r="D1394" s="46" t="s">
        <v>25</v>
      </c>
      <c r="E1394" s="46" t="s">
        <v>1536</v>
      </c>
      <c r="F1394" s="46" t="s">
        <v>1371</v>
      </c>
      <c r="G1394" s="46" t="s">
        <v>904</v>
      </c>
      <c r="H1394" s="46" t="s">
        <v>1433</v>
      </c>
      <c r="I1394" s="46" t="s">
        <v>905</v>
      </c>
      <c r="J1394" s="83">
        <v>46106</v>
      </c>
      <c r="K1394" s="46" t="s">
        <v>1514</v>
      </c>
      <c r="L1394" s="46" t="s">
        <v>915</v>
      </c>
      <c r="M1394" s="46" t="str">
        <f>VLOOKUP(K1394,[4]在职!$A:$B,2,0)</f>
        <v>01925</v>
      </c>
      <c r="N1394" s="46" t="str">
        <f>VLOOKUP(K1394,[4]在职!$A:$G,7,0)</f>
        <v>辽宁销售部</v>
      </c>
      <c r="O1394" s="46" t="str">
        <f>VLOOKUP(K1394,[4]在职!$A:$I,9,0)</f>
        <v>实习销售</v>
      </c>
      <c r="P1394" s="83">
        <f>VLOOKUP(K1394,[4]在职!$A:$D,4,0)</f>
        <v>46048</v>
      </c>
      <c r="Q1394" s="105">
        <v>5</v>
      </c>
      <c r="R1394" s="105">
        <v>5</v>
      </c>
      <c r="S1394" s="46">
        <v>80</v>
      </c>
    </row>
    <row r="1395" ht="16.5" spans="1:19">
      <c r="A1395" s="46">
        <v>1401</v>
      </c>
      <c r="B1395" s="46" t="s">
        <v>45</v>
      </c>
      <c r="C1395" s="46" t="s">
        <v>35</v>
      </c>
      <c r="D1395" s="46" t="s">
        <v>25</v>
      </c>
      <c r="E1395" s="46" t="s">
        <v>1536</v>
      </c>
      <c r="F1395" s="46" t="s">
        <v>1371</v>
      </c>
      <c r="G1395" s="46" t="s">
        <v>904</v>
      </c>
      <c r="H1395" s="46" t="s">
        <v>1433</v>
      </c>
      <c r="I1395" s="46" t="s">
        <v>905</v>
      </c>
      <c r="J1395" s="83">
        <v>46106</v>
      </c>
      <c r="K1395" s="46" t="s">
        <v>1515</v>
      </c>
      <c r="L1395" s="46" t="s">
        <v>915</v>
      </c>
      <c r="M1395" s="46" t="str">
        <f>VLOOKUP(K1395,[4]在职!$A:$B,2,0)</f>
        <v>01936</v>
      </c>
      <c r="N1395" s="46" t="str">
        <f>VLOOKUP(K1395,[4]在职!$A:$G,7,0)</f>
        <v>山东销售部</v>
      </c>
      <c r="O1395" s="46" t="str">
        <f>VLOOKUP(K1395,[4]在职!$A:$I,9,0)</f>
        <v>实习销售</v>
      </c>
      <c r="P1395" s="83">
        <f>VLOOKUP(K1395,[4]在职!$A:$D,4,0)</f>
        <v>46079</v>
      </c>
      <c r="Q1395" s="105">
        <v>5</v>
      </c>
      <c r="R1395" s="105">
        <v>5</v>
      </c>
      <c r="S1395" s="46">
        <v>40</v>
      </c>
    </row>
    <row r="1396" ht="16.5" spans="1:19">
      <c r="A1396" s="46">
        <v>1402</v>
      </c>
      <c r="B1396" s="46" t="s">
        <v>45</v>
      </c>
      <c r="C1396" s="46" t="s">
        <v>35</v>
      </c>
      <c r="D1396" s="46" t="s">
        <v>25</v>
      </c>
      <c r="E1396" s="46" t="s">
        <v>1536</v>
      </c>
      <c r="F1396" s="46" t="s">
        <v>1371</v>
      </c>
      <c r="G1396" s="46" t="s">
        <v>904</v>
      </c>
      <c r="H1396" s="46" t="s">
        <v>1433</v>
      </c>
      <c r="I1396" s="46" t="s">
        <v>905</v>
      </c>
      <c r="J1396" s="83">
        <v>46106</v>
      </c>
      <c r="K1396" s="46" t="s">
        <v>1516</v>
      </c>
      <c r="L1396" s="46" t="s">
        <v>915</v>
      </c>
      <c r="M1396" s="46" t="str">
        <f>VLOOKUP(K1396,[4]在职!$A:$B,2,0)</f>
        <v>01947</v>
      </c>
      <c r="N1396" s="46" t="str">
        <f>VLOOKUP(K1396,[4]在职!$A:$G,7,0)</f>
        <v>山东销售部</v>
      </c>
      <c r="O1396" s="46" t="str">
        <f>VLOOKUP(K1396,[4]在职!$A:$I,9,0)</f>
        <v>实习销售</v>
      </c>
      <c r="P1396" s="83">
        <f>VLOOKUP(K1396,[4]在职!$A:$D,4,0)</f>
        <v>46083</v>
      </c>
      <c r="Q1396" s="105">
        <v>5</v>
      </c>
      <c r="R1396" s="105">
        <v>5</v>
      </c>
      <c r="S1396" s="46">
        <v>100</v>
      </c>
    </row>
    <row r="1397" ht="16.5" spans="1:19">
      <c r="A1397" s="46">
        <v>1403</v>
      </c>
      <c r="B1397" s="46" t="s">
        <v>45</v>
      </c>
      <c r="C1397" s="46" t="s">
        <v>24</v>
      </c>
      <c r="D1397" s="46" t="s">
        <v>25</v>
      </c>
      <c r="E1397" s="46" t="s">
        <v>1536</v>
      </c>
      <c r="F1397" s="46" t="s">
        <v>1371</v>
      </c>
      <c r="G1397" s="46" t="s">
        <v>904</v>
      </c>
      <c r="H1397" s="46" t="s">
        <v>1433</v>
      </c>
      <c r="I1397" s="46" t="s">
        <v>905</v>
      </c>
      <c r="J1397" s="83">
        <v>46106</v>
      </c>
      <c r="K1397" s="46" t="s">
        <v>1517</v>
      </c>
      <c r="L1397" s="46" t="s">
        <v>915</v>
      </c>
      <c r="M1397" s="46" t="str">
        <f>VLOOKUP(K1397,[4]在职!$A:$B,2,0)</f>
        <v>01973</v>
      </c>
      <c r="N1397" s="46" t="str">
        <f>VLOOKUP(K1397,[4]在职!$A:$G,7,0)</f>
        <v>陕西1部</v>
      </c>
      <c r="O1397" s="46" t="str">
        <f>VLOOKUP(K1397,[4]在职!$A:$I,9,0)</f>
        <v>实习销售</v>
      </c>
      <c r="P1397" s="83">
        <f>VLOOKUP(K1397,[4]在职!$A:$D,4,0)</f>
        <v>46089</v>
      </c>
      <c r="Q1397" s="105">
        <v>0</v>
      </c>
      <c r="R1397" s="105">
        <v>0</v>
      </c>
      <c r="S1397" s="46">
        <v>40</v>
      </c>
    </row>
    <row r="1398" ht="16.5" spans="1:19">
      <c r="A1398" s="46">
        <v>1404</v>
      </c>
      <c r="B1398" s="46" t="s">
        <v>45</v>
      </c>
      <c r="C1398" s="46" t="s">
        <v>37</v>
      </c>
      <c r="D1398" s="46" t="s">
        <v>25</v>
      </c>
      <c r="E1398" s="46" t="s">
        <v>1536</v>
      </c>
      <c r="F1398" s="46" t="s">
        <v>1371</v>
      </c>
      <c r="G1398" s="46" t="s">
        <v>904</v>
      </c>
      <c r="H1398" s="46" t="s">
        <v>1433</v>
      </c>
      <c r="I1398" s="46" t="s">
        <v>905</v>
      </c>
      <c r="J1398" s="83">
        <v>46106</v>
      </c>
      <c r="K1398" s="46" t="s">
        <v>1518</v>
      </c>
      <c r="L1398" s="46" t="s">
        <v>915</v>
      </c>
      <c r="M1398" s="46" t="str">
        <f>VLOOKUP(K1398,[4]在职!$A:$B,2,0)</f>
        <v>01930</v>
      </c>
      <c r="N1398" s="46" t="str">
        <f>VLOOKUP(K1398,[4]在职!$A:$G,7,0)</f>
        <v>陕西2部</v>
      </c>
      <c r="O1398" s="46" t="str">
        <f>VLOOKUP(K1398,[4]在职!$A:$I,9,0)</f>
        <v>实习销售</v>
      </c>
      <c r="P1398" s="83">
        <f>VLOOKUP(K1398,[4]在职!$A:$D,4,0)</f>
        <v>46054</v>
      </c>
      <c r="Q1398" s="105">
        <v>0</v>
      </c>
      <c r="R1398" s="105">
        <v>0</v>
      </c>
      <c r="S1398" s="46">
        <v>40</v>
      </c>
    </row>
    <row r="1399" ht="16.5" spans="1:19">
      <c r="A1399" s="46">
        <v>1405</v>
      </c>
      <c r="B1399" s="46" t="s">
        <v>45</v>
      </c>
      <c r="C1399" s="46" t="s">
        <v>37</v>
      </c>
      <c r="D1399" s="46" t="s">
        <v>25</v>
      </c>
      <c r="E1399" s="46" t="s">
        <v>1536</v>
      </c>
      <c r="F1399" s="46" t="s">
        <v>1371</v>
      </c>
      <c r="G1399" s="46" t="s">
        <v>904</v>
      </c>
      <c r="H1399" s="46" t="s">
        <v>1433</v>
      </c>
      <c r="I1399" s="46" t="s">
        <v>905</v>
      </c>
      <c r="J1399" s="83">
        <v>46106</v>
      </c>
      <c r="K1399" s="46" t="s">
        <v>1519</v>
      </c>
      <c r="L1399" s="46" t="s">
        <v>915</v>
      </c>
      <c r="M1399" s="46" t="str">
        <f>VLOOKUP(K1399,[4]在职!$A:$B,2,0)</f>
        <v>01943</v>
      </c>
      <c r="N1399" s="46" t="str">
        <f>VLOOKUP(K1399,[4]在职!$A:$G,7,0)</f>
        <v>陕西2部</v>
      </c>
      <c r="O1399" s="46" t="str">
        <f>VLOOKUP(K1399,[4]在职!$A:$I,9,0)</f>
        <v>实习销售</v>
      </c>
      <c r="P1399" s="83">
        <f>VLOOKUP(K1399,[4]在职!$A:$D,4,0)</f>
        <v>46084</v>
      </c>
      <c r="Q1399" s="105">
        <v>5</v>
      </c>
      <c r="R1399" s="105">
        <v>5</v>
      </c>
      <c r="S1399" s="46">
        <v>0</v>
      </c>
    </row>
    <row r="1400" ht="16.5" spans="1:19">
      <c r="A1400" s="46">
        <v>1406</v>
      </c>
      <c r="B1400" s="46" t="s">
        <v>45</v>
      </c>
      <c r="C1400" s="46" t="s">
        <v>37</v>
      </c>
      <c r="D1400" s="46" t="s">
        <v>25</v>
      </c>
      <c r="E1400" s="46" t="s">
        <v>1536</v>
      </c>
      <c r="F1400" s="46" t="s">
        <v>1371</v>
      </c>
      <c r="G1400" s="46" t="s">
        <v>904</v>
      </c>
      <c r="H1400" s="46" t="s">
        <v>1433</v>
      </c>
      <c r="I1400" s="46" t="s">
        <v>905</v>
      </c>
      <c r="J1400" s="83">
        <v>46106</v>
      </c>
      <c r="K1400" s="46" t="s">
        <v>1520</v>
      </c>
      <c r="L1400" s="46" t="s">
        <v>915</v>
      </c>
      <c r="M1400" s="46" t="str">
        <f>VLOOKUP(K1400,[4]在职!$A:$B,2,0)</f>
        <v>01955</v>
      </c>
      <c r="N1400" s="46" t="str">
        <f>VLOOKUP(K1400,[4]在职!$A:$G,7,0)</f>
        <v>陕西1部</v>
      </c>
      <c r="O1400" s="46" t="str">
        <f>VLOOKUP(K1400,[4]在职!$A:$I,9,0)</f>
        <v>实习销售</v>
      </c>
      <c r="P1400" s="83">
        <f>VLOOKUP(K1400,[4]在职!$A:$D,4,0)</f>
        <v>46085</v>
      </c>
      <c r="Q1400" s="105">
        <v>5</v>
      </c>
      <c r="R1400" s="105">
        <v>5</v>
      </c>
      <c r="S1400" s="46">
        <v>80</v>
      </c>
    </row>
    <row r="1401" ht="16.5" spans="1:19">
      <c r="A1401" s="46">
        <v>1407</v>
      </c>
      <c r="B1401" s="46" t="s">
        <v>45</v>
      </c>
      <c r="C1401" s="46" t="s">
        <v>37</v>
      </c>
      <c r="D1401" s="46" t="s">
        <v>25</v>
      </c>
      <c r="E1401" s="46" t="s">
        <v>1536</v>
      </c>
      <c r="F1401" s="46" t="s">
        <v>1371</v>
      </c>
      <c r="G1401" s="46" t="s">
        <v>904</v>
      </c>
      <c r="H1401" s="46" t="s">
        <v>1433</v>
      </c>
      <c r="I1401" s="46" t="s">
        <v>905</v>
      </c>
      <c r="J1401" s="83">
        <v>46106</v>
      </c>
      <c r="K1401" s="46" t="s">
        <v>1521</v>
      </c>
      <c r="L1401" s="46" t="s">
        <v>915</v>
      </c>
      <c r="M1401" s="46" t="str">
        <f>VLOOKUP(K1401,[4]在职!$A:$B,2,0)</f>
        <v>01932</v>
      </c>
      <c r="N1401" s="46" t="str">
        <f>VLOOKUP(K1401,[4]在职!$A:$G,7,0)</f>
        <v>陕西2部</v>
      </c>
      <c r="O1401" s="46" t="str">
        <f>VLOOKUP(K1401,[4]在职!$A:$I,9,0)</f>
        <v>实习销售</v>
      </c>
      <c r="P1401" s="83">
        <f>VLOOKUP(K1401,[4]在职!$A:$D,4,0)</f>
        <v>46058</v>
      </c>
      <c r="Q1401" s="105">
        <v>5</v>
      </c>
      <c r="R1401" s="105">
        <v>5</v>
      </c>
      <c r="S1401" s="46">
        <v>80</v>
      </c>
    </row>
    <row r="1402" ht="16.5" spans="1:19">
      <c r="A1402" s="46">
        <v>1408</v>
      </c>
      <c r="B1402" s="46" t="s">
        <v>45</v>
      </c>
      <c r="C1402" s="46" t="s">
        <v>38</v>
      </c>
      <c r="D1402" s="46" t="s">
        <v>25</v>
      </c>
      <c r="E1402" s="46" t="s">
        <v>1536</v>
      </c>
      <c r="F1402" s="46" t="s">
        <v>1371</v>
      </c>
      <c r="G1402" s="46" t="s">
        <v>904</v>
      </c>
      <c r="H1402" s="46" t="s">
        <v>1433</v>
      </c>
      <c r="I1402" s="46" t="s">
        <v>905</v>
      </c>
      <c r="J1402" s="83">
        <v>46106</v>
      </c>
      <c r="K1402" s="46" t="s">
        <v>1522</v>
      </c>
      <c r="L1402" s="46" t="s">
        <v>915</v>
      </c>
      <c r="M1402" s="46" t="str">
        <f>VLOOKUP(K1402,[4]在职!$A:$B,2,0)</f>
        <v>01978</v>
      </c>
      <c r="N1402" s="46" t="str">
        <f>VLOOKUP(K1402,[4]在职!$A:$G,7,0)</f>
        <v>营业一部</v>
      </c>
      <c r="O1402" s="46" t="str">
        <f>VLOOKUP(K1402,[4]在职!$A:$I,9,0)</f>
        <v>实习销售</v>
      </c>
      <c r="P1402" s="83">
        <f>VLOOKUP(K1402,[4]在职!$A:$D,4,0)</f>
        <v>46086</v>
      </c>
      <c r="Q1402" s="105">
        <v>5</v>
      </c>
      <c r="R1402" s="105">
        <v>5</v>
      </c>
      <c r="S1402" s="46">
        <v>100</v>
      </c>
    </row>
    <row r="1403" ht="16.5" spans="1:19">
      <c r="A1403" s="46">
        <v>1409</v>
      </c>
      <c r="B1403" s="46" t="s">
        <v>45</v>
      </c>
      <c r="C1403" s="46" t="s">
        <v>38</v>
      </c>
      <c r="D1403" s="46" t="s">
        <v>25</v>
      </c>
      <c r="E1403" s="46" t="s">
        <v>1536</v>
      </c>
      <c r="F1403" s="46" t="s">
        <v>1371</v>
      </c>
      <c r="G1403" s="46" t="s">
        <v>904</v>
      </c>
      <c r="H1403" s="46" t="s">
        <v>1433</v>
      </c>
      <c r="I1403" s="46" t="s">
        <v>905</v>
      </c>
      <c r="J1403" s="83">
        <v>46106</v>
      </c>
      <c r="K1403" s="46" t="s">
        <v>1523</v>
      </c>
      <c r="L1403" s="46" t="s">
        <v>915</v>
      </c>
      <c r="M1403" s="46" t="str">
        <f>VLOOKUP(K1403,[4]在职!$A:$B,2,0)</f>
        <v>01963</v>
      </c>
      <c r="N1403" s="46" t="str">
        <f>VLOOKUP(K1403,[4]在职!$A:$G,7,0)</f>
        <v>营业一部</v>
      </c>
      <c r="O1403" s="46" t="str">
        <f>VLOOKUP(K1403,[4]在职!$A:$I,9,0)</f>
        <v>实习销售</v>
      </c>
      <c r="P1403" s="83">
        <f>VLOOKUP(K1403,[4]在职!$A:$D,4,0)</f>
        <v>46085</v>
      </c>
      <c r="Q1403" s="105">
        <v>5</v>
      </c>
      <c r="R1403" s="105">
        <v>5</v>
      </c>
      <c r="S1403" s="46">
        <v>100</v>
      </c>
    </row>
    <row r="1404" ht="16.5" spans="1:19">
      <c r="A1404" s="46">
        <v>1410</v>
      </c>
      <c r="B1404" s="46" t="s">
        <v>45</v>
      </c>
      <c r="C1404" s="46" t="s">
        <v>38</v>
      </c>
      <c r="D1404" s="46" t="s">
        <v>25</v>
      </c>
      <c r="E1404" s="46" t="s">
        <v>1536</v>
      </c>
      <c r="F1404" s="46" t="s">
        <v>1371</v>
      </c>
      <c r="G1404" s="46" t="s">
        <v>904</v>
      </c>
      <c r="H1404" s="46" t="s">
        <v>1433</v>
      </c>
      <c r="I1404" s="46" t="s">
        <v>905</v>
      </c>
      <c r="J1404" s="83">
        <v>46106</v>
      </c>
      <c r="K1404" s="46" t="s">
        <v>1524</v>
      </c>
      <c r="L1404" s="46" t="s">
        <v>915</v>
      </c>
      <c r="M1404" s="46" t="str">
        <f>VLOOKUP(K1404,[4]在职!$A:$B,2,0)</f>
        <v>01964</v>
      </c>
      <c r="N1404" s="46" t="str">
        <f>VLOOKUP(K1404,[4]在职!$A:$G,7,0)</f>
        <v>营业一部</v>
      </c>
      <c r="O1404" s="46" t="str">
        <f>VLOOKUP(K1404,[4]在职!$A:$I,9,0)</f>
        <v>实习销售</v>
      </c>
      <c r="P1404" s="83">
        <f>VLOOKUP(K1404,[4]在职!$A:$D,4,0)</f>
        <v>46083</v>
      </c>
      <c r="Q1404" s="105">
        <v>5</v>
      </c>
      <c r="R1404" s="105">
        <v>5</v>
      </c>
      <c r="S1404" s="46">
        <v>100</v>
      </c>
    </row>
    <row r="1405" ht="16.5" spans="1:19">
      <c r="A1405" s="46">
        <v>1411</v>
      </c>
      <c r="B1405" s="46" t="s">
        <v>45</v>
      </c>
      <c r="C1405" s="46" t="s">
        <v>38</v>
      </c>
      <c r="D1405" s="46" t="s">
        <v>25</v>
      </c>
      <c r="E1405" s="46" t="s">
        <v>1536</v>
      </c>
      <c r="F1405" s="46" t="s">
        <v>1371</v>
      </c>
      <c r="G1405" s="46" t="s">
        <v>904</v>
      </c>
      <c r="H1405" s="46" t="s">
        <v>1433</v>
      </c>
      <c r="I1405" s="46" t="s">
        <v>905</v>
      </c>
      <c r="J1405" s="83">
        <v>46106</v>
      </c>
      <c r="K1405" s="46" t="s">
        <v>1525</v>
      </c>
      <c r="L1405" s="46" t="s">
        <v>915</v>
      </c>
      <c r="M1405" s="46" t="str">
        <f>VLOOKUP(K1405,[4]在职!$A:$B,2,0)</f>
        <v>01929</v>
      </c>
      <c r="N1405" s="46" t="str">
        <f>VLOOKUP(K1405,[4]在职!$A:$G,7,0)</f>
        <v>营业一部</v>
      </c>
      <c r="O1405" s="46" t="str">
        <f>VLOOKUP(K1405,[4]在职!$A:$I,9,0)</f>
        <v>实习销售</v>
      </c>
      <c r="P1405" s="83">
        <f>VLOOKUP(K1405,[4]在职!$A:$D,4,0)</f>
        <v>46048</v>
      </c>
      <c r="Q1405" s="105">
        <v>5</v>
      </c>
      <c r="R1405" s="105">
        <v>5</v>
      </c>
      <c r="S1405" s="46">
        <v>100</v>
      </c>
    </row>
    <row r="1406" ht="16.5" spans="1:19">
      <c r="A1406" s="46">
        <v>1412</v>
      </c>
      <c r="B1406" s="46" t="s">
        <v>45</v>
      </c>
      <c r="C1406" s="46" t="s">
        <v>38</v>
      </c>
      <c r="D1406" s="46" t="s">
        <v>25</v>
      </c>
      <c r="E1406" s="46" t="s">
        <v>1536</v>
      </c>
      <c r="F1406" s="46" t="s">
        <v>1371</v>
      </c>
      <c r="G1406" s="46" t="s">
        <v>904</v>
      </c>
      <c r="H1406" s="46" t="s">
        <v>1433</v>
      </c>
      <c r="I1406" s="46" t="s">
        <v>905</v>
      </c>
      <c r="J1406" s="83">
        <v>46106</v>
      </c>
      <c r="K1406" s="46" t="s">
        <v>1437</v>
      </c>
      <c r="L1406" s="46" t="s">
        <v>915</v>
      </c>
      <c r="M1406" s="46" t="str">
        <f>VLOOKUP(K1406,[4]在职!$A:$B,2,0)</f>
        <v>01753</v>
      </c>
      <c r="N1406" s="46" t="str">
        <f>VLOOKUP(K1406,[4]在职!$A:$G,7,0)</f>
        <v>营业一部</v>
      </c>
      <c r="O1406" s="46" t="str">
        <f>VLOOKUP(K1406,[4]在职!$A:$I,9,0)</f>
        <v>一星销售顾问</v>
      </c>
      <c r="P1406" s="83">
        <f>VLOOKUP(K1406,[4]在职!$A:$D,4,0)</f>
        <v>45951</v>
      </c>
      <c r="Q1406" s="105">
        <v>5</v>
      </c>
      <c r="R1406" s="105">
        <v>5</v>
      </c>
      <c r="S1406" s="46">
        <v>100</v>
      </c>
    </row>
    <row r="1407" ht="16.5" spans="1:19">
      <c r="A1407" s="46">
        <v>1413</v>
      </c>
      <c r="B1407" s="46" t="s">
        <v>45</v>
      </c>
      <c r="C1407" s="46" t="s">
        <v>38</v>
      </c>
      <c r="D1407" s="46" t="s">
        <v>25</v>
      </c>
      <c r="E1407" s="46" t="s">
        <v>1536</v>
      </c>
      <c r="F1407" s="46" t="s">
        <v>1371</v>
      </c>
      <c r="G1407" s="46" t="s">
        <v>904</v>
      </c>
      <c r="H1407" s="46" t="s">
        <v>1433</v>
      </c>
      <c r="I1407" s="46" t="s">
        <v>905</v>
      </c>
      <c r="J1407" s="83">
        <v>46106</v>
      </c>
      <c r="K1407" s="46" t="s">
        <v>1321</v>
      </c>
      <c r="L1407" s="46" t="s">
        <v>915</v>
      </c>
      <c r="M1407" s="46" t="str">
        <f>VLOOKUP(K1407,[4]在职!$A:$B,2,0)</f>
        <v>01821</v>
      </c>
      <c r="N1407" s="46" t="str">
        <f>VLOOKUP(K1407,[4]在职!$A:$G,7,0)</f>
        <v>营业一部</v>
      </c>
      <c r="O1407" s="46" t="str">
        <f>VLOOKUP(K1407,[4]在职!$A:$I,9,0)</f>
        <v>一星销售顾问</v>
      </c>
      <c r="P1407" s="83">
        <f>VLOOKUP(K1407,[4]在职!$A:$D,4,0)</f>
        <v>45992</v>
      </c>
      <c r="Q1407" s="105">
        <v>5</v>
      </c>
      <c r="R1407" s="105">
        <v>5</v>
      </c>
      <c r="S1407" s="46">
        <v>100</v>
      </c>
    </row>
    <row r="1408" ht="16.5" spans="1:19">
      <c r="A1408" s="46">
        <v>1414</v>
      </c>
      <c r="B1408" s="46" t="s">
        <v>45</v>
      </c>
      <c r="C1408" s="46" t="s">
        <v>38</v>
      </c>
      <c r="D1408" s="46" t="s">
        <v>25</v>
      </c>
      <c r="E1408" s="46" t="s">
        <v>1536</v>
      </c>
      <c r="F1408" s="46" t="s">
        <v>1371</v>
      </c>
      <c r="G1408" s="46" t="s">
        <v>904</v>
      </c>
      <c r="H1408" s="46" t="s">
        <v>1433</v>
      </c>
      <c r="I1408" s="46" t="s">
        <v>905</v>
      </c>
      <c r="J1408" s="83">
        <v>46106</v>
      </c>
      <c r="K1408" s="46" t="s">
        <v>1436</v>
      </c>
      <c r="L1408" s="46" t="s">
        <v>915</v>
      </c>
      <c r="M1408" s="46" t="str">
        <f>VLOOKUP(K1408,[4]在职!$A:$B,2,0)</f>
        <v>01763</v>
      </c>
      <c r="N1408" s="46" t="str">
        <f>VLOOKUP(K1408,[4]在职!$A:$G,7,0)</f>
        <v>营业一部</v>
      </c>
      <c r="O1408" s="46" t="str">
        <f>VLOOKUP(K1408,[4]在职!$A:$I,9,0)</f>
        <v>一星销售顾问</v>
      </c>
      <c r="P1408" s="83">
        <f>VLOOKUP(K1408,[4]在职!$A:$D,4,0)</f>
        <v>45952</v>
      </c>
      <c r="Q1408" s="105">
        <v>5</v>
      </c>
      <c r="R1408" s="105">
        <v>5</v>
      </c>
      <c r="S1408" s="46">
        <v>100</v>
      </c>
    </row>
    <row r="1409" ht="16.5" spans="1:19">
      <c r="A1409" s="46">
        <v>1415</v>
      </c>
      <c r="B1409" s="46" t="s">
        <v>45</v>
      </c>
      <c r="C1409" s="46" t="s">
        <v>38</v>
      </c>
      <c r="D1409" s="46" t="s">
        <v>25</v>
      </c>
      <c r="E1409" s="46" t="s">
        <v>1536</v>
      </c>
      <c r="F1409" s="46" t="s">
        <v>1371</v>
      </c>
      <c r="G1409" s="46" t="s">
        <v>904</v>
      </c>
      <c r="H1409" s="46" t="s">
        <v>1433</v>
      </c>
      <c r="I1409" s="46" t="s">
        <v>905</v>
      </c>
      <c r="J1409" s="83">
        <v>46106</v>
      </c>
      <c r="K1409" s="46" t="s">
        <v>1293</v>
      </c>
      <c r="L1409" s="46" t="s">
        <v>915</v>
      </c>
      <c r="M1409" s="46" t="str">
        <f>VLOOKUP(K1409,[4]在职!$A:$B,2,0)</f>
        <v>01901</v>
      </c>
      <c r="N1409" s="46" t="str">
        <f>VLOOKUP(K1409,[4]在职!$A:$G,7,0)</f>
        <v>营业六部</v>
      </c>
      <c r="O1409" s="46" t="str">
        <f>VLOOKUP(K1409,[4]在职!$A:$I,9,0)</f>
        <v>实习销售</v>
      </c>
      <c r="P1409" s="83">
        <f>VLOOKUP(K1409,[4]在职!$A:$D,4,0)</f>
        <v>46022</v>
      </c>
      <c r="Q1409" s="105">
        <v>5</v>
      </c>
      <c r="R1409" s="105">
        <v>5</v>
      </c>
      <c r="S1409" s="46">
        <v>100</v>
      </c>
    </row>
    <row r="1410" ht="16.5" spans="1:19">
      <c r="A1410" s="46">
        <v>1416</v>
      </c>
      <c r="B1410" s="46" t="s">
        <v>45</v>
      </c>
      <c r="C1410" s="46" t="s">
        <v>38</v>
      </c>
      <c r="D1410" s="46" t="s">
        <v>25</v>
      </c>
      <c r="E1410" s="46" t="s">
        <v>1536</v>
      </c>
      <c r="F1410" s="46" t="s">
        <v>1371</v>
      </c>
      <c r="G1410" s="46" t="s">
        <v>904</v>
      </c>
      <c r="H1410" s="46" t="s">
        <v>1433</v>
      </c>
      <c r="I1410" s="46" t="s">
        <v>905</v>
      </c>
      <c r="J1410" s="83">
        <v>46106</v>
      </c>
      <c r="K1410" s="46" t="s">
        <v>1295</v>
      </c>
      <c r="L1410" s="46" t="s">
        <v>915</v>
      </c>
      <c r="M1410" s="46" t="str">
        <f>VLOOKUP(K1410,[4]在职!$A:$B,2,0)</f>
        <v>01792</v>
      </c>
      <c r="N1410" s="46" t="str">
        <f>VLOOKUP(K1410,[4]在职!$A:$G,7,0)</f>
        <v>营业六部</v>
      </c>
      <c r="O1410" s="46" t="str">
        <f>VLOOKUP(K1410,[4]在职!$A:$I,9,0)</f>
        <v>实习销售</v>
      </c>
      <c r="P1410" s="83">
        <f>VLOOKUP(K1410,[4]在职!$A:$D,4,0)</f>
        <v>45978</v>
      </c>
      <c r="Q1410" s="105">
        <v>5</v>
      </c>
      <c r="R1410" s="105">
        <v>5</v>
      </c>
      <c r="S1410" s="46">
        <v>80</v>
      </c>
    </row>
    <row r="1411" ht="16.5" spans="1:19">
      <c r="A1411" s="46">
        <v>1417</v>
      </c>
      <c r="B1411" s="46" t="s">
        <v>45</v>
      </c>
      <c r="C1411" s="46" t="s">
        <v>38</v>
      </c>
      <c r="D1411" s="46" t="s">
        <v>25</v>
      </c>
      <c r="E1411" s="46" t="s">
        <v>1536</v>
      </c>
      <c r="F1411" s="46" t="s">
        <v>1371</v>
      </c>
      <c r="G1411" s="46" t="s">
        <v>904</v>
      </c>
      <c r="H1411" s="46" t="s">
        <v>1433</v>
      </c>
      <c r="I1411" s="46" t="s">
        <v>905</v>
      </c>
      <c r="J1411" s="83">
        <v>46106</v>
      </c>
      <c r="K1411" s="46" t="s">
        <v>1526</v>
      </c>
      <c r="L1411" s="46" t="s">
        <v>915</v>
      </c>
      <c r="M1411" s="46" t="str">
        <f>VLOOKUP(K1411,[4]在职!$A:$B,2,0)</f>
        <v>01966</v>
      </c>
      <c r="N1411" s="46" t="str">
        <f>VLOOKUP(K1411,[4]在职!$A:$G,7,0)</f>
        <v>营业一部</v>
      </c>
      <c r="O1411" s="46" t="str">
        <f>VLOOKUP(K1411,[4]在职!$A:$I,9,0)</f>
        <v>实习销售</v>
      </c>
      <c r="P1411" s="83">
        <f>VLOOKUP(K1411,[4]在职!$A:$D,4,0)</f>
        <v>46086</v>
      </c>
      <c r="Q1411" s="105">
        <v>5</v>
      </c>
      <c r="R1411" s="105">
        <v>5</v>
      </c>
      <c r="S1411" s="46">
        <v>95</v>
      </c>
    </row>
    <row r="1412" ht="16.5" spans="1:19">
      <c r="A1412" s="46">
        <v>1418</v>
      </c>
      <c r="B1412" s="46" t="s">
        <v>45</v>
      </c>
      <c r="C1412" s="46" t="s">
        <v>26</v>
      </c>
      <c r="D1412" s="46" t="s">
        <v>25</v>
      </c>
      <c r="E1412" s="46" t="s">
        <v>1536</v>
      </c>
      <c r="F1412" s="46" t="s">
        <v>1371</v>
      </c>
      <c r="G1412" s="46" t="s">
        <v>904</v>
      </c>
      <c r="H1412" s="46" t="s">
        <v>1433</v>
      </c>
      <c r="I1412" s="46" t="s">
        <v>905</v>
      </c>
      <c r="J1412" s="83">
        <v>46106</v>
      </c>
      <c r="K1412" s="46" t="s">
        <v>1283</v>
      </c>
      <c r="L1412" s="46" t="s">
        <v>915</v>
      </c>
      <c r="M1412" s="46" t="str">
        <f>VLOOKUP(K1412,[4]在职!$A:$B,2,0)</f>
        <v>01880</v>
      </c>
      <c r="N1412" s="46" t="str">
        <f>VLOOKUP(K1412,[4]在职!$A:$G,7,0)</f>
        <v>河北销售部</v>
      </c>
      <c r="O1412" s="46" t="str">
        <f>VLOOKUP(K1412,[4]在职!$A:$I,9,0)</f>
        <v>实习销售</v>
      </c>
      <c r="P1412" s="83">
        <f>VLOOKUP(K1412,[4]在职!$A:$D,4,0)</f>
        <v>46015</v>
      </c>
      <c r="Q1412" s="105">
        <v>5</v>
      </c>
      <c r="R1412" s="105">
        <v>5</v>
      </c>
      <c r="S1412" s="46">
        <v>75</v>
      </c>
    </row>
    <row r="1413" ht="16.5" spans="1:19">
      <c r="A1413" s="46">
        <v>1419</v>
      </c>
      <c r="B1413" s="46" t="s">
        <v>45</v>
      </c>
      <c r="C1413" s="46" t="s">
        <v>26</v>
      </c>
      <c r="D1413" s="46" t="s">
        <v>25</v>
      </c>
      <c r="E1413" s="46" t="s">
        <v>1536</v>
      </c>
      <c r="F1413" s="46" t="s">
        <v>1371</v>
      </c>
      <c r="G1413" s="46" t="s">
        <v>904</v>
      </c>
      <c r="H1413" s="46" t="s">
        <v>1433</v>
      </c>
      <c r="I1413" s="46" t="s">
        <v>905</v>
      </c>
      <c r="J1413" s="83">
        <v>46106</v>
      </c>
      <c r="K1413" s="46" t="s">
        <v>1285</v>
      </c>
      <c r="L1413" s="46" t="s">
        <v>915</v>
      </c>
      <c r="M1413" s="46" t="str">
        <f>VLOOKUP(K1413,[4]在职!$A:$B,2,0)</f>
        <v>01817</v>
      </c>
      <c r="N1413" s="46" t="str">
        <f>VLOOKUP(K1413,[4]在职!$A:$G,7,0)</f>
        <v>河北销售部</v>
      </c>
      <c r="O1413" s="46" t="str">
        <f>VLOOKUP(K1413,[4]在职!$A:$I,9,0)</f>
        <v>实习销售</v>
      </c>
      <c r="P1413" s="83">
        <f>VLOOKUP(K1413,[4]在职!$A:$D,4,0)</f>
        <v>45989</v>
      </c>
      <c r="Q1413" s="105">
        <v>5</v>
      </c>
      <c r="R1413" s="105">
        <v>5</v>
      </c>
      <c r="S1413" s="46">
        <v>80</v>
      </c>
    </row>
    <row r="1414" ht="16.5" spans="1:19">
      <c r="A1414" s="46">
        <v>1420</v>
      </c>
      <c r="B1414" s="46" t="s">
        <v>45</v>
      </c>
      <c r="C1414" s="46" t="s">
        <v>38</v>
      </c>
      <c r="D1414" s="46" t="s">
        <v>25</v>
      </c>
      <c r="E1414" s="46" t="s">
        <v>1536</v>
      </c>
      <c r="F1414" s="46" t="s">
        <v>1371</v>
      </c>
      <c r="G1414" s="46" t="s">
        <v>904</v>
      </c>
      <c r="H1414" s="46" t="s">
        <v>1433</v>
      </c>
      <c r="I1414" s="46" t="s">
        <v>905</v>
      </c>
      <c r="J1414" s="83">
        <v>46106</v>
      </c>
      <c r="K1414" s="46" t="s">
        <v>1263</v>
      </c>
      <c r="L1414" s="46" t="s">
        <v>907</v>
      </c>
      <c r="M1414" s="46" t="str">
        <f>VLOOKUP(K1414,[4]在职!$A:$B,2,0)</f>
        <v>01723</v>
      </c>
      <c r="N1414" s="46" t="str">
        <f>VLOOKUP(K1414,[4]在职!$A:$G,7,0)</f>
        <v>营业七部</v>
      </c>
      <c r="O1414" s="46" t="str">
        <f>VLOOKUP(K1414,[4]在职!$A:$I,9,0)</f>
        <v>一星销售顾问</v>
      </c>
      <c r="P1414" s="83">
        <f>VLOOKUP(K1414,[4]在职!$A:$D,4,0)</f>
        <v>45941</v>
      </c>
      <c r="Q1414" s="105">
        <v>0</v>
      </c>
      <c r="R1414" s="105">
        <v>0</v>
      </c>
      <c r="S1414" s="46">
        <v>0</v>
      </c>
    </row>
    <row r="1415" ht="16.5" spans="1:19">
      <c r="A1415" s="46">
        <v>1421</v>
      </c>
      <c r="B1415" s="46" t="s">
        <v>45</v>
      </c>
      <c r="C1415" s="46" t="s">
        <v>38</v>
      </c>
      <c r="D1415" s="46" t="s">
        <v>25</v>
      </c>
      <c r="E1415" s="46" t="s">
        <v>1536</v>
      </c>
      <c r="F1415" s="46" t="s">
        <v>1371</v>
      </c>
      <c r="G1415" s="46" t="s">
        <v>904</v>
      </c>
      <c r="H1415" s="46" t="s">
        <v>1433</v>
      </c>
      <c r="I1415" s="46" t="s">
        <v>905</v>
      </c>
      <c r="J1415" s="83">
        <v>46106</v>
      </c>
      <c r="K1415" s="46" t="s">
        <v>1197</v>
      </c>
      <c r="L1415" s="46" t="s">
        <v>907</v>
      </c>
      <c r="M1415" s="46" t="str">
        <f>VLOOKUP(K1415,[4]在职!$A:$B,2,0)</f>
        <v>01900</v>
      </c>
      <c r="N1415" s="46" t="str">
        <f>VLOOKUP(K1415,[4]在职!$A:$G,7,0)</f>
        <v>营业七部</v>
      </c>
      <c r="O1415" s="46" t="str">
        <f>VLOOKUP(K1415,[4]在职!$A:$I,9,0)</f>
        <v>实习销售</v>
      </c>
      <c r="P1415" s="83">
        <f>VLOOKUP(K1415,[4]在职!$A:$D,4,0)</f>
        <v>46021</v>
      </c>
      <c r="Q1415" s="105">
        <v>0</v>
      </c>
      <c r="R1415" s="105">
        <v>0</v>
      </c>
      <c r="S1415" s="46">
        <v>0</v>
      </c>
    </row>
    <row r="1416" ht="16.5" spans="1:19">
      <c r="A1416" s="46">
        <v>1422</v>
      </c>
      <c r="B1416" s="46" t="s">
        <v>45</v>
      </c>
      <c r="C1416" s="46" t="s">
        <v>38</v>
      </c>
      <c r="D1416" s="46" t="s">
        <v>25</v>
      </c>
      <c r="E1416" s="46" t="s">
        <v>1536</v>
      </c>
      <c r="F1416" s="46" t="s">
        <v>1371</v>
      </c>
      <c r="G1416" s="46" t="s">
        <v>904</v>
      </c>
      <c r="H1416" s="46" t="s">
        <v>1433</v>
      </c>
      <c r="I1416" s="46" t="s">
        <v>905</v>
      </c>
      <c r="J1416" s="83">
        <v>46106</v>
      </c>
      <c r="K1416" s="46" t="s">
        <v>1527</v>
      </c>
      <c r="L1416" s="46" t="s">
        <v>915</v>
      </c>
      <c r="M1416" s="46" t="str">
        <f>VLOOKUP(K1416,[4]在职!$A:$B,2,0)</f>
        <v>01969</v>
      </c>
      <c r="N1416" s="46" t="str">
        <f>VLOOKUP(K1416,[4]在职!$A:$G,7,0)</f>
        <v>营业六部</v>
      </c>
      <c r="O1416" s="46" t="str">
        <f>VLOOKUP(K1416,[4]在职!$A:$I,9,0)</f>
        <v>实习销售</v>
      </c>
      <c r="P1416" s="83">
        <f>VLOOKUP(K1416,[4]在职!$A:$D,4,0)</f>
        <v>46087</v>
      </c>
      <c r="Q1416" s="105">
        <v>5</v>
      </c>
      <c r="R1416" s="105">
        <v>5</v>
      </c>
      <c r="S1416" s="46">
        <v>80</v>
      </c>
    </row>
    <row r="1417" ht="16.5" spans="1:19">
      <c r="A1417" s="46">
        <v>1423</v>
      </c>
      <c r="B1417" s="46" t="s">
        <v>45</v>
      </c>
      <c r="C1417" s="46" t="s">
        <v>38</v>
      </c>
      <c r="D1417" s="46" t="s">
        <v>25</v>
      </c>
      <c r="E1417" s="46" t="s">
        <v>1536</v>
      </c>
      <c r="F1417" s="46" t="s">
        <v>1371</v>
      </c>
      <c r="G1417" s="46" t="s">
        <v>904</v>
      </c>
      <c r="H1417" s="46" t="s">
        <v>1433</v>
      </c>
      <c r="I1417" s="46" t="s">
        <v>905</v>
      </c>
      <c r="J1417" s="83">
        <v>46106</v>
      </c>
      <c r="K1417" s="46" t="s">
        <v>1528</v>
      </c>
      <c r="L1417" s="46" t="s">
        <v>915</v>
      </c>
      <c r="M1417" s="46" t="str">
        <f>VLOOKUP(K1417,[4]在职!$A:$B,2,0)</f>
        <v>01959</v>
      </c>
      <c r="N1417" s="46" t="str">
        <f>VLOOKUP(K1417,[4]在职!$A:$G,7,0)</f>
        <v>营业七部</v>
      </c>
      <c r="O1417" s="46" t="str">
        <f>VLOOKUP(K1417,[4]在职!$A:$I,9,0)</f>
        <v>实习销售</v>
      </c>
      <c r="P1417" s="83">
        <f>VLOOKUP(K1417,[4]在职!$A:$D,4,0)</f>
        <v>46085</v>
      </c>
      <c r="Q1417" s="105">
        <v>5</v>
      </c>
      <c r="R1417" s="105">
        <v>5</v>
      </c>
      <c r="S1417" s="46">
        <v>60</v>
      </c>
    </row>
    <row r="1418" ht="16.5" spans="1:19">
      <c r="A1418" s="46">
        <v>1424</v>
      </c>
      <c r="B1418" s="46" t="s">
        <v>45</v>
      </c>
      <c r="C1418" s="46" t="s">
        <v>38</v>
      </c>
      <c r="D1418" s="46" t="s">
        <v>25</v>
      </c>
      <c r="E1418" s="46" t="s">
        <v>1536</v>
      </c>
      <c r="F1418" s="46" t="s">
        <v>1371</v>
      </c>
      <c r="G1418" s="46" t="s">
        <v>904</v>
      </c>
      <c r="H1418" s="46" t="s">
        <v>1433</v>
      </c>
      <c r="I1418" s="46" t="s">
        <v>905</v>
      </c>
      <c r="J1418" s="83">
        <v>46106</v>
      </c>
      <c r="K1418" s="46" t="s">
        <v>1529</v>
      </c>
      <c r="L1418" s="46" t="s">
        <v>915</v>
      </c>
      <c r="M1418" s="46" t="str">
        <f>VLOOKUP(K1418,[4]在职!$A:$B,2,0)</f>
        <v>01958</v>
      </c>
      <c r="N1418" s="46" t="str">
        <f>VLOOKUP(K1418,[4]在职!$A:$G,7,0)</f>
        <v>营业七部</v>
      </c>
      <c r="O1418" s="46" t="str">
        <f>VLOOKUP(K1418,[4]在职!$A:$I,9,0)</f>
        <v>实习销售</v>
      </c>
      <c r="P1418" s="83">
        <f>VLOOKUP(K1418,[4]在职!$A:$D,4,0)</f>
        <v>46084</v>
      </c>
      <c r="Q1418" s="105">
        <v>5</v>
      </c>
      <c r="R1418" s="105">
        <v>5</v>
      </c>
      <c r="S1418" s="46">
        <v>80</v>
      </c>
    </row>
    <row r="1419" ht="16.5" spans="1:19">
      <c r="A1419" s="46">
        <v>1425</v>
      </c>
      <c r="B1419" s="46" t="s">
        <v>45</v>
      </c>
      <c r="C1419" s="46" t="s">
        <v>38</v>
      </c>
      <c r="D1419" s="46" t="s">
        <v>25</v>
      </c>
      <c r="E1419" s="46" t="s">
        <v>1536</v>
      </c>
      <c r="F1419" s="46" t="s">
        <v>1371</v>
      </c>
      <c r="G1419" s="46" t="s">
        <v>904</v>
      </c>
      <c r="H1419" s="46" t="s">
        <v>1433</v>
      </c>
      <c r="I1419" s="46" t="s">
        <v>905</v>
      </c>
      <c r="J1419" s="83">
        <v>46106</v>
      </c>
      <c r="K1419" s="46" t="s">
        <v>1530</v>
      </c>
      <c r="L1419" s="46" t="s">
        <v>915</v>
      </c>
      <c r="M1419" s="46" t="str">
        <f>VLOOKUP(K1419,[4]在职!$A:$B,2,0)</f>
        <v>01970</v>
      </c>
      <c r="N1419" s="46" t="str">
        <f>VLOOKUP(K1419,[4]在职!$A:$G,7,0)</f>
        <v>营业三部</v>
      </c>
      <c r="O1419" s="46" t="str">
        <f>VLOOKUP(K1419,[4]在职!$A:$I,9,0)</f>
        <v>实习销售</v>
      </c>
      <c r="P1419" s="83">
        <f>VLOOKUP(K1419,[4]在职!$A:$D,4,0)</f>
        <v>46088</v>
      </c>
      <c r="Q1419" s="105">
        <v>5</v>
      </c>
      <c r="R1419" s="105">
        <v>5</v>
      </c>
      <c r="S1419" s="46">
        <v>80</v>
      </c>
    </row>
    <row r="1420" ht="16.5" spans="1:19">
      <c r="A1420" s="46">
        <v>1426</v>
      </c>
      <c r="B1420" s="46" t="s">
        <v>45</v>
      </c>
      <c r="C1420" s="46" t="s">
        <v>38</v>
      </c>
      <c r="D1420" s="46" t="s">
        <v>25</v>
      </c>
      <c r="E1420" s="46" t="s">
        <v>1536</v>
      </c>
      <c r="F1420" s="46" t="s">
        <v>1371</v>
      </c>
      <c r="G1420" s="46" t="s">
        <v>904</v>
      </c>
      <c r="H1420" s="46" t="s">
        <v>1433</v>
      </c>
      <c r="I1420" s="46" t="s">
        <v>905</v>
      </c>
      <c r="J1420" s="83">
        <v>46106</v>
      </c>
      <c r="K1420" s="46" t="s">
        <v>1215</v>
      </c>
      <c r="L1420" s="46" t="s">
        <v>907</v>
      </c>
      <c r="M1420" s="46" t="str">
        <f>VLOOKUP(K1420,[4]在职!$A:$B,2,0)</f>
        <v>01854</v>
      </c>
      <c r="N1420" s="46" t="str">
        <f>VLOOKUP(K1420,[4]在职!$A:$G,7,0)</f>
        <v>营业六部</v>
      </c>
      <c r="O1420" s="46" t="str">
        <f>VLOOKUP(K1420,[4]在职!$A:$I,9,0)</f>
        <v>实习销售</v>
      </c>
      <c r="P1420" s="83">
        <f>VLOOKUP(K1420,[4]在职!$A:$D,4,0)</f>
        <v>46005</v>
      </c>
      <c r="Q1420" s="105">
        <v>0</v>
      </c>
      <c r="R1420" s="105">
        <v>0</v>
      </c>
      <c r="S1420" s="46">
        <v>0</v>
      </c>
    </row>
    <row r="1421" ht="16.5" spans="1:19">
      <c r="A1421" s="46">
        <v>1427</v>
      </c>
      <c r="B1421" s="46" t="s">
        <v>45</v>
      </c>
      <c r="C1421" s="46" t="s">
        <v>38</v>
      </c>
      <c r="D1421" s="46" t="s">
        <v>25</v>
      </c>
      <c r="E1421" s="46" t="s">
        <v>1536</v>
      </c>
      <c r="F1421" s="46" t="s">
        <v>1371</v>
      </c>
      <c r="G1421" s="46" t="s">
        <v>904</v>
      </c>
      <c r="H1421" s="46" t="s">
        <v>1433</v>
      </c>
      <c r="I1421" s="46" t="s">
        <v>905</v>
      </c>
      <c r="J1421" s="83">
        <v>46106</v>
      </c>
      <c r="K1421" s="46" t="s">
        <v>1531</v>
      </c>
      <c r="L1421" s="46" t="s">
        <v>915</v>
      </c>
      <c r="M1421" s="46" t="str">
        <f>VLOOKUP(K1421,[4]在职!$A:$B,2,0)</f>
        <v>01938</v>
      </c>
      <c r="N1421" s="46" t="str">
        <f>VLOOKUP(K1421,[4]在职!$A:$G,7,0)</f>
        <v>杨薇</v>
      </c>
      <c r="O1421" s="46" t="str">
        <f>VLOOKUP(K1421,[4]在职!$A:$I,9,0)</f>
        <v>实习销售</v>
      </c>
      <c r="P1421" s="83">
        <f>VLOOKUP(K1421,[4]在职!$A:$D,4,0)</f>
        <v>46080</v>
      </c>
      <c r="Q1421" s="105">
        <v>5</v>
      </c>
      <c r="R1421" s="105">
        <v>5</v>
      </c>
      <c r="S1421" s="46">
        <v>100</v>
      </c>
    </row>
    <row r="1422" ht="16.5" spans="1:19">
      <c r="A1422" s="46">
        <v>1429</v>
      </c>
      <c r="B1422" s="46" t="s">
        <v>45</v>
      </c>
      <c r="C1422" s="46" t="s">
        <v>38</v>
      </c>
      <c r="D1422" s="46" t="s">
        <v>25</v>
      </c>
      <c r="E1422" s="46" t="s">
        <v>1536</v>
      </c>
      <c r="F1422" s="46" t="s">
        <v>1371</v>
      </c>
      <c r="G1422" s="46" t="s">
        <v>904</v>
      </c>
      <c r="H1422" s="46" t="s">
        <v>1433</v>
      </c>
      <c r="I1422" s="46" t="s">
        <v>905</v>
      </c>
      <c r="J1422" s="83">
        <v>46106</v>
      </c>
      <c r="K1422" s="46" t="s">
        <v>1171</v>
      </c>
      <c r="L1422" s="46" t="s">
        <v>915</v>
      </c>
      <c r="M1422" s="46" t="str">
        <f>VLOOKUP(K1422,[4]在职!$A:$B,2,0)</f>
        <v>01876</v>
      </c>
      <c r="N1422" s="46" t="str">
        <f>VLOOKUP(K1422,[4]在职!$A:$G,7,0)</f>
        <v>营业五部</v>
      </c>
      <c r="O1422" s="46" t="str">
        <f>VLOOKUP(K1422,[4]在职!$A:$I,9,0)</f>
        <v>实习销售</v>
      </c>
      <c r="P1422" s="83">
        <f>VLOOKUP(K1422,[4]在职!$A:$D,4,0)</f>
        <v>46017</v>
      </c>
      <c r="Q1422" s="105">
        <v>5</v>
      </c>
      <c r="R1422" s="105">
        <v>5</v>
      </c>
      <c r="S1422" s="46">
        <v>80</v>
      </c>
    </row>
    <row r="1423" ht="16.5" spans="1:19">
      <c r="A1423" s="46">
        <v>1430</v>
      </c>
      <c r="B1423" s="46" t="s">
        <v>45</v>
      </c>
      <c r="C1423" s="46" t="s">
        <v>38</v>
      </c>
      <c r="D1423" s="46" t="s">
        <v>25</v>
      </c>
      <c r="E1423" s="46" t="s">
        <v>1536</v>
      </c>
      <c r="F1423" s="46" t="s">
        <v>1371</v>
      </c>
      <c r="G1423" s="46" t="s">
        <v>904</v>
      </c>
      <c r="H1423" s="46" t="s">
        <v>1433</v>
      </c>
      <c r="I1423" s="46" t="s">
        <v>905</v>
      </c>
      <c r="J1423" s="83">
        <v>46106</v>
      </c>
      <c r="K1423" s="46" t="s">
        <v>1195</v>
      </c>
      <c r="L1423" s="46" t="s">
        <v>907</v>
      </c>
      <c r="M1423" s="46" t="str">
        <f>VLOOKUP(K1423,[4]在职!$A:$B,2,0)</f>
        <v>01765</v>
      </c>
      <c r="N1423" s="46" t="str">
        <f>VLOOKUP(K1423,[4]在职!$A:$G,7,0)</f>
        <v>营业五部</v>
      </c>
      <c r="O1423" s="46" t="str">
        <f>VLOOKUP(K1423,[4]在职!$A:$I,9,0)</f>
        <v>实习销售</v>
      </c>
      <c r="P1423" s="83">
        <f>VLOOKUP(K1423,[4]在职!$A:$D,4,0)</f>
        <v>45962</v>
      </c>
      <c r="Q1423" s="105">
        <v>0</v>
      </c>
      <c r="R1423" s="105">
        <v>0</v>
      </c>
      <c r="S1423" s="46">
        <v>0</v>
      </c>
    </row>
    <row r="1424" ht="16.5" spans="1:19">
      <c r="A1424" s="46">
        <v>1431</v>
      </c>
      <c r="B1424" s="46" t="s">
        <v>45</v>
      </c>
      <c r="C1424" s="46" t="s">
        <v>38</v>
      </c>
      <c r="D1424" s="46" t="s">
        <v>25</v>
      </c>
      <c r="E1424" s="46" t="s">
        <v>1536</v>
      </c>
      <c r="F1424" s="46" t="s">
        <v>1371</v>
      </c>
      <c r="G1424" s="46" t="s">
        <v>904</v>
      </c>
      <c r="H1424" s="46" t="s">
        <v>1433</v>
      </c>
      <c r="I1424" s="46" t="s">
        <v>905</v>
      </c>
      <c r="J1424" s="83">
        <v>46106</v>
      </c>
      <c r="K1424" s="46" t="s">
        <v>1193</v>
      </c>
      <c r="L1424" s="46" t="s">
        <v>907</v>
      </c>
      <c r="M1424" s="46" t="str">
        <f>VLOOKUP(K1424,[4]在职!$A:$B,2,0)</f>
        <v>01881</v>
      </c>
      <c r="N1424" s="46" t="str">
        <f>VLOOKUP(K1424,[4]在职!$A:$G,7,0)</f>
        <v>营业五部</v>
      </c>
      <c r="O1424" s="46" t="str">
        <f>VLOOKUP(K1424,[4]在职!$A:$I,9,0)</f>
        <v>实习销售</v>
      </c>
      <c r="P1424" s="83">
        <f>VLOOKUP(K1424,[4]在职!$A:$D,4,0)</f>
        <v>46022</v>
      </c>
      <c r="Q1424" s="105">
        <v>0</v>
      </c>
      <c r="R1424" s="105">
        <v>0</v>
      </c>
      <c r="S1424" s="46">
        <v>0</v>
      </c>
    </row>
    <row r="1425" ht="16.5" spans="1:19">
      <c r="A1425" s="46">
        <v>1432</v>
      </c>
      <c r="B1425" s="46" t="s">
        <v>45</v>
      </c>
      <c r="C1425" s="46" t="s">
        <v>38</v>
      </c>
      <c r="D1425" s="46" t="s">
        <v>25</v>
      </c>
      <c r="E1425" s="46" t="s">
        <v>1536</v>
      </c>
      <c r="F1425" s="46" t="s">
        <v>1371</v>
      </c>
      <c r="G1425" s="46" t="s">
        <v>904</v>
      </c>
      <c r="H1425" s="46" t="s">
        <v>1433</v>
      </c>
      <c r="I1425" s="46" t="s">
        <v>905</v>
      </c>
      <c r="J1425" s="83">
        <v>46106</v>
      </c>
      <c r="K1425" s="46" t="s">
        <v>1532</v>
      </c>
      <c r="L1425" s="46" t="s">
        <v>915</v>
      </c>
      <c r="M1425" s="46" t="str">
        <f>VLOOKUP(K1425,[4]在职!$A:$B,2,0)</f>
        <v>01924</v>
      </c>
      <c r="N1425" s="46" t="str">
        <f>VLOOKUP(K1425,[4]在职!$A:$G,7,0)</f>
        <v>营业一部</v>
      </c>
      <c r="O1425" s="46" t="str">
        <f>VLOOKUP(K1425,[4]在职!$A:$I,9,0)</f>
        <v>实习销售</v>
      </c>
      <c r="P1425" s="83">
        <f>VLOOKUP(K1425,[4]在职!$A:$D,4,0)</f>
        <v>46048</v>
      </c>
      <c r="Q1425" s="105">
        <v>5</v>
      </c>
      <c r="R1425" s="105">
        <v>5</v>
      </c>
      <c r="S1425" s="46">
        <v>60</v>
      </c>
    </row>
    <row r="1426" ht="16.5" spans="1:19">
      <c r="A1426" s="46">
        <v>1433</v>
      </c>
      <c r="B1426" s="46" t="s">
        <v>45</v>
      </c>
      <c r="C1426" s="46" t="s">
        <v>38</v>
      </c>
      <c r="D1426" s="46" t="s">
        <v>25</v>
      </c>
      <c r="E1426" s="46" t="s">
        <v>1536</v>
      </c>
      <c r="F1426" s="46" t="s">
        <v>1371</v>
      </c>
      <c r="G1426" s="46" t="s">
        <v>904</v>
      </c>
      <c r="H1426" s="46" t="s">
        <v>1433</v>
      </c>
      <c r="I1426" s="46" t="s">
        <v>905</v>
      </c>
      <c r="J1426" s="83">
        <v>46106</v>
      </c>
      <c r="K1426" s="46" t="s">
        <v>1184</v>
      </c>
      <c r="L1426" s="46" t="s">
        <v>915</v>
      </c>
      <c r="M1426" s="46" t="str">
        <f>VLOOKUP(K1426,[4]在职!$A:$B,2,0)</f>
        <v>01893</v>
      </c>
      <c r="N1426" s="46" t="str">
        <f>VLOOKUP(K1426,[4]在职!$A:$G,7,0)</f>
        <v>营业三部</v>
      </c>
      <c r="O1426" s="46" t="str">
        <f>VLOOKUP(K1426,[4]在职!$A:$I,9,0)</f>
        <v>实习销售</v>
      </c>
      <c r="P1426" s="83">
        <f>VLOOKUP(K1426,[4]在职!$A:$D,4,0)</f>
        <v>46019</v>
      </c>
      <c r="Q1426" s="105">
        <v>5</v>
      </c>
      <c r="R1426" s="105">
        <v>5</v>
      </c>
      <c r="S1426" s="46">
        <v>80</v>
      </c>
    </row>
    <row r="1427" ht="16.5" spans="1:19">
      <c r="A1427" s="46">
        <v>1434</v>
      </c>
      <c r="B1427" s="46" t="s">
        <v>45</v>
      </c>
      <c r="C1427" s="46" t="s">
        <v>38</v>
      </c>
      <c r="D1427" s="46" t="s">
        <v>25</v>
      </c>
      <c r="E1427" s="46" t="s">
        <v>1536</v>
      </c>
      <c r="F1427" s="46" t="s">
        <v>1371</v>
      </c>
      <c r="G1427" s="46" t="s">
        <v>904</v>
      </c>
      <c r="H1427" s="46" t="s">
        <v>1433</v>
      </c>
      <c r="I1427" s="46" t="s">
        <v>905</v>
      </c>
      <c r="J1427" s="83">
        <v>46106</v>
      </c>
      <c r="K1427" s="46" t="s">
        <v>1533</v>
      </c>
      <c r="L1427" s="46" t="s">
        <v>907</v>
      </c>
      <c r="M1427" s="46" t="str">
        <f>VLOOKUP(K1427,[4]在职!$A:$B,2,0)</f>
        <v>01939</v>
      </c>
      <c r="N1427" s="46" t="str">
        <f>VLOOKUP(K1427,[4]在职!$A:$G,7,0)</f>
        <v>营业一部</v>
      </c>
      <c r="O1427" s="46" t="str">
        <f>VLOOKUP(K1427,[4]在职!$A:$I,9,0)</f>
        <v>实习销售</v>
      </c>
      <c r="P1427" s="83">
        <f>VLOOKUP(K1427,[4]在职!$A:$D,4,0)</f>
        <v>46081</v>
      </c>
      <c r="Q1427" s="105">
        <v>0</v>
      </c>
      <c r="R1427" s="105">
        <v>0</v>
      </c>
      <c r="S1427" s="46">
        <v>0</v>
      </c>
    </row>
    <row r="1428" ht="16.5" spans="1:19">
      <c r="A1428" s="46">
        <v>1435</v>
      </c>
      <c r="B1428" s="46" t="s">
        <v>45</v>
      </c>
      <c r="C1428" s="46" t="s">
        <v>38</v>
      </c>
      <c r="D1428" s="46" t="s">
        <v>25</v>
      </c>
      <c r="E1428" s="46" t="s">
        <v>1536</v>
      </c>
      <c r="F1428" s="46" t="s">
        <v>1371</v>
      </c>
      <c r="G1428" s="46" t="s">
        <v>904</v>
      </c>
      <c r="H1428" s="46" t="s">
        <v>1433</v>
      </c>
      <c r="I1428" s="46" t="s">
        <v>905</v>
      </c>
      <c r="J1428" s="83">
        <v>46106</v>
      </c>
      <c r="K1428" s="46" t="s">
        <v>1534</v>
      </c>
      <c r="L1428" s="46" t="s">
        <v>907</v>
      </c>
      <c r="M1428" s="46" t="str">
        <f>VLOOKUP(K1428,[4]在职!$A:$B,2,0)</f>
        <v>01921</v>
      </c>
      <c r="N1428" s="46" t="str">
        <f>VLOOKUP(K1428,[4]在职!$A:$G,7,0)</f>
        <v>营业一部</v>
      </c>
      <c r="O1428" s="46" t="str">
        <f>VLOOKUP(K1428,[4]在职!$A:$I,9,0)</f>
        <v>实习销售</v>
      </c>
      <c r="P1428" s="83">
        <f>VLOOKUP(K1428,[4]在职!$A:$D,4,0)</f>
        <v>46048</v>
      </c>
      <c r="Q1428" s="105">
        <v>0</v>
      </c>
      <c r="R1428" s="105">
        <v>0</v>
      </c>
      <c r="S1428" s="46">
        <v>0</v>
      </c>
    </row>
    <row r="1429" ht="16.5" spans="1:19">
      <c r="A1429" s="46">
        <v>1436</v>
      </c>
      <c r="B1429" s="46" t="s">
        <v>45</v>
      </c>
      <c r="C1429" s="46" t="s">
        <v>38</v>
      </c>
      <c r="D1429" s="46" t="s">
        <v>25</v>
      </c>
      <c r="E1429" s="46" t="s">
        <v>1536</v>
      </c>
      <c r="F1429" s="46" t="s">
        <v>1371</v>
      </c>
      <c r="G1429" s="46" t="s">
        <v>904</v>
      </c>
      <c r="H1429" s="46" t="s">
        <v>1433</v>
      </c>
      <c r="I1429" s="46" t="s">
        <v>905</v>
      </c>
      <c r="J1429" s="83">
        <v>46106</v>
      </c>
      <c r="K1429" s="46" t="s">
        <v>1476</v>
      </c>
      <c r="L1429" s="46" t="s">
        <v>907</v>
      </c>
      <c r="M1429" s="46" t="str">
        <f>VLOOKUP(K1429,[4]在职!$A:$B,2,0)</f>
        <v>01682</v>
      </c>
      <c r="N1429" s="46" t="str">
        <f>VLOOKUP(K1429,[4]在职!$A:$G,7,0)</f>
        <v>营业一部</v>
      </c>
      <c r="O1429" s="46" t="str">
        <f>VLOOKUP(K1429,[4]在职!$A:$I,9,0)</f>
        <v>一星销售顾问</v>
      </c>
      <c r="P1429" s="83">
        <f>VLOOKUP(K1429,[4]在职!$A:$D,4,0)</f>
        <v>45903</v>
      </c>
      <c r="Q1429" s="105">
        <v>0</v>
      </c>
      <c r="R1429" s="105">
        <v>0</v>
      </c>
      <c r="S1429" s="46">
        <v>0</v>
      </c>
    </row>
    <row r="1430" ht="16.5" spans="1:19">
      <c r="A1430" s="46">
        <v>1437</v>
      </c>
      <c r="B1430" s="46" t="s">
        <v>45</v>
      </c>
      <c r="C1430" s="46" t="s">
        <v>35</v>
      </c>
      <c r="D1430" s="46" t="s">
        <v>25</v>
      </c>
      <c r="E1430" s="46" t="s">
        <v>1536</v>
      </c>
      <c r="F1430" s="46" t="s">
        <v>1371</v>
      </c>
      <c r="G1430" s="46" t="s">
        <v>904</v>
      </c>
      <c r="H1430" s="46" t="s">
        <v>1433</v>
      </c>
      <c r="I1430" s="46" t="s">
        <v>905</v>
      </c>
      <c r="J1430" s="83">
        <v>46106</v>
      </c>
      <c r="K1430" s="46" t="s">
        <v>1535</v>
      </c>
      <c r="L1430" s="46" t="s">
        <v>915</v>
      </c>
      <c r="M1430" s="46" t="str">
        <f>VLOOKUP(K1430,[4]在职!$A:$B,2,0)</f>
        <v>01956</v>
      </c>
      <c r="N1430" s="46" t="str">
        <f>VLOOKUP(K1430,[4]在职!$A:$G,7,0)</f>
        <v>山东销售部</v>
      </c>
      <c r="O1430" s="46" t="str">
        <f>VLOOKUP(K1430,[4]在职!$A:$I,9,0)</f>
        <v>实习销售</v>
      </c>
      <c r="P1430" s="83">
        <f>VLOOKUP(K1430,[4]在职!$A:$D,4,0)</f>
        <v>46084</v>
      </c>
      <c r="Q1430" s="105">
        <v>5</v>
      </c>
      <c r="R1430" s="105">
        <v>5</v>
      </c>
      <c r="S1430" s="46">
        <v>40</v>
      </c>
    </row>
    <row r="1431" ht="16.5" spans="1:19">
      <c r="A1431" s="46">
        <v>1438</v>
      </c>
      <c r="B1431" s="46" t="s">
        <v>45</v>
      </c>
      <c r="C1431" s="46" t="s">
        <v>29</v>
      </c>
      <c r="D1431" s="46" t="s">
        <v>25</v>
      </c>
      <c r="E1431" s="46" t="s">
        <v>1324</v>
      </c>
      <c r="F1431" s="46" t="s">
        <v>1325</v>
      </c>
      <c r="G1431" s="46" t="s">
        <v>904</v>
      </c>
      <c r="H1431" s="46" t="s">
        <v>1433</v>
      </c>
      <c r="I1431" s="46" t="s">
        <v>905</v>
      </c>
      <c r="J1431" s="83">
        <v>46106</v>
      </c>
      <c r="K1431" s="46" t="s">
        <v>1506</v>
      </c>
      <c r="L1431" s="46" t="s">
        <v>915</v>
      </c>
      <c r="M1431" s="46" t="str">
        <f>VLOOKUP(K1431,[4]在职!$A:$B,2,0)</f>
        <v>00866</v>
      </c>
      <c r="N1431" s="46" t="str">
        <f>VLOOKUP(K1431,[4]在职!$A:$G,7,0)</f>
        <v>河南销售部</v>
      </c>
      <c r="O1431" s="46" t="str">
        <f>VLOOKUP(K1431,[4]在职!$A:$I,9,0)</f>
        <v>实习销售</v>
      </c>
      <c r="P1431" s="83">
        <f>VLOOKUP(K1431,[4]在职!$A:$D,4,0)</f>
        <v>46086</v>
      </c>
      <c r="Q1431" s="105">
        <v>5</v>
      </c>
      <c r="R1431" s="105">
        <v>5</v>
      </c>
      <c r="S1431" s="46">
        <v>90</v>
      </c>
    </row>
    <row r="1432" ht="16.5" spans="1:19">
      <c r="A1432" s="46">
        <v>1439</v>
      </c>
      <c r="B1432" s="46" t="s">
        <v>45</v>
      </c>
      <c r="C1432" s="46" t="s">
        <v>29</v>
      </c>
      <c r="D1432" s="46" t="s">
        <v>25</v>
      </c>
      <c r="E1432" s="46" t="s">
        <v>1324</v>
      </c>
      <c r="F1432" s="46" t="s">
        <v>1325</v>
      </c>
      <c r="G1432" s="46" t="s">
        <v>904</v>
      </c>
      <c r="H1432" s="46" t="s">
        <v>1433</v>
      </c>
      <c r="I1432" s="46" t="s">
        <v>905</v>
      </c>
      <c r="J1432" s="83">
        <v>46106</v>
      </c>
      <c r="K1432" s="46" t="s">
        <v>1279</v>
      </c>
      <c r="L1432" s="46" t="s">
        <v>907</v>
      </c>
      <c r="M1432" s="46" t="str">
        <f>VLOOKUP(K1432,[4]在职!$A:$B,2,0)</f>
        <v>01610</v>
      </c>
      <c r="N1432" s="46" t="str">
        <f>VLOOKUP(K1432,[4]在职!$A:$G,7,0)</f>
        <v>河南销售部</v>
      </c>
      <c r="O1432" s="46" t="str">
        <f>VLOOKUP(K1432,[4]在职!$A:$I,9,0)</f>
        <v>实习销售</v>
      </c>
      <c r="P1432" s="83">
        <f>VLOOKUP(K1432,[4]在职!$A:$D,4,0)</f>
        <v>46018</v>
      </c>
      <c r="Q1432" s="105">
        <v>0</v>
      </c>
      <c r="R1432" s="105">
        <v>0</v>
      </c>
      <c r="S1432" s="46">
        <v>0</v>
      </c>
    </row>
    <row r="1433" ht="16.5" spans="1:19">
      <c r="A1433" s="46">
        <v>1440</v>
      </c>
      <c r="B1433" s="46" t="s">
        <v>45</v>
      </c>
      <c r="C1433" s="46" t="s">
        <v>29</v>
      </c>
      <c r="D1433" s="46" t="s">
        <v>25</v>
      </c>
      <c r="E1433" s="46" t="s">
        <v>1324</v>
      </c>
      <c r="F1433" s="46" t="s">
        <v>1325</v>
      </c>
      <c r="G1433" s="46" t="s">
        <v>904</v>
      </c>
      <c r="H1433" s="46" t="s">
        <v>1433</v>
      </c>
      <c r="I1433" s="46" t="s">
        <v>905</v>
      </c>
      <c r="J1433" s="83">
        <v>46106</v>
      </c>
      <c r="K1433" s="46" t="s">
        <v>1205</v>
      </c>
      <c r="L1433" s="46" t="s">
        <v>915</v>
      </c>
      <c r="M1433" s="46" t="str">
        <f>VLOOKUP(K1433,[4]在职!$A:$B,2,0)</f>
        <v>01870</v>
      </c>
      <c r="N1433" s="46" t="str">
        <f>VLOOKUP(K1433,[4]在职!$A:$G,7,0)</f>
        <v>河南销售部</v>
      </c>
      <c r="O1433" s="46" t="str">
        <f>VLOOKUP(K1433,[4]在职!$A:$I,9,0)</f>
        <v>实习销售</v>
      </c>
      <c r="P1433" s="83">
        <f>VLOOKUP(K1433,[4]在职!$A:$D,4,0)</f>
        <v>46011</v>
      </c>
      <c r="Q1433" s="105">
        <v>5</v>
      </c>
      <c r="R1433" s="105">
        <v>5</v>
      </c>
      <c r="S1433" s="46">
        <v>89</v>
      </c>
    </row>
    <row r="1434" ht="16.5" spans="1:19">
      <c r="A1434" s="46">
        <v>1441</v>
      </c>
      <c r="B1434" s="46" t="s">
        <v>45</v>
      </c>
      <c r="C1434" s="46" t="s">
        <v>31</v>
      </c>
      <c r="D1434" s="46" t="s">
        <v>25</v>
      </c>
      <c r="E1434" s="46" t="s">
        <v>1324</v>
      </c>
      <c r="F1434" s="46" t="s">
        <v>1325</v>
      </c>
      <c r="G1434" s="46" t="s">
        <v>904</v>
      </c>
      <c r="H1434" s="46" t="s">
        <v>1433</v>
      </c>
      <c r="I1434" s="46" t="s">
        <v>905</v>
      </c>
      <c r="J1434" s="83">
        <v>46106</v>
      </c>
      <c r="K1434" s="46" t="s">
        <v>1507</v>
      </c>
      <c r="L1434" s="46" t="s">
        <v>907</v>
      </c>
      <c r="M1434" s="46" t="str">
        <f>VLOOKUP(K1434,[4]在职!$A:$B,2,0)</f>
        <v>01944</v>
      </c>
      <c r="N1434" s="46" t="str">
        <f>VLOOKUP(K1434,[4]在职!$A:$G,7,0)</f>
        <v>湖北1部</v>
      </c>
      <c r="O1434" s="46" t="str">
        <f>VLOOKUP(K1434,[4]在职!$A:$I,9,0)</f>
        <v>实习销售</v>
      </c>
      <c r="P1434" s="83">
        <f>VLOOKUP(K1434,[4]在职!$A:$D,4,0)</f>
        <v>46081</v>
      </c>
      <c r="Q1434" s="105">
        <v>0</v>
      </c>
      <c r="R1434" s="105">
        <v>0</v>
      </c>
      <c r="S1434" s="46">
        <v>0</v>
      </c>
    </row>
    <row r="1435" ht="16.5" spans="1:19">
      <c r="A1435" s="46">
        <v>1442</v>
      </c>
      <c r="B1435" s="46" t="s">
        <v>45</v>
      </c>
      <c r="C1435" s="46" t="s">
        <v>31</v>
      </c>
      <c r="D1435" s="46" t="s">
        <v>25</v>
      </c>
      <c r="E1435" s="46" t="s">
        <v>1324</v>
      </c>
      <c r="F1435" s="46" t="s">
        <v>1325</v>
      </c>
      <c r="G1435" s="46" t="s">
        <v>904</v>
      </c>
      <c r="H1435" s="46" t="s">
        <v>1433</v>
      </c>
      <c r="I1435" s="46" t="s">
        <v>905</v>
      </c>
      <c r="J1435" s="83">
        <v>46106</v>
      </c>
      <c r="K1435" s="46" t="s">
        <v>1508</v>
      </c>
      <c r="L1435" s="46" t="s">
        <v>915</v>
      </c>
      <c r="M1435" s="46" t="str">
        <f>VLOOKUP(K1435,[4]在职!$A:$B,2,0)</f>
        <v>01942</v>
      </c>
      <c r="N1435" s="46" t="str">
        <f>VLOOKUP(K1435,[4]在职!$A:$G,7,0)</f>
        <v>湖北2部</v>
      </c>
      <c r="O1435" s="46" t="str">
        <f>VLOOKUP(K1435,[4]在职!$A:$I,9,0)</f>
        <v>实习销售</v>
      </c>
      <c r="P1435" s="83">
        <f>VLOOKUP(K1435,[4]在职!$A:$D,4,0)</f>
        <v>46081</v>
      </c>
      <c r="Q1435" s="105">
        <v>5</v>
      </c>
      <c r="R1435" s="105">
        <v>5</v>
      </c>
      <c r="S1435" s="46">
        <v>80</v>
      </c>
    </row>
    <row r="1436" ht="16.5" spans="1:19">
      <c r="A1436" s="46">
        <v>1443</v>
      </c>
      <c r="B1436" s="46" t="s">
        <v>45</v>
      </c>
      <c r="C1436" s="46" t="s">
        <v>31</v>
      </c>
      <c r="D1436" s="46" t="s">
        <v>25</v>
      </c>
      <c r="E1436" s="46" t="s">
        <v>1324</v>
      </c>
      <c r="F1436" s="46" t="s">
        <v>1325</v>
      </c>
      <c r="G1436" s="46" t="s">
        <v>904</v>
      </c>
      <c r="H1436" s="46" t="s">
        <v>1433</v>
      </c>
      <c r="I1436" s="46" t="s">
        <v>905</v>
      </c>
      <c r="J1436" s="83">
        <v>46106</v>
      </c>
      <c r="K1436" s="46" t="s">
        <v>1509</v>
      </c>
      <c r="L1436" s="46" t="s">
        <v>915</v>
      </c>
      <c r="M1436" s="46" t="str">
        <f>VLOOKUP(K1436,[4]在职!$A:$B,2,0)</f>
        <v>01946</v>
      </c>
      <c r="N1436" s="46" t="str">
        <f>VLOOKUP(K1436,[4]在职!$A:$G,7,0)</f>
        <v>湖北1部</v>
      </c>
      <c r="O1436" s="46" t="str">
        <f>VLOOKUP(K1436,[4]在职!$A:$I,9,0)</f>
        <v>实习销售</v>
      </c>
      <c r="P1436" s="83">
        <f>VLOOKUP(K1436,[4]在职!$A:$D,4,0)</f>
        <v>46082</v>
      </c>
      <c r="Q1436" s="105">
        <v>5</v>
      </c>
      <c r="R1436" s="105">
        <v>5</v>
      </c>
      <c r="S1436" s="46">
        <v>99</v>
      </c>
    </row>
    <row r="1437" ht="16.5" spans="1:19">
      <c r="A1437" s="46">
        <v>1444</v>
      </c>
      <c r="B1437" s="46" t="s">
        <v>45</v>
      </c>
      <c r="C1437" s="46" t="s">
        <v>31</v>
      </c>
      <c r="D1437" s="46" t="s">
        <v>25</v>
      </c>
      <c r="E1437" s="46" t="s">
        <v>1324</v>
      </c>
      <c r="F1437" s="46" t="s">
        <v>1325</v>
      </c>
      <c r="G1437" s="46" t="s">
        <v>904</v>
      </c>
      <c r="H1437" s="46" t="s">
        <v>1433</v>
      </c>
      <c r="I1437" s="46" t="s">
        <v>905</v>
      </c>
      <c r="J1437" s="83">
        <v>46106</v>
      </c>
      <c r="K1437" s="46" t="s">
        <v>1510</v>
      </c>
      <c r="L1437" s="46" t="s">
        <v>915</v>
      </c>
      <c r="M1437" s="46" t="str">
        <f>VLOOKUP(K1437,[4]在职!$A:$B,2,0)</f>
        <v>01977</v>
      </c>
      <c r="N1437" s="46" t="str">
        <f>VLOOKUP(K1437,[4]在职!$A:$G,7,0)</f>
        <v>湖北1部</v>
      </c>
      <c r="O1437" s="46" t="str">
        <f>VLOOKUP(K1437,[4]在职!$A:$I,9,0)</f>
        <v>实习销售</v>
      </c>
      <c r="P1437" s="83">
        <f>VLOOKUP(K1437,[4]在职!$A:$D,4,0)</f>
        <v>46090</v>
      </c>
      <c r="Q1437" s="105">
        <v>5</v>
      </c>
      <c r="R1437" s="105">
        <v>5</v>
      </c>
      <c r="S1437" s="46">
        <v>87</v>
      </c>
    </row>
    <row r="1438" ht="16.5" spans="1:19">
      <c r="A1438" s="46">
        <v>1445</v>
      </c>
      <c r="B1438" s="46" t="s">
        <v>45</v>
      </c>
      <c r="C1438" s="46" t="s">
        <v>32</v>
      </c>
      <c r="D1438" s="46" t="s">
        <v>25</v>
      </c>
      <c r="E1438" s="46" t="s">
        <v>1324</v>
      </c>
      <c r="F1438" s="46" t="s">
        <v>1325</v>
      </c>
      <c r="G1438" s="46" t="s">
        <v>904</v>
      </c>
      <c r="H1438" s="46" t="s">
        <v>1433</v>
      </c>
      <c r="I1438" s="46" t="s">
        <v>905</v>
      </c>
      <c r="J1438" s="83">
        <v>46106</v>
      </c>
      <c r="K1438" s="46" t="s">
        <v>1511</v>
      </c>
      <c r="L1438" s="46" t="s">
        <v>915</v>
      </c>
      <c r="M1438" s="46" t="str">
        <f>VLOOKUP(K1438,[4]在职!$A:$B,2,0)</f>
        <v>01926</v>
      </c>
      <c r="N1438" s="46" t="str">
        <f>VLOOKUP(K1438,[4]在职!$A:$G,7,0)</f>
        <v>湖南销售部</v>
      </c>
      <c r="O1438" s="46" t="str">
        <f>VLOOKUP(K1438,[4]在职!$A:$I,9,0)</f>
        <v>实习销售</v>
      </c>
      <c r="P1438" s="83">
        <f>VLOOKUP(K1438,[4]在职!$A:$D,4,0)</f>
        <v>46050</v>
      </c>
      <c r="Q1438" s="105">
        <v>5</v>
      </c>
      <c r="R1438" s="105">
        <v>5</v>
      </c>
      <c r="S1438" s="46">
        <v>97</v>
      </c>
    </row>
    <row r="1439" ht="16.5" spans="1:19">
      <c r="A1439" s="46">
        <v>1446</v>
      </c>
      <c r="B1439" s="46" t="s">
        <v>45</v>
      </c>
      <c r="C1439" s="46" t="s">
        <v>32</v>
      </c>
      <c r="D1439" s="46" t="s">
        <v>25</v>
      </c>
      <c r="E1439" s="46" t="s">
        <v>1324</v>
      </c>
      <c r="F1439" s="46" t="s">
        <v>1325</v>
      </c>
      <c r="G1439" s="46" t="s">
        <v>904</v>
      </c>
      <c r="H1439" s="46" t="s">
        <v>1433</v>
      </c>
      <c r="I1439" s="46" t="s">
        <v>905</v>
      </c>
      <c r="J1439" s="83">
        <v>46106</v>
      </c>
      <c r="K1439" s="46" t="s">
        <v>1261</v>
      </c>
      <c r="L1439" s="46" t="s">
        <v>915</v>
      </c>
      <c r="M1439" s="46" t="str">
        <f>VLOOKUP(K1439,[4]在职!$A:$B,2,0)</f>
        <v>01907</v>
      </c>
      <c r="N1439" s="46" t="str">
        <f>VLOOKUP(K1439,[4]在职!$A:$G,7,0)</f>
        <v>湖南销售部</v>
      </c>
      <c r="O1439" s="46" t="str">
        <f>VLOOKUP(K1439,[4]在职!$A:$I,9,0)</f>
        <v>实习销售</v>
      </c>
      <c r="P1439" s="83">
        <f>VLOOKUP(K1439,[4]在职!$A:$D,4,0)</f>
        <v>46030</v>
      </c>
      <c r="Q1439" s="105">
        <v>5</v>
      </c>
      <c r="R1439" s="105">
        <v>5</v>
      </c>
      <c r="S1439" s="46">
        <v>99</v>
      </c>
    </row>
    <row r="1440" ht="16.5" spans="1:19">
      <c r="A1440" s="46">
        <v>1447</v>
      </c>
      <c r="B1440" s="46" t="s">
        <v>45</v>
      </c>
      <c r="C1440" s="46" t="s">
        <v>32</v>
      </c>
      <c r="D1440" s="46" t="s">
        <v>25</v>
      </c>
      <c r="E1440" s="46" t="s">
        <v>1324</v>
      </c>
      <c r="F1440" s="46" t="s">
        <v>1325</v>
      </c>
      <c r="G1440" s="46" t="s">
        <v>904</v>
      </c>
      <c r="H1440" s="46" t="s">
        <v>1433</v>
      </c>
      <c r="I1440" s="46" t="s">
        <v>905</v>
      </c>
      <c r="J1440" s="83">
        <v>46106</v>
      </c>
      <c r="K1440" s="46" t="s">
        <v>1259</v>
      </c>
      <c r="L1440" s="46" t="s">
        <v>915</v>
      </c>
      <c r="M1440" s="46" t="str">
        <f>VLOOKUP(K1440,[4]在职!$A:$B,2,0)</f>
        <v>01873</v>
      </c>
      <c r="N1440" s="46" t="str">
        <f>VLOOKUP(K1440,[4]在职!$A:$G,7,0)</f>
        <v>湖南销售部</v>
      </c>
      <c r="O1440" s="46" t="str">
        <f>VLOOKUP(K1440,[4]在职!$A:$I,9,0)</f>
        <v>实习销售</v>
      </c>
      <c r="P1440" s="83">
        <f>VLOOKUP(K1440,[4]在职!$A:$D,4,0)</f>
        <v>46013</v>
      </c>
      <c r="Q1440" s="105">
        <v>5</v>
      </c>
      <c r="R1440" s="105">
        <v>5</v>
      </c>
      <c r="S1440" s="46">
        <v>81</v>
      </c>
    </row>
    <row r="1441" ht="16.5" spans="1:19">
      <c r="A1441" s="46">
        <v>1448</v>
      </c>
      <c r="B1441" s="46" t="s">
        <v>45</v>
      </c>
      <c r="C1441" s="46" t="s">
        <v>32</v>
      </c>
      <c r="D1441" s="46" t="s">
        <v>25</v>
      </c>
      <c r="E1441" s="46" t="s">
        <v>1324</v>
      </c>
      <c r="F1441" s="46" t="s">
        <v>1325</v>
      </c>
      <c r="G1441" s="46" t="s">
        <v>904</v>
      </c>
      <c r="H1441" s="46" t="s">
        <v>1433</v>
      </c>
      <c r="I1441" s="46" t="s">
        <v>905</v>
      </c>
      <c r="J1441" s="83">
        <v>46106</v>
      </c>
      <c r="K1441" s="46" t="s">
        <v>1512</v>
      </c>
      <c r="L1441" s="46" t="s">
        <v>915</v>
      </c>
      <c r="M1441" s="46" t="str">
        <f>VLOOKUP(K1441,[4]在职!$A:$B,2,0)</f>
        <v>01920</v>
      </c>
      <c r="N1441" s="46" t="str">
        <f>VLOOKUP(K1441,[4]在职!$A:$G,7,0)</f>
        <v>湖南销售部</v>
      </c>
      <c r="O1441" s="46" t="str">
        <f>VLOOKUP(K1441,[4]在职!$A:$I,9,0)</f>
        <v>实习销售</v>
      </c>
      <c r="P1441" s="83">
        <f>VLOOKUP(K1441,[4]在职!$A:$D,4,0)</f>
        <v>46048</v>
      </c>
      <c r="Q1441" s="105">
        <v>5</v>
      </c>
      <c r="R1441" s="105">
        <v>5</v>
      </c>
      <c r="S1441" s="46">
        <v>79</v>
      </c>
    </row>
    <row r="1442" ht="16.5" spans="1:19">
      <c r="A1442" s="46">
        <v>1449</v>
      </c>
      <c r="B1442" s="46" t="s">
        <v>45</v>
      </c>
      <c r="C1442" s="46" t="s">
        <v>33</v>
      </c>
      <c r="D1442" s="46" t="s">
        <v>25</v>
      </c>
      <c r="E1442" s="46" t="s">
        <v>1324</v>
      </c>
      <c r="F1442" s="46" t="s">
        <v>1325</v>
      </c>
      <c r="G1442" s="46" t="s">
        <v>904</v>
      </c>
      <c r="H1442" s="46" t="s">
        <v>1433</v>
      </c>
      <c r="I1442" s="46" t="s">
        <v>905</v>
      </c>
      <c r="J1442" s="83">
        <v>46106</v>
      </c>
      <c r="K1442" s="46" t="s">
        <v>1513</v>
      </c>
      <c r="L1442" s="46" t="s">
        <v>915</v>
      </c>
      <c r="M1442" s="46" t="str">
        <f>VLOOKUP(K1442,[4]在职!$A:$B,2,0)</f>
        <v>01961</v>
      </c>
      <c r="N1442" s="46" t="str">
        <f>VLOOKUP(K1442,[4]在职!$A:$G,7,0)</f>
        <v>辽宁销售部</v>
      </c>
      <c r="O1442" s="46" t="str">
        <f>VLOOKUP(K1442,[4]在职!$A:$I,9,0)</f>
        <v>实习销售</v>
      </c>
      <c r="P1442" s="83">
        <f>VLOOKUP(K1442,[4]在职!$A:$D,4,0)</f>
        <v>46086</v>
      </c>
      <c r="Q1442" s="105">
        <v>5</v>
      </c>
      <c r="R1442" s="105">
        <v>5</v>
      </c>
      <c r="S1442" s="46">
        <v>89</v>
      </c>
    </row>
    <row r="1443" ht="16.5" spans="1:19">
      <c r="A1443" s="46">
        <v>1450</v>
      </c>
      <c r="B1443" s="46" t="s">
        <v>45</v>
      </c>
      <c r="C1443" s="46" t="s">
        <v>33</v>
      </c>
      <c r="D1443" s="46" t="s">
        <v>25</v>
      </c>
      <c r="E1443" s="46" t="s">
        <v>1324</v>
      </c>
      <c r="F1443" s="46" t="s">
        <v>1325</v>
      </c>
      <c r="G1443" s="46" t="s">
        <v>904</v>
      </c>
      <c r="H1443" s="46" t="s">
        <v>1433</v>
      </c>
      <c r="I1443" s="46" t="s">
        <v>905</v>
      </c>
      <c r="J1443" s="83">
        <v>46106</v>
      </c>
      <c r="K1443" s="46" t="s">
        <v>1514</v>
      </c>
      <c r="L1443" s="46" t="s">
        <v>915</v>
      </c>
      <c r="M1443" s="46" t="str">
        <f>VLOOKUP(K1443,[4]在职!$A:$B,2,0)</f>
        <v>01925</v>
      </c>
      <c r="N1443" s="46" t="str">
        <f>VLOOKUP(K1443,[4]在职!$A:$G,7,0)</f>
        <v>辽宁销售部</v>
      </c>
      <c r="O1443" s="46" t="str">
        <f>VLOOKUP(K1443,[4]在职!$A:$I,9,0)</f>
        <v>实习销售</v>
      </c>
      <c r="P1443" s="83">
        <f>VLOOKUP(K1443,[4]在职!$A:$D,4,0)</f>
        <v>46048</v>
      </c>
      <c r="Q1443" s="105">
        <v>5</v>
      </c>
      <c r="R1443" s="105">
        <v>5</v>
      </c>
      <c r="S1443" s="46">
        <v>99</v>
      </c>
    </row>
    <row r="1444" ht="16.5" spans="1:19">
      <c r="A1444" s="46">
        <v>1451</v>
      </c>
      <c r="B1444" s="46" t="s">
        <v>45</v>
      </c>
      <c r="C1444" s="46" t="s">
        <v>35</v>
      </c>
      <c r="D1444" s="46" t="s">
        <v>25</v>
      </c>
      <c r="E1444" s="46" t="s">
        <v>1324</v>
      </c>
      <c r="F1444" s="46" t="s">
        <v>1325</v>
      </c>
      <c r="G1444" s="46" t="s">
        <v>904</v>
      </c>
      <c r="H1444" s="46" t="s">
        <v>1433</v>
      </c>
      <c r="I1444" s="46" t="s">
        <v>905</v>
      </c>
      <c r="J1444" s="83">
        <v>46106</v>
      </c>
      <c r="K1444" s="46" t="s">
        <v>1515</v>
      </c>
      <c r="L1444" s="46" t="s">
        <v>915</v>
      </c>
      <c r="M1444" s="46" t="str">
        <f>VLOOKUP(K1444,[4]在职!$A:$B,2,0)</f>
        <v>01936</v>
      </c>
      <c r="N1444" s="46" t="str">
        <f>VLOOKUP(K1444,[4]在职!$A:$G,7,0)</f>
        <v>山东销售部</v>
      </c>
      <c r="O1444" s="46" t="str">
        <f>VLOOKUP(K1444,[4]在职!$A:$I,9,0)</f>
        <v>实习销售</v>
      </c>
      <c r="P1444" s="83">
        <f>VLOOKUP(K1444,[4]在职!$A:$D,4,0)</f>
        <v>46079</v>
      </c>
      <c r="Q1444" s="105">
        <v>5</v>
      </c>
      <c r="R1444" s="105">
        <v>5</v>
      </c>
      <c r="S1444" s="46">
        <v>89</v>
      </c>
    </row>
    <row r="1445" ht="16.5" spans="1:19">
      <c r="A1445" s="46">
        <v>1452</v>
      </c>
      <c r="B1445" s="46" t="s">
        <v>45</v>
      </c>
      <c r="C1445" s="46" t="s">
        <v>35</v>
      </c>
      <c r="D1445" s="46" t="s">
        <v>25</v>
      </c>
      <c r="E1445" s="46" t="s">
        <v>1324</v>
      </c>
      <c r="F1445" s="46" t="s">
        <v>1325</v>
      </c>
      <c r="G1445" s="46" t="s">
        <v>904</v>
      </c>
      <c r="H1445" s="46" t="s">
        <v>1433</v>
      </c>
      <c r="I1445" s="46" t="s">
        <v>905</v>
      </c>
      <c r="J1445" s="83">
        <v>46106</v>
      </c>
      <c r="K1445" s="46" t="s">
        <v>1516</v>
      </c>
      <c r="L1445" s="46" t="s">
        <v>915</v>
      </c>
      <c r="M1445" s="46" t="str">
        <f>VLOOKUP(K1445,[4]在职!$A:$B,2,0)</f>
        <v>01947</v>
      </c>
      <c r="N1445" s="46" t="str">
        <f>VLOOKUP(K1445,[4]在职!$A:$G,7,0)</f>
        <v>山东销售部</v>
      </c>
      <c r="O1445" s="46" t="str">
        <f>VLOOKUP(K1445,[4]在职!$A:$I,9,0)</f>
        <v>实习销售</v>
      </c>
      <c r="P1445" s="83">
        <f>VLOOKUP(K1445,[4]在职!$A:$D,4,0)</f>
        <v>46083</v>
      </c>
      <c r="Q1445" s="105">
        <v>5</v>
      </c>
      <c r="R1445" s="105">
        <v>5</v>
      </c>
      <c r="S1445" s="46">
        <v>87</v>
      </c>
    </row>
    <row r="1446" ht="16.5" spans="1:19">
      <c r="A1446" s="46">
        <v>1453</v>
      </c>
      <c r="B1446" s="46" t="s">
        <v>45</v>
      </c>
      <c r="C1446" s="46" t="s">
        <v>24</v>
      </c>
      <c r="D1446" s="46" t="s">
        <v>25</v>
      </c>
      <c r="E1446" s="46" t="s">
        <v>1324</v>
      </c>
      <c r="F1446" s="46" t="s">
        <v>1325</v>
      </c>
      <c r="G1446" s="46" t="s">
        <v>904</v>
      </c>
      <c r="H1446" s="46" t="s">
        <v>1433</v>
      </c>
      <c r="I1446" s="46" t="s">
        <v>905</v>
      </c>
      <c r="J1446" s="83">
        <v>46106</v>
      </c>
      <c r="K1446" s="46" t="s">
        <v>1517</v>
      </c>
      <c r="L1446" s="46" t="s">
        <v>915</v>
      </c>
      <c r="M1446" s="46" t="str">
        <f>VLOOKUP(K1446,[4]在职!$A:$B,2,0)</f>
        <v>01973</v>
      </c>
      <c r="N1446" s="46" t="str">
        <f>VLOOKUP(K1446,[4]在职!$A:$G,7,0)</f>
        <v>陕西1部</v>
      </c>
      <c r="O1446" s="46" t="str">
        <f>VLOOKUP(K1446,[4]在职!$A:$I,9,0)</f>
        <v>实习销售</v>
      </c>
      <c r="P1446" s="83">
        <f>VLOOKUP(K1446,[4]在职!$A:$D,4,0)</f>
        <v>46089</v>
      </c>
      <c r="Q1446" s="105">
        <v>0</v>
      </c>
      <c r="R1446" s="105">
        <v>0</v>
      </c>
      <c r="S1446" s="46">
        <v>80</v>
      </c>
    </row>
    <row r="1447" ht="16.5" spans="1:19">
      <c r="A1447" s="46">
        <v>1454</v>
      </c>
      <c r="B1447" s="46" t="s">
        <v>45</v>
      </c>
      <c r="C1447" s="46" t="s">
        <v>37</v>
      </c>
      <c r="D1447" s="46" t="s">
        <v>25</v>
      </c>
      <c r="E1447" s="46" t="s">
        <v>1324</v>
      </c>
      <c r="F1447" s="46" t="s">
        <v>1325</v>
      </c>
      <c r="G1447" s="46" t="s">
        <v>904</v>
      </c>
      <c r="H1447" s="46" t="s">
        <v>1433</v>
      </c>
      <c r="I1447" s="46" t="s">
        <v>905</v>
      </c>
      <c r="J1447" s="83">
        <v>46106</v>
      </c>
      <c r="K1447" s="46" t="s">
        <v>1518</v>
      </c>
      <c r="L1447" s="46" t="s">
        <v>915</v>
      </c>
      <c r="M1447" s="46" t="str">
        <f>VLOOKUP(K1447,[4]在职!$A:$B,2,0)</f>
        <v>01930</v>
      </c>
      <c r="N1447" s="46" t="str">
        <f>VLOOKUP(K1447,[4]在职!$A:$G,7,0)</f>
        <v>陕西2部</v>
      </c>
      <c r="O1447" s="46" t="str">
        <f>VLOOKUP(K1447,[4]在职!$A:$I,9,0)</f>
        <v>实习销售</v>
      </c>
      <c r="P1447" s="83">
        <f>VLOOKUP(K1447,[4]在职!$A:$D,4,0)</f>
        <v>46054</v>
      </c>
      <c r="Q1447" s="105">
        <v>0</v>
      </c>
      <c r="R1447" s="105">
        <v>0</v>
      </c>
      <c r="S1447" s="46">
        <v>89</v>
      </c>
    </row>
    <row r="1448" ht="16.5" spans="1:19">
      <c r="A1448" s="46">
        <v>1455</v>
      </c>
      <c r="B1448" s="46" t="s">
        <v>45</v>
      </c>
      <c r="C1448" s="46" t="s">
        <v>37</v>
      </c>
      <c r="D1448" s="46" t="s">
        <v>25</v>
      </c>
      <c r="E1448" s="46" t="s">
        <v>1324</v>
      </c>
      <c r="F1448" s="46" t="s">
        <v>1325</v>
      </c>
      <c r="G1448" s="46" t="s">
        <v>904</v>
      </c>
      <c r="H1448" s="46" t="s">
        <v>1433</v>
      </c>
      <c r="I1448" s="46" t="s">
        <v>905</v>
      </c>
      <c r="J1448" s="83">
        <v>46106</v>
      </c>
      <c r="K1448" s="46" t="s">
        <v>1519</v>
      </c>
      <c r="L1448" s="46" t="s">
        <v>915</v>
      </c>
      <c r="M1448" s="46" t="str">
        <f>VLOOKUP(K1448,[4]在职!$A:$B,2,0)</f>
        <v>01943</v>
      </c>
      <c r="N1448" s="46" t="str">
        <f>VLOOKUP(K1448,[4]在职!$A:$G,7,0)</f>
        <v>陕西2部</v>
      </c>
      <c r="O1448" s="46" t="str">
        <f>VLOOKUP(K1448,[4]在职!$A:$I,9,0)</f>
        <v>实习销售</v>
      </c>
      <c r="P1448" s="83">
        <f>VLOOKUP(K1448,[4]在职!$A:$D,4,0)</f>
        <v>46084</v>
      </c>
      <c r="Q1448" s="105">
        <v>0</v>
      </c>
      <c r="R1448" s="105">
        <v>0</v>
      </c>
      <c r="S1448" s="46">
        <v>0</v>
      </c>
    </row>
    <row r="1449" ht="16.5" spans="1:19">
      <c r="A1449" s="46">
        <v>1456</v>
      </c>
      <c r="B1449" s="46" t="s">
        <v>45</v>
      </c>
      <c r="C1449" s="46" t="s">
        <v>37</v>
      </c>
      <c r="D1449" s="46" t="s">
        <v>25</v>
      </c>
      <c r="E1449" s="46" t="s">
        <v>1324</v>
      </c>
      <c r="F1449" s="46" t="s">
        <v>1325</v>
      </c>
      <c r="G1449" s="46" t="s">
        <v>904</v>
      </c>
      <c r="H1449" s="46" t="s">
        <v>1433</v>
      </c>
      <c r="I1449" s="46" t="s">
        <v>905</v>
      </c>
      <c r="J1449" s="83">
        <v>46106</v>
      </c>
      <c r="K1449" s="46" t="s">
        <v>1520</v>
      </c>
      <c r="L1449" s="46" t="s">
        <v>915</v>
      </c>
      <c r="M1449" s="46" t="str">
        <f>VLOOKUP(K1449,[4]在职!$A:$B,2,0)</f>
        <v>01955</v>
      </c>
      <c r="N1449" s="46" t="str">
        <f>VLOOKUP(K1449,[4]在职!$A:$G,7,0)</f>
        <v>陕西1部</v>
      </c>
      <c r="O1449" s="46" t="str">
        <f>VLOOKUP(K1449,[4]在职!$A:$I,9,0)</f>
        <v>实习销售</v>
      </c>
      <c r="P1449" s="83">
        <f>VLOOKUP(K1449,[4]在职!$A:$D,4,0)</f>
        <v>46085</v>
      </c>
      <c r="Q1449" s="105">
        <v>5</v>
      </c>
      <c r="R1449" s="105">
        <v>5</v>
      </c>
      <c r="S1449" s="46">
        <v>89</v>
      </c>
    </row>
    <row r="1450" ht="16.5" spans="1:19">
      <c r="A1450" s="46">
        <v>1457</v>
      </c>
      <c r="B1450" s="46" t="s">
        <v>45</v>
      </c>
      <c r="C1450" s="46" t="s">
        <v>37</v>
      </c>
      <c r="D1450" s="46" t="s">
        <v>25</v>
      </c>
      <c r="E1450" s="46" t="s">
        <v>1324</v>
      </c>
      <c r="F1450" s="46" t="s">
        <v>1325</v>
      </c>
      <c r="G1450" s="46" t="s">
        <v>904</v>
      </c>
      <c r="H1450" s="46" t="s">
        <v>1433</v>
      </c>
      <c r="I1450" s="46" t="s">
        <v>905</v>
      </c>
      <c r="J1450" s="83">
        <v>46106</v>
      </c>
      <c r="K1450" s="46" t="s">
        <v>1521</v>
      </c>
      <c r="L1450" s="46" t="s">
        <v>915</v>
      </c>
      <c r="M1450" s="46" t="str">
        <f>VLOOKUP(K1450,[4]在职!$A:$B,2,0)</f>
        <v>01932</v>
      </c>
      <c r="N1450" s="46" t="str">
        <f>VLOOKUP(K1450,[4]在职!$A:$G,7,0)</f>
        <v>陕西2部</v>
      </c>
      <c r="O1450" s="46" t="str">
        <f>VLOOKUP(K1450,[4]在职!$A:$I,9,0)</f>
        <v>实习销售</v>
      </c>
      <c r="P1450" s="83">
        <f>VLOOKUP(K1450,[4]在职!$A:$D,4,0)</f>
        <v>46058</v>
      </c>
      <c r="Q1450" s="105">
        <v>5</v>
      </c>
      <c r="R1450" s="105">
        <v>5</v>
      </c>
      <c r="S1450" s="46">
        <v>99</v>
      </c>
    </row>
    <row r="1451" ht="16.5" spans="1:19">
      <c r="A1451" s="46">
        <v>1458</v>
      </c>
      <c r="B1451" s="46" t="s">
        <v>45</v>
      </c>
      <c r="C1451" s="46" t="s">
        <v>38</v>
      </c>
      <c r="D1451" s="46" t="s">
        <v>25</v>
      </c>
      <c r="E1451" s="46" t="s">
        <v>1324</v>
      </c>
      <c r="F1451" s="46" t="s">
        <v>1325</v>
      </c>
      <c r="G1451" s="46" t="s">
        <v>904</v>
      </c>
      <c r="H1451" s="46" t="s">
        <v>1433</v>
      </c>
      <c r="I1451" s="46" t="s">
        <v>905</v>
      </c>
      <c r="J1451" s="83">
        <v>46106</v>
      </c>
      <c r="K1451" s="46" t="s">
        <v>1522</v>
      </c>
      <c r="L1451" s="46" t="s">
        <v>915</v>
      </c>
      <c r="M1451" s="46" t="str">
        <f>VLOOKUP(K1451,[4]在职!$A:$B,2,0)</f>
        <v>01978</v>
      </c>
      <c r="N1451" s="46" t="str">
        <f>VLOOKUP(K1451,[4]在职!$A:$G,7,0)</f>
        <v>营业一部</v>
      </c>
      <c r="O1451" s="46" t="str">
        <f>VLOOKUP(K1451,[4]在职!$A:$I,9,0)</f>
        <v>实习销售</v>
      </c>
      <c r="P1451" s="83">
        <f>VLOOKUP(K1451,[4]在职!$A:$D,4,0)</f>
        <v>46086</v>
      </c>
      <c r="Q1451" s="105">
        <v>5</v>
      </c>
      <c r="R1451" s="105">
        <v>5</v>
      </c>
      <c r="S1451" s="46">
        <v>89</v>
      </c>
    </row>
    <row r="1452" ht="16.5" spans="1:19">
      <c r="A1452" s="46">
        <v>1459</v>
      </c>
      <c r="B1452" s="46" t="s">
        <v>45</v>
      </c>
      <c r="C1452" s="46" t="s">
        <v>38</v>
      </c>
      <c r="D1452" s="46" t="s">
        <v>25</v>
      </c>
      <c r="E1452" s="46" t="s">
        <v>1324</v>
      </c>
      <c r="F1452" s="46" t="s">
        <v>1325</v>
      </c>
      <c r="G1452" s="46" t="s">
        <v>904</v>
      </c>
      <c r="H1452" s="46" t="s">
        <v>1433</v>
      </c>
      <c r="I1452" s="46" t="s">
        <v>905</v>
      </c>
      <c r="J1452" s="83">
        <v>46106</v>
      </c>
      <c r="K1452" s="46" t="s">
        <v>1523</v>
      </c>
      <c r="L1452" s="46" t="s">
        <v>915</v>
      </c>
      <c r="M1452" s="46" t="str">
        <f>VLOOKUP(K1452,[4]在职!$A:$B,2,0)</f>
        <v>01963</v>
      </c>
      <c r="N1452" s="46" t="str">
        <f>VLOOKUP(K1452,[4]在职!$A:$G,7,0)</f>
        <v>营业一部</v>
      </c>
      <c r="O1452" s="46" t="str">
        <f>VLOOKUP(K1452,[4]在职!$A:$I,9,0)</f>
        <v>实习销售</v>
      </c>
      <c r="P1452" s="83">
        <f>VLOOKUP(K1452,[4]在职!$A:$D,4,0)</f>
        <v>46085</v>
      </c>
      <c r="Q1452" s="105">
        <v>5</v>
      </c>
      <c r="R1452" s="105">
        <v>5</v>
      </c>
      <c r="S1452" s="46">
        <v>0</v>
      </c>
    </row>
    <row r="1453" ht="16.5" spans="1:19">
      <c r="A1453" s="46">
        <v>1460</v>
      </c>
      <c r="B1453" s="46" t="s">
        <v>45</v>
      </c>
      <c r="C1453" s="46" t="s">
        <v>38</v>
      </c>
      <c r="D1453" s="46" t="s">
        <v>25</v>
      </c>
      <c r="E1453" s="46" t="s">
        <v>1324</v>
      </c>
      <c r="F1453" s="46" t="s">
        <v>1325</v>
      </c>
      <c r="G1453" s="46" t="s">
        <v>904</v>
      </c>
      <c r="H1453" s="46" t="s">
        <v>1433</v>
      </c>
      <c r="I1453" s="46" t="s">
        <v>905</v>
      </c>
      <c r="J1453" s="83">
        <v>46106</v>
      </c>
      <c r="K1453" s="46" t="s">
        <v>1524</v>
      </c>
      <c r="L1453" s="46" t="s">
        <v>915</v>
      </c>
      <c r="M1453" s="46" t="str">
        <f>VLOOKUP(K1453,[4]在职!$A:$B,2,0)</f>
        <v>01964</v>
      </c>
      <c r="N1453" s="46" t="str">
        <f>VLOOKUP(K1453,[4]在职!$A:$G,7,0)</f>
        <v>营业一部</v>
      </c>
      <c r="O1453" s="46" t="str">
        <f>VLOOKUP(K1453,[4]在职!$A:$I,9,0)</f>
        <v>实习销售</v>
      </c>
      <c r="P1453" s="83">
        <f>VLOOKUP(K1453,[4]在职!$A:$D,4,0)</f>
        <v>46083</v>
      </c>
      <c r="Q1453" s="105">
        <v>5</v>
      </c>
      <c r="R1453" s="105">
        <v>5</v>
      </c>
      <c r="S1453" s="46">
        <v>85</v>
      </c>
    </row>
    <row r="1454" ht="16.5" spans="1:19">
      <c r="A1454" s="46">
        <v>1461</v>
      </c>
      <c r="B1454" s="46" t="s">
        <v>45</v>
      </c>
      <c r="C1454" s="46" t="s">
        <v>38</v>
      </c>
      <c r="D1454" s="46" t="s">
        <v>25</v>
      </c>
      <c r="E1454" s="46" t="s">
        <v>1324</v>
      </c>
      <c r="F1454" s="46" t="s">
        <v>1325</v>
      </c>
      <c r="G1454" s="46" t="s">
        <v>904</v>
      </c>
      <c r="H1454" s="46" t="s">
        <v>1433</v>
      </c>
      <c r="I1454" s="46" t="s">
        <v>905</v>
      </c>
      <c r="J1454" s="83">
        <v>46106</v>
      </c>
      <c r="K1454" s="46" t="s">
        <v>1525</v>
      </c>
      <c r="L1454" s="46" t="s">
        <v>915</v>
      </c>
      <c r="M1454" s="46" t="str">
        <f>VLOOKUP(K1454,[4]在职!$A:$B,2,0)</f>
        <v>01929</v>
      </c>
      <c r="N1454" s="46" t="str">
        <f>VLOOKUP(K1454,[4]在职!$A:$G,7,0)</f>
        <v>营业一部</v>
      </c>
      <c r="O1454" s="46" t="str">
        <f>VLOOKUP(K1454,[4]在职!$A:$I,9,0)</f>
        <v>实习销售</v>
      </c>
      <c r="P1454" s="83">
        <f>VLOOKUP(K1454,[4]在职!$A:$D,4,0)</f>
        <v>46048</v>
      </c>
      <c r="Q1454" s="105">
        <v>5</v>
      </c>
      <c r="R1454" s="105">
        <v>5</v>
      </c>
      <c r="S1454" s="46">
        <v>89</v>
      </c>
    </row>
    <row r="1455" ht="16.5" spans="1:19">
      <c r="A1455" s="46">
        <v>1462</v>
      </c>
      <c r="B1455" s="46" t="s">
        <v>45</v>
      </c>
      <c r="C1455" s="46" t="s">
        <v>38</v>
      </c>
      <c r="D1455" s="46" t="s">
        <v>25</v>
      </c>
      <c r="E1455" s="46" t="s">
        <v>1324</v>
      </c>
      <c r="F1455" s="46" t="s">
        <v>1325</v>
      </c>
      <c r="G1455" s="46" t="s">
        <v>904</v>
      </c>
      <c r="H1455" s="46" t="s">
        <v>1433</v>
      </c>
      <c r="I1455" s="46" t="s">
        <v>905</v>
      </c>
      <c r="J1455" s="83">
        <v>46106</v>
      </c>
      <c r="K1455" s="46" t="s">
        <v>1437</v>
      </c>
      <c r="L1455" s="46" t="s">
        <v>915</v>
      </c>
      <c r="M1455" s="46" t="str">
        <f>VLOOKUP(K1455,[4]在职!$A:$B,2,0)</f>
        <v>01753</v>
      </c>
      <c r="N1455" s="46" t="str">
        <f>VLOOKUP(K1455,[4]在职!$A:$G,7,0)</f>
        <v>营业一部</v>
      </c>
      <c r="O1455" s="46" t="str">
        <f>VLOOKUP(K1455,[4]在职!$A:$I,9,0)</f>
        <v>一星销售顾问</v>
      </c>
      <c r="P1455" s="83">
        <f>VLOOKUP(K1455,[4]在职!$A:$D,4,0)</f>
        <v>45951</v>
      </c>
      <c r="Q1455" s="105">
        <v>5</v>
      </c>
      <c r="R1455" s="105">
        <v>5</v>
      </c>
      <c r="S1455" s="46">
        <v>99</v>
      </c>
    </row>
    <row r="1456" ht="16.5" spans="1:19">
      <c r="A1456" s="46">
        <v>1463</v>
      </c>
      <c r="B1456" s="46" t="s">
        <v>45</v>
      </c>
      <c r="C1456" s="46" t="s">
        <v>38</v>
      </c>
      <c r="D1456" s="46" t="s">
        <v>25</v>
      </c>
      <c r="E1456" s="46" t="s">
        <v>1324</v>
      </c>
      <c r="F1456" s="46" t="s">
        <v>1325</v>
      </c>
      <c r="G1456" s="46" t="s">
        <v>904</v>
      </c>
      <c r="H1456" s="46" t="s">
        <v>1433</v>
      </c>
      <c r="I1456" s="46" t="s">
        <v>905</v>
      </c>
      <c r="J1456" s="83">
        <v>46106</v>
      </c>
      <c r="K1456" s="46" t="s">
        <v>1321</v>
      </c>
      <c r="L1456" s="46" t="s">
        <v>915</v>
      </c>
      <c r="M1456" s="46" t="str">
        <f>VLOOKUP(K1456,[4]在职!$A:$B,2,0)</f>
        <v>01821</v>
      </c>
      <c r="N1456" s="46" t="str">
        <f>VLOOKUP(K1456,[4]在职!$A:$G,7,0)</f>
        <v>营业一部</v>
      </c>
      <c r="O1456" s="46" t="str">
        <f>VLOOKUP(K1456,[4]在职!$A:$I,9,0)</f>
        <v>一星销售顾问</v>
      </c>
      <c r="P1456" s="83">
        <f>VLOOKUP(K1456,[4]在职!$A:$D,4,0)</f>
        <v>45992</v>
      </c>
      <c r="Q1456" s="105">
        <v>5</v>
      </c>
      <c r="R1456" s="105">
        <v>5</v>
      </c>
      <c r="S1456" s="46">
        <v>89</v>
      </c>
    </row>
    <row r="1457" ht="16.5" spans="1:19">
      <c r="A1457" s="46">
        <v>1464</v>
      </c>
      <c r="B1457" s="46" t="s">
        <v>45</v>
      </c>
      <c r="C1457" s="46" t="s">
        <v>38</v>
      </c>
      <c r="D1457" s="46" t="s">
        <v>25</v>
      </c>
      <c r="E1457" s="46" t="s">
        <v>1324</v>
      </c>
      <c r="F1457" s="46" t="s">
        <v>1325</v>
      </c>
      <c r="G1457" s="46" t="s">
        <v>904</v>
      </c>
      <c r="H1457" s="46" t="s">
        <v>1433</v>
      </c>
      <c r="I1457" s="46" t="s">
        <v>905</v>
      </c>
      <c r="J1457" s="83">
        <v>46106</v>
      </c>
      <c r="K1457" s="46" t="s">
        <v>1436</v>
      </c>
      <c r="L1457" s="46" t="s">
        <v>915</v>
      </c>
      <c r="M1457" s="46" t="str">
        <f>VLOOKUP(K1457,[4]在职!$A:$B,2,0)</f>
        <v>01763</v>
      </c>
      <c r="N1457" s="46" t="str">
        <f>VLOOKUP(K1457,[4]在职!$A:$G,7,0)</f>
        <v>营业一部</v>
      </c>
      <c r="O1457" s="46" t="str">
        <f>VLOOKUP(K1457,[4]在职!$A:$I,9,0)</f>
        <v>一星销售顾问</v>
      </c>
      <c r="P1457" s="83">
        <f>VLOOKUP(K1457,[4]在职!$A:$D,4,0)</f>
        <v>45952</v>
      </c>
      <c r="Q1457" s="105">
        <v>5</v>
      </c>
      <c r="R1457" s="105">
        <v>5</v>
      </c>
      <c r="S1457" s="46">
        <v>97</v>
      </c>
    </row>
    <row r="1458" ht="16.5" spans="1:19">
      <c r="A1458" s="46">
        <v>1465</v>
      </c>
      <c r="B1458" s="46" t="s">
        <v>45</v>
      </c>
      <c r="C1458" s="46" t="s">
        <v>38</v>
      </c>
      <c r="D1458" s="46" t="s">
        <v>25</v>
      </c>
      <c r="E1458" s="46" t="s">
        <v>1324</v>
      </c>
      <c r="F1458" s="46" t="s">
        <v>1325</v>
      </c>
      <c r="G1458" s="46" t="s">
        <v>904</v>
      </c>
      <c r="H1458" s="46" t="s">
        <v>1433</v>
      </c>
      <c r="I1458" s="46" t="s">
        <v>905</v>
      </c>
      <c r="J1458" s="83">
        <v>46106</v>
      </c>
      <c r="K1458" s="46" t="s">
        <v>1293</v>
      </c>
      <c r="L1458" s="46" t="s">
        <v>915</v>
      </c>
      <c r="M1458" s="46" t="str">
        <f>VLOOKUP(K1458,[4]在职!$A:$B,2,0)</f>
        <v>01901</v>
      </c>
      <c r="N1458" s="46" t="str">
        <f>VLOOKUP(K1458,[4]在职!$A:$G,7,0)</f>
        <v>营业六部</v>
      </c>
      <c r="O1458" s="46" t="str">
        <f>VLOOKUP(K1458,[4]在职!$A:$I,9,0)</f>
        <v>实习销售</v>
      </c>
      <c r="P1458" s="83">
        <f>VLOOKUP(K1458,[4]在职!$A:$D,4,0)</f>
        <v>46022</v>
      </c>
      <c r="Q1458" s="105">
        <v>5</v>
      </c>
      <c r="R1458" s="105">
        <v>5</v>
      </c>
      <c r="S1458" s="46">
        <v>96</v>
      </c>
    </row>
    <row r="1459" ht="16.5" spans="1:19">
      <c r="A1459" s="46">
        <v>1466</v>
      </c>
      <c r="B1459" s="46" t="s">
        <v>45</v>
      </c>
      <c r="C1459" s="46" t="s">
        <v>38</v>
      </c>
      <c r="D1459" s="46" t="s">
        <v>25</v>
      </c>
      <c r="E1459" s="46" t="s">
        <v>1324</v>
      </c>
      <c r="F1459" s="46" t="s">
        <v>1325</v>
      </c>
      <c r="G1459" s="46" t="s">
        <v>904</v>
      </c>
      <c r="H1459" s="46" t="s">
        <v>1433</v>
      </c>
      <c r="I1459" s="46" t="s">
        <v>905</v>
      </c>
      <c r="J1459" s="83">
        <v>46106</v>
      </c>
      <c r="K1459" s="46" t="s">
        <v>1295</v>
      </c>
      <c r="L1459" s="46" t="s">
        <v>915</v>
      </c>
      <c r="M1459" s="46" t="str">
        <f>VLOOKUP(K1459,[4]在职!$A:$B,2,0)</f>
        <v>01792</v>
      </c>
      <c r="N1459" s="46" t="str">
        <f>VLOOKUP(K1459,[4]在职!$A:$G,7,0)</f>
        <v>营业六部</v>
      </c>
      <c r="O1459" s="46" t="str">
        <f>VLOOKUP(K1459,[4]在职!$A:$I,9,0)</f>
        <v>实习销售</v>
      </c>
      <c r="P1459" s="83">
        <f>VLOOKUP(K1459,[4]在职!$A:$D,4,0)</f>
        <v>45978</v>
      </c>
      <c r="Q1459" s="105">
        <v>5</v>
      </c>
      <c r="R1459" s="105">
        <v>5</v>
      </c>
      <c r="S1459" s="46">
        <v>99</v>
      </c>
    </row>
    <row r="1460" ht="16.5" spans="1:19">
      <c r="A1460" s="46">
        <v>1467</v>
      </c>
      <c r="B1460" s="46" t="s">
        <v>45</v>
      </c>
      <c r="C1460" s="46" t="s">
        <v>38</v>
      </c>
      <c r="D1460" s="46" t="s">
        <v>25</v>
      </c>
      <c r="E1460" s="46" t="s">
        <v>1324</v>
      </c>
      <c r="F1460" s="46" t="s">
        <v>1325</v>
      </c>
      <c r="G1460" s="46" t="s">
        <v>904</v>
      </c>
      <c r="H1460" s="46" t="s">
        <v>1433</v>
      </c>
      <c r="I1460" s="46" t="s">
        <v>905</v>
      </c>
      <c r="J1460" s="83">
        <v>46106</v>
      </c>
      <c r="K1460" s="46" t="s">
        <v>1526</v>
      </c>
      <c r="L1460" s="46" t="s">
        <v>915</v>
      </c>
      <c r="M1460" s="46" t="str">
        <f>VLOOKUP(K1460,[4]在职!$A:$B,2,0)</f>
        <v>01966</v>
      </c>
      <c r="N1460" s="46" t="str">
        <f>VLOOKUP(K1460,[4]在职!$A:$G,7,0)</f>
        <v>营业一部</v>
      </c>
      <c r="O1460" s="46" t="str">
        <f>VLOOKUP(K1460,[4]在职!$A:$I,9,0)</f>
        <v>实习销售</v>
      </c>
      <c r="P1460" s="83">
        <f>VLOOKUP(K1460,[4]在职!$A:$D,4,0)</f>
        <v>46086</v>
      </c>
      <c r="Q1460" s="105">
        <v>5</v>
      </c>
      <c r="R1460" s="105">
        <v>5</v>
      </c>
      <c r="S1460" s="46">
        <v>89</v>
      </c>
    </row>
    <row r="1461" ht="16.5" spans="1:19">
      <c r="A1461" s="46">
        <v>1468</v>
      </c>
      <c r="B1461" s="46" t="s">
        <v>45</v>
      </c>
      <c r="C1461" s="46" t="s">
        <v>26</v>
      </c>
      <c r="D1461" s="46" t="s">
        <v>25</v>
      </c>
      <c r="E1461" s="46" t="s">
        <v>1324</v>
      </c>
      <c r="F1461" s="46" t="s">
        <v>1325</v>
      </c>
      <c r="G1461" s="46" t="s">
        <v>904</v>
      </c>
      <c r="H1461" s="46" t="s">
        <v>1433</v>
      </c>
      <c r="I1461" s="46" t="s">
        <v>905</v>
      </c>
      <c r="J1461" s="83">
        <v>46106</v>
      </c>
      <c r="K1461" s="46" t="s">
        <v>1283</v>
      </c>
      <c r="L1461" s="46" t="s">
        <v>915</v>
      </c>
      <c r="M1461" s="46" t="str">
        <f>VLOOKUP(K1461,[4]在职!$A:$B,2,0)</f>
        <v>01880</v>
      </c>
      <c r="N1461" s="46" t="str">
        <f>VLOOKUP(K1461,[4]在职!$A:$G,7,0)</f>
        <v>河北销售部</v>
      </c>
      <c r="O1461" s="46" t="str">
        <f>VLOOKUP(K1461,[4]在职!$A:$I,9,0)</f>
        <v>实习销售</v>
      </c>
      <c r="P1461" s="83">
        <f>VLOOKUP(K1461,[4]在职!$A:$D,4,0)</f>
        <v>46015</v>
      </c>
      <c r="Q1461" s="105">
        <v>5</v>
      </c>
      <c r="R1461" s="105">
        <v>5</v>
      </c>
      <c r="S1461" s="46">
        <v>99</v>
      </c>
    </row>
    <row r="1462" ht="16.5" spans="1:19">
      <c r="A1462" s="46">
        <v>1469</v>
      </c>
      <c r="B1462" s="46" t="s">
        <v>45</v>
      </c>
      <c r="C1462" s="46" t="s">
        <v>26</v>
      </c>
      <c r="D1462" s="46" t="s">
        <v>25</v>
      </c>
      <c r="E1462" s="46" t="s">
        <v>1324</v>
      </c>
      <c r="F1462" s="46" t="s">
        <v>1325</v>
      </c>
      <c r="G1462" s="46" t="s">
        <v>904</v>
      </c>
      <c r="H1462" s="46" t="s">
        <v>1433</v>
      </c>
      <c r="I1462" s="46" t="s">
        <v>905</v>
      </c>
      <c r="J1462" s="83">
        <v>46106</v>
      </c>
      <c r="K1462" s="46" t="s">
        <v>1285</v>
      </c>
      <c r="L1462" s="46" t="s">
        <v>915</v>
      </c>
      <c r="M1462" s="46" t="str">
        <f>VLOOKUP(K1462,[4]在职!$A:$B,2,0)</f>
        <v>01817</v>
      </c>
      <c r="N1462" s="46" t="str">
        <f>VLOOKUP(K1462,[4]在职!$A:$G,7,0)</f>
        <v>河北销售部</v>
      </c>
      <c r="O1462" s="46" t="str">
        <f>VLOOKUP(K1462,[4]在职!$A:$I,9,0)</f>
        <v>实习销售</v>
      </c>
      <c r="P1462" s="83">
        <f>VLOOKUP(K1462,[4]在职!$A:$D,4,0)</f>
        <v>45989</v>
      </c>
      <c r="Q1462" s="105">
        <v>5</v>
      </c>
      <c r="R1462" s="105">
        <v>5</v>
      </c>
      <c r="S1462" s="46">
        <v>99</v>
      </c>
    </row>
    <row r="1463" ht="16.5" spans="1:19">
      <c r="A1463" s="46">
        <v>1470</v>
      </c>
      <c r="B1463" s="46" t="s">
        <v>45</v>
      </c>
      <c r="C1463" s="46" t="s">
        <v>38</v>
      </c>
      <c r="D1463" s="46" t="s">
        <v>25</v>
      </c>
      <c r="E1463" s="46" t="s">
        <v>1324</v>
      </c>
      <c r="F1463" s="46" t="s">
        <v>1325</v>
      </c>
      <c r="G1463" s="46" t="s">
        <v>904</v>
      </c>
      <c r="H1463" s="46" t="s">
        <v>1433</v>
      </c>
      <c r="I1463" s="46" t="s">
        <v>905</v>
      </c>
      <c r="J1463" s="83">
        <v>46106</v>
      </c>
      <c r="K1463" s="46" t="s">
        <v>1263</v>
      </c>
      <c r="L1463" s="46" t="s">
        <v>907</v>
      </c>
      <c r="M1463" s="46" t="str">
        <f>VLOOKUP(K1463,[4]在职!$A:$B,2,0)</f>
        <v>01723</v>
      </c>
      <c r="N1463" s="46" t="str">
        <f>VLOOKUP(K1463,[4]在职!$A:$G,7,0)</f>
        <v>营业七部</v>
      </c>
      <c r="O1463" s="46" t="str">
        <f>VLOOKUP(K1463,[4]在职!$A:$I,9,0)</f>
        <v>一星销售顾问</v>
      </c>
      <c r="P1463" s="83">
        <f>VLOOKUP(K1463,[4]在职!$A:$D,4,0)</f>
        <v>45941</v>
      </c>
      <c r="Q1463" s="105">
        <v>0</v>
      </c>
      <c r="R1463" s="105">
        <v>0</v>
      </c>
      <c r="S1463" s="46">
        <v>0</v>
      </c>
    </row>
    <row r="1464" ht="16.5" spans="1:19">
      <c r="A1464" s="46">
        <v>1471</v>
      </c>
      <c r="B1464" s="46" t="s">
        <v>45</v>
      </c>
      <c r="C1464" s="46" t="s">
        <v>38</v>
      </c>
      <c r="D1464" s="46" t="s">
        <v>25</v>
      </c>
      <c r="E1464" s="46" t="s">
        <v>1324</v>
      </c>
      <c r="F1464" s="46" t="s">
        <v>1325</v>
      </c>
      <c r="G1464" s="46" t="s">
        <v>904</v>
      </c>
      <c r="H1464" s="46" t="s">
        <v>1433</v>
      </c>
      <c r="I1464" s="46" t="s">
        <v>905</v>
      </c>
      <c r="J1464" s="83">
        <v>46106</v>
      </c>
      <c r="K1464" s="46" t="s">
        <v>1197</v>
      </c>
      <c r="L1464" s="46" t="s">
        <v>907</v>
      </c>
      <c r="M1464" s="46" t="str">
        <f>VLOOKUP(K1464,[4]在职!$A:$B,2,0)</f>
        <v>01900</v>
      </c>
      <c r="N1464" s="46" t="str">
        <f>VLOOKUP(K1464,[4]在职!$A:$G,7,0)</f>
        <v>营业七部</v>
      </c>
      <c r="O1464" s="46" t="str">
        <f>VLOOKUP(K1464,[4]在职!$A:$I,9,0)</f>
        <v>实习销售</v>
      </c>
      <c r="P1464" s="83">
        <f>VLOOKUP(K1464,[4]在职!$A:$D,4,0)</f>
        <v>46021</v>
      </c>
      <c r="Q1464" s="105">
        <v>0</v>
      </c>
      <c r="R1464" s="105">
        <v>0</v>
      </c>
      <c r="S1464" s="46">
        <v>0</v>
      </c>
    </row>
    <row r="1465" ht="16.5" spans="1:19">
      <c r="A1465" s="46">
        <v>1472</v>
      </c>
      <c r="B1465" s="46" t="s">
        <v>45</v>
      </c>
      <c r="C1465" s="46" t="s">
        <v>38</v>
      </c>
      <c r="D1465" s="46" t="s">
        <v>25</v>
      </c>
      <c r="E1465" s="46" t="s">
        <v>1324</v>
      </c>
      <c r="F1465" s="46" t="s">
        <v>1325</v>
      </c>
      <c r="G1465" s="46" t="s">
        <v>904</v>
      </c>
      <c r="H1465" s="46" t="s">
        <v>1433</v>
      </c>
      <c r="I1465" s="46" t="s">
        <v>905</v>
      </c>
      <c r="J1465" s="83">
        <v>46106</v>
      </c>
      <c r="K1465" s="46" t="s">
        <v>1527</v>
      </c>
      <c r="L1465" s="46" t="s">
        <v>915</v>
      </c>
      <c r="M1465" s="46" t="str">
        <f>VLOOKUP(K1465,[4]在职!$A:$B,2,0)</f>
        <v>01969</v>
      </c>
      <c r="N1465" s="46" t="str">
        <f>VLOOKUP(K1465,[4]在职!$A:$G,7,0)</f>
        <v>营业六部</v>
      </c>
      <c r="O1465" s="46" t="str">
        <f>VLOOKUP(K1465,[4]在职!$A:$I,9,0)</f>
        <v>实习销售</v>
      </c>
      <c r="P1465" s="83">
        <f>VLOOKUP(K1465,[4]在职!$A:$D,4,0)</f>
        <v>46087</v>
      </c>
      <c r="Q1465" s="105">
        <v>5</v>
      </c>
      <c r="R1465" s="105">
        <v>5</v>
      </c>
      <c r="S1465" s="46">
        <v>99</v>
      </c>
    </row>
    <row r="1466" ht="16.5" spans="1:19">
      <c r="A1466" s="46">
        <v>1473</v>
      </c>
      <c r="B1466" s="46" t="s">
        <v>45</v>
      </c>
      <c r="C1466" s="46" t="s">
        <v>38</v>
      </c>
      <c r="D1466" s="46" t="s">
        <v>25</v>
      </c>
      <c r="E1466" s="46" t="s">
        <v>1324</v>
      </c>
      <c r="F1466" s="46" t="s">
        <v>1325</v>
      </c>
      <c r="G1466" s="46" t="s">
        <v>904</v>
      </c>
      <c r="H1466" s="46" t="s">
        <v>1433</v>
      </c>
      <c r="I1466" s="46" t="s">
        <v>905</v>
      </c>
      <c r="J1466" s="83">
        <v>46106</v>
      </c>
      <c r="K1466" s="46" t="s">
        <v>1528</v>
      </c>
      <c r="L1466" s="46" t="s">
        <v>915</v>
      </c>
      <c r="M1466" s="46" t="str">
        <f>VLOOKUP(K1466,[4]在职!$A:$B,2,0)</f>
        <v>01959</v>
      </c>
      <c r="N1466" s="46" t="str">
        <f>VLOOKUP(K1466,[4]在职!$A:$G,7,0)</f>
        <v>营业七部</v>
      </c>
      <c r="O1466" s="46" t="str">
        <f>VLOOKUP(K1466,[4]在职!$A:$I,9,0)</f>
        <v>实习销售</v>
      </c>
      <c r="P1466" s="83">
        <f>VLOOKUP(K1466,[4]在职!$A:$D,4,0)</f>
        <v>46085</v>
      </c>
      <c r="Q1466" s="105">
        <v>0</v>
      </c>
      <c r="R1466" s="105">
        <v>0</v>
      </c>
      <c r="S1466" s="46">
        <v>89</v>
      </c>
    </row>
    <row r="1467" ht="16.5" spans="1:19">
      <c r="A1467" s="46">
        <v>1474</v>
      </c>
      <c r="B1467" s="46" t="s">
        <v>45</v>
      </c>
      <c r="C1467" s="46" t="s">
        <v>38</v>
      </c>
      <c r="D1467" s="46" t="s">
        <v>25</v>
      </c>
      <c r="E1467" s="46" t="s">
        <v>1324</v>
      </c>
      <c r="F1467" s="46" t="s">
        <v>1325</v>
      </c>
      <c r="G1467" s="46" t="s">
        <v>904</v>
      </c>
      <c r="H1467" s="46" t="s">
        <v>1433</v>
      </c>
      <c r="I1467" s="46" t="s">
        <v>905</v>
      </c>
      <c r="J1467" s="83">
        <v>46106</v>
      </c>
      <c r="K1467" s="46" t="s">
        <v>1529</v>
      </c>
      <c r="L1467" s="46" t="s">
        <v>915</v>
      </c>
      <c r="M1467" s="46" t="str">
        <f>VLOOKUP(K1467,[4]在职!$A:$B,2,0)</f>
        <v>01958</v>
      </c>
      <c r="N1467" s="46" t="str">
        <f>VLOOKUP(K1467,[4]在职!$A:$G,7,0)</f>
        <v>营业七部</v>
      </c>
      <c r="O1467" s="46" t="str">
        <f>VLOOKUP(K1467,[4]在职!$A:$I,9,0)</f>
        <v>实习销售</v>
      </c>
      <c r="P1467" s="83">
        <f>VLOOKUP(K1467,[4]在职!$A:$D,4,0)</f>
        <v>46084</v>
      </c>
      <c r="Q1467" s="105">
        <v>0</v>
      </c>
      <c r="R1467" s="105">
        <v>0</v>
      </c>
      <c r="S1467" s="46">
        <v>89</v>
      </c>
    </row>
    <row r="1468" ht="16.5" spans="1:19">
      <c r="A1468" s="46">
        <v>1475</v>
      </c>
      <c r="B1468" s="46" t="s">
        <v>45</v>
      </c>
      <c r="C1468" s="46" t="s">
        <v>38</v>
      </c>
      <c r="D1468" s="46" t="s">
        <v>25</v>
      </c>
      <c r="E1468" s="46" t="s">
        <v>1324</v>
      </c>
      <c r="F1468" s="46" t="s">
        <v>1325</v>
      </c>
      <c r="G1468" s="46" t="s">
        <v>904</v>
      </c>
      <c r="H1468" s="46" t="s">
        <v>1433</v>
      </c>
      <c r="I1468" s="46" t="s">
        <v>905</v>
      </c>
      <c r="J1468" s="83">
        <v>46106</v>
      </c>
      <c r="K1468" s="46" t="s">
        <v>1530</v>
      </c>
      <c r="L1468" s="46" t="s">
        <v>915</v>
      </c>
      <c r="M1468" s="46" t="str">
        <f>VLOOKUP(K1468,[4]在职!$A:$B,2,0)</f>
        <v>01970</v>
      </c>
      <c r="N1468" s="46" t="str">
        <f>VLOOKUP(K1468,[4]在职!$A:$G,7,0)</f>
        <v>营业三部</v>
      </c>
      <c r="O1468" s="46" t="str">
        <f>VLOOKUP(K1468,[4]在职!$A:$I,9,0)</f>
        <v>实习销售</v>
      </c>
      <c r="P1468" s="83">
        <f>VLOOKUP(K1468,[4]在职!$A:$D,4,0)</f>
        <v>46088</v>
      </c>
      <c r="Q1468" s="105">
        <v>5</v>
      </c>
      <c r="R1468" s="105">
        <v>5</v>
      </c>
      <c r="S1468" s="46">
        <v>89</v>
      </c>
    </row>
    <row r="1469" ht="16.5" spans="1:19">
      <c r="A1469" s="46">
        <v>1476</v>
      </c>
      <c r="B1469" s="46" t="s">
        <v>45</v>
      </c>
      <c r="C1469" s="46" t="s">
        <v>38</v>
      </c>
      <c r="D1469" s="46" t="s">
        <v>25</v>
      </c>
      <c r="E1469" s="46" t="s">
        <v>1324</v>
      </c>
      <c r="F1469" s="46" t="s">
        <v>1325</v>
      </c>
      <c r="G1469" s="46" t="s">
        <v>904</v>
      </c>
      <c r="H1469" s="46" t="s">
        <v>1433</v>
      </c>
      <c r="I1469" s="46" t="s">
        <v>905</v>
      </c>
      <c r="J1469" s="83">
        <v>46106</v>
      </c>
      <c r="K1469" s="46" t="s">
        <v>1215</v>
      </c>
      <c r="L1469" s="46" t="s">
        <v>907</v>
      </c>
      <c r="M1469" s="46" t="str">
        <f>VLOOKUP(K1469,[4]在职!$A:$B,2,0)</f>
        <v>01854</v>
      </c>
      <c r="N1469" s="46" t="str">
        <f>VLOOKUP(K1469,[4]在职!$A:$G,7,0)</f>
        <v>营业六部</v>
      </c>
      <c r="O1469" s="46" t="str">
        <f>VLOOKUP(K1469,[4]在职!$A:$I,9,0)</f>
        <v>实习销售</v>
      </c>
      <c r="P1469" s="83">
        <f>VLOOKUP(K1469,[4]在职!$A:$D,4,0)</f>
        <v>46005</v>
      </c>
      <c r="Q1469" s="105">
        <v>0</v>
      </c>
      <c r="R1469" s="105">
        <v>0</v>
      </c>
      <c r="S1469" s="46">
        <v>0</v>
      </c>
    </row>
    <row r="1470" ht="16.5" spans="1:19">
      <c r="A1470" s="46">
        <v>1477</v>
      </c>
      <c r="B1470" s="46" t="s">
        <v>45</v>
      </c>
      <c r="C1470" s="46" t="s">
        <v>38</v>
      </c>
      <c r="D1470" s="46" t="s">
        <v>25</v>
      </c>
      <c r="E1470" s="46" t="s">
        <v>1324</v>
      </c>
      <c r="F1470" s="46" t="s">
        <v>1325</v>
      </c>
      <c r="G1470" s="46" t="s">
        <v>904</v>
      </c>
      <c r="H1470" s="46" t="s">
        <v>1433</v>
      </c>
      <c r="I1470" s="46" t="s">
        <v>905</v>
      </c>
      <c r="J1470" s="83">
        <v>46106</v>
      </c>
      <c r="K1470" s="46" t="s">
        <v>1531</v>
      </c>
      <c r="L1470" s="46" t="s">
        <v>915</v>
      </c>
      <c r="M1470" s="46" t="str">
        <f>VLOOKUP(K1470,[4]在职!$A:$B,2,0)</f>
        <v>01938</v>
      </c>
      <c r="N1470" s="46" t="str">
        <f>VLOOKUP(K1470,[4]在职!$A:$G,7,0)</f>
        <v>杨薇</v>
      </c>
      <c r="O1470" s="46" t="str">
        <f>VLOOKUP(K1470,[4]在职!$A:$I,9,0)</f>
        <v>实习销售</v>
      </c>
      <c r="P1470" s="83">
        <f>VLOOKUP(K1470,[4]在职!$A:$D,4,0)</f>
        <v>46080</v>
      </c>
      <c r="Q1470" s="105">
        <v>5</v>
      </c>
      <c r="R1470" s="105">
        <v>5</v>
      </c>
      <c r="S1470" s="46">
        <v>89</v>
      </c>
    </row>
    <row r="1471" ht="16.5" spans="1:19">
      <c r="A1471" s="46">
        <v>1478</v>
      </c>
      <c r="B1471" s="46" t="s">
        <v>45</v>
      </c>
      <c r="C1471" s="46" t="s">
        <v>38</v>
      </c>
      <c r="D1471" s="46" t="s">
        <v>25</v>
      </c>
      <c r="E1471" s="46" t="s">
        <v>1324</v>
      </c>
      <c r="F1471" s="46" t="s">
        <v>1325</v>
      </c>
      <c r="G1471" s="46" t="s">
        <v>904</v>
      </c>
      <c r="H1471" s="46" t="s">
        <v>1433</v>
      </c>
      <c r="I1471" s="46" t="s">
        <v>905</v>
      </c>
      <c r="J1471" s="83">
        <v>46106</v>
      </c>
      <c r="K1471" s="46" t="s">
        <v>1171</v>
      </c>
      <c r="L1471" s="46" t="s">
        <v>915</v>
      </c>
      <c r="M1471" s="46" t="str">
        <f>VLOOKUP(K1471,[4]在职!$A:$B,2,0)</f>
        <v>01876</v>
      </c>
      <c r="N1471" s="46" t="str">
        <f>VLOOKUP(K1471,[4]在职!$A:$G,7,0)</f>
        <v>营业五部</v>
      </c>
      <c r="O1471" s="46" t="str">
        <f>VLOOKUP(K1471,[4]在职!$A:$I,9,0)</f>
        <v>实习销售</v>
      </c>
      <c r="P1471" s="83">
        <f>VLOOKUP(K1471,[4]在职!$A:$D,4,0)</f>
        <v>46017</v>
      </c>
      <c r="Q1471" s="105">
        <v>5</v>
      </c>
      <c r="R1471" s="105">
        <v>5</v>
      </c>
      <c r="S1471" s="46">
        <v>89</v>
      </c>
    </row>
    <row r="1472" ht="16.5" spans="1:19">
      <c r="A1472" s="46">
        <v>1479</v>
      </c>
      <c r="B1472" s="46" t="s">
        <v>45</v>
      </c>
      <c r="C1472" s="46" t="s">
        <v>38</v>
      </c>
      <c r="D1472" s="46" t="s">
        <v>25</v>
      </c>
      <c r="E1472" s="46" t="s">
        <v>1324</v>
      </c>
      <c r="F1472" s="46" t="s">
        <v>1325</v>
      </c>
      <c r="G1472" s="46" t="s">
        <v>904</v>
      </c>
      <c r="H1472" s="46" t="s">
        <v>1433</v>
      </c>
      <c r="I1472" s="46" t="s">
        <v>905</v>
      </c>
      <c r="J1472" s="83">
        <v>46106</v>
      </c>
      <c r="K1472" s="46" t="s">
        <v>1195</v>
      </c>
      <c r="L1472" s="46" t="s">
        <v>907</v>
      </c>
      <c r="M1472" s="46" t="str">
        <f>VLOOKUP(K1472,[4]在职!$A:$B,2,0)</f>
        <v>01765</v>
      </c>
      <c r="N1472" s="46" t="str">
        <f>VLOOKUP(K1472,[4]在职!$A:$G,7,0)</f>
        <v>营业五部</v>
      </c>
      <c r="O1472" s="46" t="str">
        <f>VLOOKUP(K1472,[4]在职!$A:$I,9,0)</f>
        <v>实习销售</v>
      </c>
      <c r="P1472" s="83">
        <f>VLOOKUP(K1472,[4]在职!$A:$D,4,0)</f>
        <v>45962</v>
      </c>
      <c r="Q1472" s="105">
        <v>0</v>
      </c>
      <c r="R1472" s="105">
        <v>0</v>
      </c>
      <c r="S1472" s="46">
        <v>0</v>
      </c>
    </row>
    <row r="1473" ht="16.5" spans="1:19">
      <c r="A1473" s="46">
        <v>1480</v>
      </c>
      <c r="B1473" s="46" t="s">
        <v>45</v>
      </c>
      <c r="C1473" s="46" t="s">
        <v>38</v>
      </c>
      <c r="D1473" s="46" t="s">
        <v>25</v>
      </c>
      <c r="E1473" s="46" t="s">
        <v>1324</v>
      </c>
      <c r="F1473" s="46" t="s">
        <v>1325</v>
      </c>
      <c r="G1473" s="46" t="s">
        <v>904</v>
      </c>
      <c r="H1473" s="46" t="s">
        <v>1433</v>
      </c>
      <c r="I1473" s="46" t="s">
        <v>905</v>
      </c>
      <c r="J1473" s="83">
        <v>46106</v>
      </c>
      <c r="K1473" s="46" t="s">
        <v>1193</v>
      </c>
      <c r="L1473" s="46" t="s">
        <v>907</v>
      </c>
      <c r="M1473" s="46" t="str">
        <f>VLOOKUP(K1473,[4]在职!$A:$B,2,0)</f>
        <v>01881</v>
      </c>
      <c r="N1473" s="46" t="str">
        <f>VLOOKUP(K1473,[4]在职!$A:$G,7,0)</f>
        <v>营业五部</v>
      </c>
      <c r="O1473" s="46" t="str">
        <f>VLOOKUP(K1473,[4]在职!$A:$I,9,0)</f>
        <v>实习销售</v>
      </c>
      <c r="P1473" s="83">
        <f>VLOOKUP(K1473,[4]在职!$A:$D,4,0)</f>
        <v>46022</v>
      </c>
      <c r="Q1473" s="105">
        <v>0</v>
      </c>
      <c r="R1473" s="105">
        <v>0</v>
      </c>
      <c r="S1473" s="46">
        <v>0</v>
      </c>
    </row>
    <row r="1474" ht="16.5" spans="1:19">
      <c r="A1474" s="46">
        <v>1481</v>
      </c>
      <c r="B1474" s="46" t="s">
        <v>45</v>
      </c>
      <c r="C1474" s="46" t="s">
        <v>38</v>
      </c>
      <c r="D1474" s="46" t="s">
        <v>25</v>
      </c>
      <c r="E1474" s="46" t="s">
        <v>1324</v>
      </c>
      <c r="F1474" s="46" t="s">
        <v>1325</v>
      </c>
      <c r="G1474" s="46" t="s">
        <v>904</v>
      </c>
      <c r="H1474" s="46" t="s">
        <v>1433</v>
      </c>
      <c r="I1474" s="46" t="s">
        <v>905</v>
      </c>
      <c r="J1474" s="83">
        <v>46106</v>
      </c>
      <c r="K1474" s="46" t="s">
        <v>1532</v>
      </c>
      <c r="L1474" s="46" t="s">
        <v>915</v>
      </c>
      <c r="M1474" s="46" t="str">
        <f>VLOOKUP(K1474,[4]在职!$A:$B,2,0)</f>
        <v>01924</v>
      </c>
      <c r="N1474" s="46" t="str">
        <f>VLOOKUP(K1474,[4]在职!$A:$G,7,0)</f>
        <v>营业一部</v>
      </c>
      <c r="O1474" s="46" t="str">
        <f>VLOOKUP(K1474,[4]在职!$A:$I,9,0)</f>
        <v>实习销售</v>
      </c>
      <c r="P1474" s="83">
        <f>VLOOKUP(K1474,[4]在职!$A:$D,4,0)</f>
        <v>46048</v>
      </c>
      <c r="Q1474" s="105">
        <v>5</v>
      </c>
      <c r="R1474" s="105">
        <v>5</v>
      </c>
      <c r="S1474" s="46">
        <v>89</v>
      </c>
    </row>
    <row r="1475" ht="16.5" spans="1:19">
      <c r="A1475" s="46">
        <v>1482</v>
      </c>
      <c r="B1475" s="46" t="s">
        <v>45</v>
      </c>
      <c r="C1475" s="46" t="s">
        <v>38</v>
      </c>
      <c r="D1475" s="46" t="s">
        <v>25</v>
      </c>
      <c r="E1475" s="46" t="s">
        <v>1324</v>
      </c>
      <c r="F1475" s="46" t="s">
        <v>1325</v>
      </c>
      <c r="G1475" s="46" t="s">
        <v>904</v>
      </c>
      <c r="H1475" s="46" t="s">
        <v>1433</v>
      </c>
      <c r="I1475" s="46" t="s">
        <v>905</v>
      </c>
      <c r="J1475" s="83">
        <v>46106</v>
      </c>
      <c r="K1475" s="46" t="s">
        <v>1184</v>
      </c>
      <c r="L1475" s="46" t="s">
        <v>915</v>
      </c>
      <c r="M1475" s="46" t="str">
        <f>VLOOKUP(K1475,[4]在职!$A:$B,2,0)</f>
        <v>01893</v>
      </c>
      <c r="N1475" s="46" t="str">
        <f>VLOOKUP(K1475,[4]在职!$A:$G,7,0)</f>
        <v>营业三部</v>
      </c>
      <c r="O1475" s="46" t="str">
        <f>VLOOKUP(K1475,[4]在职!$A:$I,9,0)</f>
        <v>实习销售</v>
      </c>
      <c r="P1475" s="83">
        <f>VLOOKUP(K1475,[4]在职!$A:$D,4,0)</f>
        <v>46019</v>
      </c>
      <c r="Q1475" s="105">
        <v>5</v>
      </c>
      <c r="R1475" s="105">
        <v>5</v>
      </c>
      <c r="S1475" s="46">
        <v>89</v>
      </c>
    </row>
    <row r="1476" ht="16.5" spans="1:19">
      <c r="A1476" s="46">
        <v>1483</v>
      </c>
      <c r="B1476" s="46" t="s">
        <v>45</v>
      </c>
      <c r="C1476" s="46" t="s">
        <v>38</v>
      </c>
      <c r="D1476" s="46" t="s">
        <v>25</v>
      </c>
      <c r="E1476" s="46" t="s">
        <v>1324</v>
      </c>
      <c r="F1476" s="46" t="s">
        <v>1325</v>
      </c>
      <c r="G1476" s="46" t="s">
        <v>904</v>
      </c>
      <c r="H1476" s="46" t="s">
        <v>1433</v>
      </c>
      <c r="I1476" s="46" t="s">
        <v>905</v>
      </c>
      <c r="J1476" s="83">
        <v>46106</v>
      </c>
      <c r="K1476" s="46" t="s">
        <v>1533</v>
      </c>
      <c r="L1476" s="46" t="s">
        <v>907</v>
      </c>
      <c r="M1476" s="46" t="str">
        <f>VLOOKUP(K1476,[4]在职!$A:$B,2,0)</f>
        <v>01939</v>
      </c>
      <c r="N1476" s="46" t="str">
        <f>VLOOKUP(K1476,[4]在职!$A:$G,7,0)</f>
        <v>营业一部</v>
      </c>
      <c r="O1476" s="46" t="str">
        <f>VLOOKUP(K1476,[4]在职!$A:$I,9,0)</f>
        <v>实习销售</v>
      </c>
      <c r="P1476" s="83">
        <f>VLOOKUP(K1476,[4]在职!$A:$D,4,0)</f>
        <v>46081</v>
      </c>
      <c r="Q1476" s="105">
        <v>0</v>
      </c>
      <c r="R1476" s="105">
        <v>0</v>
      </c>
      <c r="S1476" s="46">
        <v>0</v>
      </c>
    </row>
    <row r="1477" ht="16.5" spans="1:19">
      <c r="A1477" s="46">
        <v>1484</v>
      </c>
      <c r="B1477" s="46" t="s">
        <v>45</v>
      </c>
      <c r="C1477" s="46" t="s">
        <v>38</v>
      </c>
      <c r="D1477" s="46" t="s">
        <v>25</v>
      </c>
      <c r="E1477" s="46" t="s">
        <v>1324</v>
      </c>
      <c r="F1477" s="46" t="s">
        <v>1325</v>
      </c>
      <c r="G1477" s="46" t="s">
        <v>904</v>
      </c>
      <c r="H1477" s="46" t="s">
        <v>1433</v>
      </c>
      <c r="I1477" s="46" t="s">
        <v>905</v>
      </c>
      <c r="J1477" s="83">
        <v>46106</v>
      </c>
      <c r="K1477" s="46" t="s">
        <v>1534</v>
      </c>
      <c r="L1477" s="46" t="s">
        <v>907</v>
      </c>
      <c r="M1477" s="46" t="str">
        <f>VLOOKUP(K1477,[4]在职!$A:$B,2,0)</f>
        <v>01921</v>
      </c>
      <c r="N1477" s="46" t="str">
        <f>VLOOKUP(K1477,[4]在职!$A:$G,7,0)</f>
        <v>营业一部</v>
      </c>
      <c r="O1477" s="46" t="str">
        <f>VLOOKUP(K1477,[4]在职!$A:$I,9,0)</f>
        <v>实习销售</v>
      </c>
      <c r="P1477" s="83">
        <f>VLOOKUP(K1477,[4]在职!$A:$D,4,0)</f>
        <v>46048</v>
      </c>
      <c r="Q1477" s="105">
        <v>0</v>
      </c>
      <c r="R1477" s="105">
        <v>0</v>
      </c>
      <c r="S1477" s="46">
        <v>0</v>
      </c>
    </row>
    <row r="1478" ht="16.5" spans="1:19">
      <c r="A1478" s="46">
        <v>1485</v>
      </c>
      <c r="B1478" s="46" t="s">
        <v>45</v>
      </c>
      <c r="C1478" s="46" t="s">
        <v>38</v>
      </c>
      <c r="D1478" s="46" t="s">
        <v>25</v>
      </c>
      <c r="E1478" s="46" t="s">
        <v>1324</v>
      </c>
      <c r="F1478" s="46" t="s">
        <v>1325</v>
      </c>
      <c r="G1478" s="46" t="s">
        <v>904</v>
      </c>
      <c r="H1478" s="46" t="s">
        <v>1433</v>
      </c>
      <c r="I1478" s="46" t="s">
        <v>905</v>
      </c>
      <c r="J1478" s="83">
        <v>46106</v>
      </c>
      <c r="K1478" s="46" t="s">
        <v>1476</v>
      </c>
      <c r="L1478" s="46" t="s">
        <v>907</v>
      </c>
      <c r="M1478" s="46" t="str">
        <f>VLOOKUP(K1478,[4]在职!$A:$B,2,0)</f>
        <v>01682</v>
      </c>
      <c r="N1478" s="46" t="str">
        <f>VLOOKUP(K1478,[4]在职!$A:$G,7,0)</f>
        <v>营业一部</v>
      </c>
      <c r="O1478" s="46" t="str">
        <f>VLOOKUP(K1478,[4]在职!$A:$I,9,0)</f>
        <v>一星销售顾问</v>
      </c>
      <c r="P1478" s="83">
        <f>VLOOKUP(K1478,[4]在职!$A:$D,4,0)</f>
        <v>45903</v>
      </c>
      <c r="Q1478" s="105">
        <v>0</v>
      </c>
      <c r="R1478" s="105">
        <v>0</v>
      </c>
      <c r="S1478" s="46">
        <v>0</v>
      </c>
    </row>
    <row r="1479" ht="16.5" spans="1:19">
      <c r="A1479" s="46">
        <v>1486</v>
      </c>
      <c r="B1479" s="46" t="s">
        <v>45</v>
      </c>
      <c r="C1479" s="46" t="s">
        <v>38</v>
      </c>
      <c r="D1479" s="46" t="s">
        <v>25</v>
      </c>
      <c r="E1479" s="46" t="s">
        <v>1324</v>
      </c>
      <c r="F1479" s="46" t="s">
        <v>1325</v>
      </c>
      <c r="G1479" s="46" t="s">
        <v>904</v>
      </c>
      <c r="H1479" s="46" t="s">
        <v>1433</v>
      </c>
      <c r="I1479" s="46" t="s">
        <v>905</v>
      </c>
      <c r="J1479" s="83">
        <v>46106</v>
      </c>
      <c r="K1479" s="46" t="s">
        <v>1355</v>
      </c>
      <c r="L1479" s="46" t="s">
        <v>915</v>
      </c>
      <c r="M1479" s="46" t="str">
        <f>VLOOKUP(K1479,[4]在职!$A:$B,2,0)</f>
        <v>01918</v>
      </c>
      <c r="N1479" s="46" t="str">
        <f>VLOOKUP(K1479,[4]在职!$A:$G,7,0)</f>
        <v>人资行政部</v>
      </c>
      <c r="O1479" s="46" t="str">
        <f>VLOOKUP(K1479,[4]在职!$A:$I,9,0)</f>
        <v>人资行政经理</v>
      </c>
      <c r="P1479" s="83">
        <f>VLOOKUP(K1479,[4]在职!$A:$D,4,0)</f>
        <v>46048</v>
      </c>
      <c r="Q1479" s="105">
        <v>0</v>
      </c>
      <c r="R1479" s="105">
        <v>0</v>
      </c>
      <c r="S1479" s="46">
        <v>0</v>
      </c>
    </row>
    <row r="1480" ht="16.5" spans="1:19">
      <c r="A1480" s="46">
        <v>1487</v>
      </c>
      <c r="B1480" s="46" t="s">
        <v>45</v>
      </c>
      <c r="C1480" s="46" t="s">
        <v>38</v>
      </c>
      <c r="D1480" s="46" t="s">
        <v>25</v>
      </c>
      <c r="E1480" s="46" t="s">
        <v>1324</v>
      </c>
      <c r="F1480" s="46" t="s">
        <v>1325</v>
      </c>
      <c r="G1480" s="46" t="s">
        <v>904</v>
      </c>
      <c r="H1480" s="46" t="s">
        <v>1433</v>
      </c>
      <c r="I1480" s="46" t="s">
        <v>905</v>
      </c>
      <c r="J1480" s="83">
        <v>46106</v>
      </c>
      <c r="K1480" s="46" t="s">
        <v>1537</v>
      </c>
      <c r="L1480" s="46" t="s">
        <v>915</v>
      </c>
      <c r="M1480" s="46" t="str">
        <f>VLOOKUP(K1480,[4]在职!$A:$B,2,0)</f>
        <v>01948</v>
      </c>
      <c r="N1480" s="46" t="str">
        <f>VLOOKUP(K1480,[4]在职!$A:$G,7,0)</f>
        <v>人资行政部</v>
      </c>
      <c r="O1480" s="46" t="str">
        <f>VLOOKUP(K1480,[4]在职!$A:$I,9,0)</f>
        <v>行政专员</v>
      </c>
      <c r="P1480" s="83">
        <f>VLOOKUP(K1480,[4]在职!$A:$D,4,0)</f>
        <v>46087</v>
      </c>
      <c r="Q1480" s="105">
        <v>5</v>
      </c>
      <c r="R1480" s="105">
        <v>5</v>
      </c>
      <c r="S1480" s="46">
        <v>99</v>
      </c>
    </row>
    <row r="1481" ht="16.5" spans="1:19">
      <c r="A1481" s="46">
        <v>1488</v>
      </c>
      <c r="B1481" s="46" t="s">
        <v>45</v>
      </c>
      <c r="C1481" s="46" t="s">
        <v>38</v>
      </c>
      <c r="D1481" s="46" t="s">
        <v>25</v>
      </c>
      <c r="E1481" s="46" t="s">
        <v>1324</v>
      </c>
      <c r="F1481" s="46" t="s">
        <v>1325</v>
      </c>
      <c r="G1481" s="46" t="s">
        <v>904</v>
      </c>
      <c r="H1481" s="46" t="s">
        <v>1433</v>
      </c>
      <c r="I1481" s="46" t="s">
        <v>905</v>
      </c>
      <c r="J1481" s="83">
        <v>46106</v>
      </c>
      <c r="K1481" s="46" t="s">
        <v>1538</v>
      </c>
      <c r="L1481" s="46" t="s">
        <v>915</v>
      </c>
      <c r="M1481" s="46" t="str">
        <f>VLOOKUP(K1481,[4]在职!$A:$B,2,0)</f>
        <v>01937</v>
      </c>
      <c r="N1481" s="46" t="str">
        <f>VLOOKUP(K1481,[4]在职!$A:$G,7,0)</f>
        <v>人资行政部</v>
      </c>
      <c r="O1481" s="46" t="str">
        <f>VLOOKUP(K1481,[4]在职!$A:$I,9,0)</f>
        <v>采购专员</v>
      </c>
      <c r="P1481" s="83">
        <f>VLOOKUP(K1481,[4]在职!$A:$D,4,0)</f>
        <v>46083</v>
      </c>
      <c r="Q1481" s="105">
        <v>5</v>
      </c>
      <c r="R1481" s="105">
        <v>5</v>
      </c>
      <c r="S1481" s="46">
        <v>89</v>
      </c>
    </row>
    <row r="1482" ht="16.5" spans="1:19">
      <c r="A1482" s="46">
        <v>1489</v>
      </c>
      <c r="B1482" s="46" t="s">
        <v>45</v>
      </c>
      <c r="C1482" s="46" t="s">
        <v>38</v>
      </c>
      <c r="D1482" s="46" t="s">
        <v>25</v>
      </c>
      <c r="E1482" s="46" t="s">
        <v>1324</v>
      </c>
      <c r="F1482" s="46" t="s">
        <v>1325</v>
      </c>
      <c r="G1482" s="46" t="s">
        <v>904</v>
      </c>
      <c r="H1482" s="46" t="s">
        <v>1433</v>
      </c>
      <c r="I1482" s="46" t="s">
        <v>905</v>
      </c>
      <c r="J1482" s="83">
        <v>46106</v>
      </c>
      <c r="K1482" s="46" t="s">
        <v>1539</v>
      </c>
      <c r="L1482" s="46" t="s">
        <v>915</v>
      </c>
      <c r="M1482" s="46" t="str">
        <f>VLOOKUP(K1482,[4]在职!$A:$B,2,0)</f>
        <v>01928</v>
      </c>
      <c r="N1482" s="46" t="str">
        <f>VLOOKUP(K1482,[4]在职!$A:$G,7,0)</f>
        <v>停车场运营部</v>
      </c>
      <c r="O1482" s="46" t="str">
        <f>VLOOKUP(K1482,[4]在职!$A:$I,9,0)</f>
        <v>停车场运营经理</v>
      </c>
      <c r="P1482" s="83">
        <f>VLOOKUP(K1482,[4]在职!$A:$D,4,0)</f>
        <v>46056</v>
      </c>
      <c r="Q1482" s="105">
        <v>5</v>
      </c>
      <c r="R1482" s="105">
        <v>5</v>
      </c>
      <c r="S1482" s="46">
        <v>89</v>
      </c>
    </row>
    <row r="1483" ht="16.5" spans="1:19">
      <c r="A1483" s="46">
        <v>1490</v>
      </c>
      <c r="B1483" s="46" t="s">
        <v>45</v>
      </c>
      <c r="C1483" s="46" t="s">
        <v>38</v>
      </c>
      <c r="D1483" s="46" t="s">
        <v>25</v>
      </c>
      <c r="E1483" s="46" t="s">
        <v>1324</v>
      </c>
      <c r="F1483" s="46" t="s">
        <v>1325</v>
      </c>
      <c r="G1483" s="46" t="s">
        <v>904</v>
      </c>
      <c r="H1483" s="46" t="s">
        <v>1433</v>
      </c>
      <c r="I1483" s="46" t="s">
        <v>905</v>
      </c>
      <c r="J1483" s="83">
        <v>46106</v>
      </c>
      <c r="K1483" s="46" t="s">
        <v>1540</v>
      </c>
      <c r="L1483" s="46" t="s">
        <v>915</v>
      </c>
      <c r="M1483" s="46" t="str">
        <f>VLOOKUP(K1483,[4]在职!$A:$B,2,0)</f>
        <v>02001</v>
      </c>
      <c r="N1483" s="46" t="str">
        <f>VLOOKUP(K1483,[4]在职!$A:$G,7,0)</f>
        <v>人资行政部</v>
      </c>
      <c r="O1483" s="46" t="str">
        <f>VLOOKUP(K1483,[4]在职!$A:$I,9,0)</f>
        <v>薪酬专员</v>
      </c>
      <c r="P1483" s="83">
        <f>VLOOKUP(K1483,[4]在职!$A:$D,4,0)</f>
        <v>46097</v>
      </c>
      <c r="Q1483" s="105">
        <v>0</v>
      </c>
      <c r="R1483" s="105">
        <v>0</v>
      </c>
      <c r="S1483" s="46">
        <v>0</v>
      </c>
    </row>
    <row r="1484" ht="16.5" spans="1:19">
      <c r="A1484" s="46">
        <v>1491</v>
      </c>
      <c r="B1484" s="46" t="s">
        <v>45</v>
      </c>
      <c r="C1484" s="46" t="s">
        <v>26</v>
      </c>
      <c r="D1484" s="46" t="s">
        <v>25</v>
      </c>
      <c r="E1484" s="46" t="s">
        <v>1324</v>
      </c>
      <c r="F1484" s="46" t="s">
        <v>1325</v>
      </c>
      <c r="G1484" s="46" t="s">
        <v>904</v>
      </c>
      <c r="H1484" s="46" t="s">
        <v>1433</v>
      </c>
      <c r="I1484" s="46" t="s">
        <v>905</v>
      </c>
      <c r="J1484" s="83">
        <v>46106</v>
      </c>
      <c r="K1484" s="46" t="s">
        <v>1541</v>
      </c>
      <c r="L1484" s="46" t="s">
        <v>915</v>
      </c>
      <c r="M1484" s="46" t="str">
        <f>VLOOKUP(K1484,[4]在职!$A:$B,2,0)</f>
        <v>01915</v>
      </c>
      <c r="N1484" s="46" t="s">
        <v>1542</v>
      </c>
      <c r="O1484" s="46" t="str">
        <f>VLOOKUP(K1484,[4]在职!$A:$I,9,0)</f>
        <v>办公室主任</v>
      </c>
      <c r="P1484" s="83">
        <f>VLOOKUP(K1484,[4]在职!$A:$D,4,0)</f>
        <v>46045</v>
      </c>
      <c r="Q1484" s="105">
        <v>4.5</v>
      </c>
      <c r="R1484" s="105">
        <v>5</v>
      </c>
      <c r="S1484" s="46">
        <v>69</v>
      </c>
    </row>
    <row r="1485" ht="16.5" spans="1:19">
      <c r="A1485" s="46">
        <v>1492</v>
      </c>
      <c r="B1485" s="46" t="s">
        <v>45</v>
      </c>
      <c r="C1485" s="46" t="s">
        <v>29</v>
      </c>
      <c r="D1485" s="46" t="s">
        <v>25</v>
      </c>
      <c r="E1485" s="46" t="s">
        <v>1324</v>
      </c>
      <c r="F1485" s="46" t="s">
        <v>1325</v>
      </c>
      <c r="G1485" s="46" t="s">
        <v>904</v>
      </c>
      <c r="H1485" s="46" t="s">
        <v>1433</v>
      </c>
      <c r="I1485" s="46" t="s">
        <v>905</v>
      </c>
      <c r="J1485" s="83">
        <v>46106</v>
      </c>
      <c r="K1485" s="46" t="s">
        <v>1543</v>
      </c>
      <c r="L1485" s="46" t="s">
        <v>915</v>
      </c>
      <c r="M1485" s="46" t="str">
        <f>VLOOKUP(K1485,[4]在职!$A:$B,2,0)</f>
        <v>01917</v>
      </c>
      <c r="N1485" s="46" t="s">
        <v>1544</v>
      </c>
      <c r="O1485" s="46" t="str">
        <f>VLOOKUP(K1485,[4]在职!$A:$I,9,0)</f>
        <v>办公室主任</v>
      </c>
      <c r="P1485" s="83">
        <f>VLOOKUP(K1485,[4]在职!$A:$D,4,0)</f>
        <v>46049</v>
      </c>
      <c r="Q1485" s="105">
        <v>5</v>
      </c>
      <c r="R1485" s="105">
        <v>5</v>
      </c>
      <c r="S1485" s="46">
        <v>99</v>
      </c>
    </row>
    <row r="1486" ht="16.5" spans="1:19">
      <c r="A1486" s="46">
        <v>1493</v>
      </c>
      <c r="B1486" s="46" t="s">
        <v>45</v>
      </c>
      <c r="C1486" s="46" t="s">
        <v>35</v>
      </c>
      <c r="D1486" s="46" t="s">
        <v>25</v>
      </c>
      <c r="E1486" s="46" t="s">
        <v>1324</v>
      </c>
      <c r="F1486" s="46" t="s">
        <v>1325</v>
      </c>
      <c r="G1486" s="46" t="s">
        <v>904</v>
      </c>
      <c r="H1486" s="46" t="s">
        <v>1433</v>
      </c>
      <c r="I1486" s="46" t="s">
        <v>905</v>
      </c>
      <c r="J1486" s="83">
        <v>46106</v>
      </c>
      <c r="K1486" s="46" t="s">
        <v>1535</v>
      </c>
      <c r="L1486" s="46" t="s">
        <v>915</v>
      </c>
      <c r="M1486" s="46" t="str">
        <f>VLOOKUP(K1486,[4]在职!$A:$B,2,0)</f>
        <v>01956</v>
      </c>
      <c r="N1486" s="46" t="str">
        <f>VLOOKUP(K1486,[4]在职!$A:$G,7,0)</f>
        <v>山东销售部</v>
      </c>
      <c r="O1486" s="46" t="str">
        <f>VLOOKUP(K1486,[4]在职!$A:$I,9,0)</f>
        <v>实习销售</v>
      </c>
      <c r="P1486" s="83">
        <f>VLOOKUP(K1486,[4]在职!$A:$D,4,0)</f>
        <v>46084</v>
      </c>
      <c r="Q1486" s="105">
        <v>5</v>
      </c>
      <c r="R1486" s="105">
        <v>5</v>
      </c>
      <c r="S1486" s="46">
        <v>80</v>
      </c>
    </row>
    <row r="1487" ht="16.5" spans="1:19">
      <c r="A1487" s="46">
        <v>1494</v>
      </c>
      <c r="B1487" s="46" t="s">
        <v>45</v>
      </c>
      <c r="C1487" s="46" t="s">
        <v>38</v>
      </c>
      <c r="D1487" s="46" t="s">
        <v>25</v>
      </c>
      <c r="E1487" s="46" t="s">
        <v>1324</v>
      </c>
      <c r="F1487" s="46" t="s">
        <v>1325</v>
      </c>
      <c r="G1487" s="46" t="s">
        <v>904</v>
      </c>
      <c r="H1487" s="46" t="s">
        <v>1433</v>
      </c>
      <c r="I1487" s="46" t="s">
        <v>905</v>
      </c>
      <c r="J1487" s="83">
        <v>46106</v>
      </c>
      <c r="K1487" s="46" t="s">
        <v>1545</v>
      </c>
      <c r="L1487" s="46" t="s">
        <v>915</v>
      </c>
      <c r="M1487" s="170" t="s">
        <v>1546</v>
      </c>
      <c r="N1487" s="46" t="s">
        <v>1547</v>
      </c>
      <c r="O1487" s="46" t="s">
        <v>1548</v>
      </c>
      <c r="P1487" s="83">
        <v>46100</v>
      </c>
      <c r="Q1487" s="105">
        <v>0</v>
      </c>
      <c r="R1487" s="105">
        <v>0</v>
      </c>
      <c r="S1487" s="46">
        <v>89</v>
      </c>
    </row>
    <row r="1488" ht="16.5" spans="1:19">
      <c r="A1488" s="46">
        <v>1495</v>
      </c>
      <c r="B1488" s="46" t="s">
        <v>45</v>
      </c>
      <c r="C1488" s="46" t="s">
        <v>38</v>
      </c>
      <c r="D1488" s="46" t="s">
        <v>25</v>
      </c>
      <c r="E1488" s="46" t="s">
        <v>1324</v>
      </c>
      <c r="F1488" s="46" t="s">
        <v>1325</v>
      </c>
      <c r="G1488" s="46" t="s">
        <v>904</v>
      </c>
      <c r="H1488" s="46" t="s">
        <v>1433</v>
      </c>
      <c r="I1488" s="46" t="s">
        <v>905</v>
      </c>
      <c r="J1488" s="83">
        <v>46106</v>
      </c>
      <c r="K1488" s="46" t="s">
        <v>1549</v>
      </c>
      <c r="L1488" s="46" t="s">
        <v>915</v>
      </c>
      <c r="M1488" s="46" t="str">
        <f>VLOOKUP(K1488,[4]在职!$A:$B,2,0)</f>
        <v>01984</v>
      </c>
      <c r="N1488" s="46" t="str">
        <f>VLOOKUP(K1488,[4]在职!$A:$G,7,0)</f>
        <v>人资行政部</v>
      </c>
      <c r="O1488" s="46" t="str">
        <f>VLOOKUP(K1488,[4]在职!$A:$I,9,0)</f>
        <v>人事专员</v>
      </c>
      <c r="P1488" s="83">
        <f>VLOOKUP(K1488,[4]在职!$A:$D,4,0)</f>
        <v>46093</v>
      </c>
      <c r="Q1488" s="105">
        <v>0</v>
      </c>
      <c r="R1488" s="105">
        <v>0</v>
      </c>
      <c r="S1488" s="46">
        <v>90</v>
      </c>
    </row>
    <row r="1489" ht="16.5" spans="1:19">
      <c r="A1489" s="46">
        <v>1496</v>
      </c>
      <c r="B1489" s="46" t="s">
        <v>45</v>
      </c>
      <c r="C1489" s="46" t="s">
        <v>26</v>
      </c>
      <c r="D1489" s="46" t="s">
        <v>25</v>
      </c>
      <c r="E1489" s="46" t="s">
        <v>1326</v>
      </c>
      <c r="F1489" s="46" t="s">
        <v>1119</v>
      </c>
      <c r="G1489" s="46" t="s">
        <v>904</v>
      </c>
      <c r="H1489" s="46" t="s">
        <v>1433</v>
      </c>
      <c r="I1489" s="46" t="s">
        <v>905</v>
      </c>
      <c r="J1489" s="83">
        <v>46106</v>
      </c>
      <c r="K1489" s="46" t="s">
        <v>1541</v>
      </c>
      <c r="L1489" s="46" t="s">
        <v>915</v>
      </c>
      <c r="M1489" s="46" t="str">
        <f>VLOOKUP(K1489,[4]在职!$A:$B,2,0)</f>
        <v>01915</v>
      </c>
      <c r="N1489" s="46" t="s">
        <v>1542</v>
      </c>
      <c r="O1489" s="46" t="str">
        <f>VLOOKUP(K1489,[4]在职!$A:$I,9,0)</f>
        <v>办公室主任</v>
      </c>
      <c r="P1489" s="83">
        <f>VLOOKUP(K1489,[4]在职!$A:$D,4,0)</f>
        <v>46045</v>
      </c>
      <c r="Q1489" s="105">
        <v>0</v>
      </c>
      <c r="R1489" s="105">
        <v>0</v>
      </c>
      <c r="S1489" s="46">
        <v>0</v>
      </c>
    </row>
    <row r="1490" ht="16.5" spans="1:19">
      <c r="A1490" s="46">
        <v>1497</v>
      </c>
      <c r="B1490" s="46" t="s">
        <v>45</v>
      </c>
      <c r="C1490" s="46" t="s">
        <v>29</v>
      </c>
      <c r="D1490" s="46" t="s">
        <v>25</v>
      </c>
      <c r="E1490" s="46" t="s">
        <v>1326</v>
      </c>
      <c r="F1490" s="46" t="s">
        <v>1119</v>
      </c>
      <c r="G1490" s="46" t="s">
        <v>904</v>
      </c>
      <c r="H1490" s="46" t="s">
        <v>1433</v>
      </c>
      <c r="I1490" s="46" t="s">
        <v>905</v>
      </c>
      <c r="J1490" s="83">
        <v>46106</v>
      </c>
      <c r="K1490" s="46" t="s">
        <v>1506</v>
      </c>
      <c r="L1490" s="46" t="s">
        <v>915</v>
      </c>
      <c r="M1490" s="46" t="str">
        <f>VLOOKUP(K1490,[4]在职!$A:$B,2,0)</f>
        <v>00866</v>
      </c>
      <c r="N1490" s="46" t="str">
        <f>VLOOKUP(K1490,[4]在职!$A:$G,7,0)</f>
        <v>河南销售部</v>
      </c>
      <c r="O1490" s="46" t="str">
        <f>VLOOKUP(K1490,[4]在职!$A:$I,9,0)</f>
        <v>实习销售</v>
      </c>
      <c r="P1490" s="83">
        <f>VLOOKUP(K1490,[4]在职!$A:$D,4,0)</f>
        <v>46086</v>
      </c>
      <c r="Q1490" s="105">
        <v>5</v>
      </c>
      <c r="R1490" s="105">
        <v>5</v>
      </c>
      <c r="S1490" s="46">
        <v>96</v>
      </c>
    </row>
    <row r="1491" ht="16.5" spans="1:19">
      <c r="A1491" s="46">
        <v>1498</v>
      </c>
      <c r="B1491" s="46" t="s">
        <v>45</v>
      </c>
      <c r="C1491" s="46" t="s">
        <v>29</v>
      </c>
      <c r="D1491" s="46" t="s">
        <v>25</v>
      </c>
      <c r="E1491" s="46" t="s">
        <v>1326</v>
      </c>
      <c r="F1491" s="46" t="s">
        <v>1119</v>
      </c>
      <c r="G1491" s="46" t="s">
        <v>904</v>
      </c>
      <c r="H1491" s="46" t="s">
        <v>1433</v>
      </c>
      <c r="I1491" s="46" t="s">
        <v>905</v>
      </c>
      <c r="J1491" s="83">
        <v>46106</v>
      </c>
      <c r="K1491" s="46" t="s">
        <v>1279</v>
      </c>
      <c r="L1491" s="46" t="s">
        <v>907</v>
      </c>
      <c r="M1491" s="46" t="str">
        <f>VLOOKUP(K1491,[4]在职!$A:$B,2,0)</f>
        <v>01610</v>
      </c>
      <c r="N1491" s="46" t="str">
        <f>VLOOKUP(K1491,[4]在职!$A:$G,7,0)</f>
        <v>河南销售部</v>
      </c>
      <c r="O1491" s="46" t="str">
        <f>VLOOKUP(K1491,[4]在职!$A:$I,9,0)</f>
        <v>实习销售</v>
      </c>
      <c r="P1491" s="83">
        <f>VLOOKUP(K1491,[4]在职!$A:$D,4,0)</f>
        <v>46018</v>
      </c>
      <c r="Q1491" s="105">
        <v>0</v>
      </c>
      <c r="R1491" s="105">
        <v>0</v>
      </c>
      <c r="S1491" s="46">
        <v>0</v>
      </c>
    </row>
    <row r="1492" ht="16.5" spans="1:19">
      <c r="A1492" s="46">
        <v>1499</v>
      </c>
      <c r="B1492" s="46" t="s">
        <v>45</v>
      </c>
      <c r="C1492" s="46" t="s">
        <v>29</v>
      </c>
      <c r="D1492" s="46" t="s">
        <v>25</v>
      </c>
      <c r="E1492" s="46" t="s">
        <v>1326</v>
      </c>
      <c r="F1492" s="46" t="s">
        <v>1119</v>
      </c>
      <c r="G1492" s="46" t="s">
        <v>904</v>
      </c>
      <c r="H1492" s="46" t="s">
        <v>1433</v>
      </c>
      <c r="I1492" s="46" t="s">
        <v>905</v>
      </c>
      <c r="J1492" s="83">
        <v>46106</v>
      </c>
      <c r="K1492" s="46" t="s">
        <v>1543</v>
      </c>
      <c r="L1492" s="46" t="s">
        <v>915</v>
      </c>
      <c r="M1492" s="46" t="str">
        <f>VLOOKUP(K1492,[4]在职!$A:$B,2,0)</f>
        <v>01917</v>
      </c>
      <c r="N1492" s="46" t="s">
        <v>1544</v>
      </c>
      <c r="O1492" s="46" t="str">
        <f>VLOOKUP(K1492,[4]在职!$A:$I,9,0)</f>
        <v>办公室主任</v>
      </c>
      <c r="P1492" s="83">
        <f>VLOOKUP(K1492,[4]在职!$A:$D,4,0)</f>
        <v>46049</v>
      </c>
      <c r="Q1492" s="105">
        <v>0</v>
      </c>
      <c r="R1492" s="105">
        <v>0</v>
      </c>
      <c r="S1492" s="46">
        <v>0</v>
      </c>
    </row>
    <row r="1493" ht="16.5" spans="1:19">
      <c r="A1493" s="46">
        <v>1500</v>
      </c>
      <c r="B1493" s="46" t="s">
        <v>45</v>
      </c>
      <c r="C1493" s="46" t="s">
        <v>29</v>
      </c>
      <c r="D1493" s="46" t="s">
        <v>25</v>
      </c>
      <c r="E1493" s="46" t="s">
        <v>1326</v>
      </c>
      <c r="F1493" s="46" t="s">
        <v>1119</v>
      </c>
      <c r="G1493" s="46" t="s">
        <v>904</v>
      </c>
      <c r="H1493" s="46" t="s">
        <v>1433</v>
      </c>
      <c r="I1493" s="46" t="s">
        <v>905</v>
      </c>
      <c r="J1493" s="83">
        <v>46106</v>
      </c>
      <c r="K1493" s="46" t="s">
        <v>1205</v>
      </c>
      <c r="L1493" s="46" t="s">
        <v>915</v>
      </c>
      <c r="M1493" s="46" t="str">
        <f>VLOOKUP(K1493,[4]在职!$A:$B,2,0)</f>
        <v>01870</v>
      </c>
      <c r="N1493" s="46" t="str">
        <f>VLOOKUP(K1493,[4]在职!$A:$G,7,0)</f>
        <v>河南销售部</v>
      </c>
      <c r="O1493" s="46" t="str">
        <f>VLOOKUP(K1493,[4]在职!$A:$I,9,0)</f>
        <v>实习销售</v>
      </c>
      <c r="P1493" s="83">
        <f>VLOOKUP(K1493,[4]在职!$A:$D,4,0)</f>
        <v>46011</v>
      </c>
      <c r="Q1493" s="105">
        <v>5</v>
      </c>
      <c r="R1493" s="105">
        <v>5</v>
      </c>
      <c r="S1493" s="46">
        <v>96</v>
      </c>
    </row>
    <row r="1494" ht="16.5" spans="1:19">
      <c r="A1494" s="46">
        <v>1501</v>
      </c>
      <c r="B1494" s="46" t="s">
        <v>45</v>
      </c>
      <c r="C1494" s="46" t="s">
        <v>31</v>
      </c>
      <c r="D1494" s="46" t="s">
        <v>25</v>
      </c>
      <c r="E1494" s="46" t="s">
        <v>1326</v>
      </c>
      <c r="F1494" s="46" t="s">
        <v>1119</v>
      </c>
      <c r="G1494" s="46" t="s">
        <v>904</v>
      </c>
      <c r="H1494" s="46" t="s">
        <v>1433</v>
      </c>
      <c r="I1494" s="46" t="s">
        <v>905</v>
      </c>
      <c r="J1494" s="83">
        <v>46106</v>
      </c>
      <c r="K1494" s="46" t="s">
        <v>1507</v>
      </c>
      <c r="L1494" s="46" t="s">
        <v>907</v>
      </c>
      <c r="M1494" s="46" t="str">
        <f>VLOOKUP(K1494,[4]在职!$A:$B,2,0)</f>
        <v>01944</v>
      </c>
      <c r="N1494" s="46" t="str">
        <f>VLOOKUP(K1494,[4]在职!$A:$G,7,0)</f>
        <v>湖北1部</v>
      </c>
      <c r="O1494" s="46" t="str">
        <f>VLOOKUP(K1494,[4]在职!$A:$I,9,0)</f>
        <v>实习销售</v>
      </c>
      <c r="P1494" s="83">
        <f>VLOOKUP(K1494,[4]在职!$A:$D,4,0)</f>
        <v>46081</v>
      </c>
      <c r="Q1494" s="105">
        <v>0</v>
      </c>
      <c r="R1494" s="105">
        <v>0</v>
      </c>
      <c r="S1494" s="46">
        <v>0</v>
      </c>
    </row>
    <row r="1495" ht="16.5" spans="1:19">
      <c r="A1495" s="46">
        <v>1502</v>
      </c>
      <c r="B1495" s="46" t="s">
        <v>45</v>
      </c>
      <c r="C1495" s="46" t="s">
        <v>31</v>
      </c>
      <c r="D1495" s="46" t="s">
        <v>25</v>
      </c>
      <c r="E1495" s="46" t="s">
        <v>1326</v>
      </c>
      <c r="F1495" s="46" t="s">
        <v>1119</v>
      </c>
      <c r="G1495" s="46" t="s">
        <v>904</v>
      </c>
      <c r="H1495" s="46" t="s">
        <v>1433</v>
      </c>
      <c r="I1495" s="46" t="s">
        <v>905</v>
      </c>
      <c r="J1495" s="83">
        <v>46106</v>
      </c>
      <c r="K1495" s="46" t="s">
        <v>1508</v>
      </c>
      <c r="L1495" s="46" t="s">
        <v>915</v>
      </c>
      <c r="M1495" s="46" t="str">
        <f>VLOOKUP(K1495,[4]在职!$A:$B,2,0)</f>
        <v>01942</v>
      </c>
      <c r="N1495" s="46" t="str">
        <f>VLOOKUP(K1495,[4]在职!$A:$G,7,0)</f>
        <v>湖北2部</v>
      </c>
      <c r="O1495" s="46" t="str">
        <f>VLOOKUP(K1495,[4]在职!$A:$I,9,0)</f>
        <v>实习销售</v>
      </c>
      <c r="P1495" s="83">
        <f>VLOOKUP(K1495,[4]在职!$A:$D,4,0)</f>
        <v>46081</v>
      </c>
      <c r="Q1495" s="105">
        <v>5</v>
      </c>
      <c r="R1495" s="105">
        <v>5</v>
      </c>
      <c r="S1495" s="46">
        <v>70</v>
      </c>
    </row>
    <row r="1496" ht="16.5" spans="1:19">
      <c r="A1496" s="46">
        <v>1503</v>
      </c>
      <c r="B1496" s="46" t="s">
        <v>45</v>
      </c>
      <c r="C1496" s="46" t="s">
        <v>31</v>
      </c>
      <c r="D1496" s="46" t="s">
        <v>25</v>
      </c>
      <c r="E1496" s="46" t="s">
        <v>1326</v>
      </c>
      <c r="F1496" s="46" t="s">
        <v>1119</v>
      </c>
      <c r="G1496" s="46" t="s">
        <v>904</v>
      </c>
      <c r="H1496" s="46" t="s">
        <v>1433</v>
      </c>
      <c r="I1496" s="46" t="s">
        <v>905</v>
      </c>
      <c r="J1496" s="83">
        <v>46106</v>
      </c>
      <c r="K1496" s="46" t="s">
        <v>1509</v>
      </c>
      <c r="L1496" s="46" t="s">
        <v>915</v>
      </c>
      <c r="M1496" s="46" t="str">
        <f>VLOOKUP(K1496,[4]在职!$A:$B,2,0)</f>
        <v>01946</v>
      </c>
      <c r="N1496" s="46" t="str">
        <f>VLOOKUP(K1496,[4]在职!$A:$G,7,0)</f>
        <v>湖北1部</v>
      </c>
      <c r="O1496" s="46" t="str">
        <f>VLOOKUP(K1496,[4]在职!$A:$I,9,0)</f>
        <v>实习销售</v>
      </c>
      <c r="P1496" s="83">
        <f>VLOOKUP(K1496,[4]在职!$A:$D,4,0)</f>
        <v>46082</v>
      </c>
      <c r="Q1496" s="105">
        <v>5</v>
      </c>
      <c r="R1496" s="105">
        <v>5</v>
      </c>
      <c r="S1496" s="46">
        <v>56</v>
      </c>
    </row>
    <row r="1497" ht="16.5" spans="1:19">
      <c r="A1497" s="46">
        <v>1504</v>
      </c>
      <c r="B1497" s="46" t="s">
        <v>45</v>
      </c>
      <c r="C1497" s="46" t="s">
        <v>31</v>
      </c>
      <c r="D1497" s="46" t="s">
        <v>25</v>
      </c>
      <c r="E1497" s="46" t="s">
        <v>1326</v>
      </c>
      <c r="F1497" s="46" t="s">
        <v>1119</v>
      </c>
      <c r="G1497" s="46" t="s">
        <v>904</v>
      </c>
      <c r="H1497" s="46" t="s">
        <v>1433</v>
      </c>
      <c r="I1497" s="46" t="s">
        <v>905</v>
      </c>
      <c r="J1497" s="83">
        <v>46106</v>
      </c>
      <c r="K1497" s="46" t="s">
        <v>1510</v>
      </c>
      <c r="L1497" s="46" t="s">
        <v>915</v>
      </c>
      <c r="M1497" s="46" t="str">
        <f>VLOOKUP(K1497,[4]在职!$A:$B,2,0)</f>
        <v>01977</v>
      </c>
      <c r="N1497" s="46" t="str">
        <f>VLOOKUP(K1497,[4]在职!$A:$G,7,0)</f>
        <v>湖北1部</v>
      </c>
      <c r="O1497" s="46" t="str">
        <f>VLOOKUP(K1497,[4]在职!$A:$I,9,0)</f>
        <v>实习销售</v>
      </c>
      <c r="P1497" s="83">
        <f>VLOOKUP(K1497,[4]在职!$A:$D,4,0)</f>
        <v>46090</v>
      </c>
      <c r="Q1497" s="105">
        <v>5</v>
      </c>
      <c r="R1497" s="105">
        <v>5</v>
      </c>
      <c r="S1497" s="46">
        <v>0</v>
      </c>
    </row>
    <row r="1498" ht="16.5" spans="1:19">
      <c r="A1498" s="46">
        <v>1505</v>
      </c>
      <c r="B1498" s="46" t="s">
        <v>45</v>
      </c>
      <c r="C1498" s="46" t="s">
        <v>32</v>
      </c>
      <c r="D1498" s="46" t="s">
        <v>25</v>
      </c>
      <c r="E1498" s="46" t="s">
        <v>1326</v>
      </c>
      <c r="F1498" s="46" t="s">
        <v>1119</v>
      </c>
      <c r="G1498" s="46" t="s">
        <v>904</v>
      </c>
      <c r="H1498" s="46" t="s">
        <v>1433</v>
      </c>
      <c r="I1498" s="46" t="s">
        <v>905</v>
      </c>
      <c r="J1498" s="83">
        <v>46106</v>
      </c>
      <c r="K1498" s="46" t="s">
        <v>1511</v>
      </c>
      <c r="L1498" s="46" t="s">
        <v>915</v>
      </c>
      <c r="M1498" s="46" t="str">
        <f>VLOOKUP(K1498,[4]在职!$A:$B,2,0)</f>
        <v>01926</v>
      </c>
      <c r="N1498" s="46" t="str">
        <f>VLOOKUP(K1498,[4]在职!$A:$G,7,0)</f>
        <v>湖南销售部</v>
      </c>
      <c r="O1498" s="46" t="str">
        <f>VLOOKUP(K1498,[4]在职!$A:$I,9,0)</f>
        <v>实习销售</v>
      </c>
      <c r="P1498" s="83">
        <f>VLOOKUP(K1498,[4]在职!$A:$D,4,0)</f>
        <v>46050</v>
      </c>
      <c r="Q1498" s="105">
        <v>5</v>
      </c>
      <c r="R1498" s="105">
        <v>5</v>
      </c>
      <c r="S1498" s="46">
        <v>80</v>
      </c>
    </row>
    <row r="1499" ht="16.5" spans="1:19">
      <c r="A1499" s="46">
        <v>1506</v>
      </c>
      <c r="B1499" s="46" t="s">
        <v>45</v>
      </c>
      <c r="C1499" s="46" t="s">
        <v>32</v>
      </c>
      <c r="D1499" s="46" t="s">
        <v>25</v>
      </c>
      <c r="E1499" s="46" t="s">
        <v>1326</v>
      </c>
      <c r="F1499" s="46" t="s">
        <v>1119</v>
      </c>
      <c r="G1499" s="46" t="s">
        <v>904</v>
      </c>
      <c r="H1499" s="46" t="s">
        <v>1433</v>
      </c>
      <c r="I1499" s="46" t="s">
        <v>905</v>
      </c>
      <c r="J1499" s="83">
        <v>46106</v>
      </c>
      <c r="K1499" s="46" t="s">
        <v>1261</v>
      </c>
      <c r="L1499" s="46" t="s">
        <v>915</v>
      </c>
      <c r="M1499" s="46" t="str">
        <f>VLOOKUP(K1499,[4]在职!$A:$B,2,0)</f>
        <v>01907</v>
      </c>
      <c r="N1499" s="46" t="str">
        <f>VLOOKUP(K1499,[4]在职!$A:$G,7,0)</f>
        <v>湖南销售部</v>
      </c>
      <c r="O1499" s="46" t="str">
        <f>VLOOKUP(K1499,[4]在职!$A:$I,9,0)</f>
        <v>实习销售</v>
      </c>
      <c r="P1499" s="83">
        <f>VLOOKUP(K1499,[4]在职!$A:$D,4,0)</f>
        <v>46030</v>
      </c>
      <c r="Q1499" s="105">
        <v>5</v>
      </c>
      <c r="R1499" s="105">
        <v>5</v>
      </c>
      <c r="S1499" s="46">
        <v>64</v>
      </c>
    </row>
    <row r="1500" ht="16.5" spans="1:19">
      <c r="A1500" s="46">
        <v>1507</v>
      </c>
      <c r="B1500" s="46" t="s">
        <v>45</v>
      </c>
      <c r="C1500" s="46" t="s">
        <v>32</v>
      </c>
      <c r="D1500" s="46" t="s">
        <v>25</v>
      </c>
      <c r="E1500" s="46" t="s">
        <v>1326</v>
      </c>
      <c r="F1500" s="46" t="s">
        <v>1119</v>
      </c>
      <c r="G1500" s="46" t="s">
        <v>904</v>
      </c>
      <c r="H1500" s="46" t="s">
        <v>1433</v>
      </c>
      <c r="I1500" s="46" t="s">
        <v>905</v>
      </c>
      <c r="J1500" s="83">
        <v>46106</v>
      </c>
      <c r="K1500" s="46" t="s">
        <v>1259</v>
      </c>
      <c r="L1500" s="46" t="s">
        <v>915</v>
      </c>
      <c r="M1500" s="46" t="str">
        <f>VLOOKUP(K1500,[4]在职!$A:$B,2,0)</f>
        <v>01873</v>
      </c>
      <c r="N1500" s="46" t="str">
        <f>VLOOKUP(K1500,[4]在职!$A:$G,7,0)</f>
        <v>湖南销售部</v>
      </c>
      <c r="O1500" s="46" t="str">
        <f>VLOOKUP(K1500,[4]在职!$A:$I,9,0)</f>
        <v>实习销售</v>
      </c>
      <c r="P1500" s="83">
        <f>VLOOKUP(K1500,[4]在职!$A:$D,4,0)</f>
        <v>46013</v>
      </c>
      <c r="Q1500" s="105">
        <v>5</v>
      </c>
      <c r="R1500" s="105">
        <v>5</v>
      </c>
      <c r="S1500" s="46">
        <v>84</v>
      </c>
    </row>
    <row r="1501" ht="16.5" spans="1:19">
      <c r="A1501" s="46">
        <v>1508</v>
      </c>
      <c r="B1501" s="46" t="s">
        <v>45</v>
      </c>
      <c r="C1501" s="46" t="s">
        <v>32</v>
      </c>
      <c r="D1501" s="46" t="s">
        <v>25</v>
      </c>
      <c r="E1501" s="46" t="s">
        <v>1326</v>
      </c>
      <c r="F1501" s="46" t="s">
        <v>1119</v>
      </c>
      <c r="G1501" s="46" t="s">
        <v>904</v>
      </c>
      <c r="H1501" s="46" t="s">
        <v>1433</v>
      </c>
      <c r="I1501" s="46" t="s">
        <v>905</v>
      </c>
      <c r="J1501" s="83">
        <v>46106</v>
      </c>
      <c r="K1501" s="46" t="s">
        <v>1512</v>
      </c>
      <c r="L1501" s="46" t="s">
        <v>915</v>
      </c>
      <c r="M1501" s="46" t="str">
        <f>VLOOKUP(K1501,[4]在职!$A:$B,2,0)</f>
        <v>01920</v>
      </c>
      <c r="N1501" s="46" t="str">
        <f>VLOOKUP(K1501,[4]在职!$A:$G,7,0)</f>
        <v>湖南销售部</v>
      </c>
      <c r="O1501" s="46" t="str">
        <f>VLOOKUP(K1501,[4]在职!$A:$I,9,0)</f>
        <v>实习销售</v>
      </c>
      <c r="P1501" s="83">
        <f>VLOOKUP(K1501,[4]在职!$A:$D,4,0)</f>
        <v>46048</v>
      </c>
      <c r="Q1501" s="105">
        <v>5</v>
      </c>
      <c r="R1501" s="105">
        <v>5</v>
      </c>
      <c r="S1501" s="46">
        <v>63</v>
      </c>
    </row>
    <row r="1502" ht="16.5" spans="1:19">
      <c r="A1502" s="46">
        <v>1509</v>
      </c>
      <c r="B1502" s="46" t="s">
        <v>45</v>
      </c>
      <c r="C1502" s="46" t="s">
        <v>38</v>
      </c>
      <c r="D1502" s="46" t="s">
        <v>25</v>
      </c>
      <c r="E1502" s="46" t="s">
        <v>1326</v>
      </c>
      <c r="F1502" s="46" t="s">
        <v>1119</v>
      </c>
      <c r="G1502" s="46" t="s">
        <v>904</v>
      </c>
      <c r="H1502" s="46" t="s">
        <v>1433</v>
      </c>
      <c r="I1502" s="46" t="s">
        <v>905</v>
      </c>
      <c r="J1502" s="83">
        <v>46106</v>
      </c>
      <c r="K1502" s="46" t="s">
        <v>1355</v>
      </c>
      <c r="L1502" s="46" t="s">
        <v>915</v>
      </c>
      <c r="M1502" s="46" t="str">
        <f>VLOOKUP(K1502,[4]在职!$A:$B,2,0)</f>
        <v>01918</v>
      </c>
      <c r="N1502" s="46" t="str">
        <f>VLOOKUP(K1502,[4]在职!$A:$G,7,0)</f>
        <v>人资行政部</v>
      </c>
      <c r="O1502" s="46" t="str">
        <f>VLOOKUP(K1502,[4]在职!$A:$I,9,0)</f>
        <v>人资行政经理</v>
      </c>
      <c r="P1502" s="83">
        <f>VLOOKUP(K1502,[4]在职!$A:$D,4,0)</f>
        <v>46048</v>
      </c>
      <c r="Q1502" s="105">
        <v>0</v>
      </c>
      <c r="R1502" s="105">
        <v>0</v>
      </c>
      <c r="S1502" s="46">
        <v>0</v>
      </c>
    </row>
    <row r="1503" ht="16.5" spans="1:19">
      <c r="A1503" s="46">
        <v>1510</v>
      </c>
      <c r="B1503" s="46" t="s">
        <v>45</v>
      </c>
      <c r="C1503" s="46" t="s">
        <v>38</v>
      </c>
      <c r="D1503" s="46" t="s">
        <v>25</v>
      </c>
      <c r="E1503" s="46" t="s">
        <v>1326</v>
      </c>
      <c r="F1503" s="46" t="s">
        <v>1119</v>
      </c>
      <c r="G1503" s="46" t="s">
        <v>904</v>
      </c>
      <c r="H1503" s="46" t="s">
        <v>1433</v>
      </c>
      <c r="I1503" s="46" t="s">
        <v>905</v>
      </c>
      <c r="J1503" s="83">
        <v>46106</v>
      </c>
      <c r="K1503" s="46" t="s">
        <v>1537</v>
      </c>
      <c r="L1503" s="46" t="s">
        <v>915</v>
      </c>
      <c r="M1503" s="46" t="str">
        <f>VLOOKUP(K1503,[4]在职!$A:$B,2,0)</f>
        <v>01948</v>
      </c>
      <c r="N1503" s="46" t="str">
        <f>VLOOKUP(K1503,[4]在职!$A:$G,7,0)</f>
        <v>人资行政部</v>
      </c>
      <c r="O1503" s="46" t="str">
        <f>VLOOKUP(K1503,[4]在职!$A:$I,9,0)</f>
        <v>行政专员</v>
      </c>
      <c r="P1503" s="83">
        <f>VLOOKUP(K1503,[4]在职!$A:$D,4,0)</f>
        <v>46087</v>
      </c>
      <c r="Q1503" s="105">
        <v>5</v>
      </c>
      <c r="R1503" s="105">
        <v>5</v>
      </c>
      <c r="S1503" s="46">
        <v>90</v>
      </c>
    </row>
    <row r="1504" ht="16.5" spans="1:19">
      <c r="A1504" s="46">
        <v>1511</v>
      </c>
      <c r="B1504" s="46" t="s">
        <v>45</v>
      </c>
      <c r="C1504" s="46" t="s">
        <v>38</v>
      </c>
      <c r="D1504" s="46" t="s">
        <v>25</v>
      </c>
      <c r="E1504" s="46" t="s">
        <v>1326</v>
      </c>
      <c r="F1504" s="46" t="s">
        <v>1119</v>
      </c>
      <c r="G1504" s="46" t="s">
        <v>904</v>
      </c>
      <c r="H1504" s="46" t="s">
        <v>1433</v>
      </c>
      <c r="I1504" s="46" t="s">
        <v>905</v>
      </c>
      <c r="J1504" s="83">
        <v>46106</v>
      </c>
      <c r="K1504" s="46" t="s">
        <v>1538</v>
      </c>
      <c r="L1504" s="46" t="s">
        <v>915</v>
      </c>
      <c r="M1504" s="46" t="str">
        <f>VLOOKUP(K1504,[4]在职!$A:$B,2,0)</f>
        <v>01937</v>
      </c>
      <c r="N1504" s="46" t="str">
        <f>VLOOKUP(K1504,[4]在职!$A:$G,7,0)</f>
        <v>人资行政部</v>
      </c>
      <c r="O1504" s="46" t="str">
        <f>VLOOKUP(K1504,[4]在职!$A:$I,9,0)</f>
        <v>采购专员</v>
      </c>
      <c r="P1504" s="83">
        <f>VLOOKUP(K1504,[4]在职!$A:$D,4,0)</f>
        <v>46083</v>
      </c>
      <c r="Q1504" s="105">
        <v>5</v>
      </c>
      <c r="R1504" s="105">
        <v>5</v>
      </c>
      <c r="S1504" s="46">
        <v>76</v>
      </c>
    </row>
    <row r="1505" ht="16.5" spans="1:19">
      <c r="A1505" s="46">
        <v>1512</v>
      </c>
      <c r="B1505" s="46" t="s">
        <v>45</v>
      </c>
      <c r="C1505" s="46" t="s">
        <v>38</v>
      </c>
      <c r="D1505" s="46" t="s">
        <v>25</v>
      </c>
      <c r="E1505" s="46" t="s">
        <v>1326</v>
      </c>
      <c r="F1505" s="46" t="s">
        <v>1119</v>
      </c>
      <c r="G1505" s="46" t="s">
        <v>904</v>
      </c>
      <c r="H1505" s="46" t="s">
        <v>1433</v>
      </c>
      <c r="I1505" s="46" t="s">
        <v>905</v>
      </c>
      <c r="J1505" s="83">
        <v>46106</v>
      </c>
      <c r="K1505" s="46" t="s">
        <v>1539</v>
      </c>
      <c r="L1505" s="46" t="s">
        <v>915</v>
      </c>
      <c r="M1505" s="46" t="str">
        <f>VLOOKUP(K1505,[4]在职!$A:$B,2,0)</f>
        <v>01928</v>
      </c>
      <c r="N1505" s="46" t="str">
        <f>VLOOKUP(K1505,[4]在职!$A:$G,7,0)</f>
        <v>停车场运营部</v>
      </c>
      <c r="O1505" s="46" t="str">
        <f>VLOOKUP(K1505,[4]在职!$A:$I,9,0)</f>
        <v>停车场运营经理</v>
      </c>
      <c r="P1505" s="83">
        <f>VLOOKUP(K1505,[4]在职!$A:$D,4,0)</f>
        <v>46056</v>
      </c>
      <c r="Q1505" s="105">
        <v>5</v>
      </c>
      <c r="R1505" s="105">
        <v>5</v>
      </c>
      <c r="S1505" s="46">
        <v>96</v>
      </c>
    </row>
    <row r="1506" ht="16.5" spans="1:19">
      <c r="A1506" s="46">
        <v>1513</v>
      </c>
      <c r="B1506" s="46" t="s">
        <v>45</v>
      </c>
      <c r="C1506" s="46" t="s">
        <v>33</v>
      </c>
      <c r="D1506" s="46" t="s">
        <v>25</v>
      </c>
      <c r="E1506" s="46" t="s">
        <v>1326</v>
      </c>
      <c r="F1506" s="46" t="s">
        <v>1119</v>
      </c>
      <c r="G1506" s="46" t="s">
        <v>904</v>
      </c>
      <c r="H1506" s="46" t="s">
        <v>1433</v>
      </c>
      <c r="I1506" s="46" t="s">
        <v>905</v>
      </c>
      <c r="J1506" s="83">
        <v>46106</v>
      </c>
      <c r="K1506" s="46" t="s">
        <v>1513</v>
      </c>
      <c r="L1506" s="46" t="s">
        <v>915</v>
      </c>
      <c r="M1506" s="46" t="str">
        <f>VLOOKUP(K1506,[4]在职!$A:$B,2,0)</f>
        <v>01961</v>
      </c>
      <c r="N1506" s="46" t="str">
        <f>VLOOKUP(K1506,[4]在职!$A:$G,7,0)</f>
        <v>辽宁销售部</v>
      </c>
      <c r="O1506" s="46" t="str">
        <f>VLOOKUP(K1506,[4]在职!$A:$I,9,0)</f>
        <v>实习销售</v>
      </c>
      <c r="P1506" s="83">
        <f>VLOOKUP(K1506,[4]在职!$A:$D,4,0)</f>
        <v>46086</v>
      </c>
      <c r="Q1506" s="105">
        <v>5</v>
      </c>
      <c r="R1506" s="105">
        <v>5</v>
      </c>
      <c r="S1506" s="46">
        <v>90</v>
      </c>
    </row>
    <row r="1507" ht="16.5" spans="1:19">
      <c r="A1507" s="46">
        <v>1514</v>
      </c>
      <c r="B1507" s="46" t="s">
        <v>45</v>
      </c>
      <c r="C1507" s="46" t="s">
        <v>33</v>
      </c>
      <c r="D1507" s="46" t="s">
        <v>25</v>
      </c>
      <c r="E1507" s="46" t="s">
        <v>1326</v>
      </c>
      <c r="F1507" s="46" t="s">
        <v>1119</v>
      </c>
      <c r="G1507" s="46" t="s">
        <v>904</v>
      </c>
      <c r="H1507" s="46" t="s">
        <v>1433</v>
      </c>
      <c r="I1507" s="46" t="s">
        <v>905</v>
      </c>
      <c r="J1507" s="83">
        <v>46106</v>
      </c>
      <c r="K1507" s="46" t="s">
        <v>1514</v>
      </c>
      <c r="L1507" s="46" t="s">
        <v>915</v>
      </c>
      <c r="M1507" s="46" t="str">
        <f>VLOOKUP(K1507,[4]在职!$A:$B,2,0)</f>
        <v>01925</v>
      </c>
      <c r="N1507" s="46" t="str">
        <f>VLOOKUP(K1507,[4]在职!$A:$G,7,0)</f>
        <v>辽宁销售部</v>
      </c>
      <c r="O1507" s="46" t="str">
        <f>VLOOKUP(K1507,[4]在职!$A:$I,9,0)</f>
        <v>实习销售</v>
      </c>
      <c r="P1507" s="83">
        <f>VLOOKUP(K1507,[4]在职!$A:$D,4,0)</f>
        <v>46048</v>
      </c>
      <c r="Q1507" s="105">
        <v>5</v>
      </c>
      <c r="R1507" s="105">
        <v>5</v>
      </c>
      <c r="S1507" s="46">
        <v>96</v>
      </c>
    </row>
    <row r="1508" ht="16.5" spans="1:19">
      <c r="A1508" s="46">
        <v>1515</v>
      </c>
      <c r="B1508" s="46" t="s">
        <v>45</v>
      </c>
      <c r="C1508" s="46" t="s">
        <v>35</v>
      </c>
      <c r="D1508" s="46" t="s">
        <v>25</v>
      </c>
      <c r="E1508" s="46" t="s">
        <v>1326</v>
      </c>
      <c r="F1508" s="46" t="s">
        <v>1119</v>
      </c>
      <c r="G1508" s="46" t="s">
        <v>904</v>
      </c>
      <c r="H1508" s="46" t="s">
        <v>1433</v>
      </c>
      <c r="I1508" s="46" t="s">
        <v>905</v>
      </c>
      <c r="J1508" s="83">
        <v>46106</v>
      </c>
      <c r="K1508" s="46" t="s">
        <v>1515</v>
      </c>
      <c r="L1508" s="46" t="s">
        <v>915</v>
      </c>
      <c r="M1508" s="46" t="str">
        <f>VLOOKUP(K1508,[4]在职!$A:$B,2,0)</f>
        <v>01936</v>
      </c>
      <c r="N1508" s="46" t="str">
        <f>VLOOKUP(K1508,[4]在职!$A:$G,7,0)</f>
        <v>山东销售部</v>
      </c>
      <c r="O1508" s="46" t="str">
        <f>VLOOKUP(K1508,[4]在职!$A:$I,9,0)</f>
        <v>实习销售</v>
      </c>
      <c r="P1508" s="83">
        <f>VLOOKUP(K1508,[4]在职!$A:$D,4,0)</f>
        <v>46079</v>
      </c>
      <c r="Q1508" s="105">
        <v>5</v>
      </c>
      <c r="R1508" s="105">
        <v>5</v>
      </c>
      <c r="S1508" s="46">
        <v>76</v>
      </c>
    </row>
    <row r="1509" ht="16.5" spans="1:19">
      <c r="A1509" s="46">
        <v>1516</v>
      </c>
      <c r="B1509" s="46" t="s">
        <v>45</v>
      </c>
      <c r="C1509" s="46" t="s">
        <v>35</v>
      </c>
      <c r="D1509" s="46" t="s">
        <v>25</v>
      </c>
      <c r="E1509" s="46" t="s">
        <v>1326</v>
      </c>
      <c r="F1509" s="46" t="s">
        <v>1119</v>
      </c>
      <c r="G1509" s="46" t="s">
        <v>904</v>
      </c>
      <c r="H1509" s="46" t="s">
        <v>1433</v>
      </c>
      <c r="I1509" s="46" t="s">
        <v>905</v>
      </c>
      <c r="J1509" s="83">
        <v>46106</v>
      </c>
      <c r="K1509" s="46" t="s">
        <v>1516</v>
      </c>
      <c r="L1509" s="46" t="s">
        <v>915</v>
      </c>
      <c r="M1509" s="46" t="str">
        <f>VLOOKUP(K1509,[4]在职!$A:$B,2,0)</f>
        <v>01947</v>
      </c>
      <c r="N1509" s="46" t="str">
        <f>VLOOKUP(K1509,[4]在职!$A:$G,7,0)</f>
        <v>山东销售部</v>
      </c>
      <c r="O1509" s="46" t="str">
        <f>VLOOKUP(K1509,[4]在职!$A:$I,9,0)</f>
        <v>实习销售</v>
      </c>
      <c r="P1509" s="83">
        <f>VLOOKUP(K1509,[4]在职!$A:$D,4,0)</f>
        <v>46083</v>
      </c>
      <c r="Q1509" s="105">
        <v>5</v>
      </c>
      <c r="R1509" s="105">
        <v>5</v>
      </c>
      <c r="S1509" s="46">
        <v>96</v>
      </c>
    </row>
    <row r="1510" ht="16.5" spans="1:19">
      <c r="A1510" s="46">
        <v>1517</v>
      </c>
      <c r="B1510" s="46" t="s">
        <v>45</v>
      </c>
      <c r="C1510" s="46" t="s">
        <v>24</v>
      </c>
      <c r="D1510" s="46" t="s">
        <v>25</v>
      </c>
      <c r="E1510" s="46" t="s">
        <v>1326</v>
      </c>
      <c r="F1510" s="46" t="s">
        <v>1119</v>
      </c>
      <c r="G1510" s="46" t="s">
        <v>904</v>
      </c>
      <c r="H1510" s="46" t="s">
        <v>1433</v>
      </c>
      <c r="I1510" s="46" t="s">
        <v>905</v>
      </c>
      <c r="J1510" s="83">
        <v>46106</v>
      </c>
      <c r="K1510" s="46" t="s">
        <v>1517</v>
      </c>
      <c r="L1510" s="46" t="s">
        <v>915</v>
      </c>
      <c r="M1510" s="46" t="str">
        <f>VLOOKUP(K1510,[4]在职!$A:$B,2,0)</f>
        <v>01973</v>
      </c>
      <c r="N1510" s="46" t="str">
        <f>VLOOKUP(K1510,[4]在职!$A:$G,7,0)</f>
        <v>陕西1部</v>
      </c>
      <c r="O1510" s="46" t="str">
        <f>VLOOKUP(K1510,[4]在职!$A:$I,9,0)</f>
        <v>实习销售</v>
      </c>
      <c r="P1510" s="83">
        <f>VLOOKUP(K1510,[4]在职!$A:$D,4,0)</f>
        <v>46089</v>
      </c>
      <c r="Q1510" s="105">
        <v>0</v>
      </c>
      <c r="R1510" s="105">
        <v>0</v>
      </c>
      <c r="S1510" s="46">
        <v>66</v>
      </c>
    </row>
    <row r="1511" ht="16.5" spans="1:19">
      <c r="A1511" s="46">
        <v>1518</v>
      </c>
      <c r="B1511" s="46" t="s">
        <v>45</v>
      </c>
      <c r="C1511" s="46" t="s">
        <v>37</v>
      </c>
      <c r="D1511" s="46" t="s">
        <v>25</v>
      </c>
      <c r="E1511" s="46" t="s">
        <v>1326</v>
      </c>
      <c r="F1511" s="46" t="s">
        <v>1119</v>
      </c>
      <c r="G1511" s="46" t="s">
        <v>904</v>
      </c>
      <c r="H1511" s="46" t="s">
        <v>1433</v>
      </c>
      <c r="I1511" s="46" t="s">
        <v>905</v>
      </c>
      <c r="J1511" s="83">
        <v>46106</v>
      </c>
      <c r="K1511" s="46" t="s">
        <v>1518</v>
      </c>
      <c r="L1511" s="46" t="s">
        <v>915</v>
      </c>
      <c r="M1511" s="46" t="str">
        <f>VLOOKUP(K1511,[4]在职!$A:$B,2,0)</f>
        <v>01930</v>
      </c>
      <c r="N1511" s="46" t="str">
        <f>VLOOKUP(K1511,[4]在职!$A:$G,7,0)</f>
        <v>陕西2部</v>
      </c>
      <c r="O1511" s="46" t="str">
        <f>VLOOKUP(K1511,[4]在职!$A:$I,9,0)</f>
        <v>实习销售</v>
      </c>
      <c r="P1511" s="83">
        <f>VLOOKUP(K1511,[4]在职!$A:$D,4,0)</f>
        <v>46054</v>
      </c>
      <c r="Q1511" s="105">
        <v>0</v>
      </c>
      <c r="R1511" s="105">
        <v>0</v>
      </c>
      <c r="S1511" s="46">
        <v>86</v>
      </c>
    </row>
    <row r="1512" ht="16.5" spans="1:19">
      <c r="A1512" s="46">
        <v>1519</v>
      </c>
      <c r="B1512" s="46" t="s">
        <v>45</v>
      </c>
      <c r="C1512" s="46" t="s">
        <v>37</v>
      </c>
      <c r="D1512" s="46" t="s">
        <v>25</v>
      </c>
      <c r="E1512" s="46" t="s">
        <v>1326</v>
      </c>
      <c r="F1512" s="46" t="s">
        <v>1119</v>
      </c>
      <c r="G1512" s="46" t="s">
        <v>904</v>
      </c>
      <c r="H1512" s="46" t="s">
        <v>1433</v>
      </c>
      <c r="I1512" s="46" t="s">
        <v>905</v>
      </c>
      <c r="J1512" s="83">
        <v>46106</v>
      </c>
      <c r="K1512" s="46" t="s">
        <v>1519</v>
      </c>
      <c r="L1512" s="46" t="s">
        <v>915</v>
      </c>
      <c r="M1512" s="46" t="str">
        <f>VLOOKUP(K1512,[4]在职!$A:$B,2,0)</f>
        <v>01943</v>
      </c>
      <c r="N1512" s="46" t="str">
        <f>VLOOKUP(K1512,[4]在职!$A:$G,7,0)</f>
        <v>陕西2部</v>
      </c>
      <c r="O1512" s="46" t="str">
        <f>VLOOKUP(K1512,[4]在职!$A:$I,9,0)</f>
        <v>实习销售</v>
      </c>
      <c r="P1512" s="83">
        <f>VLOOKUP(K1512,[4]在职!$A:$D,4,0)</f>
        <v>46084</v>
      </c>
      <c r="Q1512" s="105">
        <v>5</v>
      </c>
      <c r="R1512" s="105">
        <v>5</v>
      </c>
      <c r="S1512" s="46">
        <v>0</v>
      </c>
    </row>
    <row r="1513" ht="16.5" spans="1:19">
      <c r="A1513" s="46">
        <v>1520</v>
      </c>
      <c r="B1513" s="46" t="s">
        <v>45</v>
      </c>
      <c r="C1513" s="46" t="s">
        <v>37</v>
      </c>
      <c r="D1513" s="46" t="s">
        <v>25</v>
      </c>
      <c r="E1513" s="46" t="s">
        <v>1326</v>
      </c>
      <c r="F1513" s="46" t="s">
        <v>1119</v>
      </c>
      <c r="G1513" s="46" t="s">
        <v>904</v>
      </c>
      <c r="H1513" s="46" t="s">
        <v>1433</v>
      </c>
      <c r="I1513" s="46" t="s">
        <v>905</v>
      </c>
      <c r="J1513" s="83">
        <v>46106</v>
      </c>
      <c r="K1513" s="46" t="s">
        <v>1520</v>
      </c>
      <c r="L1513" s="46" t="s">
        <v>915</v>
      </c>
      <c r="M1513" s="46" t="str">
        <f>VLOOKUP(K1513,[4]在职!$A:$B,2,0)</f>
        <v>01955</v>
      </c>
      <c r="N1513" s="46" t="str">
        <f>VLOOKUP(K1513,[4]在职!$A:$G,7,0)</f>
        <v>陕西1部</v>
      </c>
      <c r="O1513" s="46" t="str">
        <f>VLOOKUP(K1513,[4]在职!$A:$I,9,0)</f>
        <v>实习销售</v>
      </c>
      <c r="P1513" s="83">
        <f>VLOOKUP(K1513,[4]在职!$A:$D,4,0)</f>
        <v>46085</v>
      </c>
      <c r="Q1513" s="105">
        <v>5</v>
      </c>
      <c r="R1513" s="105">
        <v>5</v>
      </c>
      <c r="S1513" s="46">
        <v>76</v>
      </c>
    </row>
    <row r="1514" ht="16.5" spans="1:19">
      <c r="A1514" s="46">
        <v>1521</v>
      </c>
      <c r="B1514" s="46" t="s">
        <v>45</v>
      </c>
      <c r="C1514" s="46" t="s">
        <v>37</v>
      </c>
      <c r="D1514" s="46" t="s">
        <v>25</v>
      </c>
      <c r="E1514" s="46" t="s">
        <v>1326</v>
      </c>
      <c r="F1514" s="46" t="s">
        <v>1119</v>
      </c>
      <c r="G1514" s="46" t="s">
        <v>904</v>
      </c>
      <c r="H1514" s="46" t="s">
        <v>1433</v>
      </c>
      <c r="I1514" s="46" t="s">
        <v>905</v>
      </c>
      <c r="J1514" s="83">
        <v>46106</v>
      </c>
      <c r="K1514" s="46" t="s">
        <v>1521</v>
      </c>
      <c r="L1514" s="46" t="s">
        <v>915</v>
      </c>
      <c r="M1514" s="46" t="str">
        <f>VLOOKUP(K1514,[4]在职!$A:$B,2,0)</f>
        <v>01932</v>
      </c>
      <c r="N1514" s="46" t="str">
        <f>VLOOKUP(K1514,[4]在职!$A:$G,7,0)</f>
        <v>陕西2部</v>
      </c>
      <c r="O1514" s="46" t="str">
        <f>VLOOKUP(K1514,[4]在职!$A:$I,9,0)</f>
        <v>实习销售</v>
      </c>
      <c r="P1514" s="83">
        <f>VLOOKUP(K1514,[4]在职!$A:$D,4,0)</f>
        <v>46058</v>
      </c>
      <c r="Q1514" s="105">
        <v>5</v>
      </c>
      <c r="R1514" s="105">
        <v>5</v>
      </c>
      <c r="S1514" s="46">
        <v>96</v>
      </c>
    </row>
    <row r="1515" ht="16.5" spans="1:19">
      <c r="A1515" s="46">
        <v>1522</v>
      </c>
      <c r="B1515" s="46" t="s">
        <v>45</v>
      </c>
      <c r="C1515" s="46" t="s">
        <v>38</v>
      </c>
      <c r="D1515" s="46" t="s">
        <v>25</v>
      </c>
      <c r="E1515" s="46" t="s">
        <v>1326</v>
      </c>
      <c r="F1515" s="46" t="s">
        <v>1119</v>
      </c>
      <c r="G1515" s="46" t="s">
        <v>904</v>
      </c>
      <c r="H1515" s="46" t="s">
        <v>1433</v>
      </c>
      <c r="I1515" s="46" t="s">
        <v>905</v>
      </c>
      <c r="J1515" s="83">
        <v>46106</v>
      </c>
      <c r="K1515" s="46" t="s">
        <v>1522</v>
      </c>
      <c r="L1515" s="46" t="s">
        <v>915</v>
      </c>
      <c r="M1515" s="46" t="str">
        <f>VLOOKUP(K1515,[4]在职!$A:$B,2,0)</f>
        <v>01978</v>
      </c>
      <c r="N1515" s="46" t="str">
        <f>VLOOKUP(K1515,[4]在职!$A:$G,7,0)</f>
        <v>营业一部</v>
      </c>
      <c r="O1515" s="46" t="str">
        <f>VLOOKUP(K1515,[4]在职!$A:$I,9,0)</f>
        <v>实习销售</v>
      </c>
      <c r="P1515" s="83">
        <f>VLOOKUP(K1515,[4]在职!$A:$D,4,0)</f>
        <v>46086</v>
      </c>
      <c r="Q1515" s="105">
        <v>5</v>
      </c>
      <c r="R1515" s="105">
        <v>5</v>
      </c>
      <c r="S1515" s="46">
        <v>96</v>
      </c>
    </row>
    <row r="1516" ht="16.5" spans="1:19">
      <c r="A1516" s="46">
        <v>1523</v>
      </c>
      <c r="B1516" s="46" t="s">
        <v>45</v>
      </c>
      <c r="C1516" s="46" t="s">
        <v>38</v>
      </c>
      <c r="D1516" s="46" t="s">
        <v>25</v>
      </c>
      <c r="E1516" s="46" t="s">
        <v>1326</v>
      </c>
      <c r="F1516" s="46" t="s">
        <v>1119</v>
      </c>
      <c r="G1516" s="46" t="s">
        <v>904</v>
      </c>
      <c r="H1516" s="46" t="s">
        <v>1433</v>
      </c>
      <c r="I1516" s="46" t="s">
        <v>905</v>
      </c>
      <c r="J1516" s="83">
        <v>46106</v>
      </c>
      <c r="K1516" s="46" t="s">
        <v>1523</v>
      </c>
      <c r="L1516" s="46" t="s">
        <v>915</v>
      </c>
      <c r="M1516" s="46" t="str">
        <f>VLOOKUP(K1516,[4]在职!$A:$B,2,0)</f>
        <v>01963</v>
      </c>
      <c r="N1516" s="46" t="str">
        <f>VLOOKUP(K1516,[4]在职!$A:$G,7,0)</f>
        <v>营业一部</v>
      </c>
      <c r="O1516" s="46" t="str">
        <f>VLOOKUP(K1516,[4]在职!$A:$I,9,0)</f>
        <v>实习销售</v>
      </c>
      <c r="P1516" s="83">
        <f>VLOOKUP(K1516,[4]在职!$A:$D,4,0)</f>
        <v>46085</v>
      </c>
      <c r="Q1516" s="105">
        <v>5</v>
      </c>
      <c r="R1516" s="105">
        <v>5</v>
      </c>
      <c r="S1516" s="46">
        <v>96</v>
      </c>
    </row>
    <row r="1517" ht="16.5" spans="1:19">
      <c r="A1517" s="46">
        <v>1524</v>
      </c>
      <c r="B1517" s="46" t="s">
        <v>45</v>
      </c>
      <c r="C1517" s="46" t="s">
        <v>38</v>
      </c>
      <c r="D1517" s="46" t="s">
        <v>25</v>
      </c>
      <c r="E1517" s="46" t="s">
        <v>1326</v>
      </c>
      <c r="F1517" s="46" t="s">
        <v>1119</v>
      </c>
      <c r="G1517" s="46" t="s">
        <v>904</v>
      </c>
      <c r="H1517" s="46" t="s">
        <v>1433</v>
      </c>
      <c r="I1517" s="46" t="s">
        <v>905</v>
      </c>
      <c r="J1517" s="83">
        <v>46106</v>
      </c>
      <c r="K1517" s="46" t="s">
        <v>1524</v>
      </c>
      <c r="L1517" s="46" t="s">
        <v>915</v>
      </c>
      <c r="M1517" s="46" t="str">
        <f>VLOOKUP(K1517,[4]在职!$A:$B,2,0)</f>
        <v>01964</v>
      </c>
      <c r="N1517" s="46" t="str">
        <f>VLOOKUP(K1517,[4]在职!$A:$G,7,0)</f>
        <v>营业一部</v>
      </c>
      <c r="O1517" s="46" t="str">
        <f>VLOOKUP(K1517,[4]在职!$A:$I,9,0)</f>
        <v>实习销售</v>
      </c>
      <c r="P1517" s="83">
        <f>VLOOKUP(K1517,[4]在职!$A:$D,4,0)</f>
        <v>46083</v>
      </c>
      <c r="Q1517" s="105">
        <v>5</v>
      </c>
      <c r="R1517" s="105">
        <v>5</v>
      </c>
      <c r="S1517" s="46">
        <v>96</v>
      </c>
    </row>
    <row r="1518" ht="16.5" spans="1:19">
      <c r="A1518" s="46">
        <v>1525</v>
      </c>
      <c r="B1518" s="46" t="s">
        <v>45</v>
      </c>
      <c r="C1518" s="46" t="s">
        <v>38</v>
      </c>
      <c r="D1518" s="46" t="s">
        <v>25</v>
      </c>
      <c r="E1518" s="46" t="s">
        <v>1326</v>
      </c>
      <c r="F1518" s="46" t="s">
        <v>1119</v>
      </c>
      <c r="G1518" s="46" t="s">
        <v>904</v>
      </c>
      <c r="H1518" s="46" t="s">
        <v>1433</v>
      </c>
      <c r="I1518" s="46" t="s">
        <v>905</v>
      </c>
      <c r="J1518" s="83">
        <v>46106</v>
      </c>
      <c r="K1518" s="46" t="s">
        <v>1525</v>
      </c>
      <c r="L1518" s="46" t="s">
        <v>915</v>
      </c>
      <c r="M1518" s="46" t="str">
        <f>VLOOKUP(K1518,[4]在职!$A:$B,2,0)</f>
        <v>01929</v>
      </c>
      <c r="N1518" s="46" t="str">
        <f>VLOOKUP(K1518,[4]在职!$A:$G,7,0)</f>
        <v>营业一部</v>
      </c>
      <c r="O1518" s="46" t="str">
        <f>VLOOKUP(K1518,[4]在职!$A:$I,9,0)</f>
        <v>实习销售</v>
      </c>
      <c r="P1518" s="83">
        <f>VLOOKUP(K1518,[4]在职!$A:$D,4,0)</f>
        <v>46048</v>
      </c>
      <c r="Q1518" s="105">
        <v>5</v>
      </c>
      <c r="R1518" s="105">
        <v>5</v>
      </c>
      <c r="S1518" s="46">
        <v>96</v>
      </c>
    </row>
    <row r="1519" ht="16.5" spans="1:19">
      <c r="A1519" s="46">
        <v>1526</v>
      </c>
      <c r="B1519" s="46" t="s">
        <v>45</v>
      </c>
      <c r="C1519" s="46" t="s">
        <v>38</v>
      </c>
      <c r="D1519" s="46" t="s">
        <v>25</v>
      </c>
      <c r="E1519" s="46" t="s">
        <v>1326</v>
      </c>
      <c r="F1519" s="46" t="s">
        <v>1119</v>
      </c>
      <c r="G1519" s="46" t="s">
        <v>904</v>
      </c>
      <c r="H1519" s="46" t="s">
        <v>1433</v>
      </c>
      <c r="I1519" s="46" t="s">
        <v>905</v>
      </c>
      <c r="J1519" s="83">
        <v>46106</v>
      </c>
      <c r="K1519" s="46" t="s">
        <v>1437</v>
      </c>
      <c r="L1519" s="46" t="s">
        <v>915</v>
      </c>
      <c r="M1519" s="46" t="str">
        <f>VLOOKUP(K1519,[4]在职!$A:$B,2,0)</f>
        <v>01753</v>
      </c>
      <c r="N1519" s="46" t="str">
        <f>VLOOKUP(K1519,[4]在职!$A:$G,7,0)</f>
        <v>营业一部</v>
      </c>
      <c r="O1519" s="46" t="str">
        <f>VLOOKUP(K1519,[4]在职!$A:$I,9,0)</f>
        <v>一星销售顾问</v>
      </c>
      <c r="P1519" s="83">
        <f>VLOOKUP(K1519,[4]在职!$A:$D,4,0)</f>
        <v>45951</v>
      </c>
      <c r="Q1519" s="105">
        <v>5</v>
      </c>
      <c r="R1519" s="105">
        <v>5</v>
      </c>
      <c r="S1519" s="46">
        <v>96</v>
      </c>
    </row>
    <row r="1520" ht="16.5" spans="1:19">
      <c r="A1520" s="46">
        <v>1527</v>
      </c>
      <c r="B1520" s="46" t="s">
        <v>45</v>
      </c>
      <c r="C1520" s="46" t="s">
        <v>38</v>
      </c>
      <c r="D1520" s="46" t="s">
        <v>25</v>
      </c>
      <c r="E1520" s="46" t="s">
        <v>1326</v>
      </c>
      <c r="F1520" s="46" t="s">
        <v>1119</v>
      </c>
      <c r="G1520" s="46" t="s">
        <v>904</v>
      </c>
      <c r="H1520" s="46" t="s">
        <v>1433</v>
      </c>
      <c r="I1520" s="46" t="s">
        <v>905</v>
      </c>
      <c r="J1520" s="83">
        <v>46106</v>
      </c>
      <c r="K1520" s="46" t="s">
        <v>1321</v>
      </c>
      <c r="L1520" s="46" t="s">
        <v>915</v>
      </c>
      <c r="M1520" s="46" t="str">
        <f>VLOOKUP(K1520,[4]在职!$A:$B,2,0)</f>
        <v>01821</v>
      </c>
      <c r="N1520" s="46" t="str">
        <f>VLOOKUP(K1520,[4]在职!$A:$G,7,0)</f>
        <v>营业一部</v>
      </c>
      <c r="O1520" s="46" t="str">
        <f>VLOOKUP(K1520,[4]在职!$A:$I,9,0)</f>
        <v>一星销售顾问</v>
      </c>
      <c r="P1520" s="83">
        <f>VLOOKUP(K1520,[4]在职!$A:$D,4,0)</f>
        <v>45992</v>
      </c>
      <c r="Q1520" s="105">
        <v>5</v>
      </c>
      <c r="R1520" s="105">
        <v>5</v>
      </c>
      <c r="S1520" s="46">
        <v>96</v>
      </c>
    </row>
    <row r="1521" ht="16.5" spans="1:19">
      <c r="A1521" s="46">
        <v>1528</v>
      </c>
      <c r="B1521" s="46" t="s">
        <v>45</v>
      </c>
      <c r="C1521" s="46" t="s">
        <v>38</v>
      </c>
      <c r="D1521" s="46" t="s">
        <v>25</v>
      </c>
      <c r="E1521" s="46" t="s">
        <v>1326</v>
      </c>
      <c r="F1521" s="46" t="s">
        <v>1119</v>
      </c>
      <c r="G1521" s="46" t="s">
        <v>904</v>
      </c>
      <c r="H1521" s="46" t="s">
        <v>1433</v>
      </c>
      <c r="I1521" s="46" t="s">
        <v>905</v>
      </c>
      <c r="J1521" s="83">
        <v>46106</v>
      </c>
      <c r="K1521" s="46" t="s">
        <v>1436</v>
      </c>
      <c r="L1521" s="46" t="s">
        <v>915</v>
      </c>
      <c r="M1521" s="46" t="str">
        <f>VLOOKUP(K1521,[4]在职!$A:$B,2,0)</f>
        <v>01763</v>
      </c>
      <c r="N1521" s="46" t="str">
        <f>VLOOKUP(K1521,[4]在职!$A:$G,7,0)</f>
        <v>营业一部</v>
      </c>
      <c r="O1521" s="46" t="str">
        <f>VLOOKUP(K1521,[4]在职!$A:$I,9,0)</f>
        <v>一星销售顾问</v>
      </c>
      <c r="P1521" s="83">
        <f>VLOOKUP(K1521,[4]在职!$A:$D,4,0)</f>
        <v>45952</v>
      </c>
      <c r="Q1521" s="105">
        <v>5</v>
      </c>
      <c r="R1521" s="105">
        <v>5</v>
      </c>
      <c r="S1521" s="46">
        <v>86</v>
      </c>
    </row>
    <row r="1522" ht="16.5" spans="1:19">
      <c r="A1522" s="46">
        <v>1529</v>
      </c>
      <c r="B1522" s="46" t="s">
        <v>45</v>
      </c>
      <c r="C1522" s="46" t="s">
        <v>38</v>
      </c>
      <c r="D1522" s="46" t="s">
        <v>25</v>
      </c>
      <c r="E1522" s="46" t="s">
        <v>1326</v>
      </c>
      <c r="F1522" s="46" t="s">
        <v>1119</v>
      </c>
      <c r="G1522" s="46" t="s">
        <v>904</v>
      </c>
      <c r="H1522" s="46" t="s">
        <v>1433</v>
      </c>
      <c r="I1522" s="46" t="s">
        <v>905</v>
      </c>
      <c r="J1522" s="83">
        <v>46106</v>
      </c>
      <c r="K1522" s="46" t="s">
        <v>1293</v>
      </c>
      <c r="L1522" s="46" t="s">
        <v>915</v>
      </c>
      <c r="M1522" s="46" t="str">
        <f>VLOOKUP(K1522,[4]在职!$A:$B,2,0)</f>
        <v>01901</v>
      </c>
      <c r="N1522" s="46" t="str">
        <f>VLOOKUP(K1522,[4]在职!$A:$G,7,0)</f>
        <v>营业六部</v>
      </c>
      <c r="O1522" s="46" t="str">
        <f>VLOOKUP(K1522,[4]在职!$A:$I,9,0)</f>
        <v>实习销售</v>
      </c>
      <c r="P1522" s="83">
        <f>VLOOKUP(K1522,[4]在职!$A:$D,4,0)</f>
        <v>46022</v>
      </c>
      <c r="Q1522" s="105">
        <v>5</v>
      </c>
      <c r="R1522" s="105">
        <v>5</v>
      </c>
      <c r="S1522" s="46">
        <v>86</v>
      </c>
    </row>
    <row r="1523" ht="16.5" spans="1:19">
      <c r="A1523" s="46">
        <v>1530</v>
      </c>
      <c r="B1523" s="46" t="s">
        <v>45</v>
      </c>
      <c r="C1523" s="46" t="s">
        <v>38</v>
      </c>
      <c r="D1523" s="46" t="s">
        <v>25</v>
      </c>
      <c r="E1523" s="46" t="s">
        <v>1326</v>
      </c>
      <c r="F1523" s="46" t="s">
        <v>1119</v>
      </c>
      <c r="G1523" s="46" t="s">
        <v>904</v>
      </c>
      <c r="H1523" s="46" t="s">
        <v>1433</v>
      </c>
      <c r="I1523" s="46" t="s">
        <v>905</v>
      </c>
      <c r="J1523" s="83">
        <v>46106</v>
      </c>
      <c r="K1523" s="46" t="s">
        <v>1295</v>
      </c>
      <c r="L1523" s="46" t="s">
        <v>915</v>
      </c>
      <c r="M1523" s="46" t="str">
        <f>VLOOKUP(K1523,[4]在职!$A:$B,2,0)</f>
        <v>01792</v>
      </c>
      <c r="N1523" s="46" t="str">
        <f>VLOOKUP(K1523,[4]在职!$A:$G,7,0)</f>
        <v>营业六部</v>
      </c>
      <c r="O1523" s="46" t="str">
        <f>VLOOKUP(K1523,[4]在职!$A:$I,9,0)</f>
        <v>实习销售</v>
      </c>
      <c r="P1523" s="83">
        <f>VLOOKUP(K1523,[4]在职!$A:$D,4,0)</f>
        <v>45978</v>
      </c>
      <c r="Q1523" s="105">
        <v>5</v>
      </c>
      <c r="R1523" s="105">
        <v>5</v>
      </c>
      <c r="S1523" s="46">
        <v>86</v>
      </c>
    </row>
    <row r="1524" ht="16.5" spans="1:19">
      <c r="A1524" s="46">
        <v>1531</v>
      </c>
      <c r="B1524" s="46" t="s">
        <v>45</v>
      </c>
      <c r="C1524" s="46" t="s">
        <v>38</v>
      </c>
      <c r="D1524" s="46" t="s">
        <v>25</v>
      </c>
      <c r="E1524" s="46" t="s">
        <v>1326</v>
      </c>
      <c r="F1524" s="46" t="s">
        <v>1119</v>
      </c>
      <c r="G1524" s="46" t="s">
        <v>904</v>
      </c>
      <c r="H1524" s="46" t="s">
        <v>1433</v>
      </c>
      <c r="I1524" s="46" t="s">
        <v>905</v>
      </c>
      <c r="J1524" s="83">
        <v>46106</v>
      </c>
      <c r="K1524" s="46" t="s">
        <v>1526</v>
      </c>
      <c r="L1524" s="46" t="s">
        <v>915</v>
      </c>
      <c r="M1524" s="46" t="str">
        <f>VLOOKUP(K1524,[4]在职!$A:$B,2,0)</f>
        <v>01966</v>
      </c>
      <c r="N1524" s="46" t="str">
        <f>VLOOKUP(K1524,[4]在职!$A:$G,7,0)</f>
        <v>营业一部</v>
      </c>
      <c r="O1524" s="46" t="str">
        <f>VLOOKUP(K1524,[4]在职!$A:$I,9,0)</f>
        <v>实习销售</v>
      </c>
      <c r="P1524" s="83">
        <f>VLOOKUP(K1524,[4]在职!$A:$D,4,0)</f>
        <v>46086</v>
      </c>
      <c r="Q1524" s="105">
        <v>5</v>
      </c>
      <c r="R1524" s="105">
        <v>5</v>
      </c>
      <c r="S1524" s="46">
        <v>100</v>
      </c>
    </row>
    <row r="1525" ht="16.5" spans="1:19">
      <c r="A1525" s="46">
        <v>1532</v>
      </c>
      <c r="B1525" s="46" t="s">
        <v>45</v>
      </c>
      <c r="C1525" s="46" t="s">
        <v>26</v>
      </c>
      <c r="D1525" s="46" t="s">
        <v>25</v>
      </c>
      <c r="E1525" s="46" t="s">
        <v>1326</v>
      </c>
      <c r="F1525" s="46" t="s">
        <v>1119</v>
      </c>
      <c r="G1525" s="46" t="s">
        <v>904</v>
      </c>
      <c r="H1525" s="46" t="s">
        <v>1433</v>
      </c>
      <c r="I1525" s="46" t="s">
        <v>905</v>
      </c>
      <c r="J1525" s="83">
        <v>46106</v>
      </c>
      <c r="K1525" s="46" t="s">
        <v>1283</v>
      </c>
      <c r="L1525" s="46" t="s">
        <v>915</v>
      </c>
      <c r="M1525" s="46" t="str">
        <f>VLOOKUP(K1525,[4]在职!$A:$B,2,0)</f>
        <v>01880</v>
      </c>
      <c r="N1525" s="46" t="str">
        <f>VLOOKUP(K1525,[4]在职!$A:$G,7,0)</f>
        <v>河北销售部</v>
      </c>
      <c r="O1525" s="46" t="str">
        <f>VLOOKUP(K1525,[4]在职!$A:$I,9,0)</f>
        <v>实习销售</v>
      </c>
      <c r="P1525" s="83">
        <f>VLOOKUP(K1525,[4]在职!$A:$D,4,0)</f>
        <v>46015</v>
      </c>
      <c r="Q1525" s="105">
        <v>5</v>
      </c>
      <c r="R1525" s="105">
        <v>5</v>
      </c>
      <c r="S1525" s="46">
        <v>96</v>
      </c>
    </row>
    <row r="1526" ht="16.5" spans="1:19">
      <c r="A1526" s="46">
        <v>1533</v>
      </c>
      <c r="B1526" s="46" t="s">
        <v>45</v>
      </c>
      <c r="C1526" s="46" t="s">
        <v>26</v>
      </c>
      <c r="D1526" s="46" t="s">
        <v>25</v>
      </c>
      <c r="E1526" s="46" t="s">
        <v>1326</v>
      </c>
      <c r="F1526" s="46" t="s">
        <v>1119</v>
      </c>
      <c r="G1526" s="46" t="s">
        <v>904</v>
      </c>
      <c r="H1526" s="46" t="s">
        <v>1433</v>
      </c>
      <c r="I1526" s="46" t="s">
        <v>905</v>
      </c>
      <c r="J1526" s="83">
        <v>46106</v>
      </c>
      <c r="K1526" s="46" t="s">
        <v>1285</v>
      </c>
      <c r="L1526" s="46" t="s">
        <v>915</v>
      </c>
      <c r="M1526" s="46" t="str">
        <f>VLOOKUP(K1526,[4]在职!$A:$B,2,0)</f>
        <v>01817</v>
      </c>
      <c r="N1526" s="46" t="str">
        <f>VLOOKUP(K1526,[4]在职!$A:$G,7,0)</f>
        <v>河北销售部</v>
      </c>
      <c r="O1526" s="46" t="str">
        <f>VLOOKUP(K1526,[4]在职!$A:$I,9,0)</f>
        <v>实习销售</v>
      </c>
      <c r="P1526" s="83">
        <f>VLOOKUP(K1526,[4]在职!$A:$D,4,0)</f>
        <v>45989</v>
      </c>
      <c r="Q1526" s="105">
        <v>4.75</v>
      </c>
      <c r="R1526" s="105">
        <v>4.8</v>
      </c>
      <c r="S1526" s="46">
        <v>96</v>
      </c>
    </row>
    <row r="1527" ht="16.5" spans="1:19">
      <c r="A1527" s="46">
        <v>1534</v>
      </c>
      <c r="B1527" s="46" t="s">
        <v>45</v>
      </c>
      <c r="C1527" s="46" t="s">
        <v>38</v>
      </c>
      <c r="D1527" s="46" t="s">
        <v>25</v>
      </c>
      <c r="E1527" s="46" t="s">
        <v>1326</v>
      </c>
      <c r="F1527" s="46" t="s">
        <v>1119</v>
      </c>
      <c r="G1527" s="46" t="s">
        <v>904</v>
      </c>
      <c r="H1527" s="46" t="s">
        <v>1433</v>
      </c>
      <c r="I1527" s="46" t="s">
        <v>905</v>
      </c>
      <c r="J1527" s="83">
        <v>46106</v>
      </c>
      <c r="K1527" s="46" t="s">
        <v>1263</v>
      </c>
      <c r="L1527" s="46" t="s">
        <v>907</v>
      </c>
      <c r="M1527" s="46" t="str">
        <f>VLOOKUP(K1527,[4]在职!$A:$B,2,0)</f>
        <v>01723</v>
      </c>
      <c r="N1527" s="46" t="str">
        <f>VLOOKUP(K1527,[4]在职!$A:$G,7,0)</f>
        <v>营业七部</v>
      </c>
      <c r="O1527" s="46" t="str">
        <f>VLOOKUP(K1527,[4]在职!$A:$I,9,0)</f>
        <v>一星销售顾问</v>
      </c>
      <c r="P1527" s="83">
        <f>VLOOKUP(K1527,[4]在职!$A:$D,4,0)</f>
        <v>45941</v>
      </c>
      <c r="Q1527" s="105">
        <v>0</v>
      </c>
      <c r="R1527" s="105">
        <v>0</v>
      </c>
      <c r="S1527" s="46">
        <v>0</v>
      </c>
    </row>
    <row r="1528" ht="16.5" spans="1:19">
      <c r="A1528" s="46">
        <v>1535</v>
      </c>
      <c r="B1528" s="46" t="s">
        <v>45</v>
      </c>
      <c r="C1528" s="46" t="s">
        <v>38</v>
      </c>
      <c r="D1528" s="46" t="s">
        <v>25</v>
      </c>
      <c r="E1528" s="46" t="s">
        <v>1326</v>
      </c>
      <c r="F1528" s="46" t="s">
        <v>1119</v>
      </c>
      <c r="G1528" s="46" t="s">
        <v>904</v>
      </c>
      <c r="H1528" s="46" t="s">
        <v>1433</v>
      </c>
      <c r="I1528" s="46" t="s">
        <v>905</v>
      </c>
      <c r="J1528" s="83">
        <v>46106</v>
      </c>
      <c r="K1528" s="46" t="s">
        <v>1197</v>
      </c>
      <c r="L1528" s="46" t="s">
        <v>907</v>
      </c>
      <c r="M1528" s="46" t="str">
        <f>VLOOKUP(K1528,[4]在职!$A:$B,2,0)</f>
        <v>01900</v>
      </c>
      <c r="N1528" s="46" t="str">
        <f>VLOOKUP(K1528,[4]在职!$A:$G,7,0)</f>
        <v>营业七部</v>
      </c>
      <c r="O1528" s="46" t="str">
        <f>VLOOKUP(K1528,[4]在职!$A:$I,9,0)</f>
        <v>实习销售</v>
      </c>
      <c r="P1528" s="83">
        <f>VLOOKUP(K1528,[4]在职!$A:$D,4,0)</f>
        <v>46021</v>
      </c>
      <c r="Q1528" s="105">
        <v>0</v>
      </c>
      <c r="R1528" s="105">
        <v>0</v>
      </c>
      <c r="S1528" s="46">
        <v>0</v>
      </c>
    </row>
    <row r="1529" ht="16.5" spans="1:19">
      <c r="A1529" s="46">
        <v>1536</v>
      </c>
      <c r="B1529" s="46" t="s">
        <v>45</v>
      </c>
      <c r="C1529" s="46" t="s">
        <v>38</v>
      </c>
      <c r="D1529" s="46" t="s">
        <v>25</v>
      </c>
      <c r="E1529" s="46" t="s">
        <v>1326</v>
      </c>
      <c r="F1529" s="46" t="s">
        <v>1119</v>
      </c>
      <c r="G1529" s="46" t="s">
        <v>904</v>
      </c>
      <c r="H1529" s="46" t="s">
        <v>1433</v>
      </c>
      <c r="I1529" s="46" t="s">
        <v>905</v>
      </c>
      <c r="J1529" s="83">
        <v>46106</v>
      </c>
      <c r="K1529" s="46" t="s">
        <v>1527</v>
      </c>
      <c r="L1529" s="46" t="s">
        <v>915</v>
      </c>
      <c r="M1529" s="46" t="str">
        <f>VLOOKUP(K1529,[4]在职!$A:$B,2,0)</f>
        <v>01969</v>
      </c>
      <c r="N1529" s="46" t="str">
        <f>VLOOKUP(K1529,[4]在职!$A:$G,7,0)</f>
        <v>营业六部</v>
      </c>
      <c r="O1529" s="46" t="str">
        <f>VLOOKUP(K1529,[4]在职!$A:$I,9,0)</f>
        <v>实习销售</v>
      </c>
      <c r="P1529" s="83">
        <f>VLOOKUP(K1529,[4]在职!$A:$D,4,0)</f>
        <v>46087</v>
      </c>
      <c r="Q1529" s="105">
        <v>5</v>
      </c>
      <c r="R1529" s="105">
        <v>5</v>
      </c>
      <c r="S1529" s="46">
        <v>80</v>
      </c>
    </row>
    <row r="1530" ht="16.5" spans="1:19">
      <c r="A1530" s="46">
        <v>1537</v>
      </c>
      <c r="B1530" s="46" t="s">
        <v>45</v>
      </c>
      <c r="C1530" s="46" t="s">
        <v>38</v>
      </c>
      <c r="D1530" s="46" t="s">
        <v>25</v>
      </c>
      <c r="E1530" s="46" t="s">
        <v>1326</v>
      </c>
      <c r="F1530" s="46" t="s">
        <v>1119</v>
      </c>
      <c r="G1530" s="46" t="s">
        <v>904</v>
      </c>
      <c r="H1530" s="46" t="s">
        <v>1433</v>
      </c>
      <c r="I1530" s="46" t="s">
        <v>905</v>
      </c>
      <c r="J1530" s="83">
        <v>46106</v>
      </c>
      <c r="K1530" s="46" t="s">
        <v>1528</v>
      </c>
      <c r="L1530" s="46" t="s">
        <v>915</v>
      </c>
      <c r="M1530" s="46" t="str">
        <f>VLOOKUP(K1530,[4]在职!$A:$B,2,0)</f>
        <v>01959</v>
      </c>
      <c r="N1530" s="46" t="str">
        <f>VLOOKUP(K1530,[4]在职!$A:$G,7,0)</f>
        <v>营业七部</v>
      </c>
      <c r="O1530" s="46" t="str">
        <f>VLOOKUP(K1530,[4]在职!$A:$I,9,0)</f>
        <v>实习销售</v>
      </c>
      <c r="P1530" s="83">
        <f>VLOOKUP(K1530,[4]在职!$A:$D,4,0)</f>
        <v>46085</v>
      </c>
      <c r="Q1530" s="105">
        <v>5</v>
      </c>
      <c r="R1530" s="105">
        <v>5</v>
      </c>
      <c r="S1530" s="46">
        <v>56</v>
      </c>
    </row>
    <row r="1531" ht="16.5" spans="1:19">
      <c r="A1531" s="46">
        <v>1538</v>
      </c>
      <c r="B1531" s="46" t="s">
        <v>45</v>
      </c>
      <c r="C1531" s="46" t="s">
        <v>38</v>
      </c>
      <c r="D1531" s="46" t="s">
        <v>25</v>
      </c>
      <c r="E1531" s="46" t="s">
        <v>1326</v>
      </c>
      <c r="F1531" s="46" t="s">
        <v>1119</v>
      </c>
      <c r="G1531" s="46" t="s">
        <v>904</v>
      </c>
      <c r="H1531" s="46" t="s">
        <v>1433</v>
      </c>
      <c r="I1531" s="46" t="s">
        <v>905</v>
      </c>
      <c r="J1531" s="83">
        <v>46106</v>
      </c>
      <c r="K1531" s="46" t="s">
        <v>1529</v>
      </c>
      <c r="L1531" s="46" t="s">
        <v>915</v>
      </c>
      <c r="M1531" s="46" t="str">
        <f>VLOOKUP(K1531,[4]在职!$A:$B,2,0)</f>
        <v>01958</v>
      </c>
      <c r="N1531" s="46" t="str">
        <f>VLOOKUP(K1531,[4]在职!$A:$G,7,0)</f>
        <v>营业七部</v>
      </c>
      <c r="O1531" s="46" t="str">
        <f>VLOOKUP(K1531,[4]在职!$A:$I,9,0)</f>
        <v>实习销售</v>
      </c>
      <c r="P1531" s="83">
        <f>VLOOKUP(K1531,[4]在职!$A:$D,4,0)</f>
        <v>46084</v>
      </c>
      <c r="Q1531" s="105">
        <v>5</v>
      </c>
      <c r="R1531" s="105">
        <v>5</v>
      </c>
      <c r="S1531" s="46">
        <v>80</v>
      </c>
    </row>
    <row r="1532" ht="16.5" spans="1:19">
      <c r="A1532" s="46">
        <v>1539</v>
      </c>
      <c r="B1532" s="46" t="s">
        <v>45</v>
      </c>
      <c r="C1532" s="46" t="s">
        <v>38</v>
      </c>
      <c r="D1532" s="46" t="s">
        <v>25</v>
      </c>
      <c r="E1532" s="46" t="s">
        <v>1326</v>
      </c>
      <c r="F1532" s="46" t="s">
        <v>1119</v>
      </c>
      <c r="G1532" s="46" t="s">
        <v>904</v>
      </c>
      <c r="H1532" s="46" t="s">
        <v>1433</v>
      </c>
      <c r="I1532" s="46" t="s">
        <v>905</v>
      </c>
      <c r="J1532" s="83">
        <v>46106</v>
      </c>
      <c r="K1532" s="46" t="s">
        <v>1530</v>
      </c>
      <c r="L1532" s="46" t="s">
        <v>915</v>
      </c>
      <c r="M1532" s="46" t="str">
        <f>VLOOKUP(K1532,[4]在职!$A:$B,2,0)</f>
        <v>01970</v>
      </c>
      <c r="N1532" s="46" t="str">
        <f>VLOOKUP(K1532,[4]在职!$A:$G,7,0)</f>
        <v>营业三部</v>
      </c>
      <c r="O1532" s="46" t="str">
        <f>VLOOKUP(K1532,[4]在职!$A:$I,9,0)</f>
        <v>实习销售</v>
      </c>
      <c r="P1532" s="83">
        <f>VLOOKUP(K1532,[4]在职!$A:$D,4,0)</f>
        <v>46088</v>
      </c>
      <c r="Q1532" s="105">
        <v>5</v>
      </c>
      <c r="R1532" s="105">
        <v>5</v>
      </c>
      <c r="S1532" s="46">
        <v>80</v>
      </c>
    </row>
    <row r="1533" ht="16.5" spans="1:19">
      <c r="A1533" s="46">
        <v>1540</v>
      </c>
      <c r="B1533" s="46" t="s">
        <v>45</v>
      </c>
      <c r="C1533" s="46" t="s">
        <v>38</v>
      </c>
      <c r="D1533" s="46" t="s">
        <v>25</v>
      </c>
      <c r="E1533" s="46" t="s">
        <v>1326</v>
      </c>
      <c r="F1533" s="46" t="s">
        <v>1119</v>
      </c>
      <c r="G1533" s="46" t="s">
        <v>904</v>
      </c>
      <c r="H1533" s="46" t="s">
        <v>1433</v>
      </c>
      <c r="I1533" s="46" t="s">
        <v>905</v>
      </c>
      <c r="J1533" s="83">
        <v>46106</v>
      </c>
      <c r="K1533" s="46" t="s">
        <v>1215</v>
      </c>
      <c r="L1533" s="46" t="s">
        <v>907</v>
      </c>
      <c r="M1533" s="46" t="str">
        <f>VLOOKUP(K1533,[4]在职!$A:$B,2,0)</f>
        <v>01854</v>
      </c>
      <c r="N1533" s="46" t="str">
        <f>VLOOKUP(K1533,[4]在职!$A:$G,7,0)</f>
        <v>营业六部</v>
      </c>
      <c r="O1533" s="46" t="str">
        <f>VLOOKUP(K1533,[4]在职!$A:$I,9,0)</f>
        <v>实习销售</v>
      </c>
      <c r="P1533" s="83">
        <f>VLOOKUP(K1533,[4]在职!$A:$D,4,0)</f>
        <v>46005</v>
      </c>
      <c r="Q1533" s="105">
        <v>0</v>
      </c>
      <c r="R1533" s="105">
        <v>0</v>
      </c>
      <c r="S1533" s="46">
        <v>0</v>
      </c>
    </row>
    <row r="1534" ht="16.5" spans="1:19">
      <c r="A1534" s="46">
        <v>1541</v>
      </c>
      <c r="B1534" s="46" t="s">
        <v>45</v>
      </c>
      <c r="C1534" s="46" t="s">
        <v>38</v>
      </c>
      <c r="D1534" s="46" t="s">
        <v>25</v>
      </c>
      <c r="E1534" s="46" t="s">
        <v>1326</v>
      </c>
      <c r="F1534" s="46" t="s">
        <v>1119</v>
      </c>
      <c r="G1534" s="46" t="s">
        <v>904</v>
      </c>
      <c r="H1534" s="46" t="s">
        <v>1433</v>
      </c>
      <c r="I1534" s="46" t="s">
        <v>905</v>
      </c>
      <c r="J1534" s="83">
        <v>46106</v>
      </c>
      <c r="K1534" s="46" t="s">
        <v>1531</v>
      </c>
      <c r="L1534" s="46" t="s">
        <v>915</v>
      </c>
      <c r="M1534" s="46" t="str">
        <f>VLOOKUP(K1534,[4]在职!$A:$B,2,0)</f>
        <v>01938</v>
      </c>
      <c r="N1534" s="46" t="str">
        <f>VLOOKUP(K1534,[4]在职!$A:$G,7,0)</f>
        <v>杨薇</v>
      </c>
      <c r="O1534" s="46" t="str">
        <f>VLOOKUP(K1534,[4]在职!$A:$I,9,0)</f>
        <v>实习销售</v>
      </c>
      <c r="P1534" s="83">
        <f>VLOOKUP(K1534,[4]在职!$A:$D,4,0)</f>
        <v>46080</v>
      </c>
      <c r="Q1534" s="105">
        <v>5</v>
      </c>
      <c r="R1534" s="105">
        <v>5</v>
      </c>
      <c r="S1534" s="46">
        <v>96</v>
      </c>
    </row>
    <row r="1535" ht="16.5" spans="1:19">
      <c r="A1535" s="46">
        <v>1542</v>
      </c>
      <c r="B1535" s="46" t="s">
        <v>45</v>
      </c>
      <c r="C1535" s="46" t="s">
        <v>38</v>
      </c>
      <c r="D1535" s="46" t="s">
        <v>25</v>
      </c>
      <c r="E1535" s="46" t="s">
        <v>1326</v>
      </c>
      <c r="F1535" s="46" t="s">
        <v>1119</v>
      </c>
      <c r="G1535" s="46" t="s">
        <v>904</v>
      </c>
      <c r="H1535" s="46" t="s">
        <v>1433</v>
      </c>
      <c r="I1535" s="46" t="s">
        <v>905</v>
      </c>
      <c r="J1535" s="83">
        <v>46106</v>
      </c>
      <c r="K1535" s="46" t="s">
        <v>1171</v>
      </c>
      <c r="L1535" s="46" t="s">
        <v>915</v>
      </c>
      <c r="M1535" s="46" t="str">
        <f>VLOOKUP(K1535,[4]在职!$A:$B,2,0)</f>
        <v>01876</v>
      </c>
      <c r="N1535" s="46" t="str">
        <f>VLOOKUP(K1535,[4]在职!$A:$G,7,0)</f>
        <v>营业五部</v>
      </c>
      <c r="O1535" s="46" t="str">
        <f>VLOOKUP(K1535,[4]在职!$A:$I,9,0)</f>
        <v>实习销售</v>
      </c>
      <c r="P1535" s="83">
        <f>VLOOKUP(K1535,[4]在职!$A:$D,4,0)</f>
        <v>46017</v>
      </c>
      <c r="Q1535" s="105">
        <v>5</v>
      </c>
      <c r="R1535" s="105">
        <v>5</v>
      </c>
      <c r="S1535" s="46">
        <v>70</v>
      </c>
    </row>
    <row r="1536" ht="16.5" spans="1:19">
      <c r="A1536" s="46">
        <v>1543</v>
      </c>
      <c r="B1536" s="46" t="s">
        <v>45</v>
      </c>
      <c r="C1536" s="46" t="s">
        <v>38</v>
      </c>
      <c r="D1536" s="46" t="s">
        <v>25</v>
      </c>
      <c r="E1536" s="46" t="s">
        <v>1326</v>
      </c>
      <c r="F1536" s="46" t="s">
        <v>1119</v>
      </c>
      <c r="G1536" s="46" t="s">
        <v>904</v>
      </c>
      <c r="H1536" s="46" t="s">
        <v>1433</v>
      </c>
      <c r="I1536" s="46" t="s">
        <v>905</v>
      </c>
      <c r="J1536" s="83">
        <v>46106</v>
      </c>
      <c r="K1536" s="46" t="s">
        <v>1195</v>
      </c>
      <c r="L1536" s="46" t="s">
        <v>907</v>
      </c>
      <c r="M1536" s="46" t="str">
        <f>VLOOKUP(K1536,[4]在职!$A:$B,2,0)</f>
        <v>01765</v>
      </c>
      <c r="N1536" s="46" t="str">
        <f>VLOOKUP(K1536,[4]在职!$A:$G,7,0)</f>
        <v>营业五部</v>
      </c>
      <c r="O1536" s="46" t="str">
        <f>VLOOKUP(K1536,[4]在职!$A:$I,9,0)</f>
        <v>实习销售</v>
      </c>
      <c r="P1536" s="83">
        <f>VLOOKUP(K1536,[4]在职!$A:$D,4,0)</f>
        <v>45962</v>
      </c>
      <c r="Q1536" s="105">
        <v>0</v>
      </c>
      <c r="R1536" s="105">
        <v>0</v>
      </c>
      <c r="S1536" s="46">
        <v>0</v>
      </c>
    </row>
    <row r="1537" ht="16.5" spans="1:19">
      <c r="A1537" s="46">
        <v>1544</v>
      </c>
      <c r="B1537" s="46" t="s">
        <v>45</v>
      </c>
      <c r="C1537" s="46" t="s">
        <v>38</v>
      </c>
      <c r="D1537" s="46" t="s">
        <v>25</v>
      </c>
      <c r="E1537" s="46" t="s">
        <v>1326</v>
      </c>
      <c r="F1537" s="46" t="s">
        <v>1119</v>
      </c>
      <c r="G1537" s="46" t="s">
        <v>904</v>
      </c>
      <c r="H1537" s="46" t="s">
        <v>1433</v>
      </c>
      <c r="I1537" s="46" t="s">
        <v>905</v>
      </c>
      <c r="J1537" s="83">
        <v>46106</v>
      </c>
      <c r="K1537" s="46" t="s">
        <v>1193</v>
      </c>
      <c r="L1537" s="46" t="s">
        <v>907</v>
      </c>
      <c r="M1537" s="46" t="str">
        <f>VLOOKUP(K1537,[4]在职!$A:$B,2,0)</f>
        <v>01881</v>
      </c>
      <c r="N1537" s="46" t="str">
        <f>VLOOKUP(K1537,[4]在职!$A:$G,7,0)</f>
        <v>营业五部</v>
      </c>
      <c r="O1537" s="46" t="str">
        <f>VLOOKUP(K1537,[4]在职!$A:$I,9,0)</f>
        <v>实习销售</v>
      </c>
      <c r="P1537" s="83">
        <f>VLOOKUP(K1537,[4]在职!$A:$D,4,0)</f>
        <v>46022</v>
      </c>
      <c r="Q1537" s="105">
        <v>0</v>
      </c>
      <c r="R1537" s="105">
        <v>0</v>
      </c>
      <c r="S1537" s="46">
        <v>0</v>
      </c>
    </row>
    <row r="1538" ht="16.5" spans="1:19">
      <c r="A1538" s="46">
        <v>1545</v>
      </c>
      <c r="B1538" s="46" t="s">
        <v>45</v>
      </c>
      <c r="C1538" s="46" t="s">
        <v>38</v>
      </c>
      <c r="D1538" s="46" t="s">
        <v>25</v>
      </c>
      <c r="E1538" s="46" t="s">
        <v>1326</v>
      </c>
      <c r="F1538" s="46" t="s">
        <v>1119</v>
      </c>
      <c r="G1538" s="46" t="s">
        <v>904</v>
      </c>
      <c r="H1538" s="46" t="s">
        <v>1433</v>
      </c>
      <c r="I1538" s="46" t="s">
        <v>905</v>
      </c>
      <c r="J1538" s="83">
        <v>46106</v>
      </c>
      <c r="K1538" s="46" t="s">
        <v>1532</v>
      </c>
      <c r="L1538" s="46" t="s">
        <v>915</v>
      </c>
      <c r="M1538" s="46" t="str">
        <f>VLOOKUP(K1538,[4]在职!$A:$B,2,0)</f>
        <v>01924</v>
      </c>
      <c r="N1538" s="46" t="str">
        <f>VLOOKUP(K1538,[4]在职!$A:$G,7,0)</f>
        <v>营业一部</v>
      </c>
      <c r="O1538" s="46" t="str">
        <f>VLOOKUP(K1538,[4]在职!$A:$I,9,0)</f>
        <v>实习销售</v>
      </c>
      <c r="P1538" s="83">
        <f>VLOOKUP(K1538,[4]在职!$A:$D,4,0)</f>
        <v>46048</v>
      </c>
      <c r="Q1538" s="105">
        <v>5</v>
      </c>
      <c r="R1538" s="105">
        <v>5</v>
      </c>
      <c r="S1538" s="46">
        <v>86</v>
      </c>
    </row>
    <row r="1539" ht="16.5" spans="1:19">
      <c r="A1539" s="46">
        <v>1546</v>
      </c>
      <c r="B1539" s="46" t="s">
        <v>45</v>
      </c>
      <c r="C1539" s="46" t="s">
        <v>38</v>
      </c>
      <c r="D1539" s="46" t="s">
        <v>25</v>
      </c>
      <c r="E1539" s="46" t="s">
        <v>1326</v>
      </c>
      <c r="F1539" s="46" t="s">
        <v>1119</v>
      </c>
      <c r="G1539" s="46" t="s">
        <v>904</v>
      </c>
      <c r="H1539" s="46" t="s">
        <v>1433</v>
      </c>
      <c r="I1539" s="46" t="s">
        <v>905</v>
      </c>
      <c r="J1539" s="83">
        <v>46106</v>
      </c>
      <c r="K1539" s="46" t="s">
        <v>1184</v>
      </c>
      <c r="L1539" s="46" t="s">
        <v>915</v>
      </c>
      <c r="M1539" s="46" t="str">
        <f>VLOOKUP(K1539,[4]在职!$A:$B,2,0)</f>
        <v>01893</v>
      </c>
      <c r="N1539" s="46" t="str">
        <f>VLOOKUP(K1539,[4]在职!$A:$G,7,0)</f>
        <v>营业三部</v>
      </c>
      <c r="O1539" s="46" t="str">
        <f>VLOOKUP(K1539,[4]在职!$A:$I,9,0)</f>
        <v>实习销售</v>
      </c>
      <c r="P1539" s="83">
        <f>VLOOKUP(K1539,[4]在职!$A:$D,4,0)</f>
        <v>46019</v>
      </c>
      <c r="Q1539" s="105">
        <v>5</v>
      </c>
      <c r="R1539" s="105">
        <v>5</v>
      </c>
      <c r="S1539" s="46">
        <v>91</v>
      </c>
    </row>
    <row r="1540" ht="16.5" spans="1:19">
      <c r="A1540" s="46">
        <v>1547</v>
      </c>
      <c r="B1540" s="46" t="s">
        <v>45</v>
      </c>
      <c r="C1540" s="46" t="s">
        <v>35</v>
      </c>
      <c r="D1540" s="46" t="s">
        <v>25</v>
      </c>
      <c r="E1540" s="46" t="s">
        <v>1326</v>
      </c>
      <c r="F1540" s="46" t="s">
        <v>1119</v>
      </c>
      <c r="G1540" s="46" t="s">
        <v>904</v>
      </c>
      <c r="H1540" s="46" t="s">
        <v>1433</v>
      </c>
      <c r="I1540" s="46" t="s">
        <v>905</v>
      </c>
      <c r="J1540" s="83">
        <v>46106</v>
      </c>
      <c r="K1540" s="46" t="s">
        <v>1535</v>
      </c>
      <c r="L1540" s="46" t="s">
        <v>915</v>
      </c>
      <c r="M1540" s="46" t="str">
        <f>VLOOKUP(K1540,[4]在职!$A:$B,2,0)</f>
        <v>01956</v>
      </c>
      <c r="N1540" s="46" t="str">
        <f>VLOOKUP(K1540,[4]在职!$A:$G,7,0)</f>
        <v>山东销售部</v>
      </c>
      <c r="O1540" s="46" t="str">
        <f>VLOOKUP(K1540,[4]在职!$A:$I,9,0)</f>
        <v>实习销售</v>
      </c>
      <c r="P1540" s="83">
        <f>VLOOKUP(K1540,[4]在职!$A:$D,4,0)</f>
        <v>46084</v>
      </c>
      <c r="Q1540" s="105">
        <v>5</v>
      </c>
      <c r="R1540" s="105">
        <v>5</v>
      </c>
      <c r="S1540" s="46">
        <v>80</v>
      </c>
    </row>
    <row r="1541" ht="16.5" spans="1:19">
      <c r="A1541" s="46">
        <v>1548</v>
      </c>
      <c r="B1541" s="46" t="s">
        <v>45</v>
      </c>
      <c r="C1541" s="46" t="s">
        <v>38</v>
      </c>
      <c r="D1541" s="46" t="s">
        <v>25</v>
      </c>
      <c r="E1541" s="46" t="s">
        <v>1326</v>
      </c>
      <c r="F1541" s="46" t="s">
        <v>1119</v>
      </c>
      <c r="G1541" s="46" t="s">
        <v>904</v>
      </c>
      <c r="H1541" s="46" t="s">
        <v>1433</v>
      </c>
      <c r="I1541" s="46" t="s">
        <v>905</v>
      </c>
      <c r="J1541" s="83">
        <v>46106</v>
      </c>
      <c r="K1541" s="46" t="s">
        <v>1545</v>
      </c>
      <c r="L1541" s="46" t="s">
        <v>915</v>
      </c>
      <c r="M1541" s="170" t="s">
        <v>1546</v>
      </c>
      <c r="N1541" s="46" t="s">
        <v>1547</v>
      </c>
      <c r="O1541" s="46" t="s">
        <v>1548</v>
      </c>
      <c r="P1541" s="83">
        <v>46100</v>
      </c>
      <c r="Q1541" s="105">
        <v>0</v>
      </c>
      <c r="R1541" s="105">
        <v>0</v>
      </c>
      <c r="S1541" s="46">
        <v>86</v>
      </c>
    </row>
    <row r="1542" ht="16.5" spans="1:19">
      <c r="A1542" s="46">
        <v>1549</v>
      </c>
      <c r="B1542" s="46" t="s">
        <v>45</v>
      </c>
      <c r="C1542" s="46" t="s">
        <v>38</v>
      </c>
      <c r="D1542" s="46" t="s">
        <v>25</v>
      </c>
      <c r="E1542" s="46" t="s">
        <v>1326</v>
      </c>
      <c r="F1542" s="46" t="s">
        <v>1119</v>
      </c>
      <c r="G1542" s="46" t="s">
        <v>904</v>
      </c>
      <c r="H1542" s="46" t="s">
        <v>1433</v>
      </c>
      <c r="I1542" s="46" t="s">
        <v>905</v>
      </c>
      <c r="J1542" s="83">
        <v>46106</v>
      </c>
      <c r="K1542" s="46" t="s">
        <v>1549</v>
      </c>
      <c r="L1542" s="46" t="s">
        <v>915</v>
      </c>
      <c r="M1542" s="46" t="str">
        <f>VLOOKUP(K1542,[4]在职!$A:$B,2,0)</f>
        <v>01984</v>
      </c>
      <c r="N1542" s="46" t="str">
        <f>VLOOKUP(K1542,[4]在职!$A:$G,7,0)</f>
        <v>人资行政部</v>
      </c>
      <c r="O1542" s="46" t="str">
        <f>VLOOKUP(K1542,[4]在职!$A:$I,9,0)</f>
        <v>人事专员</v>
      </c>
      <c r="P1542" s="83">
        <f>VLOOKUP(K1542,[4]在职!$A:$D,4,0)</f>
        <v>46093</v>
      </c>
      <c r="Q1542" s="105">
        <v>0</v>
      </c>
      <c r="R1542" s="105">
        <v>0</v>
      </c>
      <c r="S1542" s="46">
        <v>80</v>
      </c>
    </row>
    <row r="1543" ht="16.5" spans="1:19">
      <c r="A1543" s="46">
        <v>1550</v>
      </c>
      <c r="B1543" s="46" t="s">
        <v>45</v>
      </c>
      <c r="C1543" s="46" t="s">
        <v>38</v>
      </c>
      <c r="D1543" s="46" t="s">
        <v>25</v>
      </c>
      <c r="E1543" s="46" t="s">
        <v>1326</v>
      </c>
      <c r="F1543" s="46" t="s">
        <v>1119</v>
      </c>
      <c r="G1543" s="46" t="s">
        <v>904</v>
      </c>
      <c r="H1543" s="46" t="s">
        <v>1433</v>
      </c>
      <c r="I1543" s="46" t="s">
        <v>905</v>
      </c>
      <c r="J1543" s="83">
        <v>46106</v>
      </c>
      <c r="K1543" s="46" t="s">
        <v>1540</v>
      </c>
      <c r="L1543" s="46" t="s">
        <v>915</v>
      </c>
      <c r="M1543" s="46" t="str">
        <f>VLOOKUP(K1543,[4]在职!$A:$B,2,0)</f>
        <v>02001</v>
      </c>
      <c r="N1543" s="46" t="str">
        <f>VLOOKUP(K1543,[4]在职!$A:$G,7,0)</f>
        <v>人资行政部</v>
      </c>
      <c r="O1543" s="46" t="str">
        <f>VLOOKUP(K1543,[4]在职!$A:$I,9,0)</f>
        <v>薪酬专员</v>
      </c>
      <c r="P1543" s="83">
        <f>VLOOKUP(K1543,[4]在职!$A:$D,4,0)</f>
        <v>46097</v>
      </c>
      <c r="Q1543" s="105">
        <v>0</v>
      </c>
      <c r="R1543" s="105">
        <v>0</v>
      </c>
      <c r="S1543" s="46">
        <v>0</v>
      </c>
    </row>
    <row r="1544" ht="16.5" spans="1:19">
      <c r="A1544" s="46">
        <v>1551</v>
      </c>
      <c r="B1544" s="46" t="s">
        <v>45</v>
      </c>
      <c r="C1544" s="46" t="str">
        <f>VLOOKUP(K1544,[4]在职!$A:$E,5,0)</f>
        <v>河北</v>
      </c>
      <c r="D1544" s="46" t="s">
        <v>25</v>
      </c>
      <c r="E1544" s="46" t="s">
        <v>1326</v>
      </c>
      <c r="F1544" s="46" t="s">
        <v>1119</v>
      </c>
      <c r="G1544" s="46" t="s">
        <v>904</v>
      </c>
      <c r="H1544" s="46" t="s">
        <v>1433</v>
      </c>
      <c r="I1544" s="46" t="s">
        <v>905</v>
      </c>
      <c r="J1544" s="83">
        <v>46106</v>
      </c>
      <c r="K1544" s="46" t="s">
        <v>1550</v>
      </c>
      <c r="L1544" s="46" t="s">
        <v>907</v>
      </c>
      <c r="M1544" s="46" t="str">
        <f>VLOOKUP(K1544,[4]在职!$A:$B,2,0)</f>
        <v>01962</v>
      </c>
      <c r="N1544" s="46" t="str">
        <f>VLOOKUP(K1544,[4]在职!$A:$G,7,0)</f>
        <v>河北销售部</v>
      </c>
      <c r="O1544" s="46" t="str">
        <f>VLOOKUP(K1544,[4]在职!$A:$I,9,0)</f>
        <v>实习销售</v>
      </c>
      <c r="P1544" s="83">
        <f>VLOOKUP(K1544,[4]在职!$A:$D,4,0)</f>
        <v>46088</v>
      </c>
      <c r="Q1544" s="105">
        <v>0</v>
      </c>
      <c r="R1544" s="105">
        <v>0</v>
      </c>
      <c r="S1544" s="46">
        <v>0</v>
      </c>
    </row>
    <row r="1545" ht="16.5" spans="1:19">
      <c r="A1545" s="46">
        <v>1552</v>
      </c>
      <c r="B1545" s="46" t="s">
        <v>45</v>
      </c>
      <c r="C1545" s="46" t="str">
        <f>VLOOKUP(K1545,[4]在职!$A:$E,5,0)</f>
        <v>河北</v>
      </c>
      <c r="D1545" s="46" t="s">
        <v>25</v>
      </c>
      <c r="E1545" s="46" t="s">
        <v>1326</v>
      </c>
      <c r="F1545" s="46" t="s">
        <v>1119</v>
      </c>
      <c r="G1545" s="46" t="s">
        <v>904</v>
      </c>
      <c r="H1545" s="46" t="s">
        <v>1433</v>
      </c>
      <c r="I1545" s="46" t="s">
        <v>905</v>
      </c>
      <c r="J1545" s="83">
        <v>46106</v>
      </c>
      <c r="K1545" s="46" t="s">
        <v>1309</v>
      </c>
      <c r="L1545" s="46" t="s">
        <v>907</v>
      </c>
      <c r="M1545" s="46" t="str">
        <f>VLOOKUP(K1545,[4]在职!$A:$B,2,0)</f>
        <v>01902</v>
      </c>
      <c r="N1545" s="46" t="str">
        <f>VLOOKUP(K1545,[4]在职!$A:$G,7,0)</f>
        <v>河北销售部</v>
      </c>
      <c r="O1545" s="46" t="str">
        <f>VLOOKUP(K1545,[4]在职!$A:$I,9,0)</f>
        <v>实习销售</v>
      </c>
      <c r="P1545" s="83">
        <f>VLOOKUP(K1545,[4]在职!$A:$D,4,0)</f>
        <v>46026</v>
      </c>
      <c r="Q1545" s="105">
        <v>0</v>
      </c>
      <c r="R1545" s="105">
        <v>0</v>
      </c>
      <c r="S1545" s="46">
        <v>0</v>
      </c>
    </row>
    <row r="1546" ht="16.5" spans="1:19">
      <c r="A1546" s="46">
        <v>1553</v>
      </c>
      <c r="B1546" s="46" t="s">
        <v>45</v>
      </c>
      <c r="C1546" s="46" t="str">
        <f>VLOOKUP(K1546,[4]在职!$A:$E,5,0)</f>
        <v>西南总部</v>
      </c>
      <c r="D1546" s="46" t="s">
        <v>25</v>
      </c>
      <c r="E1546" s="46" t="s">
        <v>1326</v>
      </c>
      <c r="F1546" s="46" t="s">
        <v>1119</v>
      </c>
      <c r="G1546" s="46" t="s">
        <v>904</v>
      </c>
      <c r="H1546" s="46" t="s">
        <v>1433</v>
      </c>
      <c r="I1546" s="46" t="s">
        <v>905</v>
      </c>
      <c r="J1546" s="83">
        <v>46106</v>
      </c>
      <c r="K1546" s="46" t="s">
        <v>1551</v>
      </c>
      <c r="L1546" s="46" t="s">
        <v>907</v>
      </c>
      <c r="M1546" s="46" t="str">
        <f>VLOOKUP(K1546,[4]在职!$A:$B,2,0)</f>
        <v>01922</v>
      </c>
      <c r="N1546" s="46" t="str">
        <f>VLOOKUP(K1546,[4]在职!$A:$G,7,0)</f>
        <v>营业四部</v>
      </c>
      <c r="O1546" s="46" t="str">
        <f>VLOOKUP(K1546,[4]在职!$A:$I,9,0)</f>
        <v>实习销售</v>
      </c>
      <c r="P1546" s="83">
        <f>VLOOKUP(K1546,[4]在职!$A:$D,4,0)</f>
        <v>46048</v>
      </c>
      <c r="Q1546" s="105">
        <v>0</v>
      </c>
      <c r="R1546" s="105">
        <v>0</v>
      </c>
      <c r="S1546" s="46">
        <v>0</v>
      </c>
    </row>
    <row r="1547" ht="16.5" spans="1:19">
      <c r="A1547" s="46">
        <v>1554</v>
      </c>
      <c r="B1547" s="46" t="s">
        <v>45</v>
      </c>
      <c r="C1547" s="46" t="str">
        <f>VLOOKUP(K1547,[4]在职!$A:$E,5,0)</f>
        <v>湖南</v>
      </c>
      <c r="D1547" s="46" t="s">
        <v>25</v>
      </c>
      <c r="E1547" s="46" t="s">
        <v>1326</v>
      </c>
      <c r="F1547" s="46" t="s">
        <v>1119</v>
      </c>
      <c r="G1547" s="46" t="s">
        <v>904</v>
      </c>
      <c r="H1547" s="46" t="s">
        <v>1433</v>
      </c>
      <c r="I1547" s="46" t="s">
        <v>905</v>
      </c>
      <c r="J1547" s="83">
        <v>46106</v>
      </c>
      <c r="K1547" s="46" t="s">
        <v>1461</v>
      </c>
      <c r="L1547" s="46" t="s">
        <v>907</v>
      </c>
      <c r="M1547" s="46" t="str">
        <f>VLOOKUP(K1547,[4]在职!$A:$B,2,0)</f>
        <v>01731</v>
      </c>
      <c r="N1547" s="46" t="str">
        <f>VLOOKUP(K1547,[4]在职!$A:$G,7,0)</f>
        <v>湖南销售部</v>
      </c>
      <c r="O1547" s="46" t="str">
        <f>VLOOKUP(K1547,[4]在职!$A:$I,9,0)</f>
        <v>一星销售顾问</v>
      </c>
      <c r="P1547" s="83">
        <f>VLOOKUP(K1547,[4]在职!$A:$D,4,0)</f>
        <v>45943</v>
      </c>
      <c r="Q1547" s="105">
        <v>0</v>
      </c>
      <c r="R1547" s="105">
        <v>0</v>
      </c>
      <c r="S1547" s="46">
        <v>0</v>
      </c>
    </row>
    <row r="1548" ht="16.5" spans="1:19">
      <c r="A1548" s="46">
        <v>1555</v>
      </c>
      <c r="B1548" s="46" t="s">
        <v>45</v>
      </c>
      <c r="C1548" s="46" t="str">
        <f>VLOOKUP(K1548,[4]在职!$A:$E,5,0)</f>
        <v>西南总部</v>
      </c>
      <c r="D1548" s="46" t="s">
        <v>25</v>
      </c>
      <c r="E1548" s="46" t="s">
        <v>1326</v>
      </c>
      <c r="F1548" s="46" t="s">
        <v>1119</v>
      </c>
      <c r="G1548" s="46" t="s">
        <v>904</v>
      </c>
      <c r="H1548" s="46" t="s">
        <v>1433</v>
      </c>
      <c r="I1548" s="46" t="s">
        <v>905</v>
      </c>
      <c r="J1548" s="83">
        <v>46106</v>
      </c>
      <c r="K1548" s="46" t="s">
        <v>1552</v>
      </c>
      <c r="L1548" s="46" t="s">
        <v>907</v>
      </c>
      <c r="M1548" s="46" t="str">
        <f>VLOOKUP(K1548,[4]在职!$A:$B,2,0)</f>
        <v>01933</v>
      </c>
      <c r="N1548" s="46" t="str">
        <f>VLOOKUP(K1548,[4]在职!$A:$G,7,0)</f>
        <v>营业七部</v>
      </c>
      <c r="O1548" s="46" t="str">
        <f>VLOOKUP(K1548,[4]在职!$A:$I,9,0)</f>
        <v>实习销售</v>
      </c>
      <c r="P1548" s="83">
        <f>VLOOKUP(K1548,[4]在职!$A:$D,4,0)</f>
        <v>46057</v>
      </c>
      <c r="Q1548" s="105">
        <v>0</v>
      </c>
      <c r="R1548" s="105">
        <v>0</v>
      </c>
      <c r="S1548" s="46">
        <v>0</v>
      </c>
    </row>
    <row r="1549" ht="16.5" spans="1:19">
      <c r="A1549" s="46">
        <v>1556</v>
      </c>
      <c r="B1549" s="46" t="s">
        <v>45</v>
      </c>
      <c r="C1549" s="46" t="str">
        <f>VLOOKUP(K1549,[4]在职!$A:$E,5,0)</f>
        <v>西南总部</v>
      </c>
      <c r="D1549" s="46" t="s">
        <v>25</v>
      </c>
      <c r="E1549" s="46" t="s">
        <v>1326</v>
      </c>
      <c r="F1549" s="46" t="s">
        <v>1119</v>
      </c>
      <c r="G1549" s="46" t="s">
        <v>904</v>
      </c>
      <c r="H1549" s="46" t="s">
        <v>1433</v>
      </c>
      <c r="I1549" s="46" t="s">
        <v>905</v>
      </c>
      <c r="J1549" s="83">
        <v>46106</v>
      </c>
      <c r="K1549" s="46" t="s">
        <v>1307</v>
      </c>
      <c r="L1549" s="46" t="s">
        <v>907</v>
      </c>
      <c r="M1549" s="46" t="str">
        <f>VLOOKUP(K1549,[4]在职!$A:$B,2,0)</f>
        <v>01758</v>
      </c>
      <c r="N1549" s="46" t="str">
        <f>VLOOKUP(K1549,[4]在职!$A:$G,7,0)</f>
        <v>营业四部</v>
      </c>
      <c r="O1549" s="46" t="str">
        <f>VLOOKUP(K1549,[4]在职!$A:$I,9,0)</f>
        <v>实习销售</v>
      </c>
      <c r="P1549" s="83">
        <f>VLOOKUP(K1549,[4]在职!$A:$D,4,0)</f>
        <v>45955</v>
      </c>
      <c r="Q1549" s="105">
        <v>0</v>
      </c>
      <c r="R1549" s="105">
        <v>0</v>
      </c>
      <c r="S1549" s="46">
        <v>0</v>
      </c>
    </row>
    <row r="1550" ht="16.5" spans="1:19">
      <c r="A1550" s="46">
        <v>1557</v>
      </c>
      <c r="B1550" s="46" t="s">
        <v>45</v>
      </c>
      <c r="C1550" s="46" t="str">
        <f>VLOOKUP(K1550,[4]在职!$A:$E,5,0)</f>
        <v>西南总部</v>
      </c>
      <c r="D1550" s="46" t="s">
        <v>25</v>
      </c>
      <c r="E1550" s="46" t="s">
        <v>1326</v>
      </c>
      <c r="F1550" s="46" t="s">
        <v>1119</v>
      </c>
      <c r="G1550" s="46" t="s">
        <v>904</v>
      </c>
      <c r="H1550" s="46" t="s">
        <v>1433</v>
      </c>
      <c r="I1550" s="46" t="s">
        <v>905</v>
      </c>
      <c r="J1550" s="83">
        <v>46106</v>
      </c>
      <c r="K1550" s="46" t="s">
        <v>1303</v>
      </c>
      <c r="L1550" s="46" t="s">
        <v>907</v>
      </c>
      <c r="M1550" s="46" t="str">
        <f>VLOOKUP(K1550,[4]在职!$A:$B,2,0)</f>
        <v>01882</v>
      </c>
      <c r="N1550" s="46" t="str">
        <f>VLOOKUP(K1550,[4]在职!$A:$G,7,0)</f>
        <v>营业四部</v>
      </c>
      <c r="O1550" s="46" t="str">
        <f>VLOOKUP(K1550,[4]在职!$A:$I,9,0)</f>
        <v>实习销售</v>
      </c>
      <c r="P1550" s="83">
        <f>VLOOKUP(K1550,[4]在职!$A:$D,4,0)</f>
        <v>46022</v>
      </c>
      <c r="Q1550" s="105">
        <v>0</v>
      </c>
      <c r="R1550" s="105">
        <v>0</v>
      </c>
      <c r="S1550" s="46">
        <v>0</v>
      </c>
    </row>
    <row r="1551" ht="16.5" spans="1:19">
      <c r="A1551" s="46">
        <v>1558</v>
      </c>
      <c r="B1551" s="46" t="s">
        <v>45</v>
      </c>
      <c r="C1551" s="46" t="str">
        <f>VLOOKUP(K1551,[4]在职!$A:$E,5,0)</f>
        <v>西南总部</v>
      </c>
      <c r="D1551" s="46" t="s">
        <v>25</v>
      </c>
      <c r="E1551" s="46" t="s">
        <v>1326</v>
      </c>
      <c r="F1551" s="46" t="s">
        <v>1119</v>
      </c>
      <c r="G1551" s="46" t="s">
        <v>904</v>
      </c>
      <c r="H1551" s="46" t="s">
        <v>1433</v>
      </c>
      <c r="I1551" s="46" t="s">
        <v>905</v>
      </c>
      <c r="J1551" s="83">
        <v>46106</v>
      </c>
      <c r="K1551" s="46" t="s">
        <v>1553</v>
      </c>
      <c r="L1551" s="46" t="s">
        <v>907</v>
      </c>
      <c r="M1551" s="46" t="str">
        <f>VLOOKUP(K1551,[4]在职!$A:$B,2,0)</f>
        <v>01945</v>
      </c>
      <c r="N1551" s="46" t="str">
        <f>VLOOKUP(K1551,[4]在职!$A:$G,7,0)</f>
        <v>营业七部</v>
      </c>
      <c r="O1551" s="46" t="str">
        <f>VLOOKUP(K1551,[4]在职!$A:$I,9,0)</f>
        <v>实习销售</v>
      </c>
      <c r="P1551" s="83">
        <f>VLOOKUP(K1551,[4]在职!$A:$D,4,0)</f>
        <v>46083</v>
      </c>
      <c r="Q1551" s="105">
        <v>0</v>
      </c>
      <c r="R1551" s="105">
        <v>0</v>
      </c>
      <c r="S1551" s="46">
        <v>0</v>
      </c>
    </row>
    <row r="1552" ht="16.5" spans="1:19">
      <c r="A1552" s="46">
        <v>1559</v>
      </c>
      <c r="B1552" s="46" t="s">
        <v>45</v>
      </c>
      <c r="C1552" s="46" t="str">
        <f>VLOOKUP(K1552,[4]在职!$A:$E,5,0)</f>
        <v>西南总部</v>
      </c>
      <c r="D1552" s="46" t="s">
        <v>25</v>
      </c>
      <c r="E1552" s="46" t="s">
        <v>1326</v>
      </c>
      <c r="F1552" s="46" t="s">
        <v>1119</v>
      </c>
      <c r="G1552" s="46" t="s">
        <v>904</v>
      </c>
      <c r="H1552" s="46" t="s">
        <v>1433</v>
      </c>
      <c r="I1552" s="46" t="s">
        <v>905</v>
      </c>
      <c r="J1552" s="83">
        <v>46106</v>
      </c>
      <c r="K1552" s="46" t="s">
        <v>1554</v>
      </c>
      <c r="L1552" s="46" t="s">
        <v>907</v>
      </c>
      <c r="M1552" s="46" t="str">
        <f>VLOOKUP(K1552,[4]在职!$A:$B,2,0)</f>
        <v>01916</v>
      </c>
      <c r="N1552" s="46" t="str">
        <f>VLOOKUP(K1552,[4]在职!$A:$G,7,0)</f>
        <v>营业七部</v>
      </c>
      <c r="O1552" s="46" t="str">
        <f>VLOOKUP(K1552,[4]在职!$A:$I,9,0)</f>
        <v>实习销售</v>
      </c>
      <c r="P1552" s="83">
        <f>VLOOKUP(K1552,[4]在职!$A:$D,4,0)</f>
        <v>46042</v>
      </c>
      <c r="Q1552" s="105">
        <v>0</v>
      </c>
      <c r="R1552" s="105">
        <v>0</v>
      </c>
      <c r="S1552" s="46">
        <v>0</v>
      </c>
    </row>
    <row r="1553" ht="16.5" spans="1:19">
      <c r="A1553" s="46">
        <v>1560</v>
      </c>
      <c r="B1553" s="46" t="s">
        <v>45</v>
      </c>
      <c r="C1553" s="46" t="str">
        <f>VLOOKUP(K1553,[4]在职!$A:$E,5,0)</f>
        <v>西南总部</v>
      </c>
      <c r="D1553" s="46" t="s">
        <v>25</v>
      </c>
      <c r="E1553" s="46" t="s">
        <v>1326</v>
      </c>
      <c r="F1553" s="46" t="s">
        <v>1119</v>
      </c>
      <c r="G1553" s="46" t="s">
        <v>904</v>
      </c>
      <c r="H1553" s="46" t="s">
        <v>1433</v>
      </c>
      <c r="I1553" s="46" t="s">
        <v>905</v>
      </c>
      <c r="J1553" s="83">
        <v>46106</v>
      </c>
      <c r="K1553" s="46" t="s">
        <v>1555</v>
      </c>
      <c r="L1553" s="46" t="s">
        <v>907</v>
      </c>
      <c r="M1553" s="46" t="str">
        <f>VLOOKUP(K1553,[4]在职!$A:$B,2,0)</f>
        <v>01951</v>
      </c>
      <c r="N1553" s="46" t="str">
        <f>VLOOKUP(K1553,[4]在职!$A:$G,7,0)</f>
        <v>营业七部</v>
      </c>
      <c r="O1553" s="46" t="str">
        <f>VLOOKUP(K1553,[4]在职!$A:$I,9,0)</f>
        <v>实习销售</v>
      </c>
      <c r="P1553" s="83">
        <f>VLOOKUP(K1553,[4]在职!$A:$D,4,0)</f>
        <v>46082</v>
      </c>
      <c r="Q1553" s="105">
        <v>0</v>
      </c>
      <c r="R1553" s="105">
        <v>0</v>
      </c>
      <c r="S1553" s="46">
        <v>0</v>
      </c>
    </row>
    <row r="1554" ht="16.5" spans="1:19">
      <c r="A1554" s="46">
        <v>1561</v>
      </c>
      <c r="B1554" s="46" t="s">
        <v>45</v>
      </c>
      <c r="C1554" s="46" t="str">
        <f>VLOOKUP(K1554,[4]在职!$A:$E,5,0)</f>
        <v>西南总部</v>
      </c>
      <c r="D1554" s="46" t="s">
        <v>25</v>
      </c>
      <c r="E1554" s="46" t="s">
        <v>1326</v>
      </c>
      <c r="F1554" s="46" t="s">
        <v>1119</v>
      </c>
      <c r="G1554" s="46" t="s">
        <v>904</v>
      </c>
      <c r="H1554" s="46" t="s">
        <v>1433</v>
      </c>
      <c r="I1554" s="46" t="s">
        <v>905</v>
      </c>
      <c r="J1554" s="83">
        <v>46106</v>
      </c>
      <c r="K1554" s="46" t="s">
        <v>1556</v>
      </c>
      <c r="L1554" s="46" t="s">
        <v>907</v>
      </c>
      <c r="M1554" s="46" t="str">
        <f>VLOOKUP(K1554,[4]在职!$A:$B,2,0)</f>
        <v>01927</v>
      </c>
      <c r="N1554" s="46" t="str">
        <f>VLOOKUP(K1554,[4]在职!$A:$G,7,0)</f>
        <v>营业三部</v>
      </c>
      <c r="O1554" s="46" t="str">
        <f>VLOOKUP(K1554,[4]在职!$A:$I,9,0)</f>
        <v>实习销售</v>
      </c>
      <c r="P1554" s="83">
        <f>VLOOKUP(K1554,[4]在职!$A:$D,4,0)</f>
        <v>46049</v>
      </c>
      <c r="Q1554" s="105">
        <v>0</v>
      </c>
      <c r="R1554" s="105">
        <v>0</v>
      </c>
      <c r="S1554" s="46">
        <v>0</v>
      </c>
    </row>
    <row r="1555" ht="16.5" spans="1:19">
      <c r="A1555" s="46">
        <v>1562</v>
      </c>
      <c r="B1555" s="46" t="s">
        <v>45</v>
      </c>
      <c r="C1555" s="46" t="str">
        <f>VLOOKUP(K1555,[4]在职!$A:$E,5,0)</f>
        <v>西南总部</v>
      </c>
      <c r="D1555" s="46" t="s">
        <v>25</v>
      </c>
      <c r="E1555" s="46" t="s">
        <v>1326</v>
      </c>
      <c r="F1555" s="46" t="s">
        <v>1119</v>
      </c>
      <c r="G1555" s="46" t="s">
        <v>904</v>
      </c>
      <c r="H1555" s="46" t="s">
        <v>1433</v>
      </c>
      <c r="I1555" s="46" t="s">
        <v>905</v>
      </c>
      <c r="J1555" s="83">
        <v>46106</v>
      </c>
      <c r="K1555" s="46" t="s">
        <v>1271</v>
      </c>
      <c r="L1555" s="46" t="s">
        <v>907</v>
      </c>
      <c r="M1555" s="46" t="str">
        <f>VLOOKUP(K1555,[4]在职!$A:$B,2,0)</f>
        <v>01790</v>
      </c>
      <c r="N1555" s="46" t="str">
        <f>VLOOKUP(K1555,[4]在职!$A:$G,7,0)</f>
        <v>营业四部</v>
      </c>
      <c r="O1555" s="46" t="str">
        <f>VLOOKUP(K1555,[4]在职!$A:$I,9,0)</f>
        <v>一星销售顾问</v>
      </c>
      <c r="P1555" s="83">
        <f>VLOOKUP(K1555,[4]在职!$A:$D,4,0)</f>
        <v>45974</v>
      </c>
      <c r="Q1555" s="105">
        <v>0</v>
      </c>
      <c r="R1555" s="105">
        <v>0</v>
      </c>
      <c r="S1555" s="46">
        <v>0</v>
      </c>
    </row>
    <row r="1556" ht="16.5" spans="1:19">
      <c r="A1556" s="46">
        <v>1563</v>
      </c>
      <c r="B1556" s="46" t="s">
        <v>45</v>
      </c>
      <c r="C1556" s="46" t="str">
        <f>VLOOKUP(K1556,[4]在职!$A:$E,5,0)</f>
        <v>西南总部</v>
      </c>
      <c r="D1556" s="46" t="s">
        <v>25</v>
      </c>
      <c r="E1556" s="46" t="s">
        <v>1326</v>
      </c>
      <c r="F1556" s="46" t="s">
        <v>1119</v>
      </c>
      <c r="G1556" s="46" t="s">
        <v>904</v>
      </c>
      <c r="H1556" s="46" t="s">
        <v>1433</v>
      </c>
      <c r="I1556" s="46" t="s">
        <v>905</v>
      </c>
      <c r="J1556" s="83">
        <v>46106</v>
      </c>
      <c r="K1556" s="46" t="s">
        <v>1243</v>
      </c>
      <c r="L1556" s="46" t="s">
        <v>907</v>
      </c>
      <c r="M1556" s="46" t="str">
        <f>VLOOKUP(K1556,[4]在职!$A:$B,2,0)</f>
        <v>01909</v>
      </c>
      <c r="N1556" s="46" t="str">
        <f>VLOOKUP(K1556,[4]在职!$A:$G,7,0)</f>
        <v>营业一部</v>
      </c>
      <c r="O1556" s="46" t="str">
        <f>VLOOKUP(K1556,[4]在职!$A:$I,9,0)</f>
        <v>实习销售</v>
      </c>
      <c r="P1556" s="83">
        <f>VLOOKUP(K1556,[4]在职!$A:$D,4,0)</f>
        <v>46031</v>
      </c>
      <c r="Q1556" s="105">
        <v>0</v>
      </c>
      <c r="R1556" s="105">
        <v>0</v>
      </c>
      <c r="S1556" s="46">
        <v>0</v>
      </c>
    </row>
    <row r="1557" ht="16.5" spans="1:19">
      <c r="A1557" s="46">
        <v>1564</v>
      </c>
      <c r="B1557" s="46" t="s">
        <v>45</v>
      </c>
      <c r="C1557" s="46" t="str">
        <f>VLOOKUP(K1557,[4]在职!$A:$E,5,0)</f>
        <v>西南总部</v>
      </c>
      <c r="D1557" s="46" t="s">
        <v>25</v>
      </c>
      <c r="E1557" s="46" t="s">
        <v>1326</v>
      </c>
      <c r="F1557" s="46" t="s">
        <v>1119</v>
      </c>
      <c r="G1557" s="46" t="s">
        <v>904</v>
      </c>
      <c r="H1557" s="46" t="s">
        <v>1433</v>
      </c>
      <c r="I1557" s="46" t="s">
        <v>905</v>
      </c>
      <c r="J1557" s="83">
        <v>46106</v>
      </c>
      <c r="K1557" s="46" t="s">
        <v>1557</v>
      </c>
      <c r="L1557" s="46" t="s">
        <v>907</v>
      </c>
      <c r="M1557" s="46" t="str">
        <f>VLOOKUP(K1557,[4]在职!$A:$B,2,0)</f>
        <v>01965</v>
      </c>
      <c r="N1557" s="46" t="str">
        <f>VLOOKUP(K1557,[4]在职!$A:$G,7,0)</f>
        <v>营业二部</v>
      </c>
      <c r="O1557" s="46" t="str">
        <f>VLOOKUP(K1557,[4]在职!$A:$I,9,0)</f>
        <v>实习销售</v>
      </c>
      <c r="P1557" s="83">
        <f>VLOOKUP(K1557,[4]在职!$A:$D,4,0)</f>
        <v>46085</v>
      </c>
      <c r="Q1557" s="105">
        <v>0</v>
      </c>
      <c r="R1557" s="105">
        <v>0</v>
      </c>
      <c r="S1557" s="46">
        <v>0</v>
      </c>
    </row>
    <row r="1558" ht="16.5" spans="1:19">
      <c r="A1558" s="46">
        <v>1565</v>
      </c>
      <c r="B1558" s="46" t="s">
        <v>45</v>
      </c>
      <c r="C1558" s="46" t="str">
        <f>VLOOKUP(K1558,[4]在职!$A:$E,5,0)</f>
        <v>西南总部</v>
      </c>
      <c r="D1558" s="46" t="s">
        <v>25</v>
      </c>
      <c r="E1558" s="46" t="s">
        <v>1326</v>
      </c>
      <c r="F1558" s="46" t="s">
        <v>1119</v>
      </c>
      <c r="G1558" s="46" t="s">
        <v>904</v>
      </c>
      <c r="H1558" s="46" t="s">
        <v>1433</v>
      </c>
      <c r="I1558" s="46" t="s">
        <v>905</v>
      </c>
      <c r="J1558" s="83">
        <v>46106</v>
      </c>
      <c r="K1558" s="46" t="s">
        <v>1558</v>
      </c>
      <c r="L1558" s="46" t="s">
        <v>907</v>
      </c>
      <c r="M1558" s="46" t="str">
        <f>VLOOKUP(K1558,[4]在职!$A:$B,2,0)</f>
        <v>01967</v>
      </c>
      <c r="N1558" s="46" t="str">
        <f>VLOOKUP(K1558,[4]在职!$A:$G,7,0)</f>
        <v>营业二部</v>
      </c>
      <c r="O1558" s="46" t="str">
        <f>VLOOKUP(K1558,[4]在职!$A:$I,9,0)</f>
        <v>实习销售</v>
      </c>
      <c r="P1558" s="83">
        <f>VLOOKUP(K1558,[4]在职!$A:$D,4,0)</f>
        <v>46087</v>
      </c>
      <c r="Q1558" s="105">
        <v>0</v>
      </c>
      <c r="R1558" s="105">
        <v>0</v>
      </c>
      <c r="S1558" s="46">
        <v>0</v>
      </c>
    </row>
    <row r="1559" ht="16.5" spans="1:19">
      <c r="A1559" s="46">
        <v>1566</v>
      </c>
      <c r="B1559" s="46" t="s">
        <v>45</v>
      </c>
      <c r="C1559" s="46" t="str">
        <f>VLOOKUP(K1559,[4]在职!$A:$E,5,0)</f>
        <v>西南总部</v>
      </c>
      <c r="D1559" s="46" t="s">
        <v>25</v>
      </c>
      <c r="E1559" s="46" t="s">
        <v>1326</v>
      </c>
      <c r="F1559" s="46" t="s">
        <v>1119</v>
      </c>
      <c r="G1559" s="46" t="s">
        <v>904</v>
      </c>
      <c r="H1559" s="46" t="s">
        <v>1433</v>
      </c>
      <c r="I1559" s="46" t="s">
        <v>905</v>
      </c>
      <c r="J1559" s="83">
        <v>46106</v>
      </c>
      <c r="K1559" s="46" t="s">
        <v>1559</v>
      </c>
      <c r="L1559" s="46" t="s">
        <v>907</v>
      </c>
      <c r="M1559" s="46" t="str">
        <f>VLOOKUP(K1559,[4]在职!$A:$B,2,0)</f>
        <v>01935</v>
      </c>
      <c r="N1559" s="46" t="str">
        <f>VLOOKUP(K1559,[4]在职!$A:$G,7,0)</f>
        <v>营业二部</v>
      </c>
      <c r="O1559" s="46" t="str">
        <f>VLOOKUP(K1559,[4]在职!$A:$I,9,0)</f>
        <v>实习销售</v>
      </c>
      <c r="P1559" s="83">
        <f>VLOOKUP(K1559,[4]在职!$A:$D,4,0)</f>
        <v>46062</v>
      </c>
      <c r="Q1559" s="105">
        <v>0</v>
      </c>
      <c r="R1559" s="105">
        <v>0</v>
      </c>
      <c r="S1559" s="46">
        <v>0</v>
      </c>
    </row>
    <row r="1560" ht="16.5" spans="1:19">
      <c r="A1560" s="46">
        <v>1567</v>
      </c>
      <c r="B1560" s="46" t="s">
        <v>45</v>
      </c>
      <c r="C1560" s="46" t="str">
        <f>VLOOKUP(K1560,[4]在职!$A:$E,5,0)</f>
        <v>西南总部</v>
      </c>
      <c r="D1560" s="46" t="s">
        <v>25</v>
      </c>
      <c r="E1560" s="46" t="s">
        <v>1326</v>
      </c>
      <c r="F1560" s="46" t="s">
        <v>1119</v>
      </c>
      <c r="G1560" s="46" t="s">
        <v>904</v>
      </c>
      <c r="H1560" s="46" t="s">
        <v>1433</v>
      </c>
      <c r="I1560" s="46" t="s">
        <v>905</v>
      </c>
      <c r="J1560" s="83">
        <v>46106</v>
      </c>
      <c r="K1560" s="46" t="s">
        <v>1560</v>
      </c>
      <c r="L1560" s="46" t="s">
        <v>907</v>
      </c>
      <c r="M1560" s="46" t="str">
        <f>VLOOKUP(K1560,[4]在职!$A:$B,2,0)</f>
        <v>01919</v>
      </c>
      <c r="N1560" s="46" t="str">
        <f>VLOOKUP(K1560,[4]在职!$A:$G,7,0)</f>
        <v>营业二部</v>
      </c>
      <c r="O1560" s="46" t="str">
        <f>VLOOKUP(K1560,[4]在职!$A:$I,9,0)</f>
        <v>实习销售</v>
      </c>
      <c r="P1560" s="83">
        <f>VLOOKUP(K1560,[4]在职!$A:$D,4,0)</f>
        <v>46045</v>
      </c>
      <c r="Q1560" s="105">
        <v>0</v>
      </c>
      <c r="R1560" s="105">
        <v>0</v>
      </c>
      <c r="S1560" s="46">
        <v>0</v>
      </c>
    </row>
    <row r="1561" ht="16.5" spans="1:19">
      <c r="A1561" s="46">
        <v>1568</v>
      </c>
      <c r="B1561" s="46" t="s">
        <v>45</v>
      </c>
      <c r="C1561" s="46" t="str">
        <f>VLOOKUP(K1561,[4]在职!$A:$E,5,0)</f>
        <v>西南总部</v>
      </c>
      <c r="D1561" s="46" t="s">
        <v>25</v>
      </c>
      <c r="E1561" s="46" t="s">
        <v>1326</v>
      </c>
      <c r="F1561" s="46" t="s">
        <v>1119</v>
      </c>
      <c r="G1561" s="46" t="s">
        <v>904</v>
      </c>
      <c r="H1561" s="46" t="s">
        <v>1433</v>
      </c>
      <c r="I1561" s="46" t="s">
        <v>905</v>
      </c>
      <c r="J1561" s="83">
        <v>46106</v>
      </c>
      <c r="K1561" s="46" t="s">
        <v>1227</v>
      </c>
      <c r="L1561" s="46" t="s">
        <v>907</v>
      </c>
      <c r="M1561" s="46" t="str">
        <f>VLOOKUP(K1561,[4]在职!$A:$B,2,0)</f>
        <v>01764</v>
      </c>
      <c r="N1561" s="46" t="str">
        <f>VLOOKUP(K1561,[4]在职!$A:$G,7,0)</f>
        <v>营业二部</v>
      </c>
      <c r="O1561" s="46" t="str">
        <f>VLOOKUP(K1561,[4]在职!$A:$I,9,0)</f>
        <v>一星销售顾问</v>
      </c>
      <c r="P1561" s="83">
        <f>VLOOKUP(K1561,[4]在职!$A:$D,4,0)</f>
        <v>45962</v>
      </c>
      <c r="Q1561" s="105">
        <v>0</v>
      </c>
      <c r="R1561" s="105">
        <v>0</v>
      </c>
      <c r="S1561" s="46">
        <v>0</v>
      </c>
    </row>
    <row r="1562" ht="16.5" spans="1:19">
      <c r="A1562" s="46">
        <v>1569</v>
      </c>
      <c r="B1562" s="46" t="s">
        <v>45</v>
      </c>
      <c r="C1562" s="46" t="str">
        <f>VLOOKUP(K1562,[4]在职!$A:$E,5,0)</f>
        <v>西南总部</v>
      </c>
      <c r="D1562" s="46" t="s">
        <v>25</v>
      </c>
      <c r="E1562" s="46" t="s">
        <v>1326</v>
      </c>
      <c r="F1562" s="46" t="s">
        <v>1119</v>
      </c>
      <c r="G1562" s="46" t="s">
        <v>904</v>
      </c>
      <c r="H1562" s="46" t="s">
        <v>1433</v>
      </c>
      <c r="I1562" s="46" t="s">
        <v>905</v>
      </c>
      <c r="J1562" s="83">
        <v>46106</v>
      </c>
      <c r="K1562" s="46" t="s">
        <v>1561</v>
      </c>
      <c r="L1562" s="46" t="s">
        <v>907</v>
      </c>
      <c r="M1562" s="46" t="str">
        <f>VLOOKUP(K1562,[4]在职!$A:$B,2,0)</f>
        <v>01934</v>
      </c>
      <c r="N1562" s="46" t="str">
        <f>VLOOKUP(K1562,[4]在职!$A:$G,7,0)</f>
        <v>营业五部</v>
      </c>
      <c r="O1562" s="46" t="str">
        <f>VLOOKUP(K1562,[4]在职!$A:$I,9,0)</f>
        <v>实习销售</v>
      </c>
      <c r="P1562" s="83">
        <f>VLOOKUP(K1562,[4]在职!$A:$D,4,0)</f>
        <v>46061</v>
      </c>
      <c r="Q1562" s="105">
        <v>0</v>
      </c>
      <c r="R1562" s="105">
        <v>0</v>
      </c>
      <c r="S1562" s="46">
        <v>0</v>
      </c>
    </row>
    <row r="1563" ht="16.5" spans="1:19">
      <c r="A1563" s="46">
        <v>1570</v>
      </c>
      <c r="B1563" s="46" t="s">
        <v>45</v>
      </c>
      <c r="C1563" s="46" t="str">
        <f>VLOOKUP(K1563,[4]在职!$A:$E,5,0)</f>
        <v>西南总部</v>
      </c>
      <c r="D1563" s="46" t="s">
        <v>25</v>
      </c>
      <c r="E1563" s="46" t="s">
        <v>1326</v>
      </c>
      <c r="F1563" s="46" t="s">
        <v>1119</v>
      </c>
      <c r="G1563" s="46" t="s">
        <v>904</v>
      </c>
      <c r="H1563" s="46" t="s">
        <v>1433</v>
      </c>
      <c r="I1563" s="46" t="s">
        <v>905</v>
      </c>
      <c r="J1563" s="83">
        <v>46106</v>
      </c>
      <c r="K1563" s="46" t="s">
        <v>1562</v>
      </c>
      <c r="L1563" s="46" t="s">
        <v>907</v>
      </c>
      <c r="M1563" s="46" t="str">
        <f>VLOOKUP(K1563,[4]在职!$A:$B,2,0)</f>
        <v>01975</v>
      </c>
      <c r="N1563" s="46" t="str">
        <f>VLOOKUP(K1563,[4]在职!$A:$G,7,0)</f>
        <v>营业六部</v>
      </c>
      <c r="O1563" s="46" t="str">
        <f>VLOOKUP(K1563,[4]在职!$A:$I,9,0)</f>
        <v>实习销售</v>
      </c>
      <c r="P1563" s="83">
        <f>VLOOKUP(K1563,[4]在职!$A:$D,4,0)</f>
        <v>46087</v>
      </c>
      <c r="Q1563" s="105">
        <v>0</v>
      </c>
      <c r="R1563" s="105">
        <v>0</v>
      </c>
      <c r="S1563" s="46">
        <v>0</v>
      </c>
    </row>
    <row r="1564" ht="16.5" spans="1:19">
      <c r="A1564" s="46">
        <v>1571</v>
      </c>
      <c r="B1564" s="46" t="s">
        <v>45</v>
      </c>
      <c r="C1564" s="46" t="str">
        <f>VLOOKUP(K1564,[4]在职!$A:$E,5,0)</f>
        <v>西南总部</v>
      </c>
      <c r="D1564" s="46" t="s">
        <v>25</v>
      </c>
      <c r="E1564" s="46" t="s">
        <v>1326</v>
      </c>
      <c r="F1564" s="46" t="s">
        <v>1119</v>
      </c>
      <c r="G1564" s="46" t="s">
        <v>904</v>
      </c>
      <c r="H1564" s="46" t="s">
        <v>1433</v>
      </c>
      <c r="I1564" s="46" t="s">
        <v>905</v>
      </c>
      <c r="J1564" s="83">
        <v>46106</v>
      </c>
      <c r="K1564" s="46" t="s">
        <v>1563</v>
      </c>
      <c r="L1564" s="46" t="s">
        <v>907</v>
      </c>
      <c r="M1564" s="46" t="str">
        <f>VLOOKUP(K1564,[4]在职!$A:$B,2,0)</f>
        <v>01974</v>
      </c>
      <c r="N1564" s="46" t="str">
        <f>VLOOKUP(K1564,[4]在职!$A:$G,7,0)</f>
        <v>营业六部</v>
      </c>
      <c r="O1564" s="46" t="str">
        <f>VLOOKUP(K1564,[4]在职!$A:$I,9,0)</f>
        <v>实习销售</v>
      </c>
      <c r="P1564" s="83">
        <f>VLOOKUP(K1564,[4]在职!$A:$D,4,0)</f>
        <v>46087</v>
      </c>
      <c r="Q1564" s="105">
        <v>0</v>
      </c>
      <c r="R1564" s="105">
        <v>0</v>
      </c>
      <c r="S1564" s="46">
        <v>0</v>
      </c>
    </row>
    <row r="1565" ht="16.5" spans="1:19">
      <c r="A1565" s="46">
        <v>1572</v>
      </c>
      <c r="B1565" s="46" t="s">
        <v>45</v>
      </c>
      <c r="C1565" s="46" t="str">
        <f>VLOOKUP(K1565,[4]在职!$A:$E,5,0)</f>
        <v>西南总部</v>
      </c>
      <c r="D1565" s="46" t="s">
        <v>25</v>
      </c>
      <c r="E1565" s="46" t="s">
        <v>1326</v>
      </c>
      <c r="F1565" s="46" t="s">
        <v>1119</v>
      </c>
      <c r="G1565" s="46" t="s">
        <v>904</v>
      </c>
      <c r="H1565" s="46" t="s">
        <v>1433</v>
      </c>
      <c r="I1565" s="46" t="s">
        <v>905</v>
      </c>
      <c r="J1565" s="83">
        <v>46106</v>
      </c>
      <c r="K1565" s="46" t="s">
        <v>1564</v>
      </c>
      <c r="L1565" s="46" t="s">
        <v>907</v>
      </c>
      <c r="M1565" s="46" t="str">
        <f>VLOOKUP(K1565,[4]在职!$A:$B,2,0)</f>
        <v>01971</v>
      </c>
      <c r="N1565" s="46" t="str">
        <f>VLOOKUP(K1565,[4]在职!$A:$G,7,0)</f>
        <v>营业六部</v>
      </c>
      <c r="O1565" s="46" t="str">
        <f>VLOOKUP(K1565,[4]在职!$A:$I,9,0)</f>
        <v>实习销售</v>
      </c>
      <c r="P1565" s="83">
        <f>VLOOKUP(K1565,[4]在职!$A:$D,4,0)</f>
        <v>46083</v>
      </c>
      <c r="Q1565" s="105">
        <v>0</v>
      </c>
      <c r="R1565" s="105">
        <v>0</v>
      </c>
      <c r="S1565" s="46">
        <v>0</v>
      </c>
    </row>
    <row r="1566" ht="16.5" spans="1:19">
      <c r="A1566" s="46">
        <v>1573</v>
      </c>
      <c r="B1566" s="46" t="s">
        <v>45</v>
      </c>
      <c r="C1566" s="46" t="str">
        <f>VLOOKUP(K1566,[4]在职!$A:$E,5,0)</f>
        <v>西南总部</v>
      </c>
      <c r="D1566" s="46" t="s">
        <v>25</v>
      </c>
      <c r="E1566" s="46" t="s">
        <v>1326</v>
      </c>
      <c r="F1566" s="46" t="s">
        <v>1119</v>
      </c>
      <c r="G1566" s="46" t="s">
        <v>904</v>
      </c>
      <c r="H1566" s="46" t="s">
        <v>1433</v>
      </c>
      <c r="I1566" s="46" t="s">
        <v>905</v>
      </c>
      <c r="J1566" s="83">
        <v>46106</v>
      </c>
      <c r="K1566" s="46" t="s">
        <v>1203</v>
      </c>
      <c r="L1566" s="46" t="s">
        <v>907</v>
      </c>
      <c r="M1566" s="46" t="str">
        <f>VLOOKUP(K1566,[4]在职!$A:$B,2,0)</f>
        <v>01835</v>
      </c>
      <c r="N1566" s="46" t="str">
        <f>VLOOKUP(K1566,[4]在职!$A:$G,7,0)</f>
        <v>营业六部</v>
      </c>
      <c r="O1566" s="46" t="str">
        <f>VLOOKUP(K1566,[4]在职!$A:$I,9,0)</f>
        <v>实习销售</v>
      </c>
      <c r="P1566" s="83">
        <f>VLOOKUP(K1566,[4]在职!$A:$D,4,0)</f>
        <v>45994</v>
      </c>
      <c r="Q1566" s="105">
        <v>0</v>
      </c>
      <c r="R1566" s="105">
        <v>0</v>
      </c>
      <c r="S1566" s="46">
        <v>0</v>
      </c>
    </row>
    <row r="1567" ht="16.5" spans="1:19">
      <c r="A1567" s="46">
        <v>1574</v>
      </c>
      <c r="B1567" s="46" t="s">
        <v>45</v>
      </c>
      <c r="C1567" s="46" t="str">
        <f>VLOOKUP(K1567,[4]在职!$A:$E,5,0)</f>
        <v>西南总部</v>
      </c>
      <c r="D1567" s="46" t="s">
        <v>25</v>
      </c>
      <c r="E1567" s="46" t="s">
        <v>1326</v>
      </c>
      <c r="F1567" s="46" t="s">
        <v>1119</v>
      </c>
      <c r="G1567" s="46" t="s">
        <v>904</v>
      </c>
      <c r="H1567" s="46" t="s">
        <v>1433</v>
      </c>
      <c r="I1567" s="46" t="s">
        <v>905</v>
      </c>
      <c r="J1567" s="83">
        <v>46106</v>
      </c>
      <c r="K1567" s="46" t="s">
        <v>1211</v>
      </c>
      <c r="L1567" s="46" t="s">
        <v>907</v>
      </c>
      <c r="M1567" s="46" t="str">
        <f>VLOOKUP(K1567,[4]在职!$A:$B,2,0)</f>
        <v>01866</v>
      </c>
      <c r="N1567" s="46" t="str">
        <f>VLOOKUP(K1567,[4]在职!$A:$G,7,0)</f>
        <v>营业五部</v>
      </c>
      <c r="O1567" s="46" t="str">
        <f>VLOOKUP(K1567,[4]在职!$A:$I,9,0)</f>
        <v>实习销售</v>
      </c>
      <c r="P1567" s="83">
        <f>VLOOKUP(K1567,[4]在职!$A:$D,4,0)</f>
        <v>46010</v>
      </c>
      <c r="Q1567" s="105">
        <v>0</v>
      </c>
      <c r="R1567" s="105">
        <v>0</v>
      </c>
      <c r="S1567" s="46">
        <v>0</v>
      </c>
    </row>
    <row r="1568" ht="16.5" spans="1:19">
      <c r="A1568" s="46">
        <v>1575</v>
      </c>
      <c r="B1568" s="46" t="s">
        <v>45</v>
      </c>
      <c r="C1568" s="46" t="str">
        <f>VLOOKUP(K1568,[4]在职!$A:$E,5,0)</f>
        <v>西南总部</v>
      </c>
      <c r="D1568" s="46" t="s">
        <v>25</v>
      </c>
      <c r="E1568" s="46" t="s">
        <v>1326</v>
      </c>
      <c r="F1568" s="46" t="s">
        <v>1119</v>
      </c>
      <c r="G1568" s="46" t="s">
        <v>904</v>
      </c>
      <c r="H1568" s="46" t="s">
        <v>1433</v>
      </c>
      <c r="I1568" s="46" t="s">
        <v>905</v>
      </c>
      <c r="J1568" s="83">
        <v>46106</v>
      </c>
      <c r="K1568" s="46" t="s">
        <v>1213</v>
      </c>
      <c r="L1568" s="46" t="s">
        <v>907</v>
      </c>
      <c r="M1568" s="46" t="str">
        <f>VLOOKUP(K1568,[4]在职!$A:$B,2,0)</f>
        <v>01673</v>
      </c>
      <c r="N1568" s="46" t="str">
        <f>VLOOKUP(K1568,[4]在职!$A:$G,7,0)</f>
        <v>营业五部</v>
      </c>
      <c r="O1568" s="46" t="str">
        <f>VLOOKUP(K1568,[4]在职!$A:$I,9,0)</f>
        <v>实习销售</v>
      </c>
      <c r="P1568" s="83">
        <f>VLOOKUP(K1568,[4]在职!$A:$D,4,0)</f>
        <v>45896</v>
      </c>
      <c r="Q1568" s="105">
        <v>0</v>
      </c>
      <c r="R1568" s="105">
        <v>0</v>
      </c>
      <c r="S1568" s="46">
        <v>0</v>
      </c>
    </row>
    <row r="1569" ht="16.5" spans="1:19">
      <c r="A1569" s="46">
        <v>1576</v>
      </c>
      <c r="B1569" s="46" t="s">
        <v>45</v>
      </c>
      <c r="C1569" s="46" t="str">
        <f>VLOOKUP(K1569,[4]在职!$A:$E,5,0)</f>
        <v>西南总部</v>
      </c>
      <c r="D1569" s="46" t="s">
        <v>25</v>
      </c>
      <c r="E1569" s="46" t="s">
        <v>1326</v>
      </c>
      <c r="F1569" s="46" t="s">
        <v>1119</v>
      </c>
      <c r="G1569" s="46" t="s">
        <v>904</v>
      </c>
      <c r="H1569" s="46" t="s">
        <v>1433</v>
      </c>
      <c r="I1569" s="46" t="s">
        <v>905</v>
      </c>
      <c r="J1569" s="83">
        <v>46106</v>
      </c>
      <c r="K1569" s="46" t="s">
        <v>1209</v>
      </c>
      <c r="L1569" s="46" t="s">
        <v>907</v>
      </c>
      <c r="M1569" s="46" t="str">
        <f>VLOOKUP(K1569,[4]在职!$A:$B,2,0)</f>
        <v>01886</v>
      </c>
      <c r="N1569" s="46" t="str">
        <f>VLOOKUP(K1569,[4]在职!$A:$G,7,0)</f>
        <v>营业五部</v>
      </c>
      <c r="O1569" s="46" t="str">
        <f>VLOOKUP(K1569,[4]在职!$A:$I,9,0)</f>
        <v>实习销售</v>
      </c>
      <c r="P1569" s="83">
        <f>VLOOKUP(K1569,[4]在职!$A:$D,4,0)</f>
        <v>46022</v>
      </c>
      <c r="Q1569" s="105">
        <v>0</v>
      </c>
      <c r="R1569" s="105">
        <v>0</v>
      </c>
      <c r="S1569" s="46">
        <v>0</v>
      </c>
    </row>
    <row r="1570" ht="16.5" spans="1:19">
      <c r="A1570" s="46">
        <v>1577</v>
      </c>
      <c r="B1570" s="46" t="s">
        <v>45</v>
      </c>
      <c r="C1570" s="46" t="str">
        <f>VLOOKUP(K1570,[4]在职!$A:$E,5,0)</f>
        <v>西南总部</v>
      </c>
      <c r="D1570" s="46" t="s">
        <v>25</v>
      </c>
      <c r="E1570" s="46" t="s">
        <v>1326</v>
      </c>
      <c r="F1570" s="46" t="s">
        <v>1119</v>
      </c>
      <c r="G1570" s="46" t="s">
        <v>904</v>
      </c>
      <c r="H1570" s="46" t="s">
        <v>1433</v>
      </c>
      <c r="I1570" s="46" t="s">
        <v>905</v>
      </c>
      <c r="J1570" s="83">
        <v>46106</v>
      </c>
      <c r="K1570" s="46" t="s">
        <v>1207</v>
      </c>
      <c r="L1570" s="46" t="s">
        <v>907</v>
      </c>
      <c r="M1570" s="46" t="str">
        <f>VLOOKUP(K1570,[4]在职!$A:$B,2,0)</f>
        <v>01892</v>
      </c>
      <c r="N1570" s="46" t="str">
        <f>VLOOKUP(K1570,[4]在职!$A:$G,7,0)</f>
        <v>营业五部</v>
      </c>
      <c r="O1570" s="46" t="str">
        <f>VLOOKUP(K1570,[4]在职!$A:$I,9,0)</f>
        <v>实习销售</v>
      </c>
      <c r="P1570" s="83">
        <f>VLOOKUP(K1570,[4]在职!$A:$D,4,0)</f>
        <v>46022</v>
      </c>
      <c r="Q1570" s="105">
        <v>0</v>
      </c>
      <c r="R1570" s="105">
        <v>0</v>
      </c>
      <c r="S1570" s="46">
        <v>0</v>
      </c>
    </row>
    <row r="1571" ht="16.5" spans="1:19">
      <c r="A1571" s="46">
        <v>1578</v>
      </c>
      <c r="B1571" s="46" t="s">
        <v>45</v>
      </c>
      <c r="C1571" s="46" t="str">
        <f>VLOOKUP(K1571,[4]在职!$A:$E,5,0)</f>
        <v>西南总部</v>
      </c>
      <c r="D1571" s="46" t="s">
        <v>25</v>
      </c>
      <c r="E1571" s="46" t="s">
        <v>1326</v>
      </c>
      <c r="F1571" s="46" t="s">
        <v>1119</v>
      </c>
      <c r="G1571" s="46" t="s">
        <v>904</v>
      </c>
      <c r="H1571" s="46" t="s">
        <v>1433</v>
      </c>
      <c r="I1571" s="46" t="s">
        <v>905</v>
      </c>
      <c r="J1571" s="83">
        <v>46106</v>
      </c>
      <c r="K1571" s="46" t="s">
        <v>1565</v>
      </c>
      <c r="L1571" s="46" t="s">
        <v>907</v>
      </c>
      <c r="M1571" s="46" t="str">
        <f>VLOOKUP(K1571,[4]在职!$A:$B,2,0)</f>
        <v>01960</v>
      </c>
      <c r="N1571" s="46" t="str">
        <f>VLOOKUP(K1571,[4]在职!$A:$G,7,0)</f>
        <v>营业五部</v>
      </c>
      <c r="O1571" s="46" t="str">
        <f>VLOOKUP(K1571,[4]在职!$A:$I,9,0)</f>
        <v>实习销售</v>
      </c>
      <c r="P1571" s="83">
        <f>VLOOKUP(K1571,[4]在职!$A:$D,4,0)</f>
        <v>46085</v>
      </c>
      <c r="Q1571" s="105">
        <v>0</v>
      </c>
      <c r="R1571" s="105">
        <v>0</v>
      </c>
      <c r="S1571" s="46">
        <v>0</v>
      </c>
    </row>
    <row r="1572" ht="16.5" spans="1:19">
      <c r="A1572" s="46">
        <v>1579</v>
      </c>
      <c r="B1572" s="46" t="s">
        <v>45</v>
      </c>
      <c r="C1572" s="46" t="str">
        <f>VLOOKUP(K1572,[4]在职!$A:$E,5,0)</f>
        <v>西南总部</v>
      </c>
      <c r="D1572" s="46" t="s">
        <v>25</v>
      </c>
      <c r="E1572" s="46" t="s">
        <v>1326</v>
      </c>
      <c r="F1572" s="46" t="s">
        <v>1119</v>
      </c>
      <c r="G1572" s="46" t="s">
        <v>904</v>
      </c>
      <c r="H1572" s="46" t="s">
        <v>1433</v>
      </c>
      <c r="I1572" s="46" t="s">
        <v>905</v>
      </c>
      <c r="J1572" s="83">
        <v>46106</v>
      </c>
      <c r="K1572" s="46" t="s">
        <v>1201</v>
      </c>
      <c r="L1572" s="46" t="s">
        <v>907</v>
      </c>
      <c r="M1572" s="46" t="str">
        <f>VLOOKUP(K1572,[4]在职!$A:$B,2,0)</f>
        <v>01905</v>
      </c>
      <c r="N1572" s="46" t="str">
        <f>VLOOKUP(K1572,[4]在职!$A:$G,7,0)</f>
        <v>营业七部</v>
      </c>
      <c r="O1572" s="46" t="str">
        <f>VLOOKUP(K1572,[4]在职!$A:$I,9,0)</f>
        <v>实习销售</v>
      </c>
      <c r="P1572" s="83">
        <f>VLOOKUP(K1572,[4]在职!$A:$D,4,0)</f>
        <v>46027</v>
      </c>
      <c r="Q1572" s="105">
        <v>0</v>
      </c>
      <c r="R1572" s="105">
        <v>0</v>
      </c>
      <c r="S1572" s="46">
        <v>0</v>
      </c>
    </row>
    <row r="1573" ht="16.5" spans="1:19">
      <c r="A1573" s="46">
        <v>1580</v>
      </c>
      <c r="B1573" s="46" t="s">
        <v>45</v>
      </c>
      <c r="C1573" s="46" t="str">
        <f>VLOOKUP(K1573,[4]在职!$A:$E,5,0)</f>
        <v>西南总部</v>
      </c>
      <c r="D1573" s="46" t="s">
        <v>25</v>
      </c>
      <c r="E1573" s="46" t="s">
        <v>1326</v>
      </c>
      <c r="F1573" s="46" t="s">
        <v>1119</v>
      </c>
      <c r="G1573" s="46" t="s">
        <v>904</v>
      </c>
      <c r="H1573" s="46" t="s">
        <v>1433</v>
      </c>
      <c r="I1573" s="46" t="s">
        <v>905</v>
      </c>
      <c r="J1573" s="83">
        <v>46106</v>
      </c>
      <c r="K1573" s="46" t="s">
        <v>1566</v>
      </c>
      <c r="L1573" s="46" t="s">
        <v>907</v>
      </c>
      <c r="M1573" s="46" t="str">
        <f>VLOOKUP(K1573,[4]在职!$A:$B,2,0)</f>
        <v>01953</v>
      </c>
      <c r="N1573" s="46" t="str">
        <f>VLOOKUP(K1573,[4]在职!$A:$G,7,0)</f>
        <v>营业六部</v>
      </c>
      <c r="O1573" s="46" t="str">
        <f>VLOOKUP(K1573,[4]在职!$A:$I,9,0)</f>
        <v>实习销售</v>
      </c>
      <c r="P1573" s="83">
        <f>VLOOKUP(K1573,[4]在职!$A:$D,4,0)</f>
        <v>46083</v>
      </c>
      <c r="Q1573" s="105">
        <v>0</v>
      </c>
      <c r="R1573" s="105">
        <v>0</v>
      </c>
      <c r="S1573" s="46">
        <v>0</v>
      </c>
    </row>
    <row r="1574" ht="16.5" spans="1:19">
      <c r="A1574" s="46">
        <v>1581</v>
      </c>
      <c r="B1574" s="46" t="s">
        <v>45</v>
      </c>
      <c r="C1574" s="46" t="str">
        <f>VLOOKUP(K1574,[4]在职!$A:$E,5,0)</f>
        <v>西南总部</v>
      </c>
      <c r="D1574" s="46" t="s">
        <v>25</v>
      </c>
      <c r="E1574" s="46" t="s">
        <v>1326</v>
      </c>
      <c r="F1574" s="46" t="s">
        <v>1119</v>
      </c>
      <c r="G1574" s="46" t="s">
        <v>904</v>
      </c>
      <c r="H1574" s="46" t="s">
        <v>1433</v>
      </c>
      <c r="I1574" s="46" t="s">
        <v>905</v>
      </c>
      <c r="J1574" s="83">
        <v>46106</v>
      </c>
      <c r="K1574" s="46" t="s">
        <v>1182</v>
      </c>
      <c r="L1574" s="46" t="s">
        <v>907</v>
      </c>
      <c r="M1574" s="46" t="str">
        <f>VLOOKUP(K1574,[4]在职!$A:$B,2,0)</f>
        <v>01864</v>
      </c>
      <c r="N1574" s="46" t="str">
        <f>VLOOKUP(K1574,[4]在职!$A:$G,7,0)</f>
        <v>营业六部</v>
      </c>
      <c r="O1574" s="46" t="str">
        <f>VLOOKUP(K1574,[4]在职!$A:$I,9,0)</f>
        <v>实习销售</v>
      </c>
      <c r="P1574" s="83">
        <f>VLOOKUP(K1574,[4]在职!$A:$D,4,0)</f>
        <v>46008</v>
      </c>
      <c r="Q1574" s="105">
        <v>0</v>
      </c>
      <c r="R1574" s="105">
        <v>0</v>
      </c>
      <c r="S1574" s="46">
        <v>0</v>
      </c>
    </row>
    <row r="1575" ht="16.5" spans="1:19">
      <c r="A1575" s="46">
        <v>1582</v>
      </c>
      <c r="B1575" s="46" t="s">
        <v>45</v>
      </c>
      <c r="C1575" s="46" t="str">
        <f>VLOOKUP(K1575,[4]在职!$A:$E,5,0)</f>
        <v>西南总部</v>
      </c>
      <c r="D1575" s="46" t="s">
        <v>25</v>
      </c>
      <c r="E1575" s="46" t="s">
        <v>1326</v>
      </c>
      <c r="F1575" s="46" t="s">
        <v>1119</v>
      </c>
      <c r="G1575" s="46" t="s">
        <v>904</v>
      </c>
      <c r="H1575" s="46" t="s">
        <v>1433</v>
      </c>
      <c r="I1575" s="46" t="s">
        <v>905</v>
      </c>
      <c r="J1575" s="83">
        <v>46106</v>
      </c>
      <c r="K1575" s="46" t="s">
        <v>1503</v>
      </c>
      <c r="L1575" s="46" t="s">
        <v>907</v>
      </c>
      <c r="M1575" s="46" t="str">
        <f>VLOOKUP(K1575,[4]在职!$A:$B,2,0)</f>
        <v>01560</v>
      </c>
      <c r="N1575" s="46" t="str">
        <f>VLOOKUP(K1575,[4]在职!$A:$G,7,0)</f>
        <v>营业五部</v>
      </c>
      <c r="O1575" s="46" t="str">
        <f>VLOOKUP(K1575,[4]在职!$A:$I,9,0)</f>
        <v>一星销售顾问</v>
      </c>
      <c r="P1575" s="83">
        <f>VLOOKUP(K1575,[4]在职!$A:$D,4,0)</f>
        <v>45838</v>
      </c>
      <c r="Q1575" s="105">
        <v>0</v>
      </c>
      <c r="R1575" s="105">
        <v>0</v>
      </c>
      <c r="S1575" s="46">
        <v>0</v>
      </c>
    </row>
    <row r="1576" ht="16.5" spans="1:19">
      <c r="A1576" s="46">
        <v>1583</v>
      </c>
      <c r="B1576" s="46" t="s">
        <v>45</v>
      </c>
      <c r="C1576" s="46" t="str">
        <f>VLOOKUP(K1576,[4]在职!$A:$E,5,0)</f>
        <v>河北</v>
      </c>
      <c r="D1576" s="46" t="s">
        <v>25</v>
      </c>
      <c r="E1576" s="46" t="s">
        <v>1324</v>
      </c>
      <c r="F1576" s="46" t="s">
        <v>1325</v>
      </c>
      <c r="G1576" s="46" t="s">
        <v>904</v>
      </c>
      <c r="H1576" s="46" t="s">
        <v>1433</v>
      </c>
      <c r="I1576" s="46" t="s">
        <v>905</v>
      </c>
      <c r="J1576" s="83">
        <v>46106</v>
      </c>
      <c r="K1576" s="46" t="s">
        <v>1550</v>
      </c>
      <c r="L1576" s="46" t="s">
        <v>907</v>
      </c>
      <c r="M1576" s="46" t="str">
        <f>VLOOKUP(K1576,[4]在职!$A:$B,2,0)</f>
        <v>01962</v>
      </c>
      <c r="N1576" s="46" t="str">
        <f>VLOOKUP(K1576,[4]在职!$A:$G,7,0)</f>
        <v>河北销售部</v>
      </c>
      <c r="O1576" s="46" t="str">
        <f>VLOOKUP(K1576,[4]在职!$A:$I,9,0)</f>
        <v>实习销售</v>
      </c>
      <c r="P1576" s="83">
        <f>VLOOKUP(K1576,[4]在职!$A:$D,4,0)</f>
        <v>46088</v>
      </c>
      <c r="Q1576" s="105">
        <v>0</v>
      </c>
      <c r="R1576" s="105">
        <v>0</v>
      </c>
      <c r="S1576" s="46">
        <v>0</v>
      </c>
    </row>
    <row r="1577" ht="16.5" spans="1:19">
      <c r="A1577" s="46">
        <v>1584</v>
      </c>
      <c r="B1577" s="46" t="s">
        <v>45</v>
      </c>
      <c r="C1577" s="46" t="str">
        <f>VLOOKUP(K1577,[4]在职!$A:$E,5,0)</f>
        <v>河北</v>
      </c>
      <c r="D1577" s="46" t="s">
        <v>25</v>
      </c>
      <c r="E1577" s="46" t="s">
        <v>1324</v>
      </c>
      <c r="F1577" s="46" t="s">
        <v>1325</v>
      </c>
      <c r="G1577" s="46" t="s">
        <v>904</v>
      </c>
      <c r="H1577" s="46" t="s">
        <v>1433</v>
      </c>
      <c r="I1577" s="46" t="s">
        <v>905</v>
      </c>
      <c r="J1577" s="83">
        <v>46106</v>
      </c>
      <c r="K1577" s="46" t="s">
        <v>1309</v>
      </c>
      <c r="L1577" s="46" t="s">
        <v>907</v>
      </c>
      <c r="M1577" s="46" t="str">
        <f>VLOOKUP(K1577,[4]在职!$A:$B,2,0)</f>
        <v>01902</v>
      </c>
      <c r="N1577" s="46" t="str">
        <f>VLOOKUP(K1577,[4]在职!$A:$G,7,0)</f>
        <v>河北销售部</v>
      </c>
      <c r="O1577" s="46" t="str">
        <f>VLOOKUP(K1577,[4]在职!$A:$I,9,0)</f>
        <v>实习销售</v>
      </c>
      <c r="P1577" s="83">
        <f>VLOOKUP(K1577,[4]在职!$A:$D,4,0)</f>
        <v>46026</v>
      </c>
      <c r="Q1577" s="105">
        <v>0</v>
      </c>
      <c r="R1577" s="105">
        <v>0</v>
      </c>
      <c r="S1577" s="46">
        <v>0</v>
      </c>
    </row>
    <row r="1578" ht="16.5" spans="1:19">
      <c r="A1578" s="46">
        <v>1585</v>
      </c>
      <c r="B1578" s="46" t="s">
        <v>45</v>
      </c>
      <c r="C1578" s="46" t="str">
        <f>VLOOKUP(K1578,[4]在职!$A:$E,5,0)</f>
        <v>西南总部</v>
      </c>
      <c r="D1578" s="46" t="s">
        <v>25</v>
      </c>
      <c r="E1578" s="46" t="s">
        <v>1324</v>
      </c>
      <c r="F1578" s="46" t="s">
        <v>1325</v>
      </c>
      <c r="G1578" s="46" t="s">
        <v>904</v>
      </c>
      <c r="H1578" s="46" t="s">
        <v>1433</v>
      </c>
      <c r="I1578" s="46" t="s">
        <v>905</v>
      </c>
      <c r="J1578" s="83">
        <v>46106</v>
      </c>
      <c r="K1578" s="46" t="s">
        <v>1551</v>
      </c>
      <c r="L1578" s="46" t="s">
        <v>907</v>
      </c>
      <c r="M1578" s="46" t="str">
        <f>VLOOKUP(K1578,[4]在职!$A:$B,2,0)</f>
        <v>01922</v>
      </c>
      <c r="N1578" s="46" t="str">
        <f>VLOOKUP(K1578,[4]在职!$A:$G,7,0)</f>
        <v>营业四部</v>
      </c>
      <c r="O1578" s="46" t="str">
        <f>VLOOKUP(K1578,[4]在职!$A:$I,9,0)</f>
        <v>实习销售</v>
      </c>
      <c r="P1578" s="83">
        <f>VLOOKUP(K1578,[4]在职!$A:$D,4,0)</f>
        <v>46048</v>
      </c>
      <c r="Q1578" s="105">
        <v>0</v>
      </c>
      <c r="R1578" s="105">
        <v>0</v>
      </c>
      <c r="S1578" s="46">
        <v>0</v>
      </c>
    </row>
    <row r="1579" ht="16.5" spans="1:19">
      <c r="A1579" s="46">
        <v>1586</v>
      </c>
      <c r="B1579" s="46" t="s">
        <v>45</v>
      </c>
      <c r="C1579" s="46" t="str">
        <f>VLOOKUP(K1579,[4]在职!$A:$E,5,0)</f>
        <v>湖南</v>
      </c>
      <c r="D1579" s="46" t="s">
        <v>25</v>
      </c>
      <c r="E1579" s="46" t="s">
        <v>1324</v>
      </c>
      <c r="F1579" s="46" t="s">
        <v>1325</v>
      </c>
      <c r="G1579" s="46" t="s">
        <v>904</v>
      </c>
      <c r="H1579" s="46" t="s">
        <v>1433</v>
      </c>
      <c r="I1579" s="46" t="s">
        <v>905</v>
      </c>
      <c r="J1579" s="83">
        <v>46106</v>
      </c>
      <c r="K1579" s="46" t="s">
        <v>1461</v>
      </c>
      <c r="L1579" s="46" t="s">
        <v>907</v>
      </c>
      <c r="M1579" s="46" t="str">
        <f>VLOOKUP(K1579,[4]在职!$A:$B,2,0)</f>
        <v>01731</v>
      </c>
      <c r="N1579" s="46" t="str">
        <f>VLOOKUP(K1579,[4]在职!$A:$G,7,0)</f>
        <v>湖南销售部</v>
      </c>
      <c r="O1579" s="46" t="str">
        <f>VLOOKUP(K1579,[4]在职!$A:$I,9,0)</f>
        <v>一星销售顾问</v>
      </c>
      <c r="P1579" s="83">
        <f>VLOOKUP(K1579,[4]在职!$A:$D,4,0)</f>
        <v>45943</v>
      </c>
      <c r="Q1579" s="105">
        <v>0</v>
      </c>
      <c r="R1579" s="105">
        <v>0</v>
      </c>
      <c r="S1579" s="46">
        <v>0</v>
      </c>
    </row>
    <row r="1580" ht="16.5" spans="1:19">
      <c r="A1580" s="46">
        <v>1587</v>
      </c>
      <c r="B1580" s="46" t="s">
        <v>45</v>
      </c>
      <c r="C1580" s="46" t="str">
        <f>VLOOKUP(K1580,[4]在职!$A:$E,5,0)</f>
        <v>西南总部</v>
      </c>
      <c r="D1580" s="46" t="s">
        <v>25</v>
      </c>
      <c r="E1580" s="46" t="s">
        <v>1324</v>
      </c>
      <c r="F1580" s="46" t="s">
        <v>1325</v>
      </c>
      <c r="G1580" s="46" t="s">
        <v>904</v>
      </c>
      <c r="H1580" s="46" t="s">
        <v>1433</v>
      </c>
      <c r="I1580" s="46" t="s">
        <v>905</v>
      </c>
      <c r="J1580" s="83">
        <v>46106</v>
      </c>
      <c r="K1580" s="46" t="s">
        <v>1552</v>
      </c>
      <c r="L1580" s="46" t="s">
        <v>907</v>
      </c>
      <c r="M1580" s="46" t="str">
        <f>VLOOKUP(K1580,[4]在职!$A:$B,2,0)</f>
        <v>01933</v>
      </c>
      <c r="N1580" s="46" t="str">
        <f>VLOOKUP(K1580,[4]在职!$A:$G,7,0)</f>
        <v>营业七部</v>
      </c>
      <c r="O1580" s="46" t="str">
        <f>VLOOKUP(K1580,[4]在职!$A:$I,9,0)</f>
        <v>实习销售</v>
      </c>
      <c r="P1580" s="83">
        <f>VLOOKUP(K1580,[4]在职!$A:$D,4,0)</f>
        <v>46057</v>
      </c>
      <c r="Q1580" s="105">
        <v>0</v>
      </c>
      <c r="R1580" s="105">
        <v>0</v>
      </c>
      <c r="S1580" s="46">
        <v>0</v>
      </c>
    </row>
    <row r="1581" ht="16.5" spans="1:19">
      <c r="A1581" s="46">
        <v>1588</v>
      </c>
      <c r="B1581" s="46" t="s">
        <v>45</v>
      </c>
      <c r="C1581" s="46" t="str">
        <f>VLOOKUP(K1581,[4]在职!$A:$E,5,0)</f>
        <v>西南总部</v>
      </c>
      <c r="D1581" s="46" t="s">
        <v>25</v>
      </c>
      <c r="E1581" s="46" t="s">
        <v>1324</v>
      </c>
      <c r="F1581" s="46" t="s">
        <v>1325</v>
      </c>
      <c r="G1581" s="46" t="s">
        <v>904</v>
      </c>
      <c r="H1581" s="46" t="s">
        <v>1433</v>
      </c>
      <c r="I1581" s="46" t="s">
        <v>905</v>
      </c>
      <c r="J1581" s="83">
        <v>46106</v>
      </c>
      <c r="K1581" s="46" t="s">
        <v>1307</v>
      </c>
      <c r="L1581" s="46" t="s">
        <v>907</v>
      </c>
      <c r="M1581" s="46" t="str">
        <f>VLOOKUP(K1581,[4]在职!$A:$B,2,0)</f>
        <v>01758</v>
      </c>
      <c r="N1581" s="46" t="str">
        <f>VLOOKUP(K1581,[4]在职!$A:$G,7,0)</f>
        <v>营业四部</v>
      </c>
      <c r="O1581" s="46" t="str">
        <f>VLOOKUP(K1581,[4]在职!$A:$I,9,0)</f>
        <v>实习销售</v>
      </c>
      <c r="P1581" s="83">
        <f>VLOOKUP(K1581,[4]在职!$A:$D,4,0)</f>
        <v>45955</v>
      </c>
      <c r="Q1581" s="105">
        <v>0</v>
      </c>
      <c r="R1581" s="105">
        <v>0</v>
      </c>
      <c r="S1581" s="46">
        <v>0</v>
      </c>
    </row>
    <row r="1582" ht="16.5" spans="1:19">
      <c r="A1582" s="46">
        <v>1589</v>
      </c>
      <c r="B1582" s="46" t="s">
        <v>45</v>
      </c>
      <c r="C1582" s="46" t="str">
        <f>VLOOKUP(K1582,[4]在职!$A:$E,5,0)</f>
        <v>西南总部</v>
      </c>
      <c r="D1582" s="46" t="s">
        <v>25</v>
      </c>
      <c r="E1582" s="46" t="s">
        <v>1324</v>
      </c>
      <c r="F1582" s="46" t="s">
        <v>1325</v>
      </c>
      <c r="G1582" s="46" t="s">
        <v>904</v>
      </c>
      <c r="H1582" s="46" t="s">
        <v>1433</v>
      </c>
      <c r="I1582" s="46" t="s">
        <v>905</v>
      </c>
      <c r="J1582" s="83">
        <v>46106</v>
      </c>
      <c r="K1582" s="46" t="s">
        <v>1303</v>
      </c>
      <c r="L1582" s="46" t="s">
        <v>907</v>
      </c>
      <c r="M1582" s="46" t="str">
        <f>VLOOKUP(K1582,[4]在职!$A:$B,2,0)</f>
        <v>01882</v>
      </c>
      <c r="N1582" s="46" t="str">
        <f>VLOOKUP(K1582,[4]在职!$A:$G,7,0)</f>
        <v>营业四部</v>
      </c>
      <c r="O1582" s="46" t="str">
        <f>VLOOKUP(K1582,[4]在职!$A:$I,9,0)</f>
        <v>实习销售</v>
      </c>
      <c r="P1582" s="83">
        <f>VLOOKUP(K1582,[4]在职!$A:$D,4,0)</f>
        <v>46022</v>
      </c>
      <c r="Q1582" s="105">
        <v>0</v>
      </c>
      <c r="R1582" s="105">
        <v>0</v>
      </c>
      <c r="S1582" s="46">
        <v>0</v>
      </c>
    </row>
    <row r="1583" ht="16.5" spans="1:19">
      <c r="A1583" s="46">
        <v>1590</v>
      </c>
      <c r="B1583" s="46" t="s">
        <v>45</v>
      </c>
      <c r="C1583" s="46" t="str">
        <f>VLOOKUP(K1583,[4]在职!$A:$E,5,0)</f>
        <v>西南总部</v>
      </c>
      <c r="D1583" s="46" t="s">
        <v>25</v>
      </c>
      <c r="E1583" s="46" t="s">
        <v>1324</v>
      </c>
      <c r="F1583" s="46" t="s">
        <v>1325</v>
      </c>
      <c r="G1583" s="46" t="s">
        <v>904</v>
      </c>
      <c r="H1583" s="46" t="s">
        <v>1433</v>
      </c>
      <c r="I1583" s="46" t="s">
        <v>905</v>
      </c>
      <c r="J1583" s="83">
        <v>46106</v>
      </c>
      <c r="K1583" s="46" t="s">
        <v>1553</v>
      </c>
      <c r="L1583" s="46" t="s">
        <v>907</v>
      </c>
      <c r="M1583" s="46" t="str">
        <f>VLOOKUP(K1583,[4]在职!$A:$B,2,0)</f>
        <v>01945</v>
      </c>
      <c r="N1583" s="46" t="str">
        <f>VLOOKUP(K1583,[4]在职!$A:$G,7,0)</f>
        <v>营业七部</v>
      </c>
      <c r="O1583" s="46" t="str">
        <f>VLOOKUP(K1583,[4]在职!$A:$I,9,0)</f>
        <v>实习销售</v>
      </c>
      <c r="P1583" s="83">
        <f>VLOOKUP(K1583,[4]在职!$A:$D,4,0)</f>
        <v>46083</v>
      </c>
      <c r="Q1583" s="105">
        <v>0</v>
      </c>
      <c r="R1583" s="105">
        <v>0</v>
      </c>
      <c r="S1583" s="46">
        <v>0</v>
      </c>
    </row>
    <row r="1584" ht="16.5" spans="1:19">
      <c r="A1584" s="46">
        <v>1591</v>
      </c>
      <c r="B1584" s="46" t="s">
        <v>45</v>
      </c>
      <c r="C1584" s="46" t="str">
        <f>VLOOKUP(K1584,[4]在职!$A:$E,5,0)</f>
        <v>西南总部</v>
      </c>
      <c r="D1584" s="46" t="s">
        <v>25</v>
      </c>
      <c r="E1584" s="46" t="s">
        <v>1324</v>
      </c>
      <c r="F1584" s="46" t="s">
        <v>1325</v>
      </c>
      <c r="G1584" s="46" t="s">
        <v>904</v>
      </c>
      <c r="H1584" s="46" t="s">
        <v>1433</v>
      </c>
      <c r="I1584" s="46" t="s">
        <v>905</v>
      </c>
      <c r="J1584" s="83">
        <v>46106</v>
      </c>
      <c r="K1584" s="46" t="s">
        <v>1554</v>
      </c>
      <c r="L1584" s="46" t="s">
        <v>907</v>
      </c>
      <c r="M1584" s="46" t="str">
        <f>VLOOKUP(K1584,[4]在职!$A:$B,2,0)</f>
        <v>01916</v>
      </c>
      <c r="N1584" s="46" t="str">
        <f>VLOOKUP(K1584,[4]在职!$A:$G,7,0)</f>
        <v>营业七部</v>
      </c>
      <c r="O1584" s="46" t="str">
        <f>VLOOKUP(K1584,[4]在职!$A:$I,9,0)</f>
        <v>实习销售</v>
      </c>
      <c r="P1584" s="83">
        <f>VLOOKUP(K1584,[4]在职!$A:$D,4,0)</f>
        <v>46042</v>
      </c>
      <c r="Q1584" s="105">
        <v>0</v>
      </c>
      <c r="R1584" s="105">
        <v>0</v>
      </c>
      <c r="S1584" s="46">
        <v>0</v>
      </c>
    </row>
    <row r="1585" ht="16.5" spans="1:19">
      <c r="A1585" s="46">
        <v>1592</v>
      </c>
      <c r="B1585" s="46" t="s">
        <v>45</v>
      </c>
      <c r="C1585" s="46" t="str">
        <f>VLOOKUP(K1585,[4]在职!$A:$E,5,0)</f>
        <v>西南总部</v>
      </c>
      <c r="D1585" s="46" t="s">
        <v>25</v>
      </c>
      <c r="E1585" s="46" t="s">
        <v>1324</v>
      </c>
      <c r="F1585" s="46" t="s">
        <v>1325</v>
      </c>
      <c r="G1585" s="46" t="s">
        <v>904</v>
      </c>
      <c r="H1585" s="46" t="s">
        <v>1433</v>
      </c>
      <c r="I1585" s="46" t="s">
        <v>905</v>
      </c>
      <c r="J1585" s="83">
        <v>46106</v>
      </c>
      <c r="K1585" s="46" t="s">
        <v>1555</v>
      </c>
      <c r="L1585" s="46" t="s">
        <v>907</v>
      </c>
      <c r="M1585" s="46" t="str">
        <f>VLOOKUP(K1585,[4]在职!$A:$B,2,0)</f>
        <v>01951</v>
      </c>
      <c r="N1585" s="46" t="str">
        <f>VLOOKUP(K1585,[4]在职!$A:$G,7,0)</f>
        <v>营业七部</v>
      </c>
      <c r="O1585" s="46" t="str">
        <f>VLOOKUP(K1585,[4]在职!$A:$I,9,0)</f>
        <v>实习销售</v>
      </c>
      <c r="P1585" s="83">
        <f>VLOOKUP(K1585,[4]在职!$A:$D,4,0)</f>
        <v>46082</v>
      </c>
      <c r="Q1585" s="105">
        <v>0</v>
      </c>
      <c r="R1585" s="105">
        <v>0</v>
      </c>
      <c r="S1585" s="46">
        <v>0</v>
      </c>
    </row>
    <row r="1586" ht="16.5" spans="1:19">
      <c r="A1586" s="46">
        <v>1593</v>
      </c>
      <c r="B1586" s="46" t="s">
        <v>45</v>
      </c>
      <c r="C1586" s="46" t="str">
        <f>VLOOKUP(K1586,[4]在职!$A:$E,5,0)</f>
        <v>西南总部</v>
      </c>
      <c r="D1586" s="46" t="s">
        <v>25</v>
      </c>
      <c r="E1586" s="46" t="s">
        <v>1324</v>
      </c>
      <c r="F1586" s="46" t="s">
        <v>1325</v>
      </c>
      <c r="G1586" s="46" t="s">
        <v>904</v>
      </c>
      <c r="H1586" s="46" t="s">
        <v>1433</v>
      </c>
      <c r="I1586" s="46" t="s">
        <v>905</v>
      </c>
      <c r="J1586" s="83">
        <v>46106</v>
      </c>
      <c r="K1586" s="46" t="s">
        <v>1556</v>
      </c>
      <c r="L1586" s="46" t="s">
        <v>907</v>
      </c>
      <c r="M1586" s="46" t="str">
        <f>VLOOKUP(K1586,[4]在职!$A:$B,2,0)</f>
        <v>01927</v>
      </c>
      <c r="N1586" s="46" t="str">
        <f>VLOOKUP(K1586,[4]在职!$A:$G,7,0)</f>
        <v>营业三部</v>
      </c>
      <c r="O1586" s="46" t="str">
        <f>VLOOKUP(K1586,[4]在职!$A:$I,9,0)</f>
        <v>实习销售</v>
      </c>
      <c r="P1586" s="83">
        <f>VLOOKUP(K1586,[4]在职!$A:$D,4,0)</f>
        <v>46049</v>
      </c>
      <c r="Q1586" s="105">
        <v>0</v>
      </c>
      <c r="R1586" s="105">
        <v>0</v>
      </c>
      <c r="S1586" s="46">
        <v>0</v>
      </c>
    </row>
    <row r="1587" ht="16.5" spans="1:19">
      <c r="A1587" s="46">
        <v>1594</v>
      </c>
      <c r="B1587" s="46" t="s">
        <v>45</v>
      </c>
      <c r="C1587" s="46" t="str">
        <f>VLOOKUP(K1587,[4]在职!$A:$E,5,0)</f>
        <v>西南总部</v>
      </c>
      <c r="D1587" s="46" t="s">
        <v>25</v>
      </c>
      <c r="E1587" s="46" t="s">
        <v>1324</v>
      </c>
      <c r="F1587" s="46" t="s">
        <v>1325</v>
      </c>
      <c r="G1587" s="46" t="s">
        <v>904</v>
      </c>
      <c r="H1587" s="46" t="s">
        <v>1433</v>
      </c>
      <c r="I1587" s="46" t="s">
        <v>905</v>
      </c>
      <c r="J1587" s="83">
        <v>46106</v>
      </c>
      <c r="K1587" s="46" t="s">
        <v>1271</v>
      </c>
      <c r="L1587" s="46" t="s">
        <v>907</v>
      </c>
      <c r="M1587" s="46" t="str">
        <f>VLOOKUP(K1587,[4]在职!$A:$B,2,0)</f>
        <v>01790</v>
      </c>
      <c r="N1587" s="46" t="str">
        <f>VLOOKUP(K1587,[4]在职!$A:$G,7,0)</f>
        <v>营业四部</v>
      </c>
      <c r="O1587" s="46" t="str">
        <f>VLOOKUP(K1587,[4]在职!$A:$I,9,0)</f>
        <v>一星销售顾问</v>
      </c>
      <c r="P1587" s="83">
        <f>VLOOKUP(K1587,[4]在职!$A:$D,4,0)</f>
        <v>45974</v>
      </c>
      <c r="Q1587" s="105">
        <v>0</v>
      </c>
      <c r="R1587" s="105">
        <v>0</v>
      </c>
      <c r="S1587" s="46">
        <v>0</v>
      </c>
    </row>
    <row r="1588" ht="16.5" spans="1:19">
      <c r="A1588" s="46">
        <v>1595</v>
      </c>
      <c r="B1588" s="46" t="s">
        <v>45</v>
      </c>
      <c r="C1588" s="46" t="str">
        <f>VLOOKUP(K1588,[4]在职!$A:$E,5,0)</f>
        <v>西南总部</v>
      </c>
      <c r="D1588" s="46" t="s">
        <v>25</v>
      </c>
      <c r="E1588" s="46" t="s">
        <v>1324</v>
      </c>
      <c r="F1588" s="46" t="s">
        <v>1325</v>
      </c>
      <c r="G1588" s="46" t="s">
        <v>904</v>
      </c>
      <c r="H1588" s="46" t="s">
        <v>1433</v>
      </c>
      <c r="I1588" s="46" t="s">
        <v>905</v>
      </c>
      <c r="J1588" s="83">
        <v>46106</v>
      </c>
      <c r="K1588" s="46" t="s">
        <v>1243</v>
      </c>
      <c r="L1588" s="46" t="s">
        <v>907</v>
      </c>
      <c r="M1588" s="46" t="str">
        <f>VLOOKUP(K1588,[4]在职!$A:$B,2,0)</f>
        <v>01909</v>
      </c>
      <c r="N1588" s="46" t="str">
        <f>VLOOKUP(K1588,[4]在职!$A:$G,7,0)</f>
        <v>营业一部</v>
      </c>
      <c r="O1588" s="46" t="str">
        <f>VLOOKUP(K1588,[4]在职!$A:$I,9,0)</f>
        <v>实习销售</v>
      </c>
      <c r="P1588" s="83">
        <f>VLOOKUP(K1588,[4]在职!$A:$D,4,0)</f>
        <v>46031</v>
      </c>
      <c r="Q1588" s="105">
        <v>0</v>
      </c>
      <c r="R1588" s="105">
        <v>0</v>
      </c>
      <c r="S1588" s="46">
        <v>0</v>
      </c>
    </row>
    <row r="1589" ht="16.5" spans="1:19">
      <c r="A1589" s="46">
        <v>1596</v>
      </c>
      <c r="B1589" s="46" t="s">
        <v>45</v>
      </c>
      <c r="C1589" s="46" t="str">
        <f>VLOOKUP(K1589,[4]在职!$A:$E,5,0)</f>
        <v>西南总部</v>
      </c>
      <c r="D1589" s="46" t="s">
        <v>25</v>
      </c>
      <c r="E1589" s="46" t="s">
        <v>1324</v>
      </c>
      <c r="F1589" s="46" t="s">
        <v>1325</v>
      </c>
      <c r="G1589" s="46" t="s">
        <v>904</v>
      </c>
      <c r="H1589" s="46" t="s">
        <v>1433</v>
      </c>
      <c r="I1589" s="46" t="s">
        <v>905</v>
      </c>
      <c r="J1589" s="83">
        <v>46106</v>
      </c>
      <c r="K1589" s="46" t="s">
        <v>1557</v>
      </c>
      <c r="L1589" s="46" t="s">
        <v>907</v>
      </c>
      <c r="M1589" s="46" t="str">
        <f>VLOOKUP(K1589,[4]在职!$A:$B,2,0)</f>
        <v>01965</v>
      </c>
      <c r="N1589" s="46" t="str">
        <f>VLOOKUP(K1589,[4]在职!$A:$G,7,0)</f>
        <v>营业二部</v>
      </c>
      <c r="O1589" s="46" t="str">
        <f>VLOOKUP(K1589,[4]在职!$A:$I,9,0)</f>
        <v>实习销售</v>
      </c>
      <c r="P1589" s="83">
        <f>VLOOKUP(K1589,[4]在职!$A:$D,4,0)</f>
        <v>46085</v>
      </c>
      <c r="Q1589" s="105">
        <v>0</v>
      </c>
      <c r="R1589" s="105">
        <v>0</v>
      </c>
      <c r="S1589" s="46">
        <v>0</v>
      </c>
    </row>
    <row r="1590" ht="16.5" spans="1:19">
      <c r="A1590" s="46">
        <v>1597</v>
      </c>
      <c r="B1590" s="46" t="s">
        <v>45</v>
      </c>
      <c r="C1590" s="46" t="str">
        <f>VLOOKUP(K1590,[4]在职!$A:$E,5,0)</f>
        <v>西南总部</v>
      </c>
      <c r="D1590" s="46" t="s">
        <v>25</v>
      </c>
      <c r="E1590" s="46" t="s">
        <v>1324</v>
      </c>
      <c r="F1590" s="46" t="s">
        <v>1325</v>
      </c>
      <c r="G1590" s="46" t="s">
        <v>904</v>
      </c>
      <c r="H1590" s="46" t="s">
        <v>1433</v>
      </c>
      <c r="I1590" s="46" t="s">
        <v>905</v>
      </c>
      <c r="J1590" s="83">
        <v>46106</v>
      </c>
      <c r="K1590" s="46" t="s">
        <v>1558</v>
      </c>
      <c r="L1590" s="46" t="s">
        <v>907</v>
      </c>
      <c r="M1590" s="46" t="str">
        <f>VLOOKUP(K1590,[4]在职!$A:$B,2,0)</f>
        <v>01967</v>
      </c>
      <c r="N1590" s="46" t="str">
        <f>VLOOKUP(K1590,[4]在职!$A:$G,7,0)</f>
        <v>营业二部</v>
      </c>
      <c r="O1590" s="46" t="str">
        <f>VLOOKUP(K1590,[4]在职!$A:$I,9,0)</f>
        <v>实习销售</v>
      </c>
      <c r="P1590" s="83">
        <f>VLOOKUP(K1590,[4]在职!$A:$D,4,0)</f>
        <v>46087</v>
      </c>
      <c r="Q1590" s="105">
        <v>0</v>
      </c>
      <c r="R1590" s="105">
        <v>0</v>
      </c>
      <c r="S1590" s="46">
        <v>0</v>
      </c>
    </row>
    <row r="1591" ht="16.5" spans="1:19">
      <c r="A1591" s="46">
        <v>1598</v>
      </c>
      <c r="B1591" s="46" t="s">
        <v>45</v>
      </c>
      <c r="C1591" s="46" t="str">
        <f>VLOOKUP(K1591,[4]在职!$A:$E,5,0)</f>
        <v>西南总部</v>
      </c>
      <c r="D1591" s="46" t="s">
        <v>25</v>
      </c>
      <c r="E1591" s="46" t="s">
        <v>1324</v>
      </c>
      <c r="F1591" s="46" t="s">
        <v>1325</v>
      </c>
      <c r="G1591" s="46" t="s">
        <v>904</v>
      </c>
      <c r="H1591" s="46" t="s">
        <v>1433</v>
      </c>
      <c r="I1591" s="46" t="s">
        <v>905</v>
      </c>
      <c r="J1591" s="83">
        <v>46106</v>
      </c>
      <c r="K1591" s="46" t="s">
        <v>1559</v>
      </c>
      <c r="L1591" s="46" t="s">
        <v>907</v>
      </c>
      <c r="M1591" s="46" t="str">
        <f>VLOOKUP(K1591,[4]在职!$A:$B,2,0)</f>
        <v>01935</v>
      </c>
      <c r="N1591" s="46" t="str">
        <f>VLOOKUP(K1591,[4]在职!$A:$G,7,0)</f>
        <v>营业二部</v>
      </c>
      <c r="O1591" s="46" t="str">
        <f>VLOOKUP(K1591,[4]在职!$A:$I,9,0)</f>
        <v>实习销售</v>
      </c>
      <c r="P1591" s="83">
        <f>VLOOKUP(K1591,[4]在职!$A:$D,4,0)</f>
        <v>46062</v>
      </c>
      <c r="Q1591" s="105">
        <v>0</v>
      </c>
      <c r="R1591" s="105">
        <v>0</v>
      </c>
      <c r="S1591" s="46">
        <v>0</v>
      </c>
    </row>
    <row r="1592" ht="16.5" spans="1:19">
      <c r="A1592" s="46">
        <v>1599</v>
      </c>
      <c r="B1592" s="46" t="s">
        <v>45</v>
      </c>
      <c r="C1592" s="46" t="str">
        <f>VLOOKUP(K1592,[4]在职!$A:$E,5,0)</f>
        <v>西南总部</v>
      </c>
      <c r="D1592" s="46" t="s">
        <v>25</v>
      </c>
      <c r="E1592" s="46" t="s">
        <v>1324</v>
      </c>
      <c r="F1592" s="46" t="s">
        <v>1325</v>
      </c>
      <c r="G1592" s="46" t="s">
        <v>904</v>
      </c>
      <c r="H1592" s="46" t="s">
        <v>1433</v>
      </c>
      <c r="I1592" s="46" t="s">
        <v>905</v>
      </c>
      <c r="J1592" s="83">
        <v>46106</v>
      </c>
      <c r="K1592" s="46" t="s">
        <v>1560</v>
      </c>
      <c r="L1592" s="46" t="s">
        <v>907</v>
      </c>
      <c r="M1592" s="46" t="str">
        <f>VLOOKUP(K1592,[4]在职!$A:$B,2,0)</f>
        <v>01919</v>
      </c>
      <c r="N1592" s="46" t="str">
        <f>VLOOKUP(K1592,[4]在职!$A:$G,7,0)</f>
        <v>营业二部</v>
      </c>
      <c r="O1592" s="46" t="str">
        <f>VLOOKUP(K1592,[4]在职!$A:$I,9,0)</f>
        <v>实习销售</v>
      </c>
      <c r="P1592" s="83">
        <f>VLOOKUP(K1592,[4]在职!$A:$D,4,0)</f>
        <v>46045</v>
      </c>
      <c r="Q1592" s="105">
        <v>0</v>
      </c>
      <c r="R1592" s="105">
        <v>0</v>
      </c>
      <c r="S1592" s="46">
        <v>0</v>
      </c>
    </row>
    <row r="1593" ht="16.5" spans="1:19">
      <c r="A1593" s="46">
        <v>1600</v>
      </c>
      <c r="B1593" s="46" t="s">
        <v>45</v>
      </c>
      <c r="C1593" s="46" t="str">
        <f>VLOOKUP(K1593,[4]在职!$A:$E,5,0)</f>
        <v>西南总部</v>
      </c>
      <c r="D1593" s="46" t="s">
        <v>25</v>
      </c>
      <c r="E1593" s="46" t="s">
        <v>1324</v>
      </c>
      <c r="F1593" s="46" t="s">
        <v>1325</v>
      </c>
      <c r="G1593" s="46" t="s">
        <v>904</v>
      </c>
      <c r="H1593" s="46" t="s">
        <v>1433</v>
      </c>
      <c r="I1593" s="46" t="s">
        <v>905</v>
      </c>
      <c r="J1593" s="83">
        <v>46106</v>
      </c>
      <c r="K1593" s="46" t="s">
        <v>1227</v>
      </c>
      <c r="L1593" s="46" t="s">
        <v>907</v>
      </c>
      <c r="M1593" s="46" t="str">
        <f>VLOOKUP(K1593,[4]在职!$A:$B,2,0)</f>
        <v>01764</v>
      </c>
      <c r="N1593" s="46" t="str">
        <f>VLOOKUP(K1593,[4]在职!$A:$G,7,0)</f>
        <v>营业二部</v>
      </c>
      <c r="O1593" s="46" t="str">
        <f>VLOOKUP(K1593,[4]在职!$A:$I,9,0)</f>
        <v>一星销售顾问</v>
      </c>
      <c r="P1593" s="83">
        <f>VLOOKUP(K1593,[4]在职!$A:$D,4,0)</f>
        <v>45962</v>
      </c>
      <c r="Q1593" s="105">
        <v>0</v>
      </c>
      <c r="R1593" s="105">
        <v>0</v>
      </c>
      <c r="S1593" s="46">
        <v>0</v>
      </c>
    </row>
    <row r="1594" ht="16.5" spans="1:19">
      <c r="A1594" s="46">
        <v>1601</v>
      </c>
      <c r="B1594" s="46" t="s">
        <v>45</v>
      </c>
      <c r="C1594" s="46" t="str">
        <f>VLOOKUP(K1594,[4]在职!$A:$E,5,0)</f>
        <v>西南总部</v>
      </c>
      <c r="D1594" s="46" t="s">
        <v>25</v>
      </c>
      <c r="E1594" s="46" t="s">
        <v>1324</v>
      </c>
      <c r="F1594" s="46" t="s">
        <v>1325</v>
      </c>
      <c r="G1594" s="46" t="s">
        <v>904</v>
      </c>
      <c r="H1594" s="46" t="s">
        <v>1433</v>
      </c>
      <c r="I1594" s="46" t="s">
        <v>905</v>
      </c>
      <c r="J1594" s="83">
        <v>46106</v>
      </c>
      <c r="K1594" s="46" t="s">
        <v>1561</v>
      </c>
      <c r="L1594" s="46" t="s">
        <v>907</v>
      </c>
      <c r="M1594" s="46" t="str">
        <f>VLOOKUP(K1594,[4]在职!$A:$B,2,0)</f>
        <v>01934</v>
      </c>
      <c r="N1594" s="46" t="str">
        <f>VLOOKUP(K1594,[4]在职!$A:$G,7,0)</f>
        <v>营业五部</v>
      </c>
      <c r="O1594" s="46" t="str">
        <f>VLOOKUP(K1594,[4]在职!$A:$I,9,0)</f>
        <v>实习销售</v>
      </c>
      <c r="P1594" s="83">
        <f>VLOOKUP(K1594,[4]在职!$A:$D,4,0)</f>
        <v>46061</v>
      </c>
      <c r="Q1594" s="105">
        <v>0</v>
      </c>
      <c r="R1594" s="105">
        <v>0</v>
      </c>
      <c r="S1594" s="46">
        <v>0</v>
      </c>
    </row>
    <row r="1595" ht="16.5" spans="1:19">
      <c r="A1595" s="46">
        <v>1602</v>
      </c>
      <c r="B1595" s="46" t="s">
        <v>45</v>
      </c>
      <c r="C1595" s="46" t="str">
        <f>VLOOKUP(K1595,[4]在职!$A:$E,5,0)</f>
        <v>西南总部</v>
      </c>
      <c r="D1595" s="46" t="s">
        <v>25</v>
      </c>
      <c r="E1595" s="46" t="s">
        <v>1324</v>
      </c>
      <c r="F1595" s="46" t="s">
        <v>1325</v>
      </c>
      <c r="G1595" s="46" t="s">
        <v>904</v>
      </c>
      <c r="H1595" s="46" t="s">
        <v>1433</v>
      </c>
      <c r="I1595" s="46" t="s">
        <v>905</v>
      </c>
      <c r="J1595" s="83">
        <v>46106</v>
      </c>
      <c r="K1595" s="46" t="s">
        <v>1562</v>
      </c>
      <c r="L1595" s="46" t="s">
        <v>907</v>
      </c>
      <c r="M1595" s="46" t="str">
        <f>VLOOKUP(K1595,[4]在职!$A:$B,2,0)</f>
        <v>01975</v>
      </c>
      <c r="N1595" s="46" t="str">
        <f>VLOOKUP(K1595,[4]在职!$A:$G,7,0)</f>
        <v>营业六部</v>
      </c>
      <c r="O1595" s="46" t="str">
        <f>VLOOKUP(K1595,[4]在职!$A:$I,9,0)</f>
        <v>实习销售</v>
      </c>
      <c r="P1595" s="83">
        <f>VLOOKUP(K1595,[4]在职!$A:$D,4,0)</f>
        <v>46087</v>
      </c>
      <c r="Q1595" s="105">
        <v>0</v>
      </c>
      <c r="R1595" s="105">
        <v>0</v>
      </c>
      <c r="S1595" s="46">
        <v>0</v>
      </c>
    </row>
    <row r="1596" ht="16.5" spans="1:19">
      <c r="A1596" s="46">
        <v>1603</v>
      </c>
      <c r="B1596" s="46" t="s">
        <v>45</v>
      </c>
      <c r="C1596" s="46" t="str">
        <f>VLOOKUP(K1596,[4]在职!$A:$E,5,0)</f>
        <v>西南总部</v>
      </c>
      <c r="D1596" s="46" t="s">
        <v>25</v>
      </c>
      <c r="E1596" s="46" t="s">
        <v>1324</v>
      </c>
      <c r="F1596" s="46" t="s">
        <v>1325</v>
      </c>
      <c r="G1596" s="46" t="s">
        <v>904</v>
      </c>
      <c r="H1596" s="46" t="s">
        <v>1433</v>
      </c>
      <c r="I1596" s="46" t="s">
        <v>905</v>
      </c>
      <c r="J1596" s="83">
        <v>46106</v>
      </c>
      <c r="K1596" s="46" t="s">
        <v>1563</v>
      </c>
      <c r="L1596" s="46" t="s">
        <v>907</v>
      </c>
      <c r="M1596" s="46" t="str">
        <f>VLOOKUP(K1596,[4]在职!$A:$B,2,0)</f>
        <v>01974</v>
      </c>
      <c r="N1596" s="46" t="str">
        <f>VLOOKUP(K1596,[4]在职!$A:$G,7,0)</f>
        <v>营业六部</v>
      </c>
      <c r="O1596" s="46" t="str">
        <f>VLOOKUP(K1596,[4]在职!$A:$I,9,0)</f>
        <v>实习销售</v>
      </c>
      <c r="P1596" s="83">
        <f>VLOOKUP(K1596,[4]在职!$A:$D,4,0)</f>
        <v>46087</v>
      </c>
      <c r="Q1596" s="105">
        <v>0</v>
      </c>
      <c r="R1596" s="105">
        <v>0</v>
      </c>
      <c r="S1596" s="46">
        <v>0</v>
      </c>
    </row>
    <row r="1597" ht="16.5" spans="1:19">
      <c r="A1597" s="46">
        <v>1604</v>
      </c>
      <c r="B1597" s="46" t="s">
        <v>45</v>
      </c>
      <c r="C1597" s="46" t="str">
        <f>VLOOKUP(K1597,[4]在职!$A:$E,5,0)</f>
        <v>西南总部</v>
      </c>
      <c r="D1597" s="46" t="s">
        <v>25</v>
      </c>
      <c r="E1597" s="46" t="s">
        <v>1324</v>
      </c>
      <c r="F1597" s="46" t="s">
        <v>1325</v>
      </c>
      <c r="G1597" s="46" t="s">
        <v>904</v>
      </c>
      <c r="H1597" s="46" t="s">
        <v>1433</v>
      </c>
      <c r="I1597" s="46" t="s">
        <v>905</v>
      </c>
      <c r="J1597" s="83">
        <v>46106</v>
      </c>
      <c r="K1597" s="46" t="s">
        <v>1564</v>
      </c>
      <c r="L1597" s="46" t="s">
        <v>907</v>
      </c>
      <c r="M1597" s="46" t="str">
        <f>VLOOKUP(K1597,[4]在职!$A:$B,2,0)</f>
        <v>01971</v>
      </c>
      <c r="N1597" s="46" t="str">
        <f>VLOOKUP(K1597,[4]在职!$A:$G,7,0)</f>
        <v>营业六部</v>
      </c>
      <c r="O1597" s="46" t="str">
        <f>VLOOKUP(K1597,[4]在职!$A:$I,9,0)</f>
        <v>实习销售</v>
      </c>
      <c r="P1597" s="83">
        <f>VLOOKUP(K1597,[4]在职!$A:$D,4,0)</f>
        <v>46083</v>
      </c>
      <c r="Q1597" s="105">
        <v>0</v>
      </c>
      <c r="R1597" s="105">
        <v>0</v>
      </c>
      <c r="S1597" s="46">
        <v>0</v>
      </c>
    </row>
    <row r="1598" ht="16.5" spans="1:19">
      <c r="A1598" s="46">
        <v>1605</v>
      </c>
      <c r="B1598" s="46" t="s">
        <v>45</v>
      </c>
      <c r="C1598" s="46" t="str">
        <f>VLOOKUP(K1598,[4]在职!$A:$E,5,0)</f>
        <v>西南总部</v>
      </c>
      <c r="D1598" s="46" t="s">
        <v>25</v>
      </c>
      <c r="E1598" s="46" t="s">
        <v>1324</v>
      </c>
      <c r="F1598" s="46" t="s">
        <v>1325</v>
      </c>
      <c r="G1598" s="46" t="s">
        <v>904</v>
      </c>
      <c r="H1598" s="46" t="s">
        <v>1433</v>
      </c>
      <c r="I1598" s="46" t="s">
        <v>905</v>
      </c>
      <c r="J1598" s="83">
        <v>46106</v>
      </c>
      <c r="K1598" s="46" t="s">
        <v>1203</v>
      </c>
      <c r="L1598" s="46" t="s">
        <v>907</v>
      </c>
      <c r="M1598" s="46" t="str">
        <f>VLOOKUP(K1598,[4]在职!$A:$B,2,0)</f>
        <v>01835</v>
      </c>
      <c r="N1598" s="46" t="str">
        <f>VLOOKUP(K1598,[4]在职!$A:$G,7,0)</f>
        <v>营业六部</v>
      </c>
      <c r="O1598" s="46" t="str">
        <f>VLOOKUP(K1598,[4]在职!$A:$I,9,0)</f>
        <v>实习销售</v>
      </c>
      <c r="P1598" s="83">
        <f>VLOOKUP(K1598,[4]在职!$A:$D,4,0)</f>
        <v>45994</v>
      </c>
      <c r="Q1598" s="105">
        <v>0</v>
      </c>
      <c r="R1598" s="105">
        <v>0</v>
      </c>
      <c r="S1598" s="46">
        <v>0</v>
      </c>
    </row>
    <row r="1599" ht="16.5" spans="1:19">
      <c r="A1599" s="46">
        <v>1606</v>
      </c>
      <c r="B1599" s="46" t="s">
        <v>45</v>
      </c>
      <c r="C1599" s="46" t="str">
        <f>VLOOKUP(K1599,[4]在职!$A:$E,5,0)</f>
        <v>西南总部</v>
      </c>
      <c r="D1599" s="46" t="s">
        <v>25</v>
      </c>
      <c r="E1599" s="46" t="s">
        <v>1324</v>
      </c>
      <c r="F1599" s="46" t="s">
        <v>1325</v>
      </c>
      <c r="G1599" s="46" t="s">
        <v>904</v>
      </c>
      <c r="H1599" s="46" t="s">
        <v>1433</v>
      </c>
      <c r="I1599" s="46" t="s">
        <v>905</v>
      </c>
      <c r="J1599" s="83">
        <v>46106</v>
      </c>
      <c r="K1599" s="46" t="s">
        <v>1211</v>
      </c>
      <c r="L1599" s="46" t="s">
        <v>907</v>
      </c>
      <c r="M1599" s="46" t="str">
        <f>VLOOKUP(K1599,[4]在职!$A:$B,2,0)</f>
        <v>01866</v>
      </c>
      <c r="N1599" s="46" t="str">
        <f>VLOOKUP(K1599,[4]在职!$A:$G,7,0)</f>
        <v>营业五部</v>
      </c>
      <c r="O1599" s="46" t="str">
        <f>VLOOKUP(K1599,[4]在职!$A:$I,9,0)</f>
        <v>实习销售</v>
      </c>
      <c r="P1599" s="83">
        <f>VLOOKUP(K1599,[4]在职!$A:$D,4,0)</f>
        <v>46010</v>
      </c>
      <c r="Q1599" s="105">
        <v>0</v>
      </c>
      <c r="R1599" s="105">
        <v>0</v>
      </c>
      <c r="S1599" s="46">
        <v>0</v>
      </c>
    </row>
    <row r="1600" ht="16.5" spans="1:19">
      <c r="A1600" s="46">
        <v>1607</v>
      </c>
      <c r="B1600" s="46" t="s">
        <v>45</v>
      </c>
      <c r="C1600" s="46" t="str">
        <f>VLOOKUP(K1600,[4]在职!$A:$E,5,0)</f>
        <v>西南总部</v>
      </c>
      <c r="D1600" s="46" t="s">
        <v>25</v>
      </c>
      <c r="E1600" s="46" t="s">
        <v>1324</v>
      </c>
      <c r="F1600" s="46" t="s">
        <v>1325</v>
      </c>
      <c r="G1600" s="46" t="s">
        <v>904</v>
      </c>
      <c r="H1600" s="46" t="s">
        <v>1433</v>
      </c>
      <c r="I1600" s="46" t="s">
        <v>905</v>
      </c>
      <c r="J1600" s="83">
        <v>46106</v>
      </c>
      <c r="K1600" s="46" t="s">
        <v>1213</v>
      </c>
      <c r="L1600" s="46" t="s">
        <v>907</v>
      </c>
      <c r="M1600" s="46" t="str">
        <f>VLOOKUP(K1600,[4]在职!$A:$B,2,0)</f>
        <v>01673</v>
      </c>
      <c r="N1600" s="46" t="str">
        <f>VLOOKUP(K1600,[4]在职!$A:$G,7,0)</f>
        <v>营业五部</v>
      </c>
      <c r="O1600" s="46" t="str">
        <f>VLOOKUP(K1600,[4]在职!$A:$I,9,0)</f>
        <v>实习销售</v>
      </c>
      <c r="P1600" s="83">
        <f>VLOOKUP(K1600,[4]在职!$A:$D,4,0)</f>
        <v>45896</v>
      </c>
      <c r="Q1600" s="105">
        <v>0</v>
      </c>
      <c r="R1600" s="105">
        <v>0</v>
      </c>
      <c r="S1600" s="46">
        <v>0</v>
      </c>
    </row>
    <row r="1601" ht="16.5" spans="1:19">
      <c r="A1601" s="46">
        <v>1608</v>
      </c>
      <c r="B1601" s="46" t="s">
        <v>45</v>
      </c>
      <c r="C1601" s="46" t="str">
        <f>VLOOKUP(K1601,[4]在职!$A:$E,5,0)</f>
        <v>西南总部</v>
      </c>
      <c r="D1601" s="46" t="s">
        <v>25</v>
      </c>
      <c r="E1601" s="46" t="s">
        <v>1324</v>
      </c>
      <c r="F1601" s="46" t="s">
        <v>1325</v>
      </c>
      <c r="G1601" s="46" t="s">
        <v>904</v>
      </c>
      <c r="H1601" s="46" t="s">
        <v>1433</v>
      </c>
      <c r="I1601" s="46" t="s">
        <v>905</v>
      </c>
      <c r="J1601" s="83">
        <v>46106</v>
      </c>
      <c r="K1601" s="46" t="s">
        <v>1209</v>
      </c>
      <c r="L1601" s="46" t="s">
        <v>907</v>
      </c>
      <c r="M1601" s="46" t="str">
        <f>VLOOKUP(K1601,[4]在职!$A:$B,2,0)</f>
        <v>01886</v>
      </c>
      <c r="N1601" s="46" t="str">
        <f>VLOOKUP(K1601,[4]在职!$A:$G,7,0)</f>
        <v>营业五部</v>
      </c>
      <c r="O1601" s="46" t="str">
        <f>VLOOKUP(K1601,[4]在职!$A:$I,9,0)</f>
        <v>实习销售</v>
      </c>
      <c r="P1601" s="83">
        <f>VLOOKUP(K1601,[4]在职!$A:$D,4,0)</f>
        <v>46022</v>
      </c>
      <c r="Q1601" s="105">
        <v>0</v>
      </c>
      <c r="R1601" s="105">
        <v>0</v>
      </c>
      <c r="S1601" s="46">
        <v>0</v>
      </c>
    </row>
    <row r="1602" ht="16.5" spans="1:19">
      <c r="A1602" s="46">
        <v>1609</v>
      </c>
      <c r="B1602" s="46" t="s">
        <v>45</v>
      </c>
      <c r="C1602" s="46" t="str">
        <f>VLOOKUP(K1602,[4]在职!$A:$E,5,0)</f>
        <v>西南总部</v>
      </c>
      <c r="D1602" s="46" t="s">
        <v>25</v>
      </c>
      <c r="E1602" s="46" t="s">
        <v>1324</v>
      </c>
      <c r="F1602" s="46" t="s">
        <v>1325</v>
      </c>
      <c r="G1602" s="46" t="s">
        <v>904</v>
      </c>
      <c r="H1602" s="46" t="s">
        <v>1433</v>
      </c>
      <c r="I1602" s="46" t="s">
        <v>905</v>
      </c>
      <c r="J1602" s="83">
        <v>46106</v>
      </c>
      <c r="K1602" s="46" t="s">
        <v>1207</v>
      </c>
      <c r="L1602" s="46" t="s">
        <v>907</v>
      </c>
      <c r="M1602" s="46" t="str">
        <f>VLOOKUP(K1602,[4]在职!$A:$B,2,0)</f>
        <v>01892</v>
      </c>
      <c r="N1602" s="46" t="str">
        <f>VLOOKUP(K1602,[4]在职!$A:$G,7,0)</f>
        <v>营业五部</v>
      </c>
      <c r="O1602" s="46" t="str">
        <f>VLOOKUP(K1602,[4]在职!$A:$I,9,0)</f>
        <v>实习销售</v>
      </c>
      <c r="P1602" s="83">
        <f>VLOOKUP(K1602,[4]在职!$A:$D,4,0)</f>
        <v>46022</v>
      </c>
      <c r="Q1602" s="105">
        <v>0</v>
      </c>
      <c r="R1602" s="105">
        <v>0</v>
      </c>
      <c r="S1602" s="46">
        <v>0</v>
      </c>
    </row>
    <row r="1603" ht="16.5" spans="1:19">
      <c r="A1603" s="46">
        <v>1610</v>
      </c>
      <c r="B1603" s="46" t="s">
        <v>45</v>
      </c>
      <c r="C1603" s="46" t="str">
        <f>VLOOKUP(K1603,[4]在职!$A:$E,5,0)</f>
        <v>西南总部</v>
      </c>
      <c r="D1603" s="46" t="s">
        <v>25</v>
      </c>
      <c r="E1603" s="46" t="s">
        <v>1324</v>
      </c>
      <c r="F1603" s="46" t="s">
        <v>1325</v>
      </c>
      <c r="G1603" s="46" t="s">
        <v>904</v>
      </c>
      <c r="H1603" s="46" t="s">
        <v>1433</v>
      </c>
      <c r="I1603" s="46" t="s">
        <v>905</v>
      </c>
      <c r="J1603" s="83">
        <v>46106</v>
      </c>
      <c r="K1603" s="46" t="s">
        <v>1565</v>
      </c>
      <c r="L1603" s="46" t="s">
        <v>907</v>
      </c>
      <c r="M1603" s="46" t="str">
        <f>VLOOKUP(K1603,[4]在职!$A:$B,2,0)</f>
        <v>01960</v>
      </c>
      <c r="N1603" s="46" t="str">
        <f>VLOOKUP(K1603,[4]在职!$A:$G,7,0)</f>
        <v>营业五部</v>
      </c>
      <c r="O1603" s="46" t="str">
        <f>VLOOKUP(K1603,[4]在职!$A:$I,9,0)</f>
        <v>实习销售</v>
      </c>
      <c r="P1603" s="83">
        <f>VLOOKUP(K1603,[4]在职!$A:$D,4,0)</f>
        <v>46085</v>
      </c>
      <c r="Q1603" s="105">
        <v>0</v>
      </c>
      <c r="R1603" s="105">
        <v>0</v>
      </c>
      <c r="S1603" s="46">
        <v>0</v>
      </c>
    </row>
    <row r="1604" ht="16.5" spans="1:19">
      <c r="A1604" s="46">
        <v>1611</v>
      </c>
      <c r="B1604" s="46" t="s">
        <v>45</v>
      </c>
      <c r="C1604" s="46" t="str">
        <f>VLOOKUP(K1604,[4]在职!$A:$E,5,0)</f>
        <v>西南总部</v>
      </c>
      <c r="D1604" s="46" t="s">
        <v>25</v>
      </c>
      <c r="E1604" s="46" t="s">
        <v>1324</v>
      </c>
      <c r="F1604" s="46" t="s">
        <v>1325</v>
      </c>
      <c r="G1604" s="46" t="s">
        <v>904</v>
      </c>
      <c r="H1604" s="46" t="s">
        <v>1433</v>
      </c>
      <c r="I1604" s="46" t="s">
        <v>905</v>
      </c>
      <c r="J1604" s="83">
        <v>46106</v>
      </c>
      <c r="K1604" s="46" t="s">
        <v>1201</v>
      </c>
      <c r="L1604" s="46" t="s">
        <v>907</v>
      </c>
      <c r="M1604" s="46" t="str">
        <f>VLOOKUP(K1604,[4]在职!$A:$B,2,0)</f>
        <v>01905</v>
      </c>
      <c r="N1604" s="46" t="str">
        <f>VLOOKUP(K1604,[4]在职!$A:$G,7,0)</f>
        <v>营业七部</v>
      </c>
      <c r="O1604" s="46" t="str">
        <f>VLOOKUP(K1604,[4]在职!$A:$I,9,0)</f>
        <v>实习销售</v>
      </c>
      <c r="P1604" s="83">
        <f>VLOOKUP(K1604,[4]在职!$A:$D,4,0)</f>
        <v>46027</v>
      </c>
      <c r="Q1604" s="105">
        <v>0</v>
      </c>
      <c r="R1604" s="105">
        <v>0</v>
      </c>
      <c r="S1604" s="46">
        <v>0</v>
      </c>
    </row>
    <row r="1605" ht="16.5" spans="1:19">
      <c r="A1605" s="46">
        <v>1612</v>
      </c>
      <c r="B1605" s="46" t="s">
        <v>45</v>
      </c>
      <c r="C1605" s="46" t="str">
        <f>VLOOKUP(K1605,[4]在职!$A:$E,5,0)</f>
        <v>西南总部</v>
      </c>
      <c r="D1605" s="46" t="s">
        <v>25</v>
      </c>
      <c r="E1605" s="46" t="s">
        <v>1324</v>
      </c>
      <c r="F1605" s="46" t="s">
        <v>1325</v>
      </c>
      <c r="G1605" s="46" t="s">
        <v>904</v>
      </c>
      <c r="H1605" s="46" t="s">
        <v>1433</v>
      </c>
      <c r="I1605" s="46" t="s">
        <v>905</v>
      </c>
      <c r="J1605" s="83">
        <v>46106</v>
      </c>
      <c r="K1605" s="46" t="s">
        <v>1566</v>
      </c>
      <c r="L1605" s="46" t="s">
        <v>907</v>
      </c>
      <c r="M1605" s="46" t="str">
        <f>VLOOKUP(K1605,[4]在职!$A:$B,2,0)</f>
        <v>01953</v>
      </c>
      <c r="N1605" s="46" t="str">
        <f>VLOOKUP(K1605,[4]在职!$A:$G,7,0)</f>
        <v>营业六部</v>
      </c>
      <c r="O1605" s="46" t="str">
        <f>VLOOKUP(K1605,[4]在职!$A:$I,9,0)</f>
        <v>实习销售</v>
      </c>
      <c r="P1605" s="83">
        <f>VLOOKUP(K1605,[4]在职!$A:$D,4,0)</f>
        <v>46083</v>
      </c>
      <c r="Q1605" s="105">
        <v>0</v>
      </c>
      <c r="R1605" s="105">
        <v>0</v>
      </c>
      <c r="S1605" s="46">
        <v>0</v>
      </c>
    </row>
    <row r="1606" ht="16.5" spans="1:19">
      <c r="A1606" s="46">
        <v>1613</v>
      </c>
      <c r="B1606" s="46" t="s">
        <v>45</v>
      </c>
      <c r="C1606" s="46" t="str">
        <f>VLOOKUP(K1606,[4]在职!$A:$E,5,0)</f>
        <v>西南总部</v>
      </c>
      <c r="D1606" s="46" t="s">
        <v>25</v>
      </c>
      <c r="E1606" s="46" t="s">
        <v>1324</v>
      </c>
      <c r="F1606" s="46" t="s">
        <v>1325</v>
      </c>
      <c r="G1606" s="46" t="s">
        <v>904</v>
      </c>
      <c r="H1606" s="46" t="s">
        <v>1433</v>
      </c>
      <c r="I1606" s="46" t="s">
        <v>905</v>
      </c>
      <c r="J1606" s="83">
        <v>46106</v>
      </c>
      <c r="K1606" s="46" t="s">
        <v>1182</v>
      </c>
      <c r="L1606" s="46" t="s">
        <v>907</v>
      </c>
      <c r="M1606" s="46" t="str">
        <f>VLOOKUP(K1606,[4]在职!$A:$B,2,0)</f>
        <v>01864</v>
      </c>
      <c r="N1606" s="46" t="str">
        <f>VLOOKUP(K1606,[4]在职!$A:$G,7,0)</f>
        <v>营业六部</v>
      </c>
      <c r="O1606" s="46" t="str">
        <f>VLOOKUP(K1606,[4]在职!$A:$I,9,0)</f>
        <v>实习销售</v>
      </c>
      <c r="P1606" s="83">
        <f>VLOOKUP(K1606,[4]在职!$A:$D,4,0)</f>
        <v>46008</v>
      </c>
      <c r="Q1606" s="105">
        <v>0</v>
      </c>
      <c r="R1606" s="105">
        <v>0</v>
      </c>
      <c r="S1606" s="46">
        <v>0</v>
      </c>
    </row>
    <row r="1607" ht="16.5" spans="1:19">
      <c r="A1607" s="46">
        <v>1614</v>
      </c>
      <c r="B1607" s="46" t="s">
        <v>45</v>
      </c>
      <c r="C1607" s="46" t="str">
        <f>VLOOKUP(K1607,[4]在职!$A:$E,5,0)</f>
        <v>西南总部</v>
      </c>
      <c r="D1607" s="46" t="s">
        <v>25</v>
      </c>
      <c r="E1607" s="46" t="s">
        <v>1324</v>
      </c>
      <c r="F1607" s="46" t="s">
        <v>1325</v>
      </c>
      <c r="G1607" s="46" t="s">
        <v>904</v>
      </c>
      <c r="H1607" s="46" t="s">
        <v>1433</v>
      </c>
      <c r="I1607" s="46" t="s">
        <v>905</v>
      </c>
      <c r="J1607" s="83">
        <v>46106</v>
      </c>
      <c r="K1607" s="46" t="s">
        <v>1503</v>
      </c>
      <c r="L1607" s="46" t="s">
        <v>907</v>
      </c>
      <c r="M1607" s="46" t="str">
        <f>VLOOKUP(K1607,[4]在职!$A:$B,2,0)</f>
        <v>01560</v>
      </c>
      <c r="N1607" s="46" t="str">
        <f>VLOOKUP(K1607,[4]在职!$A:$G,7,0)</f>
        <v>营业五部</v>
      </c>
      <c r="O1607" s="46" t="str">
        <f>VLOOKUP(K1607,[4]在职!$A:$I,9,0)</f>
        <v>一星销售顾问</v>
      </c>
      <c r="P1607" s="83">
        <f>VLOOKUP(K1607,[4]在职!$A:$D,4,0)</f>
        <v>45838</v>
      </c>
      <c r="Q1607" s="105">
        <v>0</v>
      </c>
      <c r="R1607" s="105">
        <v>0</v>
      </c>
      <c r="S1607" s="46">
        <v>0</v>
      </c>
    </row>
    <row r="1608" ht="16.5" spans="1:19">
      <c r="A1608" s="46">
        <v>1615</v>
      </c>
      <c r="B1608" s="46" t="s">
        <v>45</v>
      </c>
      <c r="C1608" s="46" t="str">
        <f>VLOOKUP(K1608,[4]在职!$A:$E,5,0)</f>
        <v>河北</v>
      </c>
      <c r="D1608" s="46" t="s">
        <v>25</v>
      </c>
      <c r="E1608" s="46" t="s">
        <v>1536</v>
      </c>
      <c r="F1608" s="46" t="s">
        <v>1371</v>
      </c>
      <c r="G1608" s="46" t="s">
        <v>904</v>
      </c>
      <c r="H1608" s="46" t="s">
        <v>1433</v>
      </c>
      <c r="I1608" s="46" t="s">
        <v>905</v>
      </c>
      <c r="J1608" s="83">
        <v>46106</v>
      </c>
      <c r="K1608" s="46" t="s">
        <v>1550</v>
      </c>
      <c r="L1608" s="46" t="s">
        <v>907</v>
      </c>
      <c r="M1608" s="46" t="str">
        <f>VLOOKUP(K1608,[4]在职!$A:$B,2,0)</f>
        <v>01962</v>
      </c>
      <c r="N1608" s="46" t="str">
        <f>VLOOKUP(K1608,[4]在职!$A:$G,7,0)</f>
        <v>河北销售部</v>
      </c>
      <c r="O1608" s="46" t="str">
        <f>VLOOKUP(K1608,[4]在职!$A:$I,9,0)</f>
        <v>实习销售</v>
      </c>
      <c r="P1608" s="83">
        <f>VLOOKUP(K1608,[4]在职!$A:$D,4,0)</f>
        <v>46088</v>
      </c>
      <c r="Q1608" s="105">
        <v>0</v>
      </c>
      <c r="R1608" s="105">
        <v>0</v>
      </c>
      <c r="S1608" s="46">
        <v>0</v>
      </c>
    </row>
    <row r="1609" ht="16.5" spans="1:19">
      <c r="A1609" s="46">
        <v>1616</v>
      </c>
      <c r="B1609" s="46" t="s">
        <v>45</v>
      </c>
      <c r="C1609" s="46" t="str">
        <f>VLOOKUP(K1609,[4]在职!$A:$E,5,0)</f>
        <v>河北</v>
      </c>
      <c r="D1609" s="46" t="s">
        <v>25</v>
      </c>
      <c r="E1609" s="46" t="s">
        <v>1536</v>
      </c>
      <c r="F1609" s="46" t="s">
        <v>1371</v>
      </c>
      <c r="G1609" s="46" t="s">
        <v>904</v>
      </c>
      <c r="H1609" s="46" t="s">
        <v>1433</v>
      </c>
      <c r="I1609" s="46" t="s">
        <v>905</v>
      </c>
      <c r="J1609" s="83">
        <v>46106</v>
      </c>
      <c r="K1609" s="46" t="s">
        <v>1309</v>
      </c>
      <c r="L1609" s="46" t="s">
        <v>907</v>
      </c>
      <c r="M1609" s="46" t="str">
        <f>VLOOKUP(K1609,[4]在职!$A:$B,2,0)</f>
        <v>01902</v>
      </c>
      <c r="N1609" s="46" t="str">
        <f>VLOOKUP(K1609,[4]在职!$A:$G,7,0)</f>
        <v>河北销售部</v>
      </c>
      <c r="O1609" s="46" t="str">
        <f>VLOOKUP(K1609,[4]在职!$A:$I,9,0)</f>
        <v>实习销售</v>
      </c>
      <c r="P1609" s="83">
        <f>VLOOKUP(K1609,[4]在职!$A:$D,4,0)</f>
        <v>46026</v>
      </c>
      <c r="Q1609" s="105">
        <v>0</v>
      </c>
      <c r="R1609" s="105">
        <v>0</v>
      </c>
      <c r="S1609" s="46">
        <v>0</v>
      </c>
    </row>
    <row r="1610" ht="16.5" spans="1:19">
      <c r="A1610" s="46">
        <v>1617</v>
      </c>
      <c r="B1610" s="46" t="s">
        <v>45</v>
      </c>
      <c r="C1610" s="46" t="str">
        <f>VLOOKUP(K1610,[4]在职!$A:$E,5,0)</f>
        <v>西南总部</v>
      </c>
      <c r="D1610" s="46" t="s">
        <v>25</v>
      </c>
      <c r="E1610" s="46" t="s">
        <v>1536</v>
      </c>
      <c r="F1610" s="46" t="s">
        <v>1371</v>
      </c>
      <c r="G1610" s="46" t="s">
        <v>904</v>
      </c>
      <c r="H1610" s="46" t="s">
        <v>1433</v>
      </c>
      <c r="I1610" s="46" t="s">
        <v>905</v>
      </c>
      <c r="J1610" s="83">
        <v>46106</v>
      </c>
      <c r="K1610" s="46" t="s">
        <v>1551</v>
      </c>
      <c r="L1610" s="46" t="s">
        <v>907</v>
      </c>
      <c r="M1610" s="46" t="str">
        <f>VLOOKUP(K1610,[4]在职!$A:$B,2,0)</f>
        <v>01922</v>
      </c>
      <c r="N1610" s="46" t="str">
        <f>VLOOKUP(K1610,[4]在职!$A:$G,7,0)</f>
        <v>营业四部</v>
      </c>
      <c r="O1610" s="46" t="str">
        <f>VLOOKUP(K1610,[4]在职!$A:$I,9,0)</f>
        <v>实习销售</v>
      </c>
      <c r="P1610" s="83">
        <f>VLOOKUP(K1610,[4]在职!$A:$D,4,0)</f>
        <v>46048</v>
      </c>
      <c r="Q1610" s="105">
        <v>0</v>
      </c>
      <c r="R1610" s="105">
        <v>0</v>
      </c>
      <c r="S1610" s="46">
        <v>0</v>
      </c>
    </row>
    <row r="1611" ht="16.5" spans="1:19">
      <c r="A1611" s="46">
        <v>1618</v>
      </c>
      <c r="B1611" s="46" t="s">
        <v>45</v>
      </c>
      <c r="C1611" s="46" t="str">
        <f>VLOOKUP(K1611,[4]在职!$A:$E,5,0)</f>
        <v>湖南</v>
      </c>
      <c r="D1611" s="46" t="s">
        <v>25</v>
      </c>
      <c r="E1611" s="46" t="s">
        <v>1536</v>
      </c>
      <c r="F1611" s="46" t="s">
        <v>1371</v>
      </c>
      <c r="G1611" s="46" t="s">
        <v>904</v>
      </c>
      <c r="H1611" s="46" t="s">
        <v>1433</v>
      </c>
      <c r="I1611" s="46" t="s">
        <v>905</v>
      </c>
      <c r="J1611" s="83">
        <v>46106</v>
      </c>
      <c r="K1611" s="46" t="s">
        <v>1461</v>
      </c>
      <c r="L1611" s="46" t="s">
        <v>907</v>
      </c>
      <c r="M1611" s="46" t="str">
        <f>VLOOKUP(K1611,[4]在职!$A:$B,2,0)</f>
        <v>01731</v>
      </c>
      <c r="N1611" s="46" t="str">
        <f>VLOOKUP(K1611,[4]在职!$A:$G,7,0)</f>
        <v>湖南销售部</v>
      </c>
      <c r="O1611" s="46" t="str">
        <f>VLOOKUP(K1611,[4]在职!$A:$I,9,0)</f>
        <v>一星销售顾问</v>
      </c>
      <c r="P1611" s="83">
        <f>VLOOKUP(K1611,[4]在职!$A:$D,4,0)</f>
        <v>45943</v>
      </c>
      <c r="Q1611" s="105">
        <v>0</v>
      </c>
      <c r="R1611" s="105">
        <v>0</v>
      </c>
      <c r="S1611" s="46">
        <v>0</v>
      </c>
    </row>
    <row r="1612" ht="16.5" spans="1:19">
      <c r="A1612" s="46">
        <v>1619</v>
      </c>
      <c r="B1612" s="46" t="s">
        <v>45</v>
      </c>
      <c r="C1612" s="46" t="str">
        <f>VLOOKUP(K1612,[4]在职!$A:$E,5,0)</f>
        <v>西南总部</v>
      </c>
      <c r="D1612" s="46" t="s">
        <v>25</v>
      </c>
      <c r="E1612" s="46" t="s">
        <v>1536</v>
      </c>
      <c r="F1612" s="46" t="s">
        <v>1371</v>
      </c>
      <c r="G1612" s="46" t="s">
        <v>904</v>
      </c>
      <c r="H1612" s="46" t="s">
        <v>1433</v>
      </c>
      <c r="I1612" s="46" t="s">
        <v>905</v>
      </c>
      <c r="J1612" s="83">
        <v>46106</v>
      </c>
      <c r="K1612" s="46" t="s">
        <v>1552</v>
      </c>
      <c r="L1612" s="46" t="s">
        <v>907</v>
      </c>
      <c r="M1612" s="46" t="str">
        <f>VLOOKUP(K1612,[4]在职!$A:$B,2,0)</f>
        <v>01933</v>
      </c>
      <c r="N1612" s="46" t="str">
        <f>VLOOKUP(K1612,[4]在职!$A:$G,7,0)</f>
        <v>营业七部</v>
      </c>
      <c r="O1612" s="46" t="str">
        <f>VLOOKUP(K1612,[4]在职!$A:$I,9,0)</f>
        <v>实习销售</v>
      </c>
      <c r="P1612" s="83">
        <f>VLOOKUP(K1612,[4]在职!$A:$D,4,0)</f>
        <v>46057</v>
      </c>
      <c r="Q1612" s="105">
        <v>0</v>
      </c>
      <c r="R1612" s="105">
        <v>0</v>
      </c>
      <c r="S1612" s="46">
        <v>0</v>
      </c>
    </row>
    <row r="1613" ht="16.5" spans="1:19">
      <c r="A1613" s="46">
        <v>1620</v>
      </c>
      <c r="B1613" s="46" t="s">
        <v>45</v>
      </c>
      <c r="C1613" s="46" t="str">
        <f>VLOOKUP(K1613,[4]在职!$A:$E,5,0)</f>
        <v>西南总部</v>
      </c>
      <c r="D1613" s="46" t="s">
        <v>25</v>
      </c>
      <c r="E1613" s="46" t="s">
        <v>1536</v>
      </c>
      <c r="F1613" s="46" t="s">
        <v>1371</v>
      </c>
      <c r="G1613" s="46" t="s">
        <v>904</v>
      </c>
      <c r="H1613" s="46" t="s">
        <v>1433</v>
      </c>
      <c r="I1613" s="46" t="s">
        <v>905</v>
      </c>
      <c r="J1613" s="83">
        <v>46106</v>
      </c>
      <c r="K1613" s="46" t="s">
        <v>1307</v>
      </c>
      <c r="L1613" s="46" t="s">
        <v>907</v>
      </c>
      <c r="M1613" s="46" t="str">
        <f>VLOOKUP(K1613,[4]在职!$A:$B,2,0)</f>
        <v>01758</v>
      </c>
      <c r="N1613" s="46" t="str">
        <f>VLOOKUP(K1613,[4]在职!$A:$G,7,0)</f>
        <v>营业四部</v>
      </c>
      <c r="O1613" s="46" t="str">
        <f>VLOOKUP(K1613,[4]在职!$A:$I,9,0)</f>
        <v>实习销售</v>
      </c>
      <c r="P1613" s="83">
        <f>VLOOKUP(K1613,[4]在职!$A:$D,4,0)</f>
        <v>45955</v>
      </c>
      <c r="Q1613" s="105">
        <v>0</v>
      </c>
      <c r="R1613" s="105">
        <v>0</v>
      </c>
      <c r="S1613" s="46">
        <v>0</v>
      </c>
    </row>
    <row r="1614" ht="16.5" spans="1:19">
      <c r="A1614" s="46">
        <v>1621</v>
      </c>
      <c r="B1614" s="46" t="s">
        <v>45</v>
      </c>
      <c r="C1614" s="46" t="str">
        <f>VLOOKUP(K1614,[4]在职!$A:$E,5,0)</f>
        <v>西南总部</v>
      </c>
      <c r="D1614" s="46" t="s">
        <v>25</v>
      </c>
      <c r="E1614" s="46" t="s">
        <v>1536</v>
      </c>
      <c r="F1614" s="46" t="s">
        <v>1371</v>
      </c>
      <c r="G1614" s="46" t="s">
        <v>904</v>
      </c>
      <c r="H1614" s="46" t="s">
        <v>1433</v>
      </c>
      <c r="I1614" s="46" t="s">
        <v>905</v>
      </c>
      <c r="J1614" s="83">
        <v>46106</v>
      </c>
      <c r="K1614" s="46" t="s">
        <v>1303</v>
      </c>
      <c r="L1614" s="46" t="s">
        <v>907</v>
      </c>
      <c r="M1614" s="46" t="str">
        <f>VLOOKUP(K1614,[4]在职!$A:$B,2,0)</f>
        <v>01882</v>
      </c>
      <c r="N1614" s="46" t="str">
        <f>VLOOKUP(K1614,[4]在职!$A:$G,7,0)</f>
        <v>营业四部</v>
      </c>
      <c r="O1614" s="46" t="str">
        <f>VLOOKUP(K1614,[4]在职!$A:$I,9,0)</f>
        <v>实习销售</v>
      </c>
      <c r="P1614" s="83">
        <f>VLOOKUP(K1614,[4]在职!$A:$D,4,0)</f>
        <v>46022</v>
      </c>
      <c r="Q1614" s="105">
        <v>0</v>
      </c>
      <c r="R1614" s="105">
        <v>0</v>
      </c>
      <c r="S1614" s="46">
        <v>0</v>
      </c>
    </row>
    <row r="1615" ht="16.5" spans="1:19">
      <c r="A1615" s="46">
        <v>1622</v>
      </c>
      <c r="B1615" s="46" t="s">
        <v>45</v>
      </c>
      <c r="C1615" s="46" t="str">
        <f>VLOOKUP(K1615,[4]在职!$A:$E,5,0)</f>
        <v>西南总部</v>
      </c>
      <c r="D1615" s="46" t="s">
        <v>25</v>
      </c>
      <c r="E1615" s="46" t="s">
        <v>1536</v>
      </c>
      <c r="F1615" s="46" t="s">
        <v>1371</v>
      </c>
      <c r="G1615" s="46" t="s">
        <v>904</v>
      </c>
      <c r="H1615" s="46" t="s">
        <v>1433</v>
      </c>
      <c r="I1615" s="46" t="s">
        <v>905</v>
      </c>
      <c r="J1615" s="83">
        <v>46106</v>
      </c>
      <c r="K1615" s="46" t="s">
        <v>1553</v>
      </c>
      <c r="L1615" s="46" t="s">
        <v>907</v>
      </c>
      <c r="M1615" s="46" t="str">
        <f>VLOOKUP(K1615,[4]在职!$A:$B,2,0)</f>
        <v>01945</v>
      </c>
      <c r="N1615" s="46" t="str">
        <f>VLOOKUP(K1615,[4]在职!$A:$G,7,0)</f>
        <v>营业七部</v>
      </c>
      <c r="O1615" s="46" t="str">
        <f>VLOOKUP(K1615,[4]在职!$A:$I,9,0)</f>
        <v>实习销售</v>
      </c>
      <c r="P1615" s="83">
        <f>VLOOKUP(K1615,[4]在职!$A:$D,4,0)</f>
        <v>46083</v>
      </c>
      <c r="Q1615" s="105">
        <v>0</v>
      </c>
      <c r="R1615" s="105">
        <v>0</v>
      </c>
      <c r="S1615" s="46">
        <v>0</v>
      </c>
    </row>
    <row r="1616" ht="16.5" spans="1:19">
      <c r="A1616" s="46">
        <v>1623</v>
      </c>
      <c r="B1616" s="46" t="s">
        <v>45</v>
      </c>
      <c r="C1616" s="46" t="str">
        <f>VLOOKUP(K1616,[4]在职!$A:$E,5,0)</f>
        <v>西南总部</v>
      </c>
      <c r="D1616" s="46" t="s">
        <v>25</v>
      </c>
      <c r="E1616" s="46" t="s">
        <v>1536</v>
      </c>
      <c r="F1616" s="46" t="s">
        <v>1371</v>
      </c>
      <c r="G1616" s="46" t="s">
        <v>904</v>
      </c>
      <c r="H1616" s="46" t="s">
        <v>1433</v>
      </c>
      <c r="I1616" s="46" t="s">
        <v>905</v>
      </c>
      <c r="J1616" s="83">
        <v>46106</v>
      </c>
      <c r="K1616" s="46" t="s">
        <v>1554</v>
      </c>
      <c r="L1616" s="46" t="s">
        <v>907</v>
      </c>
      <c r="M1616" s="46" t="str">
        <f>VLOOKUP(K1616,[4]在职!$A:$B,2,0)</f>
        <v>01916</v>
      </c>
      <c r="N1616" s="46" t="str">
        <f>VLOOKUP(K1616,[4]在职!$A:$G,7,0)</f>
        <v>营业七部</v>
      </c>
      <c r="O1616" s="46" t="str">
        <f>VLOOKUP(K1616,[4]在职!$A:$I,9,0)</f>
        <v>实习销售</v>
      </c>
      <c r="P1616" s="83">
        <f>VLOOKUP(K1616,[4]在职!$A:$D,4,0)</f>
        <v>46042</v>
      </c>
      <c r="Q1616" s="105">
        <v>0</v>
      </c>
      <c r="R1616" s="105">
        <v>0</v>
      </c>
      <c r="S1616" s="46">
        <v>0</v>
      </c>
    </row>
    <row r="1617" ht="16.5" spans="1:19">
      <c r="A1617" s="46">
        <v>1624</v>
      </c>
      <c r="B1617" s="46" t="s">
        <v>45</v>
      </c>
      <c r="C1617" s="46" t="str">
        <f>VLOOKUP(K1617,[4]在职!$A:$E,5,0)</f>
        <v>西南总部</v>
      </c>
      <c r="D1617" s="46" t="s">
        <v>25</v>
      </c>
      <c r="E1617" s="46" t="s">
        <v>1536</v>
      </c>
      <c r="F1617" s="46" t="s">
        <v>1371</v>
      </c>
      <c r="G1617" s="46" t="s">
        <v>904</v>
      </c>
      <c r="H1617" s="46" t="s">
        <v>1433</v>
      </c>
      <c r="I1617" s="46" t="s">
        <v>905</v>
      </c>
      <c r="J1617" s="83">
        <v>46106</v>
      </c>
      <c r="K1617" s="46" t="s">
        <v>1555</v>
      </c>
      <c r="L1617" s="46" t="s">
        <v>907</v>
      </c>
      <c r="M1617" s="46" t="str">
        <f>VLOOKUP(K1617,[4]在职!$A:$B,2,0)</f>
        <v>01951</v>
      </c>
      <c r="N1617" s="46" t="str">
        <f>VLOOKUP(K1617,[4]在职!$A:$G,7,0)</f>
        <v>营业七部</v>
      </c>
      <c r="O1617" s="46" t="str">
        <f>VLOOKUP(K1617,[4]在职!$A:$I,9,0)</f>
        <v>实习销售</v>
      </c>
      <c r="P1617" s="83">
        <f>VLOOKUP(K1617,[4]在职!$A:$D,4,0)</f>
        <v>46082</v>
      </c>
      <c r="Q1617" s="105">
        <v>0</v>
      </c>
      <c r="R1617" s="105">
        <v>0</v>
      </c>
      <c r="S1617" s="46">
        <v>0</v>
      </c>
    </row>
    <row r="1618" ht="16.5" spans="1:19">
      <c r="A1618" s="46">
        <v>1625</v>
      </c>
      <c r="B1618" s="46" t="s">
        <v>45</v>
      </c>
      <c r="C1618" s="46" t="str">
        <f>VLOOKUP(K1618,[4]在职!$A:$E,5,0)</f>
        <v>西南总部</v>
      </c>
      <c r="D1618" s="46" t="s">
        <v>25</v>
      </c>
      <c r="E1618" s="46" t="s">
        <v>1536</v>
      </c>
      <c r="F1618" s="46" t="s">
        <v>1371</v>
      </c>
      <c r="G1618" s="46" t="s">
        <v>904</v>
      </c>
      <c r="H1618" s="46" t="s">
        <v>1433</v>
      </c>
      <c r="I1618" s="46" t="s">
        <v>905</v>
      </c>
      <c r="J1618" s="83">
        <v>46106</v>
      </c>
      <c r="K1618" s="46" t="s">
        <v>1556</v>
      </c>
      <c r="L1618" s="46" t="s">
        <v>907</v>
      </c>
      <c r="M1618" s="46" t="str">
        <f>VLOOKUP(K1618,[4]在职!$A:$B,2,0)</f>
        <v>01927</v>
      </c>
      <c r="N1618" s="46" t="str">
        <f>VLOOKUP(K1618,[4]在职!$A:$G,7,0)</f>
        <v>营业三部</v>
      </c>
      <c r="O1618" s="46" t="str">
        <f>VLOOKUP(K1618,[4]在职!$A:$I,9,0)</f>
        <v>实习销售</v>
      </c>
      <c r="P1618" s="83">
        <f>VLOOKUP(K1618,[4]在职!$A:$D,4,0)</f>
        <v>46049</v>
      </c>
      <c r="Q1618" s="105">
        <v>0</v>
      </c>
      <c r="R1618" s="105">
        <v>0</v>
      </c>
      <c r="S1618" s="46">
        <v>0</v>
      </c>
    </row>
    <row r="1619" ht="16.5" spans="1:19">
      <c r="A1619" s="46">
        <v>1626</v>
      </c>
      <c r="B1619" s="46" t="s">
        <v>45</v>
      </c>
      <c r="C1619" s="46" t="str">
        <f>VLOOKUP(K1619,[4]在职!$A:$E,5,0)</f>
        <v>西南总部</v>
      </c>
      <c r="D1619" s="46" t="s">
        <v>25</v>
      </c>
      <c r="E1619" s="46" t="s">
        <v>1536</v>
      </c>
      <c r="F1619" s="46" t="s">
        <v>1371</v>
      </c>
      <c r="G1619" s="46" t="s">
        <v>904</v>
      </c>
      <c r="H1619" s="46" t="s">
        <v>1433</v>
      </c>
      <c r="I1619" s="46" t="s">
        <v>905</v>
      </c>
      <c r="J1619" s="83">
        <v>46106</v>
      </c>
      <c r="K1619" s="46" t="s">
        <v>1271</v>
      </c>
      <c r="L1619" s="46" t="s">
        <v>907</v>
      </c>
      <c r="M1619" s="46" t="str">
        <f>VLOOKUP(K1619,[4]在职!$A:$B,2,0)</f>
        <v>01790</v>
      </c>
      <c r="N1619" s="46" t="str">
        <f>VLOOKUP(K1619,[4]在职!$A:$G,7,0)</f>
        <v>营业四部</v>
      </c>
      <c r="O1619" s="46" t="str">
        <f>VLOOKUP(K1619,[4]在职!$A:$I,9,0)</f>
        <v>一星销售顾问</v>
      </c>
      <c r="P1619" s="83">
        <f>VLOOKUP(K1619,[4]在职!$A:$D,4,0)</f>
        <v>45974</v>
      </c>
      <c r="Q1619" s="105">
        <v>0</v>
      </c>
      <c r="R1619" s="105">
        <v>0</v>
      </c>
      <c r="S1619" s="46">
        <v>0</v>
      </c>
    </row>
    <row r="1620" ht="16.5" spans="1:19">
      <c r="A1620" s="46">
        <v>1627</v>
      </c>
      <c r="B1620" s="46" t="s">
        <v>45</v>
      </c>
      <c r="C1620" s="46" t="str">
        <f>VLOOKUP(K1620,[4]在职!$A:$E,5,0)</f>
        <v>西南总部</v>
      </c>
      <c r="D1620" s="46" t="s">
        <v>25</v>
      </c>
      <c r="E1620" s="46" t="s">
        <v>1536</v>
      </c>
      <c r="F1620" s="46" t="s">
        <v>1371</v>
      </c>
      <c r="G1620" s="46" t="s">
        <v>904</v>
      </c>
      <c r="H1620" s="46" t="s">
        <v>1433</v>
      </c>
      <c r="I1620" s="46" t="s">
        <v>905</v>
      </c>
      <c r="J1620" s="83">
        <v>46106</v>
      </c>
      <c r="K1620" s="46" t="s">
        <v>1243</v>
      </c>
      <c r="L1620" s="46" t="s">
        <v>907</v>
      </c>
      <c r="M1620" s="46" t="str">
        <f>VLOOKUP(K1620,[4]在职!$A:$B,2,0)</f>
        <v>01909</v>
      </c>
      <c r="N1620" s="46" t="str">
        <f>VLOOKUP(K1620,[4]在职!$A:$G,7,0)</f>
        <v>营业一部</v>
      </c>
      <c r="O1620" s="46" t="str">
        <f>VLOOKUP(K1620,[4]在职!$A:$I,9,0)</f>
        <v>实习销售</v>
      </c>
      <c r="P1620" s="83">
        <f>VLOOKUP(K1620,[4]在职!$A:$D,4,0)</f>
        <v>46031</v>
      </c>
      <c r="Q1620" s="105">
        <v>0</v>
      </c>
      <c r="R1620" s="105">
        <v>0</v>
      </c>
      <c r="S1620" s="46">
        <v>0</v>
      </c>
    </row>
    <row r="1621" ht="16.5" spans="1:19">
      <c r="A1621" s="46">
        <v>1628</v>
      </c>
      <c r="B1621" s="46" t="s">
        <v>45</v>
      </c>
      <c r="C1621" s="46" t="str">
        <f>VLOOKUP(K1621,[4]在职!$A:$E,5,0)</f>
        <v>西南总部</v>
      </c>
      <c r="D1621" s="46" t="s">
        <v>25</v>
      </c>
      <c r="E1621" s="46" t="s">
        <v>1536</v>
      </c>
      <c r="F1621" s="46" t="s">
        <v>1371</v>
      </c>
      <c r="G1621" s="46" t="s">
        <v>904</v>
      </c>
      <c r="H1621" s="46" t="s">
        <v>1433</v>
      </c>
      <c r="I1621" s="46" t="s">
        <v>905</v>
      </c>
      <c r="J1621" s="83">
        <v>46106</v>
      </c>
      <c r="K1621" s="46" t="s">
        <v>1557</v>
      </c>
      <c r="L1621" s="46" t="s">
        <v>907</v>
      </c>
      <c r="M1621" s="46" t="str">
        <f>VLOOKUP(K1621,[4]在职!$A:$B,2,0)</f>
        <v>01965</v>
      </c>
      <c r="N1621" s="46" t="str">
        <f>VLOOKUP(K1621,[4]在职!$A:$G,7,0)</f>
        <v>营业二部</v>
      </c>
      <c r="O1621" s="46" t="str">
        <f>VLOOKUP(K1621,[4]在职!$A:$I,9,0)</f>
        <v>实习销售</v>
      </c>
      <c r="P1621" s="83">
        <f>VLOOKUP(K1621,[4]在职!$A:$D,4,0)</f>
        <v>46085</v>
      </c>
      <c r="Q1621" s="105">
        <v>0</v>
      </c>
      <c r="R1621" s="105">
        <v>0</v>
      </c>
      <c r="S1621" s="46">
        <v>0</v>
      </c>
    </row>
    <row r="1622" ht="16.5" spans="1:19">
      <c r="A1622" s="46">
        <v>1629</v>
      </c>
      <c r="B1622" s="46" t="s">
        <v>45</v>
      </c>
      <c r="C1622" s="46" t="str">
        <f>VLOOKUP(K1622,[4]在职!$A:$E,5,0)</f>
        <v>西南总部</v>
      </c>
      <c r="D1622" s="46" t="s">
        <v>25</v>
      </c>
      <c r="E1622" s="46" t="s">
        <v>1536</v>
      </c>
      <c r="F1622" s="46" t="s">
        <v>1371</v>
      </c>
      <c r="G1622" s="46" t="s">
        <v>904</v>
      </c>
      <c r="H1622" s="46" t="s">
        <v>1433</v>
      </c>
      <c r="I1622" s="46" t="s">
        <v>905</v>
      </c>
      <c r="J1622" s="83">
        <v>46106</v>
      </c>
      <c r="K1622" s="46" t="s">
        <v>1558</v>
      </c>
      <c r="L1622" s="46" t="s">
        <v>907</v>
      </c>
      <c r="M1622" s="46" t="str">
        <f>VLOOKUP(K1622,[4]在职!$A:$B,2,0)</f>
        <v>01967</v>
      </c>
      <c r="N1622" s="46" t="str">
        <f>VLOOKUP(K1622,[4]在职!$A:$G,7,0)</f>
        <v>营业二部</v>
      </c>
      <c r="O1622" s="46" t="str">
        <f>VLOOKUP(K1622,[4]在职!$A:$I,9,0)</f>
        <v>实习销售</v>
      </c>
      <c r="P1622" s="83">
        <f>VLOOKUP(K1622,[4]在职!$A:$D,4,0)</f>
        <v>46087</v>
      </c>
      <c r="Q1622" s="105">
        <v>0</v>
      </c>
      <c r="R1622" s="105">
        <v>0</v>
      </c>
      <c r="S1622" s="46">
        <v>0</v>
      </c>
    </row>
    <row r="1623" ht="16.5" spans="1:19">
      <c r="A1623" s="46">
        <v>1630</v>
      </c>
      <c r="B1623" s="46" t="s">
        <v>45</v>
      </c>
      <c r="C1623" s="46" t="str">
        <f>VLOOKUP(K1623,[4]在职!$A:$E,5,0)</f>
        <v>西南总部</v>
      </c>
      <c r="D1623" s="46" t="s">
        <v>25</v>
      </c>
      <c r="E1623" s="46" t="s">
        <v>1536</v>
      </c>
      <c r="F1623" s="46" t="s">
        <v>1371</v>
      </c>
      <c r="G1623" s="46" t="s">
        <v>904</v>
      </c>
      <c r="H1623" s="46" t="s">
        <v>1433</v>
      </c>
      <c r="I1623" s="46" t="s">
        <v>905</v>
      </c>
      <c r="J1623" s="83">
        <v>46106</v>
      </c>
      <c r="K1623" s="46" t="s">
        <v>1559</v>
      </c>
      <c r="L1623" s="46" t="s">
        <v>907</v>
      </c>
      <c r="M1623" s="46" t="str">
        <f>VLOOKUP(K1623,[4]在职!$A:$B,2,0)</f>
        <v>01935</v>
      </c>
      <c r="N1623" s="46" t="str">
        <f>VLOOKUP(K1623,[4]在职!$A:$G,7,0)</f>
        <v>营业二部</v>
      </c>
      <c r="O1623" s="46" t="str">
        <f>VLOOKUP(K1623,[4]在职!$A:$I,9,0)</f>
        <v>实习销售</v>
      </c>
      <c r="P1623" s="83">
        <f>VLOOKUP(K1623,[4]在职!$A:$D,4,0)</f>
        <v>46062</v>
      </c>
      <c r="Q1623" s="105">
        <v>0</v>
      </c>
      <c r="R1623" s="105">
        <v>0</v>
      </c>
      <c r="S1623" s="46">
        <v>0</v>
      </c>
    </row>
    <row r="1624" ht="16.5" spans="1:19">
      <c r="A1624" s="46">
        <v>1631</v>
      </c>
      <c r="B1624" s="46" t="s">
        <v>45</v>
      </c>
      <c r="C1624" s="46" t="str">
        <f>VLOOKUP(K1624,[4]在职!$A:$E,5,0)</f>
        <v>西南总部</v>
      </c>
      <c r="D1624" s="46" t="s">
        <v>25</v>
      </c>
      <c r="E1624" s="46" t="s">
        <v>1536</v>
      </c>
      <c r="F1624" s="46" t="s">
        <v>1371</v>
      </c>
      <c r="G1624" s="46" t="s">
        <v>904</v>
      </c>
      <c r="H1624" s="46" t="s">
        <v>1433</v>
      </c>
      <c r="I1624" s="46" t="s">
        <v>905</v>
      </c>
      <c r="J1624" s="83">
        <v>46106</v>
      </c>
      <c r="K1624" s="46" t="s">
        <v>1560</v>
      </c>
      <c r="L1624" s="46" t="s">
        <v>907</v>
      </c>
      <c r="M1624" s="46" t="str">
        <f>VLOOKUP(K1624,[4]在职!$A:$B,2,0)</f>
        <v>01919</v>
      </c>
      <c r="N1624" s="46" t="str">
        <f>VLOOKUP(K1624,[4]在职!$A:$G,7,0)</f>
        <v>营业二部</v>
      </c>
      <c r="O1624" s="46" t="str">
        <f>VLOOKUP(K1624,[4]在职!$A:$I,9,0)</f>
        <v>实习销售</v>
      </c>
      <c r="P1624" s="83">
        <f>VLOOKUP(K1624,[4]在职!$A:$D,4,0)</f>
        <v>46045</v>
      </c>
      <c r="Q1624" s="105">
        <v>0</v>
      </c>
      <c r="R1624" s="105">
        <v>0</v>
      </c>
      <c r="S1624" s="46">
        <v>0</v>
      </c>
    </row>
    <row r="1625" ht="16.5" spans="1:19">
      <c r="A1625" s="46">
        <v>1632</v>
      </c>
      <c r="B1625" s="46" t="s">
        <v>45</v>
      </c>
      <c r="C1625" s="46" t="str">
        <f>VLOOKUP(K1625,[4]在职!$A:$E,5,0)</f>
        <v>西南总部</v>
      </c>
      <c r="D1625" s="46" t="s">
        <v>25</v>
      </c>
      <c r="E1625" s="46" t="s">
        <v>1536</v>
      </c>
      <c r="F1625" s="46" t="s">
        <v>1371</v>
      </c>
      <c r="G1625" s="46" t="s">
        <v>904</v>
      </c>
      <c r="H1625" s="46" t="s">
        <v>1433</v>
      </c>
      <c r="I1625" s="46" t="s">
        <v>905</v>
      </c>
      <c r="J1625" s="83">
        <v>46106</v>
      </c>
      <c r="K1625" s="46" t="s">
        <v>1227</v>
      </c>
      <c r="L1625" s="46" t="s">
        <v>907</v>
      </c>
      <c r="M1625" s="46" t="str">
        <f>VLOOKUP(K1625,[4]在职!$A:$B,2,0)</f>
        <v>01764</v>
      </c>
      <c r="N1625" s="46" t="str">
        <f>VLOOKUP(K1625,[4]在职!$A:$G,7,0)</f>
        <v>营业二部</v>
      </c>
      <c r="O1625" s="46" t="str">
        <f>VLOOKUP(K1625,[4]在职!$A:$I,9,0)</f>
        <v>一星销售顾问</v>
      </c>
      <c r="P1625" s="83">
        <f>VLOOKUP(K1625,[4]在职!$A:$D,4,0)</f>
        <v>45962</v>
      </c>
      <c r="Q1625" s="105">
        <v>0</v>
      </c>
      <c r="R1625" s="105">
        <v>0</v>
      </c>
      <c r="S1625" s="46">
        <v>0</v>
      </c>
    </row>
    <row r="1626" ht="16.5" spans="1:19">
      <c r="A1626" s="46">
        <v>1633</v>
      </c>
      <c r="B1626" s="46" t="s">
        <v>45</v>
      </c>
      <c r="C1626" s="46" t="str">
        <f>VLOOKUP(K1626,[4]在职!$A:$E,5,0)</f>
        <v>西南总部</v>
      </c>
      <c r="D1626" s="46" t="s">
        <v>25</v>
      </c>
      <c r="E1626" s="46" t="s">
        <v>1536</v>
      </c>
      <c r="F1626" s="46" t="s">
        <v>1371</v>
      </c>
      <c r="G1626" s="46" t="s">
        <v>904</v>
      </c>
      <c r="H1626" s="46" t="s">
        <v>1433</v>
      </c>
      <c r="I1626" s="46" t="s">
        <v>905</v>
      </c>
      <c r="J1626" s="83">
        <v>46106</v>
      </c>
      <c r="K1626" s="46" t="s">
        <v>1561</v>
      </c>
      <c r="L1626" s="46" t="s">
        <v>907</v>
      </c>
      <c r="M1626" s="46" t="str">
        <f>VLOOKUP(K1626,[4]在职!$A:$B,2,0)</f>
        <v>01934</v>
      </c>
      <c r="N1626" s="46" t="str">
        <f>VLOOKUP(K1626,[4]在职!$A:$G,7,0)</f>
        <v>营业五部</v>
      </c>
      <c r="O1626" s="46" t="str">
        <f>VLOOKUP(K1626,[4]在职!$A:$I,9,0)</f>
        <v>实习销售</v>
      </c>
      <c r="P1626" s="83">
        <f>VLOOKUP(K1626,[4]在职!$A:$D,4,0)</f>
        <v>46061</v>
      </c>
      <c r="Q1626" s="105">
        <v>0</v>
      </c>
      <c r="R1626" s="105">
        <v>0</v>
      </c>
      <c r="S1626" s="46">
        <v>0</v>
      </c>
    </row>
    <row r="1627" ht="16.5" spans="1:19">
      <c r="A1627" s="46">
        <v>1634</v>
      </c>
      <c r="B1627" s="46" t="s">
        <v>45</v>
      </c>
      <c r="C1627" s="46" t="str">
        <f>VLOOKUP(K1627,[4]在职!$A:$E,5,0)</f>
        <v>西南总部</v>
      </c>
      <c r="D1627" s="46" t="s">
        <v>25</v>
      </c>
      <c r="E1627" s="46" t="s">
        <v>1536</v>
      </c>
      <c r="F1627" s="46" t="s">
        <v>1371</v>
      </c>
      <c r="G1627" s="46" t="s">
        <v>904</v>
      </c>
      <c r="H1627" s="46" t="s">
        <v>1433</v>
      </c>
      <c r="I1627" s="46" t="s">
        <v>905</v>
      </c>
      <c r="J1627" s="83">
        <v>46106</v>
      </c>
      <c r="K1627" s="46" t="s">
        <v>1562</v>
      </c>
      <c r="L1627" s="46" t="s">
        <v>907</v>
      </c>
      <c r="M1627" s="46" t="str">
        <f>VLOOKUP(K1627,[4]在职!$A:$B,2,0)</f>
        <v>01975</v>
      </c>
      <c r="N1627" s="46" t="str">
        <f>VLOOKUP(K1627,[4]在职!$A:$G,7,0)</f>
        <v>营业六部</v>
      </c>
      <c r="O1627" s="46" t="str">
        <f>VLOOKUP(K1627,[4]在职!$A:$I,9,0)</f>
        <v>实习销售</v>
      </c>
      <c r="P1627" s="83">
        <f>VLOOKUP(K1627,[4]在职!$A:$D,4,0)</f>
        <v>46087</v>
      </c>
      <c r="Q1627" s="105">
        <v>0</v>
      </c>
      <c r="R1627" s="105">
        <v>0</v>
      </c>
      <c r="S1627" s="46">
        <v>0</v>
      </c>
    </row>
    <row r="1628" ht="16.5" spans="1:19">
      <c r="A1628" s="46">
        <v>1635</v>
      </c>
      <c r="B1628" s="46" t="s">
        <v>45</v>
      </c>
      <c r="C1628" s="46" t="str">
        <f>VLOOKUP(K1628,[4]在职!$A:$E,5,0)</f>
        <v>西南总部</v>
      </c>
      <c r="D1628" s="46" t="s">
        <v>25</v>
      </c>
      <c r="E1628" s="46" t="s">
        <v>1536</v>
      </c>
      <c r="F1628" s="46" t="s">
        <v>1371</v>
      </c>
      <c r="G1628" s="46" t="s">
        <v>904</v>
      </c>
      <c r="H1628" s="46" t="s">
        <v>1433</v>
      </c>
      <c r="I1628" s="46" t="s">
        <v>905</v>
      </c>
      <c r="J1628" s="83">
        <v>46106</v>
      </c>
      <c r="K1628" s="46" t="s">
        <v>1563</v>
      </c>
      <c r="L1628" s="46" t="s">
        <v>907</v>
      </c>
      <c r="M1628" s="46" t="str">
        <f>VLOOKUP(K1628,[4]在职!$A:$B,2,0)</f>
        <v>01974</v>
      </c>
      <c r="N1628" s="46" t="str">
        <f>VLOOKUP(K1628,[4]在职!$A:$G,7,0)</f>
        <v>营业六部</v>
      </c>
      <c r="O1628" s="46" t="str">
        <f>VLOOKUP(K1628,[4]在职!$A:$I,9,0)</f>
        <v>实习销售</v>
      </c>
      <c r="P1628" s="83">
        <f>VLOOKUP(K1628,[4]在职!$A:$D,4,0)</f>
        <v>46087</v>
      </c>
      <c r="Q1628" s="105">
        <v>0</v>
      </c>
      <c r="R1628" s="105">
        <v>0</v>
      </c>
      <c r="S1628" s="46">
        <v>0</v>
      </c>
    </row>
    <row r="1629" ht="16.5" spans="1:19">
      <c r="A1629" s="46">
        <v>1636</v>
      </c>
      <c r="B1629" s="46" t="s">
        <v>45</v>
      </c>
      <c r="C1629" s="46" t="str">
        <f>VLOOKUP(K1629,[4]在职!$A:$E,5,0)</f>
        <v>西南总部</v>
      </c>
      <c r="D1629" s="46" t="s">
        <v>25</v>
      </c>
      <c r="E1629" s="46" t="s">
        <v>1536</v>
      </c>
      <c r="F1629" s="46" t="s">
        <v>1371</v>
      </c>
      <c r="G1629" s="46" t="s">
        <v>904</v>
      </c>
      <c r="H1629" s="46" t="s">
        <v>1433</v>
      </c>
      <c r="I1629" s="46" t="s">
        <v>905</v>
      </c>
      <c r="J1629" s="83">
        <v>46106</v>
      </c>
      <c r="K1629" s="46" t="s">
        <v>1564</v>
      </c>
      <c r="L1629" s="46" t="s">
        <v>907</v>
      </c>
      <c r="M1629" s="46" t="str">
        <f>VLOOKUP(K1629,[4]在职!$A:$B,2,0)</f>
        <v>01971</v>
      </c>
      <c r="N1629" s="46" t="str">
        <f>VLOOKUP(K1629,[4]在职!$A:$G,7,0)</f>
        <v>营业六部</v>
      </c>
      <c r="O1629" s="46" t="str">
        <f>VLOOKUP(K1629,[4]在职!$A:$I,9,0)</f>
        <v>实习销售</v>
      </c>
      <c r="P1629" s="83">
        <f>VLOOKUP(K1629,[4]在职!$A:$D,4,0)</f>
        <v>46083</v>
      </c>
      <c r="Q1629" s="105">
        <v>0</v>
      </c>
      <c r="R1629" s="105">
        <v>0</v>
      </c>
      <c r="S1629" s="46">
        <v>0</v>
      </c>
    </row>
    <row r="1630" ht="16.5" spans="1:19">
      <c r="A1630" s="46">
        <v>1637</v>
      </c>
      <c r="B1630" s="46" t="s">
        <v>45</v>
      </c>
      <c r="C1630" s="46" t="str">
        <f>VLOOKUP(K1630,[4]在职!$A:$E,5,0)</f>
        <v>西南总部</v>
      </c>
      <c r="D1630" s="46" t="s">
        <v>25</v>
      </c>
      <c r="E1630" s="46" t="s">
        <v>1536</v>
      </c>
      <c r="F1630" s="46" t="s">
        <v>1371</v>
      </c>
      <c r="G1630" s="46" t="s">
        <v>904</v>
      </c>
      <c r="H1630" s="46" t="s">
        <v>1433</v>
      </c>
      <c r="I1630" s="46" t="s">
        <v>905</v>
      </c>
      <c r="J1630" s="83">
        <v>46106</v>
      </c>
      <c r="K1630" s="46" t="s">
        <v>1203</v>
      </c>
      <c r="L1630" s="46" t="s">
        <v>907</v>
      </c>
      <c r="M1630" s="46" t="str">
        <f>VLOOKUP(K1630,[4]在职!$A:$B,2,0)</f>
        <v>01835</v>
      </c>
      <c r="N1630" s="46" t="str">
        <f>VLOOKUP(K1630,[4]在职!$A:$G,7,0)</f>
        <v>营业六部</v>
      </c>
      <c r="O1630" s="46" t="str">
        <f>VLOOKUP(K1630,[4]在职!$A:$I,9,0)</f>
        <v>实习销售</v>
      </c>
      <c r="P1630" s="83">
        <f>VLOOKUP(K1630,[4]在职!$A:$D,4,0)</f>
        <v>45994</v>
      </c>
      <c r="Q1630" s="105">
        <v>0</v>
      </c>
      <c r="R1630" s="105">
        <v>0</v>
      </c>
      <c r="S1630" s="46">
        <v>0</v>
      </c>
    </row>
    <row r="1631" ht="16.5" spans="1:19">
      <c r="A1631" s="46">
        <v>1638</v>
      </c>
      <c r="B1631" s="46" t="s">
        <v>45</v>
      </c>
      <c r="C1631" s="46" t="str">
        <f>VLOOKUP(K1631,[4]在职!$A:$E,5,0)</f>
        <v>西南总部</v>
      </c>
      <c r="D1631" s="46" t="s">
        <v>25</v>
      </c>
      <c r="E1631" s="46" t="s">
        <v>1536</v>
      </c>
      <c r="F1631" s="46" t="s">
        <v>1371</v>
      </c>
      <c r="G1631" s="46" t="s">
        <v>904</v>
      </c>
      <c r="H1631" s="46" t="s">
        <v>1433</v>
      </c>
      <c r="I1631" s="46" t="s">
        <v>905</v>
      </c>
      <c r="J1631" s="83">
        <v>46106</v>
      </c>
      <c r="K1631" s="46" t="s">
        <v>1211</v>
      </c>
      <c r="L1631" s="46" t="s">
        <v>907</v>
      </c>
      <c r="M1631" s="46" t="str">
        <f>VLOOKUP(K1631,[4]在职!$A:$B,2,0)</f>
        <v>01866</v>
      </c>
      <c r="N1631" s="46" t="str">
        <f>VLOOKUP(K1631,[4]在职!$A:$G,7,0)</f>
        <v>营业五部</v>
      </c>
      <c r="O1631" s="46" t="str">
        <f>VLOOKUP(K1631,[4]在职!$A:$I,9,0)</f>
        <v>实习销售</v>
      </c>
      <c r="P1631" s="83">
        <f>VLOOKUP(K1631,[4]在职!$A:$D,4,0)</f>
        <v>46010</v>
      </c>
      <c r="Q1631" s="105">
        <v>0</v>
      </c>
      <c r="R1631" s="105">
        <v>0</v>
      </c>
      <c r="S1631" s="46">
        <v>0</v>
      </c>
    </row>
    <row r="1632" ht="16.5" spans="1:19">
      <c r="A1632" s="46">
        <v>1639</v>
      </c>
      <c r="B1632" s="46" t="s">
        <v>45</v>
      </c>
      <c r="C1632" s="46" t="str">
        <f>VLOOKUP(K1632,[4]在职!$A:$E,5,0)</f>
        <v>西南总部</v>
      </c>
      <c r="D1632" s="46" t="s">
        <v>25</v>
      </c>
      <c r="E1632" s="46" t="s">
        <v>1536</v>
      </c>
      <c r="F1632" s="46" t="s">
        <v>1371</v>
      </c>
      <c r="G1632" s="46" t="s">
        <v>904</v>
      </c>
      <c r="H1632" s="46" t="s">
        <v>1433</v>
      </c>
      <c r="I1632" s="46" t="s">
        <v>905</v>
      </c>
      <c r="J1632" s="83">
        <v>46106</v>
      </c>
      <c r="K1632" s="46" t="s">
        <v>1213</v>
      </c>
      <c r="L1632" s="46" t="s">
        <v>907</v>
      </c>
      <c r="M1632" s="46" t="str">
        <f>VLOOKUP(K1632,[4]在职!$A:$B,2,0)</f>
        <v>01673</v>
      </c>
      <c r="N1632" s="46" t="str">
        <f>VLOOKUP(K1632,[4]在职!$A:$G,7,0)</f>
        <v>营业五部</v>
      </c>
      <c r="O1632" s="46" t="str">
        <f>VLOOKUP(K1632,[4]在职!$A:$I,9,0)</f>
        <v>实习销售</v>
      </c>
      <c r="P1632" s="83">
        <f>VLOOKUP(K1632,[4]在职!$A:$D,4,0)</f>
        <v>45896</v>
      </c>
      <c r="Q1632" s="105">
        <v>0</v>
      </c>
      <c r="R1632" s="105">
        <v>0</v>
      </c>
      <c r="S1632" s="46">
        <v>0</v>
      </c>
    </row>
    <row r="1633" ht="16.5" spans="1:19">
      <c r="A1633" s="46">
        <v>1640</v>
      </c>
      <c r="B1633" s="46" t="s">
        <v>45</v>
      </c>
      <c r="C1633" s="46" t="str">
        <f>VLOOKUP(K1633,[4]在职!$A:$E,5,0)</f>
        <v>西南总部</v>
      </c>
      <c r="D1633" s="46" t="s">
        <v>25</v>
      </c>
      <c r="E1633" s="46" t="s">
        <v>1536</v>
      </c>
      <c r="F1633" s="46" t="s">
        <v>1371</v>
      </c>
      <c r="G1633" s="46" t="s">
        <v>904</v>
      </c>
      <c r="H1633" s="46" t="s">
        <v>1433</v>
      </c>
      <c r="I1633" s="46" t="s">
        <v>905</v>
      </c>
      <c r="J1633" s="83">
        <v>46106</v>
      </c>
      <c r="K1633" s="46" t="s">
        <v>1209</v>
      </c>
      <c r="L1633" s="46" t="s">
        <v>907</v>
      </c>
      <c r="M1633" s="46" t="str">
        <f>VLOOKUP(K1633,[4]在职!$A:$B,2,0)</f>
        <v>01886</v>
      </c>
      <c r="N1633" s="46" t="str">
        <f>VLOOKUP(K1633,[4]在职!$A:$G,7,0)</f>
        <v>营业五部</v>
      </c>
      <c r="O1633" s="46" t="str">
        <f>VLOOKUP(K1633,[4]在职!$A:$I,9,0)</f>
        <v>实习销售</v>
      </c>
      <c r="P1633" s="83">
        <f>VLOOKUP(K1633,[4]在职!$A:$D,4,0)</f>
        <v>46022</v>
      </c>
      <c r="Q1633" s="105">
        <v>0</v>
      </c>
      <c r="R1633" s="105">
        <v>0</v>
      </c>
      <c r="S1633" s="46">
        <v>0</v>
      </c>
    </row>
    <row r="1634" ht="16.5" spans="1:19">
      <c r="A1634" s="46">
        <v>1641</v>
      </c>
      <c r="B1634" s="46" t="s">
        <v>45</v>
      </c>
      <c r="C1634" s="46" t="str">
        <f>VLOOKUP(K1634,[4]在职!$A:$E,5,0)</f>
        <v>西南总部</v>
      </c>
      <c r="D1634" s="46" t="s">
        <v>25</v>
      </c>
      <c r="E1634" s="46" t="s">
        <v>1536</v>
      </c>
      <c r="F1634" s="46" t="s">
        <v>1371</v>
      </c>
      <c r="G1634" s="46" t="s">
        <v>904</v>
      </c>
      <c r="H1634" s="46" t="s">
        <v>1433</v>
      </c>
      <c r="I1634" s="46" t="s">
        <v>905</v>
      </c>
      <c r="J1634" s="83">
        <v>46106</v>
      </c>
      <c r="K1634" s="46" t="s">
        <v>1207</v>
      </c>
      <c r="L1634" s="46" t="s">
        <v>907</v>
      </c>
      <c r="M1634" s="46" t="str">
        <f>VLOOKUP(K1634,[4]在职!$A:$B,2,0)</f>
        <v>01892</v>
      </c>
      <c r="N1634" s="46" t="str">
        <f>VLOOKUP(K1634,[4]在职!$A:$G,7,0)</f>
        <v>营业五部</v>
      </c>
      <c r="O1634" s="46" t="str">
        <f>VLOOKUP(K1634,[4]在职!$A:$I,9,0)</f>
        <v>实习销售</v>
      </c>
      <c r="P1634" s="83">
        <f>VLOOKUP(K1634,[4]在职!$A:$D,4,0)</f>
        <v>46022</v>
      </c>
      <c r="Q1634" s="105">
        <v>0</v>
      </c>
      <c r="R1634" s="105">
        <v>0</v>
      </c>
      <c r="S1634" s="46">
        <v>0</v>
      </c>
    </row>
    <row r="1635" ht="16.5" spans="1:19">
      <c r="A1635" s="46">
        <v>1642</v>
      </c>
      <c r="B1635" s="46" t="s">
        <v>45</v>
      </c>
      <c r="C1635" s="46" t="str">
        <f>VLOOKUP(K1635,[4]在职!$A:$E,5,0)</f>
        <v>西南总部</v>
      </c>
      <c r="D1635" s="46" t="s">
        <v>25</v>
      </c>
      <c r="E1635" s="46" t="s">
        <v>1536</v>
      </c>
      <c r="F1635" s="46" t="s">
        <v>1371</v>
      </c>
      <c r="G1635" s="46" t="s">
        <v>904</v>
      </c>
      <c r="H1635" s="46" t="s">
        <v>1433</v>
      </c>
      <c r="I1635" s="46" t="s">
        <v>905</v>
      </c>
      <c r="J1635" s="83">
        <v>46106</v>
      </c>
      <c r="K1635" s="46" t="s">
        <v>1565</v>
      </c>
      <c r="L1635" s="46" t="s">
        <v>907</v>
      </c>
      <c r="M1635" s="46" t="str">
        <f>VLOOKUP(K1635,[4]在职!$A:$B,2,0)</f>
        <v>01960</v>
      </c>
      <c r="N1635" s="46" t="str">
        <f>VLOOKUP(K1635,[4]在职!$A:$G,7,0)</f>
        <v>营业五部</v>
      </c>
      <c r="O1635" s="46" t="str">
        <f>VLOOKUP(K1635,[4]在职!$A:$I,9,0)</f>
        <v>实习销售</v>
      </c>
      <c r="P1635" s="83">
        <f>VLOOKUP(K1635,[4]在职!$A:$D,4,0)</f>
        <v>46085</v>
      </c>
      <c r="Q1635" s="105">
        <v>0</v>
      </c>
      <c r="R1635" s="105">
        <v>0</v>
      </c>
      <c r="S1635" s="46">
        <v>0</v>
      </c>
    </row>
    <row r="1636" ht="16.5" spans="1:19">
      <c r="A1636" s="46">
        <v>1643</v>
      </c>
      <c r="B1636" s="46" t="s">
        <v>45</v>
      </c>
      <c r="C1636" s="46" t="str">
        <f>VLOOKUP(K1636,[4]在职!$A:$E,5,0)</f>
        <v>西南总部</v>
      </c>
      <c r="D1636" s="46" t="s">
        <v>25</v>
      </c>
      <c r="E1636" s="46" t="s">
        <v>1536</v>
      </c>
      <c r="F1636" s="46" t="s">
        <v>1371</v>
      </c>
      <c r="G1636" s="46" t="s">
        <v>904</v>
      </c>
      <c r="H1636" s="46" t="s">
        <v>1433</v>
      </c>
      <c r="I1636" s="46" t="s">
        <v>905</v>
      </c>
      <c r="J1636" s="83">
        <v>46106</v>
      </c>
      <c r="K1636" s="46" t="s">
        <v>1201</v>
      </c>
      <c r="L1636" s="46" t="s">
        <v>907</v>
      </c>
      <c r="M1636" s="46" t="str">
        <f>VLOOKUP(K1636,[4]在职!$A:$B,2,0)</f>
        <v>01905</v>
      </c>
      <c r="N1636" s="46" t="str">
        <f>VLOOKUP(K1636,[4]在职!$A:$G,7,0)</f>
        <v>营业七部</v>
      </c>
      <c r="O1636" s="46" t="str">
        <f>VLOOKUP(K1636,[4]在职!$A:$I,9,0)</f>
        <v>实习销售</v>
      </c>
      <c r="P1636" s="83">
        <f>VLOOKUP(K1636,[4]在职!$A:$D,4,0)</f>
        <v>46027</v>
      </c>
      <c r="Q1636" s="105">
        <v>0</v>
      </c>
      <c r="R1636" s="105">
        <v>0</v>
      </c>
      <c r="S1636" s="46">
        <v>0</v>
      </c>
    </row>
    <row r="1637" ht="16.5" spans="1:19">
      <c r="A1637" s="46">
        <v>1644</v>
      </c>
      <c r="B1637" s="46" t="s">
        <v>45</v>
      </c>
      <c r="C1637" s="46" t="str">
        <f>VLOOKUP(K1637,[4]在职!$A:$E,5,0)</f>
        <v>西南总部</v>
      </c>
      <c r="D1637" s="46" t="s">
        <v>25</v>
      </c>
      <c r="E1637" s="46" t="s">
        <v>1536</v>
      </c>
      <c r="F1637" s="46" t="s">
        <v>1371</v>
      </c>
      <c r="G1637" s="46" t="s">
        <v>904</v>
      </c>
      <c r="H1637" s="46" t="s">
        <v>1433</v>
      </c>
      <c r="I1637" s="46" t="s">
        <v>905</v>
      </c>
      <c r="J1637" s="83">
        <v>46106</v>
      </c>
      <c r="K1637" s="46" t="s">
        <v>1566</v>
      </c>
      <c r="L1637" s="46" t="s">
        <v>907</v>
      </c>
      <c r="M1637" s="46" t="str">
        <f>VLOOKUP(K1637,[4]在职!$A:$B,2,0)</f>
        <v>01953</v>
      </c>
      <c r="N1637" s="46" t="str">
        <f>VLOOKUP(K1637,[4]在职!$A:$G,7,0)</f>
        <v>营业六部</v>
      </c>
      <c r="O1637" s="46" t="str">
        <f>VLOOKUP(K1637,[4]在职!$A:$I,9,0)</f>
        <v>实习销售</v>
      </c>
      <c r="P1637" s="83">
        <f>VLOOKUP(K1637,[4]在职!$A:$D,4,0)</f>
        <v>46083</v>
      </c>
      <c r="Q1637" s="105">
        <v>0</v>
      </c>
      <c r="R1637" s="105">
        <v>0</v>
      </c>
      <c r="S1637" s="46">
        <v>0</v>
      </c>
    </row>
    <row r="1638" ht="16.5" spans="1:19">
      <c r="A1638" s="46">
        <v>1645</v>
      </c>
      <c r="B1638" s="46" t="s">
        <v>45</v>
      </c>
      <c r="C1638" s="46" t="str">
        <f>VLOOKUP(K1638,[4]在职!$A:$E,5,0)</f>
        <v>西南总部</v>
      </c>
      <c r="D1638" s="46" t="s">
        <v>25</v>
      </c>
      <c r="E1638" s="46" t="s">
        <v>1536</v>
      </c>
      <c r="F1638" s="46" t="s">
        <v>1371</v>
      </c>
      <c r="G1638" s="46" t="s">
        <v>904</v>
      </c>
      <c r="H1638" s="46" t="s">
        <v>1433</v>
      </c>
      <c r="I1638" s="46" t="s">
        <v>905</v>
      </c>
      <c r="J1638" s="83">
        <v>46106</v>
      </c>
      <c r="K1638" s="46" t="s">
        <v>1182</v>
      </c>
      <c r="L1638" s="46" t="s">
        <v>907</v>
      </c>
      <c r="M1638" s="46" t="str">
        <f>VLOOKUP(K1638,[4]在职!$A:$B,2,0)</f>
        <v>01864</v>
      </c>
      <c r="N1638" s="46" t="str">
        <f>VLOOKUP(K1638,[4]在职!$A:$G,7,0)</f>
        <v>营业六部</v>
      </c>
      <c r="O1638" s="46" t="str">
        <f>VLOOKUP(K1638,[4]在职!$A:$I,9,0)</f>
        <v>实习销售</v>
      </c>
      <c r="P1638" s="83">
        <f>VLOOKUP(K1638,[4]在职!$A:$D,4,0)</f>
        <v>46008</v>
      </c>
      <c r="Q1638" s="105">
        <v>0</v>
      </c>
      <c r="R1638" s="105">
        <v>0</v>
      </c>
      <c r="S1638" s="46">
        <v>0</v>
      </c>
    </row>
    <row r="1639" ht="16.5" spans="1:19">
      <c r="A1639" s="46">
        <v>1646</v>
      </c>
      <c r="B1639" s="46" t="s">
        <v>45</v>
      </c>
      <c r="C1639" s="46" t="str">
        <f>VLOOKUP(K1639,[4]在职!$A:$E,5,0)</f>
        <v>西南总部</v>
      </c>
      <c r="D1639" s="46" t="s">
        <v>25</v>
      </c>
      <c r="E1639" s="46" t="s">
        <v>1536</v>
      </c>
      <c r="F1639" s="46" t="s">
        <v>1371</v>
      </c>
      <c r="G1639" s="46" t="s">
        <v>904</v>
      </c>
      <c r="H1639" s="46" t="s">
        <v>1433</v>
      </c>
      <c r="I1639" s="46" t="s">
        <v>905</v>
      </c>
      <c r="J1639" s="83">
        <v>46106</v>
      </c>
      <c r="K1639" s="46" t="s">
        <v>1503</v>
      </c>
      <c r="L1639" s="46" t="s">
        <v>907</v>
      </c>
      <c r="M1639" s="46" t="str">
        <f>VLOOKUP(K1639,[4]在职!$A:$B,2,0)</f>
        <v>01560</v>
      </c>
      <c r="N1639" s="46" t="str">
        <f>VLOOKUP(K1639,[4]在职!$A:$G,7,0)</f>
        <v>营业五部</v>
      </c>
      <c r="O1639" s="46" t="str">
        <f>VLOOKUP(K1639,[4]在职!$A:$I,9,0)</f>
        <v>一星销售顾问</v>
      </c>
      <c r="P1639" s="83">
        <f>VLOOKUP(K1639,[4]在职!$A:$D,4,0)</f>
        <v>45838</v>
      </c>
      <c r="Q1639" s="105">
        <v>0</v>
      </c>
      <c r="R1639" s="105">
        <v>0</v>
      </c>
      <c r="S1639" s="46">
        <v>0</v>
      </c>
    </row>
    <row r="1640" ht="16.5" spans="1:19">
      <c r="A1640" s="46">
        <v>1647</v>
      </c>
      <c r="B1640" s="46" t="s">
        <v>45</v>
      </c>
      <c r="C1640" s="46" t="str">
        <f>VLOOKUP(K1640,[4]在职!$A:$E,5,0)</f>
        <v>河北</v>
      </c>
      <c r="D1640" s="46" t="s">
        <v>25</v>
      </c>
      <c r="E1640" s="46" t="s">
        <v>1170</v>
      </c>
      <c r="F1640" s="46" t="s">
        <v>903</v>
      </c>
      <c r="G1640" s="46" t="s">
        <v>904</v>
      </c>
      <c r="H1640" s="46" t="s">
        <v>1433</v>
      </c>
      <c r="I1640" s="46" t="s">
        <v>905</v>
      </c>
      <c r="J1640" s="83">
        <v>46106</v>
      </c>
      <c r="K1640" s="46" t="s">
        <v>1550</v>
      </c>
      <c r="L1640" s="46" t="s">
        <v>907</v>
      </c>
      <c r="M1640" s="46" t="str">
        <f>VLOOKUP(K1640,[4]在职!$A:$B,2,0)</f>
        <v>01962</v>
      </c>
      <c r="N1640" s="46" t="str">
        <f>VLOOKUP(K1640,[4]在职!$A:$G,7,0)</f>
        <v>河北销售部</v>
      </c>
      <c r="O1640" s="46" t="str">
        <f>VLOOKUP(K1640,[4]在职!$A:$I,9,0)</f>
        <v>实习销售</v>
      </c>
      <c r="P1640" s="83">
        <f>VLOOKUP(K1640,[4]在职!$A:$D,4,0)</f>
        <v>46088</v>
      </c>
      <c r="Q1640" s="105">
        <v>0</v>
      </c>
      <c r="R1640" s="105">
        <v>0</v>
      </c>
      <c r="S1640" s="46">
        <v>0</v>
      </c>
    </row>
    <row r="1641" ht="16.5" spans="1:19">
      <c r="A1641" s="46">
        <v>1648</v>
      </c>
      <c r="B1641" s="46" t="s">
        <v>45</v>
      </c>
      <c r="C1641" s="46" t="str">
        <f>VLOOKUP(K1641,[4]在职!$A:$E,5,0)</f>
        <v>河北</v>
      </c>
      <c r="D1641" s="46" t="s">
        <v>25</v>
      </c>
      <c r="E1641" s="46" t="s">
        <v>1170</v>
      </c>
      <c r="F1641" s="46" t="s">
        <v>903</v>
      </c>
      <c r="G1641" s="46" t="s">
        <v>904</v>
      </c>
      <c r="H1641" s="46" t="s">
        <v>1433</v>
      </c>
      <c r="I1641" s="46" t="s">
        <v>905</v>
      </c>
      <c r="J1641" s="83">
        <v>46106</v>
      </c>
      <c r="K1641" s="46" t="s">
        <v>1309</v>
      </c>
      <c r="L1641" s="46" t="s">
        <v>907</v>
      </c>
      <c r="M1641" s="46" t="str">
        <f>VLOOKUP(K1641,[4]在职!$A:$B,2,0)</f>
        <v>01902</v>
      </c>
      <c r="N1641" s="46" t="str">
        <f>VLOOKUP(K1641,[4]在职!$A:$G,7,0)</f>
        <v>河北销售部</v>
      </c>
      <c r="O1641" s="46" t="str">
        <f>VLOOKUP(K1641,[4]在职!$A:$I,9,0)</f>
        <v>实习销售</v>
      </c>
      <c r="P1641" s="83">
        <f>VLOOKUP(K1641,[4]在职!$A:$D,4,0)</f>
        <v>46026</v>
      </c>
      <c r="Q1641" s="105">
        <v>0</v>
      </c>
      <c r="R1641" s="105">
        <v>0</v>
      </c>
      <c r="S1641" s="46">
        <v>0</v>
      </c>
    </row>
    <row r="1642" ht="16.5" spans="1:19">
      <c r="A1642" s="46">
        <v>1649</v>
      </c>
      <c r="B1642" s="46" t="s">
        <v>45</v>
      </c>
      <c r="C1642" s="46" t="str">
        <f>VLOOKUP(K1642,[4]在职!$A:$E,5,0)</f>
        <v>西南总部</v>
      </c>
      <c r="D1642" s="46" t="s">
        <v>25</v>
      </c>
      <c r="E1642" s="46" t="s">
        <v>1170</v>
      </c>
      <c r="F1642" s="46" t="s">
        <v>903</v>
      </c>
      <c r="G1642" s="46" t="s">
        <v>904</v>
      </c>
      <c r="H1642" s="46" t="s">
        <v>1433</v>
      </c>
      <c r="I1642" s="46" t="s">
        <v>905</v>
      </c>
      <c r="J1642" s="83">
        <v>46106</v>
      </c>
      <c r="K1642" s="46" t="s">
        <v>1551</v>
      </c>
      <c r="L1642" s="46" t="s">
        <v>907</v>
      </c>
      <c r="M1642" s="46" t="str">
        <f>VLOOKUP(K1642,[4]在职!$A:$B,2,0)</f>
        <v>01922</v>
      </c>
      <c r="N1642" s="46" t="str">
        <f>VLOOKUP(K1642,[4]在职!$A:$G,7,0)</f>
        <v>营业四部</v>
      </c>
      <c r="O1642" s="46" t="str">
        <f>VLOOKUP(K1642,[4]在职!$A:$I,9,0)</f>
        <v>实习销售</v>
      </c>
      <c r="P1642" s="83">
        <f>VLOOKUP(K1642,[4]在职!$A:$D,4,0)</f>
        <v>46048</v>
      </c>
      <c r="Q1642" s="105">
        <v>0</v>
      </c>
      <c r="R1642" s="105">
        <v>0</v>
      </c>
      <c r="S1642" s="46">
        <v>0</v>
      </c>
    </row>
    <row r="1643" ht="16.5" spans="1:19">
      <c r="A1643" s="46">
        <v>1650</v>
      </c>
      <c r="B1643" s="46" t="s">
        <v>45</v>
      </c>
      <c r="C1643" s="46" t="str">
        <f>VLOOKUP(K1643,[4]在职!$A:$E,5,0)</f>
        <v>湖南</v>
      </c>
      <c r="D1643" s="46" t="s">
        <v>25</v>
      </c>
      <c r="E1643" s="46" t="s">
        <v>1170</v>
      </c>
      <c r="F1643" s="46" t="s">
        <v>903</v>
      </c>
      <c r="G1643" s="46" t="s">
        <v>904</v>
      </c>
      <c r="H1643" s="46" t="s">
        <v>1433</v>
      </c>
      <c r="I1643" s="46" t="s">
        <v>905</v>
      </c>
      <c r="J1643" s="83">
        <v>46106</v>
      </c>
      <c r="K1643" s="46" t="s">
        <v>1461</v>
      </c>
      <c r="L1643" s="46" t="s">
        <v>907</v>
      </c>
      <c r="M1643" s="46" t="str">
        <f>VLOOKUP(K1643,[4]在职!$A:$B,2,0)</f>
        <v>01731</v>
      </c>
      <c r="N1643" s="46" t="str">
        <f>VLOOKUP(K1643,[4]在职!$A:$G,7,0)</f>
        <v>湖南销售部</v>
      </c>
      <c r="O1643" s="46" t="str">
        <f>VLOOKUP(K1643,[4]在职!$A:$I,9,0)</f>
        <v>一星销售顾问</v>
      </c>
      <c r="P1643" s="83">
        <f>VLOOKUP(K1643,[4]在职!$A:$D,4,0)</f>
        <v>45943</v>
      </c>
      <c r="Q1643" s="105">
        <v>0</v>
      </c>
      <c r="R1643" s="105">
        <v>0</v>
      </c>
      <c r="S1643" s="46">
        <v>0</v>
      </c>
    </row>
    <row r="1644" ht="16.5" spans="1:19">
      <c r="A1644" s="46">
        <v>1651</v>
      </c>
      <c r="B1644" s="46" t="s">
        <v>45</v>
      </c>
      <c r="C1644" s="46" t="str">
        <f>VLOOKUP(K1644,[4]在职!$A:$E,5,0)</f>
        <v>西南总部</v>
      </c>
      <c r="D1644" s="46" t="s">
        <v>25</v>
      </c>
      <c r="E1644" s="46" t="s">
        <v>1170</v>
      </c>
      <c r="F1644" s="46" t="s">
        <v>903</v>
      </c>
      <c r="G1644" s="46" t="s">
        <v>904</v>
      </c>
      <c r="H1644" s="46" t="s">
        <v>1433</v>
      </c>
      <c r="I1644" s="46" t="s">
        <v>905</v>
      </c>
      <c r="J1644" s="83">
        <v>46106</v>
      </c>
      <c r="K1644" s="46" t="s">
        <v>1552</v>
      </c>
      <c r="L1644" s="46" t="s">
        <v>907</v>
      </c>
      <c r="M1644" s="46" t="str">
        <f>VLOOKUP(K1644,[4]在职!$A:$B,2,0)</f>
        <v>01933</v>
      </c>
      <c r="N1644" s="46" t="str">
        <f>VLOOKUP(K1644,[4]在职!$A:$G,7,0)</f>
        <v>营业七部</v>
      </c>
      <c r="O1644" s="46" t="str">
        <f>VLOOKUP(K1644,[4]在职!$A:$I,9,0)</f>
        <v>实习销售</v>
      </c>
      <c r="P1644" s="83">
        <f>VLOOKUP(K1644,[4]在职!$A:$D,4,0)</f>
        <v>46057</v>
      </c>
      <c r="Q1644" s="105">
        <v>0</v>
      </c>
      <c r="R1644" s="105">
        <v>0</v>
      </c>
      <c r="S1644" s="46">
        <v>0</v>
      </c>
    </row>
    <row r="1645" ht="16.5" spans="1:19">
      <c r="A1645" s="46">
        <v>1652</v>
      </c>
      <c r="B1645" s="46" t="s">
        <v>45</v>
      </c>
      <c r="C1645" s="46" t="str">
        <f>VLOOKUP(K1645,[4]在职!$A:$E,5,0)</f>
        <v>西南总部</v>
      </c>
      <c r="D1645" s="46" t="s">
        <v>25</v>
      </c>
      <c r="E1645" s="46" t="s">
        <v>1170</v>
      </c>
      <c r="F1645" s="46" t="s">
        <v>903</v>
      </c>
      <c r="G1645" s="46" t="s">
        <v>904</v>
      </c>
      <c r="H1645" s="46" t="s">
        <v>1433</v>
      </c>
      <c r="I1645" s="46" t="s">
        <v>905</v>
      </c>
      <c r="J1645" s="83">
        <v>46106</v>
      </c>
      <c r="K1645" s="46" t="s">
        <v>1307</v>
      </c>
      <c r="L1645" s="46" t="s">
        <v>907</v>
      </c>
      <c r="M1645" s="46" t="str">
        <f>VLOOKUP(K1645,[4]在职!$A:$B,2,0)</f>
        <v>01758</v>
      </c>
      <c r="N1645" s="46" t="str">
        <f>VLOOKUP(K1645,[4]在职!$A:$G,7,0)</f>
        <v>营业四部</v>
      </c>
      <c r="O1645" s="46" t="str">
        <f>VLOOKUP(K1645,[4]在职!$A:$I,9,0)</f>
        <v>实习销售</v>
      </c>
      <c r="P1645" s="83">
        <f>VLOOKUP(K1645,[4]在职!$A:$D,4,0)</f>
        <v>45955</v>
      </c>
      <c r="Q1645" s="105">
        <v>0</v>
      </c>
      <c r="R1645" s="105">
        <v>0</v>
      </c>
      <c r="S1645" s="46">
        <v>0</v>
      </c>
    </row>
    <row r="1646" ht="16.5" spans="1:19">
      <c r="A1646" s="46">
        <v>1653</v>
      </c>
      <c r="B1646" s="46" t="s">
        <v>45</v>
      </c>
      <c r="C1646" s="46" t="str">
        <f>VLOOKUP(K1646,[4]在职!$A:$E,5,0)</f>
        <v>西南总部</v>
      </c>
      <c r="D1646" s="46" t="s">
        <v>25</v>
      </c>
      <c r="E1646" s="46" t="s">
        <v>1170</v>
      </c>
      <c r="F1646" s="46" t="s">
        <v>903</v>
      </c>
      <c r="G1646" s="46" t="s">
        <v>904</v>
      </c>
      <c r="H1646" s="46" t="s">
        <v>1433</v>
      </c>
      <c r="I1646" s="46" t="s">
        <v>905</v>
      </c>
      <c r="J1646" s="83">
        <v>46106</v>
      </c>
      <c r="K1646" s="46" t="s">
        <v>1303</v>
      </c>
      <c r="L1646" s="46" t="s">
        <v>907</v>
      </c>
      <c r="M1646" s="46" t="str">
        <f>VLOOKUP(K1646,[4]在职!$A:$B,2,0)</f>
        <v>01882</v>
      </c>
      <c r="N1646" s="46" t="str">
        <f>VLOOKUP(K1646,[4]在职!$A:$G,7,0)</f>
        <v>营业四部</v>
      </c>
      <c r="O1646" s="46" t="str">
        <f>VLOOKUP(K1646,[4]在职!$A:$I,9,0)</f>
        <v>实习销售</v>
      </c>
      <c r="P1646" s="83">
        <f>VLOOKUP(K1646,[4]在职!$A:$D,4,0)</f>
        <v>46022</v>
      </c>
      <c r="Q1646" s="105">
        <v>0</v>
      </c>
      <c r="R1646" s="105">
        <v>0</v>
      </c>
      <c r="S1646" s="46">
        <v>0</v>
      </c>
    </row>
    <row r="1647" ht="16.5" spans="1:19">
      <c r="A1647" s="46">
        <v>1654</v>
      </c>
      <c r="B1647" s="46" t="s">
        <v>45</v>
      </c>
      <c r="C1647" s="46" t="str">
        <f>VLOOKUP(K1647,[4]在职!$A:$E,5,0)</f>
        <v>西南总部</v>
      </c>
      <c r="D1647" s="46" t="s">
        <v>25</v>
      </c>
      <c r="E1647" s="46" t="s">
        <v>1170</v>
      </c>
      <c r="F1647" s="46" t="s">
        <v>903</v>
      </c>
      <c r="G1647" s="46" t="s">
        <v>904</v>
      </c>
      <c r="H1647" s="46" t="s">
        <v>1433</v>
      </c>
      <c r="I1647" s="46" t="s">
        <v>905</v>
      </c>
      <c r="J1647" s="83">
        <v>46106</v>
      </c>
      <c r="K1647" s="46" t="s">
        <v>1553</v>
      </c>
      <c r="L1647" s="46" t="s">
        <v>907</v>
      </c>
      <c r="M1647" s="46" t="str">
        <f>VLOOKUP(K1647,[4]在职!$A:$B,2,0)</f>
        <v>01945</v>
      </c>
      <c r="N1647" s="46" t="str">
        <f>VLOOKUP(K1647,[4]在职!$A:$G,7,0)</f>
        <v>营业七部</v>
      </c>
      <c r="O1647" s="46" t="str">
        <f>VLOOKUP(K1647,[4]在职!$A:$I,9,0)</f>
        <v>实习销售</v>
      </c>
      <c r="P1647" s="83">
        <f>VLOOKUP(K1647,[4]在职!$A:$D,4,0)</f>
        <v>46083</v>
      </c>
      <c r="Q1647" s="105">
        <v>0</v>
      </c>
      <c r="R1647" s="105">
        <v>0</v>
      </c>
      <c r="S1647" s="46">
        <v>0</v>
      </c>
    </row>
    <row r="1648" ht="16.5" spans="1:19">
      <c r="A1648" s="46">
        <v>1655</v>
      </c>
      <c r="B1648" s="46" t="s">
        <v>45</v>
      </c>
      <c r="C1648" s="46" t="str">
        <f>VLOOKUP(K1648,[4]在职!$A:$E,5,0)</f>
        <v>西南总部</v>
      </c>
      <c r="D1648" s="46" t="s">
        <v>25</v>
      </c>
      <c r="E1648" s="46" t="s">
        <v>1170</v>
      </c>
      <c r="F1648" s="46" t="s">
        <v>903</v>
      </c>
      <c r="G1648" s="46" t="s">
        <v>904</v>
      </c>
      <c r="H1648" s="46" t="s">
        <v>1433</v>
      </c>
      <c r="I1648" s="46" t="s">
        <v>905</v>
      </c>
      <c r="J1648" s="83">
        <v>46106</v>
      </c>
      <c r="K1648" s="46" t="s">
        <v>1554</v>
      </c>
      <c r="L1648" s="46" t="s">
        <v>907</v>
      </c>
      <c r="M1648" s="46" t="str">
        <f>VLOOKUP(K1648,[4]在职!$A:$B,2,0)</f>
        <v>01916</v>
      </c>
      <c r="N1648" s="46" t="str">
        <f>VLOOKUP(K1648,[4]在职!$A:$G,7,0)</f>
        <v>营业七部</v>
      </c>
      <c r="O1648" s="46" t="str">
        <f>VLOOKUP(K1648,[4]在职!$A:$I,9,0)</f>
        <v>实习销售</v>
      </c>
      <c r="P1648" s="83">
        <f>VLOOKUP(K1648,[4]在职!$A:$D,4,0)</f>
        <v>46042</v>
      </c>
      <c r="Q1648" s="105">
        <v>0</v>
      </c>
      <c r="R1648" s="105">
        <v>0</v>
      </c>
      <c r="S1648" s="46">
        <v>0</v>
      </c>
    </row>
    <row r="1649" ht="16.5" spans="1:19">
      <c r="A1649" s="46">
        <v>1656</v>
      </c>
      <c r="B1649" s="46" t="s">
        <v>45</v>
      </c>
      <c r="C1649" s="46" t="str">
        <f>VLOOKUP(K1649,[4]在职!$A:$E,5,0)</f>
        <v>西南总部</v>
      </c>
      <c r="D1649" s="46" t="s">
        <v>25</v>
      </c>
      <c r="E1649" s="46" t="s">
        <v>1170</v>
      </c>
      <c r="F1649" s="46" t="s">
        <v>903</v>
      </c>
      <c r="G1649" s="46" t="s">
        <v>904</v>
      </c>
      <c r="H1649" s="46" t="s">
        <v>1433</v>
      </c>
      <c r="I1649" s="46" t="s">
        <v>905</v>
      </c>
      <c r="J1649" s="83">
        <v>46106</v>
      </c>
      <c r="K1649" s="46" t="s">
        <v>1555</v>
      </c>
      <c r="L1649" s="46" t="s">
        <v>907</v>
      </c>
      <c r="M1649" s="46" t="str">
        <f>VLOOKUP(K1649,[4]在职!$A:$B,2,0)</f>
        <v>01951</v>
      </c>
      <c r="N1649" s="46" t="str">
        <f>VLOOKUP(K1649,[4]在职!$A:$G,7,0)</f>
        <v>营业七部</v>
      </c>
      <c r="O1649" s="46" t="str">
        <f>VLOOKUP(K1649,[4]在职!$A:$I,9,0)</f>
        <v>实习销售</v>
      </c>
      <c r="P1649" s="83">
        <f>VLOOKUP(K1649,[4]在职!$A:$D,4,0)</f>
        <v>46082</v>
      </c>
      <c r="Q1649" s="105">
        <v>0</v>
      </c>
      <c r="R1649" s="105">
        <v>0</v>
      </c>
      <c r="S1649" s="46">
        <v>0</v>
      </c>
    </row>
    <row r="1650" ht="16.5" spans="1:19">
      <c r="A1650" s="46">
        <v>1657</v>
      </c>
      <c r="B1650" s="46" t="s">
        <v>45</v>
      </c>
      <c r="C1650" s="46" t="str">
        <f>VLOOKUP(K1650,[4]在职!$A:$E,5,0)</f>
        <v>西南总部</v>
      </c>
      <c r="D1650" s="46" t="s">
        <v>25</v>
      </c>
      <c r="E1650" s="46" t="s">
        <v>1170</v>
      </c>
      <c r="F1650" s="46" t="s">
        <v>903</v>
      </c>
      <c r="G1650" s="46" t="s">
        <v>904</v>
      </c>
      <c r="H1650" s="46" t="s">
        <v>1433</v>
      </c>
      <c r="I1650" s="46" t="s">
        <v>905</v>
      </c>
      <c r="J1650" s="83">
        <v>46106</v>
      </c>
      <c r="K1650" s="46" t="s">
        <v>1556</v>
      </c>
      <c r="L1650" s="46" t="s">
        <v>907</v>
      </c>
      <c r="M1650" s="46" t="str">
        <f>VLOOKUP(K1650,[4]在职!$A:$B,2,0)</f>
        <v>01927</v>
      </c>
      <c r="N1650" s="46" t="str">
        <f>VLOOKUP(K1650,[4]在职!$A:$G,7,0)</f>
        <v>营业三部</v>
      </c>
      <c r="O1650" s="46" t="str">
        <f>VLOOKUP(K1650,[4]在职!$A:$I,9,0)</f>
        <v>实习销售</v>
      </c>
      <c r="P1650" s="83">
        <f>VLOOKUP(K1650,[4]在职!$A:$D,4,0)</f>
        <v>46049</v>
      </c>
      <c r="Q1650" s="105">
        <v>0</v>
      </c>
      <c r="R1650" s="105">
        <v>0</v>
      </c>
      <c r="S1650" s="46">
        <v>0</v>
      </c>
    </row>
    <row r="1651" ht="16.5" spans="1:19">
      <c r="A1651" s="46">
        <v>1658</v>
      </c>
      <c r="B1651" s="46" t="s">
        <v>45</v>
      </c>
      <c r="C1651" s="46" t="str">
        <f>VLOOKUP(K1651,[4]在职!$A:$E,5,0)</f>
        <v>西南总部</v>
      </c>
      <c r="D1651" s="46" t="s">
        <v>25</v>
      </c>
      <c r="E1651" s="46" t="s">
        <v>1170</v>
      </c>
      <c r="F1651" s="46" t="s">
        <v>903</v>
      </c>
      <c r="G1651" s="46" t="s">
        <v>904</v>
      </c>
      <c r="H1651" s="46" t="s">
        <v>1433</v>
      </c>
      <c r="I1651" s="46" t="s">
        <v>905</v>
      </c>
      <c r="J1651" s="83">
        <v>46106</v>
      </c>
      <c r="K1651" s="46" t="s">
        <v>1271</v>
      </c>
      <c r="L1651" s="46" t="s">
        <v>907</v>
      </c>
      <c r="M1651" s="46" t="str">
        <f>VLOOKUP(K1651,[4]在职!$A:$B,2,0)</f>
        <v>01790</v>
      </c>
      <c r="N1651" s="46" t="str">
        <f>VLOOKUP(K1651,[4]在职!$A:$G,7,0)</f>
        <v>营业四部</v>
      </c>
      <c r="O1651" s="46" t="str">
        <f>VLOOKUP(K1651,[4]在职!$A:$I,9,0)</f>
        <v>一星销售顾问</v>
      </c>
      <c r="P1651" s="83">
        <f>VLOOKUP(K1651,[4]在职!$A:$D,4,0)</f>
        <v>45974</v>
      </c>
      <c r="Q1651" s="105">
        <v>0</v>
      </c>
      <c r="R1651" s="105">
        <v>0</v>
      </c>
      <c r="S1651" s="46">
        <v>0</v>
      </c>
    </row>
    <row r="1652" ht="16.5" spans="1:19">
      <c r="A1652" s="46">
        <v>1659</v>
      </c>
      <c r="B1652" s="46" t="s">
        <v>45</v>
      </c>
      <c r="C1652" s="46" t="str">
        <f>VLOOKUP(K1652,[4]在职!$A:$E,5,0)</f>
        <v>西南总部</v>
      </c>
      <c r="D1652" s="46" t="s">
        <v>25</v>
      </c>
      <c r="E1652" s="46" t="s">
        <v>1170</v>
      </c>
      <c r="F1652" s="46" t="s">
        <v>903</v>
      </c>
      <c r="G1652" s="46" t="s">
        <v>904</v>
      </c>
      <c r="H1652" s="46" t="s">
        <v>1433</v>
      </c>
      <c r="I1652" s="46" t="s">
        <v>905</v>
      </c>
      <c r="J1652" s="83">
        <v>46106</v>
      </c>
      <c r="K1652" s="46" t="s">
        <v>1243</v>
      </c>
      <c r="L1652" s="46" t="s">
        <v>907</v>
      </c>
      <c r="M1652" s="46" t="str">
        <f>VLOOKUP(K1652,[4]在职!$A:$B,2,0)</f>
        <v>01909</v>
      </c>
      <c r="N1652" s="46" t="str">
        <f>VLOOKUP(K1652,[4]在职!$A:$G,7,0)</f>
        <v>营业一部</v>
      </c>
      <c r="O1652" s="46" t="str">
        <f>VLOOKUP(K1652,[4]在职!$A:$I,9,0)</f>
        <v>实习销售</v>
      </c>
      <c r="P1652" s="83">
        <f>VLOOKUP(K1652,[4]在职!$A:$D,4,0)</f>
        <v>46031</v>
      </c>
      <c r="Q1652" s="105">
        <v>0</v>
      </c>
      <c r="R1652" s="105">
        <v>0</v>
      </c>
      <c r="S1652" s="46">
        <v>0</v>
      </c>
    </row>
    <row r="1653" ht="16.5" spans="1:19">
      <c r="A1653" s="46">
        <v>1660</v>
      </c>
      <c r="B1653" s="46" t="s">
        <v>45</v>
      </c>
      <c r="C1653" s="46" t="str">
        <f>VLOOKUP(K1653,[4]在职!$A:$E,5,0)</f>
        <v>西南总部</v>
      </c>
      <c r="D1653" s="46" t="s">
        <v>25</v>
      </c>
      <c r="E1653" s="46" t="s">
        <v>1170</v>
      </c>
      <c r="F1653" s="46" t="s">
        <v>903</v>
      </c>
      <c r="G1653" s="46" t="s">
        <v>904</v>
      </c>
      <c r="H1653" s="46" t="s">
        <v>1433</v>
      </c>
      <c r="I1653" s="46" t="s">
        <v>905</v>
      </c>
      <c r="J1653" s="83">
        <v>46106</v>
      </c>
      <c r="K1653" s="46" t="s">
        <v>1557</v>
      </c>
      <c r="L1653" s="46" t="s">
        <v>907</v>
      </c>
      <c r="M1653" s="46" t="str">
        <f>VLOOKUP(K1653,[4]在职!$A:$B,2,0)</f>
        <v>01965</v>
      </c>
      <c r="N1653" s="46" t="str">
        <f>VLOOKUP(K1653,[4]在职!$A:$G,7,0)</f>
        <v>营业二部</v>
      </c>
      <c r="O1653" s="46" t="str">
        <f>VLOOKUP(K1653,[4]在职!$A:$I,9,0)</f>
        <v>实习销售</v>
      </c>
      <c r="P1653" s="83">
        <f>VLOOKUP(K1653,[4]在职!$A:$D,4,0)</f>
        <v>46085</v>
      </c>
      <c r="Q1653" s="105">
        <v>0</v>
      </c>
      <c r="R1653" s="105">
        <v>0</v>
      </c>
      <c r="S1653" s="46">
        <v>0</v>
      </c>
    </row>
    <row r="1654" ht="16.5" spans="1:19">
      <c r="A1654" s="46">
        <v>1661</v>
      </c>
      <c r="B1654" s="46" t="s">
        <v>45</v>
      </c>
      <c r="C1654" s="46" t="str">
        <f>VLOOKUP(K1654,[4]在职!$A:$E,5,0)</f>
        <v>西南总部</v>
      </c>
      <c r="D1654" s="46" t="s">
        <v>25</v>
      </c>
      <c r="E1654" s="46" t="s">
        <v>1170</v>
      </c>
      <c r="F1654" s="46" t="s">
        <v>903</v>
      </c>
      <c r="G1654" s="46" t="s">
        <v>904</v>
      </c>
      <c r="H1654" s="46" t="s">
        <v>1433</v>
      </c>
      <c r="I1654" s="46" t="s">
        <v>905</v>
      </c>
      <c r="J1654" s="83">
        <v>46106</v>
      </c>
      <c r="K1654" s="46" t="s">
        <v>1558</v>
      </c>
      <c r="L1654" s="46" t="s">
        <v>907</v>
      </c>
      <c r="M1654" s="46" t="str">
        <f>VLOOKUP(K1654,[4]在职!$A:$B,2,0)</f>
        <v>01967</v>
      </c>
      <c r="N1654" s="46" t="str">
        <f>VLOOKUP(K1654,[4]在职!$A:$G,7,0)</f>
        <v>营业二部</v>
      </c>
      <c r="O1654" s="46" t="str">
        <f>VLOOKUP(K1654,[4]在职!$A:$I,9,0)</f>
        <v>实习销售</v>
      </c>
      <c r="P1654" s="83">
        <f>VLOOKUP(K1654,[4]在职!$A:$D,4,0)</f>
        <v>46087</v>
      </c>
      <c r="Q1654" s="105">
        <v>0</v>
      </c>
      <c r="R1654" s="105">
        <v>0</v>
      </c>
      <c r="S1654" s="46">
        <v>0</v>
      </c>
    </row>
    <row r="1655" ht="16.5" spans="1:19">
      <c r="A1655" s="46">
        <v>1662</v>
      </c>
      <c r="B1655" s="46" t="s">
        <v>45</v>
      </c>
      <c r="C1655" s="46" t="str">
        <f>VLOOKUP(K1655,[4]在职!$A:$E,5,0)</f>
        <v>西南总部</v>
      </c>
      <c r="D1655" s="46" t="s">
        <v>25</v>
      </c>
      <c r="E1655" s="46" t="s">
        <v>1170</v>
      </c>
      <c r="F1655" s="46" t="s">
        <v>903</v>
      </c>
      <c r="G1655" s="46" t="s">
        <v>904</v>
      </c>
      <c r="H1655" s="46" t="s">
        <v>1433</v>
      </c>
      <c r="I1655" s="46" t="s">
        <v>905</v>
      </c>
      <c r="J1655" s="83">
        <v>46106</v>
      </c>
      <c r="K1655" s="46" t="s">
        <v>1559</v>
      </c>
      <c r="L1655" s="46" t="s">
        <v>907</v>
      </c>
      <c r="M1655" s="46" t="str">
        <f>VLOOKUP(K1655,[4]在职!$A:$B,2,0)</f>
        <v>01935</v>
      </c>
      <c r="N1655" s="46" t="str">
        <f>VLOOKUP(K1655,[4]在职!$A:$G,7,0)</f>
        <v>营业二部</v>
      </c>
      <c r="O1655" s="46" t="str">
        <f>VLOOKUP(K1655,[4]在职!$A:$I,9,0)</f>
        <v>实习销售</v>
      </c>
      <c r="P1655" s="83">
        <f>VLOOKUP(K1655,[4]在职!$A:$D,4,0)</f>
        <v>46062</v>
      </c>
      <c r="Q1655" s="105">
        <v>0</v>
      </c>
      <c r="R1655" s="105">
        <v>0</v>
      </c>
      <c r="S1655" s="46">
        <v>0</v>
      </c>
    </row>
    <row r="1656" ht="16.5" spans="1:19">
      <c r="A1656" s="46">
        <v>1663</v>
      </c>
      <c r="B1656" s="46" t="s">
        <v>45</v>
      </c>
      <c r="C1656" s="46" t="str">
        <f>VLOOKUP(K1656,[4]在职!$A:$E,5,0)</f>
        <v>西南总部</v>
      </c>
      <c r="D1656" s="46" t="s">
        <v>25</v>
      </c>
      <c r="E1656" s="46" t="s">
        <v>1170</v>
      </c>
      <c r="F1656" s="46" t="s">
        <v>903</v>
      </c>
      <c r="G1656" s="46" t="s">
        <v>904</v>
      </c>
      <c r="H1656" s="46" t="s">
        <v>1433</v>
      </c>
      <c r="I1656" s="46" t="s">
        <v>905</v>
      </c>
      <c r="J1656" s="83">
        <v>46106</v>
      </c>
      <c r="K1656" s="46" t="s">
        <v>1560</v>
      </c>
      <c r="L1656" s="46" t="s">
        <v>907</v>
      </c>
      <c r="M1656" s="46" t="str">
        <f>VLOOKUP(K1656,[4]在职!$A:$B,2,0)</f>
        <v>01919</v>
      </c>
      <c r="N1656" s="46" t="str">
        <f>VLOOKUP(K1656,[4]在职!$A:$G,7,0)</f>
        <v>营业二部</v>
      </c>
      <c r="O1656" s="46" t="str">
        <f>VLOOKUP(K1656,[4]在职!$A:$I,9,0)</f>
        <v>实习销售</v>
      </c>
      <c r="P1656" s="83">
        <f>VLOOKUP(K1656,[4]在职!$A:$D,4,0)</f>
        <v>46045</v>
      </c>
      <c r="Q1656" s="105">
        <v>0</v>
      </c>
      <c r="R1656" s="105">
        <v>0</v>
      </c>
      <c r="S1656" s="46">
        <v>0</v>
      </c>
    </row>
    <row r="1657" ht="16.5" spans="1:19">
      <c r="A1657" s="46">
        <v>1664</v>
      </c>
      <c r="B1657" s="46" t="s">
        <v>45</v>
      </c>
      <c r="C1657" s="46" t="str">
        <f>VLOOKUP(K1657,[4]在职!$A:$E,5,0)</f>
        <v>西南总部</v>
      </c>
      <c r="D1657" s="46" t="s">
        <v>25</v>
      </c>
      <c r="E1657" s="46" t="s">
        <v>1170</v>
      </c>
      <c r="F1657" s="46" t="s">
        <v>903</v>
      </c>
      <c r="G1657" s="46" t="s">
        <v>904</v>
      </c>
      <c r="H1657" s="46" t="s">
        <v>1433</v>
      </c>
      <c r="I1657" s="46" t="s">
        <v>905</v>
      </c>
      <c r="J1657" s="83">
        <v>46106</v>
      </c>
      <c r="K1657" s="46" t="s">
        <v>1227</v>
      </c>
      <c r="L1657" s="46" t="s">
        <v>907</v>
      </c>
      <c r="M1657" s="46" t="str">
        <f>VLOOKUP(K1657,[4]在职!$A:$B,2,0)</f>
        <v>01764</v>
      </c>
      <c r="N1657" s="46" t="str">
        <f>VLOOKUP(K1657,[4]在职!$A:$G,7,0)</f>
        <v>营业二部</v>
      </c>
      <c r="O1657" s="46" t="str">
        <f>VLOOKUP(K1657,[4]在职!$A:$I,9,0)</f>
        <v>一星销售顾问</v>
      </c>
      <c r="P1657" s="83">
        <f>VLOOKUP(K1657,[4]在职!$A:$D,4,0)</f>
        <v>45962</v>
      </c>
      <c r="Q1657" s="105">
        <v>0</v>
      </c>
      <c r="R1657" s="105">
        <v>0</v>
      </c>
      <c r="S1657" s="46">
        <v>0</v>
      </c>
    </row>
    <row r="1658" ht="16.5" spans="1:19">
      <c r="A1658" s="46">
        <v>1665</v>
      </c>
      <c r="B1658" s="46" t="s">
        <v>45</v>
      </c>
      <c r="C1658" s="46" t="str">
        <f>VLOOKUP(K1658,[4]在职!$A:$E,5,0)</f>
        <v>西南总部</v>
      </c>
      <c r="D1658" s="46" t="s">
        <v>25</v>
      </c>
      <c r="E1658" s="46" t="s">
        <v>1170</v>
      </c>
      <c r="F1658" s="46" t="s">
        <v>903</v>
      </c>
      <c r="G1658" s="46" t="s">
        <v>904</v>
      </c>
      <c r="H1658" s="46" t="s">
        <v>1433</v>
      </c>
      <c r="I1658" s="46" t="s">
        <v>905</v>
      </c>
      <c r="J1658" s="83">
        <v>46106</v>
      </c>
      <c r="K1658" s="46" t="s">
        <v>1561</v>
      </c>
      <c r="L1658" s="46" t="s">
        <v>907</v>
      </c>
      <c r="M1658" s="46" t="str">
        <f>VLOOKUP(K1658,[4]在职!$A:$B,2,0)</f>
        <v>01934</v>
      </c>
      <c r="N1658" s="46" t="str">
        <f>VLOOKUP(K1658,[4]在职!$A:$G,7,0)</f>
        <v>营业五部</v>
      </c>
      <c r="O1658" s="46" t="str">
        <f>VLOOKUP(K1658,[4]在职!$A:$I,9,0)</f>
        <v>实习销售</v>
      </c>
      <c r="P1658" s="83">
        <f>VLOOKUP(K1658,[4]在职!$A:$D,4,0)</f>
        <v>46061</v>
      </c>
      <c r="Q1658" s="105">
        <v>0</v>
      </c>
      <c r="R1658" s="105">
        <v>0</v>
      </c>
      <c r="S1658" s="46">
        <v>0</v>
      </c>
    </row>
    <row r="1659" ht="16.5" spans="1:19">
      <c r="A1659" s="46">
        <v>1666</v>
      </c>
      <c r="B1659" s="46" t="s">
        <v>45</v>
      </c>
      <c r="C1659" s="46" t="str">
        <f>VLOOKUP(K1659,[4]在职!$A:$E,5,0)</f>
        <v>西南总部</v>
      </c>
      <c r="D1659" s="46" t="s">
        <v>25</v>
      </c>
      <c r="E1659" s="46" t="s">
        <v>1170</v>
      </c>
      <c r="F1659" s="46" t="s">
        <v>903</v>
      </c>
      <c r="G1659" s="46" t="s">
        <v>904</v>
      </c>
      <c r="H1659" s="46" t="s">
        <v>1433</v>
      </c>
      <c r="I1659" s="46" t="s">
        <v>905</v>
      </c>
      <c r="J1659" s="83">
        <v>46106</v>
      </c>
      <c r="K1659" s="46" t="s">
        <v>1562</v>
      </c>
      <c r="L1659" s="46" t="s">
        <v>907</v>
      </c>
      <c r="M1659" s="46" t="str">
        <f>VLOOKUP(K1659,[4]在职!$A:$B,2,0)</f>
        <v>01975</v>
      </c>
      <c r="N1659" s="46" t="str">
        <f>VLOOKUP(K1659,[4]在职!$A:$G,7,0)</f>
        <v>营业六部</v>
      </c>
      <c r="O1659" s="46" t="str">
        <f>VLOOKUP(K1659,[4]在职!$A:$I,9,0)</f>
        <v>实习销售</v>
      </c>
      <c r="P1659" s="83">
        <f>VLOOKUP(K1659,[4]在职!$A:$D,4,0)</f>
        <v>46087</v>
      </c>
      <c r="Q1659" s="105">
        <v>0</v>
      </c>
      <c r="R1659" s="105">
        <v>0</v>
      </c>
      <c r="S1659" s="46">
        <v>0</v>
      </c>
    </row>
    <row r="1660" ht="16.5" spans="1:19">
      <c r="A1660" s="46">
        <v>1667</v>
      </c>
      <c r="B1660" s="46" t="s">
        <v>45</v>
      </c>
      <c r="C1660" s="46" t="str">
        <f>VLOOKUP(K1660,[4]在职!$A:$E,5,0)</f>
        <v>西南总部</v>
      </c>
      <c r="D1660" s="46" t="s">
        <v>25</v>
      </c>
      <c r="E1660" s="46" t="s">
        <v>1170</v>
      </c>
      <c r="F1660" s="46" t="s">
        <v>903</v>
      </c>
      <c r="G1660" s="46" t="s">
        <v>904</v>
      </c>
      <c r="H1660" s="46" t="s">
        <v>1433</v>
      </c>
      <c r="I1660" s="46" t="s">
        <v>905</v>
      </c>
      <c r="J1660" s="83">
        <v>46106</v>
      </c>
      <c r="K1660" s="46" t="s">
        <v>1563</v>
      </c>
      <c r="L1660" s="46" t="s">
        <v>907</v>
      </c>
      <c r="M1660" s="46" t="str">
        <f>VLOOKUP(K1660,[4]在职!$A:$B,2,0)</f>
        <v>01974</v>
      </c>
      <c r="N1660" s="46" t="str">
        <f>VLOOKUP(K1660,[4]在职!$A:$G,7,0)</f>
        <v>营业六部</v>
      </c>
      <c r="O1660" s="46" t="str">
        <f>VLOOKUP(K1660,[4]在职!$A:$I,9,0)</f>
        <v>实习销售</v>
      </c>
      <c r="P1660" s="83">
        <f>VLOOKUP(K1660,[4]在职!$A:$D,4,0)</f>
        <v>46087</v>
      </c>
      <c r="Q1660" s="105">
        <v>0</v>
      </c>
      <c r="R1660" s="105">
        <v>0</v>
      </c>
      <c r="S1660" s="46">
        <v>0</v>
      </c>
    </row>
    <row r="1661" ht="16.5" spans="1:19">
      <c r="A1661" s="46">
        <v>1668</v>
      </c>
      <c r="B1661" s="46" t="s">
        <v>45</v>
      </c>
      <c r="C1661" s="46" t="str">
        <f>VLOOKUP(K1661,[4]在职!$A:$E,5,0)</f>
        <v>西南总部</v>
      </c>
      <c r="D1661" s="46" t="s">
        <v>25</v>
      </c>
      <c r="E1661" s="46" t="s">
        <v>1170</v>
      </c>
      <c r="F1661" s="46" t="s">
        <v>903</v>
      </c>
      <c r="G1661" s="46" t="s">
        <v>904</v>
      </c>
      <c r="H1661" s="46" t="s">
        <v>1433</v>
      </c>
      <c r="I1661" s="46" t="s">
        <v>905</v>
      </c>
      <c r="J1661" s="83">
        <v>46106</v>
      </c>
      <c r="K1661" s="46" t="s">
        <v>1564</v>
      </c>
      <c r="L1661" s="46" t="s">
        <v>907</v>
      </c>
      <c r="M1661" s="46" t="str">
        <f>VLOOKUP(K1661,[4]在职!$A:$B,2,0)</f>
        <v>01971</v>
      </c>
      <c r="N1661" s="46" t="str">
        <f>VLOOKUP(K1661,[4]在职!$A:$G,7,0)</f>
        <v>营业六部</v>
      </c>
      <c r="O1661" s="46" t="str">
        <f>VLOOKUP(K1661,[4]在职!$A:$I,9,0)</f>
        <v>实习销售</v>
      </c>
      <c r="P1661" s="83">
        <f>VLOOKUP(K1661,[4]在职!$A:$D,4,0)</f>
        <v>46083</v>
      </c>
      <c r="Q1661" s="105">
        <v>0</v>
      </c>
      <c r="R1661" s="105">
        <v>0</v>
      </c>
      <c r="S1661" s="46">
        <v>0</v>
      </c>
    </row>
    <row r="1662" ht="16.5" spans="1:19">
      <c r="A1662" s="46">
        <v>1669</v>
      </c>
      <c r="B1662" s="46" t="s">
        <v>45</v>
      </c>
      <c r="C1662" s="46" t="str">
        <f>VLOOKUP(K1662,[4]在职!$A:$E,5,0)</f>
        <v>西南总部</v>
      </c>
      <c r="D1662" s="46" t="s">
        <v>25</v>
      </c>
      <c r="E1662" s="46" t="s">
        <v>1170</v>
      </c>
      <c r="F1662" s="46" t="s">
        <v>903</v>
      </c>
      <c r="G1662" s="46" t="s">
        <v>904</v>
      </c>
      <c r="H1662" s="46" t="s">
        <v>1433</v>
      </c>
      <c r="I1662" s="46" t="s">
        <v>905</v>
      </c>
      <c r="J1662" s="83">
        <v>46106</v>
      </c>
      <c r="K1662" s="46" t="s">
        <v>1203</v>
      </c>
      <c r="L1662" s="46" t="s">
        <v>907</v>
      </c>
      <c r="M1662" s="46" t="str">
        <f>VLOOKUP(K1662,[4]在职!$A:$B,2,0)</f>
        <v>01835</v>
      </c>
      <c r="N1662" s="46" t="str">
        <f>VLOOKUP(K1662,[4]在职!$A:$G,7,0)</f>
        <v>营业六部</v>
      </c>
      <c r="O1662" s="46" t="str">
        <f>VLOOKUP(K1662,[4]在职!$A:$I,9,0)</f>
        <v>实习销售</v>
      </c>
      <c r="P1662" s="83">
        <f>VLOOKUP(K1662,[4]在职!$A:$D,4,0)</f>
        <v>45994</v>
      </c>
      <c r="Q1662" s="105">
        <v>0</v>
      </c>
      <c r="R1662" s="105">
        <v>0</v>
      </c>
      <c r="S1662" s="46">
        <v>0</v>
      </c>
    </row>
    <row r="1663" ht="16.5" spans="1:19">
      <c r="A1663" s="46">
        <v>1670</v>
      </c>
      <c r="B1663" s="46" t="s">
        <v>45</v>
      </c>
      <c r="C1663" s="46" t="str">
        <f>VLOOKUP(K1663,[4]在职!$A:$E,5,0)</f>
        <v>西南总部</v>
      </c>
      <c r="D1663" s="46" t="s">
        <v>25</v>
      </c>
      <c r="E1663" s="46" t="s">
        <v>1170</v>
      </c>
      <c r="F1663" s="46" t="s">
        <v>903</v>
      </c>
      <c r="G1663" s="46" t="s">
        <v>904</v>
      </c>
      <c r="H1663" s="46" t="s">
        <v>1433</v>
      </c>
      <c r="I1663" s="46" t="s">
        <v>905</v>
      </c>
      <c r="J1663" s="83">
        <v>46106</v>
      </c>
      <c r="K1663" s="46" t="s">
        <v>1211</v>
      </c>
      <c r="L1663" s="46" t="s">
        <v>907</v>
      </c>
      <c r="M1663" s="46" t="str">
        <f>VLOOKUP(K1663,[4]在职!$A:$B,2,0)</f>
        <v>01866</v>
      </c>
      <c r="N1663" s="46" t="str">
        <f>VLOOKUP(K1663,[4]在职!$A:$G,7,0)</f>
        <v>营业五部</v>
      </c>
      <c r="O1663" s="46" t="str">
        <f>VLOOKUP(K1663,[4]在职!$A:$I,9,0)</f>
        <v>实习销售</v>
      </c>
      <c r="P1663" s="83">
        <f>VLOOKUP(K1663,[4]在职!$A:$D,4,0)</f>
        <v>46010</v>
      </c>
      <c r="Q1663" s="105">
        <v>0</v>
      </c>
      <c r="R1663" s="105">
        <v>0</v>
      </c>
      <c r="S1663" s="46">
        <v>0</v>
      </c>
    </row>
    <row r="1664" ht="16.5" spans="1:19">
      <c r="A1664" s="46">
        <v>1671</v>
      </c>
      <c r="B1664" s="46" t="s">
        <v>45</v>
      </c>
      <c r="C1664" s="46" t="str">
        <f>VLOOKUP(K1664,[4]在职!$A:$E,5,0)</f>
        <v>西南总部</v>
      </c>
      <c r="D1664" s="46" t="s">
        <v>25</v>
      </c>
      <c r="E1664" s="46" t="s">
        <v>1170</v>
      </c>
      <c r="F1664" s="46" t="s">
        <v>903</v>
      </c>
      <c r="G1664" s="46" t="s">
        <v>904</v>
      </c>
      <c r="H1664" s="46" t="s">
        <v>1433</v>
      </c>
      <c r="I1664" s="46" t="s">
        <v>905</v>
      </c>
      <c r="J1664" s="83">
        <v>46106</v>
      </c>
      <c r="K1664" s="46" t="s">
        <v>1213</v>
      </c>
      <c r="L1664" s="46" t="s">
        <v>907</v>
      </c>
      <c r="M1664" s="46" t="str">
        <f>VLOOKUP(K1664,[4]在职!$A:$B,2,0)</f>
        <v>01673</v>
      </c>
      <c r="N1664" s="46" t="str">
        <f>VLOOKUP(K1664,[4]在职!$A:$G,7,0)</f>
        <v>营业五部</v>
      </c>
      <c r="O1664" s="46" t="str">
        <f>VLOOKUP(K1664,[4]在职!$A:$I,9,0)</f>
        <v>实习销售</v>
      </c>
      <c r="P1664" s="83">
        <f>VLOOKUP(K1664,[4]在职!$A:$D,4,0)</f>
        <v>45896</v>
      </c>
      <c r="Q1664" s="105">
        <v>0</v>
      </c>
      <c r="R1664" s="105">
        <v>0</v>
      </c>
      <c r="S1664" s="46">
        <v>0</v>
      </c>
    </row>
    <row r="1665" ht="16.5" spans="1:19">
      <c r="A1665" s="46">
        <v>1672</v>
      </c>
      <c r="B1665" s="46" t="s">
        <v>45</v>
      </c>
      <c r="C1665" s="46" t="str">
        <f>VLOOKUP(K1665,[4]在职!$A:$E,5,0)</f>
        <v>西南总部</v>
      </c>
      <c r="D1665" s="46" t="s">
        <v>25</v>
      </c>
      <c r="E1665" s="46" t="s">
        <v>1170</v>
      </c>
      <c r="F1665" s="46" t="s">
        <v>903</v>
      </c>
      <c r="G1665" s="46" t="s">
        <v>904</v>
      </c>
      <c r="H1665" s="46" t="s">
        <v>1433</v>
      </c>
      <c r="I1665" s="46" t="s">
        <v>905</v>
      </c>
      <c r="J1665" s="83">
        <v>46106</v>
      </c>
      <c r="K1665" s="46" t="s">
        <v>1209</v>
      </c>
      <c r="L1665" s="46" t="s">
        <v>907</v>
      </c>
      <c r="M1665" s="46" t="str">
        <f>VLOOKUP(K1665,[4]在职!$A:$B,2,0)</f>
        <v>01886</v>
      </c>
      <c r="N1665" s="46" t="str">
        <f>VLOOKUP(K1665,[4]在职!$A:$G,7,0)</f>
        <v>营业五部</v>
      </c>
      <c r="O1665" s="46" t="str">
        <f>VLOOKUP(K1665,[4]在职!$A:$I,9,0)</f>
        <v>实习销售</v>
      </c>
      <c r="P1665" s="83">
        <f>VLOOKUP(K1665,[4]在职!$A:$D,4,0)</f>
        <v>46022</v>
      </c>
      <c r="Q1665" s="105">
        <v>0</v>
      </c>
      <c r="R1665" s="105">
        <v>0</v>
      </c>
      <c r="S1665" s="46">
        <v>0</v>
      </c>
    </row>
    <row r="1666" ht="16.5" spans="1:19">
      <c r="A1666" s="46">
        <v>1673</v>
      </c>
      <c r="B1666" s="46" t="s">
        <v>45</v>
      </c>
      <c r="C1666" s="46" t="str">
        <f>VLOOKUP(K1666,[4]在职!$A:$E,5,0)</f>
        <v>西南总部</v>
      </c>
      <c r="D1666" s="46" t="s">
        <v>25</v>
      </c>
      <c r="E1666" s="46" t="s">
        <v>1170</v>
      </c>
      <c r="F1666" s="46" t="s">
        <v>903</v>
      </c>
      <c r="G1666" s="46" t="s">
        <v>904</v>
      </c>
      <c r="H1666" s="46" t="s">
        <v>1433</v>
      </c>
      <c r="I1666" s="46" t="s">
        <v>905</v>
      </c>
      <c r="J1666" s="83">
        <v>46106</v>
      </c>
      <c r="K1666" s="46" t="s">
        <v>1207</v>
      </c>
      <c r="L1666" s="46" t="s">
        <v>907</v>
      </c>
      <c r="M1666" s="46" t="str">
        <f>VLOOKUP(K1666,[4]在职!$A:$B,2,0)</f>
        <v>01892</v>
      </c>
      <c r="N1666" s="46" t="str">
        <f>VLOOKUP(K1666,[4]在职!$A:$G,7,0)</f>
        <v>营业五部</v>
      </c>
      <c r="O1666" s="46" t="str">
        <f>VLOOKUP(K1666,[4]在职!$A:$I,9,0)</f>
        <v>实习销售</v>
      </c>
      <c r="P1666" s="83">
        <f>VLOOKUP(K1666,[4]在职!$A:$D,4,0)</f>
        <v>46022</v>
      </c>
      <c r="Q1666" s="105">
        <v>0</v>
      </c>
      <c r="R1666" s="105">
        <v>0</v>
      </c>
      <c r="S1666" s="46">
        <v>0</v>
      </c>
    </row>
    <row r="1667" ht="16.5" spans="1:19">
      <c r="A1667" s="46">
        <v>1674</v>
      </c>
      <c r="B1667" s="46" t="s">
        <v>45</v>
      </c>
      <c r="C1667" s="46" t="str">
        <f>VLOOKUP(K1667,[4]在职!$A:$E,5,0)</f>
        <v>西南总部</v>
      </c>
      <c r="D1667" s="46" t="s">
        <v>25</v>
      </c>
      <c r="E1667" s="46" t="s">
        <v>1170</v>
      </c>
      <c r="F1667" s="46" t="s">
        <v>903</v>
      </c>
      <c r="G1667" s="46" t="s">
        <v>904</v>
      </c>
      <c r="H1667" s="46" t="s">
        <v>1433</v>
      </c>
      <c r="I1667" s="46" t="s">
        <v>905</v>
      </c>
      <c r="J1667" s="83">
        <v>46106</v>
      </c>
      <c r="K1667" s="46" t="s">
        <v>1565</v>
      </c>
      <c r="L1667" s="46" t="s">
        <v>907</v>
      </c>
      <c r="M1667" s="46" t="str">
        <f>VLOOKUP(K1667,[4]在职!$A:$B,2,0)</f>
        <v>01960</v>
      </c>
      <c r="N1667" s="46" t="str">
        <f>VLOOKUP(K1667,[4]在职!$A:$G,7,0)</f>
        <v>营业五部</v>
      </c>
      <c r="O1667" s="46" t="str">
        <f>VLOOKUP(K1667,[4]在职!$A:$I,9,0)</f>
        <v>实习销售</v>
      </c>
      <c r="P1667" s="83">
        <f>VLOOKUP(K1667,[4]在职!$A:$D,4,0)</f>
        <v>46085</v>
      </c>
      <c r="Q1667" s="105">
        <v>0</v>
      </c>
      <c r="R1667" s="105">
        <v>0</v>
      </c>
      <c r="S1667" s="46">
        <v>0</v>
      </c>
    </row>
    <row r="1668" ht="16.5" spans="1:19">
      <c r="A1668" s="46">
        <v>1675</v>
      </c>
      <c r="B1668" s="46" t="s">
        <v>45</v>
      </c>
      <c r="C1668" s="46" t="str">
        <f>VLOOKUP(K1668,[4]在职!$A:$E,5,0)</f>
        <v>西南总部</v>
      </c>
      <c r="D1668" s="46" t="s">
        <v>25</v>
      </c>
      <c r="E1668" s="46" t="s">
        <v>1170</v>
      </c>
      <c r="F1668" s="46" t="s">
        <v>903</v>
      </c>
      <c r="G1668" s="46" t="s">
        <v>904</v>
      </c>
      <c r="H1668" s="46" t="s">
        <v>1433</v>
      </c>
      <c r="I1668" s="46" t="s">
        <v>905</v>
      </c>
      <c r="J1668" s="83">
        <v>46106</v>
      </c>
      <c r="K1668" s="46" t="s">
        <v>1201</v>
      </c>
      <c r="L1668" s="46" t="s">
        <v>907</v>
      </c>
      <c r="M1668" s="46" t="str">
        <f>VLOOKUP(K1668,[4]在职!$A:$B,2,0)</f>
        <v>01905</v>
      </c>
      <c r="N1668" s="46" t="str">
        <f>VLOOKUP(K1668,[4]在职!$A:$G,7,0)</f>
        <v>营业七部</v>
      </c>
      <c r="O1668" s="46" t="str">
        <f>VLOOKUP(K1668,[4]在职!$A:$I,9,0)</f>
        <v>实习销售</v>
      </c>
      <c r="P1668" s="83">
        <f>VLOOKUP(K1668,[4]在职!$A:$D,4,0)</f>
        <v>46027</v>
      </c>
      <c r="Q1668" s="105">
        <v>0</v>
      </c>
      <c r="R1668" s="105">
        <v>0</v>
      </c>
      <c r="S1668" s="46">
        <v>0</v>
      </c>
    </row>
    <row r="1669" ht="16.5" spans="1:19">
      <c r="A1669" s="46">
        <v>1676</v>
      </c>
      <c r="B1669" s="46" t="s">
        <v>45</v>
      </c>
      <c r="C1669" s="46" t="str">
        <f>VLOOKUP(K1669,[4]在职!$A:$E,5,0)</f>
        <v>西南总部</v>
      </c>
      <c r="D1669" s="46" t="s">
        <v>25</v>
      </c>
      <c r="E1669" s="46" t="s">
        <v>1170</v>
      </c>
      <c r="F1669" s="46" t="s">
        <v>903</v>
      </c>
      <c r="G1669" s="46" t="s">
        <v>904</v>
      </c>
      <c r="H1669" s="46" t="s">
        <v>1433</v>
      </c>
      <c r="I1669" s="46" t="s">
        <v>905</v>
      </c>
      <c r="J1669" s="83">
        <v>46106</v>
      </c>
      <c r="K1669" s="46" t="s">
        <v>1566</v>
      </c>
      <c r="L1669" s="46" t="s">
        <v>907</v>
      </c>
      <c r="M1669" s="46" t="str">
        <f>VLOOKUP(K1669,[4]在职!$A:$B,2,0)</f>
        <v>01953</v>
      </c>
      <c r="N1669" s="46" t="str">
        <f>VLOOKUP(K1669,[4]在职!$A:$G,7,0)</f>
        <v>营业六部</v>
      </c>
      <c r="O1669" s="46" t="str">
        <f>VLOOKUP(K1669,[4]在职!$A:$I,9,0)</f>
        <v>实习销售</v>
      </c>
      <c r="P1669" s="83">
        <f>VLOOKUP(K1669,[4]在职!$A:$D,4,0)</f>
        <v>46083</v>
      </c>
      <c r="Q1669" s="105">
        <v>0</v>
      </c>
      <c r="R1669" s="105">
        <v>0</v>
      </c>
      <c r="S1669" s="46">
        <v>0</v>
      </c>
    </row>
    <row r="1670" ht="16.5" spans="1:19">
      <c r="A1670" s="46">
        <v>1677</v>
      </c>
      <c r="B1670" s="46" t="s">
        <v>45</v>
      </c>
      <c r="C1670" s="46" t="str">
        <f>VLOOKUP(K1670,[4]在职!$A:$E,5,0)</f>
        <v>西南总部</v>
      </c>
      <c r="D1670" s="46" t="s">
        <v>25</v>
      </c>
      <c r="E1670" s="46" t="s">
        <v>1170</v>
      </c>
      <c r="F1670" s="46" t="s">
        <v>903</v>
      </c>
      <c r="G1670" s="46" t="s">
        <v>904</v>
      </c>
      <c r="H1670" s="46" t="s">
        <v>1433</v>
      </c>
      <c r="I1670" s="46" t="s">
        <v>905</v>
      </c>
      <c r="J1670" s="83">
        <v>46106</v>
      </c>
      <c r="K1670" s="46" t="s">
        <v>1182</v>
      </c>
      <c r="L1670" s="46" t="s">
        <v>907</v>
      </c>
      <c r="M1670" s="46" t="str">
        <f>VLOOKUP(K1670,[4]在职!$A:$B,2,0)</f>
        <v>01864</v>
      </c>
      <c r="N1670" s="46" t="str">
        <f>VLOOKUP(K1670,[4]在职!$A:$G,7,0)</f>
        <v>营业六部</v>
      </c>
      <c r="O1670" s="46" t="str">
        <f>VLOOKUP(K1670,[4]在职!$A:$I,9,0)</f>
        <v>实习销售</v>
      </c>
      <c r="P1670" s="83">
        <f>VLOOKUP(K1670,[4]在职!$A:$D,4,0)</f>
        <v>46008</v>
      </c>
      <c r="Q1670" s="105">
        <v>0</v>
      </c>
      <c r="R1670" s="105">
        <v>0</v>
      </c>
      <c r="S1670" s="46">
        <v>0</v>
      </c>
    </row>
    <row r="1671" ht="16.5" spans="1:19">
      <c r="A1671" s="46">
        <v>1678</v>
      </c>
      <c r="B1671" s="46" t="s">
        <v>45</v>
      </c>
      <c r="C1671" s="46" t="str">
        <f>VLOOKUP(K1671,[4]在职!$A:$E,5,0)</f>
        <v>西南总部</v>
      </c>
      <c r="D1671" s="46" t="s">
        <v>25</v>
      </c>
      <c r="E1671" s="46" t="s">
        <v>1170</v>
      </c>
      <c r="F1671" s="46" t="s">
        <v>903</v>
      </c>
      <c r="G1671" s="46" t="s">
        <v>904</v>
      </c>
      <c r="H1671" s="46" t="s">
        <v>1433</v>
      </c>
      <c r="I1671" s="46" t="s">
        <v>905</v>
      </c>
      <c r="J1671" s="83">
        <v>46106</v>
      </c>
      <c r="K1671" s="46" t="s">
        <v>1503</v>
      </c>
      <c r="L1671" s="46" t="s">
        <v>907</v>
      </c>
      <c r="M1671" s="46" t="str">
        <f>VLOOKUP(K1671,[4]在职!$A:$B,2,0)</f>
        <v>01560</v>
      </c>
      <c r="N1671" s="46" t="str">
        <f>VLOOKUP(K1671,[4]在职!$A:$G,7,0)</f>
        <v>营业五部</v>
      </c>
      <c r="O1671" s="46" t="str">
        <f>VLOOKUP(K1671,[4]在职!$A:$I,9,0)</f>
        <v>一星销售顾问</v>
      </c>
      <c r="P1671" s="83">
        <f>VLOOKUP(K1671,[4]在职!$A:$D,4,0)</f>
        <v>45838</v>
      </c>
      <c r="Q1671" s="105">
        <v>0</v>
      </c>
      <c r="R1671" s="105">
        <v>0</v>
      </c>
      <c r="S1671" s="46">
        <v>0</v>
      </c>
    </row>
    <row r="1672" ht="16.5" spans="1:19">
      <c r="A1672" s="46">
        <v>1679</v>
      </c>
      <c r="B1672" s="46" t="s">
        <v>45</v>
      </c>
      <c r="C1672" s="46" t="str">
        <f>VLOOKUP(K1672,[4]在职!$A:$E,5,0)</f>
        <v>西南总部</v>
      </c>
      <c r="D1672" s="46" t="s">
        <v>25</v>
      </c>
      <c r="E1672" s="46" t="s">
        <v>1326</v>
      </c>
      <c r="F1672" s="46" t="s">
        <v>1119</v>
      </c>
      <c r="G1672" s="46" t="s">
        <v>904</v>
      </c>
      <c r="H1672" s="46" t="s">
        <v>1433</v>
      </c>
      <c r="I1672" s="46" t="s">
        <v>905</v>
      </c>
      <c r="J1672" s="83">
        <v>46106</v>
      </c>
      <c r="K1672" s="46" t="s">
        <v>1533</v>
      </c>
      <c r="L1672" s="46" t="s">
        <v>907</v>
      </c>
      <c r="M1672" s="46" t="str">
        <f>VLOOKUP(K1672,[4]在职!$A:$B,2,0)</f>
        <v>01939</v>
      </c>
      <c r="N1672" s="46" t="str">
        <f>VLOOKUP(K1672,[4]在职!$A:$G,7,0)</f>
        <v>营业一部</v>
      </c>
      <c r="O1672" s="46" t="str">
        <f>VLOOKUP(K1672,[4]在职!$A:$I,9,0)</f>
        <v>实习销售</v>
      </c>
      <c r="P1672" s="83">
        <f>VLOOKUP(K1672,[4]在职!$A:$D,4,0)</f>
        <v>46081</v>
      </c>
      <c r="Q1672" s="105">
        <v>0</v>
      </c>
      <c r="R1672" s="105">
        <v>0</v>
      </c>
      <c r="S1672" s="46">
        <v>0</v>
      </c>
    </row>
    <row r="1673" ht="16.5" spans="1:19">
      <c r="A1673" s="46">
        <v>1680</v>
      </c>
      <c r="B1673" s="46" t="s">
        <v>45</v>
      </c>
      <c r="C1673" s="46" t="str">
        <f>VLOOKUP(K1673,[4]在职!$A:$E,5,0)</f>
        <v>西南总部</v>
      </c>
      <c r="D1673" s="46" t="s">
        <v>25</v>
      </c>
      <c r="E1673" s="46" t="s">
        <v>1326</v>
      </c>
      <c r="F1673" s="46" t="s">
        <v>1119</v>
      </c>
      <c r="G1673" s="46" t="s">
        <v>904</v>
      </c>
      <c r="H1673" s="46" t="s">
        <v>1433</v>
      </c>
      <c r="I1673" s="46" t="s">
        <v>905</v>
      </c>
      <c r="J1673" s="83">
        <v>46106</v>
      </c>
      <c r="K1673" s="46" t="s">
        <v>1534</v>
      </c>
      <c r="L1673" s="46" t="s">
        <v>907</v>
      </c>
      <c r="M1673" s="46" t="str">
        <f>VLOOKUP(K1673,[4]在职!$A:$B,2,0)</f>
        <v>01921</v>
      </c>
      <c r="N1673" s="46" t="str">
        <f>VLOOKUP(K1673,[4]在职!$A:$G,7,0)</f>
        <v>营业一部</v>
      </c>
      <c r="O1673" s="46" t="str">
        <f>VLOOKUP(K1673,[4]在职!$A:$I,9,0)</f>
        <v>实习销售</v>
      </c>
      <c r="P1673" s="83">
        <f>VLOOKUP(K1673,[4]在职!$A:$D,4,0)</f>
        <v>46048</v>
      </c>
      <c r="Q1673" s="105">
        <v>0</v>
      </c>
      <c r="R1673" s="105">
        <v>0</v>
      </c>
      <c r="S1673" s="46">
        <v>0</v>
      </c>
    </row>
    <row r="1674" ht="16.5" spans="1:19">
      <c r="A1674" s="46">
        <v>1681</v>
      </c>
      <c r="B1674" s="46" t="s">
        <v>45</v>
      </c>
      <c r="C1674" s="46" t="str">
        <f>VLOOKUP(K1674,[4]在职!$A:$E,5,0)</f>
        <v>西南总部</v>
      </c>
      <c r="D1674" s="46" t="s">
        <v>25</v>
      </c>
      <c r="E1674" s="46" t="s">
        <v>1326</v>
      </c>
      <c r="F1674" s="46" t="s">
        <v>1119</v>
      </c>
      <c r="G1674" s="46" t="s">
        <v>904</v>
      </c>
      <c r="H1674" s="46" t="s">
        <v>1433</v>
      </c>
      <c r="I1674" s="46" t="s">
        <v>905</v>
      </c>
      <c r="J1674" s="83">
        <v>46106</v>
      </c>
      <c r="K1674" s="46" t="s">
        <v>1476</v>
      </c>
      <c r="L1674" s="46" t="s">
        <v>907</v>
      </c>
      <c r="M1674" s="46" t="str">
        <f>VLOOKUP(K1674,[4]在职!$A:$B,2,0)</f>
        <v>01682</v>
      </c>
      <c r="N1674" s="46" t="str">
        <f>VLOOKUP(K1674,[4]在职!$A:$G,7,0)</f>
        <v>营业一部</v>
      </c>
      <c r="O1674" s="46" t="str">
        <f>VLOOKUP(K1674,[4]在职!$A:$I,9,0)</f>
        <v>一星销售顾问</v>
      </c>
      <c r="P1674" s="83">
        <f>VLOOKUP(K1674,[4]在职!$A:$D,4,0)</f>
        <v>45903</v>
      </c>
      <c r="Q1674" s="105">
        <v>0</v>
      </c>
      <c r="R1674" s="105">
        <v>0</v>
      </c>
      <c r="S1674" s="46">
        <v>0</v>
      </c>
    </row>
    <row r="1675" ht="16.5" spans="1:19">
      <c r="A1675" s="46">
        <v>1682</v>
      </c>
      <c r="B1675" s="46" t="s">
        <v>45</v>
      </c>
      <c r="C1675" s="46" t="str">
        <f>VLOOKUP(K1675,[4]在职!$A:$E,5,0)</f>
        <v>西南总部</v>
      </c>
      <c r="D1675" s="46" t="s">
        <v>25</v>
      </c>
      <c r="E1675" s="46" t="s">
        <v>1326</v>
      </c>
      <c r="F1675" s="46" t="s">
        <v>1119</v>
      </c>
      <c r="G1675" s="46" t="s">
        <v>904</v>
      </c>
      <c r="H1675" s="46" t="s">
        <v>1433</v>
      </c>
      <c r="I1675" s="46" t="s">
        <v>905</v>
      </c>
      <c r="J1675" s="83">
        <v>46106</v>
      </c>
      <c r="K1675" s="46" t="s">
        <v>1191</v>
      </c>
      <c r="L1675" s="46" t="s">
        <v>907</v>
      </c>
      <c r="M1675" s="46" t="str">
        <f>VLOOKUP(K1675,[4]在职!$A:$B,2,0)</f>
        <v>01898</v>
      </c>
      <c r="N1675" s="46" t="str">
        <f>VLOOKUP(K1675,[4]在职!$A:$G,7,0)</f>
        <v>营业五部</v>
      </c>
      <c r="O1675" s="46" t="str">
        <f>VLOOKUP(K1675,[4]在职!$A:$I,9,0)</f>
        <v>实习销售</v>
      </c>
      <c r="P1675" s="83">
        <f>VLOOKUP(K1675,[4]在职!$A:$D,4,0)</f>
        <v>46025</v>
      </c>
      <c r="Q1675" s="105">
        <v>0</v>
      </c>
      <c r="R1675" s="105">
        <v>0</v>
      </c>
      <c r="S1675" s="46">
        <v>0</v>
      </c>
    </row>
    <row r="1676" ht="16.5" spans="1:19">
      <c r="A1676" s="46">
        <v>1683</v>
      </c>
      <c r="B1676" s="46" t="s">
        <v>45</v>
      </c>
      <c r="C1676" s="46" t="str">
        <f>VLOOKUP(K1676,[4]在职!$A:$E,5,0)</f>
        <v>西南总部</v>
      </c>
      <c r="D1676" s="46" t="s">
        <v>25</v>
      </c>
      <c r="E1676" s="46" t="s">
        <v>1170</v>
      </c>
      <c r="F1676" s="46" t="s">
        <v>903</v>
      </c>
      <c r="G1676" s="46" t="s">
        <v>904</v>
      </c>
      <c r="H1676" s="46" t="s">
        <v>1433</v>
      </c>
      <c r="I1676" s="46" t="s">
        <v>905</v>
      </c>
      <c r="J1676" s="83">
        <v>46106</v>
      </c>
      <c r="K1676" s="46" t="s">
        <v>1191</v>
      </c>
      <c r="L1676" s="46" t="s">
        <v>907</v>
      </c>
      <c r="M1676" s="46" t="str">
        <f>VLOOKUP(K1676,[4]在职!$A:$B,2,0)</f>
        <v>01898</v>
      </c>
      <c r="N1676" s="46" t="str">
        <f>VLOOKUP(K1676,[4]在职!$A:$G,7,0)</f>
        <v>营业五部</v>
      </c>
      <c r="O1676" s="46" t="str">
        <f>VLOOKUP(K1676,[4]在职!$A:$I,9,0)</f>
        <v>实习销售</v>
      </c>
      <c r="P1676" s="83">
        <f>VLOOKUP(K1676,[4]在职!$A:$D,4,0)</f>
        <v>46025</v>
      </c>
      <c r="Q1676" s="105">
        <v>0</v>
      </c>
      <c r="R1676" s="105">
        <v>0</v>
      </c>
      <c r="S1676" s="46">
        <v>0</v>
      </c>
    </row>
    <row r="1677" ht="16.5" spans="1:19">
      <c r="A1677" s="46">
        <v>1684</v>
      </c>
      <c r="B1677" s="46" t="s">
        <v>45</v>
      </c>
      <c r="C1677" s="46" t="str">
        <f>VLOOKUP(K1677,[4]在职!$A:$E,5,0)</f>
        <v>西南总部</v>
      </c>
      <c r="D1677" s="46" t="s">
        <v>25</v>
      </c>
      <c r="E1677" s="46" t="s">
        <v>1536</v>
      </c>
      <c r="F1677" s="46" t="s">
        <v>1371</v>
      </c>
      <c r="G1677" s="46" t="s">
        <v>904</v>
      </c>
      <c r="H1677" s="46" t="s">
        <v>1433</v>
      </c>
      <c r="I1677" s="46" t="s">
        <v>905</v>
      </c>
      <c r="J1677" s="83">
        <v>46106</v>
      </c>
      <c r="K1677" s="46" t="s">
        <v>1191</v>
      </c>
      <c r="L1677" s="46" t="s">
        <v>907</v>
      </c>
      <c r="M1677" s="46" t="str">
        <f>VLOOKUP(K1677,[4]在职!$A:$B,2,0)</f>
        <v>01898</v>
      </c>
      <c r="N1677" s="46" t="str">
        <f>VLOOKUP(K1677,[4]在职!$A:$G,7,0)</f>
        <v>营业五部</v>
      </c>
      <c r="O1677" s="46" t="str">
        <f>VLOOKUP(K1677,[4]在职!$A:$I,9,0)</f>
        <v>实习销售</v>
      </c>
      <c r="P1677" s="83">
        <f>VLOOKUP(K1677,[4]在职!$A:$D,4,0)</f>
        <v>46025</v>
      </c>
      <c r="Q1677" s="105">
        <v>0</v>
      </c>
      <c r="R1677" s="105">
        <v>0</v>
      </c>
      <c r="S1677" s="46">
        <v>0</v>
      </c>
    </row>
    <row r="1678" ht="16.5" spans="1:19">
      <c r="A1678" s="46">
        <v>1685</v>
      </c>
      <c r="B1678" s="46" t="s">
        <v>45</v>
      </c>
      <c r="C1678" s="46" t="str">
        <f>VLOOKUP(K1678,[4]在职!$A:$E,5,0)</f>
        <v>西南总部</v>
      </c>
      <c r="D1678" s="46" t="s">
        <v>25</v>
      </c>
      <c r="E1678" s="46" t="s">
        <v>1324</v>
      </c>
      <c r="F1678" s="46" t="s">
        <v>1325</v>
      </c>
      <c r="G1678" s="46" t="s">
        <v>904</v>
      </c>
      <c r="H1678" s="46" t="s">
        <v>1433</v>
      </c>
      <c r="I1678" s="46" t="s">
        <v>905</v>
      </c>
      <c r="J1678" s="83">
        <v>46106</v>
      </c>
      <c r="K1678" s="46" t="s">
        <v>1191</v>
      </c>
      <c r="L1678" s="46" t="s">
        <v>907</v>
      </c>
      <c r="M1678" s="46" t="str">
        <f>VLOOKUP(K1678,[4]在职!$A:$B,2,0)</f>
        <v>01898</v>
      </c>
      <c r="N1678" s="46" t="str">
        <f>VLOOKUP(K1678,[4]在职!$A:$G,7,0)</f>
        <v>营业五部</v>
      </c>
      <c r="O1678" s="46" t="str">
        <f>VLOOKUP(K1678,[4]在职!$A:$I,9,0)</f>
        <v>实习销售</v>
      </c>
      <c r="P1678" s="83">
        <f>VLOOKUP(K1678,[4]在职!$A:$D,4,0)</f>
        <v>46025</v>
      </c>
      <c r="Q1678" s="105">
        <v>0</v>
      </c>
      <c r="R1678" s="105">
        <v>0</v>
      </c>
      <c r="S1678" s="46">
        <v>0</v>
      </c>
    </row>
  </sheetData>
  <autoFilter xmlns:etc="http://www.wps.cn/officeDocument/2017/etCustomData" ref="A2:S1678" etc:filterBottomFollowUsedRange="0">
    <filterColumn colId="1">
      <filters>
        <filter val="3月"/>
      </filters>
    </filterColumn>
    <filterColumn colId="3">
      <filters>
        <filter val="销售新人入职培训"/>
      </filters>
    </filterColumn>
    <extLst/>
  </autoFilter>
  <mergeCells count="1">
    <mergeCell ref="A1:S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3"/>
  <sheetViews>
    <sheetView zoomScale="115" zoomScaleNormal="115" workbookViewId="0">
      <pane ySplit="2" topLeftCell="A105" activePane="bottomLeft" state="frozen"/>
      <selection/>
      <selection pane="bottomLeft" activeCell="F112" sqref="F112:H112"/>
    </sheetView>
  </sheetViews>
  <sheetFormatPr defaultColWidth="8.89166666666667" defaultRowHeight="13.5"/>
  <cols>
    <col min="1" max="2" width="6.10833333333333" customWidth="1"/>
    <col min="3" max="3" width="13.8916666666667" customWidth="1"/>
    <col min="4" max="4" width="14.225" customWidth="1"/>
    <col min="5" max="5" width="11.8916666666667" customWidth="1"/>
    <col min="6" max="6" width="17.6666666666667" customWidth="1"/>
    <col min="7" max="7" width="19.225" customWidth="1"/>
    <col min="8" max="8" width="15.6666666666667" customWidth="1"/>
    <col min="9" max="9" width="14.4416666666667" customWidth="1"/>
  </cols>
  <sheetData>
    <row r="1" ht="33" customHeight="1" spans="1:9">
      <c r="A1" s="95" t="s">
        <v>1567</v>
      </c>
      <c r="B1" s="95"/>
      <c r="C1" s="95"/>
      <c r="D1" s="95"/>
      <c r="E1" s="95"/>
      <c r="F1" s="95"/>
      <c r="G1" s="95"/>
      <c r="H1" s="95"/>
      <c r="I1" s="95"/>
    </row>
    <row r="2" ht="15" spans="1:9">
      <c r="A2" s="96" t="s">
        <v>887</v>
      </c>
      <c r="B2" s="96" t="s">
        <v>2</v>
      </c>
      <c r="C2" s="96" t="s">
        <v>3</v>
      </c>
      <c r="D2" s="96" t="s">
        <v>50</v>
      </c>
      <c r="E2" s="96" t="s">
        <v>1568</v>
      </c>
      <c r="F2" s="96" t="s">
        <v>888</v>
      </c>
      <c r="G2" s="96" t="s">
        <v>1569</v>
      </c>
      <c r="H2" s="96" t="s">
        <v>1570</v>
      </c>
      <c r="I2" s="96" t="s">
        <v>1571</v>
      </c>
    </row>
    <row r="3" ht="16.5" spans="1:9">
      <c r="A3" s="12">
        <v>1</v>
      </c>
      <c r="B3" s="46" t="s">
        <v>23</v>
      </c>
      <c r="C3" s="46" t="s">
        <v>38</v>
      </c>
      <c r="D3" s="46" t="s">
        <v>63</v>
      </c>
      <c r="E3" s="12" t="s">
        <v>129</v>
      </c>
      <c r="F3" s="7" t="s">
        <v>25</v>
      </c>
      <c r="G3" s="12">
        <f>COUNTIFS('2026年度培训主表'!B:B,B3,'2026年度培训主表'!C:C,C3,'2026年度培训主表'!N:N,D3,'2026年度培训主表'!D:D,F3)</f>
        <v>32</v>
      </c>
      <c r="H3" s="12">
        <f>COUNTIFS('2026年度培训主表'!B:B,B3,'2026年度培训主表'!C:C,C3,'2026年度培训主表'!N:N,D3,'2026年度培训主表'!D:D,F3,'2026年度培训主表'!L:L,"已签到")</f>
        <v>0</v>
      </c>
      <c r="I3" s="76">
        <f t="shared" ref="I3:I66" si="0">H3/G3</f>
        <v>0</v>
      </c>
    </row>
    <row r="4" ht="16.5" spans="1:9">
      <c r="A4" s="12">
        <v>2</v>
      </c>
      <c r="B4" s="46" t="s">
        <v>23</v>
      </c>
      <c r="C4" s="46" t="s">
        <v>32</v>
      </c>
      <c r="D4" s="46" t="s">
        <v>105</v>
      </c>
      <c r="E4" s="12" t="s">
        <v>179</v>
      </c>
      <c r="F4" s="7" t="s">
        <v>25</v>
      </c>
      <c r="G4" s="12">
        <f>COUNTIFS('2026年度培训主表'!B:B,B4,'2026年度培训主表'!C:C,C4,'2026年度培训主表'!N:N,D4,'2026年度培训主表'!D:D,F4)</f>
        <v>24</v>
      </c>
      <c r="H4" s="12">
        <f>COUNTIFS('2026年度培训主表'!B:B,B4,'2026年度培训主表'!C:C,C4,'2026年度培训主表'!N:N,D4,'2026年度培训主表'!D:D,F4,'2026年度培训主表'!L:L,"已签到")</f>
        <v>12</v>
      </c>
      <c r="I4" s="76">
        <f t="shared" si="0"/>
        <v>0.5</v>
      </c>
    </row>
    <row r="5" ht="16.5" spans="1:9">
      <c r="A5" s="12">
        <v>3</v>
      </c>
      <c r="B5" s="46" t="s">
        <v>23</v>
      </c>
      <c r="C5" s="46" t="s">
        <v>37</v>
      </c>
      <c r="D5" s="46" t="s">
        <v>109</v>
      </c>
      <c r="E5" s="12" t="s">
        <v>108</v>
      </c>
      <c r="F5" s="7" t="s">
        <v>25</v>
      </c>
      <c r="G5" s="12">
        <f>COUNTIFS('2026年度培训主表'!B:B,B5,'2026年度培训主表'!C:C,C5,'2026年度培训主表'!N:N,D5,'2026年度培训主表'!D:D,F5)</f>
        <v>16</v>
      </c>
      <c r="H5" s="12">
        <f>COUNTIFS('2026年度培训主表'!B:B,B5,'2026年度培训主表'!C:C,C5,'2026年度培训主表'!N:N,D5,'2026年度培训主表'!D:D,F5,'2026年度培训主表'!L:L,"已签到")</f>
        <v>16</v>
      </c>
      <c r="I5" s="76">
        <f t="shared" si="0"/>
        <v>1</v>
      </c>
    </row>
    <row r="6" ht="16.5" spans="1:9">
      <c r="A6" s="12">
        <v>4</v>
      </c>
      <c r="B6" s="46" t="s">
        <v>23</v>
      </c>
      <c r="C6" s="46" t="s">
        <v>38</v>
      </c>
      <c r="D6" s="46" t="s">
        <v>168</v>
      </c>
      <c r="E6" s="12" t="s">
        <v>322</v>
      </c>
      <c r="F6" s="7" t="s">
        <v>25</v>
      </c>
      <c r="G6" s="12">
        <f>COUNTIFS('2026年度培训主表'!B:B,B6,'2026年度培训主表'!C:C,C6,'2026年度培训主表'!N:N,D6,'2026年度培训主表'!D:D,F6)</f>
        <v>29</v>
      </c>
      <c r="H6" s="12">
        <f>COUNTIFS('2026年度培训主表'!B:B,B6,'2026年度培训主表'!C:C,C6,'2026年度培训主表'!N:N,D6,'2026年度培训主表'!D:D,F6,'2026年度培训主表'!L:L,"已签到")</f>
        <v>0</v>
      </c>
      <c r="I6" s="76">
        <f t="shared" si="0"/>
        <v>0</v>
      </c>
    </row>
    <row r="7" ht="16.5" spans="1:9">
      <c r="A7" s="12">
        <v>5</v>
      </c>
      <c r="B7" s="46" t="s">
        <v>23</v>
      </c>
      <c r="C7" s="46" t="s">
        <v>38</v>
      </c>
      <c r="D7" s="46" t="s">
        <v>148</v>
      </c>
      <c r="E7" s="12" t="s">
        <v>364</v>
      </c>
      <c r="F7" s="7" t="s">
        <v>25</v>
      </c>
      <c r="G7" s="12">
        <f>COUNTIFS('2026年度培训主表'!B:B,B7,'2026年度培训主表'!C:C,C7,'2026年度培训主表'!N:N,D7,'2026年度培训主表'!D:D,F7)</f>
        <v>28</v>
      </c>
      <c r="H7" s="12">
        <f>COUNTIFS('2026年度培训主表'!B:B,B7,'2026年度培训主表'!C:C,C7,'2026年度培训主表'!N:N,D7,'2026年度培训主表'!D:D,F7,'2026年度培训主表'!L:L,"已签到")</f>
        <v>8</v>
      </c>
      <c r="I7" s="76">
        <f t="shared" si="0"/>
        <v>0.285714285714286</v>
      </c>
    </row>
    <row r="8" ht="16.5" spans="1:9">
      <c r="A8" s="12">
        <v>6</v>
      </c>
      <c r="B8" s="46" t="s">
        <v>23</v>
      </c>
      <c r="C8" s="46" t="s">
        <v>38</v>
      </c>
      <c r="D8" s="46" t="s">
        <v>220</v>
      </c>
      <c r="E8" s="12" t="s">
        <v>427</v>
      </c>
      <c r="F8" s="7" t="s">
        <v>25</v>
      </c>
      <c r="G8" s="12">
        <f>COUNTIFS('2026年度培训主表'!B:B,B8,'2026年度培训主表'!C:C,C8,'2026年度培训主表'!N:N,D8,'2026年度培训主表'!D:D,F8)</f>
        <v>28</v>
      </c>
      <c r="H8" s="12">
        <f>COUNTIFS('2026年度培训主表'!B:B,B8,'2026年度培训主表'!C:C,C8,'2026年度培训主表'!N:N,D8,'2026年度培训主表'!D:D,F8,'2026年度培训主表'!L:L,"已签到")</f>
        <v>16</v>
      </c>
      <c r="I8" s="76">
        <f t="shared" si="0"/>
        <v>0.571428571428571</v>
      </c>
    </row>
    <row r="9" ht="16.5" spans="1:9">
      <c r="A9" s="12">
        <v>7</v>
      </c>
      <c r="B9" s="46" t="s">
        <v>23</v>
      </c>
      <c r="C9" s="46" t="s">
        <v>29</v>
      </c>
      <c r="D9" s="46" t="s">
        <v>130</v>
      </c>
      <c r="E9" s="12" t="s">
        <v>380</v>
      </c>
      <c r="F9" s="7" t="s">
        <v>25</v>
      </c>
      <c r="G9" s="12">
        <f>COUNTIFS('2026年度培训主表'!B:B,B9,'2026年度培训主表'!C:C,C9,'2026年度培训主表'!N:N,D9,'2026年度培训主表'!D:D,F9)</f>
        <v>24</v>
      </c>
      <c r="H9" s="12">
        <f>COUNTIFS('2026年度培训主表'!B:B,B9,'2026年度培训主表'!C:C,C9,'2026年度培训主表'!N:N,D9,'2026年度培训主表'!D:D,F9,'2026年度培训主表'!L:L,"已签到")</f>
        <v>20</v>
      </c>
      <c r="I9" s="76">
        <f t="shared" si="0"/>
        <v>0.833333333333333</v>
      </c>
    </row>
    <row r="10" ht="16.5" spans="1:9">
      <c r="A10" s="12">
        <v>8</v>
      </c>
      <c r="B10" s="46" t="s">
        <v>23</v>
      </c>
      <c r="C10" s="46" t="s">
        <v>38</v>
      </c>
      <c r="D10" s="46" t="s">
        <v>70</v>
      </c>
      <c r="E10" s="12" t="s">
        <v>82</v>
      </c>
      <c r="F10" s="7" t="s">
        <v>25</v>
      </c>
      <c r="G10" s="12">
        <f>COUNTIFS('2026年度培训主表'!B:B,B10,'2026年度培训主表'!C:C,C10,'2026年度培训主表'!N:N,D10,'2026年度培训主表'!D:D,F10)</f>
        <v>24</v>
      </c>
      <c r="H10" s="12">
        <f>COUNTIFS('2026年度培训主表'!B:B,B10,'2026年度培训主表'!C:C,C10,'2026年度培训主表'!N:N,D10,'2026年度培训主表'!D:D,F10,'2026年度培训主表'!L:L,"已签到")</f>
        <v>8</v>
      </c>
      <c r="I10" s="76">
        <f t="shared" si="0"/>
        <v>0.333333333333333</v>
      </c>
    </row>
    <row r="11" ht="16.5" spans="1:9">
      <c r="A11" s="12">
        <v>9</v>
      </c>
      <c r="B11" s="46" t="s">
        <v>23</v>
      </c>
      <c r="C11" s="46" t="s">
        <v>38</v>
      </c>
      <c r="D11" s="46" t="s">
        <v>75</v>
      </c>
      <c r="E11" s="12" t="s">
        <v>407</v>
      </c>
      <c r="F11" s="7" t="s">
        <v>25</v>
      </c>
      <c r="G11" s="12">
        <f>COUNTIFS('2026年度培训主表'!B:B,B11,'2026年度培训主表'!C:C,C11,'2026年度培训主表'!N:N,D11,'2026年度培训主表'!D:D,F11)</f>
        <v>28</v>
      </c>
      <c r="H11" s="12">
        <f>COUNTIFS('2026年度培训主表'!B:B,B11,'2026年度培训主表'!C:C,C11,'2026年度培训主表'!N:N,D11,'2026年度培训主表'!D:D,F11,'2026年度培训主表'!L:L,"已签到")</f>
        <v>12</v>
      </c>
      <c r="I11" s="76">
        <f t="shared" si="0"/>
        <v>0.428571428571429</v>
      </c>
    </row>
    <row r="12" ht="16.5" spans="1:9">
      <c r="A12" s="12">
        <v>10</v>
      </c>
      <c r="B12" s="46" t="s">
        <v>23</v>
      </c>
      <c r="C12" s="46" t="s">
        <v>31</v>
      </c>
      <c r="D12" s="46" t="s">
        <v>90</v>
      </c>
      <c r="E12" s="12" t="s">
        <v>89</v>
      </c>
      <c r="F12" s="7" t="s">
        <v>25</v>
      </c>
      <c r="G12" s="12">
        <f>COUNTIFS('2026年度培训主表'!B:B,B12,'2026年度培训主表'!C:C,C12,'2026年度培训主表'!N:N,D12,'2026年度培训主表'!D:D,F12)</f>
        <v>4</v>
      </c>
      <c r="H12" s="12">
        <f>COUNTIFS('2026年度培训主表'!B:B,B12,'2026年度培训主表'!C:C,C12,'2026年度培训主表'!N:N,D12,'2026年度培训主表'!D:D,F12,'2026年度培训主表'!L:L,"已签到")</f>
        <v>4</v>
      </c>
      <c r="I12" s="76">
        <f t="shared" si="0"/>
        <v>1</v>
      </c>
    </row>
    <row r="13" ht="16.5" spans="1:9">
      <c r="A13" s="12">
        <v>11</v>
      </c>
      <c r="B13" s="46" t="s">
        <v>23</v>
      </c>
      <c r="C13" s="46" t="s">
        <v>24</v>
      </c>
      <c r="D13" s="46" t="s">
        <v>101</v>
      </c>
      <c r="E13" s="12" t="s">
        <v>108</v>
      </c>
      <c r="F13" s="7" t="s">
        <v>25</v>
      </c>
      <c r="G13" s="12">
        <f>COUNTIFS('2026年度培训主表'!B:B,B13,'2026年度培训主表'!C:C,C13,'2026年度培训主表'!N:N,D13,'2026年度培训主表'!D:D,F13)</f>
        <v>4</v>
      </c>
      <c r="H13" s="12">
        <f>COUNTIFS('2026年度培训主表'!B:B,B13,'2026年度培训主表'!C:C,C13,'2026年度培训主表'!N:N,D13,'2026年度培训主表'!D:D,F13,'2026年度培训主表'!L:L,"已签到")</f>
        <v>4</v>
      </c>
      <c r="I13" s="76">
        <f t="shared" si="0"/>
        <v>1</v>
      </c>
    </row>
    <row r="14" ht="16.5" spans="1:9">
      <c r="A14" s="12">
        <v>12</v>
      </c>
      <c r="B14" s="46" t="s">
        <v>23</v>
      </c>
      <c r="C14" s="46" t="s">
        <v>35</v>
      </c>
      <c r="D14" s="46" t="s">
        <v>125</v>
      </c>
      <c r="E14" s="12" t="s">
        <v>1152</v>
      </c>
      <c r="F14" s="7" t="s">
        <v>25</v>
      </c>
      <c r="G14" s="12">
        <f>COUNTIFS('2026年度培训主表'!B:B,B14,'2026年度培训主表'!C:C,C14,'2026年度培训主表'!N:N,D14,'2026年度培训主表'!D:D,F14)</f>
        <v>8</v>
      </c>
      <c r="H14" s="12">
        <f>COUNTIFS('2026年度培训主表'!B:B,B14,'2026年度培训主表'!C:C,C14,'2026年度培训主表'!N:N,D14,'2026年度培训主表'!D:D,F14,'2026年度培训主表'!L:L,"已签到")</f>
        <v>8</v>
      </c>
      <c r="I14" s="76">
        <f t="shared" si="0"/>
        <v>1</v>
      </c>
    </row>
    <row r="15" ht="16.5" spans="1:9">
      <c r="A15" s="12">
        <v>13</v>
      </c>
      <c r="B15" s="46" t="s">
        <v>23</v>
      </c>
      <c r="C15" s="46" t="s">
        <v>34</v>
      </c>
      <c r="D15" s="46" t="s">
        <v>351</v>
      </c>
      <c r="E15" s="12" t="s">
        <v>155</v>
      </c>
      <c r="F15" s="7" t="s">
        <v>25</v>
      </c>
      <c r="G15" s="12">
        <f>COUNTIFS('2026年度培训主表'!B:B,B15,'2026年度培训主表'!C:C,C15,'2026年度培训主表'!N:N,D15,'2026年度培训主表'!D:D,F15)</f>
        <v>12</v>
      </c>
      <c r="H15" s="12">
        <f>COUNTIFS('2026年度培训主表'!B:B,B15,'2026年度培训主表'!C:C,C15,'2026年度培训主表'!N:N,D15,'2026年度培训主表'!D:D,F15,'2026年度培训主表'!L:L,"已签到")</f>
        <v>12</v>
      </c>
      <c r="I15" s="76">
        <f t="shared" si="0"/>
        <v>1</v>
      </c>
    </row>
    <row r="16" ht="16.5" spans="1:9">
      <c r="A16" s="12">
        <v>14</v>
      </c>
      <c r="B16" s="46" t="s">
        <v>23</v>
      </c>
      <c r="C16" s="46" t="s">
        <v>31</v>
      </c>
      <c r="D16" s="46" t="s">
        <v>79</v>
      </c>
      <c r="E16" s="12" t="s">
        <v>189</v>
      </c>
      <c r="F16" s="7" t="s">
        <v>25</v>
      </c>
      <c r="G16" s="12">
        <f>COUNTIFS('2026年度培训主表'!B:B,B16,'2026年度培训主表'!C:C,C16,'2026年度培训主表'!N:N,D16,'2026年度培训主表'!D:D,F16)</f>
        <v>8</v>
      </c>
      <c r="H16" s="12">
        <f>COUNTIFS('2026年度培训主表'!B:B,B16,'2026年度培训主表'!C:C,C16,'2026年度培训主表'!N:N,D16,'2026年度培训主表'!D:D,F16,'2026年度培训主表'!L:L,"已签到")</f>
        <v>8</v>
      </c>
      <c r="I16" s="76">
        <f t="shared" si="0"/>
        <v>1</v>
      </c>
    </row>
    <row r="17" ht="16.5" spans="1:9">
      <c r="A17" s="12">
        <v>15</v>
      </c>
      <c r="B17" s="46" t="s">
        <v>23</v>
      </c>
      <c r="C17" s="46" t="s">
        <v>38</v>
      </c>
      <c r="D17" s="46" t="s">
        <v>144</v>
      </c>
      <c r="E17" s="12" t="s">
        <v>155</v>
      </c>
      <c r="F17" s="7" t="s">
        <v>25</v>
      </c>
      <c r="G17" s="12">
        <f>COUNTIFS('2026年度培训主表'!B:B,B17,'2026年度培训主表'!C:C,C17,'2026年度培训主表'!N:N,D17,'2026年度培训主表'!D:D,F17)</f>
        <v>20</v>
      </c>
      <c r="H17" s="12">
        <f>COUNTIFS('2026年度培训主表'!B:B,B17,'2026年度培训主表'!C:C,C17,'2026年度培训主表'!N:N,D17,'2026年度培训主表'!D:D,F17,'2026年度培训主表'!L:L,"已签到")</f>
        <v>4</v>
      </c>
      <c r="I17" s="76">
        <f t="shared" si="0"/>
        <v>0.2</v>
      </c>
    </row>
    <row r="18" ht="16.5" spans="1:9">
      <c r="A18" s="12">
        <v>16</v>
      </c>
      <c r="B18" s="46" t="s">
        <v>23</v>
      </c>
      <c r="C18" s="46" t="s">
        <v>26</v>
      </c>
      <c r="D18" s="46" t="s">
        <v>121</v>
      </c>
      <c r="E18" s="12" t="s">
        <v>385</v>
      </c>
      <c r="F18" s="7" t="s">
        <v>25</v>
      </c>
      <c r="G18" s="12">
        <f>COUNTIFS('2026年度培训主表'!B:B,B18,'2026年度培训主表'!C:C,C18,'2026年度培训主表'!N:N,D18,'2026年度培训主表'!D:D,F18)</f>
        <v>16</v>
      </c>
      <c r="H18" s="12">
        <f>COUNTIFS('2026年度培训主表'!B:B,B18,'2026年度培训主表'!C:C,C18,'2026年度培训主表'!N:N,D18,'2026年度培训主表'!D:D,F18,'2026年度培训主表'!L:L,"已签到")</f>
        <v>12</v>
      </c>
      <c r="I18" s="76">
        <f t="shared" si="0"/>
        <v>0.75</v>
      </c>
    </row>
    <row r="19" ht="16.5" spans="1:9">
      <c r="A19" s="12">
        <v>17</v>
      </c>
      <c r="B19" s="46" t="s">
        <v>23</v>
      </c>
      <c r="C19" s="46" t="s">
        <v>38</v>
      </c>
      <c r="D19" s="46" t="s">
        <v>1329</v>
      </c>
      <c r="E19" s="12" t="s">
        <v>1572</v>
      </c>
      <c r="F19" s="7" t="s">
        <v>25</v>
      </c>
      <c r="G19" s="12">
        <f>COUNTIFS('2026年度培训主表'!B:B,B19,'2026年度培训主表'!C:C,C19,'2026年度培训主表'!N:N,D19,'2026年度培训主表'!D:D,F19)</f>
        <v>6</v>
      </c>
      <c r="H19" s="12">
        <f>COUNTIFS('2026年度培训主表'!B:B,B19,'2026年度培训主表'!C:C,C19,'2026年度培训主表'!N:N,D19,'2026年度培训主表'!D:D,F19,'2026年度培训主表'!L:L,"已签到")</f>
        <v>5</v>
      </c>
      <c r="I19" s="76">
        <f t="shared" si="0"/>
        <v>0.833333333333333</v>
      </c>
    </row>
    <row r="20" ht="16.5" spans="1:9">
      <c r="A20" s="12">
        <v>18</v>
      </c>
      <c r="B20" s="46" t="s">
        <v>23</v>
      </c>
      <c r="C20" s="46" t="s">
        <v>38</v>
      </c>
      <c r="D20" s="46" t="s">
        <v>63</v>
      </c>
      <c r="E20" s="12" t="s">
        <v>129</v>
      </c>
      <c r="F20" s="7" t="s">
        <v>27</v>
      </c>
      <c r="G20" s="12">
        <f>COUNTIFS('2026年度培训主表'!B:B,B20,'2026年度培训主表'!C:C,C20,'2026年度培训主表'!N:N,D20,'2026年度培训主表'!D:D,F20)</f>
        <v>33</v>
      </c>
      <c r="H20" s="12">
        <f>COUNTIFS('2026年度培训主表'!B:B,B20,'2026年度培训主表'!C:C,C20,'2026年度培训主表'!N:N,D20,'2026年度培训主表'!D:D,F20,'2026年度培训主表'!L:L,"已签到")</f>
        <v>6</v>
      </c>
      <c r="I20" s="76">
        <f t="shared" si="0"/>
        <v>0.181818181818182</v>
      </c>
    </row>
    <row r="21" ht="16.5" spans="1:9">
      <c r="A21" s="12">
        <v>19</v>
      </c>
      <c r="B21" s="46" t="s">
        <v>23</v>
      </c>
      <c r="C21" s="46" t="s">
        <v>38</v>
      </c>
      <c r="D21" s="46" t="s">
        <v>70</v>
      </c>
      <c r="E21" s="12" t="s">
        <v>82</v>
      </c>
      <c r="F21" s="7" t="s">
        <v>27</v>
      </c>
      <c r="G21" s="12">
        <f>COUNTIFS('2026年度培训主表'!B:B,B21,'2026年度培训主表'!C:C,C21,'2026年度培训主表'!N:N,D21,'2026年度培训主表'!D:D,F21)</f>
        <v>29</v>
      </c>
      <c r="H21" s="12">
        <f>COUNTIFS('2026年度培训主表'!B:B,B21,'2026年度培训主表'!C:C,C21,'2026年度培训主表'!N:N,D21,'2026年度培训主表'!D:D,F21,'2026年度培训主表'!L:L,"已签到")</f>
        <v>12</v>
      </c>
      <c r="I21" s="76">
        <f t="shared" si="0"/>
        <v>0.413793103448276</v>
      </c>
    </row>
    <row r="22" ht="16.5" spans="1:9">
      <c r="A22" s="12">
        <v>20</v>
      </c>
      <c r="B22" s="46" t="s">
        <v>23</v>
      </c>
      <c r="C22" s="46" t="s">
        <v>37</v>
      </c>
      <c r="D22" s="46" t="s">
        <v>109</v>
      </c>
      <c r="E22" s="12" t="s">
        <v>108</v>
      </c>
      <c r="F22" s="7" t="s">
        <v>27</v>
      </c>
      <c r="G22" s="12">
        <f>COUNTIFS('2026年度培训主表'!B:B,B22,'2026年度培训主表'!C:C,C22,'2026年度培训主表'!N:N,D22,'2026年度培训主表'!D:D,F22)</f>
        <v>9</v>
      </c>
      <c r="H22" s="12">
        <f>COUNTIFS('2026年度培训主表'!B:B,B22,'2026年度培训主表'!C:C,C22,'2026年度培训主表'!N:N,D22,'2026年度培训主表'!D:D,F22,'2026年度培训主表'!L:L,"已签到")</f>
        <v>6</v>
      </c>
      <c r="I22" s="76">
        <f t="shared" si="0"/>
        <v>0.666666666666667</v>
      </c>
    </row>
    <row r="23" ht="16.5" spans="1:9">
      <c r="A23" s="12">
        <v>21</v>
      </c>
      <c r="B23" s="46" t="s">
        <v>23</v>
      </c>
      <c r="C23" s="46" t="s">
        <v>38</v>
      </c>
      <c r="D23" s="46" t="s">
        <v>220</v>
      </c>
      <c r="E23" s="12" t="s">
        <v>427</v>
      </c>
      <c r="F23" s="7" t="s">
        <v>27</v>
      </c>
      <c r="G23" s="12">
        <f>COUNTIFS('2026年度培训主表'!B:B,B23,'2026年度培训主表'!C:C,C23,'2026年度培训主表'!N:N,D23,'2026年度培训主表'!D:D,F23)</f>
        <v>21</v>
      </c>
      <c r="H23" s="12">
        <f>COUNTIFS('2026年度培训主表'!B:B,B23,'2026年度培训主表'!C:C,C23,'2026年度培训主表'!N:N,D23,'2026年度培训主表'!D:D,F23,'2026年度培训主表'!L:L,"已签到")</f>
        <v>9</v>
      </c>
      <c r="I23" s="76">
        <f t="shared" si="0"/>
        <v>0.428571428571429</v>
      </c>
    </row>
    <row r="24" ht="16.5" spans="1:9">
      <c r="A24" s="12">
        <v>22</v>
      </c>
      <c r="B24" s="46" t="s">
        <v>23</v>
      </c>
      <c r="C24" s="46" t="s">
        <v>38</v>
      </c>
      <c r="D24" s="46" t="s">
        <v>75</v>
      </c>
      <c r="E24" s="12" t="s">
        <v>407</v>
      </c>
      <c r="F24" s="7" t="s">
        <v>27</v>
      </c>
      <c r="G24" s="12">
        <f>COUNTIFS('2026年度培训主表'!B:B,B24,'2026年度培训主表'!C:C,C24,'2026年度培训主表'!N:N,D24,'2026年度培训主表'!D:D,F24)</f>
        <v>29</v>
      </c>
      <c r="H24" s="12">
        <f>COUNTIFS('2026年度培训主表'!B:B,B24,'2026年度培训主表'!C:C,C24,'2026年度培训主表'!N:N,D24,'2026年度培训主表'!D:D,F24,'2026年度培训主表'!L:L,"已签到")</f>
        <v>12</v>
      </c>
      <c r="I24" s="76">
        <f t="shared" si="0"/>
        <v>0.413793103448276</v>
      </c>
    </row>
    <row r="25" ht="16.5" spans="1:9">
      <c r="A25" s="12">
        <v>23</v>
      </c>
      <c r="B25" s="46" t="s">
        <v>23</v>
      </c>
      <c r="C25" s="46" t="s">
        <v>38</v>
      </c>
      <c r="D25" s="46" t="s">
        <v>144</v>
      </c>
      <c r="E25" s="12" t="s">
        <v>155</v>
      </c>
      <c r="F25" s="7" t="s">
        <v>27</v>
      </c>
      <c r="G25" s="12">
        <f>COUNTIFS('2026年度培训主表'!B:B,B25,'2026年度培训主表'!C:C,C25,'2026年度培训主表'!N:N,D25,'2026年度培训主表'!D:D,F25)</f>
        <v>12</v>
      </c>
      <c r="H25" s="12">
        <f>COUNTIFS('2026年度培训主表'!B:B,B25,'2026年度培训主表'!C:C,C25,'2026年度培训主表'!N:N,D25,'2026年度培训主表'!D:D,F25,'2026年度培训主表'!L:L,"已签到")</f>
        <v>3</v>
      </c>
      <c r="I25" s="76">
        <f t="shared" si="0"/>
        <v>0.25</v>
      </c>
    </row>
    <row r="26" ht="16.5" spans="1:9">
      <c r="A26" s="12">
        <v>24</v>
      </c>
      <c r="B26" s="46" t="s">
        <v>23</v>
      </c>
      <c r="C26" s="46" t="s">
        <v>31</v>
      </c>
      <c r="D26" s="46" t="s">
        <v>79</v>
      </c>
      <c r="E26" s="12" t="s">
        <v>189</v>
      </c>
      <c r="F26" s="7" t="s">
        <v>27</v>
      </c>
      <c r="G26" s="12">
        <f>COUNTIFS('2026年度培训主表'!B:B,B26,'2026年度培训主表'!C:C,C26,'2026年度培训主表'!N:N,D26,'2026年度培训主表'!D:D,F26)</f>
        <v>14</v>
      </c>
      <c r="H26" s="12">
        <f>COUNTIFS('2026年度培训主表'!B:B,B26,'2026年度培训主表'!C:C,C26,'2026年度培训主表'!N:N,D26,'2026年度培训主表'!D:D,F26,'2026年度培训主表'!L:L,"已签到")</f>
        <v>0</v>
      </c>
      <c r="I26" s="76">
        <f t="shared" si="0"/>
        <v>0</v>
      </c>
    </row>
    <row r="27" ht="16.5" spans="1:9">
      <c r="A27" s="12">
        <v>25</v>
      </c>
      <c r="B27" s="46" t="s">
        <v>23</v>
      </c>
      <c r="C27" s="46" t="s">
        <v>29</v>
      </c>
      <c r="D27" s="46" t="s">
        <v>130</v>
      </c>
      <c r="E27" s="12" t="s">
        <v>380</v>
      </c>
      <c r="F27" s="7" t="s">
        <v>27</v>
      </c>
      <c r="G27" s="12">
        <f>COUNTIFS('2026年度培训主表'!B:B,B27,'2026年度培训主表'!C:C,C27,'2026年度培训主表'!N:N,D27,'2026年度培训主表'!D:D,F27)</f>
        <v>9</v>
      </c>
      <c r="H27" s="12">
        <f>COUNTIFS('2026年度培训主表'!B:B,B27,'2026年度培训主表'!C:C,C27,'2026年度培训主表'!N:N,D27,'2026年度培训主表'!D:D,F27,'2026年度培训主表'!L:L,"已签到")</f>
        <v>9</v>
      </c>
      <c r="I27" s="76">
        <f t="shared" si="0"/>
        <v>1</v>
      </c>
    </row>
    <row r="28" ht="16.5" spans="1:9">
      <c r="A28" s="12">
        <v>26</v>
      </c>
      <c r="B28" s="46" t="s">
        <v>23</v>
      </c>
      <c r="C28" s="46" t="s">
        <v>36</v>
      </c>
      <c r="D28" s="46" t="s">
        <v>173</v>
      </c>
      <c r="E28" s="12" t="s">
        <v>433</v>
      </c>
      <c r="F28" s="7" t="s">
        <v>27</v>
      </c>
      <c r="G28" s="12">
        <f>COUNTIFS('2026年度培训主表'!B:B,B28,'2026年度培训主表'!C:C,C28,'2026年度培训主表'!N:N,D28,'2026年度培训主表'!D:D,F28)</f>
        <v>18</v>
      </c>
      <c r="H28" s="12">
        <f>COUNTIFS('2026年度培训主表'!B:B,B28,'2026年度培训主表'!C:C,C28,'2026年度培训主表'!N:N,D28,'2026年度培训主表'!D:D,F28,'2026年度培训主表'!L:L,"已签到")</f>
        <v>18</v>
      </c>
      <c r="I28" s="76">
        <f t="shared" si="0"/>
        <v>1</v>
      </c>
    </row>
    <row r="29" ht="16.5" spans="1:9">
      <c r="A29" s="12">
        <v>27</v>
      </c>
      <c r="B29" s="46" t="s">
        <v>23</v>
      </c>
      <c r="C29" s="46" t="s">
        <v>38</v>
      </c>
      <c r="D29" s="46" t="s">
        <v>148</v>
      </c>
      <c r="E29" s="12" t="s">
        <v>364</v>
      </c>
      <c r="F29" s="7" t="s">
        <v>27</v>
      </c>
      <c r="G29" s="12">
        <f>COUNTIFS('2026年度培训主表'!B:B,B29,'2026年度培训主表'!C:C,C29,'2026年度培训主表'!N:N,D29,'2026年度培训主表'!D:D,F29)</f>
        <v>18</v>
      </c>
      <c r="H29" s="12">
        <f>COUNTIFS('2026年度培训主表'!B:B,B29,'2026年度培训主表'!C:C,C29,'2026年度培训主表'!N:N,D29,'2026年度培训主表'!D:D,F29,'2026年度培训主表'!L:L,"已签到")</f>
        <v>7</v>
      </c>
      <c r="I29" s="76">
        <f t="shared" si="0"/>
        <v>0.388888888888889</v>
      </c>
    </row>
    <row r="30" ht="16.5" spans="1:9">
      <c r="A30" s="12">
        <v>28</v>
      </c>
      <c r="B30" s="46" t="s">
        <v>23</v>
      </c>
      <c r="C30" s="46" t="s">
        <v>38</v>
      </c>
      <c r="D30" s="46" t="s">
        <v>168</v>
      </c>
      <c r="E30" s="12" t="s">
        <v>322</v>
      </c>
      <c r="F30" s="7" t="s">
        <v>27</v>
      </c>
      <c r="G30" s="12">
        <f>COUNTIFS('2026年度培训主表'!B:B,B30,'2026年度培训主表'!C:C,C30,'2026年度培训主表'!N:N,D30,'2026年度培训主表'!D:D,F30)</f>
        <v>21</v>
      </c>
      <c r="H30" s="12">
        <f>COUNTIFS('2026年度培训主表'!B:B,B30,'2026年度培训主表'!C:C,C30,'2026年度培训主表'!N:N,D30,'2026年度培训主表'!D:D,F30,'2026年度培训主表'!L:L,"已签到")</f>
        <v>6</v>
      </c>
      <c r="I30" s="76">
        <f t="shared" si="0"/>
        <v>0.285714285714286</v>
      </c>
    </row>
    <row r="31" ht="16.5" spans="1:9">
      <c r="A31" s="12">
        <v>29</v>
      </c>
      <c r="B31" s="46" t="s">
        <v>23</v>
      </c>
      <c r="C31" s="46" t="s">
        <v>35</v>
      </c>
      <c r="D31" s="46" t="s">
        <v>125</v>
      </c>
      <c r="E31" s="12" t="s">
        <v>1152</v>
      </c>
      <c r="F31" s="7" t="s">
        <v>27</v>
      </c>
      <c r="G31" s="12">
        <f>COUNTIFS('2026年度培训主表'!B:B,B31,'2026年度培训主表'!C:C,C31,'2026年度培训主表'!N:N,D31,'2026年度培训主表'!D:D,F31)</f>
        <v>17</v>
      </c>
      <c r="H31" s="12">
        <f>COUNTIFS('2026年度培训主表'!B:B,B31,'2026年度培训主表'!C:C,C31,'2026年度培训主表'!N:N,D31,'2026年度培训主表'!D:D,F31,'2026年度培训主表'!L:L,"已签到")</f>
        <v>17</v>
      </c>
      <c r="I31" s="76">
        <f t="shared" si="0"/>
        <v>1</v>
      </c>
    </row>
    <row r="32" ht="16.5" spans="1:9">
      <c r="A32" s="12">
        <v>30</v>
      </c>
      <c r="B32" s="46" t="s">
        <v>23</v>
      </c>
      <c r="C32" s="46" t="s">
        <v>26</v>
      </c>
      <c r="D32" s="46" t="s">
        <v>121</v>
      </c>
      <c r="E32" s="12" t="s">
        <v>385</v>
      </c>
      <c r="F32" s="7" t="s">
        <v>27</v>
      </c>
      <c r="G32" s="12">
        <f>COUNTIFS('2026年度培训主表'!B:B,B32,'2026年度培训主表'!C:C,C32,'2026年度培训主表'!N:N,D32,'2026年度培训主表'!D:D,F32)</f>
        <v>6</v>
      </c>
      <c r="H32" s="12">
        <f>COUNTIFS('2026年度培训主表'!B:B,B32,'2026年度培训主表'!C:C,C32,'2026年度培训主表'!N:N,D32,'2026年度培训主表'!D:D,F32,'2026年度培训主表'!L:L,"已签到")</f>
        <v>6</v>
      </c>
      <c r="I32" s="76">
        <f t="shared" si="0"/>
        <v>1</v>
      </c>
    </row>
    <row r="33" ht="16.5" spans="1:9">
      <c r="A33" s="12">
        <v>31</v>
      </c>
      <c r="B33" s="46" t="s">
        <v>23</v>
      </c>
      <c r="C33" s="46" t="s">
        <v>32</v>
      </c>
      <c r="D33" s="46" t="s">
        <v>105</v>
      </c>
      <c r="E33" s="12" t="s">
        <v>179</v>
      </c>
      <c r="F33" s="7" t="s">
        <v>27</v>
      </c>
      <c r="G33" s="12">
        <f>COUNTIFS('2026年度培训主表'!B:B,B33,'2026年度培训主表'!C:C,C33,'2026年度培训主表'!N:N,D33,'2026年度培训主表'!D:D,F33)</f>
        <v>6</v>
      </c>
      <c r="H33" s="12">
        <f>COUNTIFS('2026年度培训主表'!B:B,B33,'2026年度培训主表'!C:C,C33,'2026年度培训主表'!N:N,D33,'2026年度培训主表'!D:D,F33,'2026年度培训主表'!L:L,"已签到")</f>
        <v>6</v>
      </c>
      <c r="I33" s="76">
        <f t="shared" si="0"/>
        <v>1</v>
      </c>
    </row>
    <row r="34" ht="16.5" spans="1:9">
      <c r="A34" s="12">
        <v>32</v>
      </c>
      <c r="B34" s="46" t="s">
        <v>23</v>
      </c>
      <c r="C34" s="46" t="s">
        <v>37</v>
      </c>
      <c r="D34" s="46" t="s">
        <v>152</v>
      </c>
      <c r="E34" s="12" t="s">
        <v>451</v>
      </c>
      <c r="F34" s="7" t="s">
        <v>27</v>
      </c>
      <c r="G34" s="12">
        <f>COUNTIFS('2026年度培训主表'!B:B,B34,'2026年度培训主表'!C:C,C34,'2026年度培训主表'!N:N,D34,'2026年度培训主表'!D:D,F34)</f>
        <v>3</v>
      </c>
      <c r="H34" s="12">
        <f>COUNTIFS('2026年度培训主表'!B:B,B34,'2026年度培训主表'!C:C,C34,'2026年度培训主表'!N:N,D34,'2026年度培训主表'!D:D,F34,'2026年度培训主表'!L:L,"已签到")</f>
        <v>3</v>
      </c>
      <c r="I34" s="76">
        <f t="shared" si="0"/>
        <v>1</v>
      </c>
    </row>
    <row r="35" ht="16.5" spans="1:9">
      <c r="A35" s="12">
        <v>33</v>
      </c>
      <c r="B35" s="46" t="s">
        <v>23</v>
      </c>
      <c r="C35" s="46" t="s">
        <v>33</v>
      </c>
      <c r="D35" s="46" t="s">
        <v>537</v>
      </c>
      <c r="E35" s="12" t="s">
        <v>1383</v>
      </c>
      <c r="F35" s="7" t="s">
        <v>27</v>
      </c>
      <c r="G35" s="12">
        <f>COUNTIFS('2026年度培训主表'!B:B,B35,'2026年度培训主表'!C:C,C35,'2026年度培训主表'!N:N,D35,'2026年度培训主表'!D:D,F35)</f>
        <v>1</v>
      </c>
      <c r="H35" s="12">
        <f>COUNTIFS('2026年度培训主表'!B:B,B35,'2026年度培训主表'!C:C,C35,'2026年度培训主表'!N:N,D35,'2026年度培训主表'!D:D,F35,'2026年度培训主表'!L:L,"已签到")</f>
        <v>1</v>
      </c>
      <c r="I35" s="76">
        <f t="shared" si="0"/>
        <v>1</v>
      </c>
    </row>
    <row r="36" ht="16.5" spans="1:9">
      <c r="A36" s="12">
        <v>34</v>
      </c>
      <c r="B36" s="46" t="s">
        <v>23</v>
      </c>
      <c r="C36" s="46" t="s">
        <v>36</v>
      </c>
      <c r="D36" s="46" t="s">
        <v>173</v>
      </c>
      <c r="E36" s="12" t="s">
        <v>433</v>
      </c>
      <c r="F36" s="7" t="s">
        <v>30</v>
      </c>
      <c r="G36" s="12">
        <f>COUNTIFS('2026年度培训主表'!B:B,B36,'2026年度培训主表'!C:C,C36,'2026年度培训主表'!N:N,D36,'2026年度培训主表'!D:D,F36)</f>
        <v>8</v>
      </c>
      <c r="H36" s="12">
        <f>COUNTIFS('2026年度培训主表'!B:B,B36,'2026年度培训主表'!C:C,C36,'2026年度培训主表'!N:N,D36,'2026年度培训主表'!D:D,F36,'2026年度培训主表'!L:L,"已签到")</f>
        <v>8</v>
      </c>
      <c r="I36" s="76">
        <f t="shared" si="0"/>
        <v>1</v>
      </c>
    </row>
    <row r="37" ht="16.5" spans="1:9">
      <c r="A37" s="12">
        <v>35</v>
      </c>
      <c r="B37" s="46" t="s">
        <v>23</v>
      </c>
      <c r="C37" s="46" t="s">
        <v>38</v>
      </c>
      <c r="D37" s="46" t="s">
        <v>148</v>
      </c>
      <c r="E37" s="12" t="s">
        <v>364</v>
      </c>
      <c r="F37" s="7" t="s">
        <v>30</v>
      </c>
      <c r="G37" s="12">
        <f>COUNTIFS('2026年度培训主表'!B:B,B37,'2026年度培训主表'!C:C,C37,'2026年度培训主表'!N:N,D37,'2026年度培训主表'!D:D,F37)</f>
        <v>20</v>
      </c>
      <c r="H37" s="12">
        <f>COUNTIFS('2026年度培训主表'!B:B,B37,'2026年度培训主表'!C:C,C37,'2026年度培训主表'!N:N,D37,'2026年度培训主表'!D:D,F37,'2026年度培训主表'!L:L,"已签到")</f>
        <v>20</v>
      </c>
      <c r="I37" s="76">
        <f t="shared" si="0"/>
        <v>1</v>
      </c>
    </row>
    <row r="38" ht="16.5" spans="1:9">
      <c r="A38" s="12">
        <v>36</v>
      </c>
      <c r="B38" s="46" t="s">
        <v>23</v>
      </c>
      <c r="C38" s="46" t="s">
        <v>35</v>
      </c>
      <c r="D38" s="46" t="s">
        <v>125</v>
      </c>
      <c r="E38" s="12" t="s">
        <v>1152</v>
      </c>
      <c r="F38" s="7" t="s">
        <v>30</v>
      </c>
      <c r="G38" s="12">
        <f>COUNTIFS('2026年度培训主表'!B:B,B38,'2026年度培训主表'!C:C,C38,'2026年度培训主表'!N:N,D38,'2026年度培训主表'!D:D,F38)</f>
        <v>24</v>
      </c>
      <c r="H38" s="12">
        <f>COUNTIFS('2026年度培训主表'!B:B,B38,'2026年度培训主表'!C:C,C38,'2026年度培训主表'!N:N,D38,'2026年度培训主表'!D:D,F38,'2026年度培训主表'!L:L,"已签到")</f>
        <v>24</v>
      </c>
      <c r="I38" s="76">
        <f t="shared" si="0"/>
        <v>1</v>
      </c>
    </row>
    <row r="39" ht="16.5" spans="1:9">
      <c r="A39" s="12">
        <v>37</v>
      </c>
      <c r="B39" s="46" t="s">
        <v>23</v>
      </c>
      <c r="C39" s="46" t="s">
        <v>32</v>
      </c>
      <c r="D39" s="46" t="s">
        <v>105</v>
      </c>
      <c r="E39" s="12" t="s">
        <v>179</v>
      </c>
      <c r="F39" s="7" t="s">
        <v>30</v>
      </c>
      <c r="G39" s="12">
        <f>COUNTIFS('2026年度培训主表'!B:B,B39,'2026年度培训主表'!C:C,C39,'2026年度培训主表'!N:N,D39,'2026年度培训主表'!D:D,F39)</f>
        <v>24</v>
      </c>
      <c r="H39" s="12">
        <f>COUNTIFS('2026年度培训主表'!B:B,B39,'2026年度培训主表'!C:C,C39,'2026年度培训主表'!N:N,D39,'2026年度培训主表'!D:D,F39,'2026年度培训主表'!L:L,"已签到")</f>
        <v>24</v>
      </c>
      <c r="I39" s="76">
        <f t="shared" si="0"/>
        <v>1</v>
      </c>
    </row>
    <row r="40" ht="16.5" spans="1:9">
      <c r="A40" s="12">
        <v>38</v>
      </c>
      <c r="B40" s="46" t="s">
        <v>23</v>
      </c>
      <c r="C40" s="46" t="s">
        <v>38</v>
      </c>
      <c r="D40" s="46" t="s">
        <v>220</v>
      </c>
      <c r="E40" s="12" t="s">
        <v>427</v>
      </c>
      <c r="F40" s="7" t="s">
        <v>30</v>
      </c>
      <c r="G40" s="12">
        <f>COUNTIFS('2026年度培训主表'!B:B,B40,'2026年度培训主表'!C:C,C40,'2026年度培训主表'!N:N,D40,'2026年度培训主表'!D:D,F40)</f>
        <v>8</v>
      </c>
      <c r="H40" s="12">
        <f>COUNTIFS('2026年度培训主表'!B:B,B40,'2026年度培训主表'!C:C,C40,'2026年度培训主表'!N:N,D40,'2026年度培训主表'!D:D,F40,'2026年度培训主表'!L:L,"已签到")</f>
        <v>8</v>
      </c>
      <c r="I40" s="76">
        <f t="shared" si="0"/>
        <v>1</v>
      </c>
    </row>
    <row r="41" ht="16.5" spans="1:9">
      <c r="A41" s="12">
        <v>39</v>
      </c>
      <c r="B41" s="46" t="s">
        <v>23</v>
      </c>
      <c r="C41" s="46" t="s">
        <v>38</v>
      </c>
      <c r="D41" s="46" t="s">
        <v>168</v>
      </c>
      <c r="E41" s="12" t="s">
        <v>322</v>
      </c>
      <c r="F41" s="7" t="s">
        <v>30</v>
      </c>
      <c r="G41" s="12">
        <f>COUNTIFS('2026年度培训主表'!B:B,B41,'2026年度培训主表'!C:C,C41,'2026年度培训主表'!N:N,D41,'2026年度培训主表'!D:D,F41)</f>
        <v>8</v>
      </c>
      <c r="H41" s="12">
        <f>COUNTIFS('2026年度培训主表'!B:B,B41,'2026年度培训主表'!C:C,C41,'2026年度培训主表'!N:N,D41,'2026年度培训主表'!D:D,F41,'2026年度培训主表'!L:L,"已签到")</f>
        <v>8</v>
      </c>
      <c r="I41" s="76">
        <f t="shared" si="0"/>
        <v>1</v>
      </c>
    </row>
    <row r="42" ht="16.5" spans="1:9">
      <c r="A42" s="12">
        <v>40</v>
      </c>
      <c r="B42" s="46" t="s">
        <v>23</v>
      </c>
      <c r="C42" s="46" t="s">
        <v>38</v>
      </c>
      <c r="D42" s="46" t="s">
        <v>63</v>
      </c>
      <c r="E42" s="12" t="s">
        <v>129</v>
      </c>
      <c r="F42" s="7" t="s">
        <v>30</v>
      </c>
      <c r="G42" s="12">
        <f>COUNTIFS('2026年度培训主表'!B:B,B42,'2026年度培训主表'!C:C,C42,'2026年度培训主表'!N:N,D42,'2026年度培训主表'!D:D,F42)</f>
        <v>27</v>
      </c>
      <c r="H42" s="12">
        <f>COUNTIFS('2026年度培训主表'!B:B,B42,'2026年度培训主表'!C:C,C42,'2026年度培训主表'!N:N,D42,'2026年度培训主表'!D:D,F42,'2026年度培训主表'!L:L,"已签到")</f>
        <v>27</v>
      </c>
      <c r="I42" s="76">
        <f t="shared" si="0"/>
        <v>1</v>
      </c>
    </row>
    <row r="43" ht="16.5" spans="1:9">
      <c r="A43" s="12">
        <v>41</v>
      </c>
      <c r="B43" s="46" t="s">
        <v>23</v>
      </c>
      <c r="C43" s="46" t="s">
        <v>31</v>
      </c>
      <c r="D43" s="46" t="s">
        <v>79</v>
      </c>
      <c r="E43" s="12" t="s">
        <v>189</v>
      </c>
      <c r="F43" s="7" t="s">
        <v>30</v>
      </c>
      <c r="G43" s="12">
        <f>COUNTIFS('2026年度培训主表'!B:B,B43,'2026年度培训主表'!C:C,C43,'2026年度培训主表'!N:N,D43,'2026年度培训主表'!D:D,F43)</f>
        <v>16</v>
      </c>
      <c r="H43" s="12">
        <f>COUNTIFS('2026年度培训主表'!B:B,B43,'2026年度培训主表'!C:C,C43,'2026年度培训主表'!N:N,D43,'2026年度培训主表'!D:D,F43,'2026年度培训主表'!L:L,"已签到")</f>
        <v>16</v>
      </c>
      <c r="I43" s="76">
        <f t="shared" si="0"/>
        <v>1</v>
      </c>
    </row>
    <row r="44" ht="16.5" spans="1:9">
      <c r="A44" s="12">
        <v>42</v>
      </c>
      <c r="B44" s="46" t="s">
        <v>23</v>
      </c>
      <c r="C44" s="46" t="s">
        <v>37</v>
      </c>
      <c r="D44" s="46" t="s">
        <v>109</v>
      </c>
      <c r="E44" s="12" t="s">
        <v>108</v>
      </c>
      <c r="F44" s="7" t="s">
        <v>30</v>
      </c>
      <c r="G44" s="12">
        <f>COUNTIFS('2026年度培训主表'!B:B,B44,'2026年度培训主表'!C:C,C44,'2026年度培训主表'!N:N,D44,'2026年度培训主表'!D:D,F44)</f>
        <v>16</v>
      </c>
      <c r="H44" s="12">
        <f>COUNTIFS('2026年度培训主表'!B:B,B44,'2026年度培训主表'!C:C,C44,'2026年度培训主表'!N:N,D44,'2026年度培训主表'!D:D,F44,'2026年度培训主表'!L:L,"已签到")</f>
        <v>16</v>
      </c>
      <c r="I44" s="76">
        <f t="shared" si="0"/>
        <v>1</v>
      </c>
    </row>
    <row r="45" ht="16.5" spans="1:9">
      <c r="A45" s="12">
        <v>43</v>
      </c>
      <c r="B45" s="46" t="s">
        <v>23</v>
      </c>
      <c r="C45" s="46" t="s">
        <v>38</v>
      </c>
      <c r="D45" s="46" t="s">
        <v>70</v>
      </c>
      <c r="E45" s="12" t="s">
        <v>82</v>
      </c>
      <c r="F45" s="7" t="s">
        <v>30</v>
      </c>
      <c r="G45" s="12">
        <f>COUNTIFS('2026年度培训主表'!B:B,B45,'2026年度培训主表'!C:C,C45,'2026年度培训主表'!N:N,D45,'2026年度培训主表'!D:D,F45)</f>
        <v>4</v>
      </c>
      <c r="H45" s="12">
        <f>COUNTIFS('2026年度培训主表'!B:B,B45,'2026年度培训主表'!C:C,C45,'2026年度培训主表'!N:N,D45,'2026年度培训主表'!D:D,F45,'2026年度培训主表'!L:L,"已签到")</f>
        <v>4</v>
      </c>
      <c r="I45" s="76">
        <f t="shared" si="0"/>
        <v>1</v>
      </c>
    </row>
    <row r="46" ht="16.5" spans="1:9">
      <c r="A46" s="12">
        <v>44</v>
      </c>
      <c r="B46" s="46" t="s">
        <v>23</v>
      </c>
      <c r="C46" s="46" t="s">
        <v>29</v>
      </c>
      <c r="D46" s="46" t="s">
        <v>130</v>
      </c>
      <c r="E46" s="12" t="s">
        <v>380</v>
      </c>
      <c r="F46" s="7" t="s">
        <v>30</v>
      </c>
      <c r="G46" s="12">
        <f>COUNTIFS('2026年度培训主表'!B:B,B46,'2026年度培训主表'!C:C,C46,'2026年度培训主表'!N:N,D46,'2026年度培训主表'!D:D,F46)</f>
        <v>4</v>
      </c>
      <c r="H46" s="12">
        <f>COUNTIFS('2026年度培训主表'!B:B,B46,'2026年度培训主表'!C:C,C46,'2026年度培训主表'!N:N,D46,'2026年度培训主表'!D:D,F46,'2026年度培训主表'!L:L,"已签到")</f>
        <v>4</v>
      </c>
      <c r="I46" s="76">
        <f t="shared" si="0"/>
        <v>1</v>
      </c>
    </row>
    <row r="47" ht="16.5" spans="1:9">
      <c r="A47" s="12">
        <v>45</v>
      </c>
      <c r="B47" s="46" t="s">
        <v>23</v>
      </c>
      <c r="C47" s="46" t="s">
        <v>37</v>
      </c>
      <c r="D47" s="46" t="s">
        <v>152</v>
      </c>
      <c r="E47" s="12" t="s">
        <v>451</v>
      </c>
      <c r="F47" s="7" t="s">
        <v>30</v>
      </c>
      <c r="G47" s="12">
        <f>COUNTIFS('2026年度培训主表'!B:B,B47,'2026年度培训主表'!C:C,C47,'2026年度培训主表'!N:N,D47,'2026年度培训主表'!D:D,F47)</f>
        <v>8</v>
      </c>
      <c r="H47" s="12">
        <f>COUNTIFS('2026年度培训主表'!B:B,B47,'2026年度培训主表'!C:C,C47,'2026年度培训主表'!N:N,D47,'2026年度培训主表'!D:D,F47,'2026年度培训主表'!L:L,"已签到")</f>
        <v>8</v>
      </c>
      <c r="I47" s="76">
        <f t="shared" si="0"/>
        <v>1</v>
      </c>
    </row>
    <row r="48" ht="16.5" spans="1:9">
      <c r="A48" s="12">
        <v>46</v>
      </c>
      <c r="B48" s="46" t="s">
        <v>23</v>
      </c>
      <c r="C48" s="46" t="s">
        <v>38</v>
      </c>
      <c r="D48" s="46" t="s">
        <v>70</v>
      </c>
      <c r="E48" s="12" t="s">
        <v>82</v>
      </c>
      <c r="F48" s="7" t="s">
        <v>28</v>
      </c>
      <c r="G48" s="12">
        <f>COUNTIFS('2026年度培训主表'!B:B,B48,'2026年度培训主表'!C:C,C48,'2026年度培训主表'!N:N,D48,'2026年度培训主表'!D:D,F48)</f>
        <v>2</v>
      </c>
      <c r="H48" s="12">
        <f>COUNTIFS('2026年度培训主表'!B:B,B48,'2026年度培训主表'!C:C,C48,'2026年度培训主表'!N:N,D48,'2026年度培训主表'!D:D,F48,'2026年度培训主表'!L:L,"已签到")</f>
        <v>2</v>
      </c>
      <c r="I48" s="76">
        <f t="shared" si="0"/>
        <v>1</v>
      </c>
    </row>
    <row r="49" ht="16.5" spans="1:9">
      <c r="A49" s="12">
        <v>47</v>
      </c>
      <c r="B49" s="46" t="s">
        <v>23</v>
      </c>
      <c r="C49" s="46" t="s">
        <v>38</v>
      </c>
      <c r="D49" s="46" t="s">
        <v>75</v>
      </c>
      <c r="E49" s="12" t="s">
        <v>407</v>
      </c>
      <c r="F49" s="7" t="s">
        <v>28</v>
      </c>
      <c r="G49" s="12">
        <f>COUNTIFS('2026年度培训主表'!B:B,B49,'2026年度培训主表'!C:C,C49,'2026年度培训主表'!N:N,D49,'2026年度培训主表'!D:D,F49)</f>
        <v>2</v>
      </c>
      <c r="H49" s="12">
        <f>COUNTIFS('2026年度培训主表'!B:B,B49,'2026年度培训主表'!C:C,C49,'2026年度培训主表'!N:N,D49,'2026年度培训主表'!D:D,F49,'2026年度培训主表'!L:L,"已签到")</f>
        <v>2</v>
      </c>
      <c r="I49" s="76">
        <f t="shared" si="0"/>
        <v>1</v>
      </c>
    </row>
    <row r="50" ht="16.5" spans="1:9">
      <c r="A50" s="12">
        <v>48</v>
      </c>
      <c r="B50" s="46" t="s">
        <v>23</v>
      </c>
      <c r="C50" s="46" t="s">
        <v>38</v>
      </c>
      <c r="D50" s="46" t="s">
        <v>148</v>
      </c>
      <c r="E50" s="12" t="s">
        <v>364</v>
      </c>
      <c r="F50" s="7" t="s">
        <v>28</v>
      </c>
      <c r="G50" s="12">
        <f>COUNTIFS('2026年度培训主表'!B:B,B50,'2026年度培训主表'!C:C,C50,'2026年度培训主表'!N:N,D50,'2026年度培训主表'!D:D,F50)</f>
        <v>1</v>
      </c>
      <c r="H50" s="12">
        <f>COUNTIFS('2026年度培训主表'!B:B,B50,'2026年度培训主表'!C:C,C50,'2026年度培训主表'!N:N,D50,'2026年度培训主表'!D:D,F50,'2026年度培训主表'!L:L,"已签到")</f>
        <v>1</v>
      </c>
      <c r="I50" s="76">
        <f t="shared" si="0"/>
        <v>1</v>
      </c>
    </row>
    <row r="51" ht="16.5" spans="1:9">
      <c r="A51" s="12">
        <v>49</v>
      </c>
      <c r="B51" s="46" t="s">
        <v>23</v>
      </c>
      <c r="C51" s="46" t="s">
        <v>38</v>
      </c>
      <c r="D51" s="46" t="s">
        <v>220</v>
      </c>
      <c r="E51" s="12" t="s">
        <v>427</v>
      </c>
      <c r="F51" s="7" t="s">
        <v>28</v>
      </c>
      <c r="G51" s="12">
        <f>COUNTIFS('2026年度培训主表'!B:B,B51,'2026年度培训主表'!C:C,C51,'2026年度培训主表'!N:N,D51,'2026年度培训主表'!D:D,F51)</f>
        <v>2</v>
      </c>
      <c r="H51" s="12">
        <f>COUNTIFS('2026年度培训主表'!B:B,B51,'2026年度培训主表'!C:C,C51,'2026年度培训主表'!N:N,D51,'2026年度培训主表'!D:D,F51,'2026年度培训主表'!L:L,"已签到")</f>
        <v>2</v>
      </c>
      <c r="I51" s="76">
        <f t="shared" si="0"/>
        <v>1</v>
      </c>
    </row>
    <row r="52" ht="16.5" spans="1:9">
      <c r="A52" s="12">
        <v>50</v>
      </c>
      <c r="B52" s="46" t="s">
        <v>23</v>
      </c>
      <c r="C52" s="46" t="s">
        <v>38</v>
      </c>
      <c r="D52" s="46" t="s">
        <v>144</v>
      </c>
      <c r="E52" s="12" t="s">
        <v>155</v>
      </c>
      <c r="F52" s="7" t="s">
        <v>28</v>
      </c>
      <c r="G52" s="12">
        <f>COUNTIFS('2026年度培训主表'!B:B,B52,'2026年度培训主表'!C:C,C52,'2026年度培训主表'!N:N,D52,'2026年度培训主表'!D:D,F52)</f>
        <v>1</v>
      </c>
      <c r="H52" s="12">
        <f>COUNTIFS('2026年度培训主表'!B:B,B52,'2026年度培训主表'!C:C,C52,'2026年度培训主表'!N:N,D52,'2026年度培训主表'!D:D,F52,'2026年度培训主表'!L:L,"已签到")</f>
        <v>1</v>
      </c>
      <c r="I52" s="76">
        <f t="shared" si="0"/>
        <v>1</v>
      </c>
    </row>
    <row r="53" ht="16.5" spans="1:9">
      <c r="A53" s="12">
        <v>51</v>
      </c>
      <c r="B53" s="46" t="s">
        <v>23</v>
      </c>
      <c r="C53" s="46" t="s">
        <v>38</v>
      </c>
      <c r="D53" s="46" t="s">
        <v>168</v>
      </c>
      <c r="E53" s="12" t="s">
        <v>322</v>
      </c>
      <c r="F53" s="7" t="s">
        <v>28</v>
      </c>
      <c r="G53" s="12">
        <f>COUNTIFS('2026年度培训主表'!B:B,B53,'2026年度培训主表'!C:C,C53,'2026年度培训主表'!N:N,D53,'2026年度培训主表'!D:D,F53)</f>
        <v>2</v>
      </c>
      <c r="H53" s="12">
        <f>COUNTIFS('2026年度培训主表'!B:B,B53,'2026年度培训主表'!C:C,C53,'2026年度培训主表'!N:N,D53,'2026年度培训主表'!D:D,F53,'2026年度培训主表'!L:L,"已签到")</f>
        <v>2</v>
      </c>
      <c r="I53" s="76">
        <f t="shared" si="0"/>
        <v>1</v>
      </c>
    </row>
    <row r="54" ht="16.5" spans="1:9">
      <c r="A54" s="12">
        <v>52</v>
      </c>
      <c r="B54" s="46" t="s">
        <v>23</v>
      </c>
      <c r="C54" s="46" t="s">
        <v>38</v>
      </c>
      <c r="D54" s="46" t="s">
        <v>63</v>
      </c>
      <c r="E54" s="12" t="s">
        <v>129</v>
      </c>
      <c r="F54" s="7" t="s">
        <v>28</v>
      </c>
      <c r="G54" s="12">
        <f>COUNTIFS('2026年度培训主表'!B:B,B54,'2026年度培训主表'!C:C,C54,'2026年度培训主表'!N:N,D54,'2026年度培训主表'!D:D,F54)</f>
        <v>1</v>
      </c>
      <c r="H54" s="12">
        <f>COUNTIFS('2026年度培训主表'!B:B,B54,'2026年度培训主表'!C:C,C54,'2026年度培训主表'!N:N,D54,'2026年度培训主表'!D:D,F54,'2026年度培训主表'!L:L,"已签到")</f>
        <v>1</v>
      </c>
      <c r="I54" s="76">
        <f t="shared" si="0"/>
        <v>1</v>
      </c>
    </row>
    <row r="55" ht="16.5" spans="1:9">
      <c r="A55" s="12">
        <v>53</v>
      </c>
      <c r="B55" s="46" t="s">
        <v>23</v>
      </c>
      <c r="C55" s="46" t="s">
        <v>37</v>
      </c>
      <c r="D55" s="46" t="s">
        <v>109</v>
      </c>
      <c r="E55" s="12" t="s">
        <v>108</v>
      </c>
      <c r="F55" s="7" t="s">
        <v>28</v>
      </c>
      <c r="G55" s="12">
        <f>COUNTIFS('2026年度培训主表'!B:B,B55,'2026年度培训主表'!C:C,C55,'2026年度培训主表'!N:N,D55,'2026年度培训主表'!D:D,F55)</f>
        <v>2</v>
      </c>
      <c r="H55" s="12">
        <f>COUNTIFS('2026年度培训主表'!B:B,B55,'2026年度培训主表'!C:C,C55,'2026年度培训主表'!N:N,D55,'2026年度培训主表'!D:D,F55,'2026年度培训主表'!L:L,"已签到")</f>
        <v>2</v>
      </c>
      <c r="I55" s="76">
        <f t="shared" si="0"/>
        <v>1</v>
      </c>
    </row>
    <row r="56" ht="16.5" spans="1:9">
      <c r="A56" s="12">
        <v>54</v>
      </c>
      <c r="B56" s="46" t="s">
        <v>23</v>
      </c>
      <c r="C56" s="46" t="s">
        <v>37</v>
      </c>
      <c r="D56" s="46" t="s">
        <v>152</v>
      </c>
      <c r="E56" s="12" t="s">
        <v>451</v>
      </c>
      <c r="F56" s="7" t="s">
        <v>28</v>
      </c>
      <c r="G56" s="12">
        <f>COUNTIFS('2026年度培训主表'!B:B,B56,'2026年度培训主表'!C:C,C56,'2026年度培训主表'!N:N,D56,'2026年度培训主表'!D:D,F56)</f>
        <v>2</v>
      </c>
      <c r="H56" s="12">
        <f>COUNTIFS('2026年度培训主表'!B:B,B56,'2026年度培训主表'!C:C,C56,'2026年度培训主表'!N:N,D56,'2026年度培训主表'!D:D,F56,'2026年度培训主表'!L:L,"已签到")</f>
        <v>2</v>
      </c>
      <c r="I56" s="76">
        <f t="shared" si="0"/>
        <v>1</v>
      </c>
    </row>
    <row r="57" ht="16.5" spans="1:9">
      <c r="A57" s="12">
        <v>55</v>
      </c>
      <c r="B57" s="46" t="s">
        <v>23</v>
      </c>
      <c r="C57" s="46" t="s">
        <v>36</v>
      </c>
      <c r="D57" s="46" t="s">
        <v>173</v>
      </c>
      <c r="E57" s="12" t="s">
        <v>433</v>
      </c>
      <c r="F57" s="7" t="s">
        <v>28</v>
      </c>
      <c r="G57" s="12">
        <f>COUNTIFS('2026年度培训主表'!B:B,B57,'2026年度培训主表'!C:C,C57,'2026年度培训主表'!N:N,D57,'2026年度培训主表'!D:D,F57)</f>
        <v>3</v>
      </c>
      <c r="H57" s="12">
        <f>COUNTIFS('2026年度培训主表'!B:B,B57,'2026年度培训主表'!C:C,C57,'2026年度培训主表'!N:N,D57,'2026年度培训主表'!D:D,F57,'2026年度培训主表'!L:L,"已签到")</f>
        <v>3</v>
      </c>
      <c r="I57" s="76">
        <f t="shared" si="0"/>
        <v>1</v>
      </c>
    </row>
    <row r="58" ht="16.5" spans="1:9">
      <c r="A58" s="12">
        <v>56</v>
      </c>
      <c r="B58" s="46" t="s">
        <v>23</v>
      </c>
      <c r="C58" s="46" t="s">
        <v>35</v>
      </c>
      <c r="D58" s="46" t="s">
        <v>125</v>
      </c>
      <c r="E58" s="12" t="s">
        <v>1152</v>
      </c>
      <c r="F58" s="7" t="s">
        <v>28</v>
      </c>
      <c r="G58" s="12">
        <f>COUNTIFS('2026年度培训主表'!B:B,B58,'2026年度培训主表'!C:C,C58,'2026年度培训主表'!N:N,D58,'2026年度培训主表'!D:D,F58)</f>
        <v>3</v>
      </c>
      <c r="H58" s="12">
        <f>COUNTIFS('2026年度培训主表'!B:B,B58,'2026年度培训主表'!C:C,C58,'2026年度培训主表'!N:N,D58,'2026年度培训主表'!D:D,F58,'2026年度培训主表'!L:L,"已签到")</f>
        <v>3</v>
      </c>
      <c r="I58" s="76">
        <f t="shared" si="0"/>
        <v>1</v>
      </c>
    </row>
    <row r="59" ht="16.5" spans="1:9">
      <c r="A59" s="12">
        <v>57</v>
      </c>
      <c r="B59" s="46" t="s">
        <v>23</v>
      </c>
      <c r="C59" s="46" t="s">
        <v>33</v>
      </c>
      <c r="D59" s="46" t="s">
        <v>537</v>
      </c>
      <c r="E59" s="12" t="s">
        <v>1383</v>
      </c>
      <c r="F59" s="7" t="s">
        <v>28</v>
      </c>
      <c r="G59" s="12">
        <f>COUNTIFS('2026年度培训主表'!B:B,B59,'2026年度培训主表'!C:C,C59,'2026年度培训主表'!N:N,D59,'2026年度培训主表'!D:D,F59)</f>
        <v>2</v>
      </c>
      <c r="H59" s="12">
        <f>COUNTIFS('2026年度培训主表'!B:B,B59,'2026年度培训主表'!C:C,C59,'2026年度培训主表'!N:N,D59,'2026年度培训主表'!D:D,F59,'2026年度培训主表'!L:L,"已签到")</f>
        <v>2</v>
      </c>
      <c r="I59" s="76">
        <f t="shared" si="0"/>
        <v>1</v>
      </c>
    </row>
    <row r="60" ht="16.5" spans="1:9">
      <c r="A60" s="12">
        <v>58</v>
      </c>
      <c r="B60" s="46" t="s">
        <v>23</v>
      </c>
      <c r="C60" s="46" t="s">
        <v>32</v>
      </c>
      <c r="D60" s="46" t="s">
        <v>105</v>
      </c>
      <c r="E60" s="12" t="s">
        <v>179</v>
      </c>
      <c r="F60" s="7" t="s">
        <v>28</v>
      </c>
      <c r="G60" s="12">
        <f>COUNTIFS('2026年度培训主表'!B:B,B60,'2026年度培训主表'!C:C,C60,'2026年度培训主表'!N:N,D60,'2026年度培训主表'!D:D,F60)</f>
        <v>4</v>
      </c>
      <c r="H60" s="12">
        <f>COUNTIFS('2026年度培训主表'!B:B,B60,'2026年度培训主表'!C:C,C60,'2026年度培训主表'!N:N,D60,'2026年度培训主表'!D:D,F60,'2026年度培训主表'!L:L,"已签到")</f>
        <v>4</v>
      </c>
      <c r="I60" s="76">
        <f t="shared" si="0"/>
        <v>1</v>
      </c>
    </row>
    <row r="61" ht="16.5" spans="1:9">
      <c r="A61" s="12">
        <v>59</v>
      </c>
      <c r="B61" s="46" t="s">
        <v>23</v>
      </c>
      <c r="C61" s="46" t="s">
        <v>31</v>
      </c>
      <c r="D61" s="46" t="s">
        <v>90</v>
      </c>
      <c r="E61" s="12" t="s">
        <v>89</v>
      </c>
      <c r="F61" s="7" t="s">
        <v>28</v>
      </c>
      <c r="G61" s="12">
        <f>COUNTIFS('2026年度培训主表'!B:B,B61,'2026年度培训主表'!C:C,C61,'2026年度培训主表'!N:N,D61,'2026年度培训主表'!D:D,F61)</f>
        <v>1</v>
      </c>
      <c r="H61" s="12">
        <f>COUNTIFS('2026年度培训主表'!B:B,B61,'2026年度培训主表'!C:C,C61,'2026年度培训主表'!N:N,D61,'2026年度培训主表'!D:D,F61,'2026年度培训主表'!L:L,"已签到")</f>
        <v>1</v>
      </c>
      <c r="I61" s="76">
        <f t="shared" si="0"/>
        <v>1</v>
      </c>
    </row>
    <row r="62" ht="16.5" spans="1:9">
      <c r="A62" s="12">
        <v>60</v>
      </c>
      <c r="B62" s="46" t="s">
        <v>23</v>
      </c>
      <c r="C62" s="46" t="s">
        <v>31</v>
      </c>
      <c r="D62" s="46" t="s">
        <v>79</v>
      </c>
      <c r="E62" s="12" t="s">
        <v>189</v>
      </c>
      <c r="F62" s="7" t="s">
        <v>28</v>
      </c>
      <c r="G62" s="12">
        <f>COUNTIFS('2026年度培训主表'!B:B,B62,'2026年度培训主表'!C:C,C62,'2026年度培训主表'!N:N,D62,'2026年度培训主表'!D:D,F62)</f>
        <v>2</v>
      </c>
      <c r="H62" s="12">
        <f>COUNTIFS('2026年度培训主表'!B:B,B62,'2026年度培训主表'!C:C,C62,'2026年度培训主表'!N:N,D62,'2026年度培训主表'!D:D,F62,'2026年度培训主表'!L:L,"已签到")</f>
        <v>2</v>
      </c>
      <c r="I62" s="76">
        <f t="shared" si="0"/>
        <v>1</v>
      </c>
    </row>
    <row r="63" ht="16.5" spans="1:9">
      <c r="A63" s="12">
        <v>61</v>
      </c>
      <c r="B63" s="46" t="s">
        <v>23</v>
      </c>
      <c r="C63" s="46" t="s">
        <v>29</v>
      </c>
      <c r="D63" s="46" t="s">
        <v>130</v>
      </c>
      <c r="E63" s="12" t="s">
        <v>380</v>
      </c>
      <c r="F63" s="7" t="s">
        <v>28</v>
      </c>
      <c r="G63" s="12">
        <f>COUNTIFS('2026年度培训主表'!B:B,B63,'2026年度培训主表'!C:C,C63,'2026年度培训主表'!N:N,D63,'2026年度培训主表'!D:D,F63)</f>
        <v>3</v>
      </c>
      <c r="H63" s="12">
        <f>COUNTIFS('2026年度培训主表'!B:B,B63,'2026年度培训主表'!C:C,C63,'2026年度培训主表'!N:N,D63,'2026年度培训主表'!D:D,F63,'2026年度培训主表'!L:L,"已签到")</f>
        <v>3</v>
      </c>
      <c r="I63" s="76">
        <f t="shared" si="0"/>
        <v>1</v>
      </c>
    </row>
    <row r="64" ht="16.5" spans="1:9">
      <c r="A64" s="12">
        <v>62</v>
      </c>
      <c r="B64" s="46" t="s">
        <v>23</v>
      </c>
      <c r="C64" s="46" t="s">
        <v>26</v>
      </c>
      <c r="D64" s="46" t="s">
        <v>121</v>
      </c>
      <c r="E64" s="12" t="s">
        <v>385</v>
      </c>
      <c r="F64" s="7" t="s">
        <v>28</v>
      </c>
      <c r="G64" s="12">
        <f>COUNTIFS('2026年度培训主表'!B:B,B64,'2026年度培训主表'!C:C,C64,'2026年度培训主表'!N:N,D64,'2026年度培训主表'!D:D,F64)</f>
        <v>2</v>
      </c>
      <c r="H64" s="12">
        <f>COUNTIFS('2026年度培训主表'!B:B,B64,'2026年度培训主表'!C:C,C64,'2026年度培训主表'!N:N,D64,'2026年度培训主表'!D:D,F64,'2026年度培训主表'!L:L,"已签到")</f>
        <v>2</v>
      </c>
      <c r="I64" s="76">
        <f t="shared" si="0"/>
        <v>1</v>
      </c>
    </row>
    <row r="65" ht="16.5" spans="1:9">
      <c r="A65" s="12">
        <v>63</v>
      </c>
      <c r="B65" s="46" t="s">
        <v>39</v>
      </c>
      <c r="C65" s="46" t="s">
        <v>38</v>
      </c>
      <c r="D65" s="46" t="s">
        <v>63</v>
      </c>
      <c r="E65" s="12" t="s">
        <v>129</v>
      </c>
      <c r="F65" s="46" t="s">
        <v>1348</v>
      </c>
      <c r="G65" s="12">
        <f>COUNTIFS('2026年度培训主表'!B:B,B65,'2026年度培训主表'!C:C,C65,'2026年度培训主表'!N:N,D65,'2026年度培训主表'!D:D,F65)</f>
        <v>4</v>
      </c>
      <c r="H65" s="12">
        <f>COUNTIFS('2026年度培训主表'!B:B,B65,'2026年度培训主表'!N:N,D65,'2026年度培训主表'!L:L,"已签到")</f>
        <v>4</v>
      </c>
      <c r="I65" s="97">
        <f t="shared" si="0"/>
        <v>1</v>
      </c>
    </row>
    <row r="66" ht="16.5" spans="1:9">
      <c r="A66" s="12">
        <v>64</v>
      </c>
      <c r="B66" s="46" t="s">
        <v>39</v>
      </c>
      <c r="C66" s="46" t="s">
        <v>32</v>
      </c>
      <c r="D66" s="46" t="s">
        <v>105</v>
      </c>
      <c r="E66" s="12" t="s">
        <v>179</v>
      </c>
      <c r="F66" s="46" t="s">
        <v>1348</v>
      </c>
      <c r="G66" s="12">
        <f>COUNTIFS('2026年度培训主表'!B:B,B66,'2026年度培训主表'!C:C,C66,'2026年度培训主表'!N:N,D66,'2026年度培训主表'!D:D,F66)</f>
        <v>6</v>
      </c>
      <c r="H66" s="12">
        <f>COUNTIFS('2026年度培训主表'!B:B,B66,'2026年度培训主表'!N:N,D66,'2026年度培训主表'!L:L,"已签到")</f>
        <v>6</v>
      </c>
      <c r="I66" s="97">
        <f t="shared" si="0"/>
        <v>1</v>
      </c>
    </row>
    <row r="67" ht="16.5" spans="1:9">
      <c r="A67" s="12">
        <v>65</v>
      </c>
      <c r="B67" s="46" t="s">
        <v>39</v>
      </c>
      <c r="C67" s="46" t="s">
        <v>37</v>
      </c>
      <c r="D67" s="46" t="s">
        <v>109</v>
      </c>
      <c r="E67" s="12" t="s">
        <v>108</v>
      </c>
      <c r="F67" s="46" t="s">
        <v>1348</v>
      </c>
      <c r="G67" s="12">
        <f>COUNTIFS('2026年度培训主表'!B:B,B67,'2026年度培训主表'!C:C,C67,'2026年度培训主表'!N:N,D67,'2026年度培训主表'!D:D,F67)</f>
        <v>2</v>
      </c>
      <c r="H67" s="12">
        <f>COUNTIFS('2026年度培训主表'!B:B,B67,'2026年度培训主表'!N:N,D67,'2026年度培训主表'!L:L,"已签到")</f>
        <v>2</v>
      </c>
      <c r="I67" s="97">
        <f t="shared" ref="I67:I96" si="1">H67/G67</f>
        <v>1</v>
      </c>
    </row>
    <row r="68" ht="16.5" spans="1:9">
      <c r="A68" s="12">
        <v>66</v>
      </c>
      <c r="B68" s="46" t="s">
        <v>39</v>
      </c>
      <c r="C68" s="46" t="s">
        <v>38</v>
      </c>
      <c r="D68" s="46" t="s">
        <v>168</v>
      </c>
      <c r="E68" s="12" t="s">
        <v>322</v>
      </c>
      <c r="F68" s="46" t="s">
        <v>1348</v>
      </c>
      <c r="G68" s="12">
        <f>COUNTIFS('2026年度培训主表'!B:B,B68,'2026年度培训主表'!C:C,C68,'2026年度培训主表'!N:N,D68,'2026年度培训主表'!D:D,F68)</f>
        <v>2</v>
      </c>
      <c r="H68" s="12">
        <f>COUNTIFS('2026年度培训主表'!B:B,B68,'2026年度培训主表'!N:N,D68,'2026年度培训主表'!L:L,"已签到")</f>
        <v>2</v>
      </c>
      <c r="I68" s="97">
        <f t="shared" si="1"/>
        <v>1</v>
      </c>
    </row>
    <row r="69" ht="16.5" spans="1:9">
      <c r="A69" s="12">
        <v>67</v>
      </c>
      <c r="B69" s="46" t="s">
        <v>39</v>
      </c>
      <c r="C69" s="46" t="s">
        <v>38</v>
      </c>
      <c r="D69" s="46" t="s">
        <v>148</v>
      </c>
      <c r="E69" s="12" t="s">
        <v>364</v>
      </c>
      <c r="F69" s="46" t="s">
        <v>1348</v>
      </c>
      <c r="G69" s="12">
        <f>COUNTIFS('2026年度培训主表'!B:B,B69,'2026年度培训主表'!C:C,C69,'2026年度培训主表'!N:N,D69,'2026年度培训主表'!D:D,F69)</f>
        <v>4</v>
      </c>
      <c r="H69" s="12">
        <f>COUNTIFS('2026年度培训主表'!B:B,B69,'2026年度培训主表'!N:N,D69,'2026年度培训主表'!L:L,"已签到")</f>
        <v>4</v>
      </c>
      <c r="I69" s="97">
        <f t="shared" si="1"/>
        <v>1</v>
      </c>
    </row>
    <row r="70" ht="16.5" spans="1:9">
      <c r="A70" s="12">
        <v>68</v>
      </c>
      <c r="B70" s="46" t="s">
        <v>39</v>
      </c>
      <c r="C70" s="46" t="s">
        <v>38</v>
      </c>
      <c r="D70" s="46" t="s">
        <v>220</v>
      </c>
      <c r="E70" s="12" t="s">
        <v>427</v>
      </c>
      <c r="F70" s="46" t="s">
        <v>1348</v>
      </c>
      <c r="G70" s="12">
        <f>COUNTIFS('2026年度培训主表'!B:B,B70,'2026年度培训主表'!C:C,C70,'2026年度培训主表'!N:N,D70,'2026年度培训主表'!D:D,F70)</f>
        <v>2</v>
      </c>
      <c r="H70" s="12">
        <f>COUNTIFS('2026年度培训主表'!B:B,B70,'2026年度培训主表'!N:N,D70,'2026年度培训主表'!L:L,"已签到")</f>
        <v>2</v>
      </c>
      <c r="I70" s="97">
        <f t="shared" si="1"/>
        <v>1</v>
      </c>
    </row>
    <row r="71" ht="16.5" spans="1:9">
      <c r="A71" s="12">
        <v>69</v>
      </c>
      <c r="B71" s="46" t="s">
        <v>39</v>
      </c>
      <c r="C71" s="46" t="s">
        <v>29</v>
      </c>
      <c r="D71" s="46" t="s">
        <v>130</v>
      </c>
      <c r="E71" s="12" t="s">
        <v>380</v>
      </c>
      <c r="F71" s="46" t="s">
        <v>1348</v>
      </c>
      <c r="G71" s="12">
        <f>COUNTIFS('2026年度培训主表'!B:B,B71,'2026年度培训主表'!C:C,C71,'2026年度培训主表'!N:N,D71,'2026年度培训主表'!D:D,F71)</f>
        <v>2</v>
      </c>
      <c r="H71" s="12">
        <f>COUNTIFS('2026年度培训主表'!B:B,B71,'2026年度培训主表'!N:N,D71,'2026年度培训主表'!L:L,"已签到")</f>
        <v>2</v>
      </c>
      <c r="I71" s="97">
        <f t="shared" si="1"/>
        <v>1</v>
      </c>
    </row>
    <row r="72" ht="16.5" spans="1:9">
      <c r="A72" s="12">
        <v>70</v>
      </c>
      <c r="B72" s="46" t="s">
        <v>39</v>
      </c>
      <c r="C72" s="46" t="s">
        <v>38</v>
      </c>
      <c r="D72" s="46" t="s">
        <v>70</v>
      </c>
      <c r="E72" s="12" t="s">
        <v>82</v>
      </c>
      <c r="F72" s="46" t="s">
        <v>1348</v>
      </c>
      <c r="G72" s="12">
        <f>COUNTIFS('2026年度培训主表'!B:B,B72,'2026年度培训主表'!C:C,C72,'2026年度培训主表'!N:N,D72,'2026年度培训主表'!D:D,F72)</f>
        <v>4</v>
      </c>
      <c r="H72" s="12">
        <f>COUNTIFS('2026年度培训主表'!B:B,B72,'2026年度培训主表'!N:N,D72,'2026年度培训主表'!L:L,"已签到")</f>
        <v>4</v>
      </c>
      <c r="I72" s="97">
        <f t="shared" si="1"/>
        <v>1</v>
      </c>
    </row>
    <row r="73" ht="16.5" spans="1:9">
      <c r="A73" s="12">
        <v>71</v>
      </c>
      <c r="B73" s="46" t="s">
        <v>39</v>
      </c>
      <c r="C73" s="46" t="s">
        <v>38</v>
      </c>
      <c r="D73" s="46" t="s">
        <v>75</v>
      </c>
      <c r="E73" s="12" t="s">
        <v>407</v>
      </c>
      <c r="F73" s="46" t="s">
        <v>1348</v>
      </c>
      <c r="G73" s="12">
        <f>COUNTIFS('2026年度培训主表'!B:B,B73,'2026年度培训主表'!C:C,C73,'2026年度培训主表'!N:N,D73,'2026年度培训主表'!D:D,F73)</f>
        <v>2</v>
      </c>
      <c r="H73" s="12">
        <f>COUNTIFS('2026年度培训主表'!B:B,B73,'2026年度培训主表'!N:N,D73,'2026年度培训主表'!L:L,"已签到")</f>
        <v>2</v>
      </c>
      <c r="I73" s="97">
        <f t="shared" si="1"/>
        <v>1</v>
      </c>
    </row>
    <row r="74" ht="16.5" spans="1:9">
      <c r="A74" s="12">
        <v>72</v>
      </c>
      <c r="B74" s="46" t="s">
        <v>39</v>
      </c>
      <c r="C74" s="46" t="s">
        <v>31</v>
      </c>
      <c r="D74" s="46" t="s">
        <v>90</v>
      </c>
      <c r="E74" s="12" t="s">
        <v>89</v>
      </c>
      <c r="F74" s="46" t="s">
        <v>1348</v>
      </c>
      <c r="G74" s="12">
        <f>COUNTIFS('2026年度培训主表'!B:B,B74,'2026年度培训主表'!C:C,C74,'2026年度培训主表'!N:N,D74,'2026年度培训主表'!D:D,F74)</f>
        <v>2</v>
      </c>
      <c r="H74" s="12">
        <f>COUNTIFS('2026年度培训主表'!B:B,B74,'2026年度培训主表'!N:N,D74,'2026年度培训主表'!L:L,"已签到")</f>
        <v>2</v>
      </c>
      <c r="I74" s="97">
        <f t="shared" si="1"/>
        <v>1</v>
      </c>
    </row>
    <row r="75" ht="16.5" spans="1:9">
      <c r="A75" s="12">
        <v>74</v>
      </c>
      <c r="B75" s="46" t="s">
        <v>39</v>
      </c>
      <c r="C75" s="46" t="s">
        <v>35</v>
      </c>
      <c r="D75" s="46" t="s">
        <v>125</v>
      </c>
      <c r="E75" s="12" t="s">
        <v>1152</v>
      </c>
      <c r="F75" s="46" t="s">
        <v>1348</v>
      </c>
      <c r="G75" s="12">
        <f>COUNTIFS('2026年度培训主表'!B:B,B75,'2026年度培训主表'!C:C,C75,'2026年度培训主表'!N:N,D75,'2026年度培训主表'!D:D,F75)</f>
        <v>6</v>
      </c>
      <c r="H75" s="12">
        <f>COUNTIFS('2026年度培训主表'!B:B,B75,'2026年度培训主表'!N:N,D75,'2026年度培训主表'!L:L,"已签到")</f>
        <v>6</v>
      </c>
      <c r="I75" s="97">
        <f t="shared" si="1"/>
        <v>1</v>
      </c>
    </row>
    <row r="76" ht="16.5" spans="1:9">
      <c r="A76" s="12">
        <v>76</v>
      </c>
      <c r="B76" s="46" t="s">
        <v>39</v>
      </c>
      <c r="C76" s="46" t="s">
        <v>31</v>
      </c>
      <c r="D76" s="46" t="s">
        <v>79</v>
      </c>
      <c r="E76" s="12" t="s">
        <v>189</v>
      </c>
      <c r="F76" s="46" t="s">
        <v>1348</v>
      </c>
      <c r="G76" s="12">
        <f>COUNTIFS('2026年度培训主表'!B:B,B76,'2026年度培训主表'!C:C,C76,'2026年度培训主表'!N:N,D76,'2026年度培训主表'!D:D,F76)</f>
        <v>4</v>
      </c>
      <c r="H76" s="12">
        <f>COUNTIFS('2026年度培训主表'!B:B,B76,'2026年度培训主表'!N:N,D76,'2026年度培训主表'!L:L,"已签到")</f>
        <v>4</v>
      </c>
      <c r="I76" s="97">
        <f t="shared" si="1"/>
        <v>1</v>
      </c>
    </row>
    <row r="77" ht="16.5" spans="1:9">
      <c r="A77" s="12">
        <v>77</v>
      </c>
      <c r="B77" s="46" t="s">
        <v>39</v>
      </c>
      <c r="C77" s="46" t="s">
        <v>38</v>
      </c>
      <c r="D77" s="46" t="s">
        <v>144</v>
      </c>
      <c r="E77" s="12" t="s">
        <v>155</v>
      </c>
      <c r="F77" s="46" t="s">
        <v>1348</v>
      </c>
      <c r="G77" s="12">
        <f>COUNTIFS('2026年度培训主表'!B:B,B77,'2026年度培训主表'!C:C,C77,'2026年度培训主表'!N:N,D77,'2026年度培训主表'!D:D,F77)</f>
        <v>2</v>
      </c>
      <c r="H77" s="12">
        <f>COUNTIFS('2026年度培训主表'!B:B,B77,'2026年度培训主表'!N:N,D77,'2026年度培训主表'!L:L,"已签到")</f>
        <v>2</v>
      </c>
      <c r="I77" s="97">
        <f t="shared" si="1"/>
        <v>1</v>
      </c>
    </row>
    <row r="78" ht="16.5" spans="1:9">
      <c r="A78" s="12">
        <v>78</v>
      </c>
      <c r="B78" s="46" t="s">
        <v>39</v>
      </c>
      <c r="C78" s="46" t="s">
        <v>26</v>
      </c>
      <c r="D78" s="46" t="s">
        <v>121</v>
      </c>
      <c r="E78" s="12" t="s">
        <v>385</v>
      </c>
      <c r="F78" s="46" t="s">
        <v>1348</v>
      </c>
      <c r="G78" s="12">
        <f>COUNTIFS('2026年度培训主表'!B:B,B78,'2026年度培训主表'!C:C,C78,'2026年度培训主表'!N:N,D78,'2026年度培训主表'!D:D,F78)</f>
        <v>2</v>
      </c>
      <c r="H78" s="12">
        <f>COUNTIFS('2026年度培训主表'!B:B,B78,'2026年度培训主表'!N:N,D78,'2026年度培训主表'!L:L,"已签到")</f>
        <v>2</v>
      </c>
      <c r="I78" s="97">
        <f t="shared" si="1"/>
        <v>1</v>
      </c>
    </row>
    <row r="79" ht="16.5" spans="1:9">
      <c r="A79" s="12">
        <v>79</v>
      </c>
      <c r="B79" s="46" t="s">
        <v>39</v>
      </c>
      <c r="C79" s="46" t="s">
        <v>38</v>
      </c>
      <c r="D79" s="46" t="s">
        <v>1329</v>
      </c>
      <c r="E79" s="12" t="s">
        <v>1572</v>
      </c>
      <c r="F79" s="46" t="s">
        <v>1348</v>
      </c>
      <c r="G79" s="12">
        <f>COUNTIFS('2026年度培训主表'!B:B,B79,'2026年度培训主表'!C:C,C79,'2026年度培训主表'!N:N,D79,'2026年度培训主表'!D:D,F79)</f>
        <v>0</v>
      </c>
      <c r="H79" s="12">
        <f>COUNTIFS('2026年度培训主表'!B:B,B79,'2026年度培训主表'!N:N,D79,'2026年度培训主表'!L:L,"已签到")</f>
        <v>20</v>
      </c>
      <c r="I79" s="97" t="e">
        <f t="shared" si="1"/>
        <v>#DIV/0!</v>
      </c>
    </row>
    <row r="80" ht="16.5" spans="1:9">
      <c r="A80" s="12">
        <v>81</v>
      </c>
      <c r="B80" s="46" t="s">
        <v>39</v>
      </c>
      <c r="C80" s="46" t="s">
        <v>43</v>
      </c>
      <c r="D80" s="46" t="s">
        <v>1380</v>
      </c>
      <c r="E80" s="12" t="s">
        <v>1379</v>
      </c>
      <c r="F80" s="46" t="s">
        <v>1348</v>
      </c>
      <c r="G80" s="12">
        <f>COUNTIFS('2026年度培训主表'!B:B,B80,'2026年度培训主表'!C:C,C80,'2026年度培训主表'!N:N,D80,'2026年度培训主表'!D:D,F80)</f>
        <v>2</v>
      </c>
      <c r="H80" s="12">
        <f>COUNTIFS('2026年度培训主表'!B:B,B80,'2026年度培训主表'!N:N,D80,'2026年度培训主表'!L:L,"已签到")</f>
        <v>2</v>
      </c>
      <c r="I80" s="97">
        <f t="shared" si="1"/>
        <v>1</v>
      </c>
    </row>
    <row r="81" ht="16.5" spans="1:9">
      <c r="A81" s="12">
        <v>82</v>
      </c>
      <c r="B81" s="46" t="s">
        <v>39</v>
      </c>
      <c r="C81" s="46" t="s">
        <v>24</v>
      </c>
      <c r="D81" s="46" t="s">
        <v>1359</v>
      </c>
      <c r="E81" s="12" t="s">
        <v>1358</v>
      </c>
      <c r="F81" s="46" t="s">
        <v>1348</v>
      </c>
      <c r="G81" s="12">
        <f>COUNTIFS('2026年度培训主表'!B:B,B81,'2026年度培训主表'!C:C,C81,'2026年度培训主表'!N:N,D81,'2026年度培训主表'!D:D,F81)</f>
        <v>2</v>
      </c>
      <c r="H81" s="12">
        <f>COUNTIFS('2026年度培训主表'!B:B,B81,'2026年度培训主表'!N:N,D81,'2026年度培训主表'!L:L,"已签到")</f>
        <v>2</v>
      </c>
      <c r="I81" s="97">
        <f t="shared" si="1"/>
        <v>1</v>
      </c>
    </row>
    <row r="82" ht="16.5" spans="1:9">
      <c r="A82" s="12">
        <v>84</v>
      </c>
      <c r="B82" s="46" t="s">
        <v>39</v>
      </c>
      <c r="C82" s="46" t="s">
        <v>29</v>
      </c>
      <c r="D82" s="46" t="s">
        <v>1377</v>
      </c>
      <c r="E82" s="12" t="s">
        <v>1376</v>
      </c>
      <c r="F82" s="46" t="s">
        <v>1348</v>
      </c>
      <c r="G82" s="12">
        <f>COUNTIFS('2026年度培训主表'!B:B,B82,'2026年度培训主表'!C:C,C82,'2026年度培训主表'!N:N,D82,'2026年度培训主表'!D:D,F82)</f>
        <v>2</v>
      </c>
      <c r="H82" s="12">
        <f>COUNTIFS('2026年度培训主表'!B:B,B82,'2026年度培训主表'!N:N,D82,'2026年度培训主表'!L:L,"已签到")</f>
        <v>2</v>
      </c>
      <c r="I82" s="97">
        <f t="shared" si="1"/>
        <v>1</v>
      </c>
    </row>
    <row r="83" ht="16.5" spans="1:9">
      <c r="A83" s="12">
        <v>85</v>
      </c>
      <c r="B83" s="46" t="s">
        <v>39</v>
      </c>
      <c r="C83" s="46" t="s">
        <v>32</v>
      </c>
      <c r="D83" s="46" t="s">
        <v>1370</v>
      </c>
      <c r="E83" s="12" t="s">
        <v>1378</v>
      </c>
      <c r="F83" s="46" t="s">
        <v>1348</v>
      </c>
      <c r="G83" s="12">
        <f>COUNTIFS('2026年度培训主表'!B:B,B83,'2026年度培训主表'!C:C,C83,'2026年度培训主表'!N:N,D83,'2026年度培训主表'!D:D,F83)</f>
        <v>2</v>
      </c>
      <c r="H83" s="12">
        <f>COUNTIFS('2026年度培训主表'!B:B,B83,'2026年度培训主表'!N:N,D83,'2026年度培训主表'!L:L,"已签到")</f>
        <v>2</v>
      </c>
      <c r="I83" s="97">
        <f t="shared" si="1"/>
        <v>1</v>
      </c>
    </row>
    <row r="84" ht="16.5" spans="1:9">
      <c r="A84" s="12">
        <v>86</v>
      </c>
      <c r="B84" s="46" t="s">
        <v>39</v>
      </c>
      <c r="C84" s="46" t="s">
        <v>33</v>
      </c>
      <c r="D84" s="46" t="s">
        <v>1384</v>
      </c>
      <c r="E84" s="12" t="s">
        <v>1383</v>
      </c>
      <c r="F84" s="46" t="s">
        <v>1348</v>
      </c>
      <c r="G84" s="12">
        <f>COUNTIFS('2026年度培训主表'!B:B,B84,'2026年度培训主表'!C:C,C84,'2026年度培训主表'!N:N,D84,'2026年度培训主表'!D:D,F84)</f>
        <v>2</v>
      </c>
      <c r="H84" s="12">
        <f>COUNTIFS('2026年度培训主表'!B:B,B84,'2026年度培训主表'!N:N,D84,'2026年度培训主表'!L:L,"已签到")</f>
        <v>2</v>
      </c>
      <c r="I84" s="97">
        <f t="shared" si="1"/>
        <v>1</v>
      </c>
    </row>
    <row r="85" ht="16.5" spans="1:9">
      <c r="A85" s="12">
        <v>87</v>
      </c>
      <c r="B85" s="46" t="s">
        <v>39</v>
      </c>
      <c r="C85" s="46" t="s">
        <v>34</v>
      </c>
      <c r="D85" s="46" t="s">
        <v>1365</v>
      </c>
      <c r="E85" s="12" t="s">
        <v>1364</v>
      </c>
      <c r="F85" s="46" t="s">
        <v>1348</v>
      </c>
      <c r="G85" s="12">
        <f>COUNTIFS('2026年度培训主表'!B:B,B85,'2026年度培训主表'!C:C,C85,'2026年度培训主表'!N:N,D85,'2026年度培训主表'!D:D,F85)</f>
        <v>2</v>
      </c>
      <c r="H85" s="12">
        <f>COUNTIFS('2026年度培训主表'!B:B,B85,'2026年度培训主表'!N:N,D85,'2026年度培训主表'!L:L,"已签到")</f>
        <v>2</v>
      </c>
      <c r="I85" s="97">
        <f t="shared" si="1"/>
        <v>1</v>
      </c>
    </row>
    <row r="86" ht="16.5" spans="1:9">
      <c r="A86" s="12">
        <v>88</v>
      </c>
      <c r="B86" s="46" t="s">
        <v>39</v>
      </c>
      <c r="C86" s="46" t="s">
        <v>35</v>
      </c>
      <c r="D86" s="46" t="s">
        <v>1373</v>
      </c>
      <c r="E86" s="12" t="s">
        <v>1372</v>
      </c>
      <c r="F86" s="46" t="s">
        <v>1348</v>
      </c>
      <c r="G86" s="12">
        <f>COUNTIFS('2026年度培训主表'!B:B,B86,'2026年度培训主表'!C:C,C86,'2026年度培训主表'!N:N,D86,'2026年度培训主表'!D:D,F86)</f>
        <v>2</v>
      </c>
      <c r="H86" s="12">
        <f>COUNTIFS('2026年度培训主表'!B:B,B86,'2026年度培训主表'!N:N,D86,'2026年度培训主表'!L:L,"已签到")</f>
        <v>2</v>
      </c>
      <c r="I86" s="97">
        <f t="shared" si="1"/>
        <v>1</v>
      </c>
    </row>
    <row r="87" ht="16.5" spans="1:9">
      <c r="A87" s="12">
        <v>89</v>
      </c>
      <c r="B87" s="46" t="s">
        <v>39</v>
      </c>
      <c r="C87" s="46" t="s">
        <v>37</v>
      </c>
      <c r="D87" s="46" t="s">
        <v>152</v>
      </c>
      <c r="E87" s="12" t="s">
        <v>451</v>
      </c>
      <c r="F87" s="46" t="s">
        <v>1348</v>
      </c>
      <c r="G87" s="12">
        <f>COUNTIFS('2026年度培训主表'!B:B,B87,'2026年度培训主表'!C:C,C87,'2026年度培训主表'!N:N,D87,'2026年度培训主表'!D:D,F87)</f>
        <v>4</v>
      </c>
      <c r="H87" s="12">
        <f>COUNTIFS('2026年度培训主表'!B:B,B87,'2026年度培训主表'!N:N,D87,'2026年度培训主表'!L:L,"已签到")</f>
        <v>4</v>
      </c>
      <c r="I87" s="97">
        <f t="shared" si="1"/>
        <v>1</v>
      </c>
    </row>
    <row r="88" ht="16.5" spans="1:9">
      <c r="A88" s="12">
        <v>90</v>
      </c>
      <c r="B88" s="46" t="s">
        <v>39</v>
      </c>
      <c r="C88" s="46" t="s">
        <v>36</v>
      </c>
      <c r="D88" s="46" t="s">
        <v>1386</v>
      </c>
      <c r="E88" s="12" t="s">
        <v>1385</v>
      </c>
      <c r="F88" s="46" t="s">
        <v>1348</v>
      </c>
      <c r="G88" s="12">
        <f>COUNTIFS('2026年度培训主表'!B:B,B88,'2026年度培训主表'!C:C,C88,'2026年度培训主表'!N:N,D88,'2026年度培训主表'!D:D,F88)</f>
        <v>2</v>
      </c>
      <c r="H88" s="12">
        <f>COUNTIFS('2026年度培训主表'!B:B,B88,'2026年度培训主表'!N:N,D88,'2026年度培训主表'!L:L,"已签到")</f>
        <v>2</v>
      </c>
      <c r="I88" s="97">
        <f t="shared" si="1"/>
        <v>1</v>
      </c>
    </row>
    <row r="89" ht="16.5" spans="1:9">
      <c r="A89" s="12">
        <v>91</v>
      </c>
      <c r="B89" s="46" t="s">
        <v>39</v>
      </c>
      <c r="C89" s="46" t="s">
        <v>44</v>
      </c>
      <c r="D89" s="46" t="s">
        <v>1353</v>
      </c>
      <c r="E89" s="12" t="s">
        <v>1352</v>
      </c>
      <c r="F89" s="46" t="s">
        <v>1348</v>
      </c>
      <c r="G89" s="12">
        <f>COUNTIFS('2026年度培训主表'!B:B,B89,'2026年度培训主表'!C:C,C89,'2026年度培训主表'!N:N,D89,'2026年度培训主表'!D:D,F89)</f>
        <v>2</v>
      </c>
      <c r="H89" s="12">
        <f>COUNTIFS('2026年度培训主表'!B:B,B89,'2026年度培训主表'!N:N,D89,'2026年度培训主表'!L:L,"已签到")</f>
        <v>2</v>
      </c>
      <c r="I89" s="97">
        <f t="shared" si="1"/>
        <v>1</v>
      </c>
    </row>
    <row r="90" ht="16.5" spans="1:9">
      <c r="A90" s="12">
        <v>92</v>
      </c>
      <c r="B90" s="46" t="s">
        <v>39</v>
      </c>
      <c r="C90" s="46" t="s">
        <v>38</v>
      </c>
      <c r="D90" s="46" t="s">
        <v>1573</v>
      </c>
      <c r="E90" s="12" t="s">
        <v>1354</v>
      </c>
      <c r="F90" s="46" t="s">
        <v>1348</v>
      </c>
      <c r="G90" s="12">
        <f>COUNTIFS('2026年度培训主表'!B:B,B90,'2026年度培训主表'!C:C,C90,'2026年度培训主表'!N:N,D90,'2026年度培训主表'!D:D,F90)</f>
        <v>2</v>
      </c>
      <c r="H90" s="12">
        <f>COUNTIFS('2026年度培训主表'!B:B,B90,'2026年度培训主表'!N:N,D90,'2026年度培训主表'!L:L,"已签到")</f>
        <v>2</v>
      </c>
      <c r="I90" s="97">
        <f t="shared" si="1"/>
        <v>1</v>
      </c>
    </row>
    <row r="91" ht="16.5" spans="1:9">
      <c r="A91" s="12">
        <v>93</v>
      </c>
      <c r="B91" s="46" t="s">
        <v>39</v>
      </c>
      <c r="C91" s="46" t="s">
        <v>38</v>
      </c>
      <c r="D91" s="46" t="s">
        <v>1574</v>
      </c>
      <c r="E91" s="12" t="s">
        <v>1367</v>
      </c>
      <c r="F91" s="46" t="s">
        <v>1348</v>
      </c>
      <c r="G91" s="12">
        <f>COUNTIFS('2026年度培训主表'!B:B,B91,'2026年度培训主表'!C:C,C91,'2026年度培训主表'!N:N,D91,'2026年度培训主表'!D:D,F91)</f>
        <v>2</v>
      </c>
      <c r="H91" s="12">
        <f>COUNTIFS('2026年度培训主表'!B:B,B91,'2026年度培训主表'!N:N,D91,'2026年度培训主表'!L:L,"已签到")</f>
        <v>2</v>
      </c>
      <c r="I91" s="97">
        <f t="shared" si="1"/>
        <v>1</v>
      </c>
    </row>
    <row r="92" ht="16.5" spans="1:9">
      <c r="A92" s="12">
        <v>94</v>
      </c>
      <c r="B92" s="46" t="s">
        <v>39</v>
      </c>
      <c r="C92" s="46" t="s">
        <v>38</v>
      </c>
      <c r="D92" s="46" t="s">
        <v>1575</v>
      </c>
      <c r="E92" s="12" t="s">
        <v>1366</v>
      </c>
      <c r="F92" s="46" t="s">
        <v>1348</v>
      </c>
      <c r="G92" s="12">
        <f>COUNTIFS('2026年度培训主表'!B:B,B92,'2026年度培训主表'!C:C,C92,'2026年度培训主表'!N:N,D92,'2026年度培训主表'!D:D,F92)</f>
        <v>2</v>
      </c>
      <c r="H92" s="12">
        <f>COUNTIFS('2026年度培训主表'!B:B,B92,'2026年度培训主表'!N:N,D92,'2026年度培训主表'!L:L,"已签到")</f>
        <v>2</v>
      </c>
      <c r="I92" s="97">
        <f t="shared" si="1"/>
        <v>1</v>
      </c>
    </row>
    <row r="93" ht="16.5" spans="1:9">
      <c r="A93" s="12">
        <v>95</v>
      </c>
      <c r="B93" s="46" t="s">
        <v>39</v>
      </c>
      <c r="C93" s="46" t="s">
        <v>38</v>
      </c>
      <c r="D93" s="46" t="s">
        <v>1576</v>
      </c>
      <c r="E93" s="12" t="s">
        <v>1361</v>
      </c>
      <c r="F93" s="46" t="s">
        <v>1348</v>
      </c>
      <c r="G93" s="12">
        <f>COUNTIFS('2026年度培训主表'!B:B,B93,'2026年度培训主表'!C:C,C93,'2026年度培训主表'!N:N,D93,'2026年度培训主表'!D:D,F93)</f>
        <v>4</v>
      </c>
      <c r="H93" s="12">
        <f>COUNTIFS('2026年度培训主表'!B:B,B93,'2026年度培训主表'!N:N,D93,'2026年度培训主表'!L:L,"已签到")</f>
        <v>4</v>
      </c>
      <c r="I93" s="97">
        <f t="shared" si="1"/>
        <v>1</v>
      </c>
    </row>
    <row r="94" ht="16.5" spans="1:9">
      <c r="A94" s="12">
        <v>95</v>
      </c>
      <c r="B94" s="46" t="s">
        <v>39</v>
      </c>
      <c r="C94" s="46" t="s">
        <v>36</v>
      </c>
      <c r="D94" s="46" t="s">
        <v>173</v>
      </c>
      <c r="E94" s="12" t="s">
        <v>433</v>
      </c>
      <c r="F94" s="46" t="s">
        <v>1348</v>
      </c>
      <c r="G94" s="12">
        <f>COUNTIFS('2026年度培训主表'!B:B,B94,'2026年度培训主表'!C:C,C94,'2026年度培训主表'!N:N,D94,'2026年度培训主表'!D:D,F94)</f>
        <v>2</v>
      </c>
      <c r="H94" s="12">
        <f>COUNTIFS('2026年度培训主表'!B:B,B94,'2026年度培训主表'!N:N,D94,'2026年度培训主表'!L:L,"已签到")</f>
        <v>2</v>
      </c>
      <c r="I94" s="97">
        <f>H94/G94</f>
        <v>1</v>
      </c>
    </row>
    <row r="95" ht="16.5" spans="1:9">
      <c r="A95" s="46">
        <v>96</v>
      </c>
      <c r="B95" s="46" t="s">
        <v>39</v>
      </c>
      <c r="C95" s="46" t="s">
        <v>26</v>
      </c>
      <c r="D95" s="46" t="s">
        <v>1357</v>
      </c>
      <c r="E95" s="46" t="s">
        <v>1374</v>
      </c>
      <c r="F95" s="46" t="s">
        <v>1348</v>
      </c>
      <c r="G95" s="46">
        <f>COUNTIFS('2026年度培训主表'!B:B,B95,'2026年度培训主表'!C:C,C95,'2026年度培训主表'!N:N,D95,'2026年度培训主表'!D:D,F95)</f>
        <v>4</v>
      </c>
      <c r="H95" s="46">
        <f>COUNTIFS('2026年度培训主表'!B:B,B95,'2026年度培训主表'!N:N,D95,'2026年度培训主表'!L:L,"已签到")</f>
        <v>4</v>
      </c>
      <c r="I95" s="97">
        <f>H95/G95</f>
        <v>1</v>
      </c>
    </row>
    <row r="96" ht="16.5" spans="1:9">
      <c r="A96" s="46">
        <v>97</v>
      </c>
      <c r="B96" s="46" t="s">
        <v>45</v>
      </c>
      <c r="C96" s="46" t="s">
        <v>38</v>
      </c>
      <c r="D96" s="46" t="s">
        <v>220</v>
      </c>
      <c r="E96" s="46" t="s">
        <v>427</v>
      </c>
      <c r="F96" s="46" t="s">
        <v>25</v>
      </c>
      <c r="G96" s="46">
        <f>COUNTIFS('2026年度培训主表'!B:B,B96,'2026年度培训主表'!D:D,F96,'2026年度培训主表'!N:N,D96)</f>
        <v>52</v>
      </c>
      <c r="H96" s="46">
        <f>COUNTIFS('2026年度培训主表'!B:B,B96,'2026年度培训主表'!D:D,F96,'2026年度培训主表'!N:N,D96,'2026年度培训主表'!L:L,"已签到")</f>
        <v>36</v>
      </c>
      <c r="I96" s="97">
        <f>H96/G96</f>
        <v>0.692307692307692</v>
      </c>
    </row>
    <row r="97" ht="16.5" spans="1:9">
      <c r="A97" s="46">
        <v>98</v>
      </c>
      <c r="B97" s="46" t="s">
        <v>45</v>
      </c>
      <c r="C97" s="46" t="s">
        <v>38</v>
      </c>
      <c r="D97" s="46" t="s">
        <v>70</v>
      </c>
      <c r="E97" s="46" t="s">
        <v>82</v>
      </c>
      <c r="F97" s="46" t="s">
        <v>25</v>
      </c>
      <c r="G97" s="46">
        <f>COUNTIFS('2026年度培训主表'!B:B,B97,'2026年度培训主表'!D:D,F97,'2026年度培训主表'!N:N,D97)</f>
        <v>20</v>
      </c>
      <c r="H97" s="46">
        <f>COUNTIFS('2026年度培训主表'!B:B,B97,'2026年度培训主表'!D:D,F97,'2026年度培训主表'!N:N,D97,'2026年度培训主表'!L:L,"已签到")</f>
        <v>0</v>
      </c>
      <c r="I97" s="97">
        <f t="shared" ref="I97:I102" si="2">H97/G97</f>
        <v>0</v>
      </c>
    </row>
    <row r="98" ht="16.5" spans="1:9">
      <c r="A98" s="46">
        <v>99</v>
      </c>
      <c r="B98" s="46" t="s">
        <v>45</v>
      </c>
      <c r="C98" s="46" t="s">
        <v>38</v>
      </c>
      <c r="D98" s="46" t="s">
        <v>148</v>
      </c>
      <c r="E98" s="46" t="s">
        <v>364</v>
      </c>
      <c r="F98" s="46" t="s">
        <v>25</v>
      </c>
      <c r="G98" s="46">
        <f>COUNTIFS('2026年度培训主表'!B:B,B98,'2026年度培训主表'!D:D,F98,'2026年度培训主表'!N:N,D98)</f>
        <v>12</v>
      </c>
      <c r="H98" s="46">
        <f>COUNTIFS('2026年度培训主表'!B:B,B98,'2026年度培训主表'!D:D,F98,'2026年度培训主表'!N:N,D98,'2026年度培训主表'!L:L,"已签到")</f>
        <v>8</v>
      </c>
      <c r="I98" s="97">
        <f t="shared" si="2"/>
        <v>0.666666666666667</v>
      </c>
    </row>
    <row r="99" ht="16.5" spans="1:9">
      <c r="A99" s="46">
        <v>100</v>
      </c>
      <c r="B99" s="46" t="s">
        <v>45</v>
      </c>
      <c r="C99" s="46" t="s">
        <v>38</v>
      </c>
      <c r="D99" s="46" t="s">
        <v>144</v>
      </c>
      <c r="E99" s="46" t="s">
        <v>155</v>
      </c>
      <c r="F99" s="46" t="s">
        <v>25</v>
      </c>
      <c r="G99" s="46">
        <f>COUNTIFS('2026年度培训主表'!B:B,B99,'2026年度培训主表'!D:D,F99,'2026年度培训主表'!N:N,D99)</f>
        <v>16</v>
      </c>
      <c r="H99" s="46">
        <f>COUNTIFS('2026年度培训主表'!B:B,B99,'2026年度培训主表'!D:D,F99,'2026年度培训主表'!N:N,D99,'2026年度培训主表'!L:L,"已签到")</f>
        <v>0</v>
      </c>
      <c r="I99" s="97">
        <f t="shared" si="2"/>
        <v>0</v>
      </c>
    </row>
    <row r="100" ht="16.5" spans="1:9">
      <c r="A100" s="46">
        <v>101</v>
      </c>
      <c r="B100" s="46" t="s">
        <v>45</v>
      </c>
      <c r="C100" s="46" t="s">
        <v>38</v>
      </c>
      <c r="D100" s="46" t="s">
        <v>63</v>
      </c>
      <c r="E100" s="46" t="s">
        <v>129</v>
      </c>
      <c r="F100" s="46" t="s">
        <v>25</v>
      </c>
      <c r="G100" s="46">
        <f>COUNTIFS('2026年度培训主表'!B:B,B100,'2026年度培训主表'!D:D,F100,'2026年度培训主表'!N:N,D100)</f>
        <v>44</v>
      </c>
      <c r="H100" s="46">
        <f>COUNTIFS('2026年度培训主表'!B:B,B100,'2026年度培训主表'!D:D,F100,'2026年度培训主表'!N:N,D100,'2026年度培训主表'!L:L,"已签到")</f>
        <v>4</v>
      </c>
      <c r="I100" s="97">
        <f t="shared" si="2"/>
        <v>0.0909090909090909</v>
      </c>
    </row>
    <row r="101" ht="16.5" spans="1:9">
      <c r="A101" s="46">
        <v>102</v>
      </c>
      <c r="B101" s="46" t="s">
        <v>45</v>
      </c>
      <c r="C101" s="46" t="s">
        <v>38</v>
      </c>
      <c r="D101" s="46" t="s">
        <v>168</v>
      </c>
      <c r="E101" s="46" t="s">
        <v>322</v>
      </c>
      <c r="F101" s="46" t="s">
        <v>25</v>
      </c>
      <c r="G101" s="46">
        <f>COUNTIFS('2026年度培训主表'!B:B,B101,'2026年度培训主表'!D:D,F101,'2026年度培训主表'!N:N,D101)</f>
        <v>40</v>
      </c>
      <c r="H101" s="46">
        <f>COUNTIFS('2026年度培训主表'!B:B,B101,'2026年度培训主表'!D:D,F101,'2026年度培训主表'!N:N,D101,'2026年度培训主表'!L:L,"已签到")</f>
        <v>12</v>
      </c>
      <c r="I101" s="97">
        <f t="shared" si="2"/>
        <v>0.3</v>
      </c>
    </row>
    <row r="102" ht="16.5" spans="1:9">
      <c r="A102" s="46">
        <v>103</v>
      </c>
      <c r="B102" s="46" t="s">
        <v>45</v>
      </c>
      <c r="C102" s="46" t="s">
        <v>38</v>
      </c>
      <c r="D102" s="46" t="s">
        <v>75</v>
      </c>
      <c r="E102" s="46" t="s">
        <v>407</v>
      </c>
      <c r="F102" s="46" t="s">
        <v>25</v>
      </c>
      <c r="G102" s="46">
        <f>COUNTIFS('2026年度培训主表'!B:B,B102,'2026年度培训主表'!D:D,F102,'2026年度培训主表'!N:N,D102)</f>
        <v>36</v>
      </c>
      <c r="H102" s="46">
        <f>COUNTIFS('2026年度培训主表'!B:B,B102,'2026年度培训主表'!D:D,F102,'2026年度培训主表'!N:N,D102,'2026年度培训主表'!L:L,"已签到")</f>
        <v>8</v>
      </c>
      <c r="I102" s="97">
        <f t="shared" si="2"/>
        <v>0.222222222222222</v>
      </c>
    </row>
    <row r="103" ht="16.5" spans="1:9">
      <c r="A103" s="46">
        <v>105</v>
      </c>
      <c r="B103" s="46" t="s">
        <v>45</v>
      </c>
      <c r="C103" s="46" t="s">
        <v>26</v>
      </c>
      <c r="D103" s="46" t="s">
        <v>121</v>
      </c>
      <c r="E103" s="46" t="s">
        <v>385</v>
      </c>
      <c r="F103" s="46" t="s">
        <v>25</v>
      </c>
      <c r="G103" s="46">
        <f>COUNTIFS('2026年度培训主表'!B:B,B103,'2026年度培训主表'!D:D,F103,'2026年度培训主表'!N:N,D103)</f>
        <v>16</v>
      </c>
      <c r="H103" s="46">
        <f>COUNTIFS('2026年度培训主表'!B:B,B103,'2026年度培训主表'!D:D,F103,'2026年度培训主表'!N:N,D103,'2026年度培训主表'!L:L,"已签到")</f>
        <v>8</v>
      </c>
      <c r="I103" s="97">
        <f>H103/G103</f>
        <v>0.5</v>
      </c>
    </row>
    <row r="104" ht="16.5" spans="1:9">
      <c r="A104" s="46">
        <v>106</v>
      </c>
      <c r="B104" s="46" t="s">
        <v>45</v>
      </c>
      <c r="C104" s="46" t="s">
        <v>29</v>
      </c>
      <c r="D104" s="46" t="s">
        <v>130</v>
      </c>
      <c r="E104" s="46" t="s">
        <v>380</v>
      </c>
      <c r="F104" s="46" t="s">
        <v>25</v>
      </c>
      <c r="G104" s="46">
        <f>COUNTIFS('2026年度培训主表'!B:B,B104,'2026年度培训主表'!D:D,F104,'2026年度培训主表'!N:N,D104)</f>
        <v>12</v>
      </c>
      <c r="H104" s="46">
        <f>COUNTIFS('2026年度培训主表'!B:B,B104,'2026年度培训主表'!D:D,F104,'2026年度培训主表'!N:N,D104,'2026年度培训主表'!L:L,"已签到")</f>
        <v>8</v>
      </c>
      <c r="I104" s="97">
        <f>H104/G104</f>
        <v>0.666666666666667</v>
      </c>
    </row>
    <row r="105" ht="16.5" spans="1:9">
      <c r="A105" s="46">
        <v>107</v>
      </c>
      <c r="B105" s="46" t="s">
        <v>45</v>
      </c>
      <c r="C105" s="46" t="s">
        <v>31</v>
      </c>
      <c r="D105" s="46" t="s">
        <v>79</v>
      </c>
      <c r="E105" s="46" t="s">
        <v>189</v>
      </c>
      <c r="F105" s="46" t="s">
        <v>25</v>
      </c>
      <c r="G105" s="46">
        <f>COUNTIFS('2026年度培训主表'!B:B,B105,'2026年度培训主表'!D:D,F105,'2026年度培训主表'!N:N,D105)</f>
        <v>12</v>
      </c>
      <c r="H105" s="46">
        <f>COUNTIFS('2026年度培训主表'!B:B,B105,'2026年度培训主表'!D:D,F105,'2026年度培训主表'!N:N,D105,'2026年度培训主表'!L:L,"已签到")</f>
        <v>8</v>
      </c>
      <c r="I105" s="97">
        <f>H105/G105</f>
        <v>0.666666666666667</v>
      </c>
    </row>
    <row r="106" ht="16.5" spans="1:9">
      <c r="A106" s="46">
        <v>108</v>
      </c>
      <c r="B106" s="46" t="s">
        <v>45</v>
      </c>
      <c r="C106" s="46" t="s">
        <v>31</v>
      </c>
      <c r="D106" s="46" t="s">
        <v>90</v>
      </c>
      <c r="E106" s="46" t="s">
        <v>89</v>
      </c>
      <c r="F106" s="46" t="s">
        <v>25</v>
      </c>
      <c r="G106" s="46">
        <f>COUNTIFS('2026年度培训主表'!B:B,B106,'2026年度培训主表'!D:D,F106,'2026年度培训主表'!N:N,D106)</f>
        <v>4</v>
      </c>
      <c r="H106" s="46">
        <f>COUNTIFS('2026年度培训主表'!B:B,B106,'2026年度培训主表'!D:D,F106,'2026年度培训主表'!N:N,D106,'2026年度培训主表'!L:L,"已签到")</f>
        <v>4</v>
      </c>
      <c r="I106" s="97">
        <f>H106/G106</f>
        <v>1</v>
      </c>
    </row>
    <row r="107" ht="16.5" spans="1:9">
      <c r="A107" s="46">
        <v>109</v>
      </c>
      <c r="B107" s="46" t="s">
        <v>45</v>
      </c>
      <c r="C107" s="46" t="s">
        <v>32</v>
      </c>
      <c r="D107" s="46" t="s">
        <v>105</v>
      </c>
      <c r="E107" s="46" t="s">
        <v>179</v>
      </c>
      <c r="F107" s="46" t="s">
        <v>25</v>
      </c>
      <c r="G107" s="46">
        <f>COUNTIFS('2026年度培训主表'!B:B,B107,'2026年度培训主表'!D:D,F107,'2026年度培训主表'!N:N,D107)</f>
        <v>20</v>
      </c>
      <c r="H107" s="46">
        <f>COUNTIFS('2026年度培训主表'!B:B,B107,'2026年度培训主表'!D:D,F107,'2026年度培训主表'!N:N,D107,'2026年度培训主表'!L:L,"已签到")</f>
        <v>16</v>
      </c>
      <c r="I107" s="97">
        <f>H107/G107</f>
        <v>0.8</v>
      </c>
    </row>
    <row r="108" ht="16.5" spans="1:9">
      <c r="A108" s="46">
        <v>110</v>
      </c>
      <c r="B108" s="46" t="s">
        <v>45</v>
      </c>
      <c r="C108" s="46" t="s">
        <v>35</v>
      </c>
      <c r="D108" s="46" t="s">
        <v>125</v>
      </c>
      <c r="E108" s="46" t="s">
        <v>1152</v>
      </c>
      <c r="F108" s="46" t="s">
        <v>25</v>
      </c>
      <c r="G108" s="46">
        <f>COUNTIFS('2026年度培训主表'!B:B,B108,'2026年度培训主表'!D:D,F108,'2026年度培训主表'!N:N,D108)</f>
        <v>12</v>
      </c>
      <c r="H108" s="46">
        <f>COUNTIFS('2026年度培训主表'!B:B,B108,'2026年度培训主表'!D:D,F108,'2026年度培训主表'!N:N,D108,'2026年度培训主表'!L:L,"已签到")</f>
        <v>12</v>
      </c>
      <c r="I108" s="97">
        <f>H108/G108</f>
        <v>1</v>
      </c>
    </row>
    <row r="109" ht="16.5" spans="1:9">
      <c r="A109" s="46">
        <v>111</v>
      </c>
      <c r="B109" s="46" t="s">
        <v>45</v>
      </c>
      <c r="C109" s="46" t="s">
        <v>33</v>
      </c>
      <c r="D109" s="46" t="s">
        <v>537</v>
      </c>
      <c r="E109" s="46" t="s">
        <v>740</v>
      </c>
      <c r="F109" s="46" t="s">
        <v>25</v>
      </c>
      <c r="G109" s="46">
        <f>COUNTIFS('2026年度培训主表'!B:B,B109,'2026年度培训主表'!D:D,F109,'2026年度培训主表'!N:N,D109)</f>
        <v>8</v>
      </c>
      <c r="H109" s="46">
        <f>COUNTIFS('2026年度培训主表'!B:B,B109,'2026年度培训主表'!D:D,F109,'2026年度培训主表'!N:N,D109,'2026年度培训主表'!L:L,"已签到")</f>
        <v>8</v>
      </c>
      <c r="I109" s="97">
        <f>H109/G109</f>
        <v>1</v>
      </c>
    </row>
    <row r="110" ht="16.5" spans="1:9">
      <c r="A110" s="46">
        <v>112</v>
      </c>
      <c r="B110" s="46" t="s">
        <v>45</v>
      </c>
      <c r="C110" s="46" t="s">
        <v>37</v>
      </c>
      <c r="D110" s="46" t="s">
        <v>152</v>
      </c>
      <c r="E110" s="46" t="s">
        <v>451</v>
      </c>
      <c r="F110" s="46" t="s">
        <v>25</v>
      </c>
      <c r="G110" s="46">
        <f>COUNTIFS('2026年度培训主表'!B:B,B110,'2026年度培训主表'!D:D,F110,'2026年度培训主表'!N:N,D110)</f>
        <v>8</v>
      </c>
      <c r="H110" s="46">
        <f>COUNTIFS('2026年度培训主表'!B:B,B110,'2026年度培训主表'!D:D,F110,'2026年度培训主表'!N:N,D110,'2026年度培训主表'!L:L,"已签到")</f>
        <v>8</v>
      </c>
      <c r="I110" s="97">
        <f>H110/G110</f>
        <v>1</v>
      </c>
    </row>
    <row r="111" ht="16.5" spans="1:9">
      <c r="A111" s="46">
        <v>113</v>
      </c>
      <c r="B111" s="46" t="s">
        <v>45</v>
      </c>
      <c r="C111" s="46" t="s">
        <v>37</v>
      </c>
      <c r="D111" s="46" t="s">
        <v>109</v>
      </c>
      <c r="E111" s="46" t="s">
        <v>108</v>
      </c>
      <c r="F111" s="46" t="s">
        <v>25</v>
      </c>
      <c r="G111" s="46">
        <f>COUNTIFS('2026年度培训主表'!B:B,B111,'2026年度培训主表'!D:D,F111,'2026年度培训主表'!N:N,D111)</f>
        <v>12</v>
      </c>
      <c r="H111" s="46">
        <f>COUNTIFS('2026年度培训主表'!B:B,B111,'2026年度培训主表'!D:D,F111,'2026年度培训主表'!N:N,D111,'2026年度培训主表'!L:L,"已签到")</f>
        <v>12</v>
      </c>
      <c r="I111" s="97">
        <f>H111/G111</f>
        <v>1</v>
      </c>
    </row>
    <row r="112" ht="16.5" spans="1:9">
      <c r="A112" s="46">
        <v>114</v>
      </c>
      <c r="B112" s="46" t="s">
        <v>45</v>
      </c>
      <c r="C112" s="46" t="s">
        <v>38</v>
      </c>
      <c r="D112" s="46" t="s">
        <v>1329</v>
      </c>
      <c r="E112" s="46" t="s">
        <v>1572</v>
      </c>
      <c r="F112" s="46" t="s">
        <v>25</v>
      </c>
      <c r="G112" s="46">
        <v>18</v>
      </c>
      <c r="H112" s="46">
        <v>16</v>
      </c>
      <c r="I112" s="97">
        <f>H112/G112</f>
        <v>0.888888888888889</v>
      </c>
    </row>
    <row r="113" ht="16.5" spans="1:9">
      <c r="A113" s="46">
        <v>115</v>
      </c>
      <c r="B113" s="46" t="s">
        <v>45</v>
      </c>
      <c r="C113" s="46" t="s">
        <v>38</v>
      </c>
      <c r="D113" s="46" t="s">
        <v>220</v>
      </c>
      <c r="E113" s="46" t="s">
        <v>427</v>
      </c>
      <c r="F113" s="46" t="s">
        <v>27</v>
      </c>
      <c r="G113" s="46">
        <f>COUNTIFS('2026年度培训主表'!B:B,B113,'2026年度培训主表'!D:D,F113,'2026年度培训主表'!N:N,D113)</f>
        <v>24</v>
      </c>
      <c r="H113" s="46">
        <f>COUNTIFS('2026年度培训主表'!B:B,B113,'2026年度培训主表'!D:D,F113,'2026年度培训主表'!N:N,D113,'2026年度培训主表'!L:L,"已签到")</f>
        <v>15</v>
      </c>
      <c r="I113" s="97">
        <f>H113/G113</f>
        <v>0.625</v>
      </c>
    </row>
    <row r="114" ht="16.5" spans="1:9">
      <c r="A114" s="46">
        <v>116</v>
      </c>
      <c r="B114" s="46" t="s">
        <v>45</v>
      </c>
      <c r="C114" s="46" t="s">
        <v>38</v>
      </c>
      <c r="D114" s="46" t="s">
        <v>70</v>
      </c>
      <c r="E114" s="46" t="s">
        <v>82</v>
      </c>
      <c r="F114" s="46" t="s">
        <v>27</v>
      </c>
      <c r="G114" s="46">
        <f>COUNTIFS('2026年度培训主表'!B:B,B114,'2026年度培训主表'!D:D,F114,'2026年度培训主表'!N:N,D114)</f>
        <v>12</v>
      </c>
      <c r="H114" s="46">
        <f>COUNTIFS('2026年度培训主表'!B:B,B114,'2026年度培训主表'!D:D,F114,'2026年度培训主表'!N:N,D114,'2026年度培训主表'!L:L,"已签到")</f>
        <v>6</v>
      </c>
      <c r="I114" s="97">
        <f t="shared" ref="I114:I119" si="3">H114/G114</f>
        <v>0.5</v>
      </c>
    </row>
    <row r="115" ht="16.5" spans="1:9">
      <c r="A115" s="46">
        <v>117</v>
      </c>
      <c r="B115" s="46" t="s">
        <v>45</v>
      </c>
      <c r="C115" s="46" t="s">
        <v>38</v>
      </c>
      <c r="D115" s="46" t="s">
        <v>148</v>
      </c>
      <c r="E115" s="46" t="s">
        <v>364</v>
      </c>
      <c r="F115" s="46" t="s">
        <v>27</v>
      </c>
      <c r="G115" s="46">
        <f>COUNTIFS('2026年度培训主表'!B:B,B115,'2026年度培训主表'!D:D,F115,'2026年度培训主表'!N:N,D115)</f>
        <v>35</v>
      </c>
      <c r="H115" s="46">
        <f>COUNTIFS('2026年度培训主表'!B:B,B115,'2026年度培训主表'!D:D,F115,'2026年度培训主表'!N:N,D115,'2026年度培训主表'!L:L,"已签到")</f>
        <v>15</v>
      </c>
      <c r="I115" s="97">
        <f t="shared" si="3"/>
        <v>0.428571428571429</v>
      </c>
    </row>
    <row r="116" ht="16.5" spans="1:9">
      <c r="A116" s="46">
        <v>118</v>
      </c>
      <c r="B116" s="46" t="s">
        <v>45</v>
      </c>
      <c r="C116" s="46" t="s">
        <v>38</v>
      </c>
      <c r="D116" s="46" t="s">
        <v>144</v>
      </c>
      <c r="E116" s="46" t="s">
        <v>155</v>
      </c>
      <c r="F116" s="46" t="s">
        <v>27</v>
      </c>
      <c r="G116" s="46">
        <f>COUNTIFS('2026年度培训主表'!B:B,B116,'2026年度培训主表'!D:D,F116,'2026年度培训主表'!N:N,D116)</f>
        <v>18</v>
      </c>
      <c r="H116" s="46">
        <f>COUNTIFS('2026年度培训主表'!B:B,B116,'2026年度培训主表'!D:D,F116,'2026年度培训主表'!N:N,D116,'2026年度培训主表'!L:L,"已签到")</f>
        <v>18</v>
      </c>
      <c r="I116" s="97">
        <f t="shared" si="3"/>
        <v>1</v>
      </c>
    </row>
    <row r="117" ht="16.5" spans="1:9">
      <c r="A117" s="46">
        <v>119</v>
      </c>
      <c r="B117" s="46" t="s">
        <v>45</v>
      </c>
      <c r="C117" s="46" t="s">
        <v>38</v>
      </c>
      <c r="D117" s="46" t="s">
        <v>63</v>
      </c>
      <c r="E117" s="46" t="s">
        <v>129</v>
      </c>
      <c r="F117" s="46" t="s">
        <v>27</v>
      </c>
      <c r="G117" s="46">
        <f>COUNTIFS('2026年度培训主表'!B:B,B117,'2026年度培训主表'!D:D,F117,'2026年度培训主表'!N:N,D117)</f>
        <v>32</v>
      </c>
      <c r="H117" s="46">
        <f>COUNTIFS('2026年度培训主表'!B:B,B117,'2026年度培训主表'!D:D,F117,'2026年度培训主表'!N:N,D117,'2026年度培训主表'!L:L,"已签到")</f>
        <v>18</v>
      </c>
      <c r="I117" s="97">
        <f t="shared" si="3"/>
        <v>0.5625</v>
      </c>
    </row>
    <row r="118" ht="16.5" spans="1:9">
      <c r="A118" s="46">
        <v>120</v>
      </c>
      <c r="B118" s="46" t="s">
        <v>45</v>
      </c>
      <c r="C118" s="46" t="s">
        <v>38</v>
      </c>
      <c r="D118" s="46" t="s">
        <v>168</v>
      </c>
      <c r="E118" s="46" t="s">
        <v>322</v>
      </c>
      <c r="F118" s="46" t="s">
        <v>27</v>
      </c>
      <c r="G118" s="46">
        <f>COUNTIFS('2026年度培训主表'!B:B,B118,'2026年度培训主表'!D:D,F118,'2026年度培训主表'!N:N,D118)</f>
        <v>30</v>
      </c>
      <c r="H118" s="46">
        <f>COUNTIFS('2026年度培训主表'!B:B,B118,'2026年度培训主表'!D:D,F118,'2026年度培训主表'!N:N,D118,'2026年度培训主表'!L:L,"已签到")</f>
        <v>9</v>
      </c>
      <c r="I118" s="97">
        <f t="shared" si="3"/>
        <v>0.3</v>
      </c>
    </row>
    <row r="119" ht="16.5" spans="1:9">
      <c r="A119" s="46">
        <v>121</v>
      </c>
      <c r="B119" s="46" t="s">
        <v>45</v>
      </c>
      <c r="C119" s="46" t="s">
        <v>38</v>
      </c>
      <c r="D119" s="46" t="s">
        <v>75</v>
      </c>
      <c r="E119" s="46" t="s">
        <v>407</v>
      </c>
      <c r="F119" s="46" t="s">
        <v>27</v>
      </c>
      <c r="G119" s="46">
        <f>COUNTIFS('2026年度培训主表'!B:B,B119,'2026年度培训主表'!D:D,F119,'2026年度培训主表'!N:N,D119)</f>
        <v>29</v>
      </c>
      <c r="H119" s="46">
        <f>COUNTIFS('2026年度培训主表'!B:B,B119,'2026年度培训主表'!D:D,F119,'2026年度培训主表'!N:N,D119,'2026年度培训主表'!L:L,"已签到")</f>
        <v>26</v>
      </c>
      <c r="I119" s="97">
        <f t="shared" si="3"/>
        <v>0.896551724137931</v>
      </c>
    </row>
    <row r="120" ht="16.5" spans="1:9">
      <c r="A120" s="46">
        <v>122</v>
      </c>
      <c r="B120" s="46" t="s">
        <v>45</v>
      </c>
      <c r="C120" s="46" t="s">
        <v>26</v>
      </c>
      <c r="D120" s="46" t="s">
        <v>121</v>
      </c>
      <c r="E120" s="46" t="s">
        <v>385</v>
      </c>
      <c r="F120" s="46" t="s">
        <v>27</v>
      </c>
      <c r="G120" s="46">
        <f>COUNTIFS('2026年度培训主表'!B:B,B120,'2026年度培训主表'!D:D,F120,'2026年度培训主表'!N:N,D120)</f>
        <v>12</v>
      </c>
      <c r="H120" s="46">
        <f>COUNTIFS('2026年度培训主表'!B:B,B120,'2026年度培训主表'!D:D,F120,'2026年度培训主表'!N:N,D120,'2026年度培训主表'!L:L,"已签到")</f>
        <v>6</v>
      </c>
      <c r="I120" s="97">
        <f t="shared" ref="I120:I130" si="4">H120/G120</f>
        <v>0.5</v>
      </c>
    </row>
    <row r="121" ht="16.5" spans="1:9">
      <c r="A121" s="46">
        <v>123</v>
      </c>
      <c r="B121" s="46" t="s">
        <v>45</v>
      </c>
      <c r="C121" s="46" t="s">
        <v>29</v>
      </c>
      <c r="D121" s="46" t="s">
        <v>130</v>
      </c>
      <c r="E121" s="46" t="s">
        <v>380</v>
      </c>
      <c r="F121" s="46" t="s">
        <v>27</v>
      </c>
      <c r="G121" s="46">
        <f>COUNTIFS('2026年度培训主表'!B:B,B121,'2026年度培训主表'!D:D,F121,'2026年度培训主表'!N:N,D121)</f>
        <v>24</v>
      </c>
      <c r="H121" s="46">
        <f>COUNTIFS('2026年度培训主表'!B:B,B121,'2026年度培训主表'!D:D,F121,'2026年度培训主表'!N:N,D121,'2026年度培训主表'!L:L,"已签到")</f>
        <v>21</v>
      </c>
      <c r="I121" s="97">
        <f t="shared" si="4"/>
        <v>0.875</v>
      </c>
    </row>
    <row r="122" ht="16.5" spans="1:9">
      <c r="A122" s="46">
        <v>124</v>
      </c>
      <c r="B122" s="46" t="s">
        <v>45</v>
      </c>
      <c r="C122" s="46" t="s">
        <v>31</v>
      </c>
      <c r="D122" s="46" t="s">
        <v>79</v>
      </c>
      <c r="E122" s="46" t="s">
        <v>189</v>
      </c>
      <c r="F122" s="46" t="s">
        <v>27</v>
      </c>
      <c r="G122" s="46">
        <f>COUNTIFS('2026年度培训主表'!B:B,B122,'2026年度培训主表'!D:D,F122,'2026年度培训主表'!N:N,D122)</f>
        <v>26</v>
      </c>
      <c r="H122" s="46">
        <f>COUNTIFS('2026年度培训主表'!B:B,B122,'2026年度培训主表'!D:D,F122,'2026年度培训主表'!N:N,D122,'2026年度培训主表'!L:L,"已签到")</f>
        <v>26</v>
      </c>
      <c r="I122" s="97">
        <f t="shared" si="4"/>
        <v>1</v>
      </c>
    </row>
    <row r="123" ht="16.5" spans="1:9">
      <c r="A123" s="46">
        <v>125</v>
      </c>
      <c r="B123" s="46" t="s">
        <v>45</v>
      </c>
      <c r="C123" s="46" t="s">
        <v>31</v>
      </c>
      <c r="D123" s="46" t="s">
        <v>90</v>
      </c>
      <c r="E123" s="46" t="s">
        <v>89</v>
      </c>
      <c r="F123" s="46" t="s">
        <v>27</v>
      </c>
      <c r="G123" s="46">
        <f>COUNTIFS('2026年度培训主表'!B:B,B123,'2026年度培训主表'!D:D,F123,'2026年度培训主表'!N:N,D123)</f>
        <v>3</v>
      </c>
      <c r="H123" s="46">
        <f>COUNTIFS('2026年度培训主表'!B:B,B123,'2026年度培训主表'!D:D,F123,'2026年度培训主表'!N:N,D123,'2026年度培训主表'!L:L,"已签到")</f>
        <v>0</v>
      </c>
      <c r="I123" s="97">
        <f t="shared" si="4"/>
        <v>0</v>
      </c>
    </row>
    <row r="124" ht="16.5" spans="1:9">
      <c r="A124" s="46">
        <v>126</v>
      </c>
      <c r="B124" s="46" t="s">
        <v>45</v>
      </c>
      <c r="C124" s="46" t="s">
        <v>32</v>
      </c>
      <c r="D124" s="46" t="s">
        <v>105</v>
      </c>
      <c r="E124" s="46" t="s">
        <v>179</v>
      </c>
      <c r="F124" s="46" t="s">
        <v>27</v>
      </c>
      <c r="G124" s="46">
        <f>COUNTIFS('2026年度培训主表'!B:B,B124,'2026年度培训主表'!D:D,F124,'2026年度培训主表'!N:N,D124)</f>
        <v>9</v>
      </c>
      <c r="H124" s="46">
        <f>COUNTIFS('2026年度培训主表'!B:B,B124,'2026年度培训主表'!D:D,F124,'2026年度培训主表'!N:N,D124,'2026年度培训主表'!L:L,"已签到")</f>
        <v>6</v>
      </c>
      <c r="I124" s="97">
        <f t="shared" si="4"/>
        <v>0.666666666666667</v>
      </c>
    </row>
    <row r="125" ht="16.5" spans="1:9">
      <c r="A125" s="46">
        <v>127</v>
      </c>
      <c r="B125" s="46" t="s">
        <v>45</v>
      </c>
      <c r="C125" s="46" t="s">
        <v>33</v>
      </c>
      <c r="D125" s="46" t="s">
        <v>537</v>
      </c>
      <c r="E125" s="46" t="s">
        <v>740</v>
      </c>
      <c r="F125" s="46" t="s">
        <v>27</v>
      </c>
      <c r="G125" s="46">
        <f>COUNTIFS('2026年度培训主表'!B:B,B125,'2026年度培训主表'!D:D,F125,'2026年度培训主表'!N:N,D125)</f>
        <v>6</v>
      </c>
      <c r="H125" s="46">
        <f>COUNTIFS('2026年度培训主表'!B:B,B125,'2026年度培训主表'!D:D,F125,'2026年度培训主表'!N:N,D125,'2026年度培训主表'!L:L,"已签到")</f>
        <v>6</v>
      </c>
      <c r="I125" s="97">
        <f t="shared" si="4"/>
        <v>1</v>
      </c>
    </row>
    <row r="126" ht="16.5" spans="1:9">
      <c r="A126" s="46">
        <v>128</v>
      </c>
      <c r="B126" s="46" t="s">
        <v>45</v>
      </c>
      <c r="C126" s="46" t="s">
        <v>34</v>
      </c>
      <c r="D126" s="46" t="s">
        <v>351</v>
      </c>
      <c r="E126" s="46" t="s">
        <v>155</v>
      </c>
      <c r="F126" s="46" t="s">
        <v>27</v>
      </c>
      <c r="G126" s="46">
        <f>COUNTIFS('2026年度培训主表'!B:B,B126,'2026年度培训主表'!D:D,F126,'2026年度培训主表'!N:N,D126)</f>
        <v>9</v>
      </c>
      <c r="H126" s="46">
        <f>COUNTIFS('2026年度培训主表'!B:B,B126,'2026年度培训主表'!D:D,F126,'2026年度培训主表'!N:N,D126,'2026年度培训主表'!L:L,"已签到")</f>
        <v>9</v>
      </c>
      <c r="I126" s="97">
        <f t="shared" si="4"/>
        <v>1</v>
      </c>
    </row>
    <row r="127" ht="16.5" spans="1:9">
      <c r="A127" s="46">
        <v>129</v>
      </c>
      <c r="B127" s="46" t="s">
        <v>45</v>
      </c>
      <c r="C127" s="46" t="s">
        <v>35</v>
      </c>
      <c r="D127" s="46" t="s">
        <v>125</v>
      </c>
      <c r="E127" s="46" t="s">
        <v>1152</v>
      </c>
      <c r="F127" s="46" t="s">
        <v>27</v>
      </c>
      <c r="G127" s="46">
        <f>COUNTIFS('2026年度培训主表'!B:B,B127,'2026年度培训主表'!D:D,F127,'2026年度培训主表'!N:N,D127)</f>
        <v>18</v>
      </c>
      <c r="H127" s="46">
        <f>COUNTIFS('2026年度培训主表'!B:B,B127,'2026年度培训主表'!D:D,F127,'2026年度培训主表'!N:N,D127,'2026年度培训主表'!L:L,"已签到")</f>
        <v>9</v>
      </c>
      <c r="I127" s="97">
        <f t="shared" si="4"/>
        <v>0.5</v>
      </c>
    </row>
    <row r="128" ht="16.5" spans="1:9">
      <c r="A128" s="46">
        <v>130</v>
      </c>
      <c r="B128" s="46" t="s">
        <v>45</v>
      </c>
      <c r="C128" s="46" t="s">
        <v>36</v>
      </c>
      <c r="D128" s="46" t="s">
        <v>173</v>
      </c>
      <c r="E128" s="46" t="s">
        <v>433</v>
      </c>
      <c r="F128" s="46" t="s">
        <v>27</v>
      </c>
      <c r="G128" s="46">
        <f>COUNTIFS('2026年度培训主表'!B:B,B128,'2026年度培训主表'!D:D,F128,'2026年度培训主表'!N:N,D128)</f>
        <v>21</v>
      </c>
      <c r="H128" s="46">
        <f>COUNTIFS('2026年度培训主表'!B:B,B128,'2026年度培训主表'!D:D,F128,'2026年度培训主表'!N:N,D128,'2026年度培训主表'!L:L,"已签到")</f>
        <v>21</v>
      </c>
      <c r="I128" s="97">
        <f t="shared" si="4"/>
        <v>1</v>
      </c>
    </row>
    <row r="129" ht="16.5" spans="1:9">
      <c r="A129" s="46">
        <v>131</v>
      </c>
      <c r="B129" s="46" t="s">
        <v>45</v>
      </c>
      <c r="C129" s="46" t="s">
        <v>37</v>
      </c>
      <c r="D129" s="46" t="s">
        <v>152</v>
      </c>
      <c r="E129" s="46" t="s">
        <v>451</v>
      </c>
      <c r="F129" s="46" t="s">
        <v>27</v>
      </c>
      <c r="G129" s="46">
        <f>COUNTIFS('2026年度培训主表'!B:B,B129,'2026年度培训主表'!D:D,F129,'2026年度培训主表'!N:N,D129)</f>
        <v>18</v>
      </c>
      <c r="H129" s="46">
        <f>COUNTIFS('2026年度培训主表'!B:B,B129,'2026年度培训主表'!D:D,F129,'2026年度培训主表'!N:N,D129,'2026年度培训主表'!L:L,"已签到")</f>
        <v>6</v>
      </c>
      <c r="I129" s="97">
        <f t="shared" si="4"/>
        <v>0.333333333333333</v>
      </c>
    </row>
    <row r="130" ht="16.5" spans="1:9">
      <c r="A130" s="46">
        <v>132</v>
      </c>
      <c r="B130" s="46" t="s">
        <v>45</v>
      </c>
      <c r="C130" s="46" t="s">
        <v>37</v>
      </c>
      <c r="D130" s="46" t="s">
        <v>109</v>
      </c>
      <c r="E130" s="46" t="s">
        <v>108</v>
      </c>
      <c r="F130" s="46" t="s">
        <v>27</v>
      </c>
      <c r="G130" s="46">
        <f>COUNTIFS('2026年度培训主表'!B:B,B130,'2026年度培训主表'!D:D,F130,'2026年度培训主表'!N:N,D130)</f>
        <v>21</v>
      </c>
      <c r="H130" s="46">
        <f>COUNTIFS('2026年度培训主表'!B:B,B130,'2026年度培训主表'!D:D,F130,'2026年度培训主表'!N:N,D130,'2026年度培训主表'!L:L,"已签到")</f>
        <v>15</v>
      </c>
      <c r="I130" s="97">
        <f t="shared" si="4"/>
        <v>0.714285714285714</v>
      </c>
    </row>
    <row r="131" ht="16.5" spans="1:9">
      <c r="A131" s="46">
        <v>133</v>
      </c>
      <c r="B131" s="46" t="s">
        <v>45</v>
      </c>
      <c r="C131" s="46" t="s">
        <v>38</v>
      </c>
      <c r="D131" s="46" t="s">
        <v>70</v>
      </c>
      <c r="E131" s="46" t="s">
        <v>82</v>
      </c>
      <c r="F131" s="46" t="s">
        <v>30</v>
      </c>
      <c r="G131" s="46">
        <f>COUNTIFS('2026年度培训主表'!B:B,B131,'2026年度培训主表'!D:D,F131,'2026年度培训主表'!N:N,D131)</f>
        <v>20</v>
      </c>
      <c r="H131" s="46">
        <f>COUNTIFS('2026年度培训主表'!B:B,B131,'2026年度培训主表'!D:D,F131,'2026年度培训主表'!N:N,D131,'2026年度培训主表'!L:L,"已签到")</f>
        <v>20</v>
      </c>
      <c r="I131" s="97">
        <f>H131/G131</f>
        <v>1</v>
      </c>
    </row>
    <row r="132" ht="16.5" spans="1:9">
      <c r="A132" s="46">
        <v>134</v>
      </c>
      <c r="B132" s="46" t="s">
        <v>45</v>
      </c>
      <c r="C132" s="46" t="s">
        <v>38</v>
      </c>
      <c r="D132" s="46" t="s">
        <v>144</v>
      </c>
      <c r="E132" s="46" t="s">
        <v>155</v>
      </c>
      <c r="F132" s="46" t="s">
        <v>30</v>
      </c>
      <c r="G132" s="46">
        <f>COUNTIFS('2026年度培训主表'!B:B,B132,'2026年度培训主表'!D:D,F132,'2026年度培训主表'!N:N,D132)</f>
        <v>8</v>
      </c>
      <c r="H132" s="46">
        <f>COUNTIFS('2026年度培训主表'!B:B,B132,'2026年度培训主表'!D:D,F132,'2026年度培训主表'!N:N,D132,'2026年度培训主表'!L:L,"已签到")</f>
        <v>8</v>
      </c>
      <c r="I132" s="97">
        <f>H132/G132</f>
        <v>1</v>
      </c>
    </row>
    <row r="133" ht="16.5" spans="1:9">
      <c r="A133" s="46">
        <v>135</v>
      </c>
      <c r="B133" s="46" t="s">
        <v>45</v>
      </c>
      <c r="C133" s="46" t="s">
        <v>38</v>
      </c>
      <c r="D133" s="46" t="s">
        <v>63</v>
      </c>
      <c r="E133" s="46" t="s">
        <v>129</v>
      </c>
      <c r="F133" s="46" t="s">
        <v>30</v>
      </c>
      <c r="G133" s="46">
        <f>COUNTIFS('2026年度培训主表'!B:B,B133,'2026年度培训主表'!D:D,F133,'2026年度培训主表'!N:N,D133)</f>
        <v>8</v>
      </c>
      <c r="H133" s="46">
        <f>COUNTIFS('2026年度培训主表'!B:B,B133,'2026年度培训主表'!D:D,F133,'2026年度培训主表'!N:N,D133,'2026年度培训主表'!L:L,"已签到")</f>
        <v>8</v>
      </c>
      <c r="I133" s="97">
        <f>H133/G133</f>
        <v>1</v>
      </c>
    </row>
    <row r="134" ht="16.5" spans="1:9">
      <c r="A134" s="46">
        <v>136</v>
      </c>
      <c r="B134" s="46" t="s">
        <v>45</v>
      </c>
      <c r="C134" s="46" t="s">
        <v>38</v>
      </c>
      <c r="D134" s="46" t="s">
        <v>168</v>
      </c>
      <c r="E134" s="46" t="s">
        <v>322</v>
      </c>
      <c r="F134" s="46" t="s">
        <v>30</v>
      </c>
      <c r="G134" s="46">
        <f>COUNTIFS('2026年度培训主表'!B:B,B134,'2026年度培训主表'!D:D,F134,'2026年度培训主表'!N:N,D134)</f>
        <v>6</v>
      </c>
      <c r="H134" s="46">
        <f>COUNTIFS('2026年度培训主表'!B:B,B134,'2026年度培训主表'!D:D,F134,'2026年度培训主表'!N:N,D134,'2026年度培训主表'!L:L,"已签到")</f>
        <v>6</v>
      </c>
      <c r="I134" s="97">
        <f>H134/G134</f>
        <v>1</v>
      </c>
    </row>
    <row r="135" ht="16.5" spans="1:9">
      <c r="A135" s="46">
        <v>137</v>
      </c>
      <c r="B135" s="46" t="s">
        <v>45</v>
      </c>
      <c r="C135" s="46" t="s">
        <v>38</v>
      </c>
      <c r="D135" s="46" t="s">
        <v>75</v>
      </c>
      <c r="E135" s="46" t="s">
        <v>407</v>
      </c>
      <c r="F135" s="46" t="s">
        <v>30</v>
      </c>
      <c r="G135" s="46">
        <f>COUNTIFS('2026年度培训主表'!B:B,B135,'2026年度培训主表'!D:D,F135,'2026年度培训主表'!N:N,D135)</f>
        <v>8</v>
      </c>
      <c r="H135" s="46">
        <f>COUNTIFS('2026年度培训主表'!B:B,B135,'2026年度培训主表'!D:D,F135,'2026年度培训主表'!N:N,D135,'2026年度培训主表'!L:L,"已签到")</f>
        <v>8</v>
      </c>
      <c r="I135" s="97">
        <f>H135/G135</f>
        <v>1</v>
      </c>
    </row>
    <row r="136" ht="16.5" spans="1:9">
      <c r="A136" s="46">
        <v>138</v>
      </c>
      <c r="B136" s="46" t="s">
        <v>45</v>
      </c>
      <c r="C136" s="46" t="s">
        <v>26</v>
      </c>
      <c r="D136" s="46" t="s">
        <v>121</v>
      </c>
      <c r="E136" s="46" t="s">
        <v>385</v>
      </c>
      <c r="F136" s="46" t="s">
        <v>30</v>
      </c>
      <c r="G136" s="46">
        <f>COUNTIFS('2026年度培训主表'!B:B,B136,'2026年度培训主表'!D:D,F136,'2026年度培训主表'!N:N,D136)</f>
        <v>6</v>
      </c>
      <c r="H136" s="46">
        <f>COUNTIFS('2026年度培训主表'!B:B,B136,'2026年度培训主表'!D:D,F136,'2026年度培训主表'!N:N,D136,'2026年度培训主表'!L:L,"已签到")</f>
        <v>6</v>
      </c>
      <c r="I136" s="97">
        <f>H136/G136</f>
        <v>1</v>
      </c>
    </row>
    <row r="137" ht="16.5" spans="1:9">
      <c r="A137" s="46">
        <v>139</v>
      </c>
      <c r="B137" s="46" t="s">
        <v>45</v>
      </c>
      <c r="C137" s="46" t="s">
        <v>29</v>
      </c>
      <c r="D137" s="46" t="s">
        <v>130</v>
      </c>
      <c r="E137" s="46" t="s">
        <v>380</v>
      </c>
      <c r="F137" s="46" t="s">
        <v>30</v>
      </c>
      <c r="G137" s="46">
        <f>COUNTIFS('2026年度培训主表'!B:B,B137,'2026年度培训主表'!D:D,F137,'2026年度培训主表'!N:N,D137)</f>
        <v>10</v>
      </c>
      <c r="H137" s="46">
        <f>COUNTIFS('2026年度培训主表'!B:B,B137,'2026年度培训主表'!D:D,F137,'2026年度培训主表'!N:N,D137,'2026年度培训主表'!L:L,"已签到")</f>
        <v>10</v>
      </c>
      <c r="I137" s="97">
        <f>H137/G137</f>
        <v>1</v>
      </c>
    </row>
    <row r="138" ht="16.5" spans="1:9">
      <c r="A138" s="46">
        <v>140</v>
      </c>
      <c r="B138" s="46" t="s">
        <v>45</v>
      </c>
      <c r="C138" s="46" t="s">
        <v>31</v>
      </c>
      <c r="D138" s="46" t="s">
        <v>90</v>
      </c>
      <c r="E138" s="46" t="s">
        <v>89</v>
      </c>
      <c r="F138" s="46" t="s">
        <v>30</v>
      </c>
      <c r="G138" s="46">
        <f>COUNTIFS('2026年度培训主表'!B:B,B138,'2026年度培训主表'!D:D,F138,'2026年度培训主表'!N:N,D138)</f>
        <v>6</v>
      </c>
      <c r="H138" s="46">
        <f>COUNTIFS('2026年度培训主表'!B:B,B138,'2026年度培训主表'!D:D,F138,'2026年度培训主表'!N:N,D138,'2026年度培训主表'!L:L,"已签到")</f>
        <v>6</v>
      </c>
      <c r="I138" s="97">
        <f>H138/G138</f>
        <v>1</v>
      </c>
    </row>
    <row r="139" ht="16.5" spans="1:9">
      <c r="A139" s="46">
        <v>141</v>
      </c>
      <c r="B139" s="46" t="s">
        <v>45</v>
      </c>
      <c r="C139" s="46" t="s">
        <v>32</v>
      </c>
      <c r="D139" s="46" t="s">
        <v>105</v>
      </c>
      <c r="E139" s="46" t="s">
        <v>179</v>
      </c>
      <c r="F139" s="46" t="s">
        <v>30</v>
      </c>
      <c r="G139" s="46">
        <f>COUNTIFS('2026年度培训主表'!B:B,B139,'2026年度培训主表'!D:D,F139,'2026年度培训主表'!N:N,D139)</f>
        <v>10</v>
      </c>
      <c r="H139" s="46">
        <f>COUNTIFS('2026年度培训主表'!B:B,B139,'2026年度培训主表'!D:D,F139,'2026年度培训主表'!N:N,D139,'2026年度培训主表'!L:L,"已签到")</f>
        <v>10</v>
      </c>
      <c r="I139" s="97">
        <f>H139/G139</f>
        <v>1</v>
      </c>
    </row>
    <row r="140" ht="16.5" spans="1:9">
      <c r="A140" s="46">
        <v>142</v>
      </c>
      <c r="B140" s="46" t="s">
        <v>45</v>
      </c>
      <c r="C140" s="46" t="s">
        <v>35</v>
      </c>
      <c r="D140" s="46" t="s">
        <v>125</v>
      </c>
      <c r="E140" s="46" t="s">
        <v>1152</v>
      </c>
      <c r="F140" s="46" t="s">
        <v>30</v>
      </c>
      <c r="G140" s="46">
        <f>COUNTIFS('2026年度培训主表'!B:B,B140,'2026年度培训主表'!D:D,F140,'2026年度培训主表'!N:N,D140)</f>
        <v>6</v>
      </c>
      <c r="H140" s="46">
        <f>COUNTIFS('2026年度培训主表'!B:B,B140,'2026年度培训主表'!D:D,F140,'2026年度培训主表'!N:N,D140,'2026年度培训主表'!L:L,"已签到")</f>
        <v>6</v>
      </c>
      <c r="I140" s="97">
        <f>H140/G140</f>
        <v>1</v>
      </c>
    </row>
    <row r="141" ht="16.5" spans="1:9">
      <c r="A141" s="46">
        <v>143</v>
      </c>
      <c r="B141" s="46" t="s">
        <v>45</v>
      </c>
      <c r="C141" s="46" t="s">
        <v>36</v>
      </c>
      <c r="D141" s="46" t="s">
        <v>173</v>
      </c>
      <c r="E141" s="46" t="s">
        <v>433</v>
      </c>
      <c r="F141" s="46" t="s">
        <v>30</v>
      </c>
      <c r="G141" s="46">
        <f>COUNTIFS('2026年度培训主表'!B:B,B141,'2026年度培训主表'!D:D,F141,'2026年度培训主表'!N:N,D141)</f>
        <v>10</v>
      </c>
      <c r="H141" s="46">
        <f>COUNTIFS('2026年度培训主表'!B:B,B141,'2026年度培训主表'!D:D,F141,'2026年度培训主表'!N:N,D141,'2026年度培训主表'!L:L,"已签到")</f>
        <v>10</v>
      </c>
      <c r="I141" s="97">
        <f>H141/G141</f>
        <v>1</v>
      </c>
    </row>
    <row r="142" ht="16.5" spans="1:9">
      <c r="A142" s="46">
        <v>144</v>
      </c>
      <c r="B142" s="46" t="s">
        <v>45</v>
      </c>
      <c r="C142" s="46" t="s">
        <v>37</v>
      </c>
      <c r="D142" s="46" t="s">
        <v>152</v>
      </c>
      <c r="E142" s="46" t="s">
        <v>451</v>
      </c>
      <c r="F142" s="46" t="s">
        <v>30</v>
      </c>
      <c r="G142" s="46">
        <f>COUNTIFS('2026年度培训主表'!B:B,B142,'2026年度培训主表'!D:D,F142,'2026年度培训主表'!N:N,D142)</f>
        <v>12</v>
      </c>
      <c r="H142" s="46">
        <f>COUNTIFS('2026年度培训主表'!B:B,B142,'2026年度培训主表'!D:D,F142,'2026年度培训主表'!N:N,D142,'2026年度培训主表'!L:L,"已签到")</f>
        <v>12</v>
      </c>
      <c r="I142" s="97">
        <f>H142/G142</f>
        <v>1</v>
      </c>
    </row>
    <row r="143" ht="16.5" spans="1:9">
      <c r="A143" s="46">
        <v>145</v>
      </c>
      <c r="B143" s="46" t="s">
        <v>45</v>
      </c>
      <c r="C143" s="46" t="s">
        <v>37</v>
      </c>
      <c r="D143" s="46" t="s">
        <v>109</v>
      </c>
      <c r="E143" s="46" t="s">
        <v>108</v>
      </c>
      <c r="F143" s="46" t="s">
        <v>30</v>
      </c>
      <c r="G143" s="46">
        <f>COUNTIFS('2026年度培训主表'!B:B,B143,'2026年度培训主表'!D:D,F143,'2026年度培训主表'!N:N,D143)</f>
        <v>4</v>
      </c>
      <c r="H143" s="46">
        <f>COUNTIFS('2026年度培训主表'!B:B,B143,'2026年度培训主表'!D:D,F143,'2026年度培训主表'!N:N,D143,'2026年度培训主表'!L:L,"已签到")</f>
        <v>4</v>
      </c>
      <c r="I143" s="97">
        <f>H143/G143</f>
        <v>1</v>
      </c>
    </row>
  </sheetData>
  <autoFilter xmlns:etc="http://www.wps.cn/officeDocument/2017/etCustomData" ref="A2:I130" etc:filterBottomFollowUsedRange="0">
    <sortState ref="A2:I130">
      <sortCondition ref="A2"/>
    </sortState>
    <extLst/>
  </autoFilter>
  <mergeCells count="1">
    <mergeCell ref="A1:I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7"/>
  <sheetViews>
    <sheetView workbookViewId="0">
      <pane ySplit="2" topLeftCell="A43" activePane="bottomLeft" state="frozen"/>
      <selection/>
      <selection pane="bottomLeft" activeCell="F68" sqref="F59:F68"/>
    </sheetView>
  </sheetViews>
  <sheetFormatPr defaultColWidth="8.89166666666667" defaultRowHeight="13.5" outlineLevelCol="6"/>
  <cols>
    <col min="3" max="3" width="14.4416666666667" customWidth="1"/>
    <col min="4" max="4" width="23.225" customWidth="1"/>
    <col min="5" max="5" width="17.775" customWidth="1"/>
    <col min="6" max="6" width="13.8916666666667" customWidth="1"/>
    <col min="7" max="7" width="10.775" customWidth="1"/>
  </cols>
  <sheetData>
    <row r="1" ht="26" customHeight="1" spans="1:7">
      <c r="A1" s="1" t="s">
        <v>1577</v>
      </c>
      <c r="B1" s="1"/>
      <c r="C1" s="1"/>
      <c r="D1" s="1"/>
      <c r="E1" s="1"/>
      <c r="F1" s="1"/>
      <c r="G1" s="1"/>
    </row>
    <row r="2" ht="16.5" spans="1:7">
      <c r="A2" s="86" t="s">
        <v>887</v>
      </c>
      <c r="B2" s="86" t="s">
        <v>2</v>
      </c>
      <c r="C2" s="86" t="s">
        <v>3</v>
      </c>
      <c r="D2" s="86" t="s">
        <v>888</v>
      </c>
      <c r="E2" s="86" t="s">
        <v>1569</v>
      </c>
      <c r="F2" s="86" t="s">
        <v>1570</v>
      </c>
      <c r="G2" s="86" t="s">
        <v>1571</v>
      </c>
    </row>
    <row r="3" ht="16.5" spans="1:7">
      <c r="A3" s="12">
        <v>1</v>
      </c>
      <c r="B3" s="12" t="s">
        <v>23</v>
      </c>
      <c r="C3" s="89" t="s">
        <v>38</v>
      </c>
      <c r="D3" s="90" t="s">
        <v>25</v>
      </c>
      <c r="E3" s="89">
        <f>COUNTIFS('2026年度培训主表'!B:B,B3,'2026年度培训主表'!C:C,C3,'2026年度培训主表'!D:D,D3)</f>
        <v>195</v>
      </c>
      <c r="F3" s="89">
        <f>COUNTIFS('2026年度培训主表'!B:B,B3,'2026年度培训主表'!C:C,C3,'2026年度培训主表'!D:D,D3,'2026年度培训主表'!L:L,"已签到")</f>
        <v>53</v>
      </c>
      <c r="G3" s="91">
        <f>F3/E3</f>
        <v>0.271794871794872</v>
      </c>
    </row>
    <row r="4" ht="16.5" spans="1:7">
      <c r="A4" s="12">
        <v>2</v>
      </c>
      <c r="B4" s="12" t="s">
        <v>23</v>
      </c>
      <c r="C4" s="89" t="s">
        <v>32</v>
      </c>
      <c r="D4" s="90" t="s">
        <v>25</v>
      </c>
      <c r="E4" s="89">
        <f>COUNTIFS('2026年度培训主表'!B:B,B4,'2026年度培训主表'!C:C,C4,'2026年度培训主表'!D:D,D4)</f>
        <v>24</v>
      </c>
      <c r="F4" s="89">
        <f>COUNTIFS('2026年度培训主表'!B:B,B4,'2026年度培训主表'!C:C,C4,'2026年度培训主表'!D:D,D4,'2026年度培训主表'!L:L,"已签到")</f>
        <v>12</v>
      </c>
      <c r="G4" s="91">
        <f t="shared" ref="G4:G36" si="0">F4/E4</f>
        <v>0.5</v>
      </c>
    </row>
    <row r="5" ht="16.5" spans="1:7">
      <c r="A5" s="12">
        <v>3</v>
      </c>
      <c r="B5" s="12" t="s">
        <v>23</v>
      </c>
      <c r="C5" s="12" t="s">
        <v>37</v>
      </c>
      <c r="D5" s="74" t="s">
        <v>25</v>
      </c>
      <c r="E5" s="12">
        <f>COUNTIFS('2026年度培训主表'!B:B,B5,'2026年度培训主表'!C:C,C5,'2026年度培训主表'!D:D,D5)</f>
        <v>16</v>
      </c>
      <c r="F5" s="12">
        <f>COUNTIFS('2026年度培训主表'!B:B,B5,'2026年度培训主表'!C:C,C5,'2026年度培训主表'!D:D,D5,'2026年度培训主表'!L:L,"已签到")</f>
        <v>16</v>
      </c>
      <c r="G5" s="76">
        <f t="shared" si="0"/>
        <v>1</v>
      </c>
    </row>
    <row r="6" ht="16.5" spans="1:7">
      <c r="A6" s="12">
        <v>4</v>
      </c>
      <c r="B6" s="12" t="s">
        <v>23</v>
      </c>
      <c r="C6" s="12" t="s">
        <v>29</v>
      </c>
      <c r="D6" s="74" t="s">
        <v>25</v>
      </c>
      <c r="E6" s="12">
        <f>COUNTIFS('2026年度培训主表'!B:B,B6,'2026年度培训主表'!C:C,C6,'2026年度培训主表'!D:D,D6)</f>
        <v>24</v>
      </c>
      <c r="F6" s="12">
        <f>COUNTIFS('2026年度培训主表'!B:B,B6,'2026年度培训主表'!C:C,C6,'2026年度培训主表'!D:D,D6,'2026年度培训主表'!L:L,"已签到")</f>
        <v>20</v>
      </c>
      <c r="G6" s="76">
        <f t="shared" si="0"/>
        <v>0.833333333333333</v>
      </c>
    </row>
    <row r="7" ht="16.5" spans="1:7">
      <c r="A7" s="12">
        <v>5</v>
      </c>
      <c r="B7" s="12" t="s">
        <v>23</v>
      </c>
      <c r="C7" s="12" t="s">
        <v>31</v>
      </c>
      <c r="D7" s="74" t="s">
        <v>25</v>
      </c>
      <c r="E7" s="12">
        <f>COUNTIFS('2026年度培训主表'!B:B,B7,'2026年度培训主表'!C:C,C7,'2026年度培训主表'!D:D,D7)</f>
        <v>12</v>
      </c>
      <c r="F7" s="12">
        <f>COUNTIFS('2026年度培训主表'!B:B,B7,'2026年度培训主表'!C:C,C7,'2026年度培训主表'!D:D,D7,'2026年度培训主表'!L:L,"已签到")</f>
        <v>12</v>
      </c>
      <c r="G7" s="76">
        <f t="shared" si="0"/>
        <v>1</v>
      </c>
    </row>
    <row r="8" ht="16.5" spans="1:7">
      <c r="A8" s="12">
        <v>6</v>
      </c>
      <c r="B8" s="12" t="s">
        <v>23</v>
      </c>
      <c r="C8" s="12" t="s">
        <v>24</v>
      </c>
      <c r="D8" s="74" t="s">
        <v>25</v>
      </c>
      <c r="E8" s="12">
        <f>COUNTIFS('2026年度培训主表'!B:B,B8,'2026年度培训主表'!C:C,C8,'2026年度培训主表'!D:D,D8)</f>
        <v>4</v>
      </c>
      <c r="F8" s="12">
        <f>COUNTIFS('2026年度培训主表'!B:B,B8,'2026年度培训主表'!C:C,C8,'2026年度培训主表'!D:D,D8,'2026年度培训主表'!L:L,"已签到")</f>
        <v>4</v>
      </c>
      <c r="G8" s="76">
        <f t="shared" si="0"/>
        <v>1</v>
      </c>
    </row>
    <row r="9" ht="16.5" spans="1:7">
      <c r="A9" s="12">
        <v>7</v>
      </c>
      <c r="B9" s="12" t="s">
        <v>23</v>
      </c>
      <c r="C9" s="12" t="s">
        <v>35</v>
      </c>
      <c r="D9" s="74" t="s">
        <v>25</v>
      </c>
      <c r="E9" s="12">
        <f>COUNTIFS('2026年度培训主表'!B:B,B9,'2026年度培训主表'!C:C,C9,'2026年度培训主表'!D:D,D9)</f>
        <v>8</v>
      </c>
      <c r="F9" s="12">
        <f>COUNTIFS('2026年度培训主表'!B:B,B9,'2026年度培训主表'!C:C,C9,'2026年度培训主表'!D:D,D9,'2026年度培训主表'!L:L,"已签到")</f>
        <v>8</v>
      </c>
      <c r="G9" s="76">
        <f t="shared" si="0"/>
        <v>1</v>
      </c>
    </row>
    <row r="10" ht="16.5" spans="1:7">
      <c r="A10" s="12">
        <v>8</v>
      </c>
      <c r="B10" s="12" t="s">
        <v>23</v>
      </c>
      <c r="C10" s="12" t="s">
        <v>34</v>
      </c>
      <c r="D10" s="74" t="s">
        <v>25</v>
      </c>
      <c r="E10" s="12">
        <f>COUNTIFS('2026年度培训主表'!B:B,B10,'2026年度培训主表'!C:C,C10,'2026年度培训主表'!D:D,D10)</f>
        <v>12</v>
      </c>
      <c r="F10" s="12">
        <f>COUNTIFS('2026年度培训主表'!B:B,B10,'2026年度培训主表'!C:C,C10,'2026年度培训主表'!D:D,D10,'2026年度培训主表'!L:L,"已签到")</f>
        <v>12</v>
      </c>
      <c r="G10" s="76">
        <f t="shared" si="0"/>
        <v>1</v>
      </c>
    </row>
    <row r="11" ht="16.5" spans="1:7">
      <c r="A11" s="12">
        <v>9</v>
      </c>
      <c r="B11" s="12" t="s">
        <v>23</v>
      </c>
      <c r="C11" s="12" t="s">
        <v>26</v>
      </c>
      <c r="D11" s="74" t="s">
        <v>25</v>
      </c>
      <c r="E11" s="12">
        <f>COUNTIFS('2026年度培训主表'!B:B,B11,'2026年度培训主表'!C:C,C11,'2026年度培训主表'!D:D,D11)</f>
        <v>16</v>
      </c>
      <c r="F11" s="12">
        <f>COUNTIFS('2026年度培训主表'!B:B,B11,'2026年度培训主表'!C:C,C11,'2026年度培训主表'!D:D,D11,'2026年度培训主表'!L:L,"已签到")</f>
        <v>12</v>
      </c>
      <c r="G11" s="76">
        <f t="shared" si="0"/>
        <v>0.75</v>
      </c>
    </row>
    <row r="12" ht="16.5" spans="1:7">
      <c r="A12" s="12">
        <v>10</v>
      </c>
      <c r="B12" s="12" t="s">
        <v>23</v>
      </c>
      <c r="C12" s="89" t="s">
        <v>38</v>
      </c>
      <c r="D12" s="90" t="s">
        <v>27</v>
      </c>
      <c r="E12" s="89">
        <f>COUNTIFS('2026年度培训主表'!B:B,B12,'2026年度培训主表'!C:C,C12,'2026年度培训主表'!D:D,D12)</f>
        <v>163</v>
      </c>
      <c r="F12" s="89">
        <f>COUNTIFS('2026年度培训主表'!B:B,B12,'2026年度培训主表'!C:C,C12,'2026年度培训主表'!D:D,D12,'2026年度培训主表'!L:L,"已签到")</f>
        <v>55</v>
      </c>
      <c r="G12" s="91">
        <f t="shared" si="0"/>
        <v>0.337423312883436</v>
      </c>
    </row>
    <row r="13" ht="16.5" spans="1:7">
      <c r="A13" s="12">
        <v>11</v>
      </c>
      <c r="B13" s="12" t="s">
        <v>23</v>
      </c>
      <c r="C13" s="12" t="s">
        <v>37</v>
      </c>
      <c r="D13" s="74" t="s">
        <v>27</v>
      </c>
      <c r="E13" s="12">
        <f>COUNTIFS('2026年度培训主表'!B:B,B13,'2026年度培训主表'!C:C,C13,'2026年度培训主表'!D:D,D13)</f>
        <v>12</v>
      </c>
      <c r="F13" s="12">
        <f>COUNTIFS('2026年度培训主表'!B:B,B13,'2026年度培训主表'!C:C,C13,'2026年度培训主表'!D:D,D13,'2026年度培训主表'!L:L,"已签到")</f>
        <v>9</v>
      </c>
      <c r="G13" s="76">
        <f t="shared" si="0"/>
        <v>0.75</v>
      </c>
    </row>
    <row r="14" ht="16.5" spans="1:7">
      <c r="A14" s="12">
        <v>12</v>
      </c>
      <c r="B14" s="12" t="s">
        <v>23</v>
      </c>
      <c r="C14" s="89" t="s">
        <v>31</v>
      </c>
      <c r="D14" s="90" t="s">
        <v>27</v>
      </c>
      <c r="E14" s="89">
        <f>COUNTIFS('2026年度培训主表'!B:B,B14,'2026年度培训主表'!C:C,C14,'2026年度培训主表'!D:D,D14)</f>
        <v>14</v>
      </c>
      <c r="F14" s="89">
        <f>COUNTIFS('2026年度培训主表'!B:B,B14,'2026年度培训主表'!C:C,C14,'2026年度培训主表'!D:D,D14,'2026年度培训主表'!L:L,"已签到")</f>
        <v>0</v>
      </c>
      <c r="G14" s="91">
        <f t="shared" si="0"/>
        <v>0</v>
      </c>
    </row>
    <row r="15" ht="16.5" spans="1:7">
      <c r="A15" s="12">
        <v>13</v>
      </c>
      <c r="B15" s="12" t="s">
        <v>23</v>
      </c>
      <c r="C15" s="12" t="s">
        <v>29</v>
      </c>
      <c r="D15" s="74" t="s">
        <v>27</v>
      </c>
      <c r="E15" s="12">
        <f>COUNTIFS('2026年度培训主表'!B:B,B15,'2026年度培训主表'!C:C,C15,'2026年度培训主表'!D:D,D15)</f>
        <v>9</v>
      </c>
      <c r="F15" s="12">
        <f>COUNTIFS('2026年度培训主表'!B:B,B15,'2026年度培训主表'!C:C,C15,'2026年度培训主表'!D:D,D15,'2026年度培训主表'!L:L,"已签到")</f>
        <v>9</v>
      </c>
      <c r="G15" s="76">
        <f t="shared" si="0"/>
        <v>1</v>
      </c>
    </row>
    <row r="16" ht="16.5" spans="1:7">
      <c r="A16" s="12">
        <v>14</v>
      </c>
      <c r="B16" s="12" t="s">
        <v>23</v>
      </c>
      <c r="C16" s="12" t="s">
        <v>36</v>
      </c>
      <c r="D16" s="74" t="s">
        <v>27</v>
      </c>
      <c r="E16" s="12">
        <f>COUNTIFS('2026年度培训主表'!B:B,B16,'2026年度培训主表'!C:C,C16,'2026年度培训主表'!D:D,D16)</f>
        <v>18</v>
      </c>
      <c r="F16" s="12">
        <f>COUNTIFS('2026年度培训主表'!B:B,B16,'2026年度培训主表'!C:C,C16,'2026年度培训主表'!D:D,D16,'2026年度培训主表'!L:L,"已签到")</f>
        <v>18</v>
      </c>
      <c r="G16" s="76">
        <f t="shared" si="0"/>
        <v>1</v>
      </c>
    </row>
    <row r="17" ht="16.5" spans="1:7">
      <c r="A17" s="12">
        <v>15</v>
      </c>
      <c r="B17" s="12" t="s">
        <v>23</v>
      </c>
      <c r="C17" s="12" t="s">
        <v>35</v>
      </c>
      <c r="D17" s="74" t="s">
        <v>27</v>
      </c>
      <c r="E17" s="12">
        <f>COUNTIFS('2026年度培训主表'!B:B,B17,'2026年度培训主表'!C:C,C17,'2026年度培训主表'!D:D,D17)</f>
        <v>17</v>
      </c>
      <c r="F17" s="12">
        <f>COUNTIFS('2026年度培训主表'!B:B,B17,'2026年度培训主表'!C:C,C17,'2026年度培训主表'!D:D,D17,'2026年度培训主表'!L:L,"已签到")</f>
        <v>17</v>
      </c>
      <c r="G17" s="76">
        <f t="shared" si="0"/>
        <v>1</v>
      </c>
    </row>
    <row r="18" ht="16.5" spans="1:7">
      <c r="A18" s="12">
        <v>16</v>
      </c>
      <c r="B18" s="12" t="s">
        <v>23</v>
      </c>
      <c r="C18" s="12" t="s">
        <v>26</v>
      </c>
      <c r="D18" s="74" t="s">
        <v>27</v>
      </c>
      <c r="E18" s="12">
        <f>COUNTIFS('2026年度培训主表'!B:B,B18,'2026年度培训主表'!C:C,C18,'2026年度培训主表'!D:D,D18)</f>
        <v>6</v>
      </c>
      <c r="F18" s="12">
        <f>COUNTIFS('2026年度培训主表'!B:B,B18,'2026年度培训主表'!C:C,C18,'2026年度培训主表'!D:D,D18,'2026年度培训主表'!L:L,"已签到")</f>
        <v>6</v>
      </c>
      <c r="G18" s="76">
        <f t="shared" si="0"/>
        <v>1</v>
      </c>
    </row>
    <row r="19" ht="16.5" spans="1:7">
      <c r="A19" s="12">
        <v>17</v>
      </c>
      <c r="B19" s="12" t="s">
        <v>23</v>
      </c>
      <c r="C19" s="12" t="s">
        <v>32</v>
      </c>
      <c r="D19" s="74" t="s">
        <v>27</v>
      </c>
      <c r="E19" s="12">
        <f>COUNTIFS('2026年度培训主表'!B:B,B19,'2026年度培训主表'!C:C,C19,'2026年度培训主表'!D:D,D19)</f>
        <v>6</v>
      </c>
      <c r="F19" s="12">
        <f>COUNTIFS('2026年度培训主表'!B:B,B19,'2026年度培训主表'!C:C,C19,'2026年度培训主表'!D:D,D19,'2026年度培训主表'!L:L,"已签到")</f>
        <v>6</v>
      </c>
      <c r="G19" s="76">
        <f t="shared" si="0"/>
        <v>1</v>
      </c>
    </row>
    <row r="20" ht="16.5" spans="1:7">
      <c r="A20" s="12">
        <v>18</v>
      </c>
      <c r="B20" s="12" t="s">
        <v>23</v>
      </c>
      <c r="C20" s="12" t="s">
        <v>33</v>
      </c>
      <c r="D20" s="74" t="s">
        <v>27</v>
      </c>
      <c r="E20" s="12">
        <f>COUNTIFS('2026年度培训主表'!B:B,B20,'2026年度培训主表'!C:C,C20,'2026年度培训主表'!D:D,D20)</f>
        <v>1</v>
      </c>
      <c r="F20" s="12">
        <f>COUNTIFS('2026年度培训主表'!B:B,B20,'2026年度培训主表'!C:C,C20,'2026年度培训主表'!D:D,D20,'2026年度培训主表'!L:L,"已签到")</f>
        <v>1</v>
      </c>
      <c r="G20" s="76">
        <f t="shared" si="0"/>
        <v>1</v>
      </c>
    </row>
    <row r="21" ht="16.5" spans="1:7">
      <c r="A21" s="12">
        <v>19</v>
      </c>
      <c r="B21" s="12" t="s">
        <v>23</v>
      </c>
      <c r="C21" s="12" t="s">
        <v>36</v>
      </c>
      <c r="D21" s="74" t="s">
        <v>30</v>
      </c>
      <c r="E21" s="12">
        <f>COUNTIFS('2026年度培训主表'!B:B,B21,'2026年度培训主表'!C:C,C21,'2026年度培训主表'!D:D,D21)</f>
        <v>8</v>
      </c>
      <c r="F21" s="12">
        <f>COUNTIFS('2026年度培训主表'!B:B,B21,'2026年度培训主表'!C:C,C21,'2026年度培训主表'!D:D,D21,'2026年度培训主表'!L:L,"已签到")</f>
        <v>8</v>
      </c>
      <c r="G21" s="76">
        <f t="shared" si="0"/>
        <v>1</v>
      </c>
    </row>
    <row r="22" ht="16.5" spans="1:7">
      <c r="A22" s="12">
        <v>20</v>
      </c>
      <c r="B22" s="12" t="s">
        <v>23</v>
      </c>
      <c r="C22" s="12" t="s">
        <v>38</v>
      </c>
      <c r="D22" s="74" t="s">
        <v>30</v>
      </c>
      <c r="E22" s="12">
        <f>COUNTIFS('2026年度培训主表'!B:B,B22,'2026年度培训主表'!C:C,C22,'2026年度培训主表'!D:D,D22)</f>
        <v>67</v>
      </c>
      <c r="F22" s="12">
        <f>COUNTIFS('2026年度培训主表'!B:B,B22,'2026年度培训主表'!C:C,C22,'2026年度培训主表'!D:D,D22,'2026年度培训主表'!L:L,"已签到")</f>
        <v>67</v>
      </c>
      <c r="G22" s="76">
        <f t="shared" si="0"/>
        <v>1</v>
      </c>
    </row>
    <row r="23" ht="16.5" spans="1:7">
      <c r="A23" s="12">
        <v>21</v>
      </c>
      <c r="B23" s="12" t="s">
        <v>23</v>
      </c>
      <c r="C23" s="12" t="s">
        <v>35</v>
      </c>
      <c r="D23" s="74" t="s">
        <v>30</v>
      </c>
      <c r="E23" s="12">
        <f>COUNTIFS('2026年度培训主表'!B:B,B23,'2026年度培训主表'!C:C,C23,'2026年度培训主表'!D:D,D23)</f>
        <v>24</v>
      </c>
      <c r="F23" s="12">
        <f>COUNTIFS('2026年度培训主表'!B:B,B23,'2026年度培训主表'!C:C,C23,'2026年度培训主表'!D:D,D23,'2026年度培训主表'!L:L,"已签到")</f>
        <v>24</v>
      </c>
      <c r="G23" s="76">
        <f t="shared" si="0"/>
        <v>1</v>
      </c>
    </row>
    <row r="24" ht="16.5" spans="1:7">
      <c r="A24" s="12">
        <v>22</v>
      </c>
      <c r="B24" s="12" t="s">
        <v>23</v>
      </c>
      <c r="C24" s="12" t="s">
        <v>32</v>
      </c>
      <c r="D24" s="74" t="s">
        <v>30</v>
      </c>
      <c r="E24" s="12">
        <f>COUNTIFS('2026年度培训主表'!B:B,B24,'2026年度培训主表'!C:C,C24,'2026年度培训主表'!D:D,D24)</f>
        <v>24</v>
      </c>
      <c r="F24" s="12">
        <f>COUNTIFS('2026年度培训主表'!B:B,B24,'2026年度培训主表'!C:C,C24,'2026年度培训主表'!D:D,D24,'2026年度培训主表'!L:L,"已签到")</f>
        <v>24</v>
      </c>
      <c r="G24" s="76">
        <f t="shared" si="0"/>
        <v>1</v>
      </c>
    </row>
    <row r="25" ht="16.5" spans="1:7">
      <c r="A25" s="12">
        <v>23</v>
      </c>
      <c r="B25" s="12" t="s">
        <v>23</v>
      </c>
      <c r="C25" s="12" t="s">
        <v>31</v>
      </c>
      <c r="D25" s="74" t="s">
        <v>30</v>
      </c>
      <c r="E25" s="12">
        <f>COUNTIFS('2026年度培训主表'!B:B,B25,'2026年度培训主表'!C:C,C25,'2026年度培训主表'!D:D,D25)</f>
        <v>16</v>
      </c>
      <c r="F25" s="12">
        <f>COUNTIFS('2026年度培训主表'!B:B,B25,'2026年度培训主表'!C:C,C25,'2026年度培训主表'!D:D,D25,'2026年度培训主表'!L:L,"已签到")</f>
        <v>16</v>
      </c>
      <c r="G25" s="76">
        <f t="shared" si="0"/>
        <v>1</v>
      </c>
    </row>
    <row r="26" ht="16.5" spans="1:7">
      <c r="A26" s="12">
        <v>24</v>
      </c>
      <c r="B26" s="12" t="s">
        <v>23</v>
      </c>
      <c r="C26" s="12" t="s">
        <v>37</v>
      </c>
      <c r="D26" s="74" t="s">
        <v>30</v>
      </c>
      <c r="E26" s="12">
        <f>COUNTIFS('2026年度培训主表'!B:B,B26,'2026年度培训主表'!C:C,C26,'2026年度培训主表'!D:D,D26)</f>
        <v>24</v>
      </c>
      <c r="F26" s="12">
        <f>COUNTIFS('2026年度培训主表'!B:B,B26,'2026年度培训主表'!C:C,C26,'2026年度培训主表'!D:D,D26,'2026年度培训主表'!L:L,"已签到")</f>
        <v>24</v>
      </c>
      <c r="G26" s="76">
        <f t="shared" si="0"/>
        <v>1</v>
      </c>
    </row>
    <row r="27" ht="16.5" spans="1:7">
      <c r="A27" s="12">
        <v>25</v>
      </c>
      <c r="B27" s="12" t="s">
        <v>23</v>
      </c>
      <c r="C27" s="12" t="s">
        <v>29</v>
      </c>
      <c r="D27" s="74" t="s">
        <v>30</v>
      </c>
      <c r="E27" s="12">
        <f>COUNTIFS('2026年度培训主表'!B:B,B27,'2026年度培训主表'!C:C,C27,'2026年度培训主表'!D:D,D27)</f>
        <v>4</v>
      </c>
      <c r="F27" s="12">
        <f>COUNTIFS('2026年度培训主表'!B:B,B27,'2026年度培训主表'!C:C,C27,'2026年度培训主表'!D:D,D27,'2026年度培训主表'!L:L,"已签到")</f>
        <v>4</v>
      </c>
      <c r="G27" s="76">
        <f t="shared" si="0"/>
        <v>1</v>
      </c>
    </row>
    <row r="28" ht="16.5" spans="1:7">
      <c r="A28" s="12">
        <v>26</v>
      </c>
      <c r="B28" s="12" t="s">
        <v>23</v>
      </c>
      <c r="C28" s="12" t="s">
        <v>38</v>
      </c>
      <c r="D28" s="74" t="s">
        <v>28</v>
      </c>
      <c r="E28" s="12">
        <f>COUNTIFS('2026年度培训主表'!B:B,B28,'2026年度培训主表'!C:C,C28,'2026年度培训主表'!D:D,D28)</f>
        <v>11</v>
      </c>
      <c r="F28" s="12">
        <f>COUNTIFS('2026年度培训主表'!B:B,B28,'2026年度培训主表'!C:C,C28,'2026年度培训主表'!D:D,D28,'2026年度培训主表'!L:L,"已签到")</f>
        <v>11</v>
      </c>
      <c r="G28" s="76">
        <f t="shared" si="0"/>
        <v>1</v>
      </c>
    </row>
    <row r="29" ht="16.5" spans="1:7">
      <c r="A29" s="12">
        <v>27</v>
      </c>
      <c r="B29" s="12" t="s">
        <v>23</v>
      </c>
      <c r="C29" s="12" t="s">
        <v>37</v>
      </c>
      <c r="D29" s="74" t="s">
        <v>28</v>
      </c>
      <c r="E29" s="12">
        <f>COUNTIFS('2026年度培训主表'!B:B,B29,'2026年度培训主表'!C:C,C29,'2026年度培训主表'!D:D,D29)</f>
        <v>4</v>
      </c>
      <c r="F29" s="12">
        <f>COUNTIFS('2026年度培训主表'!B:B,B29,'2026年度培训主表'!C:C,C29,'2026年度培训主表'!D:D,D29,'2026年度培训主表'!L:L,"已签到")</f>
        <v>4</v>
      </c>
      <c r="G29" s="76">
        <f t="shared" si="0"/>
        <v>1</v>
      </c>
    </row>
    <row r="30" ht="16.5" spans="1:7">
      <c r="A30" s="12">
        <v>28</v>
      </c>
      <c r="B30" s="12" t="s">
        <v>23</v>
      </c>
      <c r="C30" s="12" t="s">
        <v>36</v>
      </c>
      <c r="D30" s="74" t="s">
        <v>28</v>
      </c>
      <c r="E30" s="12">
        <f>COUNTIFS('2026年度培训主表'!B:B,B30,'2026年度培训主表'!C:C,C30,'2026年度培训主表'!D:D,D30)</f>
        <v>3</v>
      </c>
      <c r="F30" s="12">
        <f>COUNTIFS('2026年度培训主表'!B:B,B30,'2026年度培训主表'!C:C,C30,'2026年度培训主表'!D:D,D30,'2026年度培训主表'!L:L,"已签到")</f>
        <v>3</v>
      </c>
      <c r="G30" s="76">
        <f t="shared" si="0"/>
        <v>1</v>
      </c>
    </row>
    <row r="31" ht="16.5" spans="1:7">
      <c r="A31" s="12">
        <v>29</v>
      </c>
      <c r="B31" s="12" t="s">
        <v>23</v>
      </c>
      <c r="C31" s="12" t="s">
        <v>35</v>
      </c>
      <c r="D31" s="74" t="s">
        <v>28</v>
      </c>
      <c r="E31" s="12">
        <f>COUNTIFS('2026年度培训主表'!B:B,B31,'2026年度培训主表'!C:C,C31,'2026年度培训主表'!D:D,D31)</f>
        <v>3</v>
      </c>
      <c r="F31" s="12">
        <f>COUNTIFS('2026年度培训主表'!B:B,B31,'2026年度培训主表'!C:C,C31,'2026年度培训主表'!D:D,D31,'2026年度培训主表'!L:L,"已签到")</f>
        <v>3</v>
      </c>
      <c r="G31" s="76">
        <f t="shared" si="0"/>
        <v>1</v>
      </c>
    </row>
    <row r="32" ht="16.5" spans="1:7">
      <c r="A32" s="12">
        <v>30</v>
      </c>
      <c r="B32" s="12" t="s">
        <v>23</v>
      </c>
      <c r="C32" s="12" t="s">
        <v>33</v>
      </c>
      <c r="D32" s="74" t="s">
        <v>28</v>
      </c>
      <c r="E32" s="12">
        <f>COUNTIFS('2026年度培训主表'!B:B,B32,'2026年度培训主表'!C:C,C32,'2026年度培训主表'!D:D,D32)</f>
        <v>2</v>
      </c>
      <c r="F32" s="12">
        <f>COUNTIFS('2026年度培训主表'!B:B,B32,'2026年度培训主表'!C:C,C32,'2026年度培训主表'!D:D,D32,'2026年度培训主表'!L:L,"已签到")</f>
        <v>2</v>
      </c>
      <c r="G32" s="76">
        <f t="shared" si="0"/>
        <v>1</v>
      </c>
    </row>
    <row r="33" ht="16.5" spans="1:7">
      <c r="A33" s="12">
        <v>31</v>
      </c>
      <c r="B33" s="12" t="s">
        <v>23</v>
      </c>
      <c r="C33" s="12" t="s">
        <v>32</v>
      </c>
      <c r="D33" s="74" t="s">
        <v>28</v>
      </c>
      <c r="E33" s="12">
        <f>COUNTIFS('2026年度培训主表'!B:B,B33,'2026年度培训主表'!C:C,C33,'2026年度培训主表'!D:D,D33)</f>
        <v>4</v>
      </c>
      <c r="F33" s="12">
        <f>COUNTIFS('2026年度培训主表'!B:B,B33,'2026年度培训主表'!C:C,C33,'2026年度培训主表'!D:D,D33,'2026年度培训主表'!L:L,"已签到")</f>
        <v>4</v>
      </c>
      <c r="G33" s="76">
        <f t="shared" si="0"/>
        <v>1</v>
      </c>
    </row>
    <row r="34" ht="16.5" spans="1:7">
      <c r="A34" s="12">
        <v>32</v>
      </c>
      <c r="B34" s="12" t="s">
        <v>23</v>
      </c>
      <c r="C34" s="12" t="s">
        <v>31</v>
      </c>
      <c r="D34" s="74" t="s">
        <v>28</v>
      </c>
      <c r="E34" s="12">
        <f>COUNTIFS('2026年度培训主表'!B:B,B34,'2026年度培训主表'!C:C,C34,'2026年度培训主表'!D:D,D34)</f>
        <v>3</v>
      </c>
      <c r="F34" s="12">
        <f>COUNTIFS('2026年度培训主表'!B:B,B34,'2026年度培训主表'!C:C,C34,'2026年度培训主表'!D:D,D34,'2026年度培训主表'!L:L,"已签到")</f>
        <v>3</v>
      </c>
      <c r="G34" s="76">
        <f t="shared" si="0"/>
        <v>1</v>
      </c>
    </row>
    <row r="35" ht="16.5" spans="1:7">
      <c r="A35" s="12">
        <v>33</v>
      </c>
      <c r="B35" s="12" t="s">
        <v>23</v>
      </c>
      <c r="C35" s="12" t="s">
        <v>29</v>
      </c>
      <c r="D35" s="74" t="s">
        <v>28</v>
      </c>
      <c r="E35" s="12">
        <f>COUNTIFS('2026年度培训主表'!B:B,B35,'2026年度培训主表'!C:C,C35,'2026年度培训主表'!D:D,D35)</f>
        <v>3</v>
      </c>
      <c r="F35" s="12">
        <f>COUNTIFS('2026年度培训主表'!B:B,B35,'2026年度培训主表'!C:C,C35,'2026年度培训主表'!D:D,D35,'2026年度培训主表'!L:L,"已签到")</f>
        <v>3</v>
      </c>
      <c r="G35" s="76">
        <f t="shared" si="0"/>
        <v>1</v>
      </c>
    </row>
    <row r="36" ht="16.5" spans="1:7">
      <c r="A36" s="12">
        <v>34</v>
      </c>
      <c r="B36" s="12" t="s">
        <v>23</v>
      </c>
      <c r="C36" s="12" t="s">
        <v>26</v>
      </c>
      <c r="D36" s="74" t="s">
        <v>28</v>
      </c>
      <c r="E36" s="12">
        <f>COUNTIFS('2026年度培训主表'!B:B,B36,'2026年度培训主表'!C:C,C36,'2026年度培训主表'!D:D,D36)</f>
        <v>2</v>
      </c>
      <c r="F36" s="12">
        <f>COUNTIFS('2026年度培训主表'!B:B,B36,'2026年度培训主表'!C:C,C36,'2026年度培训主表'!D:D,D36,'2026年度培训主表'!L:L,"已签到")</f>
        <v>2</v>
      </c>
      <c r="G36" s="76">
        <f t="shared" si="0"/>
        <v>1</v>
      </c>
    </row>
    <row r="37" ht="16.5" spans="1:7">
      <c r="A37" s="12">
        <v>35</v>
      </c>
      <c r="B37" s="12" t="s">
        <v>39</v>
      </c>
      <c r="C37" s="12" t="s">
        <v>38</v>
      </c>
      <c r="D37" s="46" t="s">
        <v>1348</v>
      </c>
      <c r="E37" s="12">
        <f>COUNTIFS('2026年度培训主表'!B:B,B37,'2026年度培训主表'!C:C,C37,'2026年度培训主表'!D:D,D37)</f>
        <v>30</v>
      </c>
      <c r="F37" s="12">
        <f>COUNTIFS('2026年度培训主表'!B:B,B37,'2026年度培训主表'!C:C,C37,'2026年度培训主表'!D:D,D37,'2026年度培训主表'!L:L,"已签到")</f>
        <v>30</v>
      </c>
      <c r="G37" s="76">
        <f t="shared" ref="G37:G49" si="1">F37/E37</f>
        <v>1</v>
      </c>
    </row>
    <row r="38" ht="16.5" spans="1:7">
      <c r="A38" s="12">
        <v>36</v>
      </c>
      <c r="B38" s="12" t="s">
        <v>39</v>
      </c>
      <c r="C38" s="12" t="s">
        <v>32</v>
      </c>
      <c r="D38" s="46" t="s">
        <v>1348</v>
      </c>
      <c r="E38" s="12">
        <f>COUNTIFS('2026年度培训主表'!B:B,B38,'2026年度培训主表'!C:C,C38,'2026年度培训主表'!D:D,D38)</f>
        <v>8</v>
      </c>
      <c r="F38" s="12">
        <f>COUNTIFS('2026年度培训主表'!B:B,B38,'2026年度培训主表'!C:C,C38,'2026年度培训主表'!D:D,D38,'2026年度培训主表'!L:L,"已签到")</f>
        <v>8</v>
      </c>
      <c r="G38" s="76">
        <f t="shared" si="1"/>
        <v>1</v>
      </c>
    </row>
    <row r="39" ht="16.5" spans="1:7">
      <c r="A39" s="12">
        <v>37</v>
      </c>
      <c r="B39" s="12" t="s">
        <v>39</v>
      </c>
      <c r="C39" s="12" t="s">
        <v>37</v>
      </c>
      <c r="D39" s="46" t="s">
        <v>1348</v>
      </c>
      <c r="E39" s="12">
        <f>COUNTIFS('2026年度培训主表'!B:B,B39,'2026年度培训主表'!C:C,C39,'2026年度培训主表'!D:D,D39)</f>
        <v>6</v>
      </c>
      <c r="F39" s="12">
        <f>COUNTIFS('2026年度培训主表'!B:B,B39,'2026年度培训主表'!C:C,C39,'2026年度培训主表'!D:D,D39,'2026年度培训主表'!L:L,"已签到")</f>
        <v>6</v>
      </c>
      <c r="G39" s="76">
        <f t="shared" si="1"/>
        <v>1</v>
      </c>
    </row>
    <row r="40" ht="16.5" spans="1:7">
      <c r="A40" s="12">
        <v>38</v>
      </c>
      <c r="B40" s="12" t="s">
        <v>39</v>
      </c>
      <c r="C40" s="12" t="s">
        <v>29</v>
      </c>
      <c r="D40" s="46" t="s">
        <v>1348</v>
      </c>
      <c r="E40" s="12">
        <f>COUNTIFS('2026年度培训主表'!B:B,B40,'2026年度培训主表'!C:C,C40,'2026年度培训主表'!D:D,D40)</f>
        <v>6</v>
      </c>
      <c r="F40" s="12">
        <f>COUNTIFS('2026年度培训主表'!B:B,B40,'2026年度培训主表'!C:C,C40,'2026年度培训主表'!D:D,D40,'2026年度培训主表'!L:L,"已签到")</f>
        <v>6</v>
      </c>
      <c r="G40" s="76">
        <f t="shared" si="1"/>
        <v>1</v>
      </c>
    </row>
    <row r="41" ht="16.5" spans="1:7">
      <c r="A41" s="12">
        <v>39</v>
      </c>
      <c r="B41" s="12" t="s">
        <v>39</v>
      </c>
      <c r="C41" s="12" t="s">
        <v>31</v>
      </c>
      <c r="D41" s="46" t="s">
        <v>1348</v>
      </c>
      <c r="E41" s="12">
        <f>COUNTIFS('2026年度培训主表'!B:B,B41,'2026年度培训主表'!C:C,C41,'2026年度培训主表'!D:D,D41)</f>
        <v>6</v>
      </c>
      <c r="F41" s="12">
        <f>COUNTIFS('2026年度培训主表'!B:B,B41,'2026年度培训主表'!C:C,C41,'2026年度培训主表'!D:D,D41,'2026年度培训主表'!L:L,"已签到")</f>
        <v>6</v>
      </c>
      <c r="G41" s="76">
        <f t="shared" si="1"/>
        <v>1</v>
      </c>
    </row>
    <row r="42" ht="16.5" spans="1:7">
      <c r="A42" s="12">
        <v>40</v>
      </c>
      <c r="B42" s="12" t="s">
        <v>39</v>
      </c>
      <c r="C42" s="12" t="s">
        <v>35</v>
      </c>
      <c r="D42" s="46" t="s">
        <v>1348</v>
      </c>
      <c r="E42" s="12">
        <f>COUNTIFS('2026年度培训主表'!B:B,B42,'2026年度培训主表'!C:C,C42,'2026年度培训主表'!D:D,D42)</f>
        <v>8</v>
      </c>
      <c r="F42" s="12">
        <f>COUNTIFS('2026年度培训主表'!B:B,B42,'2026年度培训主表'!C:C,C42,'2026年度培训主表'!D:D,D42,'2026年度培训主表'!L:L,"已签到")</f>
        <v>8</v>
      </c>
      <c r="G42" s="76">
        <f t="shared" si="1"/>
        <v>1</v>
      </c>
    </row>
    <row r="43" ht="16.5" spans="1:7">
      <c r="A43" s="12">
        <v>41</v>
      </c>
      <c r="B43" s="12" t="s">
        <v>39</v>
      </c>
      <c r="C43" s="12" t="s">
        <v>26</v>
      </c>
      <c r="D43" s="46" t="s">
        <v>1348</v>
      </c>
      <c r="E43" s="12">
        <f>COUNTIFS('2026年度培训主表'!B:B,B43,'2026年度培训主表'!C:C,C43,'2026年度培训主表'!D:D,D43)</f>
        <v>8</v>
      </c>
      <c r="F43" s="12">
        <f>COUNTIFS('2026年度培训主表'!B:B,B43,'2026年度培训主表'!C:C,C43,'2026年度培训主表'!D:D,D43,'2026年度培训主表'!L:L,"已签到")</f>
        <v>8</v>
      </c>
      <c r="G43" s="76">
        <f t="shared" si="1"/>
        <v>1</v>
      </c>
    </row>
    <row r="44" ht="16.5" spans="1:7">
      <c r="A44" s="12">
        <v>42</v>
      </c>
      <c r="B44" s="12" t="s">
        <v>39</v>
      </c>
      <c r="C44" s="12" t="s">
        <v>43</v>
      </c>
      <c r="D44" s="46" t="s">
        <v>1348</v>
      </c>
      <c r="E44" s="12">
        <f>COUNTIFS('2026年度培训主表'!B:B,B44,'2026年度培训主表'!C:C,C44,'2026年度培训主表'!D:D,D44)</f>
        <v>2</v>
      </c>
      <c r="F44" s="12">
        <f>COUNTIFS('2026年度培训主表'!B:B,B44,'2026年度培训主表'!C:C,C44,'2026年度培训主表'!D:D,D44,'2026年度培训主表'!L:L,"已签到")</f>
        <v>2</v>
      </c>
      <c r="G44" s="76">
        <f t="shared" si="1"/>
        <v>1</v>
      </c>
    </row>
    <row r="45" ht="16.5" spans="1:7">
      <c r="A45" s="12">
        <v>43</v>
      </c>
      <c r="B45" s="12" t="s">
        <v>39</v>
      </c>
      <c r="C45" s="12" t="s">
        <v>24</v>
      </c>
      <c r="D45" s="46" t="s">
        <v>1348</v>
      </c>
      <c r="E45" s="12">
        <f>COUNTIFS('2026年度培训主表'!B:B,B45,'2026年度培训主表'!C:C,C45,'2026年度培训主表'!D:D,D45)</f>
        <v>2</v>
      </c>
      <c r="F45" s="12">
        <f>COUNTIFS('2026年度培训主表'!B:B,B45,'2026年度培训主表'!C:C,C45,'2026年度培训主表'!D:D,D45,'2026年度培训主表'!L:L,"已签到")</f>
        <v>2</v>
      </c>
      <c r="G45" s="76">
        <f t="shared" si="1"/>
        <v>1</v>
      </c>
    </row>
    <row r="46" ht="16.5" spans="1:7">
      <c r="A46" s="12">
        <v>44</v>
      </c>
      <c r="B46" s="12" t="s">
        <v>39</v>
      </c>
      <c r="C46" s="12" t="s">
        <v>33</v>
      </c>
      <c r="D46" s="46" t="s">
        <v>1348</v>
      </c>
      <c r="E46" s="12">
        <f>COUNTIFS('2026年度培训主表'!B:B,B46,'2026年度培训主表'!C:C,C46,'2026年度培训主表'!D:D,D46)</f>
        <v>4</v>
      </c>
      <c r="F46" s="12">
        <f>COUNTIFS('2026年度培训主表'!B:B,B46,'2026年度培训主表'!C:C,C46,'2026年度培训主表'!D:D,D46,'2026年度培训主表'!L:L,"已签到")</f>
        <v>4</v>
      </c>
      <c r="G46" s="76">
        <f t="shared" si="1"/>
        <v>1</v>
      </c>
    </row>
    <row r="47" ht="16.5" spans="1:7">
      <c r="A47" s="12">
        <v>45</v>
      </c>
      <c r="B47" s="12" t="s">
        <v>39</v>
      </c>
      <c r="C47" s="12" t="s">
        <v>34</v>
      </c>
      <c r="D47" s="46" t="s">
        <v>1348</v>
      </c>
      <c r="E47" s="12">
        <f>COUNTIFS('2026年度培训主表'!B:B,B47,'2026年度培训主表'!C:C,C47,'2026年度培训主表'!D:D,D47)</f>
        <v>2</v>
      </c>
      <c r="F47" s="12">
        <f>COUNTIFS('2026年度培训主表'!B:B,B47,'2026年度培训主表'!C:C,C47,'2026年度培训主表'!D:D,D47,'2026年度培训主表'!L:L,"已签到")</f>
        <v>2</v>
      </c>
      <c r="G47" s="76">
        <f t="shared" si="1"/>
        <v>1</v>
      </c>
    </row>
    <row r="48" ht="16.5" spans="1:7">
      <c r="A48" s="12">
        <v>46</v>
      </c>
      <c r="B48" s="12" t="s">
        <v>39</v>
      </c>
      <c r="C48" s="12" t="s">
        <v>36</v>
      </c>
      <c r="D48" s="46" t="s">
        <v>1348</v>
      </c>
      <c r="E48" s="12">
        <f>COUNTIFS('2026年度培训主表'!B:B,B48,'2026年度培训主表'!C:C,C48,'2026年度培训主表'!D:D,D48)</f>
        <v>6</v>
      </c>
      <c r="F48" s="12">
        <f>COUNTIFS('2026年度培训主表'!B:B,B48,'2026年度培训主表'!C:C,C48,'2026年度培训主表'!D:D,D48,'2026年度培训主表'!L:L,"已签到")</f>
        <v>6</v>
      </c>
      <c r="G48" s="76">
        <f t="shared" si="1"/>
        <v>1</v>
      </c>
    </row>
    <row r="49" ht="16.5" spans="1:7">
      <c r="A49" s="12">
        <v>47</v>
      </c>
      <c r="B49" s="12" t="s">
        <v>39</v>
      </c>
      <c r="C49" s="12" t="s">
        <v>44</v>
      </c>
      <c r="D49" s="46" t="s">
        <v>1348</v>
      </c>
      <c r="E49" s="12">
        <f>COUNTIFS('2026年度培训主表'!B:B,B49,'2026年度培训主表'!C:C,C49,'2026年度培训主表'!D:D,D49)</f>
        <v>2</v>
      </c>
      <c r="F49" s="12">
        <f>COUNTIFS('2026年度培训主表'!B:B,B49,'2026年度培训主表'!C:C,C49,'2026年度培训主表'!D:D,D49,'2026年度培训主表'!L:L,"已签到")</f>
        <v>2</v>
      </c>
      <c r="G49" s="76">
        <f t="shared" si="1"/>
        <v>1</v>
      </c>
    </row>
    <row r="50" s="88" customFormat="1" ht="16.5" spans="1:7">
      <c r="A50" s="12">
        <v>58</v>
      </c>
      <c r="B50" s="12" t="s">
        <v>45</v>
      </c>
      <c r="C50" s="12" t="s">
        <v>38</v>
      </c>
      <c r="D50" s="46" t="s">
        <v>30</v>
      </c>
      <c r="E50" s="12">
        <f>COUNTIFS('2026年度培训主表'!B:B,B50,'2026年度培训主表'!C:C,C50,'2026年度培训主表'!D:D,D50)</f>
        <v>54</v>
      </c>
      <c r="F50" s="12">
        <f>COUNTIFS('2026年度培训主表'!B:B,B50,'2026年度培训主表'!C:C,C50,'2026年度培训主表'!D:D,D50,'2026年度培训主表'!L:L,"已签到")</f>
        <v>54</v>
      </c>
      <c r="G50" s="76">
        <f>F50/E50</f>
        <v>1</v>
      </c>
    </row>
    <row r="51" ht="16.5" spans="1:7">
      <c r="A51" s="12">
        <v>59</v>
      </c>
      <c r="B51" s="12" t="s">
        <v>45</v>
      </c>
      <c r="C51" s="12" t="s">
        <v>32</v>
      </c>
      <c r="D51" s="46" t="s">
        <v>30</v>
      </c>
      <c r="E51" s="12">
        <f>COUNTIFS('2026年度培训主表'!B:B,B51,'2026年度培训主表'!C:C,C51,'2026年度培训主表'!D:D,D51)</f>
        <v>10</v>
      </c>
      <c r="F51" s="12">
        <f>COUNTIFS('2026年度培训主表'!B:B,B51,'2026年度培训主表'!C:C,C51,'2026年度培训主表'!D:D,D51,'2026年度培训主表'!L:L,"已签到")</f>
        <v>10</v>
      </c>
      <c r="G51" s="76">
        <f>F51/E51</f>
        <v>1</v>
      </c>
    </row>
    <row r="52" ht="16.5" spans="1:7">
      <c r="A52" s="12">
        <v>60</v>
      </c>
      <c r="B52" s="12" t="s">
        <v>45</v>
      </c>
      <c r="C52" s="12" t="s">
        <v>37</v>
      </c>
      <c r="D52" s="46" t="s">
        <v>30</v>
      </c>
      <c r="E52" s="12">
        <f>COUNTIFS('2026年度培训主表'!B:B,B52,'2026年度培训主表'!C:C,C52,'2026年度培训主表'!D:D,D52)</f>
        <v>6</v>
      </c>
      <c r="F52" s="12">
        <f>COUNTIFS('2026年度培训主表'!B:B,B52,'2026年度培训主表'!C:C,C52,'2026年度培训主表'!D:D,D52,'2026年度培训主表'!L:L,"已签到")</f>
        <v>6</v>
      </c>
      <c r="G52" s="76">
        <f>F52/E52</f>
        <v>1</v>
      </c>
    </row>
    <row r="53" ht="16.5" spans="1:7">
      <c r="A53" s="12">
        <v>61</v>
      </c>
      <c r="B53" s="12" t="s">
        <v>45</v>
      </c>
      <c r="C53" s="12" t="s">
        <v>29</v>
      </c>
      <c r="D53" s="46" t="s">
        <v>30</v>
      </c>
      <c r="E53" s="12">
        <f>COUNTIFS('2026年度培训主表'!B:B,B53,'2026年度培训主表'!C:C,C53,'2026年度培训主表'!D:D,D53)</f>
        <v>10</v>
      </c>
      <c r="F53" s="12">
        <f>COUNTIFS('2026年度培训主表'!B:B,B53,'2026年度培训主表'!C:C,C53,'2026年度培训主表'!D:D,D53,'2026年度培训主表'!L:L,"已签到")</f>
        <v>10</v>
      </c>
      <c r="G53" s="76">
        <f>F53/E53</f>
        <v>1</v>
      </c>
    </row>
    <row r="54" ht="16.5" spans="1:7">
      <c r="A54" s="12">
        <v>62</v>
      </c>
      <c r="B54" s="12" t="s">
        <v>45</v>
      </c>
      <c r="C54" s="12" t="s">
        <v>31</v>
      </c>
      <c r="D54" s="46" t="s">
        <v>30</v>
      </c>
      <c r="E54" s="12">
        <f>COUNTIFS('2026年度培训主表'!B:B,B54,'2026年度培训主表'!C:C,C54,'2026年度培训主表'!D:D,D54)</f>
        <v>6</v>
      </c>
      <c r="F54" s="12">
        <f>COUNTIFS('2026年度培训主表'!B:B,B54,'2026年度培训主表'!C:C,C54,'2026年度培训主表'!D:D,D54,'2026年度培训主表'!L:L,"已签到")</f>
        <v>6</v>
      </c>
      <c r="G54" s="76">
        <f>F54/E54</f>
        <v>1</v>
      </c>
    </row>
    <row r="55" ht="16.5" spans="1:7">
      <c r="A55" s="12">
        <v>63</v>
      </c>
      <c r="B55" s="12" t="s">
        <v>45</v>
      </c>
      <c r="C55" s="12" t="s">
        <v>24</v>
      </c>
      <c r="D55" s="46" t="s">
        <v>30</v>
      </c>
      <c r="E55" s="12">
        <f>COUNTIFS('2026年度培训主表'!B:B,B55,'2026年度培训主表'!C:C,C55,'2026年度培训主表'!D:D,D55)</f>
        <v>10</v>
      </c>
      <c r="F55" s="12">
        <f>COUNTIFS('2026年度培训主表'!B:B,B55,'2026年度培训主表'!C:C,C55,'2026年度培训主表'!D:D,D55,'2026年度培训主表'!L:L,"已签到")</f>
        <v>10</v>
      </c>
      <c r="G55" s="76">
        <f>F55/E55</f>
        <v>1</v>
      </c>
    </row>
    <row r="56" ht="16.5" spans="1:7">
      <c r="A56" s="12">
        <v>64</v>
      </c>
      <c r="B56" s="12" t="s">
        <v>45</v>
      </c>
      <c r="C56" s="12" t="s">
        <v>35</v>
      </c>
      <c r="D56" s="46" t="s">
        <v>30</v>
      </c>
      <c r="E56" s="12">
        <f>COUNTIFS('2026年度培训主表'!B:B,B56,'2026年度培训主表'!C:C,C56,'2026年度培训主表'!D:D,D56)</f>
        <v>6</v>
      </c>
      <c r="F56" s="12">
        <f>COUNTIFS('2026年度培训主表'!B:B,B56,'2026年度培训主表'!C:C,C56,'2026年度培训主表'!D:D,D56,'2026年度培训主表'!L:L,"已签到")</f>
        <v>6</v>
      </c>
      <c r="G56" s="76">
        <f>F56/E56</f>
        <v>1</v>
      </c>
    </row>
    <row r="57" ht="16.5" spans="1:7">
      <c r="A57" s="12">
        <v>65</v>
      </c>
      <c r="B57" s="12" t="s">
        <v>45</v>
      </c>
      <c r="C57" s="12" t="s">
        <v>36</v>
      </c>
      <c r="D57" s="46" t="s">
        <v>30</v>
      </c>
      <c r="E57" s="12">
        <f>COUNTIFS('2026年度培训主表'!B:B,B57,'2026年度培训主表'!C:C,C57,'2026年度培训主表'!D:D,D57)</f>
        <v>6</v>
      </c>
      <c r="F57" s="12">
        <f>COUNTIFS('2026年度培训主表'!B:B,B57,'2026年度培训主表'!C:C,C57,'2026年度培训主表'!D:D,D57,'2026年度培训主表'!L:L,"已签到")</f>
        <v>6</v>
      </c>
      <c r="G57" s="76">
        <f>F57/E57</f>
        <v>1</v>
      </c>
    </row>
    <row r="58" ht="16.5" spans="1:7">
      <c r="A58" s="12">
        <v>66</v>
      </c>
      <c r="B58" s="12" t="s">
        <v>45</v>
      </c>
      <c r="C58" s="12" t="s">
        <v>26</v>
      </c>
      <c r="D58" s="46" t="s">
        <v>30</v>
      </c>
      <c r="E58" s="12">
        <f>COUNTIFS('2026年度培训主表'!B:B,B58,'2026年度培训主表'!C:C,C58,'2026年度培训主表'!D:D,D58)</f>
        <v>6</v>
      </c>
      <c r="F58" s="12">
        <f>COUNTIFS('2026年度培训主表'!B:B,B58,'2026年度培训主表'!C:C,C58,'2026年度培训主表'!D:D,D58,'2026年度培训主表'!L:L,"已签到")</f>
        <v>6</v>
      </c>
      <c r="G58" s="76">
        <f>F58/E58</f>
        <v>1</v>
      </c>
    </row>
    <row r="59" ht="16.5" spans="1:7">
      <c r="A59" s="12">
        <v>67</v>
      </c>
      <c r="B59" s="12" t="s">
        <v>45</v>
      </c>
      <c r="C59" s="12" t="s">
        <v>38</v>
      </c>
      <c r="D59" s="46" t="s">
        <v>27</v>
      </c>
      <c r="E59" s="12">
        <f>COUNTIFS('2026年度培训主表'!B:B,B59,'2026年度培训主表'!C:C,C59,'2026年度培训主表'!D:D,D59)</f>
        <v>183</v>
      </c>
      <c r="F59" s="12">
        <f>COUNTIFS('2026年度培训主表'!B:B,B59,'2026年度培训主表'!C:C,C59,'2026年度培训主表'!D:D,D59,'2026年度培训主表'!L:L,"已签到")</f>
        <v>107</v>
      </c>
      <c r="G59" s="76">
        <f>F59/E59</f>
        <v>0.584699453551913</v>
      </c>
    </row>
    <row r="60" ht="16.5" spans="1:7">
      <c r="A60" s="12">
        <v>68</v>
      </c>
      <c r="B60" s="12" t="s">
        <v>45</v>
      </c>
      <c r="C60" s="12" t="s">
        <v>32</v>
      </c>
      <c r="D60" s="46" t="s">
        <v>27</v>
      </c>
      <c r="E60" s="12">
        <f>COUNTIFS('2026年度培训主表'!B:B,B60,'2026年度培训主表'!C:C,C60,'2026年度培训主表'!D:D,D60)</f>
        <v>3</v>
      </c>
      <c r="F60" s="12">
        <f>COUNTIFS('2026年度培训主表'!B:B,B60,'2026年度培训主表'!C:C,C60,'2026年度培训主表'!D:D,D60,'2026年度培训主表'!L:L,"已签到")</f>
        <v>3</v>
      </c>
      <c r="G60" s="76">
        <f>F60/E60</f>
        <v>1</v>
      </c>
    </row>
    <row r="61" ht="16.5" spans="1:7">
      <c r="A61" s="12">
        <v>69</v>
      </c>
      <c r="B61" s="12" t="s">
        <v>45</v>
      </c>
      <c r="C61" s="12" t="s">
        <v>37</v>
      </c>
      <c r="D61" s="46" t="s">
        <v>27</v>
      </c>
      <c r="E61" s="12">
        <f>COUNTIFS('2026年度培训主表'!B:B,B61,'2026年度培训主表'!C:C,C61,'2026年度培训主表'!D:D,D61)</f>
        <v>39</v>
      </c>
      <c r="F61" s="12">
        <f>COUNTIFS('2026年度培训主表'!B:B,B61,'2026年度培训主表'!C:C,C61,'2026年度培训主表'!D:D,D61,'2026年度培训主表'!L:L,"已签到")</f>
        <v>21</v>
      </c>
      <c r="G61" s="76">
        <f>F61/E61</f>
        <v>0.538461538461538</v>
      </c>
    </row>
    <row r="62" ht="16.5" spans="1:7">
      <c r="A62" s="12">
        <v>70</v>
      </c>
      <c r="B62" s="12" t="s">
        <v>45</v>
      </c>
      <c r="C62" s="12" t="s">
        <v>29</v>
      </c>
      <c r="D62" s="46" t="s">
        <v>27</v>
      </c>
      <c r="E62" s="12">
        <f>COUNTIFS('2026年度培训主表'!B:B,B62,'2026年度培训主表'!C:C,C62,'2026年度培训主表'!D:D,D62)</f>
        <v>27</v>
      </c>
      <c r="F62" s="12">
        <f>COUNTIFS('2026年度培训主表'!B:B,B62,'2026年度培训主表'!C:C,C62,'2026年度培训主表'!D:D,D62,'2026年度培训主表'!L:L,"已签到")</f>
        <v>24</v>
      </c>
      <c r="G62" s="76">
        <f>F62/E62</f>
        <v>0.888888888888889</v>
      </c>
    </row>
    <row r="63" ht="16.5" spans="1:7">
      <c r="A63" s="12">
        <v>71</v>
      </c>
      <c r="B63" s="12" t="s">
        <v>45</v>
      </c>
      <c r="C63" s="12" t="s">
        <v>31</v>
      </c>
      <c r="D63" s="46" t="s">
        <v>27</v>
      </c>
      <c r="E63" s="12">
        <f>COUNTIFS('2026年度培训主表'!B:B,B63,'2026年度培训主表'!C:C,C63,'2026年度培训主表'!D:D,D63)</f>
        <v>29</v>
      </c>
      <c r="F63" s="12">
        <f>COUNTIFS('2026年度培训主表'!B:B,B63,'2026年度培训主表'!C:C,C63,'2026年度培训主表'!D:D,D63,'2026年度培训主表'!L:L,"已签到")</f>
        <v>26</v>
      </c>
      <c r="G63" s="76">
        <f>F63/E63</f>
        <v>0.896551724137931</v>
      </c>
    </row>
    <row r="64" ht="16.5" spans="1:7">
      <c r="A64" s="12">
        <v>72</v>
      </c>
      <c r="B64" s="92" t="s">
        <v>45</v>
      </c>
      <c r="C64" s="92" t="s">
        <v>35</v>
      </c>
      <c r="D64" s="93" t="s">
        <v>27</v>
      </c>
      <c r="E64" s="92">
        <f>COUNTIFS('2026年度培训主表'!B:B,B64,'2026年度培训主表'!C:C,C64,'2026年度培训主表'!D:D,D64)</f>
        <v>18</v>
      </c>
      <c r="F64" s="92">
        <f>COUNTIFS('2026年度培训主表'!B:B,B64,'2026年度培训主表'!C:C,C64,'2026年度培训主表'!D:D,D64,'2026年度培训主表'!L:L,"已签到")</f>
        <v>9</v>
      </c>
      <c r="G64" s="94">
        <f>F64/E64</f>
        <v>0.5</v>
      </c>
    </row>
    <row r="65" ht="16.5" spans="1:7">
      <c r="A65" s="12">
        <v>73</v>
      </c>
      <c r="B65" s="92" t="s">
        <v>45</v>
      </c>
      <c r="C65" s="92" t="s">
        <v>26</v>
      </c>
      <c r="D65" s="93" t="s">
        <v>27</v>
      </c>
      <c r="E65" s="92">
        <f>COUNTIFS('2026年度培训主表'!B:B,B65,'2026年度培训主表'!C:C,C65,'2026年度培训主表'!D:D,D65)</f>
        <v>12</v>
      </c>
      <c r="F65" s="92">
        <f>COUNTIFS('2026年度培训主表'!B:B,B65,'2026年度培训主表'!C:C,C65,'2026年度培训主表'!D:D,D65,'2026年度培训主表'!L:L,"已签到")</f>
        <v>6</v>
      </c>
      <c r="G65" s="94">
        <f>F65/E65</f>
        <v>0.5</v>
      </c>
    </row>
    <row r="66" ht="16.5" spans="1:7">
      <c r="A66" s="12">
        <v>74</v>
      </c>
      <c r="B66" s="12" t="s">
        <v>45</v>
      </c>
      <c r="C66" s="12" t="s">
        <v>33</v>
      </c>
      <c r="D66" s="46" t="s">
        <v>27</v>
      </c>
      <c r="E66" s="12">
        <f>COUNTIFS('2026年度培训主表'!B:B,B66,'2026年度培训主表'!C:C,C66,'2026年度培训主表'!D:D,D66)</f>
        <v>6</v>
      </c>
      <c r="F66" s="12">
        <f>COUNTIFS('2026年度培训主表'!B:B,B66,'2026年度培训主表'!C:C,C66,'2026年度培训主表'!D:D,D66,'2026年度培训主表'!L:L,"已签到")</f>
        <v>6</v>
      </c>
      <c r="G66" s="76">
        <f>F66/E66</f>
        <v>1</v>
      </c>
    </row>
    <row r="67" ht="16.5" spans="1:7">
      <c r="A67" s="12">
        <v>75</v>
      </c>
      <c r="B67" s="12" t="s">
        <v>45</v>
      </c>
      <c r="C67" s="12" t="s">
        <v>36</v>
      </c>
      <c r="D67" s="46" t="s">
        <v>27</v>
      </c>
      <c r="E67" s="12">
        <f>COUNTIFS('2026年度培训主表'!B:B,B67,'2026年度培训主表'!C:C,C67,'2026年度培训主表'!D:D,D67)</f>
        <v>21</v>
      </c>
      <c r="F67" s="12">
        <f>COUNTIFS('2026年度培训主表'!B:B,B67,'2026年度培训主表'!C:C,C67,'2026年度培训主表'!D:D,D67,'2026年度培训主表'!L:L,"已签到")</f>
        <v>21</v>
      </c>
      <c r="G67" s="76">
        <f>F67/E67</f>
        <v>1</v>
      </c>
    </row>
    <row r="68" ht="16.5" spans="1:7">
      <c r="A68" s="12">
        <v>76</v>
      </c>
      <c r="B68" s="92" t="s">
        <v>45</v>
      </c>
      <c r="C68" s="92" t="s">
        <v>34</v>
      </c>
      <c r="D68" s="46" t="s">
        <v>27</v>
      </c>
      <c r="E68" s="12">
        <f>COUNTIFS('2026年度培训主表'!B:B,B68,'2026年度培训主表'!C:C,C68,'2026年度培训主表'!D:D,D68)</f>
        <v>9</v>
      </c>
      <c r="F68" s="12">
        <f>COUNTIFS('2026年度培训主表'!B:B,B68,'2026年度培训主表'!C:C,C68,'2026年度培训主表'!D:D,D68,'2026年度培训主表'!L:L,"已签到")</f>
        <v>9</v>
      </c>
      <c r="G68" s="76">
        <f>F68/E68</f>
        <v>1</v>
      </c>
    </row>
    <row r="69" ht="16.5" spans="1:7">
      <c r="A69" s="12">
        <v>77</v>
      </c>
      <c r="B69" s="92" t="s">
        <v>45</v>
      </c>
      <c r="C69" s="92" t="s">
        <v>38</v>
      </c>
      <c r="D69" s="93" t="s">
        <v>25</v>
      </c>
      <c r="E69" s="92">
        <f>COUNTIFS('2026年度培训主表'!B:B,B69,'2026年度培训主表'!C:C,C69,'2026年度培训主表'!D:D,D69)</f>
        <v>238</v>
      </c>
      <c r="F69" s="92">
        <f>COUNTIFS('2026年度培训主表'!B:B,B69,'2026年度培训主表'!C:C,C69,'2026年度培训主表'!D:D,D69,'2026年度培训主表'!L:L,"已签到")</f>
        <v>86</v>
      </c>
      <c r="G69" s="94">
        <f>F69/E69</f>
        <v>0.361344537815126</v>
      </c>
    </row>
    <row r="70" ht="16.5" spans="1:7">
      <c r="A70" s="12">
        <v>78</v>
      </c>
      <c r="B70" s="12" t="s">
        <v>45</v>
      </c>
      <c r="C70" s="12" t="s">
        <v>32</v>
      </c>
      <c r="D70" s="46" t="s">
        <v>25</v>
      </c>
      <c r="E70" s="12">
        <f>COUNTIFS('2026年度培训主表'!B:B,B70,'2026年度培训主表'!C:C,C70,'2026年度培训主表'!D:D,D70)</f>
        <v>20</v>
      </c>
      <c r="F70" s="12">
        <f>COUNTIFS('2026年度培训主表'!B:B,B70,'2026年度培训主表'!C:C,C70,'2026年度培训主表'!D:D,D70,'2026年度培训主表'!L:L,"已签到")</f>
        <v>16</v>
      </c>
      <c r="G70" s="76">
        <f>F70/E70</f>
        <v>0.8</v>
      </c>
    </row>
    <row r="71" ht="16.5" spans="1:7">
      <c r="A71" s="12">
        <v>79</v>
      </c>
      <c r="B71" s="12" t="s">
        <v>45</v>
      </c>
      <c r="C71" s="12" t="s">
        <v>37</v>
      </c>
      <c r="D71" s="46" t="s">
        <v>25</v>
      </c>
      <c r="E71" s="12">
        <f>COUNTIFS('2026年度培训主表'!B:B,B71,'2026年度培训主表'!C:C,C71,'2026年度培训主表'!D:D,D71)</f>
        <v>16</v>
      </c>
      <c r="F71" s="12">
        <f>COUNTIFS('2026年度培训主表'!B:B,B71,'2026年度培训主表'!C:C,C71,'2026年度培训主表'!D:D,D71,'2026年度培训主表'!L:L,"已签到")</f>
        <v>16</v>
      </c>
      <c r="G71" s="76">
        <f>F71/E71</f>
        <v>1</v>
      </c>
    </row>
    <row r="72" ht="16.5" spans="1:7">
      <c r="A72" s="12">
        <v>80</v>
      </c>
      <c r="B72" s="12" t="s">
        <v>45</v>
      </c>
      <c r="C72" s="12" t="s">
        <v>29</v>
      </c>
      <c r="D72" s="46" t="s">
        <v>25</v>
      </c>
      <c r="E72" s="12">
        <f>COUNTIFS('2026年度培训主表'!B:B,B72,'2026年度培训主表'!C:C,C72,'2026年度培训主表'!D:D,D72)</f>
        <v>14</v>
      </c>
      <c r="F72" s="12">
        <f>COUNTIFS('2026年度培训主表'!B:B,B72,'2026年度培训主表'!C:C,C72,'2026年度培训主表'!D:D,D72,'2026年度培训主表'!L:L,"已签到")</f>
        <v>10</v>
      </c>
      <c r="G72" s="76">
        <f>F72/E72</f>
        <v>0.714285714285714</v>
      </c>
    </row>
    <row r="73" ht="16.5" spans="1:7">
      <c r="A73" s="12">
        <v>81</v>
      </c>
      <c r="B73" s="12" t="s">
        <v>45</v>
      </c>
      <c r="C73" s="12" t="s">
        <v>31</v>
      </c>
      <c r="D73" s="46" t="s">
        <v>25</v>
      </c>
      <c r="E73" s="12">
        <f>COUNTIFS('2026年度培训主表'!B:B,B73,'2026年度培训主表'!C:C,C73,'2026年度培训主表'!D:D,D73)</f>
        <v>16</v>
      </c>
      <c r="F73" s="12">
        <f>COUNTIFS('2026年度培训主表'!B:B,B73,'2026年度培训主表'!C:C,C73,'2026年度培训主表'!D:D,D73,'2026年度培训主表'!L:L,"已签到")</f>
        <v>12</v>
      </c>
      <c r="G73" s="76">
        <f>F73/E73</f>
        <v>0.75</v>
      </c>
    </row>
    <row r="74" ht="16.5" spans="1:7">
      <c r="A74" s="12">
        <v>82</v>
      </c>
      <c r="B74" s="12" t="s">
        <v>45</v>
      </c>
      <c r="C74" s="12" t="s">
        <v>24</v>
      </c>
      <c r="D74" s="46" t="s">
        <v>25</v>
      </c>
      <c r="E74" s="12">
        <f>COUNTIFS('2026年度培训主表'!B:B,B74,'2026年度培训主表'!C:C,C74,'2026年度培训主表'!D:D,D74)</f>
        <v>4</v>
      </c>
      <c r="F74" s="12">
        <f>COUNTIFS('2026年度培训主表'!B:B,B74,'2026年度培训主表'!C:C,C74,'2026年度培训主表'!D:D,D74,'2026年度培训主表'!L:L,"已签到")</f>
        <v>4</v>
      </c>
      <c r="G74" s="76">
        <f>F74/E74</f>
        <v>1</v>
      </c>
    </row>
    <row r="75" ht="16.5" spans="1:7">
      <c r="A75" s="12">
        <v>83</v>
      </c>
      <c r="B75" s="12" t="s">
        <v>45</v>
      </c>
      <c r="C75" s="12" t="s">
        <v>35</v>
      </c>
      <c r="D75" s="46" t="s">
        <v>25</v>
      </c>
      <c r="E75" s="12">
        <f>COUNTIFS('2026年度培训主表'!B:B,B75,'2026年度培训主表'!C:C,C75,'2026年度培训主表'!D:D,D75)</f>
        <v>12</v>
      </c>
      <c r="F75" s="12">
        <f>COUNTIFS('2026年度培训主表'!B:B,B75,'2026年度培训主表'!C:C,C75,'2026年度培训主表'!D:D,D75,'2026年度培训主表'!L:L,"已签到")</f>
        <v>12</v>
      </c>
      <c r="G75" s="76">
        <f>F75/E75</f>
        <v>1</v>
      </c>
    </row>
    <row r="76" ht="16.5" spans="1:7">
      <c r="A76" s="12">
        <v>84</v>
      </c>
      <c r="B76" s="12" t="s">
        <v>45</v>
      </c>
      <c r="C76" s="12" t="s">
        <v>26</v>
      </c>
      <c r="D76" s="46" t="s">
        <v>25</v>
      </c>
      <c r="E76" s="12">
        <f>COUNTIFS('2026年度培训主表'!B:B,B76,'2026年度培训主表'!C:C,C76,'2026年度培训主表'!D:D,D76)</f>
        <v>18</v>
      </c>
      <c r="F76" s="12">
        <f>COUNTIFS('2026年度培训主表'!B:B,B76,'2026年度培训主表'!C:C,C76,'2026年度培训主表'!D:D,D76,'2026年度培训主表'!L:L,"已签到")</f>
        <v>10</v>
      </c>
      <c r="G76" s="76">
        <f>F76/E76</f>
        <v>0.555555555555556</v>
      </c>
    </row>
    <row r="77" ht="16.5" spans="1:7">
      <c r="A77" s="12">
        <v>85</v>
      </c>
      <c r="B77" s="12" t="s">
        <v>45</v>
      </c>
      <c r="C77" s="12" t="s">
        <v>33</v>
      </c>
      <c r="D77" s="46" t="s">
        <v>25</v>
      </c>
      <c r="E77" s="12">
        <f>COUNTIFS('2026年度培训主表'!B:B,B77,'2026年度培训主表'!C:C,C77,'2026年度培训主表'!D:D,D77)</f>
        <v>8</v>
      </c>
      <c r="F77" s="12">
        <f>COUNTIFS('2026年度培训主表'!B:B,B77,'2026年度培训主表'!C:C,C77,'2026年度培训主表'!D:D,D77,'2026年度培训主表'!L:L,"已签到")</f>
        <v>8</v>
      </c>
      <c r="G77" s="76">
        <f>F77/E77</f>
        <v>1</v>
      </c>
    </row>
  </sheetData>
  <autoFilter xmlns:etc="http://www.wps.cn/officeDocument/2017/etCustomData" ref="A2:G77" etc:filterBottomFollowUsedRange="0">
    <sortState ref="A3:G77">
      <sortCondition ref="D2"/>
    </sortState>
    <extLst/>
  </autoFilter>
  <mergeCells count="1">
    <mergeCell ref="A1:G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79"/>
  <sheetViews>
    <sheetView workbookViewId="0">
      <pane ySplit="2" topLeftCell="A1086" activePane="bottomLeft" state="frozen"/>
      <selection/>
      <selection pane="bottomLeft" activeCell="H1092" sqref="H1092"/>
    </sheetView>
  </sheetViews>
  <sheetFormatPr defaultColWidth="8.89166666666667" defaultRowHeight="13.5"/>
  <cols>
    <col min="1" max="1" width="9.89166666666667" customWidth="1"/>
    <col min="2" max="2" width="9.55833333333333" customWidth="1"/>
    <col min="3" max="10" width="14.225" customWidth="1"/>
    <col min="11" max="11" width="27.5" customWidth="1"/>
    <col min="12" max="12" width="25.6666666666667" customWidth="1"/>
  </cols>
  <sheetData>
    <row r="1" ht="35" customHeight="1" spans="1:12">
      <c r="A1" s="1" t="s">
        <v>1578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="85" customFormat="1" ht="25" customHeight="1" spans="1:12">
      <c r="A2" s="86" t="s">
        <v>887</v>
      </c>
      <c r="B2" s="86" t="s">
        <v>2</v>
      </c>
      <c r="C2" s="86" t="s">
        <v>3</v>
      </c>
      <c r="D2" s="86" t="s">
        <v>50</v>
      </c>
      <c r="E2" s="86" t="s">
        <v>1579</v>
      </c>
      <c r="F2" s="86" t="s">
        <v>895</v>
      </c>
      <c r="G2" s="86" t="s">
        <v>897</v>
      </c>
      <c r="H2" s="86" t="s">
        <v>898</v>
      </c>
      <c r="I2" s="86" t="s">
        <v>896</v>
      </c>
      <c r="J2" s="86" t="s">
        <v>894</v>
      </c>
      <c r="K2" s="86" t="s">
        <v>889</v>
      </c>
      <c r="L2" s="86" t="s">
        <v>1580</v>
      </c>
    </row>
    <row r="3" customFormat="1" ht="16.5" spans="1:12">
      <c r="A3" s="12">
        <v>1</v>
      </c>
      <c r="B3" s="46" t="s">
        <v>23</v>
      </c>
      <c r="C3" s="46" t="s">
        <v>38</v>
      </c>
      <c r="D3" s="46" t="s">
        <v>63</v>
      </c>
      <c r="E3" s="12" t="s">
        <v>1581</v>
      </c>
      <c r="F3" s="7" t="s">
        <v>906</v>
      </c>
      <c r="G3" s="46" t="s">
        <v>908</v>
      </c>
      <c r="H3" s="46" t="s">
        <v>909</v>
      </c>
      <c r="I3" s="7" t="s">
        <v>907</v>
      </c>
      <c r="J3" s="6">
        <v>46035</v>
      </c>
      <c r="K3" s="7" t="s">
        <v>902</v>
      </c>
      <c r="L3" s="7" t="s">
        <v>27</v>
      </c>
    </row>
    <row r="4" customFormat="1" ht="16.5" spans="1:12">
      <c r="A4" s="12">
        <v>2</v>
      </c>
      <c r="B4" s="46" t="s">
        <v>23</v>
      </c>
      <c r="C4" s="46" t="s">
        <v>38</v>
      </c>
      <c r="D4" s="46" t="s">
        <v>63</v>
      </c>
      <c r="E4" s="12" t="s">
        <v>1581</v>
      </c>
      <c r="F4" s="7" t="s">
        <v>910</v>
      </c>
      <c r="G4" s="46" t="s">
        <v>911</v>
      </c>
      <c r="H4" s="46" t="s">
        <v>909</v>
      </c>
      <c r="I4" s="7" t="s">
        <v>907</v>
      </c>
      <c r="J4" s="6">
        <v>46035</v>
      </c>
      <c r="K4" s="7" t="s">
        <v>902</v>
      </c>
      <c r="L4" s="7" t="s">
        <v>27</v>
      </c>
    </row>
    <row r="5" customFormat="1" ht="16.5" spans="1:12">
      <c r="A5" s="12">
        <v>3</v>
      </c>
      <c r="B5" s="46" t="s">
        <v>23</v>
      </c>
      <c r="C5" s="46" t="s">
        <v>38</v>
      </c>
      <c r="D5" s="46" t="s">
        <v>63</v>
      </c>
      <c r="E5" s="12" t="s">
        <v>1581</v>
      </c>
      <c r="F5" s="7" t="s">
        <v>912</v>
      </c>
      <c r="G5" s="46" t="s">
        <v>913</v>
      </c>
      <c r="H5" s="46" t="s">
        <v>909</v>
      </c>
      <c r="I5" s="7" t="s">
        <v>907</v>
      </c>
      <c r="J5" s="6">
        <v>46035</v>
      </c>
      <c r="K5" s="7" t="s">
        <v>902</v>
      </c>
      <c r="L5" s="7" t="s">
        <v>27</v>
      </c>
    </row>
    <row r="6" customFormat="1" ht="16.5" spans="1:12">
      <c r="A6" s="12">
        <v>4</v>
      </c>
      <c r="B6" s="46" t="s">
        <v>23</v>
      </c>
      <c r="C6" s="46" t="s">
        <v>38</v>
      </c>
      <c r="D6" s="46" t="s">
        <v>70</v>
      </c>
      <c r="E6" s="12" t="s">
        <v>82</v>
      </c>
      <c r="F6" s="7" t="s">
        <v>914</v>
      </c>
      <c r="G6" s="46" t="s">
        <v>916</v>
      </c>
      <c r="H6" s="46" t="s">
        <v>909</v>
      </c>
      <c r="I6" s="7" t="s">
        <v>915</v>
      </c>
      <c r="J6" s="6">
        <v>46035</v>
      </c>
      <c r="K6" s="7" t="s">
        <v>902</v>
      </c>
      <c r="L6" s="7" t="s">
        <v>27</v>
      </c>
    </row>
    <row r="7" customFormat="1" ht="16.5" spans="1:12">
      <c r="A7" s="12">
        <v>5</v>
      </c>
      <c r="B7" s="46" t="s">
        <v>23</v>
      </c>
      <c r="C7" s="46" t="s">
        <v>37</v>
      </c>
      <c r="D7" s="46" t="s">
        <v>109</v>
      </c>
      <c r="E7" s="12" t="s">
        <v>451</v>
      </c>
      <c r="F7" s="7" t="s">
        <v>917</v>
      </c>
      <c r="G7" s="46" t="s">
        <v>918</v>
      </c>
      <c r="H7" s="46" t="s">
        <v>909</v>
      </c>
      <c r="I7" s="7" t="s">
        <v>915</v>
      </c>
      <c r="J7" s="6">
        <v>46035</v>
      </c>
      <c r="K7" s="7" t="s">
        <v>902</v>
      </c>
      <c r="L7" s="7" t="s">
        <v>27</v>
      </c>
    </row>
    <row r="8" customFormat="1" ht="16.5" spans="1:12">
      <c r="A8" s="12">
        <v>6</v>
      </c>
      <c r="B8" s="46" t="s">
        <v>23</v>
      </c>
      <c r="C8" s="46" t="s">
        <v>38</v>
      </c>
      <c r="D8" s="46" t="s">
        <v>220</v>
      </c>
      <c r="E8" s="12" t="s">
        <v>620</v>
      </c>
      <c r="F8" s="7" t="s">
        <v>919</v>
      </c>
      <c r="G8" s="46" t="s">
        <v>920</v>
      </c>
      <c r="H8" s="46" t="s">
        <v>921</v>
      </c>
      <c r="I8" s="7" t="s">
        <v>907</v>
      </c>
      <c r="J8" s="6">
        <v>46035</v>
      </c>
      <c r="K8" s="7" t="s">
        <v>902</v>
      </c>
      <c r="L8" s="7" t="s">
        <v>27</v>
      </c>
    </row>
    <row r="9" customFormat="1" ht="16.5" spans="1:12">
      <c r="A9" s="12">
        <v>7</v>
      </c>
      <c r="B9" s="46" t="s">
        <v>23</v>
      </c>
      <c r="C9" s="46" t="s">
        <v>38</v>
      </c>
      <c r="D9" s="46" t="s">
        <v>75</v>
      </c>
      <c r="E9" s="12" t="s">
        <v>176</v>
      </c>
      <c r="F9" s="7" t="s">
        <v>922</v>
      </c>
      <c r="G9" s="46" t="s">
        <v>923</v>
      </c>
      <c r="H9" s="46" t="s">
        <v>909</v>
      </c>
      <c r="I9" s="7" t="s">
        <v>907</v>
      </c>
      <c r="J9" s="6">
        <v>46035</v>
      </c>
      <c r="K9" s="7" t="s">
        <v>902</v>
      </c>
      <c r="L9" s="7" t="s">
        <v>27</v>
      </c>
    </row>
    <row r="10" customFormat="1" ht="16.5" spans="1:12">
      <c r="A10" s="12">
        <v>8</v>
      </c>
      <c r="B10" s="46" t="s">
        <v>23</v>
      </c>
      <c r="C10" s="46" t="s">
        <v>38</v>
      </c>
      <c r="D10" s="46" t="s">
        <v>144</v>
      </c>
      <c r="E10" s="12" t="s">
        <v>185</v>
      </c>
      <c r="F10" s="7" t="s">
        <v>924</v>
      </c>
      <c r="G10" s="46" t="s">
        <v>925</v>
      </c>
      <c r="H10" s="46" t="s">
        <v>909</v>
      </c>
      <c r="I10" s="7" t="s">
        <v>915</v>
      </c>
      <c r="J10" s="6">
        <v>46035</v>
      </c>
      <c r="K10" s="7" t="s">
        <v>902</v>
      </c>
      <c r="L10" s="7" t="s">
        <v>27</v>
      </c>
    </row>
    <row r="11" customFormat="1" ht="16.5" spans="1:12">
      <c r="A11" s="12">
        <v>9</v>
      </c>
      <c r="B11" s="46" t="s">
        <v>23</v>
      </c>
      <c r="C11" s="46" t="s">
        <v>31</v>
      </c>
      <c r="D11" s="46" t="s">
        <v>79</v>
      </c>
      <c r="E11" s="12" t="s">
        <v>1582</v>
      </c>
      <c r="F11" s="7" t="s">
        <v>926</v>
      </c>
      <c r="G11" s="46" t="s">
        <v>927</v>
      </c>
      <c r="H11" s="46" t="s">
        <v>909</v>
      </c>
      <c r="I11" s="7" t="s">
        <v>907</v>
      </c>
      <c r="J11" s="6">
        <v>46035</v>
      </c>
      <c r="K11" s="7" t="s">
        <v>902</v>
      </c>
      <c r="L11" s="7" t="s">
        <v>27</v>
      </c>
    </row>
    <row r="12" customFormat="1" ht="16.5" spans="1:12">
      <c r="A12" s="12">
        <v>10</v>
      </c>
      <c r="B12" s="46" t="s">
        <v>23</v>
      </c>
      <c r="C12" s="46" t="s">
        <v>38</v>
      </c>
      <c r="D12" s="46" t="s">
        <v>144</v>
      </c>
      <c r="E12" s="12" t="s">
        <v>282</v>
      </c>
      <c r="F12" s="7" t="s">
        <v>928</v>
      </c>
      <c r="G12" s="46" t="s">
        <v>929</v>
      </c>
      <c r="H12" s="46" t="s">
        <v>909</v>
      </c>
      <c r="I12" s="7" t="s">
        <v>907</v>
      </c>
      <c r="J12" s="6">
        <v>46035</v>
      </c>
      <c r="K12" s="7" t="s">
        <v>902</v>
      </c>
      <c r="L12" s="7" t="s">
        <v>27</v>
      </c>
    </row>
    <row r="13" customFormat="1" ht="16.5" spans="1:12">
      <c r="A13" s="12">
        <v>11</v>
      </c>
      <c r="B13" s="46" t="s">
        <v>23</v>
      </c>
      <c r="C13" s="46" t="s">
        <v>38</v>
      </c>
      <c r="D13" s="46" t="s">
        <v>144</v>
      </c>
      <c r="E13" s="12" t="s">
        <v>282</v>
      </c>
      <c r="F13" s="7" t="s">
        <v>930</v>
      </c>
      <c r="G13" s="46" t="s">
        <v>931</v>
      </c>
      <c r="H13" s="46" t="s">
        <v>921</v>
      </c>
      <c r="I13" s="7" t="s">
        <v>907</v>
      </c>
      <c r="J13" s="6">
        <v>46035</v>
      </c>
      <c r="K13" s="7" t="s">
        <v>902</v>
      </c>
      <c r="L13" s="7" t="s">
        <v>27</v>
      </c>
    </row>
    <row r="14" customFormat="1" ht="16.5" spans="1:12">
      <c r="A14" s="12">
        <v>12</v>
      </c>
      <c r="B14" s="46" t="s">
        <v>23</v>
      </c>
      <c r="C14" s="46" t="s">
        <v>37</v>
      </c>
      <c r="D14" s="46" t="s">
        <v>109</v>
      </c>
      <c r="E14" s="12" t="s">
        <v>137</v>
      </c>
      <c r="F14" s="7" t="s">
        <v>932</v>
      </c>
      <c r="G14" s="46" t="s">
        <v>933</v>
      </c>
      <c r="H14" s="46" t="s">
        <v>909</v>
      </c>
      <c r="I14" s="7" t="s">
        <v>907</v>
      </c>
      <c r="J14" s="6">
        <v>46035</v>
      </c>
      <c r="K14" s="7" t="s">
        <v>902</v>
      </c>
      <c r="L14" s="7" t="s">
        <v>27</v>
      </c>
    </row>
    <row r="15" customFormat="1" ht="16.5" spans="1:12">
      <c r="A15" s="12">
        <v>13</v>
      </c>
      <c r="B15" s="46" t="s">
        <v>23</v>
      </c>
      <c r="C15" s="46" t="s">
        <v>38</v>
      </c>
      <c r="D15" s="46" t="s">
        <v>144</v>
      </c>
      <c r="E15" s="12" t="s">
        <v>185</v>
      </c>
      <c r="F15" s="7" t="s">
        <v>934</v>
      </c>
      <c r="G15" s="46" t="s">
        <v>935</v>
      </c>
      <c r="H15" s="46" t="s">
        <v>909</v>
      </c>
      <c r="I15" s="7" t="s">
        <v>907</v>
      </c>
      <c r="J15" s="6">
        <v>46035</v>
      </c>
      <c r="K15" s="7" t="s">
        <v>902</v>
      </c>
      <c r="L15" s="7" t="s">
        <v>27</v>
      </c>
    </row>
    <row r="16" customFormat="1" ht="16.5" spans="1:12">
      <c r="A16" s="12">
        <v>14</v>
      </c>
      <c r="B16" s="46" t="s">
        <v>23</v>
      </c>
      <c r="C16" s="46" t="s">
        <v>38</v>
      </c>
      <c r="D16" s="46" t="s">
        <v>75</v>
      </c>
      <c r="E16" s="12" t="s">
        <v>407</v>
      </c>
      <c r="F16" s="7" t="s">
        <v>936</v>
      </c>
      <c r="G16" s="46" t="s">
        <v>937</v>
      </c>
      <c r="H16" s="46" t="s">
        <v>909</v>
      </c>
      <c r="I16" s="7" t="s">
        <v>915</v>
      </c>
      <c r="J16" s="6">
        <v>46035</v>
      </c>
      <c r="K16" s="7" t="s">
        <v>902</v>
      </c>
      <c r="L16" s="7" t="s">
        <v>27</v>
      </c>
    </row>
    <row r="17" customFormat="1" ht="16.5" spans="1:12">
      <c r="A17" s="12">
        <v>15</v>
      </c>
      <c r="B17" s="46" t="s">
        <v>23</v>
      </c>
      <c r="C17" s="46" t="s">
        <v>38</v>
      </c>
      <c r="D17" s="46" t="s">
        <v>75</v>
      </c>
      <c r="E17" s="12" t="s">
        <v>407</v>
      </c>
      <c r="F17" s="7" t="s">
        <v>938</v>
      </c>
      <c r="G17" s="46" t="s">
        <v>939</v>
      </c>
      <c r="H17" s="46" t="s">
        <v>909</v>
      </c>
      <c r="I17" s="7" t="s">
        <v>915</v>
      </c>
      <c r="J17" s="6">
        <v>46035</v>
      </c>
      <c r="K17" s="7" t="s">
        <v>902</v>
      </c>
      <c r="L17" s="7" t="s">
        <v>27</v>
      </c>
    </row>
    <row r="18" customFormat="1" ht="16.5" spans="1:12">
      <c r="A18" s="12">
        <v>16</v>
      </c>
      <c r="B18" s="46" t="s">
        <v>23</v>
      </c>
      <c r="C18" s="46" t="s">
        <v>38</v>
      </c>
      <c r="D18" s="46" t="s">
        <v>75</v>
      </c>
      <c r="E18" s="12" t="s">
        <v>1363</v>
      </c>
      <c r="F18" s="7" t="s">
        <v>940</v>
      </c>
      <c r="G18" s="46" t="s">
        <v>941</v>
      </c>
      <c r="H18" s="46" t="s">
        <v>909</v>
      </c>
      <c r="I18" s="7" t="s">
        <v>907</v>
      </c>
      <c r="J18" s="6">
        <v>46035</v>
      </c>
      <c r="K18" s="7" t="s">
        <v>902</v>
      </c>
      <c r="L18" s="7" t="s">
        <v>27</v>
      </c>
    </row>
    <row r="19" customFormat="1" ht="16.5" spans="1:12">
      <c r="A19" s="12">
        <v>17</v>
      </c>
      <c r="B19" s="46" t="s">
        <v>23</v>
      </c>
      <c r="C19" s="46" t="s">
        <v>29</v>
      </c>
      <c r="D19" s="46" t="s">
        <v>130</v>
      </c>
      <c r="E19" s="12" t="s">
        <v>263</v>
      </c>
      <c r="F19" s="7" t="s">
        <v>942</v>
      </c>
      <c r="G19" s="46" t="s">
        <v>943</v>
      </c>
      <c r="H19" s="46" t="s">
        <v>909</v>
      </c>
      <c r="I19" s="7" t="s">
        <v>915</v>
      </c>
      <c r="J19" s="6">
        <v>46035</v>
      </c>
      <c r="K19" s="7" t="s">
        <v>902</v>
      </c>
      <c r="L19" s="7" t="s">
        <v>27</v>
      </c>
    </row>
    <row r="20" customFormat="1" ht="16.5" spans="1:12">
      <c r="A20" s="12">
        <v>18</v>
      </c>
      <c r="B20" s="46" t="s">
        <v>23</v>
      </c>
      <c r="C20" s="46" t="s">
        <v>36</v>
      </c>
      <c r="D20" s="46" t="s">
        <v>173</v>
      </c>
      <c r="E20" s="12" t="s">
        <v>354</v>
      </c>
      <c r="F20" s="7" t="s">
        <v>944</v>
      </c>
      <c r="G20" s="46" t="s">
        <v>945</v>
      </c>
      <c r="H20" s="46" t="s">
        <v>909</v>
      </c>
      <c r="I20" s="7" t="s">
        <v>915</v>
      </c>
      <c r="J20" s="6">
        <v>46035</v>
      </c>
      <c r="K20" s="7" t="s">
        <v>902</v>
      </c>
      <c r="L20" s="7" t="s">
        <v>27</v>
      </c>
    </row>
    <row r="21" customFormat="1" ht="16.5" spans="1:12">
      <c r="A21" s="12">
        <v>19</v>
      </c>
      <c r="B21" s="46" t="s">
        <v>23</v>
      </c>
      <c r="C21" s="46" t="s">
        <v>31</v>
      </c>
      <c r="D21" s="46" t="s">
        <v>79</v>
      </c>
      <c r="E21" s="12" t="s">
        <v>189</v>
      </c>
      <c r="F21" s="7" t="s">
        <v>946</v>
      </c>
      <c r="G21" s="46" t="s">
        <v>947</v>
      </c>
      <c r="H21" s="46" t="s">
        <v>909</v>
      </c>
      <c r="I21" s="7" t="s">
        <v>907</v>
      </c>
      <c r="J21" s="6">
        <v>46035</v>
      </c>
      <c r="K21" s="7" t="s">
        <v>902</v>
      </c>
      <c r="L21" s="7" t="s">
        <v>27</v>
      </c>
    </row>
    <row r="22" customFormat="1" ht="16.5" spans="1:12">
      <c r="A22" s="12">
        <v>20</v>
      </c>
      <c r="B22" s="46" t="s">
        <v>23</v>
      </c>
      <c r="C22" s="46" t="s">
        <v>36</v>
      </c>
      <c r="D22" s="46" t="s">
        <v>173</v>
      </c>
      <c r="E22" s="12" t="s">
        <v>354</v>
      </c>
      <c r="F22" s="7" t="s">
        <v>948</v>
      </c>
      <c r="G22" s="46" t="s">
        <v>949</v>
      </c>
      <c r="H22" s="46" t="s">
        <v>909</v>
      </c>
      <c r="I22" s="7" t="s">
        <v>915</v>
      </c>
      <c r="J22" s="6">
        <v>46035</v>
      </c>
      <c r="K22" s="7" t="s">
        <v>902</v>
      </c>
      <c r="L22" s="7" t="s">
        <v>27</v>
      </c>
    </row>
    <row r="23" customFormat="1" ht="16.5" spans="1:12">
      <c r="A23" s="12">
        <v>21</v>
      </c>
      <c r="B23" s="46" t="s">
        <v>23</v>
      </c>
      <c r="C23" s="46" t="s">
        <v>36</v>
      </c>
      <c r="D23" s="46" t="s">
        <v>173</v>
      </c>
      <c r="E23" s="12" t="s">
        <v>354</v>
      </c>
      <c r="F23" s="7" t="s">
        <v>950</v>
      </c>
      <c r="G23" s="46" t="s">
        <v>951</v>
      </c>
      <c r="H23" s="46" t="s">
        <v>909</v>
      </c>
      <c r="I23" s="7" t="s">
        <v>915</v>
      </c>
      <c r="J23" s="6">
        <v>46035</v>
      </c>
      <c r="K23" s="7" t="s">
        <v>902</v>
      </c>
      <c r="L23" s="7" t="s">
        <v>27</v>
      </c>
    </row>
    <row r="24" customFormat="1" ht="16.5" spans="1:12">
      <c r="A24" s="12">
        <v>22</v>
      </c>
      <c r="B24" s="46" t="s">
        <v>23</v>
      </c>
      <c r="C24" s="46" t="s">
        <v>38</v>
      </c>
      <c r="D24" s="46" t="s">
        <v>220</v>
      </c>
      <c r="E24" s="12" t="s">
        <v>614</v>
      </c>
      <c r="F24" s="7" t="s">
        <v>952</v>
      </c>
      <c r="G24" s="46" t="s">
        <v>953</v>
      </c>
      <c r="H24" s="46" t="s">
        <v>909</v>
      </c>
      <c r="I24" s="7" t="s">
        <v>907</v>
      </c>
      <c r="J24" s="6">
        <v>46035</v>
      </c>
      <c r="K24" s="7" t="s">
        <v>902</v>
      </c>
      <c r="L24" s="7" t="s">
        <v>27</v>
      </c>
    </row>
    <row r="25" customFormat="1" ht="16.5" spans="1:12">
      <c r="A25" s="12">
        <v>23</v>
      </c>
      <c r="B25" s="46" t="s">
        <v>23</v>
      </c>
      <c r="C25" s="46" t="s">
        <v>38</v>
      </c>
      <c r="D25" s="46" t="s">
        <v>220</v>
      </c>
      <c r="E25" s="12" t="s">
        <v>614</v>
      </c>
      <c r="F25" s="7" t="s">
        <v>954</v>
      </c>
      <c r="G25" s="46" t="s">
        <v>955</v>
      </c>
      <c r="H25" s="46" t="s">
        <v>921</v>
      </c>
      <c r="I25" s="7" t="s">
        <v>907</v>
      </c>
      <c r="J25" s="6">
        <v>46035</v>
      </c>
      <c r="K25" s="7" t="s">
        <v>902</v>
      </c>
      <c r="L25" s="7" t="s">
        <v>27</v>
      </c>
    </row>
    <row r="26" customFormat="1" ht="16.5" spans="1:12">
      <c r="A26" s="12">
        <v>24</v>
      </c>
      <c r="B26" s="46" t="s">
        <v>23</v>
      </c>
      <c r="C26" s="46" t="s">
        <v>38</v>
      </c>
      <c r="D26" s="46" t="s">
        <v>148</v>
      </c>
      <c r="E26" s="12" t="s">
        <v>531</v>
      </c>
      <c r="F26" s="7" t="s">
        <v>956</v>
      </c>
      <c r="G26" s="46" t="s">
        <v>957</v>
      </c>
      <c r="H26" s="46" t="s">
        <v>909</v>
      </c>
      <c r="I26" s="7" t="s">
        <v>915</v>
      </c>
      <c r="J26" s="6">
        <v>46035</v>
      </c>
      <c r="K26" s="7" t="s">
        <v>902</v>
      </c>
      <c r="L26" s="7" t="s">
        <v>27</v>
      </c>
    </row>
    <row r="27" customFormat="1" ht="16.5" spans="1:12">
      <c r="A27" s="12">
        <v>25</v>
      </c>
      <c r="B27" s="46" t="s">
        <v>23</v>
      </c>
      <c r="C27" s="46" t="s">
        <v>38</v>
      </c>
      <c r="D27" s="46" t="s">
        <v>148</v>
      </c>
      <c r="E27" s="12" t="s">
        <v>531</v>
      </c>
      <c r="F27" s="7" t="s">
        <v>958</v>
      </c>
      <c r="G27" s="46" t="s">
        <v>959</v>
      </c>
      <c r="H27" s="46" t="s">
        <v>909</v>
      </c>
      <c r="I27" s="7" t="s">
        <v>915</v>
      </c>
      <c r="J27" s="6">
        <v>46035</v>
      </c>
      <c r="K27" s="7" t="s">
        <v>902</v>
      </c>
      <c r="L27" s="7" t="s">
        <v>27</v>
      </c>
    </row>
    <row r="28" customFormat="1" ht="16.5" spans="1:12">
      <c r="A28" s="12">
        <v>26</v>
      </c>
      <c r="B28" s="46" t="s">
        <v>23</v>
      </c>
      <c r="C28" s="46" t="s">
        <v>38</v>
      </c>
      <c r="D28" s="46" t="s">
        <v>168</v>
      </c>
      <c r="E28" s="12" t="s">
        <v>396</v>
      </c>
      <c r="F28" s="7" t="s">
        <v>960</v>
      </c>
      <c r="G28" s="46" t="s">
        <v>961</v>
      </c>
      <c r="H28" s="46" t="s">
        <v>909</v>
      </c>
      <c r="I28" s="7" t="s">
        <v>915</v>
      </c>
      <c r="J28" s="6">
        <v>46035</v>
      </c>
      <c r="K28" s="7" t="s">
        <v>902</v>
      </c>
      <c r="L28" s="7" t="s">
        <v>27</v>
      </c>
    </row>
    <row r="29" customFormat="1" ht="16.5" spans="1:12">
      <c r="A29" s="12">
        <v>27</v>
      </c>
      <c r="B29" s="46" t="s">
        <v>23</v>
      </c>
      <c r="C29" s="46" t="s">
        <v>38</v>
      </c>
      <c r="D29" s="46" t="s">
        <v>70</v>
      </c>
      <c r="E29" s="12" t="s">
        <v>368</v>
      </c>
      <c r="F29" s="7" t="s">
        <v>962</v>
      </c>
      <c r="G29" s="46" t="s">
        <v>963</v>
      </c>
      <c r="H29" s="46" t="s">
        <v>921</v>
      </c>
      <c r="I29" s="7" t="s">
        <v>907</v>
      </c>
      <c r="J29" s="6">
        <v>46035</v>
      </c>
      <c r="K29" s="7" t="s">
        <v>902</v>
      </c>
      <c r="L29" s="7" t="s">
        <v>27</v>
      </c>
    </row>
    <row r="30" customFormat="1" ht="16.5" spans="1:12">
      <c r="A30" s="12">
        <v>28</v>
      </c>
      <c r="B30" s="46" t="s">
        <v>23</v>
      </c>
      <c r="C30" s="46" t="s">
        <v>38</v>
      </c>
      <c r="D30" s="46" t="s">
        <v>75</v>
      </c>
      <c r="E30" s="12" t="s">
        <v>512</v>
      </c>
      <c r="F30" s="7" t="s">
        <v>964</v>
      </c>
      <c r="G30" s="46" t="s">
        <v>965</v>
      </c>
      <c r="H30" s="46" t="s">
        <v>909</v>
      </c>
      <c r="I30" s="7" t="s">
        <v>907</v>
      </c>
      <c r="J30" s="6">
        <v>46035</v>
      </c>
      <c r="K30" s="7" t="s">
        <v>902</v>
      </c>
      <c r="L30" s="7" t="s">
        <v>27</v>
      </c>
    </row>
    <row r="31" customFormat="1" ht="16.5" spans="1:12">
      <c r="A31" s="12">
        <v>29</v>
      </c>
      <c r="B31" s="46" t="s">
        <v>23</v>
      </c>
      <c r="C31" s="46" t="s">
        <v>38</v>
      </c>
      <c r="D31" s="46" t="s">
        <v>63</v>
      </c>
      <c r="E31" s="12" t="s">
        <v>494</v>
      </c>
      <c r="F31" s="7" t="s">
        <v>966</v>
      </c>
      <c r="G31" s="46" t="s">
        <v>967</v>
      </c>
      <c r="H31" s="46" t="s">
        <v>921</v>
      </c>
      <c r="I31" s="7" t="s">
        <v>915</v>
      </c>
      <c r="J31" s="6">
        <v>46035</v>
      </c>
      <c r="K31" s="7" t="s">
        <v>902</v>
      </c>
      <c r="L31" s="7" t="s">
        <v>27</v>
      </c>
    </row>
    <row r="32" customFormat="1" ht="16.5" spans="1:12">
      <c r="A32" s="12">
        <v>30</v>
      </c>
      <c r="B32" s="46" t="s">
        <v>23</v>
      </c>
      <c r="C32" s="46" t="s">
        <v>38</v>
      </c>
      <c r="D32" s="46" t="s">
        <v>63</v>
      </c>
      <c r="E32" s="12" t="s">
        <v>494</v>
      </c>
      <c r="F32" s="7" t="s">
        <v>968</v>
      </c>
      <c r="G32" s="46" t="s">
        <v>969</v>
      </c>
      <c r="H32" s="46" t="s">
        <v>921</v>
      </c>
      <c r="I32" s="7" t="s">
        <v>915</v>
      </c>
      <c r="J32" s="6">
        <v>46035</v>
      </c>
      <c r="K32" s="7" t="s">
        <v>902</v>
      </c>
      <c r="L32" s="7" t="s">
        <v>27</v>
      </c>
    </row>
    <row r="33" customFormat="1" ht="16.5" spans="1:12">
      <c r="A33" s="12">
        <v>31</v>
      </c>
      <c r="B33" s="46" t="s">
        <v>23</v>
      </c>
      <c r="C33" s="46" t="s">
        <v>38</v>
      </c>
      <c r="D33" s="46" t="s">
        <v>148</v>
      </c>
      <c r="E33" s="12" t="s">
        <v>258</v>
      </c>
      <c r="F33" s="7" t="s">
        <v>970</v>
      </c>
      <c r="G33" s="46" t="s">
        <v>971</v>
      </c>
      <c r="H33" s="46" t="s">
        <v>909</v>
      </c>
      <c r="I33" s="7" t="s">
        <v>907</v>
      </c>
      <c r="J33" s="6">
        <v>46035</v>
      </c>
      <c r="K33" s="7" t="s">
        <v>902</v>
      </c>
      <c r="L33" s="7" t="s">
        <v>27</v>
      </c>
    </row>
    <row r="34" customFormat="1" ht="16.5" spans="1:12">
      <c r="A34" s="12">
        <v>32</v>
      </c>
      <c r="B34" s="46" t="s">
        <v>23</v>
      </c>
      <c r="C34" s="46" t="s">
        <v>38</v>
      </c>
      <c r="D34" s="46" t="s">
        <v>75</v>
      </c>
      <c r="E34" s="12" t="s">
        <v>74</v>
      </c>
      <c r="F34" s="7" t="s">
        <v>972</v>
      </c>
      <c r="G34" s="46" t="s">
        <v>973</v>
      </c>
      <c r="H34" s="46" t="s">
        <v>909</v>
      </c>
      <c r="I34" s="7" t="s">
        <v>907</v>
      </c>
      <c r="J34" s="6">
        <v>46035</v>
      </c>
      <c r="K34" s="7" t="s">
        <v>902</v>
      </c>
      <c r="L34" s="7" t="s">
        <v>27</v>
      </c>
    </row>
    <row r="35" customFormat="1" ht="16.5" spans="1:12">
      <c r="A35" s="12">
        <v>33</v>
      </c>
      <c r="B35" s="46" t="s">
        <v>23</v>
      </c>
      <c r="C35" s="46" t="s">
        <v>38</v>
      </c>
      <c r="D35" s="46" t="s">
        <v>75</v>
      </c>
      <c r="E35" s="12" t="s">
        <v>74</v>
      </c>
      <c r="F35" s="7" t="s">
        <v>974</v>
      </c>
      <c r="G35" s="46" t="s">
        <v>975</v>
      </c>
      <c r="H35" s="46" t="s">
        <v>921</v>
      </c>
      <c r="I35" s="7" t="s">
        <v>907</v>
      </c>
      <c r="J35" s="6">
        <v>46035</v>
      </c>
      <c r="K35" s="7" t="s">
        <v>902</v>
      </c>
      <c r="L35" s="7" t="s">
        <v>27</v>
      </c>
    </row>
    <row r="36" customFormat="1" ht="16.5" spans="1:12">
      <c r="A36" s="12">
        <v>34</v>
      </c>
      <c r="B36" s="46" t="s">
        <v>23</v>
      </c>
      <c r="C36" s="46" t="s">
        <v>29</v>
      </c>
      <c r="D36" s="46" t="s">
        <v>130</v>
      </c>
      <c r="E36" s="12" t="s">
        <v>380</v>
      </c>
      <c r="F36" s="7" t="s">
        <v>976</v>
      </c>
      <c r="G36" s="46" t="s">
        <v>977</v>
      </c>
      <c r="H36" s="46" t="s">
        <v>909</v>
      </c>
      <c r="I36" s="7" t="s">
        <v>915</v>
      </c>
      <c r="J36" s="6">
        <v>46035</v>
      </c>
      <c r="K36" s="7" t="s">
        <v>902</v>
      </c>
      <c r="L36" s="7" t="s">
        <v>27</v>
      </c>
    </row>
    <row r="37" customFormat="1" ht="16.5" spans="1:12">
      <c r="A37" s="12">
        <v>35</v>
      </c>
      <c r="B37" s="46" t="s">
        <v>23</v>
      </c>
      <c r="C37" s="46" t="s">
        <v>36</v>
      </c>
      <c r="D37" s="46" t="s">
        <v>173</v>
      </c>
      <c r="E37" s="12" t="s">
        <v>1583</v>
      </c>
      <c r="F37" s="7" t="s">
        <v>978</v>
      </c>
      <c r="G37" s="46" t="s">
        <v>979</v>
      </c>
      <c r="H37" s="46" t="s">
        <v>909</v>
      </c>
      <c r="I37" s="7" t="s">
        <v>915</v>
      </c>
      <c r="J37" s="6">
        <v>46035</v>
      </c>
      <c r="K37" s="7" t="s">
        <v>902</v>
      </c>
      <c r="L37" s="7" t="s">
        <v>27</v>
      </c>
    </row>
    <row r="38" customFormat="1" ht="16.5" spans="1:12">
      <c r="A38" s="12">
        <v>36</v>
      </c>
      <c r="B38" s="46" t="s">
        <v>23</v>
      </c>
      <c r="C38" s="46" t="s">
        <v>36</v>
      </c>
      <c r="D38" s="46" t="s">
        <v>173</v>
      </c>
      <c r="E38" s="12" t="s">
        <v>1583</v>
      </c>
      <c r="F38" s="7" t="s">
        <v>980</v>
      </c>
      <c r="G38" s="46" t="s">
        <v>981</v>
      </c>
      <c r="H38" s="46" t="s">
        <v>909</v>
      </c>
      <c r="I38" s="7" t="s">
        <v>915</v>
      </c>
      <c r="J38" s="6">
        <v>46035</v>
      </c>
      <c r="K38" s="7" t="s">
        <v>902</v>
      </c>
      <c r="L38" s="7" t="s">
        <v>27</v>
      </c>
    </row>
    <row r="39" customFormat="1" ht="16.5" spans="1:12">
      <c r="A39" s="12">
        <v>37</v>
      </c>
      <c r="B39" s="46" t="s">
        <v>23</v>
      </c>
      <c r="C39" s="46" t="s">
        <v>36</v>
      </c>
      <c r="D39" s="46" t="s">
        <v>173</v>
      </c>
      <c r="E39" s="12" t="s">
        <v>1583</v>
      </c>
      <c r="F39" s="7" t="s">
        <v>982</v>
      </c>
      <c r="G39" s="46" t="s">
        <v>983</v>
      </c>
      <c r="H39" s="46" t="s">
        <v>921</v>
      </c>
      <c r="I39" s="7" t="s">
        <v>915</v>
      </c>
      <c r="J39" s="6">
        <v>46035</v>
      </c>
      <c r="K39" s="7" t="s">
        <v>902</v>
      </c>
      <c r="L39" s="7" t="s">
        <v>27</v>
      </c>
    </row>
    <row r="40" customFormat="1" ht="16.5" spans="1:12">
      <c r="A40" s="12">
        <v>38</v>
      </c>
      <c r="B40" s="46" t="s">
        <v>23</v>
      </c>
      <c r="C40" s="46" t="s">
        <v>38</v>
      </c>
      <c r="D40" s="46" t="s">
        <v>75</v>
      </c>
      <c r="E40" s="12" t="s">
        <v>347</v>
      </c>
      <c r="F40" s="7" t="s">
        <v>984</v>
      </c>
      <c r="G40" s="46" t="s">
        <v>985</v>
      </c>
      <c r="H40" s="46" t="s">
        <v>909</v>
      </c>
      <c r="I40" s="7" t="s">
        <v>915</v>
      </c>
      <c r="J40" s="6">
        <v>46035</v>
      </c>
      <c r="K40" s="7" t="s">
        <v>902</v>
      </c>
      <c r="L40" s="7" t="s">
        <v>27</v>
      </c>
    </row>
    <row r="41" customFormat="1" ht="16.5" spans="1:12">
      <c r="A41" s="12">
        <v>39</v>
      </c>
      <c r="B41" s="46" t="s">
        <v>23</v>
      </c>
      <c r="C41" s="46" t="s">
        <v>35</v>
      </c>
      <c r="D41" s="46" t="s">
        <v>125</v>
      </c>
      <c r="E41" s="12" t="s">
        <v>1584</v>
      </c>
      <c r="F41" s="7" t="s">
        <v>986</v>
      </c>
      <c r="G41" s="46" t="s">
        <v>987</v>
      </c>
      <c r="H41" s="46" t="s">
        <v>909</v>
      </c>
      <c r="I41" s="7" t="s">
        <v>915</v>
      </c>
      <c r="J41" s="6">
        <v>46035</v>
      </c>
      <c r="K41" s="7" t="s">
        <v>902</v>
      </c>
      <c r="L41" s="7" t="s">
        <v>27</v>
      </c>
    </row>
    <row r="42" customFormat="1" ht="16.5" spans="1:12">
      <c r="A42" s="12">
        <v>40</v>
      </c>
      <c r="B42" s="46" t="s">
        <v>23</v>
      </c>
      <c r="C42" s="46" t="s">
        <v>38</v>
      </c>
      <c r="D42" s="46" t="s">
        <v>75</v>
      </c>
      <c r="E42" s="12" t="s">
        <v>437</v>
      </c>
      <c r="F42" s="7" t="s">
        <v>988</v>
      </c>
      <c r="G42" s="46" t="s">
        <v>989</v>
      </c>
      <c r="H42" s="46" t="s">
        <v>921</v>
      </c>
      <c r="I42" s="7" t="s">
        <v>915</v>
      </c>
      <c r="J42" s="6">
        <v>46035</v>
      </c>
      <c r="K42" s="7" t="s">
        <v>902</v>
      </c>
      <c r="L42" s="7" t="s">
        <v>27</v>
      </c>
    </row>
    <row r="43" customFormat="1" ht="16.5" spans="1:12">
      <c r="A43" s="12">
        <v>41</v>
      </c>
      <c r="B43" s="46" t="s">
        <v>23</v>
      </c>
      <c r="C43" s="46" t="s">
        <v>38</v>
      </c>
      <c r="D43" s="46" t="s">
        <v>168</v>
      </c>
      <c r="E43" s="12" t="s">
        <v>298</v>
      </c>
      <c r="F43" s="7" t="s">
        <v>990</v>
      </c>
      <c r="G43" s="46" t="s">
        <v>991</v>
      </c>
      <c r="H43" s="46" t="s">
        <v>921</v>
      </c>
      <c r="I43" s="7" t="s">
        <v>907</v>
      </c>
      <c r="J43" s="6">
        <v>46035</v>
      </c>
      <c r="K43" s="7" t="s">
        <v>902</v>
      </c>
      <c r="L43" s="7" t="s">
        <v>27</v>
      </c>
    </row>
    <row r="44" customFormat="1" ht="16.5" spans="1:12">
      <c r="A44" s="12">
        <v>42</v>
      </c>
      <c r="B44" s="46" t="s">
        <v>23</v>
      </c>
      <c r="C44" s="46" t="s">
        <v>38</v>
      </c>
      <c r="D44" s="46" t="s">
        <v>168</v>
      </c>
      <c r="E44" s="12" t="s">
        <v>298</v>
      </c>
      <c r="F44" s="7" t="s">
        <v>992</v>
      </c>
      <c r="G44" s="46" t="s">
        <v>993</v>
      </c>
      <c r="H44" s="46" t="s">
        <v>921</v>
      </c>
      <c r="I44" s="7" t="s">
        <v>907</v>
      </c>
      <c r="J44" s="6">
        <v>46035</v>
      </c>
      <c r="K44" s="7" t="s">
        <v>902</v>
      </c>
      <c r="L44" s="7" t="s">
        <v>27</v>
      </c>
    </row>
    <row r="45" customFormat="1" ht="16.5" spans="1:12">
      <c r="A45" s="12">
        <v>43</v>
      </c>
      <c r="B45" s="46" t="s">
        <v>23</v>
      </c>
      <c r="C45" s="46" t="s">
        <v>38</v>
      </c>
      <c r="D45" s="46" t="s">
        <v>70</v>
      </c>
      <c r="E45" s="12" t="s">
        <v>336</v>
      </c>
      <c r="F45" s="7" t="s">
        <v>994</v>
      </c>
      <c r="G45" s="46" t="s">
        <v>995</v>
      </c>
      <c r="H45" s="46" t="s">
        <v>921</v>
      </c>
      <c r="I45" s="7" t="s">
        <v>907</v>
      </c>
      <c r="J45" s="6">
        <v>46035</v>
      </c>
      <c r="K45" s="7" t="s">
        <v>902</v>
      </c>
      <c r="L45" s="7" t="s">
        <v>27</v>
      </c>
    </row>
    <row r="46" customFormat="1" ht="16.5" spans="1:12">
      <c r="A46" s="12">
        <v>44</v>
      </c>
      <c r="B46" s="46" t="s">
        <v>23</v>
      </c>
      <c r="C46" s="46" t="s">
        <v>38</v>
      </c>
      <c r="D46" s="46" t="s">
        <v>70</v>
      </c>
      <c r="E46" s="12" t="s">
        <v>336</v>
      </c>
      <c r="F46" s="7" t="s">
        <v>996</v>
      </c>
      <c r="G46" s="46" t="s">
        <v>997</v>
      </c>
      <c r="H46" s="46" t="s">
        <v>921</v>
      </c>
      <c r="I46" s="7" t="s">
        <v>907</v>
      </c>
      <c r="J46" s="6">
        <v>46035</v>
      </c>
      <c r="K46" s="7" t="s">
        <v>902</v>
      </c>
      <c r="L46" s="7" t="s">
        <v>27</v>
      </c>
    </row>
    <row r="47" customFormat="1" ht="16.5" spans="1:12">
      <c r="A47" s="12">
        <v>45</v>
      </c>
      <c r="B47" s="46" t="s">
        <v>23</v>
      </c>
      <c r="C47" s="46" t="s">
        <v>38</v>
      </c>
      <c r="D47" s="46" t="s">
        <v>220</v>
      </c>
      <c r="E47" s="12" t="s">
        <v>219</v>
      </c>
      <c r="F47" s="7" t="s">
        <v>998</v>
      </c>
      <c r="G47" s="46" t="s">
        <v>999</v>
      </c>
      <c r="H47" s="46" t="s">
        <v>909</v>
      </c>
      <c r="I47" s="7" t="s">
        <v>907</v>
      </c>
      <c r="J47" s="6">
        <v>46035</v>
      </c>
      <c r="K47" s="7" t="s">
        <v>902</v>
      </c>
      <c r="L47" s="7" t="s">
        <v>27</v>
      </c>
    </row>
    <row r="48" customFormat="1" ht="16.5" spans="1:12">
      <c r="A48" s="12">
        <v>46</v>
      </c>
      <c r="B48" s="46" t="s">
        <v>23</v>
      </c>
      <c r="C48" s="46" t="s">
        <v>26</v>
      </c>
      <c r="D48" s="46" t="s">
        <v>121</v>
      </c>
      <c r="E48" s="12" t="s">
        <v>1585</v>
      </c>
      <c r="F48" s="7" t="s">
        <v>1000</v>
      </c>
      <c r="G48" s="46" t="s">
        <v>1001</v>
      </c>
      <c r="H48" s="46" t="s">
        <v>909</v>
      </c>
      <c r="I48" s="7" t="s">
        <v>915</v>
      </c>
      <c r="J48" s="6">
        <v>46035</v>
      </c>
      <c r="K48" s="7" t="s">
        <v>902</v>
      </c>
      <c r="L48" s="7" t="s">
        <v>27</v>
      </c>
    </row>
    <row r="49" customFormat="1" ht="16.5" spans="1:12">
      <c r="A49" s="12">
        <v>47</v>
      </c>
      <c r="B49" s="46" t="s">
        <v>23</v>
      </c>
      <c r="C49" s="46" t="s">
        <v>26</v>
      </c>
      <c r="D49" s="46" t="s">
        <v>121</v>
      </c>
      <c r="E49" s="12" t="s">
        <v>1585</v>
      </c>
      <c r="F49" s="7" t="s">
        <v>1002</v>
      </c>
      <c r="G49" s="46" t="s">
        <v>1003</v>
      </c>
      <c r="H49" s="46" t="s">
        <v>909</v>
      </c>
      <c r="I49" s="7" t="s">
        <v>915</v>
      </c>
      <c r="J49" s="6">
        <v>46035</v>
      </c>
      <c r="K49" s="7" t="s">
        <v>902</v>
      </c>
      <c r="L49" s="7" t="s">
        <v>27</v>
      </c>
    </row>
    <row r="50" customFormat="1" ht="16.5" spans="1:12">
      <c r="A50" s="12">
        <v>48</v>
      </c>
      <c r="B50" s="46" t="s">
        <v>23</v>
      </c>
      <c r="C50" s="46" t="s">
        <v>38</v>
      </c>
      <c r="D50" s="46" t="s">
        <v>70</v>
      </c>
      <c r="E50" s="12" t="s">
        <v>413</v>
      </c>
      <c r="F50" s="7" t="s">
        <v>1004</v>
      </c>
      <c r="G50" s="46" t="s">
        <v>1005</v>
      </c>
      <c r="H50" s="46" t="s">
        <v>909</v>
      </c>
      <c r="I50" s="7" t="s">
        <v>915</v>
      </c>
      <c r="J50" s="6">
        <v>46035</v>
      </c>
      <c r="K50" s="7" t="s">
        <v>902</v>
      </c>
      <c r="L50" s="7" t="s">
        <v>27</v>
      </c>
    </row>
    <row r="51" customFormat="1" ht="16.5" spans="1:12">
      <c r="A51" s="12">
        <v>49</v>
      </c>
      <c r="B51" s="46" t="s">
        <v>23</v>
      </c>
      <c r="C51" s="46" t="s">
        <v>31</v>
      </c>
      <c r="D51" s="46" t="s">
        <v>79</v>
      </c>
      <c r="E51" s="12" t="s">
        <v>1586</v>
      </c>
      <c r="F51" s="7" t="s">
        <v>1006</v>
      </c>
      <c r="G51" s="46" t="s">
        <v>1007</v>
      </c>
      <c r="H51" s="46" t="s">
        <v>909</v>
      </c>
      <c r="I51" s="7" t="s">
        <v>907</v>
      </c>
      <c r="J51" s="6">
        <v>46035</v>
      </c>
      <c r="K51" s="7" t="s">
        <v>902</v>
      </c>
      <c r="L51" s="7" t="s">
        <v>27</v>
      </c>
    </row>
    <row r="52" customFormat="1" ht="16.5" spans="1:12">
      <c r="A52" s="12">
        <v>50</v>
      </c>
      <c r="B52" s="46" t="s">
        <v>23</v>
      </c>
      <c r="C52" s="46" t="s">
        <v>35</v>
      </c>
      <c r="D52" s="46" t="s">
        <v>125</v>
      </c>
      <c r="E52" s="12" t="s">
        <v>1587</v>
      </c>
      <c r="F52" s="7" t="s">
        <v>1008</v>
      </c>
      <c r="G52" s="46" t="s">
        <v>1009</v>
      </c>
      <c r="H52" s="46" t="s">
        <v>909</v>
      </c>
      <c r="I52" s="7" t="s">
        <v>915</v>
      </c>
      <c r="J52" s="6">
        <v>46035</v>
      </c>
      <c r="K52" s="7" t="s">
        <v>902</v>
      </c>
      <c r="L52" s="7" t="s">
        <v>27</v>
      </c>
    </row>
    <row r="53" customFormat="1" ht="16.5" spans="1:12">
      <c r="A53" s="12">
        <v>51</v>
      </c>
      <c r="B53" s="46" t="s">
        <v>23</v>
      </c>
      <c r="C53" s="46" t="s">
        <v>32</v>
      </c>
      <c r="D53" s="46" t="s">
        <v>105</v>
      </c>
      <c r="E53" s="12" t="s">
        <v>556</v>
      </c>
      <c r="F53" s="7" t="s">
        <v>1010</v>
      </c>
      <c r="G53" s="46" t="s">
        <v>1011</v>
      </c>
      <c r="H53" s="46" t="s">
        <v>909</v>
      </c>
      <c r="I53" s="7" t="s">
        <v>915</v>
      </c>
      <c r="J53" s="6">
        <v>46035</v>
      </c>
      <c r="K53" s="7" t="s">
        <v>902</v>
      </c>
      <c r="L53" s="7" t="s">
        <v>27</v>
      </c>
    </row>
    <row r="54" customFormat="1" ht="16.5" spans="1:12">
      <c r="A54" s="12">
        <v>52</v>
      </c>
      <c r="B54" s="46" t="s">
        <v>23</v>
      </c>
      <c r="C54" s="46" t="s">
        <v>35</v>
      </c>
      <c r="D54" s="46" t="s">
        <v>125</v>
      </c>
      <c r="E54" s="12" t="s">
        <v>1587</v>
      </c>
      <c r="F54" s="7" t="s">
        <v>1012</v>
      </c>
      <c r="G54" s="46" t="s">
        <v>1013</v>
      </c>
      <c r="H54" s="46" t="s">
        <v>909</v>
      </c>
      <c r="I54" s="7" t="s">
        <v>915</v>
      </c>
      <c r="J54" s="6">
        <v>46035</v>
      </c>
      <c r="K54" s="7" t="s">
        <v>902</v>
      </c>
      <c r="L54" s="7" t="s">
        <v>27</v>
      </c>
    </row>
    <row r="55" customFormat="1" ht="16.5" spans="1:12">
      <c r="A55" s="12">
        <v>53</v>
      </c>
      <c r="B55" s="46" t="s">
        <v>23</v>
      </c>
      <c r="C55" s="46" t="s">
        <v>35</v>
      </c>
      <c r="D55" s="46" t="s">
        <v>125</v>
      </c>
      <c r="E55" s="12" t="s">
        <v>1587</v>
      </c>
      <c r="F55" s="7" t="s">
        <v>1014</v>
      </c>
      <c r="G55" s="46" t="s">
        <v>1015</v>
      </c>
      <c r="H55" s="46" t="s">
        <v>909</v>
      </c>
      <c r="I55" s="7" t="s">
        <v>915</v>
      </c>
      <c r="J55" s="6">
        <v>46035</v>
      </c>
      <c r="K55" s="7" t="s">
        <v>902</v>
      </c>
      <c r="L55" s="7" t="s">
        <v>27</v>
      </c>
    </row>
    <row r="56" customFormat="1" ht="16.5" spans="1:12">
      <c r="A56" s="12">
        <v>54</v>
      </c>
      <c r="B56" s="46" t="s">
        <v>23</v>
      </c>
      <c r="C56" s="46" t="s">
        <v>38</v>
      </c>
      <c r="D56" s="46" t="s">
        <v>70</v>
      </c>
      <c r="E56" s="12" t="s">
        <v>205</v>
      </c>
      <c r="F56" s="7" t="s">
        <v>1016</v>
      </c>
      <c r="G56" s="46" t="s">
        <v>1017</v>
      </c>
      <c r="H56" s="46" t="s">
        <v>921</v>
      </c>
      <c r="I56" s="7" t="s">
        <v>907</v>
      </c>
      <c r="J56" s="6">
        <v>46035</v>
      </c>
      <c r="K56" s="7" t="s">
        <v>902</v>
      </c>
      <c r="L56" s="7" t="s">
        <v>27</v>
      </c>
    </row>
    <row r="57" customFormat="1" ht="16.5" spans="1:12">
      <c r="A57" s="12">
        <v>55</v>
      </c>
      <c r="B57" s="46" t="s">
        <v>23</v>
      </c>
      <c r="C57" s="46" t="s">
        <v>35</v>
      </c>
      <c r="D57" s="46" t="s">
        <v>125</v>
      </c>
      <c r="E57" s="12" t="s">
        <v>1588</v>
      </c>
      <c r="F57" s="7" t="s">
        <v>1018</v>
      </c>
      <c r="G57" s="46" t="s">
        <v>1019</v>
      </c>
      <c r="H57" s="46" t="s">
        <v>909</v>
      </c>
      <c r="I57" s="7" t="s">
        <v>915</v>
      </c>
      <c r="J57" s="6">
        <v>46035</v>
      </c>
      <c r="K57" s="7" t="s">
        <v>902</v>
      </c>
      <c r="L57" s="7" t="s">
        <v>27</v>
      </c>
    </row>
    <row r="58" customFormat="1" ht="16.5" spans="1:12">
      <c r="A58" s="12">
        <v>56</v>
      </c>
      <c r="B58" s="46" t="s">
        <v>23</v>
      </c>
      <c r="C58" s="46" t="s">
        <v>38</v>
      </c>
      <c r="D58" s="46" t="s">
        <v>148</v>
      </c>
      <c r="E58" s="12" t="s">
        <v>278</v>
      </c>
      <c r="F58" s="7" t="s">
        <v>1020</v>
      </c>
      <c r="G58" s="46" t="s">
        <v>1021</v>
      </c>
      <c r="H58" s="46" t="s">
        <v>909</v>
      </c>
      <c r="I58" s="7" t="s">
        <v>907</v>
      </c>
      <c r="J58" s="6">
        <v>46035</v>
      </c>
      <c r="K58" s="7" t="s">
        <v>902</v>
      </c>
      <c r="L58" s="7" t="s">
        <v>27</v>
      </c>
    </row>
    <row r="59" customFormat="1" ht="16.5" spans="1:12">
      <c r="A59" s="12">
        <v>57</v>
      </c>
      <c r="B59" s="46" t="s">
        <v>23</v>
      </c>
      <c r="C59" s="46" t="s">
        <v>38</v>
      </c>
      <c r="D59" s="46" t="s">
        <v>168</v>
      </c>
      <c r="E59" s="12" t="s">
        <v>167</v>
      </c>
      <c r="F59" s="7" t="s">
        <v>1022</v>
      </c>
      <c r="G59" s="46" t="s">
        <v>1023</v>
      </c>
      <c r="H59" s="46" t="s">
        <v>909</v>
      </c>
      <c r="I59" s="7" t="s">
        <v>907</v>
      </c>
      <c r="J59" s="6">
        <v>46035</v>
      </c>
      <c r="K59" s="7" t="s">
        <v>902</v>
      </c>
      <c r="L59" s="7" t="s">
        <v>27</v>
      </c>
    </row>
    <row r="60" customFormat="1" ht="16.5" spans="1:12">
      <c r="A60" s="12">
        <v>58</v>
      </c>
      <c r="B60" s="46" t="s">
        <v>23</v>
      </c>
      <c r="C60" s="46" t="s">
        <v>38</v>
      </c>
      <c r="D60" s="46" t="s">
        <v>63</v>
      </c>
      <c r="E60" s="12" t="s">
        <v>602</v>
      </c>
      <c r="F60" s="7" t="s">
        <v>1024</v>
      </c>
      <c r="G60" s="46" t="s">
        <v>1025</v>
      </c>
      <c r="H60" s="46" t="s">
        <v>909</v>
      </c>
      <c r="I60" s="7" t="s">
        <v>907</v>
      </c>
      <c r="J60" s="6">
        <v>46035</v>
      </c>
      <c r="K60" s="7" t="s">
        <v>902</v>
      </c>
      <c r="L60" s="7" t="s">
        <v>27</v>
      </c>
    </row>
    <row r="61" customFormat="1" ht="16.5" spans="1:12">
      <c r="A61" s="12">
        <v>59</v>
      </c>
      <c r="B61" s="46" t="s">
        <v>23</v>
      </c>
      <c r="C61" s="46" t="s">
        <v>38</v>
      </c>
      <c r="D61" s="46" t="s">
        <v>63</v>
      </c>
      <c r="E61" s="12" t="s">
        <v>602</v>
      </c>
      <c r="F61" s="7" t="s">
        <v>1026</v>
      </c>
      <c r="G61" s="46" t="s">
        <v>1027</v>
      </c>
      <c r="H61" s="46" t="s">
        <v>909</v>
      </c>
      <c r="I61" s="7" t="s">
        <v>907</v>
      </c>
      <c r="J61" s="6">
        <v>46035</v>
      </c>
      <c r="K61" s="7" t="s">
        <v>902</v>
      </c>
      <c r="L61" s="7" t="s">
        <v>27</v>
      </c>
    </row>
    <row r="62" customFormat="1" ht="16.5" spans="1:12">
      <c r="A62" s="12">
        <v>60</v>
      </c>
      <c r="B62" s="46" t="s">
        <v>23</v>
      </c>
      <c r="C62" s="46" t="s">
        <v>37</v>
      </c>
      <c r="D62" s="46" t="s">
        <v>109</v>
      </c>
      <c r="E62" s="12" t="s">
        <v>451</v>
      </c>
      <c r="F62" s="7" t="s">
        <v>1028</v>
      </c>
      <c r="G62" s="46" t="s">
        <v>1029</v>
      </c>
      <c r="H62" s="46" t="s">
        <v>909</v>
      </c>
      <c r="I62" s="7" t="s">
        <v>915</v>
      </c>
      <c r="J62" s="6">
        <v>46035</v>
      </c>
      <c r="K62" s="7" t="s">
        <v>902</v>
      </c>
      <c r="L62" s="7" t="s">
        <v>27</v>
      </c>
    </row>
    <row r="63" customFormat="1" ht="16.5" spans="1:12">
      <c r="A63" s="12">
        <v>61</v>
      </c>
      <c r="B63" s="46" t="s">
        <v>23</v>
      </c>
      <c r="C63" s="46" t="s">
        <v>31</v>
      </c>
      <c r="D63" s="46" t="s">
        <v>79</v>
      </c>
      <c r="E63" s="12" t="s">
        <v>388</v>
      </c>
      <c r="F63" s="7" t="s">
        <v>1030</v>
      </c>
      <c r="G63" s="46" t="s">
        <v>1031</v>
      </c>
      <c r="H63" s="46" t="s">
        <v>909</v>
      </c>
      <c r="I63" s="7" t="s">
        <v>907</v>
      </c>
      <c r="J63" s="6">
        <v>46035</v>
      </c>
      <c r="K63" s="7" t="s">
        <v>902</v>
      </c>
      <c r="L63" s="7" t="s">
        <v>27</v>
      </c>
    </row>
    <row r="64" customFormat="1" ht="16.5" spans="1:12">
      <c r="A64" s="12">
        <v>62</v>
      </c>
      <c r="B64" s="46" t="s">
        <v>23</v>
      </c>
      <c r="C64" s="46" t="s">
        <v>38</v>
      </c>
      <c r="D64" s="46" t="s">
        <v>63</v>
      </c>
      <c r="E64" s="12" t="s">
        <v>602</v>
      </c>
      <c r="F64" s="7" t="s">
        <v>1032</v>
      </c>
      <c r="G64" s="46" t="s">
        <v>1033</v>
      </c>
      <c r="H64" s="46" t="s">
        <v>909</v>
      </c>
      <c r="I64" s="7" t="s">
        <v>907</v>
      </c>
      <c r="J64" s="6">
        <v>46035</v>
      </c>
      <c r="K64" s="7" t="s">
        <v>902</v>
      </c>
      <c r="L64" s="7" t="s">
        <v>27</v>
      </c>
    </row>
    <row r="65" customFormat="1" ht="16.5" spans="1:12">
      <c r="A65" s="12">
        <v>63</v>
      </c>
      <c r="B65" s="46" t="s">
        <v>23</v>
      </c>
      <c r="C65" s="46" t="s">
        <v>38</v>
      </c>
      <c r="D65" s="46" t="s">
        <v>63</v>
      </c>
      <c r="E65" s="12" t="s">
        <v>602</v>
      </c>
      <c r="F65" s="7" t="s">
        <v>1034</v>
      </c>
      <c r="G65" s="46" t="s">
        <v>1035</v>
      </c>
      <c r="H65" s="46" t="s">
        <v>921</v>
      </c>
      <c r="I65" s="7" t="s">
        <v>907</v>
      </c>
      <c r="J65" s="6">
        <v>46035</v>
      </c>
      <c r="K65" s="7" t="s">
        <v>902</v>
      </c>
      <c r="L65" s="7" t="s">
        <v>27</v>
      </c>
    </row>
    <row r="66" customFormat="1" ht="16.5" spans="1:12">
      <c r="A66" s="12">
        <v>64</v>
      </c>
      <c r="B66" s="46" t="s">
        <v>23</v>
      </c>
      <c r="C66" s="46" t="s">
        <v>38</v>
      </c>
      <c r="D66" s="46" t="s">
        <v>70</v>
      </c>
      <c r="E66" s="12" t="s">
        <v>628</v>
      </c>
      <c r="F66" s="7" t="s">
        <v>1036</v>
      </c>
      <c r="G66" s="46" t="s">
        <v>1037</v>
      </c>
      <c r="H66" s="46" t="s">
        <v>909</v>
      </c>
      <c r="I66" s="7" t="s">
        <v>907</v>
      </c>
      <c r="J66" s="6">
        <v>46035</v>
      </c>
      <c r="K66" s="7" t="s">
        <v>902</v>
      </c>
      <c r="L66" s="7" t="s">
        <v>27</v>
      </c>
    </row>
    <row r="67" customFormat="1" ht="16.5" spans="1:12">
      <c r="A67" s="12">
        <v>65</v>
      </c>
      <c r="B67" s="46" t="s">
        <v>23</v>
      </c>
      <c r="C67" s="46" t="s">
        <v>35</v>
      </c>
      <c r="D67" s="46" t="s">
        <v>125</v>
      </c>
      <c r="E67" s="12" t="s">
        <v>1588</v>
      </c>
      <c r="F67" s="7" t="s">
        <v>1038</v>
      </c>
      <c r="G67" s="46" t="s">
        <v>1039</v>
      </c>
      <c r="H67" s="46" t="s">
        <v>921</v>
      </c>
      <c r="I67" s="7" t="s">
        <v>915</v>
      </c>
      <c r="J67" s="6">
        <v>46035</v>
      </c>
      <c r="K67" s="7" t="s">
        <v>902</v>
      </c>
      <c r="L67" s="7" t="s">
        <v>27</v>
      </c>
    </row>
    <row r="68" customFormat="1" ht="16.5" spans="1:12">
      <c r="A68" s="12">
        <v>66</v>
      </c>
      <c r="B68" s="46" t="s">
        <v>23</v>
      </c>
      <c r="C68" s="46" t="s">
        <v>38</v>
      </c>
      <c r="D68" s="46" t="s">
        <v>168</v>
      </c>
      <c r="E68" s="12" t="s">
        <v>62</v>
      </c>
      <c r="F68" s="7" t="s">
        <v>1040</v>
      </c>
      <c r="G68" s="46" t="s">
        <v>1041</v>
      </c>
      <c r="H68" s="46" t="s">
        <v>909</v>
      </c>
      <c r="I68" s="7" t="s">
        <v>907</v>
      </c>
      <c r="J68" s="6">
        <v>46035</v>
      </c>
      <c r="K68" s="7" t="s">
        <v>902</v>
      </c>
      <c r="L68" s="7" t="s">
        <v>27</v>
      </c>
    </row>
    <row r="69" customFormat="1" ht="16.5" spans="1:12">
      <c r="A69" s="12">
        <v>67</v>
      </c>
      <c r="B69" s="46" t="s">
        <v>23</v>
      </c>
      <c r="C69" s="46" t="s">
        <v>38</v>
      </c>
      <c r="D69" s="46" t="s">
        <v>168</v>
      </c>
      <c r="E69" s="12" t="s">
        <v>62</v>
      </c>
      <c r="F69" s="7" t="s">
        <v>1042</v>
      </c>
      <c r="G69" s="46" t="s">
        <v>1043</v>
      </c>
      <c r="H69" s="46" t="s">
        <v>909</v>
      </c>
      <c r="I69" s="7" t="s">
        <v>907</v>
      </c>
      <c r="J69" s="6">
        <v>46035</v>
      </c>
      <c r="K69" s="7" t="s">
        <v>902</v>
      </c>
      <c r="L69" s="7" t="s">
        <v>27</v>
      </c>
    </row>
    <row r="70" customFormat="1" ht="16.5" spans="1:12">
      <c r="A70" s="12">
        <v>68</v>
      </c>
      <c r="B70" s="46" t="s">
        <v>23</v>
      </c>
      <c r="C70" s="46" t="s">
        <v>38</v>
      </c>
      <c r="D70" s="46" t="s">
        <v>148</v>
      </c>
      <c r="E70" s="12" t="s">
        <v>340</v>
      </c>
      <c r="F70" s="7" t="s">
        <v>1044</v>
      </c>
      <c r="G70" s="46" t="s">
        <v>1045</v>
      </c>
      <c r="H70" s="46" t="s">
        <v>909</v>
      </c>
      <c r="I70" s="7" t="s">
        <v>907</v>
      </c>
      <c r="J70" s="6">
        <v>46035</v>
      </c>
      <c r="K70" s="7" t="s">
        <v>902</v>
      </c>
      <c r="L70" s="7" t="s">
        <v>27</v>
      </c>
    </row>
    <row r="71" customFormat="1" ht="16.5" spans="1:12">
      <c r="A71" s="12">
        <v>69</v>
      </c>
      <c r="B71" s="46" t="s">
        <v>23</v>
      </c>
      <c r="C71" s="46" t="s">
        <v>38</v>
      </c>
      <c r="D71" s="46" t="s">
        <v>148</v>
      </c>
      <c r="E71" s="12" t="s">
        <v>340</v>
      </c>
      <c r="F71" s="7" t="s">
        <v>1046</v>
      </c>
      <c r="G71" s="46" t="s">
        <v>1047</v>
      </c>
      <c r="H71" s="46" t="s">
        <v>909</v>
      </c>
      <c r="I71" s="7" t="s">
        <v>907</v>
      </c>
      <c r="J71" s="6">
        <v>46035</v>
      </c>
      <c r="K71" s="7" t="s">
        <v>902</v>
      </c>
      <c r="L71" s="7" t="s">
        <v>27</v>
      </c>
    </row>
    <row r="72" customFormat="1" ht="16.5" spans="1:12">
      <c r="A72" s="12">
        <v>70</v>
      </c>
      <c r="B72" s="46" t="s">
        <v>23</v>
      </c>
      <c r="C72" s="46" t="s">
        <v>38</v>
      </c>
      <c r="D72" s="46" t="s">
        <v>63</v>
      </c>
      <c r="E72" s="12" t="s">
        <v>392</v>
      </c>
      <c r="F72" s="7" t="s">
        <v>1048</v>
      </c>
      <c r="G72" s="46" t="s">
        <v>1049</v>
      </c>
      <c r="H72" s="46" t="s">
        <v>909</v>
      </c>
      <c r="I72" s="7" t="s">
        <v>907</v>
      </c>
      <c r="J72" s="6">
        <v>46035</v>
      </c>
      <c r="K72" s="7" t="s">
        <v>902</v>
      </c>
      <c r="L72" s="7" t="s">
        <v>27</v>
      </c>
    </row>
    <row r="73" customFormat="1" ht="16.5" spans="1:12">
      <c r="A73" s="12">
        <v>71</v>
      </c>
      <c r="B73" s="46" t="s">
        <v>23</v>
      </c>
      <c r="C73" s="46" t="s">
        <v>32</v>
      </c>
      <c r="D73" s="46" t="s">
        <v>105</v>
      </c>
      <c r="E73" s="12" t="s">
        <v>104</v>
      </c>
      <c r="F73" s="7" t="s">
        <v>1050</v>
      </c>
      <c r="G73" s="46" t="s">
        <v>1051</v>
      </c>
      <c r="H73" s="46" t="s">
        <v>921</v>
      </c>
      <c r="I73" s="7" t="s">
        <v>915</v>
      </c>
      <c r="J73" s="6">
        <v>46035</v>
      </c>
      <c r="K73" s="7" t="s">
        <v>902</v>
      </c>
      <c r="L73" s="7" t="s">
        <v>27</v>
      </c>
    </row>
    <row r="74" customFormat="1" ht="16.5" spans="1:12">
      <c r="A74" s="12">
        <v>72</v>
      </c>
      <c r="B74" s="46" t="s">
        <v>23</v>
      </c>
      <c r="C74" s="46" t="s">
        <v>38</v>
      </c>
      <c r="D74" s="46" t="s">
        <v>63</v>
      </c>
      <c r="E74" s="12" t="s">
        <v>392</v>
      </c>
      <c r="F74" s="7" t="s">
        <v>1052</v>
      </c>
      <c r="G74" s="46" t="s">
        <v>1053</v>
      </c>
      <c r="H74" s="46" t="s">
        <v>909</v>
      </c>
      <c r="I74" s="7" t="s">
        <v>907</v>
      </c>
      <c r="J74" s="6">
        <v>46035</v>
      </c>
      <c r="K74" s="7" t="s">
        <v>902</v>
      </c>
      <c r="L74" s="7" t="s">
        <v>27</v>
      </c>
    </row>
    <row r="75" customFormat="1" ht="16.5" spans="1:12">
      <c r="A75" s="12">
        <v>73</v>
      </c>
      <c r="B75" s="46" t="s">
        <v>23</v>
      </c>
      <c r="C75" s="46" t="s">
        <v>29</v>
      </c>
      <c r="D75" s="46" t="s">
        <v>130</v>
      </c>
      <c r="E75" s="12" t="s">
        <v>469</v>
      </c>
      <c r="F75" s="7" t="s">
        <v>1054</v>
      </c>
      <c r="G75" s="46" t="s">
        <v>1055</v>
      </c>
      <c r="H75" s="46" t="s">
        <v>909</v>
      </c>
      <c r="I75" s="7" t="s">
        <v>915</v>
      </c>
      <c r="J75" s="6">
        <v>46035</v>
      </c>
      <c r="K75" s="7" t="s">
        <v>902</v>
      </c>
      <c r="L75" s="7" t="s">
        <v>27</v>
      </c>
    </row>
    <row r="76" customFormat="1" ht="16.5" spans="1:12">
      <c r="A76" s="12">
        <v>74</v>
      </c>
      <c r="B76" s="46" t="s">
        <v>23</v>
      </c>
      <c r="C76" s="46" t="s">
        <v>37</v>
      </c>
      <c r="D76" s="46" t="s">
        <v>152</v>
      </c>
      <c r="E76" s="12" t="s">
        <v>151</v>
      </c>
      <c r="F76" s="7" t="s">
        <v>1056</v>
      </c>
      <c r="G76" s="46" t="s">
        <v>1057</v>
      </c>
      <c r="H76" s="46" t="s">
        <v>921</v>
      </c>
      <c r="I76" s="7" t="s">
        <v>915</v>
      </c>
      <c r="J76" s="6">
        <v>46035</v>
      </c>
      <c r="K76" s="7" t="s">
        <v>902</v>
      </c>
      <c r="L76" s="7" t="s">
        <v>27</v>
      </c>
    </row>
    <row r="77" customFormat="1" ht="16.5" spans="1:12">
      <c r="A77" s="12">
        <v>75</v>
      </c>
      <c r="B77" s="46" t="s">
        <v>23</v>
      </c>
      <c r="C77" s="46" t="s">
        <v>38</v>
      </c>
      <c r="D77" s="46" t="s">
        <v>75</v>
      </c>
      <c r="E77" s="12" t="s">
        <v>200</v>
      </c>
      <c r="F77" s="7" t="s">
        <v>1058</v>
      </c>
      <c r="G77" s="46" t="s">
        <v>1059</v>
      </c>
      <c r="H77" s="46" t="s">
        <v>909</v>
      </c>
      <c r="I77" s="7" t="s">
        <v>907</v>
      </c>
      <c r="J77" s="6">
        <v>46035</v>
      </c>
      <c r="K77" s="7" t="s">
        <v>902</v>
      </c>
      <c r="L77" s="7" t="s">
        <v>27</v>
      </c>
    </row>
    <row r="78" customFormat="1" ht="16.5" spans="1:12">
      <c r="A78" s="12">
        <v>76</v>
      </c>
      <c r="B78" s="46" t="s">
        <v>23</v>
      </c>
      <c r="C78" s="46" t="s">
        <v>38</v>
      </c>
      <c r="D78" s="46" t="s">
        <v>168</v>
      </c>
      <c r="E78" s="12" t="s">
        <v>500</v>
      </c>
      <c r="F78" s="7" t="s">
        <v>1060</v>
      </c>
      <c r="G78" s="46" t="s">
        <v>1061</v>
      </c>
      <c r="H78" s="46" t="s">
        <v>909</v>
      </c>
      <c r="I78" s="7" t="s">
        <v>915</v>
      </c>
      <c r="J78" s="6">
        <v>46035</v>
      </c>
      <c r="K78" s="7" t="s">
        <v>902</v>
      </c>
      <c r="L78" s="7" t="s">
        <v>27</v>
      </c>
    </row>
    <row r="79" customFormat="1" ht="16.5" spans="1:12">
      <c r="A79" s="12">
        <v>77</v>
      </c>
      <c r="B79" s="46" t="s">
        <v>23</v>
      </c>
      <c r="C79" s="46" t="s">
        <v>38</v>
      </c>
      <c r="D79" s="46" t="s">
        <v>70</v>
      </c>
      <c r="E79" s="12" t="s">
        <v>247</v>
      </c>
      <c r="F79" s="7" t="s">
        <v>1062</v>
      </c>
      <c r="G79" s="46" t="s">
        <v>1063</v>
      </c>
      <c r="H79" s="46" t="s">
        <v>909</v>
      </c>
      <c r="I79" s="7" t="s">
        <v>915</v>
      </c>
      <c r="J79" s="6">
        <v>46035</v>
      </c>
      <c r="K79" s="7" t="s">
        <v>902</v>
      </c>
      <c r="L79" s="7" t="s">
        <v>27</v>
      </c>
    </row>
    <row r="80" customFormat="1" ht="16.5" spans="1:12">
      <c r="A80" s="12">
        <v>78</v>
      </c>
      <c r="B80" s="46" t="s">
        <v>23</v>
      </c>
      <c r="C80" s="46" t="s">
        <v>38</v>
      </c>
      <c r="D80" s="46" t="s">
        <v>70</v>
      </c>
      <c r="E80" s="12" t="s">
        <v>247</v>
      </c>
      <c r="F80" s="7" t="s">
        <v>1064</v>
      </c>
      <c r="G80" s="46" t="s">
        <v>1065</v>
      </c>
      <c r="H80" s="46" t="s">
        <v>909</v>
      </c>
      <c r="I80" s="7" t="s">
        <v>907</v>
      </c>
      <c r="J80" s="6">
        <v>46035</v>
      </c>
      <c r="K80" s="7" t="s">
        <v>902</v>
      </c>
      <c r="L80" s="7" t="s">
        <v>27</v>
      </c>
    </row>
    <row r="81" customFormat="1" ht="16.5" spans="1:12">
      <c r="A81" s="12">
        <v>79</v>
      </c>
      <c r="B81" s="46" t="s">
        <v>23</v>
      </c>
      <c r="C81" s="46" t="s">
        <v>38</v>
      </c>
      <c r="D81" s="46" t="s">
        <v>70</v>
      </c>
      <c r="E81" s="12" t="s">
        <v>247</v>
      </c>
      <c r="F81" s="7" t="s">
        <v>1066</v>
      </c>
      <c r="G81" s="46" t="s">
        <v>1067</v>
      </c>
      <c r="H81" s="46" t="s">
        <v>909</v>
      </c>
      <c r="I81" s="7" t="s">
        <v>915</v>
      </c>
      <c r="J81" s="6">
        <v>46035</v>
      </c>
      <c r="K81" s="7" t="s">
        <v>902</v>
      </c>
      <c r="L81" s="7" t="s">
        <v>27</v>
      </c>
    </row>
    <row r="82" customFormat="1" ht="16.5" spans="1:12">
      <c r="A82" s="12">
        <v>80</v>
      </c>
      <c r="B82" s="46" t="s">
        <v>23</v>
      </c>
      <c r="C82" s="46" t="s">
        <v>31</v>
      </c>
      <c r="D82" s="46" t="s">
        <v>79</v>
      </c>
      <c r="E82" s="12" t="s">
        <v>1586</v>
      </c>
      <c r="F82" s="7" t="s">
        <v>1068</v>
      </c>
      <c r="G82" s="46" t="s">
        <v>1069</v>
      </c>
      <c r="H82" s="46" t="s">
        <v>921</v>
      </c>
      <c r="I82" s="7" t="s">
        <v>907</v>
      </c>
      <c r="J82" s="6">
        <v>46035</v>
      </c>
      <c r="K82" s="7" t="s">
        <v>902</v>
      </c>
      <c r="L82" s="7" t="s">
        <v>27</v>
      </c>
    </row>
    <row r="83" customFormat="1" ht="16.5" spans="1:12">
      <c r="A83" s="12">
        <v>81</v>
      </c>
      <c r="B83" s="46" t="s">
        <v>23</v>
      </c>
      <c r="C83" s="46" t="s">
        <v>38</v>
      </c>
      <c r="D83" s="46" t="s">
        <v>220</v>
      </c>
      <c r="E83" s="12" t="s">
        <v>441</v>
      </c>
      <c r="F83" s="7" t="s">
        <v>1070</v>
      </c>
      <c r="G83" s="46" t="s">
        <v>1071</v>
      </c>
      <c r="H83" s="46" t="s">
        <v>909</v>
      </c>
      <c r="I83" s="7" t="s">
        <v>915</v>
      </c>
      <c r="J83" s="6">
        <v>46035</v>
      </c>
      <c r="K83" s="7" t="s">
        <v>902</v>
      </c>
      <c r="L83" s="7" t="s">
        <v>27</v>
      </c>
    </row>
    <row r="84" customFormat="1" ht="16.5" spans="1:12">
      <c r="A84" s="12">
        <v>82</v>
      </c>
      <c r="B84" s="46" t="s">
        <v>23</v>
      </c>
      <c r="C84" s="46" t="s">
        <v>38</v>
      </c>
      <c r="D84" s="46" t="s">
        <v>220</v>
      </c>
      <c r="E84" s="12" t="s">
        <v>441</v>
      </c>
      <c r="F84" s="7" t="s">
        <v>1072</v>
      </c>
      <c r="G84" s="46" t="s">
        <v>1073</v>
      </c>
      <c r="H84" s="46" t="s">
        <v>921</v>
      </c>
      <c r="I84" s="7" t="s">
        <v>915</v>
      </c>
      <c r="J84" s="6">
        <v>46035</v>
      </c>
      <c r="K84" s="7" t="s">
        <v>902</v>
      </c>
      <c r="L84" s="7" t="s">
        <v>27</v>
      </c>
    </row>
    <row r="85" customFormat="1" ht="16.5" spans="1:12">
      <c r="A85" s="12">
        <v>83</v>
      </c>
      <c r="B85" s="46" t="s">
        <v>23</v>
      </c>
      <c r="C85" s="46" t="s">
        <v>38</v>
      </c>
      <c r="D85" s="46" t="s">
        <v>220</v>
      </c>
      <c r="E85" s="12" t="s">
        <v>441</v>
      </c>
      <c r="F85" s="7" t="s">
        <v>1074</v>
      </c>
      <c r="G85" s="46" t="s">
        <v>1075</v>
      </c>
      <c r="H85" s="46" t="s">
        <v>921</v>
      </c>
      <c r="I85" s="7" t="s">
        <v>915</v>
      </c>
      <c r="J85" s="6">
        <v>46035</v>
      </c>
      <c r="K85" s="7" t="s">
        <v>902</v>
      </c>
      <c r="L85" s="7" t="s">
        <v>27</v>
      </c>
    </row>
    <row r="86" customFormat="1" ht="16.5" spans="1:12">
      <c r="A86" s="12">
        <v>84</v>
      </c>
      <c r="B86" s="46" t="s">
        <v>23</v>
      </c>
      <c r="C86" s="46" t="s">
        <v>38</v>
      </c>
      <c r="D86" s="46" t="s">
        <v>220</v>
      </c>
      <c r="E86" s="12" t="s">
        <v>441</v>
      </c>
      <c r="F86" s="7" t="s">
        <v>1074</v>
      </c>
      <c r="G86" s="46" t="s">
        <v>1075</v>
      </c>
      <c r="H86" s="46" t="s">
        <v>921</v>
      </c>
      <c r="I86" s="7" t="s">
        <v>915</v>
      </c>
      <c r="J86" s="6">
        <v>46035</v>
      </c>
      <c r="K86" s="7" t="s">
        <v>1076</v>
      </c>
      <c r="L86" s="7" t="s">
        <v>27</v>
      </c>
    </row>
    <row r="87" customFormat="1" ht="16.5" spans="1:12">
      <c r="A87" s="12">
        <v>85</v>
      </c>
      <c r="B87" s="46" t="s">
        <v>23</v>
      </c>
      <c r="C87" s="46" t="s">
        <v>38</v>
      </c>
      <c r="D87" s="46" t="s">
        <v>63</v>
      </c>
      <c r="E87" s="12" t="s">
        <v>1581</v>
      </c>
      <c r="F87" s="7" t="s">
        <v>906</v>
      </c>
      <c r="G87" s="46" t="s">
        <v>908</v>
      </c>
      <c r="H87" s="46" t="s">
        <v>909</v>
      </c>
      <c r="I87" s="7" t="s">
        <v>907</v>
      </c>
      <c r="J87" s="6">
        <v>46035</v>
      </c>
      <c r="K87" s="7" t="s">
        <v>1076</v>
      </c>
      <c r="L87" s="7" t="s">
        <v>27</v>
      </c>
    </row>
    <row r="88" customFormat="1" ht="16.5" spans="1:12">
      <c r="A88" s="12">
        <v>86</v>
      </c>
      <c r="B88" s="46" t="s">
        <v>23</v>
      </c>
      <c r="C88" s="46" t="s">
        <v>38</v>
      </c>
      <c r="D88" s="46" t="s">
        <v>63</v>
      </c>
      <c r="E88" s="12" t="s">
        <v>1581</v>
      </c>
      <c r="F88" s="7" t="s">
        <v>910</v>
      </c>
      <c r="G88" s="46" t="s">
        <v>911</v>
      </c>
      <c r="H88" s="46" t="s">
        <v>909</v>
      </c>
      <c r="I88" s="7" t="s">
        <v>907</v>
      </c>
      <c r="J88" s="6">
        <v>46035</v>
      </c>
      <c r="K88" s="7" t="s">
        <v>1076</v>
      </c>
      <c r="L88" s="7" t="s">
        <v>27</v>
      </c>
    </row>
    <row r="89" customFormat="1" ht="16.5" spans="1:12">
      <c r="A89" s="12">
        <v>87</v>
      </c>
      <c r="B89" s="46" t="s">
        <v>23</v>
      </c>
      <c r="C89" s="46" t="s">
        <v>38</v>
      </c>
      <c r="D89" s="46" t="s">
        <v>63</v>
      </c>
      <c r="E89" s="12" t="s">
        <v>1581</v>
      </c>
      <c r="F89" s="7" t="s">
        <v>912</v>
      </c>
      <c r="G89" s="46" t="s">
        <v>913</v>
      </c>
      <c r="H89" s="46" t="s">
        <v>909</v>
      </c>
      <c r="I89" s="7" t="s">
        <v>907</v>
      </c>
      <c r="J89" s="6">
        <v>46035</v>
      </c>
      <c r="K89" s="7" t="s">
        <v>1076</v>
      </c>
      <c r="L89" s="7" t="s">
        <v>27</v>
      </c>
    </row>
    <row r="90" customFormat="1" ht="16.5" spans="1:12">
      <c r="A90" s="12">
        <v>88</v>
      </c>
      <c r="B90" s="46" t="s">
        <v>23</v>
      </c>
      <c r="C90" s="46" t="s">
        <v>38</v>
      </c>
      <c r="D90" s="46" t="s">
        <v>70</v>
      </c>
      <c r="E90" s="12" t="s">
        <v>82</v>
      </c>
      <c r="F90" s="7" t="s">
        <v>914</v>
      </c>
      <c r="G90" s="46" t="s">
        <v>916</v>
      </c>
      <c r="H90" s="46" t="s">
        <v>909</v>
      </c>
      <c r="I90" s="7" t="s">
        <v>915</v>
      </c>
      <c r="J90" s="6">
        <v>46035</v>
      </c>
      <c r="K90" s="7" t="s">
        <v>1076</v>
      </c>
      <c r="L90" s="7" t="s">
        <v>27</v>
      </c>
    </row>
    <row r="91" customFormat="1" ht="16.5" spans="1:12">
      <c r="A91" s="12">
        <v>89</v>
      </c>
      <c r="B91" s="46" t="s">
        <v>23</v>
      </c>
      <c r="C91" s="46" t="s">
        <v>37</v>
      </c>
      <c r="D91" s="46" t="s">
        <v>109</v>
      </c>
      <c r="E91" s="12" t="s">
        <v>451</v>
      </c>
      <c r="F91" s="7" t="s">
        <v>917</v>
      </c>
      <c r="G91" s="46" t="s">
        <v>918</v>
      </c>
      <c r="H91" s="46" t="s">
        <v>909</v>
      </c>
      <c r="I91" s="7" t="s">
        <v>915</v>
      </c>
      <c r="J91" s="6">
        <v>46035</v>
      </c>
      <c r="K91" s="7" t="s">
        <v>1076</v>
      </c>
      <c r="L91" s="7" t="s">
        <v>27</v>
      </c>
    </row>
    <row r="92" customFormat="1" ht="16.5" spans="1:12">
      <c r="A92" s="12">
        <v>90</v>
      </c>
      <c r="B92" s="46" t="s">
        <v>23</v>
      </c>
      <c r="C92" s="46" t="s">
        <v>38</v>
      </c>
      <c r="D92" s="46" t="s">
        <v>220</v>
      </c>
      <c r="E92" s="12" t="s">
        <v>620</v>
      </c>
      <c r="F92" s="7" t="s">
        <v>919</v>
      </c>
      <c r="G92" s="46" t="s">
        <v>920</v>
      </c>
      <c r="H92" s="46" t="s">
        <v>921</v>
      </c>
      <c r="I92" s="7" t="s">
        <v>907</v>
      </c>
      <c r="J92" s="6">
        <v>46035</v>
      </c>
      <c r="K92" s="7" t="s">
        <v>1076</v>
      </c>
      <c r="L92" s="7" t="s">
        <v>27</v>
      </c>
    </row>
    <row r="93" customFormat="1" ht="16.5" spans="1:12">
      <c r="A93" s="12">
        <v>91</v>
      </c>
      <c r="B93" s="46" t="s">
        <v>23</v>
      </c>
      <c r="C93" s="46" t="s">
        <v>38</v>
      </c>
      <c r="D93" s="46" t="s">
        <v>75</v>
      </c>
      <c r="E93" s="12" t="s">
        <v>176</v>
      </c>
      <c r="F93" s="7" t="s">
        <v>922</v>
      </c>
      <c r="G93" s="46" t="s">
        <v>923</v>
      </c>
      <c r="H93" s="46" t="s">
        <v>909</v>
      </c>
      <c r="I93" s="7" t="s">
        <v>907</v>
      </c>
      <c r="J93" s="6">
        <v>46035</v>
      </c>
      <c r="K93" s="7" t="s">
        <v>1076</v>
      </c>
      <c r="L93" s="7" t="s">
        <v>27</v>
      </c>
    </row>
    <row r="94" customFormat="1" ht="16.5" spans="1:12">
      <c r="A94" s="12">
        <v>92</v>
      </c>
      <c r="B94" s="46" t="s">
        <v>23</v>
      </c>
      <c r="C94" s="46" t="s">
        <v>38</v>
      </c>
      <c r="D94" s="46" t="s">
        <v>144</v>
      </c>
      <c r="E94" s="12" t="s">
        <v>185</v>
      </c>
      <c r="F94" s="7" t="s">
        <v>924</v>
      </c>
      <c r="G94" s="46" t="s">
        <v>925</v>
      </c>
      <c r="H94" s="46" t="s">
        <v>909</v>
      </c>
      <c r="I94" s="7" t="s">
        <v>915</v>
      </c>
      <c r="J94" s="6">
        <v>46035</v>
      </c>
      <c r="K94" s="7" t="s">
        <v>1076</v>
      </c>
      <c r="L94" s="7" t="s">
        <v>27</v>
      </c>
    </row>
    <row r="95" customFormat="1" ht="16.5" spans="1:12">
      <c r="A95" s="12">
        <v>93</v>
      </c>
      <c r="B95" s="46" t="s">
        <v>23</v>
      </c>
      <c r="C95" s="46" t="s">
        <v>31</v>
      </c>
      <c r="D95" s="46" t="s">
        <v>79</v>
      </c>
      <c r="E95" s="12" t="s">
        <v>1582</v>
      </c>
      <c r="F95" s="7" t="s">
        <v>926</v>
      </c>
      <c r="G95" s="46" t="s">
        <v>927</v>
      </c>
      <c r="H95" s="46" t="s">
        <v>909</v>
      </c>
      <c r="I95" s="7" t="s">
        <v>907</v>
      </c>
      <c r="J95" s="6">
        <v>46035</v>
      </c>
      <c r="K95" s="7" t="s">
        <v>1076</v>
      </c>
      <c r="L95" s="7" t="s">
        <v>27</v>
      </c>
    </row>
    <row r="96" customFormat="1" ht="16.5" spans="1:12">
      <c r="A96" s="12">
        <v>94</v>
      </c>
      <c r="B96" s="46" t="s">
        <v>23</v>
      </c>
      <c r="C96" s="46" t="s">
        <v>38</v>
      </c>
      <c r="D96" s="46" t="s">
        <v>144</v>
      </c>
      <c r="E96" s="12" t="s">
        <v>282</v>
      </c>
      <c r="F96" s="7" t="s">
        <v>928</v>
      </c>
      <c r="G96" s="46" t="s">
        <v>929</v>
      </c>
      <c r="H96" s="46" t="s">
        <v>909</v>
      </c>
      <c r="I96" s="7" t="s">
        <v>907</v>
      </c>
      <c r="J96" s="6">
        <v>46035</v>
      </c>
      <c r="K96" s="7" t="s">
        <v>1076</v>
      </c>
      <c r="L96" s="7" t="s">
        <v>27</v>
      </c>
    </row>
    <row r="97" customFormat="1" ht="16.5" spans="1:12">
      <c r="A97" s="12">
        <v>95</v>
      </c>
      <c r="B97" s="46" t="s">
        <v>23</v>
      </c>
      <c r="C97" s="46" t="s">
        <v>38</v>
      </c>
      <c r="D97" s="46" t="s">
        <v>144</v>
      </c>
      <c r="E97" s="12" t="s">
        <v>282</v>
      </c>
      <c r="F97" s="7" t="s">
        <v>930</v>
      </c>
      <c r="G97" s="46" t="s">
        <v>931</v>
      </c>
      <c r="H97" s="46" t="s">
        <v>921</v>
      </c>
      <c r="I97" s="7" t="s">
        <v>907</v>
      </c>
      <c r="J97" s="6">
        <v>46035</v>
      </c>
      <c r="K97" s="7" t="s">
        <v>1076</v>
      </c>
      <c r="L97" s="7" t="s">
        <v>27</v>
      </c>
    </row>
    <row r="98" customFormat="1" ht="16.5" spans="1:12">
      <c r="A98" s="12">
        <v>96</v>
      </c>
      <c r="B98" s="46" t="s">
        <v>23</v>
      </c>
      <c r="C98" s="46" t="s">
        <v>37</v>
      </c>
      <c r="D98" s="46" t="s">
        <v>109</v>
      </c>
      <c r="E98" s="12" t="s">
        <v>137</v>
      </c>
      <c r="F98" s="7" t="s">
        <v>932</v>
      </c>
      <c r="G98" s="46" t="s">
        <v>933</v>
      </c>
      <c r="H98" s="46" t="s">
        <v>909</v>
      </c>
      <c r="I98" s="7" t="s">
        <v>907</v>
      </c>
      <c r="J98" s="6">
        <v>46035</v>
      </c>
      <c r="K98" s="7" t="s">
        <v>1076</v>
      </c>
      <c r="L98" s="7" t="s">
        <v>27</v>
      </c>
    </row>
    <row r="99" customFormat="1" ht="16.5" spans="1:12">
      <c r="A99" s="12">
        <v>97</v>
      </c>
      <c r="B99" s="46" t="s">
        <v>23</v>
      </c>
      <c r="C99" s="46" t="s">
        <v>38</v>
      </c>
      <c r="D99" s="46" t="s">
        <v>144</v>
      </c>
      <c r="E99" s="12" t="s">
        <v>185</v>
      </c>
      <c r="F99" s="7" t="s">
        <v>934</v>
      </c>
      <c r="G99" s="46" t="s">
        <v>935</v>
      </c>
      <c r="H99" s="46" t="s">
        <v>909</v>
      </c>
      <c r="I99" s="7" t="s">
        <v>907</v>
      </c>
      <c r="J99" s="6">
        <v>46035</v>
      </c>
      <c r="K99" s="7" t="s">
        <v>1076</v>
      </c>
      <c r="L99" s="7" t="s">
        <v>27</v>
      </c>
    </row>
    <row r="100" customFormat="1" ht="16.5" spans="1:12">
      <c r="A100" s="12">
        <v>98</v>
      </c>
      <c r="B100" s="46" t="s">
        <v>23</v>
      </c>
      <c r="C100" s="46" t="s">
        <v>38</v>
      </c>
      <c r="D100" s="46" t="s">
        <v>75</v>
      </c>
      <c r="E100" s="12" t="s">
        <v>407</v>
      </c>
      <c r="F100" s="7" t="s">
        <v>936</v>
      </c>
      <c r="G100" s="46" t="s">
        <v>937</v>
      </c>
      <c r="H100" s="46" t="s">
        <v>909</v>
      </c>
      <c r="I100" s="7" t="s">
        <v>915</v>
      </c>
      <c r="J100" s="6">
        <v>46035</v>
      </c>
      <c r="K100" s="7" t="s">
        <v>1076</v>
      </c>
      <c r="L100" s="7" t="s">
        <v>27</v>
      </c>
    </row>
    <row r="101" customFormat="1" ht="16.5" spans="1:12">
      <c r="A101" s="12">
        <v>99</v>
      </c>
      <c r="B101" s="46" t="s">
        <v>23</v>
      </c>
      <c r="C101" s="46" t="s">
        <v>38</v>
      </c>
      <c r="D101" s="46" t="s">
        <v>75</v>
      </c>
      <c r="E101" s="12" t="s">
        <v>407</v>
      </c>
      <c r="F101" s="7" t="s">
        <v>938</v>
      </c>
      <c r="G101" s="46" t="s">
        <v>939</v>
      </c>
      <c r="H101" s="46" t="s">
        <v>909</v>
      </c>
      <c r="I101" s="7" t="s">
        <v>915</v>
      </c>
      <c r="J101" s="6">
        <v>46035</v>
      </c>
      <c r="K101" s="7" t="s">
        <v>1076</v>
      </c>
      <c r="L101" s="7" t="s">
        <v>27</v>
      </c>
    </row>
    <row r="102" customFormat="1" ht="16.5" spans="1:12">
      <c r="A102" s="12">
        <v>100</v>
      </c>
      <c r="B102" s="46" t="s">
        <v>23</v>
      </c>
      <c r="C102" s="46" t="s">
        <v>38</v>
      </c>
      <c r="D102" s="46" t="s">
        <v>75</v>
      </c>
      <c r="E102" s="12" t="s">
        <v>1363</v>
      </c>
      <c r="F102" s="7" t="s">
        <v>940</v>
      </c>
      <c r="G102" s="46" t="s">
        <v>941</v>
      </c>
      <c r="H102" s="46" t="s">
        <v>909</v>
      </c>
      <c r="I102" s="7" t="s">
        <v>907</v>
      </c>
      <c r="J102" s="6">
        <v>46035</v>
      </c>
      <c r="K102" s="7" t="s">
        <v>1076</v>
      </c>
      <c r="L102" s="7" t="s">
        <v>27</v>
      </c>
    </row>
    <row r="103" customFormat="1" ht="16.5" spans="1:12">
      <c r="A103" s="12">
        <v>101</v>
      </c>
      <c r="B103" s="46" t="s">
        <v>23</v>
      </c>
      <c r="C103" s="46" t="s">
        <v>29</v>
      </c>
      <c r="D103" s="46" t="s">
        <v>130</v>
      </c>
      <c r="E103" s="12" t="s">
        <v>263</v>
      </c>
      <c r="F103" s="7" t="s">
        <v>942</v>
      </c>
      <c r="G103" s="46" t="s">
        <v>943</v>
      </c>
      <c r="H103" s="46" t="s">
        <v>909</v>
      </c>
      <c r="I103" s="7" t="s">
        <v>915</v>
      </c>
      <c r="J103" s="6">
        <v>46035</v>
      </c>
      <c r="K103" s="7" t="s">
        <v>1076</v>
      </c>
      <c r="L103" s="7" t="s">
        <v>27</v>
      </c>
    </row>
    <row r="104" customFormat="1" ht="16.5" spans="1:12">
      <c r="A104" s="12">
        <v>102</v>
      </c>
      <c r="B104" s="46" t="s">
        <v>23</v>
      </c>
      <c r="C104" s="46" t="s">
        <v>36</v>
      </c>
      <c r="D104" s="46" t="s">
        <v>173</v>
      </c>
      <c r="E104" s="12" t="s">
        <v>354</v>
      </c>
      <c r="F104" s="7" t="s">
        <v>944</v>
      </c>
      <c r="G104" s="46" t="s">
        <v>945</v>
      </c>
      <c r="H104" s="46" t="s">
        <v>909</v>
      </c>
      <c r="I104" s="7" t="s">
        <v>915</v>
      </c>
      <c r="J104" s="6">
        <v>46035</v>
      </c>
      <c r="K104" s="7" t="s">
        <v>1076</v>
      </c>
      <c r="L104" s="7" t="s">
        <v>27</v>
      </c>
    </row>
    <row r="105" customFormat="1" ht="16.5" spans="1:12">
      <c r="A105" s="12">
        <v>103</v>
      </c>
      <c r="B105" s="46" t="s">
        <v>23</v>
      </c>
      <c r="C105" s="46" t="s">
        <v>31</v>
      </c>
      <c r="D105" s="46" t="s">
        <v>79</v>
      </c>
      <c r="E105" s="12" t="s">
        <v>189</v>
      </c>
      <c r="F105" s="7" t="s">
        <v>946</v>
      </c>
      <c r="G105" s="46" t="s">
        <v>947</v>
      </c>
      <c r="H105" s="46" t="s">
        <v>909</v>
      </c>
      <c r="I105" s="7" t="s">
        <v>907</v>
      </c>
      <c r="J105" s="6">
        <v>46035</v>
      </c>
      <c r="K105" s="7" t="s">
        <v>1076</v>
      </c>
      <c r="L105" s="7" t="s">
        <v>27</v>
      </c>
    </row>
    <row r="106" customFormat="1" ht="16.5" spans="1:12">
      <c r="A106" s="12">
        <v>104</v>
      </c>
      <c r="B106" s="46" t="s">
        <v>23</v>
      </c>
      <c r="C106" s="46" t="s">
        <v>36</v>
      </c>
      <c r="D106" s="46" t="s">
        <v>173</v>
      </c>
      <c r="E106" s="12" t="s">
        <v>354</v>
      </c>
      <c r="F106" s="7" t="s">
        <v>948</v>
      </c>
      <c r="G106" s="46" t="s">
        <v>949</v>
      </c>
      <c r="H106" s="46" t="s">
        <v>909</v>
      </c>
      <c r="I106" s="7" t="s">
        <v>915</v>
      </c>
      <c r="J106" s="6">
        <v>46035</v>
      </c>
      <c r="K106" s="7" t="s">
        <v>1076</v>
      </c>
      <c r="L106" s="7" t="s">
        <v>27</v>
      </c>
    </row>
    <row r="107" customFormat="1" ht="16.5" spans="1:12">
      <c r="A107" s="12">
        <v>105</v>
      </c>
      <c r="B107" s="46" t="s">
        <v>23</v>
      </c>
      <c r="C107" s="46" t="s">
        <v>36</v>
      </c>
      <c r="D107" s="46" t="s">
        <v>173</v>
      </c>
      <c r="E107" s="12" t="s">
        <v>354</v>
      </c>
      <c r="F107" s="7" t="s">
        <v>950</v>
      </c>
      <c r="G107" s="46" t="s">
        <v>951</v>
      </c>
      <c r="H107" s="46" t="s">
        <v>909</v>
      </c>
      <c r="I107" s="7" t="s">
        <v>915</v>
      </c>
      <c r="J107" s="6">
        <v>46035</v>
      </c>
      <c r="K107" s="7" t="s">
        <v>1076</v>
      </c>
      <c r="L107" s="7" t="s">
        <v>27</v>
      </c>
    </row>
    <row r="108" customFormat="1" ht="16.5" spans="1:12">
      <c r="A108" s="12">
        <v>106</v>
      </c>
      <c r="B108" s="46" t="s">
        <v>23</v>
      </c>
      <c r="C108" s="46" t="s">
        <v>38</v>
      </c>
      <c r="D108" s="46" t="s">
        <v>220</v>
      </c>
      <c r="E108" s="12" t="s">
        <v>614</v>
      </c>
      <c r="F108" s="7" t="s">
        <v>952</v>
      </c>
      <c r="G108" s="46" t="s">
        <v>953</v>
      </c>
      <c r="H108" s="46" t="s">
        <v>909</v>
      </c>
      <c r="I108" s="7" t="s">
        <v>907</v>
      </c>
      <c r="J108" s="6">
        <v>46035</v>
      </c>
      <c r="K108" s="7" t="s">
        <v>1076</v>
      </c>
      <c r="L108" s="7" t="s">
        <v>27</v>
      </c>
    </row>
    <row r="109" customFormat="1" ht="16.5" spans="1:12">
      <c r="A109" s="12">
        <v>107</v>
      </c>
      <c r="B109" s="46" t="s">
        <v>23</v>
      </c>
      <c r="C109" s="46" t="s">
        <v>38</v>
      </c>
      <c r="D109" s="46" t="s">
        <v>220</v>
      </c>
      <c r="E109" s="12" t="s">
        <v>614</v>
      </c>
      <c r="F109" s="7" t="s">
        <v>954</v>
      </c>
      <c r="G109" s="46" t="s">
        <v>955</v>
      </c>
      <c r="H109" s="46" t="s">
        <v>921</v>
      </c>
      <c r="I109" s="7" t="s">
        <v>907</v>
      </c>
      <c r="J109" s="6">
        <v>46035</v>
      </c>
      <c r="K109" s="7" t="s">
        <v>1076</v>
      </c>
      <c r="L109" s="7" t="s">
        <v>27</v>
      </c>
    </row>
    <row r="110" customFormat="1" ht="16.5" spans="1:12">
      <c r="A110" s="12">
        <v>108</v>
      </c>
      <c r="B110" s="46" t="s">
        <v>23</v>
      </c>
      <c r="C110" s="46" t="s">
        <v>38</v>
      </c>
      <c r="D110" s="46" t="s">
        <v>148</v>
      </c>
      <c r="E110" s="12" t="s">
        <v>531</v>
      </c>
      <c r="F110" s="7" t="s">
        <v>956</v>
      </c>
      <c r="G110" s="46" t="s">
        <v>957</v>
      </c>
      <c r="H110" s="46" t="s">
        <v>909</v>
      </c>
      <c r="I110" s="7" t="s">
        <v>915</v>
      </c>
      <c r="J110" s="6">
        <v>46035</v>
      </c>
      <c r="K110" s="7" t="s">
        <v>1076</v>
      </c>
      <c r="L110" s="7" t="s">
        <v>27</v>
      </c>
    </row>
    <row r="111" customFormat="1" ht="16.5" spans="1:12">
      <c r="A111" s="12">
        <v>109</v>
      </c>
      <c r="B111" s="46" t="s">
        <v>23</v>
      </c>
      <c r="C111" s="46" t="s">
        <v>38</v>
      </c>
      <c r="D111" s="46" t="s">
        <v>148</v>
      </c>
      <c r="E111" s="12" t="s">
        <v>531</v>
      </c>
      <c r="F111" s="7" t="s">
        <v>958</v>
      </c>
      <c r="G111" s="46" t="s">
        <v>959</v>
      </c>
      <c r="H111" s="46" t="s">
        <v>909</v>
      </c>
      <c r="I111" s="7" t="s">
        <v>915</v>
      </c>
      <c r="J111" s="6">
        <v>46035</v>
      </c>
      <c r="K111" s="7" t="s">
        <v>1076</v>
      </c>
      <c r="L111" s="7" t="s">
        <v>27</v>
      </c>
    </row>
    <row r="112" customFormat="1" ht="16.5" spans="1:12">
      <c r="A112" s="12">
        <v>110</v>
      </c>
      <c r="B112" s="46" t="s">
        <v>23</v>
      </c>
      <c r="C112" s="46" t="s">
        <v>38</v>
      </c>
      <c r="D112" s="46" t="s">
        <v>168</v>
      </c>
      <c r="E112" s="12" t="s">
        <v>396</v>
      </c>
      <c r="F112" s="7" t="s">
        <v>960</v>
      </c>
      <c r="G112" s="46" t="s">
        <v>961</v>
      </c>
      <c r="H112" s="46" t="s">
        <v>909</v>
      </c>
      <c r="I112" s="7" t="s">
        <v>915</v>
      </c>
      <c r="J112" s="6">
        <v>46035</v>
      </c>
      <c r="K112" s="7" t="s">
        <v>1076</v>
      </c>
      <c r="L112" s="7" t="s">
        <v>27</v>
      </c>
    </row>
    <row r="113" customFormat="1" ht="16.5" spans="1:12">
      <c r="A113" s="12">
        <v>111</v>
      </c>
      <c r="B113" s="46" t="s">
        <v>23</v>
      </c>
      <c r="C113" s="46" t="s">
        <v>38</v>
      </c>
      <c r="D113" s="46" t="s">
        <v>70</v>
      </c>
      <c r="E113" s="12" t="s">
        <v>368</v>
      </c>
      <c r="F113" s="7" t="s">
        <v>962</v>
      </c>
      <c r="G113" s="46" t="s">
        <v>963</v>
      </c>
      <c r="H113" s="46" t="s">
        <v>921</v>
      </c>
      <c r="I113" s="7" t="s">
        <v>907</v>
      </c>
      <c r="J113" s="6">
        <v>46035</v>
      </c>
      <c r="K113" s="7" t="s">
        <v>1076</v>
      </c>
      <c r="L113" s="7" t="s">
        <v>27</v>
      </c>
    </row>
    <row r="114" customFormat="1" ht="16.5" spans="1:12">
      <c r="A114" s="12">
        <v>112</v>
      </c>
      <c r="B114" s="46" t="s">
        <v>23</v>
      </c>
      <c r="C114" s="46" t="s">
        <v>38</v>
      </c>
      <c r="D114" s="46" t="s">
        <v>75</v>
      </c>
      <c r="E114" s="12" t="s">
        <v>512</v>
      </c>
      <c r="F114" s="7" t="s">
        <v>964</v>
      </c>
      <c r="G114" s="46" t="s">
        <v>965</v>
      </c>
      <c r="H114" s="46" t="s">
        <v>909</v>
      </c>
      <c r="I114" s="7" t="s">
        <v>907</v>
      </c>
      <c r="J114" s="6">
        <v>46035</v>
      </c>
      <c r="K114" s="7" t="s">
        <v>1076</v>
      </c>
      <c r="L114" s="7" t="s">
        <v>27</v>
      </c>
    </row>
    <row r="115" customFormat="1" ht="16.5" spans="1:12">
      <c r="A115" s="12">
        <v>113</v>
      </c>
      <c r="B115" s="46" t="s">
        <v>23</v>
      </c>
      <c r="C115" s="46" t="s">
        <v>38</v>
      </c>
      <c r="D115" s="46" t="s">
        <v>63</v>
      </c>
      <c r="E115" s="12" t="s">
        <v>494</v>
      </c>
      <c r="F115" s="7" t="s">
        <v>966</v>
      </c>
      <c r="G115" s="46" t="s">
        <v>967</v>
      </c>
      <c r="H115" s="46" t="s">
        <v>921</v>
      </c>
      <c r="I115" s="7" t="s">
        <v>915</v>
      </c>
      <c r="J115" s="6">
        <v>46035</v>
      </c>
      <c r="K115" s="7" t="s">
        <v>1076</v>
      </c>
      <c r="L115" s="7" t="s">
        <v>27</v>
      </c>
    </row>
    <row r="116" customFormat="1" ht="16.5" spans="1:12">
      <c r="A116" s="12">
        <v>114</v>
      </c>
      <c r="B116" s="46" t="s">
        <v>23</v>
      </c>
      <c r="C116" s="46" t="s">
        <v>38</v>
      </c>
      <c r="D116" s="46" t="s">
        <v>63</v>
      </c>
      <c r="E116" s="12" t="s">
        <v>494</v>
      </c>
      <c r="F116" s="7" t="s">
        <v>968</v>
      </c>
      <c r="G116" s="46" t="s">
        <v>969</v>
      </c>
      <c r="H116" s="46" t="s">
        <v>921</v>
      </c>
      <c r="I116" s="7" t="s">
        <v>915</v>
      </c>
      <c r="J116" s="6">
        <v>46035</v>
      </c>
      <c r="K116" s="7" t="s">
        <v>1076</v>
      </c>
      <c r="L116" s="7" t="s">
        <v>27</v>
      </c>
    </row>
    <row r="117" customFormat="1" ht="16.5" spans="1:12">
      <c r="A117" s="12">
        <v>115</v>
      </c>
      <c r="B117" s="46" t="s">
        <v>23</v>
      </c>
      <c r="C117" s="46" t="s">
        <v>38</v>
      </c>
      <c r="D117" s="46" t="s">
        <v>75</v>
      </c>
      <c r="E117" s="12" t="s">
        <v>74</v>
      </c>
      <c r="F117" s="7" t="s">
        <v>972</v>
      </c>
      <c r="G117" s="46" t="s">
        <v>973</v>
      </c>
      <c r="H117" s="46" t="s">
        <v>909</v>
      </c>
      <c r="I117" s="7" t="s">
        <v>907</v>
      </c>
      <c r="J117" s="6">
        <v>46035</v>
      </c>
      <c r="K117" s="7" t="s">
        <v>1076</v>
      </c>
      <c r="L117" s="7" t="s">
        <v>27</v>
      </c>
    </row>
    <row r="118" customFormat="1" ht="16.5" spans="1:12">
      <c r="A118" s="12">
        <v>116</v>
      </c>
      <c r="B118" s="46" t="s">
        <v>23</v>
      </c>
      <c r="C118" s="46" t="s">
        <v>38</v>
      </c>
      <c r="D118" s="46" t="s">
        <v>75</v>
      </c>
      <c r="E118" s="12" t="s">
        <v>74</v>
      </c>
      <c r="F118" s="7" t="s">
        <v>974</v>
      </c>
      <c r="G118" s="46" t="s">
        <v>975</v>
      </c>
      <c r="H118" s="46" t="s">
        <v>921</v>
      </c>
      <c r="I118" s="7" t="s">
        <v>907</v>
      </c>
      <c r="J118" s="6">
        <v>46035</v>
      </c>
      <c r="K118" s="7" t="s">
        <v>1076</v>
      </c>
      <c r="L118" s="7" t="s">
        <v>27</v>
      </c>
    </row>
    <row r="119" customFormat="1" ht="16.5" spans="1:12">
      <c r="A119" s="12">
        <v>117</v>
      </c>
      <c r="B119" s="46" t="s">
        <v>23</v>
      </c>
      <c r="C119" s="46" t="s">
        <v>29</v>
      </c>
      <c r="D119" s="46" t="s">
        <v>130</v>
      </c>
      <c r="E119" s="12" t="s">
        <v>380</v>
      </c>
      <c r="F119" s="7" t="s">
        <v>976</v>
      </c>
      <c r="G119" s="46" t="s">
        <v>977</v>
      </c>
      <c r="H119" s="46" t="s">
        <v>909</v>
      </c>
      <c r="I119" s="7" t="s">
        <v>915</v>
      </c>
      <c r="J119" s="6">
        <v>46035</v>
      </c>
      <c r="K119" s="7" t="s">
        <v>1076</v>
      </c>
      <c r="L119" s="7" t="s">
        <v>27</v>
      </c>
    </row>
    <row r="120" customFormat="1" ht="16.5" spans="1:12">
      <c r="A120" s="12">
        <v>118</v>
      </c>
      <c r="B120" s="46" t="s">
        <v>23</v>
      </c>
      <c r="C120" s="46" t="s">
        <v>36</v>
      </c>
      <c r="D120" s="46" t="s">
        <v>173</v>
      </c>
      <c r="E120" s="12" t="s">
        <v>1583</v>
      </c>
      <c r="F120" s="7" t="s">
        <v>978</v>
      </c>
      <c r="G120" s="46" t="s">
        <v>979</v>
      </c>
      <c r="H120" s="46" t="s">
        <v>909</v>
      </c>
      <c r="I120" s="7" t="s">
        <v>915</v>
      </c>
      <c r="J120" s="6">
        <v>46035</v>
      </c>
      <c r="K120" s="7" t="s">
        <v>1076</v>
      </c>
      <c r="L120" s="7" t="s">
        <v>27</v>
      </c>
    </row>
    <row r="121" customFormat="1" ht="16.5" spans="1:12">
      <c r="A121" s="12">
        <v>119</v>
      </c>
      <c r="B121" s="46" t="s">
        <v>23</v>
      </c>
      <c r="C121" s="46" t="s">
        <v>36</v>
      </c>
      <c r="D121" s="46" t="s">
        <v>173</v>
      </c>
      <c r="E121" s="12" t="s">
        <v>1583</v>
      </c>
      <c r="F121" s="7" t="s">
        <v>980</v>
      </c>
      <c r="G121" s="46" t="s">
        <v>981</v>
      </c>
      <c r="H121" s="46" t="s">
        <v>909</v>
      </c>
      <c r="I121" s="7" t="s">
        <v>915</v>
      </c>
      <c r="J121" s="6">
        <v>46035</v>
      </c>
      <c r="K121" s="7" t="s">
        <v>1076</v>
      </c>
      <c r="L121" s="7" t="s">
        <v>27</v>
      </c>
    </row>
    <row r="122" customFormat="1" ht="16.5" spans="1:12">
      <c r="A122" s="12">
        <v>120</v>
      </c>
      <c r="B122" s="46" t="s">
        <v>23</v>
      </c>
      <c r="C122" s="46" t="s">
        <v>36</v>
      </c>
      <c r="D122" s="46" t="s">
        <v>173</v>
      </c>
      <c r="E122" s="12" t="s">
        <v>1583</v>
      </c>
      <c r="F122" s="7" t="s">
        <v>982</v>
      </c>
      <c r="G122" s="46" t="s">
        <v>983</v>
      </c>
      <c r="H122" s="46" t="s">
        <v>921</v>
      </c>
      <c r="I122" s="7" t="s">
        <v>915</v>
      </c>
      <c r="J122" s="6">
        <v>46035</v>
      </c>
      <c r="K122" s="7" t="s">
        <v>1076</v>
      </c>
      <c r="L122" s="7" t="s">
        <v>27</v>
      </c>
    </row>
    <row r="123" customFormat="1" ht="16.5" spans="1:12">
      <c r="A123" s="12">
        <v>121</v>
      </c>
      <c r="B123" s="46" t="s">
        <v>23</v>
      </c>
      <c r="C123" s="46" t="s">
        <v>38</v>
      </c>
      <c r="D123" s="46" t="s">
        <v>75</v>
      </c>
      <c r="E123" s="12" t="s">
        <v>347</v>
      </c>
      <c r="F123" s="7" t="s">
        <v>984</v>
      </c>
      <c r="G123" s="46" t="s">
        <v>985</v>
      </c>
      <c r="H123" s="46" t="s">
        <v>909</v>
      </c>
      <c r="I123" s="7" t="s">
        <v>915</v>
      </c>
      <c r="J123" s="6">
        <v>46035</v>
      </c>
      <c r="K123" s="7" t="s">
        <v>1076</v>
      </c>
      <c r="L123" s="7" t="s">
        <v>27</v>
      </c>
    </row>
    <row r="124" customFormat="1" ht="16.5" spans="1:12">
      <c r="A124" s="12">
        <v>122</v>
      </c>
      <c r="B124" s="46" t="s">
        <v>23</v>
      </c>
      <c r="C124" s="46" t="s">
        <v>35</v>
      </c>
      <c r="D124" s="46" t="s">
        <v>125</v>
      </c>
      <c r="E124" s="12" t="s">
        <v>1584</v>
      </c>
      <c r="F124" s="7" t="s">
        <v>986</v>
      </c>
      <c r="G124" s="46" t="s">
        <v>987</v>
      </c>
      <c r="H124" s="46" t="s">
        <v>909</v>
      </c>
      <c r="I124" s="7" t="s">
        <v>915</v>
      </c>
      <c r="J124" s="6">
        <v>46035</v>
      </c>
      <c r="K124" s="7" t="s">
        <v>1076</v>
      </c>
      <c r="L124" s="7" t="s">
        <v>27</v>
      </c>
    </row>
    <row r="125" customFormat="1" ht="16.5" spans="1:12">
      <c r="A125" s="12">
        <v>123</v>
      </c>
      <c r="B125" s="46" t="s">
        <v>23</v>
      </c>
      <c r="C125" s="46" t="s">
        <v>38</v>
      </c>
      <c r="D125" s="46" t="s">
        <v>75</v>
      </c>
      <c r="E125" s="12" t="s">
        <v>437</v>
      </c>
      <c r="F125" s="7" t="s">
        <v>988</v>
      </c>
      <c r="G125" s="46" t="s">
        <v>989</v>
      </c>
      <c r="H125" s="46" t="s">
        <v>921</v>
      </c>
      <c r="I125" s="7" t="s">
        <v>915</v>
      </c>
      <c r="J125" s="6">
        <v>46035</v>
      </c>
      <c r="K125" s="7" t="s">
        <v>1076</v>
      </c>
      <c r="L125" s="7" t="s">
        <v>27</v>
      </c>
    </row>
    <row r="126" customFormat="1" ht="16.5" spans="1:12">
      <c r="A126" s="12">
        <v>124</v>
      </c>
      <c r="B126" s="46" t="s">
        <v>23</v>
      </c>
      <c r="C126" s="46" t="s">
        <v>38</v>
      </c>
      <c r="D126" s="46" t="s">
        <v>168</v>
      </c>
      <c r="E126" s="12" t="s">
        <v>298</v>
      </c>
      <c r="F126" s="7" t="s">
        <v>990</v>
      </c>
      <c r="G126" s="46" t="s">
        <v>991</v>
      </c>
      <c r="H126" s="46" t="s">
        <v>921</v>
      </c>
      <c r="I126" s="7" t="s">
        <v>907</v>
      </c>
      <c r="J126" s="6">
        <v>46035</v>
      </c>
      <c r="K126" s="7" t="s">
        <v>1076</v>
      </c>
      <c r="L126" s="7" t="s">
        <v>27</v>
      </c>
    </row>
    <row r="127" customFormat="1" ht="16.5" spans="1:12">
      <c r="A127" s="12">
        <v>125</v>
      </c>
      <c r="B127" s="46" t="s">
        <v>23</v>
      </c>
      <c r="C127" s="46" t="s">
        <v>38</v>
      </c>
      <c r="D127" s="46" t="s">
        <v>168</v>
      </c>
      <c r="E127" s="12" t="s">
        <v>298</v>
      </c>
      <c r="F127" s="7" t="s">
        <v>992</v>
      </c>
      <c r="G127" s="46" t="s">
        <v>993</v>
      </c>
      <c r="H127" s="46" t="s">
        <v>921</v>
      </c>
      <c r="I127" s="7" t="s">
        <v>907</v>
      </c>
      <c r="J127" s="6">
        <v>46035</v>
      </c>
      <c r="K127" s="7" t="s">
        <v>1076</v>
      </c>
      <c r="L127" s="7" t="s">
        <v>27</v>
      </c>
    </row>
    <row r="128" customFormat="1" ht="16.5" spans="1:12">
      <c r="A128" s="12">
        <v>126</v>
      </c>
      <c r="B128" s="46" t="s">
        <v>23</v>
      </c>
      <c r="C128" s="46" t="s">
        <v>33</v>
      </c>
      <c r="D128" s="46" t="s">
        <v>537</v>
      </c>
      <c r="E128" s="12" t="s">
        <v>1589</v>
      </c>
      <c r="F128" s="7" t="s">
        <v>1078</v>
      </c>
      <c r="G128" s="46" t="s">
        <v>1079</v>
      </c>
      <c r="H128" s="46" t="s">
        <v>921</v>
      </c>
      <c r="I128" s="7" t="s">
        <v>915</v>
      </c>
      <c r="J128" s="6">
        <v>46035</v>
      </c>
      <c r="K128" s="7" t="s">
        <v>1076</v>
      </c>
      <c r="L128" s="7" t="s">
        <v>27</v>
      </c>
    </row>
    <row r="129" customFormat="1" ht="16.5" spans="1:12">
      <c r="A129" s="12">
        <v>127</v>
      </c>
      <c r="B129" s="46" t="s">
        <v>23</v>
      </c>
      <c r="C129" s="46" t="s">
        <v>38</v>
      </c>
      <c r="D129" s="46" t="s">
        <v>70</v>
      </c>
      <c r="E129" s="12" t="s">
        <v>336</v>
      </c>
      <c r="F129" s="7" t="s">
        <v>994</v>
      </c>
      <c r="G129" s="46" t="s">
        <v>995</v>
      </c>
      <c r="H129" s="46" t="s">
        <v>921</v>
      </c>
      <c r="I129" s="7" t="s">
        <v>907</v>
      </c>
      <c r="J129" s="6">
        <v>46035</v>
      </c>
      <c r="K129" s="7" t="s">
        <v>1076</v>
      </c>
      <c r="L129" s="7" t="s">
        <v>27</v>
      </c>
    </row>
    <row r="130" customFormat="1" ht="16.5" spans="1:12">
      <c r="A130" s="12">
        <v>128</v>
      </c>
      <c r="B130" s="46" t="s">
        <v>23</v>
      </c>
      <c r="C130" s="46" t="s">
        <v>38</v>
      </c>
      <c r="D130" s="46" t="s">
        <v>70</v>
      </c>
      <c r="E130" s="12" t="s">
        <v>336</v>
      </c>
      <c r="F130" s="7" t="s">
        <v>996</v>
      </c>
      <c r="G130" s="46" t="s">
        <v>997</v>
      </c>
      <c r="H130" s="46" t="s">
        <v>921</v>
      </c>
      <c r="I130" s="7" t="s">
        <v>907</v>
      </c>
      <c r="J130" s="6">
        <v>46035</v>
      </c>
      <c r="K130" s="7" t="s">
        <v>1076</v>
      </c>
      <c r="L130" s="7" t="s">
        <v>27</v>
      </c>
    </row>
    <row r="131" customFormat="1" ht="16.5" spans="1:12">
      <c r="A131" s="12">
        <v>129</v>
      </c>
      <c r="B131" s="46" t="s">
        <v>23</v>
      </c>
      <c r="C131" s="46" t="s">
        <v>38</v>
      </c>
      <c r="D131" s="46" t="s">
        <v>220</v>
      </c>
      <c r="E131" s="12" t="s">
        <v>219</v>
      </c>
      <c r="F131" s="7" t="s">
        <v>998</v>
      </c>
      <c r="G131" s="46" t="s">
        <v>999</v>
      </c>
      <c r="H131" s="46" t="s">
        <v>909</v>
      </c>
      <c r="I131" s="7" t="s">
        <v>907</v>
      </c>
      <c r="J131" s="6">
        <v>46035</v>
      </c>
      <c r="K131" s="7" t="s">
        <v>1076</v>
      </c>
      <c r="L131" s="7" t="s">
        <v>27</v>
      </c>
    </row>
    <row r="132" customFormat="1" ht="16.5" spans="1:12">
      <c r="A132" s="12">
        <v>130</v>
      </c>
      <c r="B132" s="46" t="s">
        <v>23</v>
      </c>
      <c r="C132" s="46" t="s">
        <v>26</v>
      </c>
      <c r="D132" s="46" t="s">
        <v>121</v>
      </c>
      <c r="E132" s="12" t="s">
        <v>1585</v>
      </c>
      <c r="F132" s="7" t="s">
        <v>1000</v>
      </c>
      <c r="G132" s="46" t="s">
        <v>1001</v>
      </c>
      <c r="H132" s="46" t="s">
        <v>909</v>
      </c>
      <c r="I132" s="7" t="s">
        <v>915</v>
      </c>
      <c r="J132" s="6">
        <v>46035</v>
      </c>
      <c r="K132" s="7" t="s">
        <v>1076</v>
      </c>
      <c r="L132" s="7" t="s">
        <v>27</v>
      </c>
    </row>
    <row r="133" customFormat="1" ht="16.5" spans="1:12">
      <c r="A133" s="12">
        <v>131</v>
      </c>
      <c r="B133" s="46" t="s">
        <v>23</v>
      </c>
      <c r="C133" s="46" t="s">
        <v>26</v>
      </c>
      <c r="D133" s="46" t="s">
        <v>121</v>
      </c>
      <c r="E133" s="12" t="s">
        <v>1585</v>
      </c>
      <c r="F133" s="7" t="s">
        <v>1002</v>
      </c>
      <c r="G133" s="46" t="s">
        <v>1003</v>
      </c>
      <c r="H133" s="46" t="s">
        <v>909</v>
      </c>
      <c r="I133" s="7" t="s">
        <v>915</v>
      </c>
      <c r="J133" s="6">
        <v>46035</v>
      </c>
      <c r="K133" s="7" t="s">
        <v>1076</v>
      </c>
      <c r="L133" s="7" t="s">
        <v>27</v>
      </c>
    </row>
    <row r="134" customFormat="1" ht="16.5" spans="1:12">
      <c r="A134" s="12">
        <v>132</v>
      </c>
      <c r="B134" s="46" t="s">
        <v>23</v>
      </c>
      <c r="C134" s="46" t="s">
        <v>38</v>
      </c>
      <c r="D134" s="46" t="s">
        <v>70</v>
      </c>
      <c r="E134" s="12" t="s">
        <v>413</v>
      </c>
      <c r="F134" s="7" t="s">
        <v>1004</v>
      </c>
      <c r="G134" s="46" t="s">
        <v>1005</v>
      </c>
      <c r="H134" s="46" t="s">
        <v>909</v>
      </c>
      <c r="I134" s="7" t="s">
        <v>915</v>
      </c>
      <c r="J134" s="6">
        <v>46035</v>
      </c>
      <c r="K134" s="7" t="s">
        <v>1076</v>
      </c>
      <c r="L134" s="7" t="s">
        <v>27</v>
      </c>
    </row>
    <row r="135" customFormat="1" ht="16.5" spans="1:12">
      <c r="A135" s="12">
        <v>133</v>
      </c>
      <c r="B135" s="46" t="s">
        <v>23</v>
      </c>
      <c r="C135" s="46" t="s">
        <v>31</v>
      </c>
      <c r="D135" s="46" t="s">
        <v>79</v>
      </c>
      <c r="E135" s="12" t="s">
        <v>1586</v>
      </c>
      <c r="F135" s="7" t="s">
        <v>1006</v>
      </c>
      <c r="G135" s="46" t="s">
        <v>1007</v>
      </c>
      <c r="H135" s="46" t="s">
        <v>909</v>
      </c>
      <c r="I135" s="7" t="s">
        <v>907</v>
      </c>
      <c r="J135" s="6">
        <v>46035</v>
      </c>
      <c r="K135" s="7" t="s">
        <v>1076</v>
      </c>
      <c r="L135" s="7" t="s">
        <v>27</v>
      </c>
    </row>
    <row r="136" customFormat="1" ht="16.5" spans="1:12">
      <c r="A136" s="12">
        <v>134</v>
      </c>
      <c r="B136" s="46" t="s">
        <v>23</v>
      </c>
      <c r="C136" s="46" t="s">
        <v>35</v>
      </c>
      <c r="D136" s="46" t="s">
        <v>125</v>
      </c>
      <c r="E136" s="12" t="s">
        <v>1587</v>
      </c>
      <c r="F136" s="7" t="s">
        <v>1008</v>
      </c>
      <c r="G136" s="46" t="s">
        <v>1009</v>
      </c>
      <c r="H136" s="46" t="s">
        <v>909</v>
      </c>
      <c r="I136" s="7" t="s">
        <v>915</v>
      </c>
      <c r="J136" s="6">
        <v>46035</v>
      </c>
      <c r="K136" s="7" t="s">
        <v>1076</v>
      </c>
      <c r="L136" s="7" t="s">
        <v>27</v>
      </c>
    </row>
    <row r="137" customFormat="1" ht="16.5" spans="1:12">
      <c r="A137" s="12">
        <v>135</v>
      </c>
      <c r="B137" s="46" t="s">
        <v>23</v>
      </c>
      <c r="C137" s="46" t="s">
        <v>32</v>
      </c>
      <c r="D137" s="46" t="s">
        <v>105</v>
      </c>
      <c r="E137" s="12" t="s">
        <v>556</v>
      </c>
      <c r="F137" s="7" t="s">
        <v>1010</v>
      </c>
      <c r="G137" s="46" t="s">
        <v>1011</v>
      </c>
      <c r="H137" s="46" t="s">
        <v>909</v>
      </c>
      <c r="I137" s="7" t="s">
        <v>915</v>
      </c>
      <c r="J137" s="6">
        <v>46035</v>
      </c>
      <c r="K137" s="7" t="s">
        <v>1076</v>
      </c>
      <c r="L137" s="7" t="s">
        <v>27</v>
      </c>
    </row>
    <row r="138" customFormat="1" ht="16.5" spans="1:12">
      <c r="A138" s="12">
        <v>136</v>
      </c>
      <c r="B138" s="46" t="s">
        <v>23</v>
      </c>
      <c r="C138" s="46" t="s">
        <v>35</v>
      </c>
      <c r="D138" s="46" t="s">
        <v>125</v>
      </c>
      <c r="E138" s="12" t="s">
        <v>1587</v>
      </c>
      <c r="F138" s="7" t="s">
        <v>1012</v>
      </c>
      <c r="G138" s="46" t="s">
        <v>1013</v>
      </c>
      <c r="H138" s="46" t="s">
        <v>909</v>
      </c>
      <c r="I138" s="7" t="s">
        <v>915</v>
      </c>
      <c r="J138" s="6">
        <v>46035</v>
      </c>
      <c r="K138" s="7" t="s">
        <v>1076</v>
      </c>
      <c r="L138" s="7" t="s">
        <v>27</v>
      </c>
    </row>
    <row r="139" customFormat="1" ht="16.5" spans="1:12">
      <c r="A139" s="12">
        <v>137</v>
      </c>
      <c r="B139" s="46" t="s">
        <v>23</v>
      </c>
      <c r="C139" s="46" t="s">
        <v>35</v>
      </c>
      <c r="D139" s="46" t="s">
        <v>125</v>
      </c>
      <c r="E139" s="12" t="s">
        <v>1587</v>
      </c>
      <c r="F139" s="7" t="s">
        <v>1014</v>
      </c>
      <c r="G139" s="46" t="s">
        <v>1015</v>
      </c>
      <c r="H139" s="46" t="s">
        <v>909</v>
      </c>
      <c r="I139" s="7" t="s">
        <v>915</v>
      </c>
      <c r="J139" s="6">
        <v>46035</v>
      </c>
      <c r="K139" s="7" t="s">
        <v>1076</v>
      </c>
      <c r="L139" s="7" t="s">
        <v>27</v>
      </c>
    </row>
    <row r="140" customFormat="1" ht="16.5" spans="1:12">
      <c r="A140" s="12">
        <v>138</v>
      </c>
      <c r="B140" s="46" t="s">
        <v>23</v>
      </c>
      <c r="C140" s="46" t="s">
        <v>38</v>
      </c>
      <c r="D140" s="46" t="s">
        <v>70</v>
      </c>
      <c r="E140" s="12" t="s">
        <v>205</v>
      </c>
      <c r="F140" s="7" t="s">
        <v>1016</v>
      </c>
      <c r="G140" s="46" t="s">
        <v>1017</v>
      </c>
      <c r="H140" s="46" t="s">
        <v>921</v>
      </c>
      <c r="I140" s="7" t="s">
        <v>907</v>
      </c>
      <c r="J140" s="6">
        <v>46035</v>
      </c>
      <c r="K140" s="7" t="s">
        <v>1076</v>
      </c>
      <c r="L140" s="7" t="s">
        <v>27</v>
      </c>
    </row>
    <row r="141" customFormat="1" ht="16.5" spans="1:12">
      <c r="A141" s="12">
        <v>139</v>
      </c>
      <c r="B141" s="46" t="s">
        <v>23</v>
      </c>
      <c r="C141" s="46" t="s">
        <v>35</v>
      </c>
      <c r="D141" s="46" t="s">
        <v>125</v>
      </c>
      <c r="E141" s="12" t="s">
        <v>1588</v>
      </c>
      <c r="F141" s="7" t="s">
        <v>1018</v>
      </c>
      <c r="G141" s="46" t="s">
        <v>1019</v>
      </c>
      <c r="H141" s="46" t="s">
        <v>909</v>
      </c>
      <c r="I141" s="7" t="s">
        <v>915</v>
      </c>
      <c r="J141" s="6">
        <v>46035</v>
      </c>
      <c r="K141" s="7" t="s">
        <v>1076</v>
      </c>
      <c r="L141" s="7" t="s">
        <v>27</v>
      </c>
    </row>
    <row r="142" customFormat="1" ht="16.5" spans="1:12">
      <c r="A142" s="12">
        <v>140</v>
      </c>
      <c r="B142" s="46" t="s">
        <v>23</v>
      </c>
      <c r="C142" s="46" t="s">
        <v>38</v>
      </c>
      <c r="D142" s="46" t="s">
        <v>148</v>
      </c>
      <c r="E142" s="12" t="s">
        <v>278</v>
      </c>
      <c r="F142" s="7" t="s">
        <v>1020</v>
      </c>
      <c r="G142" s="46" t="s">
        <v>1021</v>
      </c>
      <c r="H142" s="46" t="s">
        <v>909</v>
      </c>
      <c r="I142" s="7" t="s">
        <v>907</v>
      </c>
      <c r="J142" s="6">
        <v>46035</v>
      </c>
      <c r="K142" s="7" t="s">
        <v>1076</v>
      </c>
      <c r="L142" s="7" t="s">
        <v>27</v>
      </c>
    </row>
    <row r="143" customFormat="1" ht="16.5" spans="1:12">
      <c r="A143" s="12">
        <v>141</v>
      </c>
      <c r="B143" s="46" t="s">
        <v>23</v>
      </c>
      <c r="C143" s="46" t="s">
        <v>38</v>
      </c>
      <c r="D143" s="46" t="s">
        <v>168</v>
      </c>
      <c r="E143" s="12" t="s">
        <v>167</v>
      </c>
      <c r="F143" s="7" t="s">
        <v>1022</v>
      </c>
      <c r="G143" s="46" t="s">
        <v>1023</v>
      </c>
      <c r="H143" s="46" t="s">
        <v>909</v>
      </c>
      <c r="I143" s="7" t="s">
        <v>907</v>
      </c>
      <c r="J143" s="6">
        <v>46035</v>
      </c>
      <c r="K143" s="7" t="s">
        <v>1076</v>
      </c>
      <c r="L143" s="7" t="s">
        <v>27</v>
      </c>
    </row>
    <row r="144" customFormat="1" ht="16.5" spans="1:12">
      <c r="A144" s="12">
        <v>142</v>
      </c>
      <c r="B144" s="46" t="s">
        <v>23</v>
      </c>
      <c r="C144" s="46" t="s">
        <v>38</v>
      </c>
      <c r="D144" s="46" t="s">
        <v>63</v>
      </c>
      <c r="E144" s="12" t="s">
        <v>602</v>
      </c>
      <c r="F144" s="7" t="s">
        <v>1026</v>
      </c>
      <c r="G144" s="46" t="s">
        <v>1027</v>
      </c>
      <c r="H144" s="46" t="s">
        <v>909</v>
      </c>
      <c r="I144" s="7" t="s">
        <v>907</v>
      </c>
      <c r="J144" s="6">
        <v>46035</v>
      </c>
      <c r="K144" s="7" t="s">
        <v>1076</v>
      </c>
      <c r="L144" s="7" t="s">
        <v>27</v>
      </c>
    </row>
    <row r="145" customFormat="1" ht="16.5" spans="1:12">
      <c r="A145" s="12">
        <v>143</v>
      </c>
      <c r="B145" s="46" t="s">
        <v>23</v>
      </c>
      <c r="C145" s="46" t="s">
        <v>37</v>
      </c>
      <c r="D145" s="46" t="s">
        <v>109</v>
      </c>
      <c r="E145" s="12" t="s">
        <v>451</v>
      </c>
      <c r="F145" s="7" t="s">
        <v>1028</v>
      </c>
      <c r="G145" s="46" t="s">
        <v>1029</v>
      </c>
      <c r="H145" s="46" t="s">
        <v>909</v>
      </c>
      <c r="I145" s="7" t="s">
        <v>915</v>
      </c>
      <c r="J145" s="6">
        <v>46035</v>
      </c>
      <c r="K145" s="7" t="s">
        <v>1076</v>
      </c>
      <c r="L145" s="7" t="s">
        <v>27</v>
      </c>
    </row>
    <row r="146" customFormat="1" ht="16.5" spans="1:12">
      <c r="A146" s="12">
        <v>144</v>
      </c>
      <c r="B146" s="46" t="s">
        <v>23</v>
      </c>
      <c r="C146" s="46" t="s">
        <v>31</v>
      </c>
      <c r="D146" s="46" t="s">
        <v>79</v>
      </c>
      <c r="E146" s="12" t="s">
        <v>388</v>
      </c>
      <c r="F146" s="7" t="s">
        <v>1030</v>
      </c>
      <c r="G146" s="46" t="s">
        <v>1031</v>
      </c>
      <c r="H146" s="46" t="s">
        <v>909</v>
      </c>
      <c r="I146" s="7" t="s">
        <v>907</v>
      </c>
      <c r="J146" s="6">
        <v>46035</v>
      </c>
      <c r="K146" s="7" t="s">
        <v>1076</v>
      </c>
      <c r="L146" s="7" t="s">
        <v>27</v>
      </c>
    </row>
    <row r="147" customFormat="1" ht="16.5" spans="1:12">
      <c r="A147" s="12">
        <v>145</v>
      </c>
      <c r="B147" s="46" t="s">
        <v>23</v>
      </c>
      <c r="C147" s="46" t="s">
        <v>38</v>
      </c>
      <c r="D147" s="46" t="s">
        <v>63</v>
      </c>
      <c r="E147" s="12" t="s">
        <v>602</v>
      </c>
      <c r="F147" s="7" t="s">
        <v>1032</v>
      </c>
      <c r="G147" s="46" t="s">
        <v>1033</v>
      </c>
      <c r="H147" s="46" t="s">
        <v>909</v>
      </c>
      <c r="I147" s="7" t="s">
        <v>907</v>
      </c>
      <c r="J147" s="6">
        <v>46035</v>
      </c>
      <c r="K147" s="7" t="s">
        <v>1076</v>
      </c>
      <c r="L147" s="7" t="s">
        <v>27</v>
      </c>
    </row>
    <row r="148" customFormat="1" ht="16.5" spans="1:12">
      <c r="A148" s="12">
        <v>146</v>
      </c>
      <c r="B148" s="46" t="s">
        <v>23</v>
      </c>
      <c r="C148" s="46" t="s">
        <v>38</v>
      </c>
      <c r="D148" s="46" t="s">
        <v>70</v>
      </c>
      <c r="E148" s="12" t="s">
        <v>628</v>
      </c>
      <c r="F148" s="7" t="s">
        <v>1036</v>
      </c>
      <c r="G148" s="46" t="s">
        <v>1037</v>
      </c>
      <c r="H148" s="46" t="s">
        <v>909</v>
      </c>
      <c r="I148" s="7" t="s">
        <v>907</v>
      </c>
      <c r="J148" s="6">
        <v>46035</v>
      </c>
      <c r="K148" s="7" t="s">
        <v>1076</v>
      </c>
      <c r="L148" s="7" t="s">
        <v>27</v>
      </c>
    </row>
    <row r="149" customFormat="1" ht="16.5" spans="1:12">
      <c r="A149" s="12">
        <v>147</v>
      </c>
      <c r="B149" s="46" t="s">
        <v>23</v>
      </c>
      <c r="C149" s="46" t="s">
        <v>35</v>
      </c>
      <c r="D149" s="46" t="s">
        <v>125</v>
      </c>
      <c r="E149" s="12" t="s">
        <v>1588</v>
      </c>
      <c r="F149" s="7" t="s">
        <v>1038</v>
      </c>
      <c r="G149" s="46" t="s">
        <v>1039</v>
      </c>
      <c r="H149" s="46" t="s">
        <v>921</v>
      </c>
      <c r="I149" s="7" t="s">
        <v>915</v>
      </c>
      <c r="J149" s="6">
        <v>46035</v>
      </c>
      <c r="K149" s="7" t="s">
        <v>1076</v>
      </c>
      <c r="L149" s="7" t="s">
        <v>27</v>
      </c>
    </row>
    <row r="150" customFormat="1" ht="16.5" spans="1:12">
      <c r="A150" s="12">
        <v>148</v>
      </c>
      <c r="B150" s="46" t="s">
        <v>23</v>
      </c>
      <c r="C150" s="46" t="s">
        <v>38</v>
      </c>
      <c r="D150" s="46" t="s">
        <v>168</v>
      </c>
      <c r="E150" s="12" t="s">
        <v>62</v>
      </c>
      <c r="F150" s="7" t="s">
        <v>1040</v>
      </c>
      <c r="G150" s="46" t="s">
        <v>1041</v>
      </c>
      <c r="H150" s="46" t="s">
        <v>909</v>
      </c>
      <c r="I150" s="7" t="s">
        <v>907</v>
      </c>
      <c r="J150" s="6">
        <v>46035</v>
      </c>
      <c r="K150" s="7" t="s">
        <v>1076</v>
      </c>
      <c r="L150" s="7" t="s">
        <v>27</v>
      </c>
    </row>
    <row r="151" customFormat="1" ht="16.5" spans="1:12">
      <c r="A151" s="12">
        <v>149</v>
      </c>
      <c r="B151" s="46" t="s">
        <v>23</v>
      </c>
      <c r="C151" s="46" t="s">
        <v>38</v>
      </c>
      <c r="D151" s="46" t="s">
        <v>168</v>
      </c>
      <c r="E151" s="12" t="s">
        <v>62</v>
      </c>
      <c r="F151" s="7" t="s">
        <v>1042</v>
      </c>
      <c r="G151" s="46" t="s">
        <v>1043</v>
      </c>
      <c r="H151" s="46" t="s">
        <v>909</v>
      </c>
      <c r="I151" s="7" t="s">
        <v>907</v>
      </c>
      <c r="J151" s="6">
        <v>46035</v>
      </c>
      <c r="K151" s="7" t="s">
        <v>1076</v>
      </c>
      <c r="L151" s="7" t="s">
        <v>27</v>
      </c>
    </row>
    <row r="152" customFormat="1" ht="16.5" spans="1:12">
      <c r="A152" s="12">
        <v>150</v>
      </c>
      <c r="B152" s="46" t="s">
        <v>23</v>
      </c>
      <c r="C152" s="46" t="s">
        <v>38</v>
      </c>
      <c r="D152" s="46" t="s">
        <v>148</v>
      </c>
      <c r="E152" s="12" t="s">
        <v>340</v>
      </c>
      <c r="F152" s="7" t="s">
        <v>1044</v>
      </c>
      <c r="G152" s="46" t="s">
        <v>1045</v>
      </c>
      <c r="H152" s="46" t="s">
        <v>909</v>
      </c>
      <c r="I152" s="7" t="s">
        <v>907</v>
      </c>
      <c r="J152" s="6">
        <v>46035</v>
      </c>
      <c r="K152" s="7" t="s">
        <v>1076</v>
      </c>
      <c r="L152" s="7" t="s">
        <v>27</v>
      </c>
    </row>
    <row r="153" customFormat="1" ht="16.5" spans="1:12">
      <c r="A153" s="12">
        <v>151</v>
      </c>
      <c r="B153" s="46" t="s">
        <v>23</v>
      </c>
      <c r="C153" s="46" t="s">
        <v>38</v>
      </c>
      <c r="D153" s="46" t="s">
        <v>148</v>
      </c>
      <c r="E153" s="12" t="s">
        <v>340</v>
      </c>
      <c r="F153" s="7" t="s">
        <v>1046</v>
      </c>
      <c r="G153" s="46" t="s">
        <v>1047</v>
      </c>
      <c r="H153" s="46" t="s">
        <v>909</v>
      </c>
      <c r="I153" s="7" t="s">
        <v>907</v>
      </c>
      <c r="J153" s="6">
        <v>46035</v>
      </c>
      <c r="K153" s="7" t="s">
        <v>1076</v>
      </c>
      <c r="L153" s="7" t="s">
        <v>27</v>
      </c>
    </row>
    <row r="154" customFormat="1" ht="16.5" spans="1:12">
      <c r="A154" s="12">
        <v>152</v>
      </c>
      <c r="B154" s="46" t="s">
        <v>23</v>
      </c>
      <c r="C154" s="46" t="s">
        <v>38</v>
      </c>
      <c r="D154" s="46" t="s">
        <v>63</v>
      </c>
      <c r="E154" s="12" t="s">
        <v>392</v>
      </c>
      <c r="F154" s="7" t="s">
        <v>1048</v>
      </c>
      <c r="G154" s="46" t="s">
        <v>1049</v>
      </c>
      <c r="H154" s="46" t="s">
        <v>909</v>
      </c>
      <c r="I154" s="7" t="s">
        <v>907</v>
      </c>
      <c r="J154" s="6">
        <v>46035</v>
      </c>
      <c r="K154" s="7" t="s">
        <v>1076</v>
      </c>
      <c r="L154" s="7" t="s">
        <v>27</v>
      </c>
    </row>
    <row r="155" customFormat="1" ht="16.5" spans="1:12">
      <c r="A155" s="12">
        <v>153</v>
      </c>
      <c r="B155" s="46" t="s">
        <v>23</v>
      </c>
      <c r="C155" s="46" t="s">
        <v>32</v>
      </c>
      <c r="D155" s="46" t="s">
        <v>105</v>
      </c>
      <c r="E155" s="12" t="s">
        <v>104</v>
      </c>
      <c r="F155" s="7" t="s">
        <v>1050</v>
      </c>
      <c r="G155" s="46" t="s">
        <v>1051</v>
      </c>
      <c r="H155" s="46" t="s">
        <v>921</v>
      </c>
      <c r="I155" s="7" t="s">
        <v>915</v>
      </c>
      <c r="J155" s="6">
        <v>46035</v>
      </c>
      <c r="K155" s="7" t="s">
        <v>1076</v>
      </c>
      <c r="L155" s="7" t="s">
        <v>27</v>
      </c>
    </row>
    <row r="156" customFormat="1" ht="16.5" spans="1:12">
      <c r="A156" s="12">
        <v>154</v>
      </c>
      <c r="B156" s="46" t="s">
        <v>23</v>
      </c>
      <c r="C156" s="46" t="s">
        <v>38</v>
      </c>
      <c r="D156" s="46" t="s">
        <v>63</v>
      </c>
      <c r="E156" s="12" t="s">
        <v>392</v>
      </c>
      <c r="F156" s="7" t="s">
        <v>1052</v>
      </c>
      <c r="G156" s="46" t="s">
        <v>1053</v>
      </c>
      <c r="H156" s="46" t="s">
        <v>909</v>
      </c>
      <c r="I156" s="7" t="s">
        <v>907</v>
      </c>
      <c r="J156" s="6">
        <v>46035</v>
      </c>
      <c r="K156" s="7" t="s">
        <v>1076</v>
      </c>
      <c r="L156" s="7" t="s">
        <v>27</v>
      </c>
    </row>
    <row r="157" customFormat="1" ht="16.5" spans="1:12">
      <c r="A157" s="12">
        <v>155</v>
      </c>
      <c r="B157" s="46" t="s">
        <v>23</v>
      </c>
      <c r="C157" s="46" t="s">
        <v>29</v>
      </c>
      <c r="D157" s="46" t="s">
        <v>130</v>
      </c>
      <c r="E157" s="12" t="s">
        <v>469</v>
      </c>
      <c r="F157" s="7" t="s">
        <v>1054</v>
      </c>
      <c r="G157" s="46" t="s">
        <v>1055</v>
      </c>
      <c r="H157" s="46" t="s">
        <v>909</v>
      </c>
      <c r="I157" s="7" t="s">
        <v>915</v>
      </c>
      <c r="J157" s="6">
        <v>46035</v>
      </c>
      <c r="K157" s="7" t="s">
        <v>1076</v>
      </c>
      <c r="L157" s="7" t="s">
        <v>27</v>
      </c>
    </row>
    <row r="158" customFormat="1" ht="16.5" spans="1:12">
      <c r="A158" s="12">
        <v>156</v>
      </c>
      <c r="B158" s="46" t="s">
        <v>23</v>
      </c>
      <c r="C158" s="46" t="s">
        <v>37</v>
      </c>
      <c r="D158" s="46" t="s">
        <v>152</v>
      </c>
      <c r="E158" s="12" t="s">
        <v>151</v>
      </c>
      <c r="F158" s="7" t="s">
        <v>1056</v>
      </c>
      <c r="G158" s="46" t="s">
        <v>1057</v>
      </c>
      <c r="H158" s="46" t="s">
        <v>921</v>
      </c>
      <c r="I158" s="7" t="s">
        <v>915</v>
      </c>
      <c r="J158" s="6">
        <v>46035</v>
      </c>
      <c r="K158" s="7" t="s">
        <v>1076</v>
      </c>
      <c r="L158" s="7" t="s">
        <v>27</v>
      </c>
    </row>
    <row r="159" customFormat="1" ht="16.5" spans="1:12">
      <c r="A159" s="12">
        <v>157</v>
      </c>
      <c r="B159" s="46" t="s">
        <v>23</v>
      </c>
      <c r="C159" s="46" t="s">
        <v>38</v>
      </c>
      <c r="D159" s="46" t="s">
        <v>75</v>
      </c>
      <c r="E159" s="12" t="s">
        <v>200</v>
      </c>
      <c r="F159" s="7" t="s">
        <v>1058</v>
      </c>
      <c r="G159" s="46" t="s">
        <v>1059</v>
      </c>
      <c r="H159" s="46" t="s">
        <v>909</v>
      </c>
      <c r="I159" s="7" t="s">
        <v>907</v>
      </c>
      <c r="J159" s="6">
        <v>46035</v>
      </c>
      <c r="K159" s="7" t="s">
        <v>1076</v>
      </c>
      <c r="L159" s="7" t="s">
        <v>27</v>
      </c>
    </row>
    <row r="160" customFormat="1" ht="16.5" spans="1:12">
      <c r="A160" s="12">
        <v>158</v>
      </c>
      <c r="B160" s="46" t="s">
        <v>23</v>
      </c>
      <c r="C160" s="46" t="s">
        <v>38</v>
      </c>
      <c r="D160" s="46" t="s">
        <v>168</v>
      </c>
      <c r="E160" s="12" t="s">
        <v>500</v>
      </c>
      <c r="F160" s="7" t="s">
        <v>1060</v>
      </c>
      <c r="G160" s="46" t="s">
        <v>1061</v>
      </c>
      <c r="H160" s="46" t="s">
        <v>909</v>
      </c>
      <c r="I160" s="7" t="s">
        <v>915</v>
      </c>
      <c r="J160" s="6">
        <v>46035</v>
      </c>
      <c r="K160" s="7" t="s">
        <v>1076</v>
      </c>
      <c r="L160" s="7" t="s">
        <v>27</v>
      </c>
    </row>
    <row r="161" customFormat="1" ht="16.5" spans="1:12">
      <c r="A161" s="12">
        <v>159</v>
      </c>
      <c r="B161" s="46" t="s">
        <v>23</v>
      </c>
      <c r="C161" s="46" t="s">
        <v>38</v>
      </c>
      <c r="D161" s="46" t="s">
        <v>70</v>
      </c>
      <c r="E161" s="12" t="s">
        <v>247</v>
      </c>
      <c r="F161" s="7" t="s">
        <v>1062</v>
      </c>
      <c r="G161" s="46" t="s">
        <v>1063</v>
      </c>
      <c r="H161" s="46" t="s">
        <v>909</v>
      </c>
      <c r="I161" s="7" t="s">
        <v>915</v>
      </c>
      <c r="J161" s="6">
        <v>46035</v>
      </c>
      <c r="K161" s="7" t="s">
        <v>1076</v>
      </c>
      <c r="L161" s="7" t="s">
        <v>27</v>
      </c>
    </row>
    <row r="162" customFormat="1" ht="16.5" spans="1:12">
      <c r="A162" s="12">
        <v>160</v>
      </c>
      <c r="B162" s="46" t="s">
        <v>23</v>
      </c>
      <c r="C162" s="46" t="s">
        <v>38</v>
      </c>
      <c r="D162" s="46" t="s">
        <v>70</v>
      </c>
      <c r="E162" s="12" t="s">
        <v>247</v>
      </c>
      <c r="F162" s="7" t="s">
        <v>1064</v>
      </c>
      <c r="G162" s="46" t="s">
        <v>1065</v>
      </c>
      <c r="H162" s="46" t="s">
        <v>909</v>
      </c>
      <c r="I162" s="7" t="s">
        <v>907</v>
      </c>
      <c r="J162" s="6">
        <v>46035</v>
      </c>
      <c r="K162" s="7" t="s">
        <v>1076</v>
      </c>
      <c r="L162" s="7" t="s">
        <v>27</v>
      </c>
    </row>
    <row r="163" customFormat="1" ht="16.5" spans="1:12">
      <c r="A163" s="12">
        <v>161</v>
      </c>
      <c r="B163" s="46" t="s">
        <v>23</v>
      </c>
      <c r="C163" s="46" t="s">
        <v>38</v>
      </c>
      <c r="D163" s="46" t="s">
        <v>70</v>
      </c>
      <c r="E163" s="12" t="s">
        <v>247</v>
      </c>
      <c r="F163" s="7" t="s">
        <v>1066</v>
      </c>
      <c r="G163" s="46" t="s">
        <v>1067</v>
      </c>
      <c r="H163" s="46" t="s">
        <v>909</v>
      </c>
      <c r="I163" s="7" t="s">
        <v>915</v>
      </c>
      <c r="J163" s="6">
        <v>46035</v>
      </c>
      <c r="K163" s="7" t="s">
        <v>1076</v>
      </c>
      <c r="L163" s="7" t="s">
        <v>27</v>
      </c>
    </row>
    <row r="164" customFormat="1" ht="16.5" spans="1:12">
      <c r="A164" s="12">
        <v>162</v>
      </c>
      <c r="B164" s="46" t="s">
        <v>23</v>
      </c>
      <c r="C164" s="46" t="s">
        <v>31</v>
      </c>
      <c r="D164" s="46" t="s">
        <v>79</v>
      </c>
      <c r="E164" s="12" t="s">
        <v>1586</v>
      </c>
      <c r="F164" s="7" t="s">
        <v>1068</v>
      </c>
      <c r="G164" s="46" t="s">
        <v>1069</v>
      </c>
      <c r="H164" s="46" t="s">
        <v>921</v>
      </c>
      <c r="I164" s="7" t="s">
        <v>907</v>
      </c>
      <c r="J164" s="6">
        <v>46035</v>
      </c>
      <c r="K164" s="7" t="s">
        <v>1076</v>
      </c>
      <c r="L164" s="7" t="s">
        <v>27</v>
      </c>
    </row>
    <row r="165" customFormat="1" ht="16.5" spans="1:12">
      <c r="A165" s="12">
        <v>163</v>
      </c>
      <c r="B165" s="46" t="s">
        <v>23</v>
      </c>
      <c r="C165" s="46" t="s">
        <v>38</v>
      </c>
      <c r="D165" s="46" t="s">
        <v>220</v>
      </c>
      <c r="E165" s="12" t="s">
        <v>441</v>
      </c>
      <c r="F165" s="7" t="s">
        <v>1070</v>
      </c>
      <c r="G165" s="46" t="s">
        <v>1071</v>
      </c>
      <c r="H165" s="46" t="s">
        <v>909</v>
      </c>
      <c r="I165" s="7" t="s">
        <v>915</v>
      </c>
      <c r="J165" s="6">
        <v>46035</v>
      </c>
      <c r="K165" s="7" t="s">
        <v>1076</v>
      </c>
      <c r="L165" s="7" t="s">
        <v>27</v>
      </c>
    </row>
    <row r="166" customFormat="1" ht="16.5" spans="1:12">
      <c r="A166" s="12">
        <v>164</v>
      </c>
      <c r="B166" s="46" t="s">
        <v>23</v>
      </c>
      <c r="C166" s="46" t="s">
        <v>38</v>
      </c>
      <c r="D166" s="46" t="s">
        <v>220</v>
      </c>
      <c r="E166" s="12" t="s">
        <v>441</v>
      </c>
      <c r="F166" s="7" t="s">
        <v>1072</v>
      </c>
      <c r="G166" s="46" t="s">
        <v>1073</v>
      </c>
      <c r="H166" s="46" t="s">
        <v>921</v>
      </c>
      <c r="I166" s="7" t="s">
        <v>915</v>
      </c>
      <c r="J166" s="6">
        <v>46035</v>
      </c>
      <c r="K166" s="7" t="s">
        <v>1076</v>
      </c>
      <c r="L166" s="7" t="s">
        <v>27</v>
      </c>
    </row>
    <row r="167" customFormat="1" ht="16.5" spans="1:12">
      <c r="A167" s="12">
        <v>165</v>
      </c>
      <c r="B167" s="46" t="s">
        <v>23</v>
      </c>
      <c r="C167" s="46" t="s">
        <v>38</v>
      </c>
      <c r="D167" s="46" t="s">
        <v>63</v>
      </c>
      <c r="E167" s="12" t="s">
        <v>602</v>
      </c>
      <c r="F167" s="7" t="s">
        <v>1034</v>
      </c>
      <c r="G167" s="46" t="s">
        <v>1035</v>
      </c>
      <c r="H167" s="46" t="s">
        <v>921</v>
      </c>
      <c r="I167" s="7" t="s">
        <v>907</v>
      </c>
      <c r="J167" s="6">
        <v>46035</v>
      </c>
      <c r="K167" s="7" t="s">
        <v>1076</v>
      </c>
      <c r="L167" s="7" t="s">
        <v>27</v>
      </c>
    </row>
    <row r="168" customFormat="1" ht="16.5" spans="1:12">
      <c r="A168" s="12">
        <v>166</v>
      </c>
      <c r="B168" s="46" t="s">
        <v>23</v>
      </c>
      <c r="C168" s="46" t="s">
        <v>38</v>
      </c>
      <c r="D168" s="46" t="s">
        <v>63</v>
      </c>
      <c r="E168" s="12" t="s">
        <v>602</v>
      </c>
      <c r="F168" s="7" t="s">
        <v>1024</v>
      </c>
      <c r="G168" s="46" t="s">
        <v>1025</v>
      </c>
      <c r="H168" s="46" t="s">
        <v>909</v>
      </c>
      <c r="I168" s="7" t="s">
        <v>907</v>
      </c>
      <c r="J168" s="6">
        <v>46035</v>
      </c>
      <c r="K168" s="7" t="s">
        <v>1076</v>
      </c>
      <c r="L168" s="7" t="s">
        <v>27</v>
      </c>
    </row>
    <row r="169" customFormat="1" ht="16.5" spans="1:12">
      <c r="A169" s="12">
        <v>167</v>
      </c>
      <c r="B169" s="46" t="s">
        <v>23</v>
      </c>
      <c r="C169" s="46" t="s">
        <v>38</v>
      </c>
      <c r="D169" s="46" t="s">
        <v>148</v>
      </c>
      <c r="E169" s="12" t="s">
        <v>258</v>
      </c>
      <c r="F169" s="7" t="s">
        <v>970</v>
      </c>
      <c r="G169" s="46" t="s">
        <v>971</v>
      </c>
      <c r="H169" s="46" t="s">
        <v>909</v>
      </c>
      <c r="I169" s="7" t="s">
        <v>907</v>
      </c>
      <c r="J169" s="6">
        <v>46035</v>
      </c>
      <c r="K169" s="7" t="s">
        <v>1076</v>
      </c>
      <c r="L169" s="7" t="s">
        <v>27</v>
      </c>
    </row>
    <row r="170" customFormat="1" ht="16.5" spans="1:12">
      <c r="A170" s="12">
        <v>168</v>
      </c>
      <c r="B170" s="46" t="s">
        <v>23</v>
      </c>
      <c r="C170" s="46" t="s">
        <v>38</v>
      </c>
      <c r="D170" s="46" t="s">
        <v>63</v>
      </c>
      <c r="E170" s="12" t="s">
        <v>1581</v>
      </c>
      <c r="F170" s="7" t="s">
        <v>906</v>
      </c>
      <c r="G170" s="46" t="s">
        <v>908</v>
      </c>
      <c r="H170" s="46" t="s">
        <v>909</v>
      </c>
      <c r="I170" s="7" t="s">
        <v>907</v>
      </c>
      <c r="J170" s="6">
        <v>46035</v>
      </c>
      <c r="K170" s="7" t="s">
        <v>1080</v>
      </c>
      <c r="L170" s="7" t="s">
        <v>27</v>
      </c>
    </row>
    <row r="171" customFormat="1" ht="16.5" spans="1:12">
      <c r="A171" s="12">
        <v>169</v>
      </c>
      <c r="B171" s="46" t="s">
        <v>23</v>
      </c>
      <c r="C171" s="46" t="s">
        <v>38</v>
      </c>
      <c r="D171" s="46" t="s">
        <v>63</v>
      </c>
      <c r="E171" s="12" t="s">
        <v>1581</v>
      </c>
      <c r="F171" s="7" t="s">
        <v>910</v>
      </c>
      <c r="G171" s="46" t="s">
        <v>911</v>
      </c>
      <c r="H171" s="46" t="s">
        <v>909</v>
      </c>
      <c r="I171" s="7" t="s">
        <v>907</v>
      </c>
      <c r="J171" s="6">
        <v>46035</v>
      </c>
      <c r="K171" s="7" t="s">
        <v>1080</v>
      </c>
      <c r="L171" s="7" t="s">
        <v>27</v>
      </c>
    </row>
    <row r="172" customFormat="1" ht="16.5" spans="1:12">
      <c r="A172" s="12">
        <v>170</v>
      </c>
      <c r="B172" s="46" t="s">
        <v>23</v>
      </c>
      <c r="C172" s="46" t="s">
        <v>38</v>
      </c>
      <c r="D172" s="46" t="s">
        <v>63</v>
      </c>
      <c r="E172" s="12" t="s">
        <v>1581</v>
      </c>
      <c r="F172" s="7" t="s">
        <v>912</v>
      </c>
      <c r="G172" s="46" t="s">
        <v>913</v>
      </c>
      <c r="H172" s="46" t="s">
        <v>909</v>
      </c>
      <c r="I172" s="7" t="s">
        <v>907</v>
      </c>
      <c r="J172" s="6">
        <v>46035</v>
      </c>
      <c r="K172" s="7" t="s">
        <v>1080</v>
      </c>
      <c r="L172" s="7" t="s">
        <v>27</v>
      </c>
    </row>
    <row r="173" customFormat="1" ht="16.5" spans="1:12">
      <c r="A173" s="12">
        <v>171</v>
      </c>
      <c r="B173" s="46" t="s">
        <v>23</v>
      </c>
      <c r="C173" s="46" t="s">
        <v>38</v>
      </c>
      <c r="D173" s="46" t="s">
        <v>70</v>
      </c>
      <c r="E173" s="12" t="s">
        <v>82</v>
      </c>
      <c r="F173" s="7" t="s">
        <v>914</v>
      </c>
      <c r="G173" s="46" t="s">
        <v>916</v>
      </c>
      <c r="H173" s="46" t="s">
        <v>909</v>
      </c>
      <c r="I173" s="7" t="s">
        <v>915</v>
      </c>
      <c r="J173" s="6">
        <v>46035</v>
      </c>
      <c r="K173" s="7" t="s">
        <v>1080</v>
      </c>
      <c r="L173" s="7" t="s">
        <v>27</v>
      </c>
    </row>
    <row r="174" customFormat="1" ht="16.5" spans="1:12">
      <c r="A174" s="12">
        <v>172</v>
      </c>
      <c r="B174" s="46" t="s">
        <v>23</v>
      </c>
      <c r="C174" s="46" t="s">
        <v>37</v>
      </c>
      <c r="D174" s="46" t="s">
        <v>109</v>
      </c>
      <c r="E174" s="12" t="s">
        <v>451</v>
      </c>
      <c r="F174" s="7" t="s">
        <v>917</v>
      </c>
      <c r="G174" s="46" t="s">
        <v>918</v>
      </c>
      <c r="H174" s="46" t="s">
        <v>909</v>
      </c>
      <c r="I174" s="7" t="s">
        <v>915</v>
      </c>
      <c r="J174" s="6">
        <v>46035</v>
      </c>
      <c r="K174" s="7" t="s">
        <v>1080</v>
      </c>
      <c r="L174" s="7" t="s">
        <v>27</v>
      </c>
    </row>
    <row r="175" customFormat="1" ht="16.5" spans="1:12">
      <c r="A175" s="12">
        <v>173</v>
      </c>
      <c r="B175" s="46" t="s">
        <v>23</v>
      </c>
      <c r="C175" s="46" t="s">
        <v>38</v>
      </c>
      <c r="D175" s="46" t="s">
        <v>220</v>
      </c>
      <c r="E175" s="12" t="s">
        <v>620</v>
      </c>
      <c r="F175" s="7" t="s">
        <v>919</v>
      </c>
      <c r="G175" s="46" t="s">
        <v>920</v>
      </c>
      <c r="H175" s="46" t="s">
        <v>921</v>
      </c>
      <c r="I175" s="7" t="s">
        <v>907</v>
      </c>
      <c r="J175" s="6">
        <v>46035</v>
      </c>
      <c r="K175" s="7" t="s">
        <v>1080</v>
      </c>
      <c r="L175" s="7" t="s">
        <v>27</v>
      </c>
    </row>
    <row r="176" customFormat="1" ht="16.5" spans="1:12">
      <c r="A176" s="12">
        <v>174</v>
      </c>
      <c r="B176" s="46" t="s">
        <v>23</v>
      </c>
      <c r="C176" s="46" t="s">
        <v>38</v>
      </c>
      <c r="D176" s="46" t="s">
        <v>75</v>
      </c>
      <c r="E176" s="12" t="s">
        <v>176</v>
      </c>
      <c r="F176" s="7" t="s">
        <v>922</v>
      </c>
      <c r="G176" s="46" t="s">
        <v>923</v>
      </c>
      <c r="H176" s="46" t="s">
        <v>909</v>
      </c>
      <c r="I176" s="7" t="s">
        <v>907</v>
      </c>
      <c r="J176" s="6">
        <v>46035</v>
      </c>
      <c r="K176" s="7" t="s">
        <v>1080</v>
      </c>
      <c r="L176" s="7" t="s">
        <v>27</v>
      </c>
    </row>
    <row r="177" customFormat="1" ht="16.5" spans="1:12">
      <c r="A177" s="12">
        <v>175</v>
      </c>
      <c r="B177" s="46" t="s">
        <v>23</v>
      </c>
      <c r="C177" s="46" t="s">
        <v>38</v>
      </c>
      <c r="D177" s="46" t="s">
        <v>144</v>
      </c>
      <c r="E177" s="12" t="s">
        <v>185</v>
      </c>
      <c r="F177" s="7" t="s">
        <v>924</v>
      </c>
      <c r="G177" s="46" t="s">
        <v>925</v>
      </c>
      <c r="H177" s="46" t="s">
        <v>909</v>
      </c>
      <c r="I177" s="7" t="s">
        <v>915</v>
      </c>
      <c r="J177" s="6">
        <v>46035</v>
      </c>
      <c r="K177" s="7" t="s">
        <v>1080</v>
      </c>
      <c r="L177" s="7" t="s">
        <v>27</v>
      </c>
    </row>
    <row r="178" customFormat="1" ht="16.5" spans="1:12">
      <c r="A178" s="12">
        <v>176</v>
      </c>
      <c r="B178" s="46" t="s">
        <v>23</v>
      </c>
      <c r="C178" s="46" t="s">
        <v>31</v>
      </c>
      <c r="D178" s="46" t="s">
        <v>79</v>
      </c>
      <c r="E178" s="12" t="s">
        <v>1582</v>
      </c>
      <c r="F178" s="7" t="s">
        <v>926</v>
      </c>
      <c r="G178" s="46" t="s">
        <v>927</v>
      </c>
      <c r="H178" s="46" t="s">
        <v>909</v>
      </c>
      <c r="I178" s="7" t="s">
        <v>907</v>
      </c>
      <c r="J178" s="6">
        <v>46035</v>
      </c>
      <c r="K178" s="7" t="s">
        <v>1080</v>
      </c>
      <c r="L178" s="7" t="s">
        <v>27</v>
      </c>
    </row>
    <row r="179" customFormat="1" ht="16.5" spans="1:12">
      <c r="A179" s="12">
        <v>177</v>
      </c>
      <c r="B179" s="46" t="s">
        <v>23</v>
      </c>
      <c r="C179" s="46" t="s">
        <v>38</v>
      </c>
      <c r="D179" s="46" t="s">
        <v>144</v>
      </c>
      <c r="E179" s="12" t="s">
        <v>282</v>
      </c>
      <c r="F179" s="7" t="s">
        <v>928</v>
      </c>
      <c r="G179" s="46" t="s">
        <v>929</v>
      </c>
      <c r="H179" s="46" t="s">
        <v>909</v>
      </c>
      <c r="I179" s="7" t="s">
        <v>907</v>
      </c>
      <c r="J179" s="6">
        <v>46035</v>
      </c>
      <c r="K179" s="7" t="s">
        <v>1080</v>
      </c>
      <c r="L179" s="7" t="s">
        <v>27</v>
      </c>
    </row>
    <row r="180" customFormat="1" ht="16.5" spans="1:12">
      <c r="A180" s="12">
        <v>178</v>
      </c>
      <c r="B180" s="46" t="s">
        <v>23</v>
      </c>
      <c r="C180" s="46" t="s">
        <v>38</v>
      </c>
      <c r="D180" s="46" t="s">
        <v>144</v>
      </c>
      <c r="E180" s="12" t="s">
        <v>282</v>
      </c>
      <c r="F180" s="7" t="s">
        <v>930</v>
      </c>
      <c r="G180" s="46" t="s">
        <v>931</v>
      </c>
      <c r="H180" s="46" t="s">
        <v>921</v>
      </c>
      <c r="I180" s="7" t="s">
        <v>907</v>
      </c>
      <c r="J180" s="6">
        <v>46035</v>
      </c>
      <c r="K180" s="7" t="s">
        <v>1080</v>
      </c>
      <c r="L180" s="7" t="s">
        <v>27</v>
      </c>
    </row>
    <row r="181" customFormat="1" ht="16.5" spans="1:12">
      <c r="A181" s="12">
        <v>179</v>
      </c>
      <c r="B181" s="46" t="s">
        <v>23</v>
      </c>
      <c r="C181" s="46" t="s">
        <v>37</v>
      </c>
      <c r="D181" s="46" t="s">
        <v>109</v>
      </c>
      <c r="E181" s="12" t="s">
        <v>137</v>
      </c>
      <c r="F181" s="7" t="s">
        <v>932</v>
      </c>
      <c r="G181" s="46" t="s">
        <v>933</v>
      </c>
      <c r="H181" s="46" t="s">
        <v>909</v>
      </c>
      <c r="I181" s="7" t="s">
        <v>907</v>
      </c>
      <c r="J181" s="6">
        <v>46035</v>
      </c>
      <c r="K181" s="7" t="s">
        <v>1080</v>
      </c>
      <c r="L181" s="7" t="s">
        <v>27</v>
      </c>
    </row>
    <row r="182" customFormat="1" ht="16.5" spans="1:12">
      <c r="A182" s="12">
        <v>180</v>
      </c>
      <c r="B182" s="46" t="s">
        <v>23</v>
      </c>
      <c r="C182" s="46" t="s">
        <v>38</v>
      </c>
      <c r="D182" s="46" t="s">
        <v>144</v>
      </c>
      <c r="E182" s="12" t="s">
        <v>185</v>
      </c>
      <c r="F182" s="7" t="s">
        <v>934</v>
      </c>
      <c r="G182" s="46" t="s">
        <v>935</v>
      </c>
      <c r="H182" s="46" t="s">
        <v>909</v>
      </c>
      <c r="I182" s="7" t="s">
        <v>907</v>
      </c>
      <c r="J182" s="6">
        <v>46035</v>
      </c>
      <c r="K182" s="7" t="s">
        <v>1080</v>
      </c>
      <c r="L182" s="7" t="s">
        <v>27</v>
      </c>
    </row>
    <row r="183" customFormat="1" ht="16.5" spans="1:12">
      <c r="A183" s="12">
        <v>181</v>
      </c>
      <c r="B183" s="46" t="s">
        <v>23</v>
      </c>
      <c r="C183" s="46" t="s">
        <v>38</v>
      </c>
      <c r="D183" s="46" t="s">
        <v>75</v>
      </c>
      <c r="E183" s="12" t="s">
        <v>407</v>
      </c>
      <c r="F183" s="7" t="s">
        <v>936</v>
      </c>
      <c r="G183" s="46" t="s">
        <v>937</v>
      </c>
      <c r="H183" s="46" t="s">
        <v>909</v>
      </c>
      <c r="I183" s="7" t="s">
        <v>915</v>
      </c>
      <c r="J183" s="6">
        <v>46035</v>
      </c>
      <c r="K183" s="7" t="s">
        <v>1080</v>
      </c>
      <c r="L183" s="7" t="s">
        <v>27</v>
      </c>
    </row>
    <row r="184" customFormat="1" ht="16.5" spans="1:12">
      <c r="A184" s="12">
        <v>182</v>
      </c>
      <c r="B184" s="46" t="s">
        <v>23</v>
      </c>
      <c r="C184" s="46" t="s">
        <v>38</v>
      </c>
      <c r="D184" s="46" t="s">
        <v>75</v>
      </c>
      <c r="E184" s="12" t="s">
        <v>407</v>
      </c>
      <c r="F184" s="7" t="s">
        <v>938</v>
      </c>
      <c r="G184" s="46" t="s">
        <v>939</v>
      </c>
      <c r="H184" s="46" t="s">
        <v>909</v>
      </c>
      <c r="I184" s="7" t="s">
        <v>915</v>
      </c>
      <c r="J184" s="6">
        <v>46035</v>
      </c>
      <c r="K184" s="7" t="s">
        <v>1080</v>
      </c>
      <c r="L184" s="7" t="s">
        <v>27</v>
      </c>
    </row>
    <row r="185" customFormat="1" ht="16.5" spans="1:12">
      <c r="A185" s="12">
        <v>183</v>
      </c>
      <c r="B185" s="46" t="s">
        <v>23</v>
      </c>
      <c r="C185" s="46" t="s">
        <v>38</v>
      </c>
      <c r="D185" s="46" t="s">
        <v>75</v>
      </c>
      <c r="E185" s="12" t="s">
        <v>1363</v>
      </c>
      <c r="F185" s="7" t="s">
        <v>940</v>
      </c>
      <c r="G185" s="46" t="s">
        <v>941</v>
      </c>
      <c r="H185" s="46" t="s">
        <v>909</v>
      </c>
      <c r="I185" s="7" t="s">
        <v>907</v>
      </c>
      <c r="J185" s="6">
        <v>46035</v>
      </c>
      <c r="K185" s="7" t="s">
        <v>1080</v>
      </c>
      <c r="L185" s="7" t="s">
        <v>27</v>
      </c>
    </row>
    <row r="186" customFormat="1" ht="16.5" spans="1:12">
      <c r="A186" s="12">
        <v>184</v>
      </c>
      <c r="B186" s="46" t="s">
        <v>23</v>
      </c>
      <c r="C186" s="46" t="s">
        <v>29</v>
      </c>
      <c r="D186" s="46" t="s">
        <v>130</v>
      </c>
      <c r="E186" s="12" t="s">
        <v>263</v>
      </c>
      <c r="F186" s="7" t="s">
        <v>942</v>
      </c>
      <c r="G186" s="46" t="s">
        <v>943</v>
      </c>
      <c r="H186" s="46" t="s">
        <v>909</v>
      </c>
      <c r="I186" s="7" t="s">
        <v>915</v>
      </c>
      <c r="J186" s="6">
        <v>46035</v>
      </c>
      <c r="K186" s="7" t="s">
        <v>1080</v>
      </c>
      <c r="L186" s="7" t="s">
        <v>27</v>
      </c>
    </row>
    <row r="187" customFormat="1" ht="16.5" spans="1:12">
      <c r="A187" s="12">
        <v>185</v>
      </c>
      <c r="B187" s="46" t="s">
        <v>23</v>
      </c>
      <c r="C187" s="46" t="s">
        <v>36</v>
      </c>
      <c r="D187" s="46" t="s">
        <v>173</v>
      </c>
      <c r="E187" s="12" t="s">
        <v>354</v>
      </c>
      <c r="F187" s="7" t="s">
        <v>944</v>
      </c>
      <c r="G187" s="46" t="s">
        <v>945</v>
      </c>
      <c r="H187" s="46" t="s">
        <v>909</v>
      </c>
      <c r="I187" s="7" t="s">
        <v>915</v>
      </c>
      <c r="J187" s="6">
        <v>46035</v>
      </c>
      <c r="K187" s="7" t="s">
        <v>1080</v>
      </c>
      <c r="L187" s="7" t="s">
        <v>27</v>
      </c>
    </row>
    <row r="188" customFormat="1" ht="16.5" spans="1:12">
      <c r="A188" s="12">
        <v>186</v>
      </c>
      <c r="B188" s="46" t="s">
        <v>23</v>
      </c>
      <c r="C188" s="46" t="s">
        <v>31</v>
      </c>
      <c r="D188" s="46" t="s">
        <v>79</v>
      </c>
      <c r="E188" s="12" t="s">
        <v>189</v>
      </c>
      <c r="F188" s="7" t="s">
        <v>946</v>
      </c>
      <c r="G188" s="46" t="s">
        <v>947</v>
      </c>
      <c r="H188" s="46" t="s">
        <v>909</v>
      </c>
      <c r="I188" s="7" t="s">
        <v>907</v>
      </c>
      <c r="J188" s="6">
        <v>46035</v>
      </c>
      <c r="K188" s="7" t="s">
        <v>1080</v>
      </c>
      <c r="L188" s="7" t="s">
        <v>27</v>
      </c>
    </row>
    <row r="189" customFormat="1" ht="16.5" spans="1:12">
      <c r="A189" s="12">
        <v>187</v>
      </c>
      <c r="B189" s="46" t="s">
        <v>23</v>
      </c>
      <c r="C189" s="46" t="s">
        <v>36</v>
      </c>
      <c r="D189" s="46" t="s">
        <v>173</v>
      </c>
      <c r="E189" s="12" t="s">
        <v>354</v>
      </c>
      <c r="F189" s="7" t="s">
        <v>948</v>
      </c>
      <c r="G189" s="46" t="s">
        <v>949</v>
      </c>
      <c r="H189" s="46" t="s">
        <v>909</v>
      </c>
      <c r="I189" s="7" t="s">
        <v>915</v>
      </c>
      <c r="J189" s="6">
        <v>46035</v>
      </c>
      <c r="K189" s="7" t="s">
        <v>1080</v>
      </c>
      <c r="L189" s="7" t="s">
        <v>27</v>
      </c>
    </row>
    <row r="190" customFormat="1" ht="16.5" spans="1:12">
      <c r="A190" s="12">
        <v>188</v>
      </c>
      <c r="B190" s="46" t="s">
        <v>23</v>
      </c>
      <c r="C190" s="46" t="s">
        <v>36</v>
      </c>
      <c r="D190" s="46" t="s">
        <v>173</v>
      </c>
      <c r="E190" s="12" t="s">
        <v>354</v>
      </c>
      <c r="F190" s="7" t="s">
        <v>950</v>
      </c>
      <c r="G190" s="46" t="s">
        <v>951</v>
      </c>
      <c r="H190" s="46" t="s">
        <v>909</v>
      </c>
      <c r="I190" s="7" t="s">
        <v>915</v>
      </c>
      <c r="J190" s="6">
        <v>46035</v>
      </c>
      <c r="K190" s="7" t="s">
        <v>1080</v>
      </c>
      <c r="L190" s="7" t="s">
        <v>27</v>
      </c>
    </row>
    <row r="191" customFormat="1" ht="16.5" spans="1:12">
      <c r="A191" s="12">
        <v>189</v>
      </c>
      <c r="B191" s="46" t="s">
        <v>23</v>
      </c>
      <c r="C191" s="46" t="s">
        <v>38</v>
      </c>
      <c r="D191" s="46" t="s">
        <v>220</v>
      </c>
      <c r="E191" s="12" t="s">
        <v>614</v>
      </c>
      <c r="F191" s="7" t="s">
        <v>952</v>
      </c>
      <c r="G191" s="46" t="s">
        <v>953</v>
      </c>
      <c r="H191" s="46" t="s">
        <v>909</v>
      </c>
      <c r="I191" s="7" t="s">
        <v>907</v>
      </c>
      <c r="J191" s="6">
        <v>46035</v>
      </c>
      <c r="K191" s="7" t="s">
        <v>1080</v>
      </c>
      <c r="L191" s="7" t="s">
        <v>27</v>
      </c>
    </row>
    <row r="192" customFormat="1" ht="16.5" spans="1:12">
      <c r="A192" s="12">
        <v>190</v>
      </c>
      <c r="B192" s="46" t="s">
        <v>23</v>
      </c>
      <c r="C192" s="46" t="s">
        <v>38</v>
      </c>
      <c r="D192" s="46" t="s">
        <v>220</v>
      </c>
      <c r="E192" s="12" t="s">
        <v>614</v>
      </c>
      <c r="F192" s="7" t="s">
        <v>954</v>
      </c>
      <c r="G192" s="46" t="s">
        <v>955</v>
      </c>
      <c r="H192" s="46" t="s">
        <v>921</v>
      </c>
      <c r="I192" s="7" t="s">
        <v>907</v>
      </c>
      <c r="J192" s="6">
        <v>46035</v>
      </c>
      <c r="K192" s="7" t="s">
        <v>1080</v>
      </c>
      <c r="L192" s="7" t="s">
        <v>27</v>
      </c>
    </row>
    <row r="193" customFormat="1" ht="16.5" spans="1:12">
      <c r="A193" s="12">
        <v>191</v>
      </c>
      <c r="B193" s="46" t="s">
        <v>23</v>
      </c>
      <c r="C193" s="46" t="s">
        <v>38</v>
      </c>
      <c r="D193" s="46" t="s">
        <v>148</v>
      </c>
      <c r="E193" s="12" t="s">
        <v>531</v>
      </c>
      <c r="F193" s="7" t="s">
        <v>956</v>
      </c>
      <c r="G193" s="46" t="s">
        <v>957</v>
      </c>
      <c r="H193" s="46" t="s">
        <v>909</v>
      </c>
      <c r="I193" s="7" t="s">
        <v>915</v>
      </c>
      <c r="J193" s="6">
        <v>46035</v>
      </c>
      <c r="K193" s="7" t="s">
        <v>1080</v>
      </c>
      <c r="L193" s="7" t="s">
        <v>27</v>
      </c>
    </row>
    <row r="194" customFormat="1" ht="16.5" spans="1:12">
      <c r="A194" s="12">
        <v>192</v>
      </c>
      <c r="B194" s="46" t="s">
        <v>23</v>
      </c>
      <c r="C194" s="46" t="s">
        <v>38</v>
      </c>
      <c r="D194" s="46" t="s">
        <v>148</v>
      </c>
      <c r="E194" s="12" t="s">
        <v>531</v>
      </c>
      <c r="F194" s="7" t="s">
        <v>958</v>
      </c>
      <c r="G194" s="46" t="s">
        <v>959</v>
      </c>
      <c r="H194" s="46" t="s">
        <v>909</v>
      </c>
      <c r="I194" s="7" t="s">
        <v>915</v>
      </c>
      <c r="J194" s="6">
        <v>46035</v>
      </c>
      <c r="K194" s="7" t="s">
        <v>1080</v>
      </c>
      <c r="L194" s="7" t="s">
        <v>27</v>
      </c>
    </row>
    <row r="195" customFormat="1" ht="16.5" spans="1:12">
      <c r="A195" s="12">
        <v>193</v>
      </c>
      <c r="B195" s="46" t="s">
        <v>23</v>
      </c>
      <c r="C195" s="46" t="s">
        <v>38</v>
      </c>
      <c r="D195" s="46" t="s">
        <v>168</v>
      </c>
      <c r="E195" s="12" t="s">
        <v>396</v>
      </c>
      <c r="F195" s="7" t="s">
        <v>960</v>
      </c>
      <c r="G195" s="46" t="s">
        <v>961</v>
      </c>
      <c r="H195" s="46" t="s">
        <v>909</v>
      </c>
      <c r="I195" s="7" t="s">
        <v>915</v>
      </c>
      <c r="J195" s="6">
        <v>46035</v>
      </c>
      <c r="K195" s="7" t="s">
        <v>1080</v>
      </c>
      <c r="L195" s="7" t="s">
        <v>27</v>
      </c>
    </row>
    <row r="196" customFormat="1" ht="16.5" spans="1:12">
      <c r="A196" s="12">
        <v>194</v>
      </c>
      <c r="B196" s="46" t="s">
        <v>23</v>
      </c>
      <c r="C196" s="46" t="s">
        <v>38</v>
      </c>
      <c r="D196" s="46" t="s">
        <v>70</v>
      </c>
      <c r="E196" s="12" t="s">
        <v>368</v>
      </c>
      <c r="F196" s="7" t="s">
        <v>962</v>
      </c>
      <c r="G196" s="46" t="s">
        <v>963</v>
      </c>
      <c r="H196" s="46" t="s">
        <v>921</v>
      </c>
      <c r="I196" s="7" t="s">
        <v>907</v>
      </c>
      <c r="J196" s="6">
        <v>46035</v>
      </c>
      <c r="K196" s="7" t="s">
        <v>1080</v>
      </c>
      <c r="L196" s="7" t="s">
        <v>27</v>
      </c>
    </row>
    <row r="197" customFormat="1" ht="16.5" spans="1:12">
      <c r="A197" s="12">
        <v>195</v>
      </c>
      <c r="B197" s="46" t="s">
        <v>23</v>
      </c>
      <c r="C197" s="46" t="s">
        <v>38</v>
      </c>
      <c r="D197" s="46" t="s">
        <v>75</v>
      </c>
      <c r="E197" s="12" t="s">
        <v>512</v>
      </c>
      <c r="F197" s="7" t="s">
        <v>964</v>
      </c>
      <c r="G197" s="46" t="s">
        <v>965</v>
      </c>
      <c r="H197" s="46" t="s">
        <v>909</v>
      </c>
      <c r="I197" s="7" t="s">
        <v>907</v>
      </c>
      <c r="J197" s="6">
        <v>46035</v>
      </c>
      <c r="K197" s="7" t="s">
        <v>1080</v>
      </c>
      <c r="L197" s="7" t="s">
        <v>27</v>
      </c>
    </row>
    <row r="198" customFormat="1" ht="16.5" spans="1:12">
      <c r="A198" s="12">
        <v>196</v>
      </c>
      <c r="B198" s="46" t="s">
        <v>23</v>
      </c>
      <c r="C198" s="46" t="s">
        <v>38</v>
      </c>
      <c r="D198" s="46" t="s">
        <v>63</v>
      </c>
      <c r="E198" s="12" t="s">
        <v>494</v>
      </c>
      <c r="F198" s="7" t="s">
        <v>966</v>
      </c>
      <c r="G198" s="46" t="s">
        <v>967</v>
      </c>
      <c r="H198" s="46" t="s">
        <v>921</v>
      </c>
      <c r="I198" s="7" t="s">
        <v>915</v>
      </c>
      <c r="J198" s="6">
        <v>46035</v>
      </c>
      <c r="K198" s="7" t="s">
        <v>1080</v>
      </c>
      <c r="L198" s="7" t="s">
        <v>27</v>
      </c>
    </row>
    <row r="199" customFormat="1" ht="16.5" spans="1:12">
      <c r="A199" s="12">
        <v>197</v>
      </c>
      <c r="B199" s="46" t="s">
        <v>23</v>
      </c>
      <c r="C199" s="46" t="s">
        <v>38</v>
      </c>
      <c r="D199" s="46" t="s">
        <v>63</v>
      </c>
      <c r="E199" s="12" t="s">
        <v>494</v>
      </c>
      <c r="F199" s="7" t="s">
        <v>968</v>
      </c>
      <c r="G199" s="46" t="s">
        <v>969</v>
      </c>
      <c r="H199" s="46" t="s">
        <v>921</v>
      </c>
      <c r="I199" s="7" t="s">
        <v>915</v>
      </c>
      <c r="J199" s="6">
        <v>46035</v>
      </c>
      <c r="K199" s="7" t="s">
        <v>1080</v>
      </c>
      <c r="L199" s="7" t="s">
        <v>27</v>
      </c>
    </row>
    <row r="200" customFormat="1" ht="16.5" spans="1:12">
      <c r="A200" s="12">
        <v>198</v>
      </c>
      <c r="B200" s="46" t="s">
        <v>23</v>
      </c>
      <c r="C200" s="46" t="s">
        <v>38</v>
      </c>
      <c r="D200" s="46" t="s">
        <v>148</v>
      </c>
      <c r="E200" s="12" t="s">
        <v>258</v>
      </c>
      <c r="F200" s="7" t="s">
        <v>970</v>
      </c>
      <c r="G200" s="46" t="s">
        <v>971</v>
      </c>
      <c r="H200" s="46" t="s">
        <v>909</v>
      </c>
      <c r="I200" s="7" t="s">
        <v>915</v>
      </c>
      <c r="J200" s="6">
        <v>46035</v>
      </c>
      <c r="K200" s="7" t="s">
        <v>1080</v>
      </c>
      <c r="L200" s="7" t="s">
        <v>27</v>
      </c>
    </row>
    <row r="201" customFormat="1" ht="16.5" spans="1:12">
      <c r="A201" s="12">
        <v>199</v>
      </c>
      <c r="B201" s="46" t="s">
        <v>23</v>
      </c>
      <c r="C201" s="46" t="s">
        <v>38</v>
      </c>
      <c r="D201" s="46" t="s">
        <v>75</v>
      </c>
      <c r="E201" s="12" t="s">
        <v>74</v>
      </c>
      <c r="F201" s="7" t="s">
        <v>972</v>
      </c>
      <c r="G201" s="46" t="s">
        <v>973</v>
      </c>
      <c r="H201" s="46" t="s">
        <v>909</v>
      </c>
      <c r="I201" s="7" t="s">
        <v>907</v>
      </c>
      <c r="J201" s="6">
        <v>46035</v>
      </c>
      <c r="K201" s="7" t="s">
        <v>1080</v>
      </c>
      <c r="L201" s="7" t="s">
        <v>27</v>
      </c>
    </row>
    <row r="202" customFormat="1" ht="16.5" spans="1:12">
      <c r="A202" s="12">
        <v>200</v>
      </c>
      <c r="B202" s="46" t="s">
        <v>23</v>
      </c>
      <c r="C202" s="46" t="s">
        <v>29</v>
      </c>
      <c r="D202" s="46" t="s">
        <v>130</v>
      </c>
      <c r="E202" s="12" t="s">
        <v>380</v>
      </c>
      <c r="F202" s="7" t="s">
        <v>976</v>
      </c>
      <c r="G202" s="46" t="s">
        <v>977</v>
      </c>
      <c r="H202" s="46" t="s">
        <v>909</v>
      </c>
      <c r="I202" s="7" t="s">
        <v>915</v>
      </c>
      <c r="J202" s="6">
        <v>46035</v>
      </c>
      <c r="K202" s="7" t="s">
        <v>1080</v>
      </c>
      <c r="L202" s="7" t="s">
        <v>27</v>
      </c>
    </row>
    <row r="203" customFormat="1" ht="16.5" spans="1:12">
      <c r="A203" s="12">
        <v>201</v>
      </c>
      <c r="B203" s="46" t="s">
        <v>23</v>
      </c>
      <c r="C203" s="46" t="s">
        <v>36</v>
      </c>
      <c r="D203" s="46" t="s">
        <v>173</v>
      </c>
      <c r="E203" s="12" t="s">
        <v>1583</v>
      </c>
      <c r="F203" s="7" t="s">
        <v>978</v>
      </c>
      <c r="G203" s="46" t="s">
        <v>979</v>
      </c>
      <c r="H203" s="46" t="s">
        <v>909</v>
      </c>
      <c r="I203" s="7" t="s">
        <v>915</v>
      </c>
      <c r="J203" s="6">
        <v>46035</v>
      </c>
      <c r="K203" s="7" t="s">
        <v>1080</v>
      </c>
      <c r="L203" s="7" t="s">
        <v>27</v>
      </c>
    </row>
    <row r="204" customFormat="1" ht="16.5" spans="1:12">
      <c r="A204" s="12">
        <v>202</v>
      </c>
      <c r="B204" s="46" t="s">
        <v>23</v>
      </c>
      <c r="C204" s="46" t="s">
        <v>36</v>
      </c>
      <c r="D204" s="46" t="s">
        <v>173</v>
      </c>
      <c r="E204" s="12" t="s">
        <v>1583</v>
      </c>
      <c r="F204" s="7" t="s">
        <v>980</v>
      </c>
      <c r="G204" s="46" t="s">
        <v>981</v>
      </c>
      <c r="H204" s="46" t="s">
        <v>909</v>
      </c>
      <c r="I204" s="7" t="s">
        <v>915</v>
      </c>
      <c r="J204" s="6">
        <v>46035</v>
      </c>
      <c r="K204" s="7" t="s">
        <v>1080</v>
      </c>
      <c r="L204" s="7" t="s">
        <v>27</v>
      </c>
    </row>
    <row r="205" customFormat="1" ht="16.5" spans="1:12">
      <c r="A205" s="12">
        <v>203</v>
      </c>
      <c r="B205" s="46" t="s">
        <v>23</v>
      </c>
      <c r="C205" s="46" t="s">
        <v>36</v>
      </c>
      <c r="D205" s="46" t="s">
        <v>173</v>
      </c>
      <c r="E205" s="12" t="s">
        <v>1583</v>
      </c>
      <c r="F205" s="7" t="s">
        <v>982</v>
      </c>
      <c r="G205" s="46" t="s">
        <v>983</v>
      </c>
      <c r="H205" s="46" t="s">
        <v>921</v>
      </c>
      <c r="I205" s="7" t="s">
        <v>915</v>
      </c>
      <c r="J205" s="6">
        <v>46035</v>
      </c>
      <c r="K205" s="7" t="s">
        <v>1080</v>
      </c>
      <c r="L205" s="7" t="s">
        <v>27</v>
      </c>
    </row>
    <row r="206" customFormat="1" ht="16.5" spans="1:12">
      <c r="A206" s="12">
        <v>204</v>
      </c>
      <c r="B206" s="46" t="s">
        <v>23</v>
      </c>
      <c r="C206" s="46" t="s">
        <v>38</v>
      </c>
      <c r="D206" s="46" t="s">
        <v>75</v>
      </c>
      <c r="E206" s="12" t="s">
        <v>347</v>
      </c>
      <c r="F206" s="7" t="s">
        <v>984</v>
      </c>
      <c r="G206" s="46" t="s">
        <v>985</v>
      </c>
      <c r="H206" s="46" t="s">
        <v>909</v>
      </c>
      <c r="I206" s="7" t="s">
        <v>915</v>
      </c>
      <c r="J206" s="6">
        <v>46035</v>
      </c>
      <c r="K206" s="7" t="s">
        <v>1080</v>
      </c>
      <c r="L206" s="7" t="s">
        <v>27</v>
      </c>
    </row>
    <row r="207" customFormat="1" ht="16.5" spans="1:12">
      <c r="A207" s="12">
        <v>205</v>
      </c>
      <c r="B207" s="46" t="s">
        <v>23</v>
      </c>
      <c r="C207" s="46" t="s">
        <v>35</v>
      </c>
      <c r="D207" s="46" t="s">
        <v>125</v>
      </c>
      <c r="E207" s="12" t="s">
        <v>1584</v>
      </c>
      <c r="F207" s="7" t="s">
        <v>986</v>
      </c>
      <c r="G207" s="46" t="s">
        <v>987</v>
      </c>
      <c r="H207" s="46" t="s">
        <v>909</v>
      </c>
      <c r="I207" s="7" t="s">
        <v>915</v>
      </c>
      <c r="J207" s="6">
        <v>46035</v>
      </c>
      <c r="K207" s="7" t="s">
        <v>1080</v>
      </c>
      <c r="L207" s="7" t="s">
        <v>27</v>
      </c>
    </row>
    <row r="208" customFormat="1" ht="16.5" spans="1:12">
      <c r="A208" s="12">
        <v>206</v>
      </c>
      <c r="B208" s="46" t="s">
        <v>23</v>
      </c>
      <c r="C208" s="46" t="s">
        <v>38</v>
      </c>
      <c r="D208" s="46" t="s">
        <v>75</v>
      </c>
      <c r="E208" s="12" t="s">
        <v>437</v>
      </c>
      <c r="F208" s="7" t="s">
        <v>988</v>
      </c>
      <c r="G208" s="46" t="s">
        <v>989</v>
      </c>
      <c r="H208" s="46" t="s">
        <v>921</v>
      </c>
      <c r="I208" s="7" t="s">
        <v>915</v>
      </c>
      <c r="J208" s="6">
        <v>46035</v>
      </c>
      <c r="K208" s="7" t="s">
        <v>1080</v>
      </c>
      <c r="L208" s="7" t="s">
        <v>27</v>
      </c>
    </row>
    <row r="209" customFormat="1" ht="16.5" spans="1:12">
      <c r="A209" s="12">
        <v>207</v>
      </c>
      <c r="B209" s="46" t="s">
        <v>23</v>
      </c>
      <c r="C209" s="46" t="s">
        <v>38</v>
      </c>
      <c r="D209" s="46" t="s">
        <v>168</v>
      </c>
      <c r="E209" s="12" t="s">
        <v>298</v>
      </c>
      <c r="F209" s="7" t="s">
        <v>990</v>
      </c>
      <c r="G209" s="46" t="s">
        <v>991</v>
      </c>
      <c r="H209" s="46" t="s">
        <v>921</v>
      </c>
      <c r="I209" s="7" t="s">
        <v>907</v>
      </c>
      <c r="J209" s="6">
        <v>46035</v>
      </c>
      <c r="K209" s="7" t="s">
        <v>1080</v>
      </c>
      <c r="L209" s="7" t="s">
        <v>27</v>
      </c>
    </row>
    <row r="210" customFormat="1" ht="16.5" spans="1:12">
      <c r="A210" s="12">
        <v>208</v>
      </c>
      <c r="B210" s="46" t="s">
        <v>23</v>
      </c>
      <c r="C210" s="46" t="s">
        <v>38</v>
      </c>
      <c r="D210" s="46" t="s">
        <v>168</v>
      </c>
      <c r="E210" s="12" t="s">
        <v>298</v>
      </c>
      <c r="F210" s="7" t="s">
        <v>992</v>
      </c>
      <c r="G210" s="46" t="s">
        <v>993</v>
      </c>
      <c r="H210" s="46" t="s">
        <v>921</v>
      </c>
      <c r="I210" s="7" t="s">
        <v>907</v>
      </c>
      <c r="J210" s="6">
        <v>46035</v>
      </c>
      <c r="K210" s="7" t="s">
        <v>1080</v>
      </c>
      <c r="L210" s="7" t="s">
        <v>27</v>
      </c>
    </row>
    <row r="211" customFormat="1" ht="16.5" spans="1:12">
      <c r="A211" s="12">
        <v>209</v>
      </c>
      <c r="B211" s="46" t="s">
        <v>23</v>
      </c>
      <c r="C211" s="46" t="s">
        <v>38</v>
      </c>
      <c r="D211" s="46" t="s">
        <v>70</v>
      </c>
      <c r="E211" s="12" t="s">
        <v>336</v>
      </c>
      <c r="F211" s="7" t="s">
        <v>994</v>
      </c>
      <c r="G211" s="46" t="s">
        <v>995</v>
      </c>
      <c r="H211" s="46" t="s">
        <v>921</v>
      </c>
      <c r="I211" s="7" t="s">
        <v>907</v>
      </c>
      <c r="J211" s="6">
        <v>46035</v>
      </c>
      <c r="K211" s="7" t="s">
        <v>1080</v>
      </c>
      <c r="L211" s="7" t="s">
        <v>27</v>
      </c>
    </row>
    <row r="212" customFormat="1" ht="16.5" spans="1:12">
      <c r="A212" s="12">
        <v>210</v>
      </c>
      <c r="B212" s="46" t="s">
        <v>23</v>
      </c>
      <c r="C212" s="46" t="s">
        <v>38</v>
      </c>
      <c r="D212" s="46" t="s">
        <v>220</v>
      </c>
      <c r="E212" s="12" t="s">
        <v>219</v>
      </c>
      <c r="F212" s="7" t="s">
        <v>998</v>
      </c>
      <c r="G212" s="46" t="s">
        <v>999</v>
      </c>
      <c r="H212" s="46" t="s">
        <v>909</v>
      </c>
      <c r="I212" s="7" t="s">
        <v>907</v>
      </c>
      <c r="J212" s="6">
        <v>46035</v>
      </c>
      <c r="K212" s="7" t="s">
        <v>1080</v>
      </c>
      <c r="L212" s="7" t="s">
        <v>27</v>
      </c>
    </row>
    <row r="213" customFormat="1" ht="16.5" spans="1:12">
      <c r="A213" s="12">
        <v>211</v>
      </c>
      <c r="B213" s="46" t="s">
        <v>23</v>
      </c>
      <c r="C213" s="46" t="s">
        <v>26</v>
      </c>
      <c r="D213" s="46" t="s">
        <v>121</v>
      </c>
      <c r="E213" s="12" t="s">
        <v>1585</v>
      </c>
      <c r="F213" s="7" t="s">
        <v>1000</v>
      </c>
      <c r="G213" s="46" t="s">
        <v>1001</v>
      </c>
      <c r="H213" s="46" t="s">
        <v>909</v>
      </c>
      <c r="I213" s="7" t="s">
        <v>915</v>
      </c>
      <c r="J213" s="6">
        <v>46035</v>
      </c>
      <c r="K213" s="7" t="s">
        <v>1080</v>
      </c>
      <c r="L213" s="7" t="s">
        <v>27</v>
      </c>
    </row>
    <row r="214" customFormat="1" ht="16.5" spans="1:12">
      <c r="A214" s="12">
        <v>212</v>
      </c>
      <c r="B214" s="46" t="s">
        <v>23</v>
      </c>
      <c r="C214" s="46" t="s">
        <v>26</v>
      </c>
      <c r="D214" s="46" t="s">
        <v>121</v>
      </c>
      <c r="E214" s="12" t="s">
        <v>1585</v>
      </c>
      <c r="F214" s="7" t="s">
        <v>1002</v>
      </c>
      <c r="G214" s="46" t="s">
        <v>1003</v>
      </c>
      <c r="H214" s="46" t="s">
        <v>909</v>
      </c>
      <c r="I214" s="7" t="s">
        <v>915</v>
      </c>
      <c r="J214" s="6">
        <v>46035</v>
      </c>
      <c r="K214" s="7" t="s">
        <v>1080</v>
      </c>
      <c r="L214" s="7" t="s">
        <v>27</v>
      </c>
    </row>
    <row r="215" customFormat="1" ht="16.5" spans="1:12">
      <c r="A215" s="12">
        <v>213</v>
      </c>
      <c r="B215" s="46" t="s">
        <v>23</v>
      </c>
      <c r="C215" s="46" t="s">
        <v>38</v>
      </c>
      <c r="D215" s="46" t="s">
        <v>70</v>
      </c>
      <c r="E215" s="12" t="s">
        <v>413</v>
      </c>
      <c r="F215" s="7" t="s">
        <v>1004</v>
      </c>
      <c r="G215" s="46" t="s">
        <v>1005</v>
      </c>
      <c r="H215" s="46" t="s">
        <v>909</v>
      </c>
      <c r="I215" s="7" t="s">
        <v>915</v>
      </c>
      <c r="J215" s="6">
        <v>46035</v>
      </c>
      <c r="K215" s="7" t="s">
        <v>1080</v>
      </c>
      <c r="L215" s="7" t="s">
        <v>27</v>
      </c>
    </row>
    <row r="216" customFormat="1" ht="16.5" spans="1:12">
      <c r="A216" s="12">
        <v>214</v>
      </c>
      <c r="B216" s="46" t="s">
        <v>23</v>
      </c>
      <c r="C216" s="46" t="s">
        <v>31</v>
      </c>
      <c r="D216" s="46" t="s">
        <v>79</v>
      </c>
      <c r="E216" s="12" t="s">
        <v>1586</v>
      </c>
      <c r="F216" s="7" t="s">
        <v>1006</v>
      </c>
      <c r="G216" s="46" t="s">
        <v>1007</v>
      </c>
      <c r="H216" s="46" t="s">
        <v>909</v>
      </c>
      <c r="I216" s="7" t="s">
        <v>907</v>
      </c>
      <c r="J216" s="6">
        <v>46035</v>
      </c>
      <c r="K216" s="7" t="s">
        <v>1080</v>
      </c>
      <c r="L216" s="7" t="s">
        <v>27</v>
      </c>
    </row>
    <row r="217" customFormat="1" ht="16.5" spans="1:12">
      <c r="A217" s="12">
        <v>215</v>
      </c>
      <c r="B217" s="46" t="s">
        <v>23</v>
      </c>
      <c r="C217" s="46" t="s">
        <v>35</v>
      </c>
      <c r="D217" s="46" t="s">
        <v>125</v>
      </c>
      <c r="E217" s="12" t="s">
        <v>1587</v>
      </c>
      <c r="F217" s="7" t="s">
        <v>1008</v>
      </c>
      <c r="G217" s="46" t="s">
        <v>1009</v>
      </c>
      <c r="H217" s="46" t="s">
        <v>909</v>
      </c>
      <c r="I217" s="7" t="s">
        <v>915</v>
      </c>
      <c r="J217" s="6">
        <v>46035</v>
      </c>
      <c r="K217" s="7" t="s">
        <v>1080</v>
      </c>
      <c r="L217" s="7" t="s">
        <v>27</v>
      </c>
    </row>
    <row r="218" customFormat="1" ht="16.5" spans="1:12">
      <c r="A218" s="12">
        <v>216</v>
      </c>
      <c r="B218" s="46" t="s">
        <v>23</v>
      </c>
      <c r="C218" s="46" t="s">
        <v>32</v>
      </c>
      <c r="D218" s="46" t="s">
        <v>105</v>
      </c>
      <c r="E218" s="12" t="s">
        <v>556</v>
      </c>
      <c r="F218" s="7" t="s">
        <v>1010</v>
      </c>
      <c r="G218" s="46" t="s">
        <v>1011</v>
      </c>
      <c r="H218" s="46" t="s">
        <v>909</v>
      </c>
      <c r="I218" s="7" t="s">
        <v>915</v>
      </c>
      <c r="J218" s="6">
        <v>46035</v>
      </c>
      <c r="K218" s="7" t="s">
        <v>1080</v>
      </c>
      <c r="L218" s="7" t="s">
        <v>27</v>
      </c>
    </row>
    <row r="219" customFormat="1" ht="16.5" spans="1:12">
      <c r="A219" s="12">
        <v>217</v>
      </c>
      <c r="B219" s="46" t="s">
        <v>23</v>
      </c>
      <c r="C219" s="46" t="s">
        <v>35</v>
      </c>
      <c r="D219" s="46" t="s">
        <v>125</v>
      </c>
      <c r="E219" s="12" t="s">
        <v>1587</v>
      </c>
      <c r="F219" s="7" t="s">
        <v>1012</v>
      </c>
      <c r="G219" s="46" t="s">
        <v>1013</v>
      </c>
      <c r="H219" s="46" t="s">
        <v>909</v>
      </c>
      <c r="I219" s="7" t="s">
        <v>915</v>
      </c>
      <c r="J219" s="6">
        <v>46035</v>
      </c>
      <c r="K219" s="7" t="s">
        <v>1080</v>
      </c>
      <c r="L219" s="7" t="s">
        <v>27</v>
      </c>
    </row>
    <row r="220" customFormat="1" ht="16.5" spans="1:12">
      <c r="A220" s="12">
        <v>218</v>
      </c>
      <c r="B220" s="46" t="s">
        <v>23</v>
      </c>
      <c r="C220" s="46" t="s">
        <v>35</v>
      </c>
      <c r="D220" s="46" t="s">
        <v>125</v>
      </c>
      <c r="E220" s="12" t="s">
        <v>1587</v>
      </c>
      <c r="F220" s="7" t="s">
        <v>1014</v>
      </c>
      <c r="G220" s="46" t="s">
        <v>1015</v>
      </c>
      <c r="H220" s="46" t="s">
        <v>909</v>
      </c>
      <c r="I220" s="7" t="s">
        <v>915</v>
      </c>
      <c r="J220" s="6">
        <v>46035</v>
      </c>
      <c r="K220" s="7" t="s">
        <v>1080</v>
      </c>
      <c r="L220" s="7" t="s">
        <v>27</v>
      </c>
    </row>
    <row r="221" customFormat="1" ht="16.5" spans="1:12">
      <c r="A221" s="12">
        <v>219</v>
      </c>
      <c r="B221" s="46" t="s">
        <v>23</v>
      </c>
      <c r="C221" s="46" t="s">
        <v>38</v>
      </c>
      <c r="D221" s="46" t="s">
        <v>70</v>
      </c>
      <c r="E221" s="12" t="s">
        <v>205</v>
      </c>
      <c r="F221" s="7" t="s">
        <v>1016</v>
      </c>
      <c r="G221" s="46" t="s">
        <v>1017</v>
      </c>
      <c r="H221" s="46" t="s">
        <v>921</v>
      </c>
      <c r="I221" s="7" t="s">
        <v>907</v>
      </c>
      <c r="J221" s="6">
        <v>46035</v>
      </c>
      <c r="K221" s="7" t="s">
        <v>1080</v>
      </c>
      <c r="L221" s="7" t="s">
        <v>27</v>
      </c>
    </row>
    <row r="222" customFormat="1" ht="16.5" spans="1:12">
      <c r="A222" s="12">
        <v>220</v>
      </c>
      <c r="B222" s="46" t="s">
        <v>23</v>
      </c>
      <c r="C222" s="46" t="s">
        <v>35</v>
      </c>
      <c r="D222" s="46" t="s">
        <v>125</v>
      </c>
      <c r="E222" s="12" t="s">
        <v>1588</v>
      </c>
      <c r="F222" s="7" t="s">
        <v>1018</v>
      </c>
      <c r="G222" s="46" t="s">
        <v>1019</v>
      </c>
      <c r="H222" s="46" t="s">
        <v>909</v>
      </c>
      <c r="I222" s="7" t="s">
        <v>915</v>
      </c>
      <c r="J222" s="6">
        <v>46035</v>
      </c>
      <c r="K222" s="7" t="s">
        <v>1080</v>
      </c>
      <c r="L222" s="7" t="s">
        <v>27</v>
      </c>
    </row>
    <row r="223" customFormat="1" ht="16.5" spans="1:12">
      <c r="A223" s="12">
        <v>221</v>
      </c>
      <c r="B223" s="46" t="s">
        <v>23</v>
      </c>
      <c r="C223" s="46" t="s">
        <v>38</v>
      </c>
      <c r="D223" s="46" t="s">
        <v>148</v>
      </c>
      <c r="E223" s="12" t="s">
        <v>278</v>
      </c>
      <c r="F223" s="7" t="s">
        <v>1020</v>
      </c>
      <c r="G223" s="46" t="s">
        <v>1021</v>
      </c>
      <c r="H223" s="46" t="s">
        <v>909</v>
      </c>
      <c r="I223" s="7" t="s">
        <v>907</v>
      </c>
      <c r="J223" s="6">
        <v>46035</v>
      </c>
      <c r="K223" s="7" t="s">
        <v>1080</v>
      </c>
      <c r="L223" s="7" t="s">
        <v>27</v>
      </c>
    </row>
    <row r="224" customFormat="1" ht="16.5" spans="1:12">
      <c r="A224" s="12">
        <v>222</v>
      </c>
      <c r="B224" s="46" t="s">
        <v>23</v>
      </c>
      <c r="C224" s="46" t="s">
        <v>38</v>
      </c>
      <c r="D224" s="46" t="s">
        <v>168</v>
      </c>
      <c r="E224" s="12" t="s">
        <v>167</v>
      </c>
      <c r="F224" s="7" t="s">
        <v>1022</v>
      </c>
      <c r="G224" s="46" t="s">
        <v>1023</v>
      </c>
      <c r="H224" s="46" t="s">
        <v>909</v>
      </c>
      <c r="I224" s="7" t="s">
        <v>907</v>
      </c>
      <c r="J224" s="6">
        <v>46035</v>
      </c>
      <c r="K224" s="7" t="s">
        <v>1080</v>
      </c>
      <c r="L224" s="7" t="s">
        <v>27</v>
      </c>
    </row>
    <row r="225" customFormat="1" ht="16.5" spans="1:12">
      <c r="A225" s="12">
        <v>223</v>
      </c>
      <c r="B225" s="46" t="s">
        <v>23</v>
      </c>
      <c r="C225" s="46" t="s">
        <v>38</v>
      </c>
      <c r="D225" s="46" t="s">
        <v>63</v>
      </c>
      <c r="E225" s="12" t="s">
        <v>602</v>
      </c>
      <c r="F225" s="7" t="s">
        <v>1024</v>
      </c>
      <c r="G225" s="46" t="s">
        <v>1025</v>
      </c>
      <c r="H225" s="46" t="s">
        <v>909</v>
      </c>
      <c r="I225" s="7" t="s">
        <v>907</v>
      </c>
      <c r="J225" s="6">
        <v>46035</v>
      </c>
      <c r="K225" s="7" t="s">
        <v>1080</v>
      </c>
      <c r="L225" s="7" t="s">
        <v>27</v>
      </c>
    </row>
    <row r="226" customFormat="1" ht="16.5" spans="1:12">
      <c r="A226" s="12">
        <v>224</v>
      </c>
      <c r="B226" s="46" t="s">
        <v>23</v>
      </c>
      <c r="C226" s="46" t="s">
        <v>38</v>
      </c>
      <c r="D226" s="46" t="s">
        <v>63</v>
      </c>
      <c r="E226" s="12" t="s">
        <v>602</v>
      </c>
      <c r="F226" s="7" t="s">
        <v>1026</v>
      </c>
      <c r="G226" s="46" t="s">
        <v>1027</v>
      </c>
      <c r="H226" s="46" t="s">
        <v>909</v>
      </c>
      <c r="I226" s="7" t="s">
        <v>907</v>
      </c>
      <c r="J226" s="6">
        <v>46035</v>
      </c>
      <c r="K226" s="7" t="s">
        <v>1080</v>
      </c>
      <c r="L226" s="7" t="s">
        <v>27</v>
      </c>
    </row>
    <row r="227" customFormat="1" ht="16.5" spans="1:12">
      <c r="A227" s="12">
        <v>225</v>
      </c>
      <c r="B227" s="46" t="s">
        <v>23</v>
      </c>
      <c r="C227" s="46" t="s">
        <v>37</v>
      </c>
      <c r="D227" s="46" t="s">
        <v>109</v>
      </c>
      <c r="E227" s="12" t="s">
        <v>451</v>
      </c>
      <c r="F227" s="7" t="s">
        <v>1028</v>
      </c>
      <c r="G227" s="46" t="s">
        <v>1029</v>
      </c>
      <c r="H227" s="46" t="s">
        <v>909</v>
      </c>
      <c r="I227" s="7" t="s">
        <v>915</v>
      </c>
      <c r="J227" s="6">
        <v>46035</v>
      </c>
      <c r="K227" s="7" t="s">
        <v>1080</v>
      </c>
      <c r="L227" s="7" t="s">
        <v>27</v>
      </c>
    </row>
    <row r="228" customFormat="1" ht="16.5" spans="1:12">
      <c r="A228" s="12">
        <v>226</v>
      </c>
      <c r="B228" s="46" t="s">
        <v>23</v>
      </c>
      <c r="C228" s="46" t="s">
        <v>31</v>
      </c>
      <c r="D228" s="46" t="s">
        <v>79</v>
      </c>
      <c r="E228" s="12" t="s">
        <v>388</v>
      </c>
      <c r="F228" s="7" t="s">
        <v>1030</v>
      </c>
      <c r="G228" s="46" t="s">
        <v>1031</v>
      </c>
      <c r="H228" s="46" t="s">
        <v>909</v>
      </c>
      <c r="I228" s="7" t="s">
        <v>907</v>
      </c>
      <c r="J228" s="6">
        <v>46035</v>
      </c>
      <c r="K228" s="7" t="s">
        <v>1080</v>
      </c>
      <c r="L228" s="7" t="s">
        <v>27</v>
      </c>
    </row>
    <row r="229" customFormat="1" ht="16.5" spans="1:12">
      <c r="A229" s="12">
        <v>227</v>
      </c>
      <c r="B229" s="46" t="s">
        <v>23</v>
      </c>
      <c r="C229" s="46" t="s">
        <v>38</v>
      </c>
      <c r="D229" s="46" t="s">
        <v>63</v>
      </c>
      <c r="E229" s="12" t="s">
        <v>602</v>
      </c>
      <c r="F229" s="7" t="s">
        <v>1032</v>
      </c>
      <c r="G229" s="46" t="s">
        <v>1033</v>
      </c>
      <c r="H229" s="46" t="s">
        <v>909</v>
      </c>
      <c r="I229" s="7" t="s">
        <v>907</v>
      </c>
      <c r="J229" s="6">
        <v>46035</v>
      </c>
      <c r="K229" s="7" t="s">
        <v>1080</v>
      </c>
      <c r="L229" s="7" t="s">
        <v>27</v>
      </c>
    </row>
    <row r="230" customFormat="1" ht="16.5" spans="1:12">
      <c r="A230" s="12">
        <v>228</v>
      </c>
      <c r="B230" s="46" t="s">
        <v>23</v>
      </c>
      <c r="C230" s="46" t="s">
        <v>38</v>
      </c>
      <c r="D230" s="46" t="s">
        <v>63</v>
      </c>
      <c r="E230" s="12" t="s">
        <v>602</v>
      </c>
      <c r="F230" s="7" t="s">
        <v>1034</v>
      </c>
      <c r="G230" s="46" t="s">
        <v>1035</v>
      </c>
      <c r="H230" s="46" t="s">
        <v>921</v>
      </c>
      <c r="I230" s="7" t="s">
        <v>907</v>
      </c>
      <c r="J230" s="6">
        <v>46035</v>
      </c>
      <c r="K230" s="7" t="s">
        <v>1080</v>
      </c>
      <c r="L230" s="7" t="s">
        <v>27</v>
      </c>
    </row>
    <row r="231" customFormat="1" ht="16.5" spans="1:12">
      <c r="A231" s="12">
        <v>229</v>
      </c>
      <c r="B231" s="46" t="s">
        <v>23</v>
      </c>
      <c r="C231" s="46" t="s">
        <v>38</v>
      </c>
      <c r="D231" s="46" t="s">
        <v>70</v>
      </c>
      <c r="E231" s="12" t="s">
        <v>628</v>
      </c>
      <c r="F231" s="7" t="s">
        <v>1036</v>
      </c>
      <c r="G231" s="46" t="s">
        <v>1037</v>
      </c>
      <c r="H231" s="46" t="s">
        <v>909</v>
      </c>
      <c r="I231" s="7" t="s">
        <v>907</v>
      </c>
      <c r="J231" s="6">
        <v>46035</v>
      </c>
      <c r="K231" s="7" t="s">
        <v>1080</v>
      </c>
      <c r="L231" s="7" t="s">
        <v>27</v>
      </c>
    </row>
    <row r="232" customFormat="1" ht="16.5" spans="1:12">
      <c r="A232" s="12">
        <v>230</v>
      </c>
      <c r="B232" s="46" t="s">
        <v>23</v>
      </c>
      <c r="C232" s="46" t="s">
        <v>38</v>
      </c>
      <c r="D232" s="46" t="s">
        <v>168</v>
      </c>
      <c r="E232" s="12" t="s">
        <v>62</v>
      </c>
      <c r="F232" s="7" t="s">
        <v>1040</v>
      </c>
      <c r="G232" s="46" t="s">
        <v>1041</v>
      </c>
      <c r="H232" s="46" t="s">
        <v>909</v>
      </c>
      <c r="I232" s="7" t="s">
        <v>907</v>
      </c>
      <c r="J232" s="6">
        <v>46035</v>
      </c>
      <c r="K232" s="7" t="s">
        <v>1080</v>
      </c>
      <c r="L232" s="7" t="s">
        <v>27</v>
      </c>
    </row>
    <row r="233" customFormat="1" ht="16.5" spans="1:12">
      <c r="A233" s="12">
        <v>231</v>
      </c>
      <c r="B233" s="46" t="s">
        <v>23</v>
      </c>
      <c r="C233" s="46" t="s">
        <v>38</v>
      </c>
      <c r="D233" s="46" t="s">
        <v>168</v>
      </c>
      <c r="E233" s="12" t="s">
        <v>62</v>
      </c>
      <c r="F233" s="7" t="s">
        <v>1042</v>
      </c>
      <c r="G233" s="46" t="s">
        <v>1043</v>
      </c>
      <c r="H233" s="46" t="s">
        <v>909</v>
      </c>
      <c r="I233" s="7" t="s">
        <v>907</v>
      </c>
      <c r="J233" s="6">
        <v>46035</v>
      </c>
      <c r="K233" s="7" t="s">
        <v>1080</v>
      </c>
      <c r="L233" s="7" t="s">
        <v>27</v>
      </c>
    </row>
    <row r="234" customFormat="1" ht="16.5" spans="1:12">
      <c r="A234" s="12">
        <v>232</v>
      </c>
      <c r="B234" s="46" t="s">
        <v>23</v>
      </c>
      <c r="C234" s="46" t="s">
        <v>38</v>
      </c>
      <c r="D234" s="46" t="s">
        <v>148</v>
      </c>
      <c r="E234" s="12" t="s">
        <v>340</v>
      </c>
      <c r="F234" s="7" t="s">
        <v>1044</v>
      </c>
      <c r="G234" s="46" t="s">
        <v>1045</v>
      </c>
      <c r="H234" s="46" t="s">
        <v>909</v>
      </c>
      <c r="I234" s="7" t="s">
        <v>907</v>
      </c>
      <c r="J234" s="6">
        <v>46035</v>
      </c>
      <c r="K234" s="7" t="s">
        <v>1080</v>
      </c>
      <c r="L234" s="7" t="s">
        <v>27</v>
      </c>
    </row>
    <row r="235" customFormat="1" ht="16.5" spans="1:12">
      <c r="A235" s="12">
        <v>233</v>
      </c>
      <c r="B235" s="46" t="s">
        <v>23</v>
      </c>
      <c r="C235" s="46" t="s">
        <v>38</v>
      </c>
      <c r="D235" s="46" t="s">
        <v>148</v>
      </c>
      <c r="E235" s="12" t="s">
        <v>340</v>
      </c>
      <c r="F235" s="7" t="s">
        <v>1046</v>
      </c>
      <c r="G235" s="46" t="s">
        <v>1047</v>
      </c>
      <c r="H235" s="46" t="s">
        <v>909</v>
      </c>
      <c r="I235" s="7" t="s">
        <v>907</v>
      </c>
      <c r="J235" s="6">
        <v>46035</v>
      </c>
      <c r="K235" s="7" t="s">
        <v>1080</v>
      </c>
      <c r="L235" s="7" t="s">
        <v>27</v>
      </c>
    </row>
    <row r="236" customFormat="1" ht="16.5" spans="1:12">
      <c r="A236" s="12">
        <v>234</v>
      </c>
      <c r="B236" s="46" t="s">
        <v>23</v>
      </c>
      <c r="C236" s="46" t="s">
        <v>38</v>
      </c>
      <c r="D236" s="46" t="s">
        <v>63</v>
      </c>
      <c r="E236" s="12" t="s">
        <v>392</v>
      </c>
      <c r="F236" s="7" t="s">
        <v>1048</v>
      </c>
      <c r="G236" s="46" t="s">
        <v>1049</v>
      </c>
      <c r="H236" s="46" t="s">
        <v>909</v>
      </c>
      <c r="I236" s="7" t="s">
        <v>907</v>
      </c>
      <c r="J236" s="6">
        <v>46035</v>
      </c>
      <c r="K236" s="7" t="s">
        <v>1080</v>
      </c>
      <c r="L236" s="7" t="s">
        <v>27</v>
      </c>
    </row>
    <row r="237" customFormat="1" ht="16.5" spans="1:12">
      <c r="A237" s="12">
        <v>235</v>
      </c>
      <c r="B237" s="46" t="s">
        <v>23</v>
      </c>
      <c r="C237" s="46" t="s">
        <v>32</v>
      </c>
      <c r="D237" s="46" t="s">
        <v>105</v>
      </c>
      <c r="E237" s="12" t="s">
        <v>104</v>
      </c>
      <c r="F237" s="7" t="s">
        <v>1050</v>
      </c>
      <c r="G237" s="46" t="s">
        <v>1051</v>
      </c>
      <c r="H237" s="46" t="s">
        <v>921</v>
      </c>
      <c r="I237" s="7" t="s">
        <v>915</v>
      </c>
      <c r="J237" s="6">
        <v>46035</v>
      </c>
      <c r="K237" s="7" t="s">
        <v>1080</v>
      </c>
      <c r="L237" s="7" t="s">
        <v>27</v>
      </c>
    </row>
    <row r="238" customFormat="1" ht="16.5" spans="1:12">
      <c r="A238" s="12">
        <v>236</v>
      </c>
      <c r="B238" s="46" t="s">
        <v>23</v>
      </c>
      <c r="C238" s="46" t="s">
        <v>38</v>
      </c>
      <c r="D238" s="46" t="s">
        <v>63</v>
      </c>
      <c r="E238" s="12" t="s">
        <v>392</v>
      </c>
      <c r="F238" s="7" t="s">
        <v>1052</v>
      </c>
      <c r="G238" s="46" t="s">
        <v>1053</v>
      </c>
      <c r="H238" s="46" t="s">
        <v>909</v>
      </c>
      <c r="I238" s="7" t="s">
        <v>907</v>
      </c>
      <c r="J238" s="6">
        <v>46035</v>
      </c>
      <c r="K238" s="7" t="s">
        <v>1080</v>
      </c>
      <c r="L238" s="7" t="s">
        <v>27</v>
      </c>
    </row>
    <row r="239" customFormat="1" ht="16.5" spans="1:12">
      <c r="A239" s="12">
        <v>237</v>
      </c>
      <c r="B239" s="46" t="s">
        <v>23</v>
      </c>
      <c r="C239" s="46" t="s">
        <v>29</v>
      </c>
      <c r="D239" s="46" t="s">
        <v>130</v>
      </c>
      <c r="E239" s="12" t="s">
        <v>469</v>
      </c>
      <c r="F239" s="7" t="s">
        <v>1054</v>
      </c>
      <c r="G239" s="46" t="s">
        <v>1055</v>
      </c>
      <c r="H239" s="46" t="s">
        <v>909</v>
      </c>
      <c r="I239" s="7" t="s">
        <v>915</v>
      </c>
      <c r="J239" s="6">
        <v>46035</v>
      </c>
      <c r="K239" s="7" t="s">
        <v>1080</v>
      </c>
      <c r="L239" s="7" t="s">
        <v>27</v>
      </c>
    </row>
    <row r="240" customFormat="1" ht="16.5" spans="1:12">
      <c r="A240" s="12">
        <v>238</v>
      </c>
      <c r="B240" s="46" t="s">
        <v>23</v>
      </c>
      <c r="C240" s="46" t="s">
        <v>37</v>
      </c>
      <c r="D240" s="46" t="s">
        <v>152</v>
      </c>
      <c r="E240" s="12" t="s">
        <v>151</v>
      </c>
      <c r="F240" s="7" t="s">
        <v>1056</v>
      </c>
      <c r="G240" s="46" t="s">
        <v>1057</v>
      </c>
      <c r="H240" s="46" t="s">
        <v>921</v>
      </c>
      <c r="I240" s="7" t="s">
        <v>915</v>
      </c>
      <c r="J240" s="6">
        <v>46035</v>
      </c>
      <c r="K240" s="7" t="s">
        <v>1080</v>
      </c>
      <c r="L240" s="7" t="s">
        <v>27</v>
      </c>
    </row>
    <row r="241" customFormat="1" ht="16.5" spans="1:12">
      <c r="A241" s="12">
        <v>239</v>
      </c>
      <c r="B241" s="46" t="s">
        <v>23</v>
      </c>
      <c r="C241" s="46" t="s">
        <v>38</v>
      </c>
      <c r="D241" s="46" t="s">
        <v>75</v>
      </c>
      <c r="E241" s="12" t="s">
        <v>200</v>
      </c>
      <c r="F241" s="7" t="s">
        <v>1058</v>
      </c>
      <c r="G241" s="46" t="s">
        <v>1059</v>
      </c>
      <c r="H241" s="46" t="s">
        <v>909</v>
      </c>
      <c r="I241" s="7" t="s">
        <v>907</v>
      </c>
      <c r="J241" s="6">
        <v>46035</v>
      </c>
      <c r="K241" s="7" t="s">
        <v>1080</v>
      </c>
      <c r="L241" s="7" t="s">
        <v>27</v>
      </c>
    </row>
    <row r="242" customFormat="1" ht="16.5" spans="1:12">
      <c r="A242" s="12">
        <v>240</v>
      </c>
      <c r="B242" s="46" t="s">
        <v>23</v>
      </c>
      <c r="C242" s="46" t="s">
        <v>38</v>
      </c>
      <c r="D242" s="46" t="s">
        <v>168</v>
      </c>
      <c r="E242" s="12" t="s">
        <v>500</v>
      </c>
      <c r="F242" s="7" t="s">
        <v>1060</v>
      </c>
      <c r="G242" s="46" t="s">
        <v>1061</v>
      </c>
      <c r="H242" s="46" t="s">
        <v>909</v>
      </c>
      <c r="I242" s="7" t="s">
        <v>915</v>
      </c>
      <c r="J242" s="6">
        <v>46035</v>
      </c>
      <c r="K242" s="7" t="s">
        <v>1080</v>
      </c>
      <c r="L242" s="7" t="s">
        <v>27</v>
      </c>
    </row>
    <row r="243" customFormat="1" ht="16.5" spans="1:12">
      <c r="A243" s="12">
        <v>241</v>
      </c>
      <c r="B243" s="46" t="s">
        <v>23</v>
      </c>
      <c r="C243" s="46" t="s">
        <v>38</v>
      </c>
      <c r="D243" s="46" t="s">
        <v>70</v>
      </c>
      <c r="E243" s="12" t="s">
        <v>247</v>
      </c>
      <c r="F243" s="7" t="s">
        <v>1062</v>
      </c>
      <c r="G243" s="46" t="s">
        <v>1063</v>
      </c>
      <c r="H243" s="46" t="s">
        <v>909</v>
      </c>
      <c r="I243" s="7" t="s">
        <v>915</v>
      </c>
      <c r="J243" s="6">
        <v>46035</v>
      </c>
      <c r="K243" s="7" t="s">
        <v>1080</v>
      </c>
      <c r="L243" s="7" t="s">
        <v>27</v>
      </c>
    </row>
    <row r="244" customFormat="1" ht="16.5" spans="1:12">
      <c r="A244" s="12">
        <v>242</v>
      </c>
      <c r="B244" s="46" t="s">
        <v>23</v>
      </c>
      <c r="C244" s="46" t="s">
        <v>38</v>
      </c>
      <c r="D244" s="46" t="s">
        <v>70</v>
      </c>
      <c r="E244" s="12" t="s">
        <v>247</v>
      </c>
      <c r="F244" s="7" t="s">
        <v>1064</v>
      </c>
      <c r="G244" s="46" t="s">
        <v>1065</v>
      </c>
      <c r="H244" s="46" t="s">
        <v>909</v>
      </c>
      <c r="I244" s="7" t="s">
        <v>907</v>
      </c>
      <c r="J244" s="6">
        <v>46035</v>
      </c>
      <c r="K244" s="7" t="s">
        <v>1080</v>
      </c>
      <c r="L244" s="7" t="s">
        <v>27</v>
      </c>
    </row>
    <row r="245" customFormat="1" ht="16.5" spans="1:12">
      <c r="A245" s="12">
        <v>243</v>
      </c>
      <c r="B245" s="46" t="s">
        <v>23</v>
      </c>
      <c r="C245" s="46" t="s">
        <v>38</v>
      </c>
      <c r="D245" s="46" t="s">
        <v>70</v>
      </c>
      <c r="E245" s="12" t="s">
        <v>247</v>
      </c>
      <c r="F245" s="7" t="s">
        <v>1066</v>
      </c>
      <c r="G245" s="46" t="s">
        <v>1067</v>
      </c>
      <c r="H245" s="46" t="s">
        <v>909</v>
      </c>
      <c r="I245" s="7" t="s">
        <v>915</v>
      </c>
      <c r="J245" s="6">
        <v>46035</v>
      </c>
      <c r="K245" s="7" t="s">
        <v>1080</v>
      </c>
      <c r="L245" s="7" t="s">
        <v>27</v>
      </c>
    </row>
    <row r="246" customFormat="1" ht="16.5" spans="1:12">
      <c r="A246" s="12">
        <v>244</v>
      </c>
      <c r="B246" s="46" t="s">
        <v>23</v>
      </c>
      <c r="C246" s="46" t="s">
        <v>38</v>
      </c>
      <c r="D246" s="46" t="s">
        <v>220</v>
      </c>
      <c r="E246" s="12" t="s">
        <v>441</v>
      </c>
      <c r="F246" s="7" t="s">
        <v>1070</v>
      </c>
      <c r="G246" s="46" t="s">
        <v>1071</v>
      </c>
      <c r="H246" s="46" t="s">
        <v>909</v>
      </c>
      <c r="I246" s="7" t="s">
        <v>915</v>
      </c>
      <c r="J246" s="6">
        <v>46035</v>
      </c>
      <c r="K246" s="7" t="s">
        <v>1080</v>
      </c>
      <c r="L246" s="7" t="s">
        <v>27</v>
      </c>
    </row>
    <row r="247" customFormat="1" ht="16.5" spans="1:12">
      <c r="A247" s="12">
        <v>245</v>
      </c>
      <c r="B247" s="46" t="s">
        <v>23</v>
      </c>
      <c r="C247" s="46" t="s">
        <v>38</v>
      </c>
      <c r="D247" s="46" t="s">
        <v>220</v>
      </c>
      <c r="E247" s="12" t="s">
        <v>441</v>
      </c>
      <c r="F247" s="7" t="s">
        <v>1072</v>
      </c>
      <c r="G247" s="46" t="s">
        <v>1073</v>
      </c>
      <c r="H247" s="46" t="s">
        <v>921</v>
      </c>
      <c r="I247" s="7" t="s">
        <v>915</v>
      </c>
      <c r="J247" s="6">
        <v>46035</v>
      </c>
      <c r="K247" s="7" t="s">
        <v>1080</v>
      </c>
      <c r="L247" s="7" t="s">
        <v>27</v>
      </c>
    </row>
    <row r="248" customFormat="1" ht="16.5" spans="1:12">
      <c r="A248" s="12">
        <v>246</v>
      </c>
      <c r="B248" s="46" t="s">
        <v>23</v>
      </c>
      <c r="C248" s="46" t="s">
        <v>38</v>
      </c>
      <c r="D248" s="46" t="s">
        <v>220</v>
      </c>
      <c r="E248" s="12" t="s">
        <v>441</v>
      </c>
      <c r="F248" s="7" t="s">
        <v>1074</v>
      </c>
      <c r="G248" s="46" t="s">
        <v>1075</v>
      </c>
      <c r="H248" s="46" t="s">
        <v>921</v>
      </c>
      <c r="I248" s="7" t="s">
        <v>915</v>
      </c>
      <c r="J248" s="6">
        <v>46035</v>
      </c>
      <c r="K248" s="7" t="s">
        <v>1080</v>
      </c>
      <c r="L248" s="7" t="s">
        <v>27</v>
      </c>
    </row>
    <row r="249" customFormat="1" ht="16.5" spans="1:12">
      <c r="A249" s="12">
        <v>247</v>
      </c>
      <c r="B249" s="46" t="s">
        <v>23</v>
      </c>
      <c r="C249" s="46" t="s">
        <v>36</v>
      </c>
      <c r="D249" s="46" t="s">
        <v>173</v>
      </c>
      <c r="E249" s="12" t="s">
        <v>309</v>
      </c>
      <c r="F249" s="7" t="s">
        <v>320</v>
      </c>
      <c r="G249" s="46" t="s">
        <v>1085</v>
      </c>
      <c r="H249" s="46" t="s">
        <v>1086</v>
      </c>
      <c r="I249" s="7" t="s">
        <v>915</v>
      </c>
      <c r="J249" s="6">
        <v>46031</v>
      </c>
      <c r="K249" s="7" t="s">
        <v>1081</v>
      </c>
      <c r="L249" s="7" t="s">
        <v>30</v>
      </c>
    </row>
    <row r="250" customFormat="1" ht="16.5" spans="1:12">
      <c r="A250" s="12">
        <v>248</v>
      </c>
      <c r="B250" s="46" t="s">
        <v>23</v>
      </c>
      <c r="C250" s="46" t="s">
        <v>38</v>
      </c>
      <c r="D250" s="46" t="s">
        <v>148</v>
      </c>
      <c r="E250" s="12" t="s">
        <v>82</v>
      </c>
      <c r="F250" s="7" t="s">
        <v>531</v>
      </c>
      <c r="G250" s="46" t="s">
        <v>1087</v>
      </c>
      <c r="H250" s="46" t="s">
        <v>909</v>
      </c>
      <c r="I250" s="7" t="s">
        <v>915</v>
      </c>
      <c r="J250" s="6">
        <v>46031</v>
      </c>
      <c r="K250" s="7" t="s">
        <v>1081</v>
      </c>
      <c r="L250" s="7" t="s">
        <v>30</v>
      </c>
    </row>
    <row r="251" customFormat="1" ht="16.5" spans="1:12">
      <c r="A251" s="12">
        <v>249</v>
      </c>
      <c r="B251" s="46" t="s">
        <v>23</v>
      </c>
      <c r="C251" s="46" t="s">
        <v>35</v>
      </c>
      <c r="D251" s="46" t="s">
        <v>125</v>
      </c>
      <c r="E251" s="12" t="s">
        <v>605</v>
      </c>
      <c r="F251" s="7" t="s">
        <v>463</v>
      </c>
      <c r="G251" s="46" t="s">
        <v>1088</v>
      </c>
      <c r="H251" s="46" t="s">
        <v>1089</v>
      </c>
      <c r="I251" s="7" t="s">
        <v>915</v>
      </c>
      <c r="J251" s="6">
        <v>46031</v>
      </c>
      <c r="K251" s="7" t="s">
        <v>1081</v>
      </c>
      <c r="L251" s="7" t="s">
        <v>30</v>
      </c>
    </row>
    <row r="252" customFormat="1" ht="16.5" spans="1:12">
      <c r="A252" s="12">
        <v>250</v>
      </c>
      <c r="B252" s="46" t="s">
        <v>23</v>
      </c>
      <c r="C252" s="46" t="s">
        <v>38</v>
      </c>
      <c r="D252" s="46" t="s">
        <v>148</v>
      </c>
      <c r="E252" s="12" t="s">
        <v>376</v>
      </c>
      <c r="F252" s="7" t="s">
        <v>227</v>
      </c>
      <c r="G252" s="46" t="s">
        <v>1091</v>
      </c>
      <c r="H252" s="46" t="s">
        <v>921</v>
      </c>
      <c r="I252" s="7" t="s">
        <v>915</v>
      </c>
      <c r="J252" s="6">
        <v>46031</v>
      </c>
      <c r="K252" s="7" t="s">
        <v>1081</v>
      </c>
      <c r="L252" s="7" t="s">
        <v>30</v>
      </c>
    </row>
    <row r="253" customFormat="1" ht="16.5" spans="1:12">
      <c r="A253" s="12">
        <v>251</v>
      </c>
      <c r="B253" s="46" t="s">
        <v>23</v>
      </c>
      <c r="C253" s="46" t="s">
        <v>32</v>
      </c>
      <c r="D253" s="46" t="s">
        <v>105</v>
      </c>
      <c r="E253" s="12" t="s">
        <v>556</v>
      </c>
      <c r="F253" s="7" t="s">
        <v>192</v>
      </c>
      <c r="G253" s="46" t="s">
        <v>1092</v>
      </c>
      <c r="H253" s="46" t="s">
        <v>1089</v>
      </c>
      <c r="I253" s="7" t="s">
        <v>915</v>
      </c>
      <c r="J253" s="6">
        <v>46031</v>
      </c>
      <c r="K253" s="7" t="s">
        <v>1081</v>
      </c>
      <c r="L253" s="7" t="s">
        <v>30</v>
      </c>
    </row>
    <row r="254" customFormat="1" ht="16.5" spans="1:12">
      <c r="A254" s="12">
        <v>252</v>
      </c>
      <c r="B254" s="46" t="s">
        <v>23</v>
      </c>
      <c r="C254" s="46" t="s">
        <v>38</v>
      </c>
      <c r="D254" s="46" t="s">
        <v>220</v>
      </c>
      <c r="E254" s="12" t="s">
        <v>427</v>
      </c>
      <c r="F254" s="7" t="s">
        <v>540</v>
      </c>
      <c r="G254" s="46" t="s">
        <v>1093</v>
      </c>
      <c r="H254" s="46" t="s">
        <v>1089</v>
      </c>
      <c r="I254" s="7" t="s">
        <v>915</v>
      </c>
      <c r="J254" s="6">
        <v>46031</v>
      </c>
      <c r="K254" s="7" t="s">
        <v>1081</v>
      </c>
      <c r="L254" s="7" t="s">
        <v>30</v>
      </c>
    </row>
    <row r="255" customFormat="1" ht="16.5" spans="1:12">
      <c r="A255" s="12">
        <v>253</v>
      </c>
      <c r="B255" s="46" t="s">
        <v>23</v>
      </c>
      <c r="C255" s="46" t="s">
        <v>38</v>
      </c>
      <c r="D255" s="46" t="s">
        <v>168</v>
      </c>
      <c r="E255" s="12" t="s">
        <v>430</v>
      </c>
      <c r="F255" s="7" t="s">
        <v>205</v>
      </c>
      <c r="G255" s="46" t="s">
        <v>1094</v>
      </c>
      <c r="H255" s="46" t="s">
        <v>1089</v>
      </c>
      <c r="I255" s="7" t="s">
        <v>915</v>
      </c>
      <c r="J255" s="6">
        <v>46031</v>
      </c>
      <c r="K255" s="7" t="s">
        <v>1081</v>
      </c>
      <c r="L255" s="7" t="s">
        <v>30</v>
      </c>
    </row>
    <row r="256" customFormat="1" ht="16.5" spans="1:12">
      <c r="A256" s="12">
        <v>254</v>
      </c>
      <c r="B256" s="46" t="s">
        <v>23</v>
      </c>
      <c r="C256" s="46" t="s">
        <v>32</v>
      </c>
      <c r="D256" s="46" t="s">
        <v>105</v>
      </c>
      <c r="E256" s="12" t="s">
        <v>556</v>
      </c>
      <c r="F256" s="7" t="s">
        <v>165</v>
      </c>
      <c r="G256" s="46" t="s">
        <v>1095</v>
      </c>
      <c r="H256" s="46" t="s">
        <v>921</v>
      </c>
      <c r="I256" s="7" t="s">
        <v>915</v>
      </c>
      <c r="J256" s="6">
        <v>46031</v>
      </c>
      <c r="K256" s="7" t="s">
        <v>1081</v>
      </c>
      <c r="L256" s="7" t="s">
        <v>30</v>
      </c>
    </row>
    <row r="257" customFormat="1" ht="16.5" spans="1:12">
      <c r="A257" s="12">
        <v>255</v>
      </c>
      <c r="B257" s="46" t="s">
        <v>23</v>
      </c>
      <c r="C257" s="46" t="s">
        <v>38</v>
      </c>
      <c r="D257" s="46" t="s">
        <v>63</v>
      </c>
      <c r="E257" s="12" t="s">
        <v>494</v>
      </c>
      <c r="F257" s="7" t="s">
        <v>95</v>
      </c>
      <c r="G257" s="46" t="s">
        <v>1096</v>
      </c>
      <c r="H257" s="46" t="s">
        <v>1089</v>
      </c>
      <c r="I257" s="7" t="s">
        <v>915</v>
      </c>
      <c r="J257" s="6">
        <v>46031</v>
      </c>
      <c r="K257" s="7" t="s">
        <v>1081</v>
      </c>
      <c r="L257" s="7" t="s">
        <v>30</v>
      </c>
    </row>
    <row r="258" customFormat="1" ht="16.5" spans="1:12">
      <c r="A258" s="12">
        <v>256</v>
      </c>
      <c r="B258" s="46" t="s">
        <v>23</v>
      </c>
      <c r="C258" s="46" t="s">
        <v>38</v>
      </c>
      <c r="D258" s="46" t="s">
        <v>63</v>
      </c>
      <c r="E258" s="12" t="s">
        <v>380</v>
      </c>
      <c r="F258" s="7" t="s">
        <v>253</v>
      </c>
      <c r="G258" s="46" t="s">
        <v>1097</v>
      </c>
      <c r="H258" s="46" t="s">
        <v>1086</v>
      </c>
      <c r="I258" s="7" t="s">
        <v>915</v>
      </c>
      <c r="J258" s="6">
        <v>46031</v>
      </c>
      <c r="K258" s="7" t="s">
        <v>1081</v>
      </c>
      <c r="L258" s="7" t="s">
        <v>30</v>
      </c>
    </row>
    <row r="259" customFormat="1" ht="16.5" spans="1:12">
      <c r="A259" s="12">
        <v>257</v>
      </c>
      <c r="B259" s="46" t="s">
        <v>23</v>
      </c>
      <c r="C259" s="46" t="s">
        <v>38</v>
      </c>
      <c r="D259" s="46" t="s">
        <v>63</v>
      </c>
      <c r="E259" s="12" t="s">
        <v>602</v>
      </c>
      <c r="F259" s="7" t="s">
        <v>481</v>
      </c>
      <c r="G259" s="46" t="s">
        <v>1099</v>
      </c>
      <c r="H259" s="46" t="s">
        <v>1089</v>
      </c>
      <c r="I259" s="7" t="s">
        <v>915</v>
      </c>
      <c r="J259" s="6">
        <v>46031</v>
      </c>
      <c r="K259" s="7" t="s">
        <v>1081</v>
      </c>
      <c r="L259" s="7" t="s">
        <v>30</v>
      </c>
    </row>
    <row r="260" customFormat="1" ht="16.5" spans="1:12">
      <c r="A260" s="12">
        <v>258</v>
      </c>
      <c r="B260" s="46" t="s">
        <v>23</v>
      </c>
      <c r="C260" s="46" t="s">
        <v>38</v>
      </c>
      <c r="D260" s="46" t="s">
        <v>148</v>
      </c>
      <c r="E260" s="12" t="s">
        <v>364</v>
      </c>
      <c r="F260" s="7" t="s">
        <v>147</v>
      </c>
      <c r="G260" s="46" t="s">
        <v>1100</v>
      </c>
      <c r="H260" s="46" t="s">
        <v>1089</v>
      </c>
      <c r="I260" s="7" t="s">
        <v>915</v>
      </c>
      <c r="J260" s="6">
        <v>46031</v>
      </c>
      <c r="K260" s="7" t="s">
        <v>1081</v>
      </c>
      <c r="L260" s="7" t="s">
        <v>30</v>
      </c>
    </row>
    <row r="261" customFormat="1" ht="16.5" spans="1:12">
      <c r="A261" s="12">
        <v>259</v>
      </c>
      <c r="B261" s="46" t="s">
        <v>23</v>
      </c>
      <c r="C261" s="46" t="s">
        <v>35</v>
      </c>
      <c r="D261" s="46" t="s">
        <v>125</v>
      </c>
      <c r="E261" s="12" t="s">
        <v>444</v>
      </c>
      <c r="F261" s="7" t="s">
        <v>584</v>
      </c>
      <c r="G261" s="46" t="s">
        <v>1101</v>
      </c>
      <c r="H261" s="46" t="s">
        <v>1089</v>
      </c>
      <c r="I261" s="7" t="s">
        <v>915</v>
      </c>
      <c r="J261" s="6">
        <v>46031</v>
      </c>
      <c r="K261" s="7" t="s">
        <v>1081</v>
      </c>
      <c r="L261" s="7" t="s">
        <v>30</v>
      </c>
    </row>
    <row r="262" customFormat="1" ht="16.5" spans="1:12">
      <c r="A262" s="12">
        <v>260</v>
      </c>
      <c r="B262" s="46" t="s">
        <v>23</v>
      </c>
      <c r="C262" s="46" t="s">
        <v>35</v>
      </c>
      <c r="D262" s="46" t="s">
        <v>125</v>
      </c>
      <c r="E262" s="12" t="s">
        <v>417</v>
      </c>
      <c r="F262" s="7" t="s">
        <v>493</v>
      </c>
      <c r="G262" s="46" t="s">
        <v>1102</v>
      </c>
      <c r="H262" s="46" t="s">
        <v>1089</v>
      </c>
      <c r="I262" s="7" t="s">
        <v>915</v>
      </c>
      <c r="J262" s="6">
        <v>46031</v>
      </c>
      <c r="K262" s="7" t="s">
        <v>1081</v>
      </c>
      <c r="L262" s="7" t="s">
        <v>30</v>
      </c>
    </row>
    <row r="263" customFormat="1" ht="16.5" spans="1:12">
      <c r="A263" s="12">
        <v>261</v>
      </c>
      <c r="B263" s="46" t="s">
        <v>23</v>
      </c>
      <c r="C263" s="46" t="s">
        <v>31</v>
      </c>
      <c r="D263" s="46" t="s">
        <v>79</v>
      </c>
      <c r="E263" s="12" t="s">
        <v>189</v>
      </c>
      <c r="F263" s="7" t="s">
        <v>78</v>
      </c>
      <c r="G263" s="46" t="s">
        <v>1103</v>
      </c>
      <c r="H263" s="46" t="s">
        <v>1086</v>
      </c>
      <c r="I263" s="7" t="s">
        <v>915</v>
      </c>
      <c r="J263" s="6">
        <v>46031</v>
      </c>
      <c r="K263" s="7" t="s">
        <v>1081</v>
      </c>
      <c r="L263" s="7" t="s">
        <v>30</v>
      </c>
    </row>
    <row r="264" customFormat="1" ht="16.5" spans="1:12">
      <c r="A264" s="12">
        <v>262</v>
      </c>
      <c r="B264" s="46" t="s">
        <v>23</v>
      </c>
      <c r="C264" s="46" t="s">
        <v>37</v>
      </c>
      <c r="D264" s="46" t="s">
        <v>109</v>
      </c>
      <c r="E264" s="12" t="s">
        <v>108</v>
      </c>
      <c r="F264" s="7" t="s">
        <v>203</v>
      </c>
      <c r="G264" s="46" t="s">
        <v>1104</v>
      </c>
      <c r="H264" s="46" t="s">
        <v>1086</v>
      </c>
      <c r="I264" s="7" t="s">
        <v>915</v>
      </c>
      <c r="J264" s="6">
        <v>46031</v>
      </c>
      <c r="K264" s="7" t="s">
        <v>1081</v>
      </c>
      <c r="L264" s="7" t="s">
        <v>30</v>
      </c>
    </row>
    <row r="265" customFormat="1" ht="16.5" spans="1:12">
      <c r="A265" s="12">
        <v>263</v>
      </c>
      <c r="B265" s="46" t="s">
        <v>23</v>
      </c>
      <c r="C265" s="46" t="s">
        <v>31</v>
      </c>
      <c r="D265" s="46" t="s">
        <v>79</v>
      </c>
      <c r="E265" s="12" t="s">
        <v>343</v>
      </c>
      <c r="F265" s="7" t="s">
        <v>245</v>
      </c>
      <c r="G265" s="46" t="s">
        <v>1105</v>
      </c>
      <c r="H265" s="46" t="s">
        <v>1086</v>
      </c>
      <c r="I265" s="7" t="s">
        <v>915</v>
      </c>
      <c r="J265" s="6">
        <v>46031</v>
      </c>
      <c r="K265" s="7" t="s">
        <v>1081</v>
      </c>
      <c r="L265" s="7" t="s">
        <v>30</v>
      </c>
    </row>
    <row r="266" customFormat="1" ht="16.5" spans="1:12">
      <c r="A266" s="12">
        <v>264</v>
      </c>
      <c r="B266" s="46" t="s">
        <v>23</v>
      </c>
      <c r="C266" s="46" t="s">
        <v>32</v>
      </c>
      <c r="D266" s="46" t="s">
        <v>105</v>
      </c>
      <c r="E266" s="12" t="s">
        <v>104</v>
      </c>
      <c r="F266" s="7" t="s">
        <v>1106</v>
      </c>
      <c r="G266" s="46" t="s">
        <v>1107</v>
      </c>
      <c r="H266" s="46" t="s">
        <v>909</v>
      </c>
      <c r="I266" s="7" t="s">
        <v>915</v>
      </c>
      <c r="J266" s="6">
        <v>46031</v>
      </c>
      <c r="K266" s="7" t="s">
        <v>1081</v>
      </c>
      <c r="L266" s="7" t="s">
        <v>30</v>
      </c>
    </row>
    <row r="267" customFormat="1" ht="16.5" spans="1:12">
      <c r="A267" s="12">
        <v>265</v>
      </c>
      <c r="B267" s="46" t="s">
        <v>23</v>
      </c>
      <c r="C267" s="46" t="s">
        <v>37</v>
      </c>
      <c r="D267" s="46" t="s">
        <v>109</v>
      </c>
      <c r="E267" s="12" t="s">
        <v>451</v>
      </c>
      <c r="F267" s="7" t="s">
        <v>237</v>
      </c>
      <c r="G267" s="46" t="s">
        <v>1108</v>
      </c>
      <c r="H267" s="46" t="s">
        <v>1086</v>
      </c>
      <c r="I267" s="7" t="s">
        <v>915</v>
      </c>
      <c r="J267" s="6">
        <v>46031</v>
      </c>
      <c r="K267" s="7" t="s">
        <v>1081</v>
      </c>
      <c r="L267" s="7" t="s">
        <v>30</v>
      </c>
    </row>
    <row r="268" customFormat="1" ht="16.5" spans="1:12">
      <c r="A268" s="12">
        <v>266</v>
      </c>
      <c r="B268" s="46" t="s">
        <v>23</v>
      </c>
      <c r="C268" s="46" t="s">
        <v>37</v>
      </c>
      <c r="D268" s="46" t="s">
        <v>109</v>
      </c>
      <c r="E268" s="12" t="s">
        <v>267</v>
      </c>
      <c r="F268" s="7" t="s">
        <v>251</v>
      </c>
      <c r="G268" s="46" t="s">
        <v>1109</v>
      </c>
      <c r="H268" s="46" t="s">
        <v>1086</v>
      </c>
      <c r="I268" s="7" t="s">
        <v>915</v>
      </c>
      <c r="J268" s="6">
        <v>46031</v>
      </c>
      <c r="K268" s="7" t="s">
        <v>1081</v>
      </c>
      <c r="L268" s="7" t="s">
        <v>30</v>
      </c>
    </row>
    <row r="269" customFormat="1" ht="16.5" spans="1:12">
      <c r="A269" s="12">
        <v>267</v>
      </c>
      <c r="B269" s="46" t="s">
        <v>23</v>
      </c>
      <c r="C269" s="46" t="s">
        <v>35</v>
      </c>
      <c r="D269" s="46" t="s">
        <v>125</v>
      </c>
      <c r="E269" s="12" t="s">
        <v>605</v>
      </c>
      <c r="F269" s="7" t="s">
        <v>463</v>
      </c>
      <c r="G269" s="46" t="s">
        <v>1088</v>
      </c>
      <c r="H269" s="46" t="s">
        <v>1089</v>
      </c>
      <c r="I269" s="7" t="s">
        <v>915</v>
      </c>
      <c r="J269" s="6">
        <v>46037</v>
      </c>
      <c r="K269" s="7" t="s">
        <v>1110</v>
      </c>
      <c r="L269" s="7" t="s">
        <v>30</v>
      </c>
    </row>
    <row r="270" customFormat="1" ht="16.5" spans="1:12">
      <c r="A270" s="12">
        <v>268</v>
      </c>
      <c r="B270" s="46" t="s">
        <v>23</v>
      </c>
      <c r="C270" s="46" t="s">
        <v>38</v>
      </c>
      <c r="D270" s="46" t="s">
        <v>168</v>
      </c>
      <c r="E270" s="12" t="s">
        <v>430</v>
      </c>
      <c r="F270" s="7" t="s">
        <v>205</v>
      </c>
      <c r="G270" s="46" t="s">
        <v>1094</v>
      </c>
      <c r="H270" s="46" t="s">
        <v>1089</v>
      </c>
      <c r="I270" s="7" t="s">
        <v>915</v>
      </c>
      <c r="J270" s="6">
        <v>46037</v>
      </c>
      <c r="K270" s="7" t="s">
        <v>1110</v>
      </c>
      <c r="L270" s="7" t="s">
        <v>30</v>
      </c>
    </row>
    <row r="271" customFormat="1" ht="16.5" spans="1:12">
      <c r="A271" s="12">
        <v>269</v>
      </c>
      <c r="B271" s="46" t="s">
        <v>23</v>
      </c>
      <c r="C271" s="46" t="s">
        <v>38</v>
      </c>
      <c r="D271" s="46" t="s">
        <v>220</v>
      </c>
      <c r="E271" s="12" t="s">
        <v>427</v>
      </c>
      <c r="F271" s="7" t="s">
        <v>540</v>
      </c>
      <c r="G271" s="46" t="s">
        <v>1093</v>
      </c>
      <c r="H271" s="46" t="s">
        <v>1089</v>
      </c>
      <c r="I271" s="7" t="s">
        <v>915</v>
      </c>
      <c r="J271" s="6">
        <v>46037</v>
      </c>
      <c r="K271" s="7" t="s">
        <v>1110</v>
      </c>
      <c r="L271" s="7" t="s">
        <v>30</v>
      </c>
    </row>
    <row r="272" customFormat="1" ht="16.5" spans="1:12">
      <c r="A272" s="12">
        <v>270</v>
      </c>
      <c r="B272" s="46" t="s">
        <v>23</v>
      </c>
      <c r="C272" s="46" t="s">
        <v>38</v>
      </c>
      <c r="D272" s="46" t="s">
        <v>148</v>
      </c>
      <c r="E272" s="12" t="s">
        <v>364</v>
      </c>
      <c r="F272" s="7" t="s">
        <v>147</v>
      </c>
      <c r="G272" s="46" t="s">
        <v>1100</v>
      </c>
      <c r="H272" s="46" t="s">
        <v>1089</v>
      </c>
      <c r="I272" s="7" t="s">
        <v>915</v>
      </c>
      <c r="J272" s="6">
        <v>46037</v>
      </c>
      <c r="K272" s="7" t="s">
        <v>1110</v>
      </c>
      <c r="L272" s="7" t="s">
        <v>30</v>
      </c>
    </row>
    <row r="273" customFormat="1" ht="16.5" spans="1:12">
      <c r="A273" s="12">
        <v>271</v>
      </c>
      <c r="B273" s="46" t="s">
        <v>23</v>
      </c>
      <c r="C273" s="46" t="s">
        <v>32</v>
      </c>
      <c r="D273" s="46" t="s">
        <v>105</v>
      </c>
      <c r="E273" s="12" t="s">
        <v>556</v>
      </c>
      <c r="F273" s="7" t="s">
        <v>192</v>
      </c>
      <c r="G273" s="46" t="s">
        <v>1092</v>
      </c>
      <c r="H273" s="46" t="s">
        <v>1089</v>
      </c>
      <c r="I273" s="7" t="s">
        <v>915</v>
      </c>
      <c r="J273" s="6">
        <v>46037</v>
      </c>
      <c r="K273" s="7" t="s">
        <v>1110</v>
      </c>
      <c r="L273" s="7" t="s">
        <v>30</v>
      </c>
    </row>
    <row r="274" customFormat="1" ht="16.5" spans="1:12">
      <c r="A274" s="12">
        <v>272</v>
      </c>
      <c r="B274" s="46" t="s">
        <v>23</v>
      </c>
      <c r="C274" s="46" t="s">
        <v>38</v>
      </c>
      <c r="D274" s="46" t="s">
        <v>148</v>
      </c>
      <c r="E274" s="12" t="s">
        <v>376</v>
      </c>
      <c r="F274" s="7" t="s">
        <v>227</v>
      </c>
      <c r="G274" s="46" t="s">
        <v>1091</v>
      </c>
      <c r="H274" s="46" t="s">
        <v>921</v>
      </c>
      <c r="I274" s="7" t="s">
        <v>915</v>
      </c>
      <c r="J274" s="6">
        <v>46037</v>
      </c>
      <c r="K274" s="7" t="s">
        <v>1110</v>
      </c>
      <c r="L274" s="7" t="s">
        <v>30</v>
      </c>
    </row>
    <row r="275" customFormat="1" ht="16.5" spans="1:12">
      <c r="A275" s="12">
        <v>273</v>
      </c>
      <c r="B275" s="46" t="s">
        <v>23</v>
      </c>
      <c r="C275" s="46" t="s">
        <v>36</v>
      </c>
      <c r="D275" s="46" t="s">
        <v>173</v>
      </c>
      <c r="E275" s="12" t="s">
        <v>309</v>
      </c>
      <c r="F275" s="7" t="s">
        <v>320</v>
      </c>
      <c r="G275" s="46" t="s">
        <v>1085</v>
      </c>
      <c r="H275" s="46" t="s">
        <v>1086</v>
      </c>
      <c r="I275" s="7" t="s">
        <v>915</v>
      </c>
      <c r="J275" s="6">
        <v>46037</v>
      </c>
      <c r="K275" s="7" t="s">
        <v>1110</v>
      </c>
      <c r="L275" s="7" t="s">
        <v>30</v>
      </c>
    </row>
    <row r="276" customFormat="1" ht="16.5" spans="1:12">
      <c r="A276" s="12">
        <v>274</v>
      </c>
      <c r="B276" s="46" t="s">
        <v>23</v>
      </c>
      <c r="C276" s="46" t="s">
        <v>38</v>
      </c>
      <c r="D276" s="46" t="s">
        <v>63</v>
      </c>
      <c r="E276" s="12" t="s">
        <v>129</v>
      </c>
      <c r="F276" s="7" t="s">
        <v>294</v>
      </c>
      <c r="G276" s="46" t="s">
        <v>1112</v>
      </c>
      <c r="H276" s="46" t="s">
        <v>1113</v>
      </c>
      <c r="I276" s="7" t="s">
        <v>915</v>
      </c>
      <c r="J276" s="6">
        <v>46037</v>
      </c>
      <c r="K276" s="7" t="s">
        <v>1110</v>
      </c>
      <c r="L276" s="7" t="s">
        <v>30</v>
      </c>
    </row>
    <row r="277" customFormat="1" ht="16.5" spans="1:12">
      <c r="A277" s="12">
        <v>275</v>
      </c>
      <c r="B277" s="46" t="s">
        <v>23</v>
      </c>
      <c r="C277" s="46" t="s">
        <v>38</v>
      </c>
      <c r="D277" s="46" t="s">
        <v>63</v>
      </c>
      <c r="E277" s="12" t="s">
        <v>494</v>
      </c>
      <c r="F277" s="7" t="s">
        <v>95</v>
      </c>
      <c r="G277" s="46" t="s">
        <v>1096</v>
      </c>
      <c r="H277" s="46" t="s">
        <v>1089</v>
      </c>
      <c r="I277" s="7" t="s">
        <v>915</v>
      </c>
      <c r="J277" s="6">
        <v>46037</v>
      </c>
      <c r="K277" s="7" t="s">
        <v>1110</v>
      </c>
      <c r="L277" s="7" t="s">
        <v>30</v>
      </c>
    </row>
    <row r="278" customFormat="1" ht="16.5" spans="1:12">
      <c r="A278" s="12">
        <v>276</v>
      </c>
      <c r="B278" s="46" t="s">
        <v>23</v>
      </c>
      <c r="C278" s="46" t="s">
        <v>38</v>
      </c>
      <c r="D278" s="46" t="s">
        <v>63</v>
      </c>
      <c r="E278" s="12" t="s">
        <v>602</v>
      </c>
      <c r="F278" s="7" t="s">
        <v>481</v>
      </c>
      <c r="G278" s="46" t="s">
        <v>1099</v>
      </c>
      <c r="H278" s="46" t="s">
        <v>1089</v>
      </c>
      <c r="I278" s="7" t="s">
        <v>915</v>
      </c>
      <c r="J278" s="6">
        <v>46037</v>
      </c>
      <c r="K278" s="7" t="s">
        <v>1110</v>
      </c>
      <c r="L278" s="7" t="s">
        <v>30</v>
      </c>
    </row>
    <row r="279" customFormat="1" ht="16.5" spans="1:12">
      <c r="A279" s="12">
        <v>277</v>
      </c>
      <c r="B279" s="46" t="s">
        <v>23</v>
      </c>
      <c r="C279" s="46" t="s">
        <v>31</v>
      </c>
      <c r="D279" s="46" t="s">
        <v>79</v>
      </c>
      <c r="E279" s="12" t="s">
        <v>189</v>
      </c>
      <c r="F279" s="7" t="s">
        <v>78</v>
      </c>
      <c r="G279" s="46" t="s">
        <v>1103</v>
      </c>
      <c r="H279" s="46" t="s">
        <v>1086</v>
      </c>
      <c r="I279" s="7" t="s">
        <v>915</v>
      </c>
      <c r="J279" s="6">
        <v>46037</v>
      </c>
      <c r="K279" s="7" t="s">
        <v>1110</v>
      </c>
      <c r="L279" s="7" t="s">
        <v>30</v>
      </c>
    </row>
    <row r="280" customFormat="1" ht="16.5" spans="1:12">
      <c r="A280" s="12">
        <v>278</v>
      </c>
      <c r="B280" s="46" t="s">
        <v>23</v>
      </c>
      <c r="C280" s="46" t="s">
        <v>35</v>
      </c>
      <c r="D280" s="46" t="s">
        <v>125</v>
      </c>
      <c r="E280" s="12" t="s">
        <v>417</v>
      </c>
      <c r="F280" s="7" t="s">
        <v>493</v>
      </c>
      <c r="G280" s="46" t="s">
        <v>1102</v>
      </c>
      <c r="H280" s="46" t="s">
        <v>1089</v>
      </c>
      <c r="I280" s="7" t="s">
        <v>915</v>
      </c>
      <c r="J280" s="6">
        <v>46037</v>
      </c>
      <c r="K280" s="7" t="s">
        <v>1110</v>
      </c>
      <c r="L280" s="7" t="s">
        <v>30</v>
      </c>
    </row>
    <row r="281" customFormat="1" ht="16.5" spans="1:12">
      <c r="A281" s="12">
        <v>279</v>
      </c>
      <c r="B281" s="46" t="s">
        <v>23</v>
      </c>
      <c r="C281" s="46" t="s">
        <v>32</v>
      </c>
      <c r="D281" s="46" t="s">
        <v>105</v>
      </c>
      <c r="E281" s="12" t="s">
        <v>556</v>
      </c>
      <c r="F281" s="7" t="s">
        <v>165</v>
      </c>
      <c r="G281" s="46" t="s">
        <v>1095</v>
      </c>
      <c r="H281" s="46" t="s">
        <v>921</v>
      </c>
      <c r="I281" s="7" t="s">
        <v>915</v>
      </c>
      <c r="J281" s="6">
        <v>46037</v>
      </c>
      <c r="K281" s="7" t="s">
        <v>1110</v>
      </c>
      <c r="L281" s="7" t="s">
        <v>30</v>
      </c>
    </row>
    <row r="282" customFormat="1" ht="16.5" spans="1:12">
      <c r="A282" s="12">
        <v>280</v>
      </c>
      <c r="B282" s="46" t="s">
        <v>23</v>
      </c>
      <c r="C282" s="46" t="s">
        <v>38</v>
      </c>
      <c r="D282" s="46" t="s">
        <v>63</v>
      </c>
      <c r="E282" s="12" t="s">
        <v>380</v>
      </c>
      <c r="F282" s="7" t="s">
        <v>253</v>
      </c>
      <c r="G282" s="46" t="s">
        <v>1097</v>
      </c>
      <c r="H282" s="46" t="s">
        <v>1086</v>
      </c>
      <c r="I282" s="7" t="s">
        <v>915</v>
      </c>
      <c r="J282" s="6">
        <v>46037</v>
      </c>
      <c r="K282" s="7" t="s">
        <v>1110</v>
      </c>
      <c r="L282" s="7" t="s">
        <v>30</v>
      </c>
    </row>
    <row r="283" customFormat="1" ht="16.5" spans="1:12">
      <c r="A283" s="12">
        <v>281</v>
      </c>
      <c r="B283" s="46" t="s">
        <v>23</v>
      </c>
      <c r="C283" s="46" t="s">
        <v>35</v>
      </c>
      <c r="D283" s="46" t="s">
        <v>125</v>
      </c>
      <c r="E283" s="12" t="s">
        <v>444</v>
      </c>
      <c r="F283" s="7" t="s">
        <v>584</v>
      </c>
      <c r="G283" s="46" t="s">
        <v>1101</v>
      </c>
      <c r="H283" s="46" t="s">
        <v>1089</v>
      </c>
      <c r="I283" s="7" t="s">
        <v>915</v>
      </c>
      <c r="J283" s="6">
        <v>46037</v>
      </c>
      <c r="K283" s="7" t="s">
        <v>1110</v>
      </c>
      <c r="L283" s="7" t="s">
        <v>30</v>
      </c>
    </row>
    <row r="284" customFormat="1" ht="16.5" spans="1:12">
      <c r="A284" s="12">
        <v>282</v>
      </c>
      <c r="B284" s="46" t="s">
        <v>23</v>
      </c>
      <c r="C284" s="46" t="s">
        <v>37</v>
      </c>
      <c r="D284" s="46" t="s">
        <v>109</v>
      </c>
      <c r="E284" s="12" t="s">
        <v>267</v>
      </c>
      <c r="F284" s="7" t="s">
        <v>251</v>
      </c>
      <c r="G284" s="46" t="s">
        <v>1109</v>
      </c>
      <c r="H284" s="46" t="s">
        <v>1086</v>
      </c>
      <c r="I284" s="7" t="s">
        <v>915</v>
      </c>
      <c r="J284" s="6">
        <v>46037</v>
      </c>
      <c r="K284" s="7" t="s">
        <v>1110</v>
      </c>
      <c r="L284" s="7" t="s">
        <v>30</v>
      </c>
    </row>
    <row r="285" customFormat="1" ht="16.5" spans="1:12">
      <c r="A285" s="12">
        <v>283</v>
      </c>
      <c r="B285" s="46" t="s">
        <v>23</v>
      </c>
      <c r="C285" s="46" t="s">
        <v>37</v>
      </c>
      <c r="D285" s="46" t="s">
        <v>109</v>
      </c>
      <c r="E285" s="12" t="s">
        <v>108</v>
      </c>
      <c r="F285" s="7" t="s">
        <v>203</v>
      </c>
      <c r="G285" s="46" t="s">
        <v>1104</v>
      </c>
      <c r="H285" s="46" t="s">
        <v>1086</v>
      </c>
      <c r="I285" s="7" t="s">
        <v>915</v>
      </c>
      <c r="J285" s="6">
        <v>46037</v>
      </c>
      <c r="K285" s="7" t="s">
        <v>1110</v>
      </c>
      <c r="L285" s="7" t="s">
        <v>30</v>
      </c>
    </row>
    <row r="286" customFormat="1" ht="16.5" spans="1:12">
      <c r="A286" s="12">
        <v>284</v>
      </c>
      <c r="B286" s="46" t="s">
        <v>23</v>
      </c>
      <c r="C286" s="46" t="s">
        <v>31</v>
      </c>
      <c r="D286" s="46" t="s">
        <v>79</v>
      </c>
      <c r="E286" s="12" t="s">
        <v>343</v>
      </c>
      <c r="F286" s="7" t="s">
        <v>245</v>
      </c>
      <c r="G286" s="46" t="s">
        <v>1105</v>
      </c>
      <c r="H286" s="46" t="s">
        <v>1086</v>
      </c>
      <c r="I286" s="7" t="s">
        <v>915</v>
      </c>
      <c r="J286" s="6">
        <v>46037</v>
      </c>
      <c r="K286" s="7" t="s">
        <v>1110</v>
      </c>
      <c r="L286" s="7" t="s">
        <v>30</v>
      </c>
    </row>
    <row r="287" customFormat="1" ht="16.5" spans="1:12">
      <c r="A287" s="12">
        <v>285</v>
      </c>
      <c r="B287" s="46" t="s">
        <v>23</v>
      </c>
      <c r="C287" s="46" t="s">
        <v>32</v>
      </c>
      <c r="D287" s="46" t="s">
        <v>105</v>
      </c>
      <c r="E287" s="12" t="s">
        <v>104</v>
      </c>
      <c r="F287" s="7" t="s">
        <v>1106</v>
      </c>
      <c r="G287" s="46" t="s">
        <v>1107</v>
      </c>
      <c r="H287" s="46" t="s">
        <v>909</v>
      </c>
      <c r="I287" s="7" t="s">
        <v>915</v>
      </c>
      <c r="J287" s="6">
        <v>46037</v>
      </c>
      <c r="K287" s="7" t="s">
        <v>1110</v>
      </c>
      <c r="L287" s="7" t="s">
        <v>30</v>
      </c>
    </row>
    <row r="288" customFormat="1" ht="16.5" spans="1:12">
      <c r="A288" s="12">
        <v>286</v>
      </c>
      <c r="B288" s="46" t="s">
        <v>23</v>
      </c>
      <c r="C288" s="46" t="s">
        <v>37</v>
      </c>
      <c r="D288" s="46" t="s">
        <v>109</v>
      </c>
      <c r="E288" s="12" t="s">
        <v>451</v>
      </c>
      <c r="F288" s="7" t="s">
        <v>237</v>
      </c>
      <c r="G288" s="46" t="s">
        <v>1108</v>
      </c>
      <c r="H288" s="46" t="s">
        <v>1086</v>
      </c>
      <c r="I288" s="7" t="s">
        <v>915</v>
      </c>
      <c r="J288" s="6">
        <v>46037</v>
      </c>
      <c r="K288" s="7" t="s">
        <v>1110</v>
      </c>
      <c r="L288" s="7" t="s">
        <v>30</v>
      </c>
    </row>
    <row r="289" customFormat="1" ht="16.5" spans="1:12">
      <c r="A289" s="12">
        <v>287</v>
      </c>
      <c r="B289" s="46" t="s">
        <v>23</v>
      </c>
      <c r="C289" s="46" t="s">
        <v>38</v>
      </c>
      <c r="D289" s="46" t="s">
        <v>148</v>
      </c>
      <c r="E289" s="12" t="s">
        <v>82</v>
      </c>
      <c r="F289" s="7" t="s">
        <v>531</v>
      </c>
      <c r="G289" s="46" t="s">
        <v>1087</v>
      </c>
      <c r="H289" s="46" t="s">
        <v>909</v>
      </c>
      <c r="I289" s="7" t="s">
        <v>915</v>
      </c>
      <c r="J289" s="6">
        <v>46037</v>
      </c>
      <c r="K289" s="7" t="s">
        <v>1110</v>
      </c>
      <c r="L289" s="7" t="s">
        <v>30</v>
      </c>
    </row>
    <row r="290" customFormat="1" ht="16.5" spans="1:12">
      <c r="A290" s="12">
        <v>288</v>
      </c>
      <c r="B290" s="46" t="s">
        <v>23</v>
      </c>
      <c r="C290" s="46" t="s">
        <v>38</v>
      </c>
      <c r="D290" s="46" t="s">
        <v>148</v>
      </c>
      <c r="E290" s="12" t="s">
        <v>82</v>
      </c>
      <c r="F290" s="7" t="s">
        <v>531</v>
      </c>
      <c r="G290" s="46" t="s">
        <v>1087</v>
      </c>
      <c r="H290" s="46" t="s">
        <v>909</v>
      </c>
      <c r="I290" s="7" t="s">
        <v>915</v>
      </c>
      <c r="J290" s="6">
        <v>46036</v>
      </c>
      <c r="K290" s="7" t="s">
        <v>1114</v>
      </c>
      <c r="L290" s="7" t="s">
        <v>30</v>
      </c>
    </row>
    <row r="291" customFormat="1" ht="16.5" spans="1:12">
      <c r="A291" s="12">
        <v>289</v>
      </c>
      <c r="B291" s="46" t="s">
        <v>23</v>
      </c>
      <c r="C291" s="46" t="s">
        <v>35</v>
      </c>
      <c r="D291" s="46" t="s">
        <v>125</v>
      </c>
      <c r="E291" s="12" t="s">
        <v>605</v>
      </c>
      <c r="F291" s="7" t="s">
        <v>463</v>
      </c>
      <c r="G291" s="46" t="s">
        <v>1088</v>
      </c>
      <c r="H291" s="46" t="s">
        <v>1089</v>
      </c>
      <c r="I291" s="7" t="s">
        <v>915</v>
      </c>
      <c r="J291" s="6">
        <v>46036</v>
      </c>
      <c r="K291" s="7" t="s">
        <v>1114</v>
      </c>
      <c r="L291" s="7" t="s">
        <v>30</v>
      </c>
    </row>
    <row r="292" customFormat="1" ht="16.5" spans="1:12">
      <c r="A292" s="12">
        <v>290</v>
      </c>
      <c r="B292" s="46" t="s">
        <v>23</v>
      </c>
      <c r="C292" s="46" t="s">
        <v>38</v>
      </c>
      <c r="D292" s="46" t="s">
        <v>168</v>
      </c>
      <c r="E292" s="12" t="s">
        <v>430</v>
      </c>
      <c r="F292" s="7" t="s">
        <v>205</v>
      </c>
      <c r="G292" s="46" t="s">
        <v>1094</v>
      </c>
      <c r="H292" s="46" t="s">
        <v>1089</v>
      </c>
      <c r="I292" s="7" t="s">
        <v>915</v>
      </c>
      <c r="J292" s="6">
        <v>46036</v>
      </c>
      <c r="K292" s="7" t="s">
        <v>1114</v>
      </c>
      <c r="L292" s="7" t="s">
        <v>30</v>
      </c>
    </row>
    <row r="293" customFormat="1" ht="16.5" spans="1:12">
      <c r="A293" s="12">
        <v>291</v>
      </c>
      <c r="B293" s="46" t="s">
        <v>23</v>
      </c>
      <c r="C293" s="46" t="s">
        <v>38</v>
      </c>
      <c r="D293" s="46" t="s">
        <v>220</v>
      </c>
      <c r="E293" s="12" t="s">
        <v>427</v>
      </c>
      <c r="F293" s="7" t="s">
        <v>540</v>
      </c>
      <c r="G293" s="46" t="s">
        <v>1093</v>
      </c>
      <c r="H293" s="46" t="s">
        <v>1089</v>
      </c>
      <c r="I293" s="7" t="s">
        <v>915</v>
      </c>
      <c r="J293" s="6">
        <v>46036</v>
      </c>
      <c r="K293" s="7" t="s">
        <v>1114</v>
      </c>
      <c r="L293" s="7" t="s">
        <v>30</v>
      </c>
    </row>
    <row r="294" customFormat="1" ht="16.5" spans="1:12">
      <c r="A294" s="12">
        <v>292</v>
      </c>
      <c r="B294" s="46" t="s">
        <v>23</v>
      </c>
      <c r="C294" s="46" t="s">
        <v>38</v>
      </c>
      <c r="D294" s="46" t="s">
        <v>148</v>
      </c>
      <c r="E294" s="12" t="s">
        <v>364</v>
      </c>
      <c r="F294" s="7" t="s">
        <v>147</v>
      </c>
      <c r="G294" s="46" t="s">
        <v>1100</v>
      </c>
      <c r="H294" s="46" t="s">
        <v>1089</v>
      </c>
      <c r="I294" s="7" t="s">
        <v>915</v>
      </c>
      <c r="J294" s="6">
        <v>46036</v>
      </c>
      <c r="K294" s="7" t="s">
        <v>1114</v>
      </c>
      <c r="L294" s="7" t="s">
        <v>30</v>
      </c>
    </row>
    <row r="295" customFormat="1" ht="16.5" spans="1:12">
      <c r="A295" s="12">
        <v>293</v>
      </c>
      <c r="B295" s="46" t="s">
        <v>23</v>
      </c>
      <c r="C295" s="46" t="s">
        <v>32</v>
      </c>
      <c r="D295" s="46" t="s">
        <v>105</v>
      </c>
      <c r="E295" s="12" t="s">
        <v>556</v>
      </c>
      <c r="F295" s="7" t="s">
        <v>192</v>
      </c>
      <c r="G295" s="46" t="s">
        <v>1092</v>
      </c>
      <c r="H295" s="46" t="s">
        <v>1089</v>
      </c>
      <c r="I295" s="7" t="s">
        <v>915</v>
      </c>
      <c r="J295" s="6">
        <v>46036</v>
      </c>
      <c r="K295" s="7" t="s">
        <v>1114</v>
      </c>
      <c r="L295" s="7" t="s">
        <v>30</v>
      </c>
    </row>
    <row r="296" customFormat="1" ht="16.5" spans="1:12">
      <c r="A296" s="12">
        <v>294</v>
      </c>
      <c r="B296" s="46" t="s">
        <v>23</v>
      </c>
      <c r="C296" s="46" t="s">
        <v>38</v>
      </c>
      <c r="D296" s="46" t="s">
        <v>148</v>
      </c>
      <c r="E296" s="12" t="s">
        <v>376</v>
      </c>
      <c r="F296" s="7" t="s">
        <v>227</v>
      </c>
      <c r="G296" s="46" t="s">
        <v>1091</v>
      </c>
      <c r="H296" s="46" t="s">
        <v>921</v>
      </c>
      <c r="I296" s="7" t="s">
        <v>915</v>
      </c>
      <c r="J296" s="6">
        <v>46036</v>
      </c>
      <c r="K296" s="7" t="s">
        <v>1114</v>
      </c>
      <c r="L296" s="7" t="s">
        <v>30</v>
      </c>
    </row>
    <row r="297" customFormat="1" ht="16.5" spans="1:12">
      <c r="A297" s="12">
        <v>295</v>
      </c>
      <c r="B297" s="46" t="s">
        <v>23</v>
      </c>
      <c r="C297" s="46" t="s">
        <v>36</v>
      </c>
      <c r="D297" s="46" t="s">
        <v>173</v>
      </c>
      <c r="E297" s="12" t="s">
        <v>309</v>
      </c>
      <c r="F297" s="7" t="s">
        <v>320</v>
      </c>
      <c r="G297" s="46" t="s">
        <v>1085</v>
      </c>
      <c r="H297" s="46" t="s">
        <v>1086</v>
      </c>
      <c r="I297" s="7" t="s">
        <v>915</v>
      </c>
      <c r="J297" s="6">
        <v>46036</v>
      </c>
      <c r="K297" s="7" t="s">
        <v>1114</v>
      </c>
      <c r="L297" s="7" t="s">
        <v>30</v>
      </c>
    </row>
    <row r="298" customFormat="1" ht="16.5" spans="1:12">
      <c r="A298" s="12">
        <v>296</v>
      </c>
      <c r="B298" s="46" t="s">
        <v>23</v>
      </c>
      <c r="C298" s="46" t="s">
        <v>38</v>
      </c>
      <c r="D298" s="46" t="s">
        <v>63</v>
      </c>
      <c r="E298" s="12" t="s">
        <v>129</v>
      </c>
      <c r="F298" s="7" t="s">
        <v>294</v>
      </c>
      <c r="G298" s="46" t="s">
        <v>1112</v>
      </c>
      <c r="H298" s="46" t="s">
        <v>1113</v>
      </c>
      <c r="I298" s="7" t="s">
        <v>915</v>
      </c>
      <c r="J298" s="6">
        <v>46036</v>
      </c>
      <c r="K298" s="7" t="s">
        <v>1114</v>
      </c>
      <c r="L298" s="7" t="s">
        <v>30</v>
      </c>
    </row>
    <row r="299" customFormat="1" ht="16.5" spans="1:12">
      <c r="A299" s="12">
        <v>297</v>
      </c>
      <c r="B299" s="46" t="s">
        <v>23</v>
      </c>
      <c r="C299" s="46" t="s">
        <v>38</v>
      </c>
      <c r="D299" s="46" t="s">
        <v>63</v>
      </c>
      <c r="E299" s="12" t="s">
        <v>494</v>
      </c>
      <c r="F299" s="7" t="s">
        <v>95</v>
      </c>
      <c r="G299" s="46" t="s">
        <v>1096</v>
      </c>
      <c r="H299" s="46" t="s">
        <v>1089</v>
      </c>
      <c r="I299" s="7" t="s">
        <v>915</v>
      </c>
      <c r="J299" s="6">
        <v>46036</v>
      </c>
      <c r="K299" s="7" t="s">
        <v>1114</v>
      </c>
      <c r="L299" s="7" t="s">
        <v>30</v>
      </c>
    </row>
    <row r="300" customFormat="1" ht="16.5" spans="1:12">
      <c r="A300" s="12">
        <v>298</v>
      </c>
      <c r="B300" s="46" t="s">
        <v>23</v>
      </c>
      <c r="C300" s="46" t="s">
        <v>38</v>
      </c>
      <c r="D300" s="46" t="s">
        <v>63</v>
      </c>
      <c r="E300" s="12" t="s">
        <v>602</v>
      </c>
      <c r="F300" s="7" t="s">
        <v>481</v>
      </c>
      <c r="G300" s="46" t="s">
        <v>1099</v>
      </c>
      <c r="H300" s="46" t="s">
        <v>1089</v>
      </c>
      <c r="I300" s="7" t="s">
        <v>915</v>
      </c>
      <c r="J300" s="6">
        <v>46036</v>
      </c>
      <c r="K300" s="7" t="s">
        <v>1114</v>
      </c>
      <c r="L300" s="7" t="s">
        <v>30</v>
      </c>
    </row>
    <row r="301" customFormat="1" ht="16.5" spans="1:12">
      <c r="A301" s="12">
        <v>299</v>
      </c>
      <c r="B301" s="46" t="s">
        <v>23</v>
      </c>
      <c r="C301" s="46" t="s">
        <v>31</v>
      </c>
      <c r="D301" s="46" t="s">
        <v>79</v>
      </c>
      <c r="E301" s="12" t="s">
        <v>189</v>
      </c>
      <c r="F301" s="7" t="s">
        <v>78</v>
      </c>
      <c r="G301" s="46" t="s">
        <v>1103</v>
      </c>
      <c r="H301" s="46" t="s">
        <v>1086</v>
      </c>
      <c r="I301" s="7" t="s">
        <v>915</v>
      </c>
      <c r="J301" s="6">
        <v>46036</v>
      </c>
      <c r="K301" s="7" t="s">
        <v>1114</v>
      </c>
      <c r="L301" s="7" t="s">
        <v>30</v>
      </c>
    </row>
    <row r="302" customFormat="1" ht="16.5" spans="1:12">
      <c r="A302" s="12">
        <v>300</v>
      </c>
      <c r="B302" s="46" t="s">
        <v>23</v>
      </c>
      <c r="C302" s="46" t="s">
        <v>35</v>
      </c>
      <c r="D302" s="46" t="s">
        <v>125</v>
      </c>
      <c r="E302" s="12" t="s">
        <v>417</v>
      </c>
      <c r="F302" s="7" t="s">
        <v>493</v>
      </c>
      <c r="G302" s="46" t="s">
        <v>1102</v>
      </c>
      <c r="H302" s="46" t="s">
        <v>1089</v>
      </c>
      <c r="I302" s="7" t="s">
        <v>915</v>
      </c>
      <c r="J302" s="6">
        <v>46036</v>
      </c>
      <c r="K302" s="7" t="s">
        <v>1114</v>
      </c>
      <c r="L302" s="7" t="s">
        <v>30</v>
      </c>
    </row>
    <row r="303" customFormat="1" ht="16.5" spans="1:12">
      <c r="A303" s="12">
        <v>301</v>
      </c>
      <c r="B303" s="46" t="s">
        <v>23</v>
      </c>
      <c r="C303" s="46" t="s">
        <v>32</v>
      </c>
      <c r="D303" s="46" t="s">
        <v>105</v>
      </c>
      <c r="E303" s="12" t="s">
        <v>556</v>
      </c>
      <c r="F303" s="7" t="s">
        <v>165</v>
      </c>
      <c r="G303" s="46" t="s">
        <v>1095</v>
      </c>
      <c r="H303" s="46" t="s">
        <v>921</v>
      </c>
      <c r="I303" s="7" t="s">
        <v>915</v>
      </c>
      <c r="J303" s="6">
        <v>46036</v>
      </c>
      <c r="K303" s="7" t="s">
        <v>1114</v>
      </c>
      <c r="L303" s="7" t="s">
        <v>30</v>
      </c>
    </row>
    <row r="304" customFormat="1" ht="16.5" spans="1:12">
      <c r="A304" s="12">
        <v>302</v>
      </c>
      <c r="B304" s="46" t="s">
        <v>23</v>
      </c>
      <c r="C304" s="46" t="s">
        <v>38</v>
      </c>
      <c r="D304" s="46" t="s">
        <v>63</v>
      </c>
      <c r="E304" s="12" t="s">
        <v>380</v>
      </c>
      <c r="F304" s="7" t="s">
        <v>253</v>
      </c>
      <c r="G304" s="46" t="s">
        <v>1097</v>
      </c>
      <c r="H304" s="46" t="s">
        <v>1086</v>
      </c>
      <c r="I304" s="7" t="s">
        <v>915</v>
      </c>
      <c r="J304" s="6">
        <v>46036</v>
      </c>
      <c r="K304" s="7" t="s">
        <v>1114</v>
      </c>
      <c r="L304" s="7" t="s">
        <v>30</v>
      </c>
    </row>
    <row r="305" customFormat="1" ht="16.5" spans="1:12">
      <c r="A305" s="12">
        <v>303</v>
      </c>
      <c r="B305" s="46" t="s">
        <v>23</v>
      </c>
      <c r="C305" s="46" t="s">
        <v>35</v>
      </c>
      <c r="D305" s="46" t="s">
        <v>125</v>
      </c>
      <c r="E305" s="12" t="s">
        <v>444</v>
      </c>
      <c r="F305" s="7" t="s">
        <v>584</v>
      </c>
      <c r="G305" s="46" t="s">
        <v>1101</v>
      </c>
      <c r="H305" s="46" t="s">
        <v>1089</v>
      </c>
      <c r="I305" s="7" t="s">
        <v>915</v>
      </c>
      <c r="J305" s="6">
        <v>46036</v>
      </c>
      <c r="K305" s="7" t="s">
        <v>1114</v>
      </c>
      <c r="L305" s="7" t="s">
        <v>30</v>
      </c>
    </row>
    <row r="306" customFormat="1" ht="16.5" spans="1:12">
      <c r="A306" s="12">
        <v>304</v>
      </c>
      <c r="B306" s="46" t="s">
        <v>23</v>
      </c>
      <c r="C306" s="46" t="s">
        <v>37</v>
      </c>
      <c r="D306" s="46" t="s">
        <v>109</v>
      </c>
      <c r="E306" s="12" t="s">
        <v>267</v>
      </c>
      <c r="F306" s="7" t="s">
        <v>251</v>
      </c>
      <c r="G306" s="46" t="s">
        <v>1109</v>
      </c>
      <c r="H306" s="46" t="s">
        <v>1086</v>
      </c>
      <c r="I306" s="7" t="s">
        <v>915</v>
      </c>
      <c r="J306" s="6">
        <v>46036</v>
      </c>
      <c r="K306" s="7" t="s">
        <v>1114</v>
      </c>
      <c r="L306" s="7" t="s">
        <v>30</v>
      </c>
    </row>
    <row r="307" customFormat="1" ht="16.5" spans="1:12">
      <c r="A307" s="12">
        <v>305</v>
      </c>
      <c r="B307" s="46" t="s">
        <v>23</v>
      </c>
      <c r="C307" s="46" t="s">
        <v>37</v>
      </c>
      <c r="D307" s="46" t="s">
        <v>109</v>
      </c>
      <c r="E307" s="12" t="s">
        <v>108</v>
      </c>
      <c r="F307" s="7" t="s">
        <v>203</v>
      </c>
      <c r="G307" s="46" t="s">
        <v>1104</v>
      </c>
      <c r="H307" s="46" t="s">
        <v>1086</v>
      </c>
      <c r="I307" s="7" t="s">
        <v>915</v>
      </c>
      <c r="J307" s="6">
        <v>46036</v>
      </c>
      <c r="K307" s="7" t="s">
        <v>1114</v>
      </c>
      <c r="L307" s="7" t="s">
        <v>30</v>
      </c>
    </row>
    <row r="308" customFormat="1" ht="16.5" spans="1:12">
      <c r="A308" s="12">
        <v>306</v>
      </c>
      <c r="B308" s="46" t="s">
        <v>23</v>
      </c>
      <c r="C308" s="46" t="s">
        <v>31</v>
      </c>
      <c r="D308" s="46" t="s">
        <v>79</v>
      </c>
      <c r="E308" s="12" t="s">
        <v>343</v>
      </c>
      <c r="F308" s="7" t="s">
        <v>245</v>
      </c>
      <c r="G308" s="46" t="s">
        <v>1105</v>
      </c>
      <c r="H308" s="46" t="s">
        <v>1086</v>
      </c>
      <c r="I308" s="7" t="s">
        <v>915</v>
      </c>
      <c r="J308" s="6">
        <v>46036</v>
      </c>
      <c r="K308" s="7" t="s">
        <v>1114</v>
      </c>
      <c r="L308" s="7" t="s">
        <v>30</v>
      </c>
    </row>
    <row r="309" customFormat="1" ht="16.5" spans="1:12">
      <c r="A309" s="12">
        <v>307</v>
      </c>
      <c r="B309" s="46" t="s">
        <v>23</v>
      </c>
      <c r="C309" s="46" t="s">
        <v>32</v>
      </c>
      <c r="D309" s="46" t="s">
        <v>105</v>
      </c>
      <c r="E309" s="12" t="s">
        <v>104</v>
      </c>
      <c r="F309" s="7" t="s">
        <v>1106</v>
      </c>
      <c r="G309" s="46" t="s">
        <v>1107</v>
      </c>
      <c r="H309" s="46" t="s">
        <v>909</v>
      </c>
      <c r="I309" s="7" t="s">
        <v>915</v>
      </c>
      <c r="J309" s="6">
        <v>46036</v>
      </c>
      <c r="K309" s="7" t="s">
        <v>1114</v>
      </c>
      <c r="L309" s="7" t="s">
        <v>30</v>
      </c>
    </row>
    <row r="310" customFormat="1" ht="16.5" spans="1:12">
      <c r="A310" s="12">
        <v>308</v>
      </c>
      <c r="B310" s="46" t="s">
        <v>23</v>
      </c>
      <c r="C310" s="46" t="s">
        <v>37</v>
      </c>
      <c r="D310" s="46" t="s">
        <v>109</v>
      </c>
      <c r="E310" s="12" t="s">
        <v>451</v>
      </c>
      <c r="F310" s="7" t="s">
        <v>237</v>
      </c>
      <c r="G310" s="46" t="s">
        <v>1108</v>
      </c>
      <c r="H310" s="46" t="s">
        <v>1086</v>
      </c>
      <c r="I310" s="7" t="s">
        <v>915</v>
      </c>
      <c r="J310" s="6">
        <v>46036</v>
      </c>
      <c r="K310" s="7" t="s">
        <v>1114</v>
      </c>
      <c r="L310" s="7" t="s">
        <v>30</v>
      </c>
    </row>
    <row r="311" customFormat="1" ht="16.5" spans="1:12">
      <c r="A311" s="12">
        <v>309</v>
      </c>
      <c r="B311" s="46" t="s">
        <v>23</v>
      </c>
      <c r="C311" s="46" t="s">
        <v>35</v>
      </c>
      <c r="D311" s="46" t="s">
        <v>125</v>
      </c>
      <c r="E311" s="12" t="s">
        <v>605</v>
      </c>
      <c r="F311" s="7" t="s">
        <v>463</v>
      </c>
      <c r="G311" s="46" t="s">
        <v>1088</v>
      </c>
      <c r="H311" s="46" t="s">
        <v>1089</v>
      </c>
      <c r="I311" s="7" t="s">
        <v>915</v>
      </c>
      <c r="J311" s="6">
        <v>46036</v>
      </c>
      <c r="K311" s="7" t="s">
        <v>1116</v>
      </c>
      <c r="L311" s="7" t="s">
        <v>30</v>
      </c>
    </row>
    <row r="312" customFormat="1" ht="16.5" spans="1:12">
      <c r="A312" s="12">
        <v>310</v>
      </c>
      <c r="B312" s="46" t="s">
        <v>23</v>
      </c>
      <c r="C312" s="46" t="s">
        <v>38</v>
      </c>
      <c r="D312" s="46" t="s">
        <v>168</v>
      </c>
      <c r="E312" s="12" t="s">
        <v>430</v>
      </c>
      <c r="F312" s="7" t="s">
        <v>205</v>
      </c>
      <c r="G312" s="46" t="s">
        <v>1094</v>
      </c>
      <c r="H312" s="46" t="s">
        <v>1089</v>
      </c>
      <c r="I312" s="7" t="s">
        <v>915</v>
      </c>
      <c r="J312" s="6">
        <v>46036</v>
      </c>
      <c r="K312" s="7" t="s">
        <v>1116</v>
      </c>
      <c r="L312" s="7" t="s">
        <v>30</v>
      </c>
    </row>
    <row r="313" customFormat="1" ht="16.5" spans="1:12">
      <c r="A313" s="12">
        <v>311</v>
      </c>
      <c r="B313" s="46" t="s">
        <v>23</v>
      </c>
      <c r="C313" s="46" t="s">
        <v>38</v>
      </c>
      <c r="D313" s="46" t="s">
        <v>220</v>
      </c>
      <c r="E313" s="12" t="s">
        <v>427</v>
      </c>
      <c r="F313" s="7" t="s">
        <v>540</v>
      </c>
      <c r="G313" s="46" t="s">
        <v>1093</v>
      </c>
      <c r="H313" s="46" t="s">
        <v>1089</v>
      </c>
      <c r="I313" s="7" t="s">
        <v>915</v>
      </c>
      <c r="J313" s="6">
        <v>46036</v>
      </c>
      <c r="K313" s="7" t="s">
        <v>1116</v>
      </c>
      <c r="L313" s="7" t="s">
        <v>30</v>
      </c>
    </row>
    <row r="314" customFormat="1" ht="16.5" spans="1:12">
      <c r="A314" s="12">
        <v>312</v>
      </c>
      <c r="B314" s="46" t="s">
        <v>23</v>
      </c>
      <c r="C314" s="46" t="s">
        <v>38</v>
      </c>
      <c r="D314" s="46" t="s">
        <v>148</v>
      </c>
      <c r="E314" s="12" t="s">
        <v>364</v>
      </c>
      <c r="F314" s="7" t="s">
        <v>147</v>
      </c>
      <c r="G314" s="46" t="s">
        <v>1100</v>
      </c>
      <c r="H314" s="46" t="s">
        <v>1089</v>
      </c>
      <c r="I314" s="7" t="s">
        <v>915</v>
      </c>
      <c r="J314" s="6">
        <v>46036</v>
      </c>
      <c r="K314" s="7" t="s">
        <v>1116</v>
      </c>
      <c r="L314" s="7" t="s">
        <v>30</v>
      </c>
    </row>
    <row r="315" customFormat="1" ht="16.5" spans="1:12">
      <c r="A315" s="12">
        <v>313</v>
      </c>
      <c r="B315" s="46" t="s">
        <v>23</v>
      </c>
      <c r="C315" s="46" t="s">
        <v>32</v>
      </c>
      <c r="D315" s="46" t="s">
        <v>105</v>
      </c>
      <c r="E315" s="12" t="s">
        <v>556</v>
      </c>
      <c r="F315" s="7" t="s">
        <v>192</v>
      </c>
      <c r="G315" s="46" t="s">
        <v>1092</v>
      </c>
      <c r="H315" s="46" t="s">
        <v>1089</v>
      </c>
      <c r="I315" s="7" t="s">
        <v>915</v>
      </c>
      <c r="J315" s="6">
        <v>46036</v>
      </c>
      <c r="K315" s="7" t="s">
        <v>1116</v>
      </c>
      <c r="L315" s="7" t="s">
        <v>30</v>
      </c>
    </row>
    <row r="316" customFormat="1" ht="16.5" spans="1:12">
      <c r="A316" s="12">
        <v>314</v>
      </c>
      <c r="B316" s="46" t="s">
        <v>23</v>
      </c>
      <c r="C316" s="46" t="s">
        <v>38</v>
      </c>
      <c r="D316" s="46" t="s">
        <v>148</v>
      </c>
      <c r="E316" s="12" t="s">
        <v>376</v>
      </c>
      <c r="F316" s="7" t="s">
        <v>227</v>
      </c>
      <c r="G316" s="46" t="s">
        <v>1091</v>
      </c>
      <c r="H316" s="46" t="s">
        <v>921</v>
      </c>
      <c r="I316" s="7" t="s">
        <v>915</v>
      </c>
      <c r="J316" s="6">
        <v>46036</v>
      </c>
      <c r="K316" s="7" t="s">
        <v>1116</v>
      </c>
      <c r="L316" s="7" t="s">
        <v>30</v>
      </c>
    </row>
    <row r="317" customFormat="1" ht="16.5" spans="1:12">
      <c r="A317" s="12">
        <v>315</v>
      </c>
      <c r="B317" s="46" t="s">
        <v>23</v>
      </c>
      <c r="C317" s="46" t="s">
        <v>36</v>
      </c>
      <c r="D317" s="46" t="s">
        <v>173</v>
      </c>
      <c r="E317" s="12" t="s">
        <v>309</v>
      </c>
      <c r="F317" s="7" t="s">
        <v>320</v>
      </c>
      <c r="G317" s="46" t="s">
        <v>1085</v>
      </c>
      <c r="H317" s="46" t="s">
        <v>1086</v>
      </c>
      <c r="I317" s="7" t="s">
        <v>915</v>
      </c>
      <c r="J317" s="6">
        <v>46036</v>
      </c>
      <c r="K317" s="7" t="s">
        <v>1116</v>
      </c>
      <c r="L317" s="7" t="s">
        <v>30</v>
      </c>
    </row>
    <row r="318" customFormat="1" ht="16.5" spans="1:12">
      <c r="A318" s="12">
        <v>316</v>
      </c>
      <c r="B318" s="46" t="s">
        <v>23</v>
      </c>
      <c r="C318" s="46" t="s">
        <v>38</v>
      </c>
      <c r="D318" s="46" t="s">
        <v>63</v>
      </c>
      <c r="E318" s="12" t="s">
        <v>129</v>
      </c>
      <c r="F318" s="7" t="s">
        <v>294</v>
      </c>
      <c r="G318" s="46" t="s">
        <v>1112</v>
      </c>
      <c r="H318" s="46" t="s">
        <v>1113</v>
      </c>
      <c r="I318" s="7" t="s">
        <v>915</v>
      </c>
      <c r="J318" s="6">
        <v>46036</v>
      </c>
      <c r="K318" s="7" t="s">
        <v>1116</v>
      </c>
      <c r="L318" s="7" t="s">
        <v>30</v>
      </c>
    </row>
    <row r="319" customFormat="1" ht="16.5" spans="1:12">
      <c r="A319" s="12">
        <v>317</v>
      </c>
      <c r="B319" s="46" t="s">
        <v>23</v>
      </c>
      <c r="C319" s="46" t="s">
        <v>38</v>
      </c>
      <c r="D319" s="46" t="s">
        <v>63</v>
      </c>
      <c r="E319" s="12" t="s">
        <v>494</v>
      </c>
      <c r="F319" s="7" t="s">
        <v>95</v>
      </c>
      <c r="G319" s="46" t="s">
        <v>1096</v>
      </c>
      <c r="H319" s="46" t="s">
        <v>1089</v>
      </c>
      <c r="I319" s="7" t="s">
        <v>915</v>
      </c>
      <c r="J319" s="6">
        <v>46036</v>
      </c>
      <c r="K319" s="7" t="s">
        <v>1116</v>
      </c>
      <c r="L319" s="7" t="s">
        <v>30</v>
      </c>
    </row>
    <row r="320" customFormat="1" ht="16.5" spans="1:12">
      <c r="A320" s="12">
        <v>318</v>
      </c>
      <c r="B320" s="46" t="s">
        <v>23</v>
      </c>
      <c r="C320" s="46" t="s">
        <v>38</v>
      </c>
      <c r="D320" s="46" t="s">
        <v>63</v>
      </c>
      <c r="E320" s="12" t="s">
        <v>602</v>
      </c>
      <c r="F320" s="7" t="s">
        <v>481</v>
      </c>
      <c r="G320" s="46" t="s">
        <v>1099</v>
      </c>
      <c r="H320" s="46" t="s">
        <v>1089</v>
      </c>
      <c r="I320" s="7" t="s">
        <v>915</v>
      </c>
      <c r="J320" s="6">
        <v>46036</v>
      </c>
      <c r="K320" s="7" t="s">
        <v>1116</v>
      </c>
      <c r="L320" s="7" t="s">
        <v>30</v>
      </c>
    </row>
    <row r="321" customFormat="1" ht="16.5" spans="1:12">
      <c r="A321" s="12">
        <v>319</v>
      </c>
      <c r="B321" s="46" t="s">
        <v>23</v>
      </c>
      <c r="C321" s="46" t="s">
        <v>31</v>
      </c>
      <c r="D321" s="46" t="s">
        <v>79</v>
      </c>
      <c r="E321" s="12" t="s">
        <v>189</v>
      </c>
      <c r="F321" s="7" t="s">
        <v>78</v>
      </c>
      <c r="G321" s="46" t="s">
        <v>1103</v>
      </c>
      <c r="H321" s="46" t="s">
        <v>1086</v>
      </c>
      <c r="I321" s="7" t="s">
        <v>915</v>
      </c>
      <c r="J321" s="6">
        <v>46036</v>
      </c>
      <c r="K321" s="7" t="s">
        <v>1116</v>
      </c>
      <c r="L321" s="7" t="s">
        <v>30</v>
      </c>
    </row>
    <row r="322" customFormat="1" ht="16.5" spans="1:12">
      <c r="A322" s="12">
        <v>320</v>
      </c>
      <c r="B322" s="46" t="s">
        <v>23</v>
      </c>
      <c r="C322" s="46" t="s">
        <v>35</v>
      </c>
      <c r="D322" s="46" t="s">
        <v>125</v>
      </c>
      <c r="E322" s="12" t="s">
        <v>417</v>
      </c>
      <c r="F322" s="7" t="s">
        <v>493</v>
      </c>
      <c r="G322" s="46" t="s">
        <v>1102</v>
      </c>
      <c r="H322" s="46" t="s">
        <v>1089</v>
      </c>
      <c r="I322" s="7" t="s">
        <v>915</v>
      </c>
      <c r="J322" s="6">
        <v>46036</v>
      </c>
      <c r="K322" s="7" t="s">
        <v>1116</v>
      </c>
      <c r="L322" s="7" t="s">
        <v>30</v>
      </c>
    </row>
    <row r="323" customFormat="1" ht="16.5" spans="1:12">
      <c r="A323" s="12">
        <v>321</v>
      </c>
      <c r="B323" s="46" t="s">
        <v>23</v>
      </c>
      <c r="C323" s="46" t="s">
        <v>32</v>
      </c>
      <c r="D323" s="46" t="s">
        <v>105</v>
      </c>
      <c r="E323" s="12" t="s">
        <v>556</v>
      </c>
      <c r="F323" s="7" t="s">
        <v>165</v>
      </c>
      <c r="G323" s="46" t="s">
        <v>1095</v>
      </c>
      <c r="H323" s="46" t="s">
        <v>921</v>
      </c>
      <c r="I323" s="7" t="s">
        <v>915</v>
      </c>
      <c r="J323" s="6">
        <v>46036</v>
      </c>
      <c r="K323" s="7" t="s">
        <v>1116</v>
      </c>
      <c r="L323" s="7" t="s">
        <v>30</v>
      </c>
    </row>
    <row r="324" customFormat="1" ht="16.5" spans="1:12">
      <c r="A324" s="12">
        <v>322</v>
      </c>
      <c r="B324" s="46" t="s">
        <v>23</v>
      </c>
      <c r="C324" s="46" t="s">
        <v>38</v>
      </c>
      <c r="D324" s="46" t="s">
        <v>63</v>
      </c>
      <c r="E324" s="12" t="s">
        <v>380</v>
      </c>
      <c r="F324" s="7" t="s">
        <v>253</v>
      </c>
      <c r="G324" s="46" t="s">
        <v>1097</v>
      </c>
      <c r="H324" s="46" t="s">
        <v>1086</v>
      </c>
      <c r="I324" s="7" t="s">
        <v>915</v>
      </c>
      <c r="J324" s="6">
        <v>46036</v>
      </c>
      <c r="K324" s="7" t="s">
        <v>1116</v>
      </c>
      <c r="L324" s="7" t="s">
        <v>30</v>
      </c>
    </row>
    <row r="325" customFormat="1" ht="16.5" spans="1:12">
      <c r="A325" s="12">
        <v>323</v>
      </c>
      <c r="B325" s="46" t="s">
        <v>23</v>
      </c>
      <c r="C325" s="46" t="s">
        <v>35</v>
      </c>
      <c r="D325" s="46" t="s">
        <v>125</v>
      </c>
      <c r="E325" s="12" t="s">
        <v>444</v>
      </c>
      <c r="F325" s="7" t="s">
        <v>584</v>
      </c>
      <c r="G325" s="46" t="s">
        <v>1101</v>
      </c>
      <c r="H325" s="46" t="s">
        <v>1089</v>
      </c>
      <c r="I325" s="7" t="s">
        <v>915</v>
      </c>
      <c r="J325" s="6">
        <v>46036</v>
      </c>
      <c r="K325" s="7" t="s">
        <v>1116</v>
      </c>
      <c r="L325" s="7" t="s">
        <v>30</v>
      </c>
    </row>
    <row r="326" customFormat="1" ht="16.5" spans="1:12">
      <c r="A326" s="12">
        <v>324</v>
      </c>
      <c r="B326" s="46" t="s">
        <v>23</v>
      </c>
      <c r="C326" s="46" t="s">
        <v>37</v>
      </c>
      <c r="D326" s="46" t="s">
        <v>109</v>
      </c>
      <c r="E326" s="12" t="s">
        <v>267</v>
      </c>
      <c r="F326" s="7" t="s">
        <v>251</v>
      </c>
      <c r="G326" s="46" t="s">
        <v>1109</v>
      </c>
      <c r="H326" s="46" t="s">
        <v>1086</v>
      </c>
      <c r="I326" s="7" t="s">
        <v>915</v>
      </c>
      <c r="J326" s="6">
        <v>46036</v>
      </c>
      <c r="K326" s="7" t="s">
        <v>1116</v>
      </c>
      <c r="L326" s="7" t="s">
        <v>30</v>
      </c>
    </row>
    <row r="327" customFormat="1" ht="16.5" spans="1:12">
      <c r="A327" s="12">
        <v>325</v>
      </c>
      <c r="B327" s="46" t="s">
        <v>23</v>
      </c>
      <c r="C327" s="46" t="s">
        <v>37</v>
      </c>
      <c r="D327" s="46" t="s">
        <v>109</v>
      </c>
      <c r="E327" s="12" t="s">
        <v>108</v>
      </c>
      <c r="F327" s="7" t="s">
        <v>203</v>
      </c>
      <c r="G327" s="46" t="s">
        <v>1104</v>
      </c>
      <c r="H327" s="46" t="s">
        <v>1086</v>
      </c>
      <c r="I327" s="7" t="s">
        <v>915</v>
      </c>
      <c r="J327" s="6">
        <v>46036</v>
      </c>
      <c r="K327" s="7" t="s">
        <v>1116</v>
      </c>
      <c r="L327" s="7" t="s">
        <v>30</v>
      </c>
    </row>
    <row r="328" customFormat="1" ht="16.5" spans="1:12">
      <c r="A328" s="12">
        <v>326</v>
      </c>
      <c r="B328" s="46" t="s">
        <v>23</v>
      </c>
      <c r="C328" s="46" t="s">
        <v>31</v>
      </c>
      <c r="D328" s="46" t="s">
        <v>79</v>
      </c>
      <c r="E328" s="12" t="s">
        <v>343</v>
      </c>
      <c r="F328" s="7" t="s">
        <v>245</v>
      </c>
      <c r="G328" s="46" t="s">
        <v>1105</v>
      </c>
      <c r="H328" s="46" t="s">
        <v>1086</v>
      </c>
      <c r="I328" s="7" t="s">
        <v>915</v>
      </c>
      <c r="J328" s="6">
        <v>46036</v>
      </c>
      <c r="K328" s="7" t="s">
        <v>1116</v>
      </c>
      <c r="L328" s="7" t="s">
        <v>30</v>
      </c>
    </row>
    <row r="329" customFormat="1" ht="16.5" spans="1:12">
      <c r="A329" s="12">
        <v>327</v>
      </c>
      <c r="B329" s="46" t="s">
        <v>23</v>
      </c>
      <c r="C329" s="46" t="s">
        <v>32</v>
      </c>
      <c r="D329" s="46" t="s">
        <v>105</v>
      </c>
      <c r="E329" s="12" t="s">
        <v>104</v>
      </c>
      <c r="F329" s="7" t="s">
        <v>1106</v>
      </c>
      <c r="G329" s="46" t="s">
        <v>1107</v>
      </c>
      <c r="H329" s="46" t="s">
        <v>909</v>
      </c>
      <c r="I329" s="7" t="s">
        <v>915</v>
      </c>
      <c r="J329" s="6">
        <v>46036</v>
      </c>
      <c r="K329" s="7" t="s">
        <v>1116</v>
      </c>
      <c r="L329" s="7" t="s">
        <v>30</v>
      </c>
    </row>
    <row r="330" customFormat="1" ht="16.5" spans="1:12">
      <c r="A330" s="12">
        <v>328</v>
      </c>
      <c r="B330" s="46" t="s">
        <v>23</v>
      </c>
      <c r="C330" s="46" t="s">
        <v>37</v>
      </c>
      <c r="D330" s="46" t="s">
        <v>109</v>
      </c>
      <c r="E330" s="12" t="s">
        <v>451</v>
      </c>
      <c r="F330" s="7" t="s">
        <v>237</v>
      </c>
      <c r="G330" s="46" t="s">
        <v>1108</v>
      </c>
      <c r="H330" s="46" t="s">
        <v>1086</v>
      </c>
      <c r="I330" s="7" t="s">
        <v>915</v>
      </c>
      <c r="J330" s="6">
        <v>46036</v>
      </c>
      <c r="K330" s="7" t="s">
        <v>1116</v>
      </c>
      <c r="L330" s="7" t="s">
        <v>30</v>
      </c>
    </row>
    <row r="331" customFormat="1" ht="16.5" spans="1:12">
      <c r="A331" s="12">
        <v>329</v>
      </c>
      <c r="B331" s="46" t="s">
        <v>23</v>
      </c>
      <c r="C331" s="46" t="s">
        <v>38</v>
      </c>
      <c r="D331" s="46" t="s">
        <v>148</v>
      </c>
      <c r="E331" s="12" t="s">
        <v>82</v>
      </c>
      <c r="F331" s="7" t="s">
        <v>531</v>
      </c>
      <c r="G331" s="46" t="s">
        <v>1087</v>
      </c>
      <c r="H331" s="46" t="s">
        <v>909</v>
      </c>
      <c r="I331" s="7" t="s">
        <v>915</v>
      </c>
      <c r="J331" s="6">
        <v>46036</v>
      </c>
      <c r="K331" s="7" t="s">
        <v>1116</v>
      </c>
      <c r="L331" s="7" t="s">
        <v>30</v>
      </c>
    </row>
    <row r="332" ht="16.5" spans="1:12">
      <c r="A332" s="12">
        <v>330</v>
      </c>
      <c r="B332" s="46" t="s">
        <v>23</v>
      </c>
      <c r="C332" s="46" t="s">
        <v>38</v>
      </c>
      <c r="D332" s="46" t="s">
        <v>70</v>
      </c>
      <c r="E332" s="12" t="s">
        <v>82</v>
      </c>
      <c r="F332" s="7" t="s">
        <v>531</v>
      </c>
      <c r="G332" s="46" t="s">
        <v>1087</v>
      </c>
      <c r="H332" s="46" t="s">
        <v>1089</v>
      </c>
      <c r="I332" s="7" t="s">
        <v>915</v>
      </c>
      <c r="J332" s="6">
        <v>46050</v>
      </c>
      <c r="K332" s="7" t="s">
        <v>1117</v>
      </c>
      <c r="L332" s="7" t="s">
        <v>30</v>
      </c>
    </row>
    <row r="333" ht="16.5" spans="1:12">
      <c r="A333" s="12">
        <v>331</v>
      </c>
      <c r="B333" s="46" t="s">
        <v>23</v>
      </c>
      <c r="C333" s="46" t="s">
        <v>35</v>
      </c>
      <c r="D333" s="46" t="s">
        <v>125</v>
      </c>
      <c r="E333" s="12" t="s">
        <v>605</v>
      </c>
      <c r="F333" s="7" t="s">
        <v>463</v>
      </c>
      <c r="G333" s="46" t="s">
        <v>1088</v>
      </c>
      <c r="H333" s="46" t="s">
        <v>1089</v>
      </c>
      <c r="I333" s="7" t="s">
        <v>915</v>
      </c>
      <c r="J333" s="6">
        <v>46050</v>
      </c>
      <c r="K333" s="7" t="s">
        <v>1117</v>
      </c>
      <c r="L333" s="7" t="s">
        <v>30</v>
      </c>
    </row>
    <row r="334" ht="16.5" spans="1:12">
      <c r="A334" s="12">
        <v>332</v>
      </c>
      <c r="B334" s="46" t="s">
        <v>23</v>
      </c>
      <c r="C334" s="46" t="s">
        <v>38</v>
      </c>
      <c r="D334" s="46" t="s">
        <v>168</v>
      </c>
      <c r="E334" s="12" t="s">
        <v>430</v>
      </c>
      <c r="F334" s="7" t="s">
        <v>205</v>
      </c>
      <c r="G334" s="46" t="s">
        <v>1094</v>
      </c>
      <c r="H334" s="46" t="s">
        <v>1089</v>
      </c>
      <c r="I334" s="7" t="s">
        <v>915</v>
      </c>
      <c r="J334" s="6">
        <v>46050</v>
      </c>
      <c r="K334" s="7" t="s">
        <v>1117</v>
      </c>
      <c r="L334" s="7" t="s">
        <v>30</v>
      </c>
    </row>
    <row r="335" ht="16.5" spans="1:12">
      <c r="A335" s="12">
        <v>333</v>
      </c>
      <c r="B335" s="46" t="s">
        <v>23</v>
      </c>
      <c r="C335" s="46" t="s">
        <v>38</v>
      </c>
      <c r="D335" s="46" t="s">
        <v>220</v>
      </c>
      <c r="E335" s="12" t="s">
        <v>427</v>
      </c>
      <c r="F335" s="7" t="s">
        <v>540</v>
      </c>
      <c r="G335" s="46" t="s">
        <v>1093</v>
      </c>
      <c r="H335" s="46" t="s">
        <v>1089</v>
      </c>
      <c r="I335" s="7" t="s">
        <v>915</v>
      </c>
      <c r="J335" s="6">
        <v>46050</v>
      </c>
      <c r="K335" s="7" t="s">
        <v>1117</v>
      </c>
      <c r="L335" s="7" t="s">
        <v>30</v>
      </c>
    </row>
    <row r="336" ht="16.5" spans="1:12">
      <c r="A336" s="12">
        <v>334</v>
      </c>
      <c r="B336" s="46" t="s">
        <v>23</v>
      </c>
      <c r="C336" s="46" t="s">
        <v>38</v>
      </c>
      <c r="D336" s="46" t="s">
        <v>148</v>
      </c>
      <c r="E336" s="12" t="s">
        <v>364</v>
      </c>
      <c r="F336" s="7" t="s">
        <v>147</v>
      </c>
      <c r="G336" s="46" t="s">
        <v>1100</v>
      </c>
      <c r="H336" s="46" t="s">
        <v>1089</v>
      </c>
      <c r="I336" s="7" t="s">
        <v>915</v>
      </c>
      <c r="J336" s="6">
        <v>46050</v>
      </c>
      <c r="K336" s="7" t="s">
        <v>1117</v>
      </c>
      <c r="L336" s="7" t="s">
        <v>30</v>
      </c>
    </row>
    <row r="337" ht="16.5" spans="1:12">
      <c r="A337" s="12">
        <v>335</v>
      </c>
      <c r="B337" s="46" t="s">
        <v>23</v>
      </c>
      <c r="C337" s="46" t="s">
        <v>32</v>
      </c>
      <c r="D337" s="46" t="s">
        <v>105</v>
      </c>
      <c r="E337" s="12" t="s">
        <v>556</v>
      </c>
      <c r="F337" s="7" t="s">
        <v>192</v>
      </c>
      <c r="G337" s="46" t="s">
        <v>1092</v>
      </c>
      <c r="H337" s="46" t="s">
        <v>1089</v>
      </c>
      <c r="I337" s="7" t="s">
        <v>915</v>
      </c>
      <c r="J337" s="6">
        <v>46050</v>
      </c>
      <c r="K337" s="7" t="s">
        <v>1117</v>
      </c>
      <c r="L337" s="7" t="s">
        <v>30</v>
      </c>
    </row>
    <row r="338" ht="16.5" spans="1:12">
      <c r="A338" s="12">
        <v>336</v>
      </c>
      <c r="B338" s="46" t="s">
        <v>23</v>
      </c>
      <c r="C338" s="46" t="s">
        <v>38</v>
      </c>
      <c r="D338" s="46" t="s">
        <v>148</v>
      </c>
      <c r="E338" s="12" t="s">
        <v>376</v>
      </c>
      <c r="F338" s="7" t="s">
        <v>227</v>
      </c>
      <c r="G338" s="46" t="s">
        <v>1091</v>
      </c>
      <c r="H338" s="46" t="s">
        <v>1089</v>
      </c>
      <c r="I338" s="7" t="s">
        <v>915</v>
      </c>
      <c r="J338" s="6">
        <v>46050</v>
      </c>
      <c r="K338" s="7" t="s">
        <v>1117</v>
      </c>
      <c r="L338" s="7" t="s">
        <v>30</v>
      </c>
    </row>
    <row r="339" ht="16.5" spans="1:12">
      <c r="A339" s="12">
        <v>337</v>
      </c>
      <c r="B339" s="46" t="s">
        <v>23</v>
      </c>
      <c r="C339" s="46" t="s">
        <v>36</v>
      </c>
      <c r="D339" s="46" t="s">
        <v>173</v>
      </c>
      <c r="E339" s="12" t="s">
        <v>309</v>
      </c>
      <c r="F339" s="7" t="s">
        <v>320</v>
      </c>
      <c r="G339" s="46" t="s">
        <v>1085</v>
      </c>
      <c r="H339" s="46" t="s">
        <v>1089</v>
      </c>
      <c r="I339" s="7" t="s">
        <v>915</v>
      </c>
      <c r="J339" s="6">
        <v>46050</v>
      </c>
      <c r="K339" s="7" t="s">
        <v>1117</v>
      </c>
      <c r="L339" s="7" t="s">
        <v>30</v>
      </c>
    </row>
    <row r="340" ht="16.5" spans="1:12">
      <c r="A340" s="12">
        <v>338</v>
      </c>
      <c r="B340" s="46" t="s">
        <v>23</v>
      </c>
      <c r="C340" s="46" t="s">
        <v>38</v>
      </c>
      <c r="D340" s="46" t="s">
        <v>63</v>
      </c>
      <c r="E340" s="12" t="s">
        <v>129</v>
      </c>
      <c r="F340" s="7" t="s">
        <v>294</v>
      </c>
      <c r="G340" s="46" t="s">
        <v>1112</v>
      </c>
      <c r="H340" s="46" t="s">
        <v>1113</v>
      </c>
      <c r="I340" s="7" t="s">
        <v>915</v>
      </c>
      <c r="J340" s="6">
        <v>46050</v>
      </c>
      <c r="K340" s="7" t="s">
        <v>1117</v>
      </c>
      <c r="L340" s="7" t="s">
        <v>30</v>
      </c>
    </row>
    <row r="341" ht="16.5" spans="1:12">
      <c r="A341" s="12">
        <v>339</v>
      </c>
      <c r="B341" s="46" t="s">
        <v>23</v>
      </c>
      <c r="C341" s="46" t="s">
        <v>38</v>
      </c>
      <c r="D341" s="46" t="s">
        <v>63</v>
      </c>
      <c r="E341" s="12" t="s">
        <v>494</v>
      </c>
      <c r="F341" s="7" t="s">
        <v>95</v>
      </c>
      <c r="G341" s="46" t="s">
        <v>1096</v>
      </c>
      <c r="H341" s="46" t="s">
        <v>1089</v>
      </c>
      <c r="I341" s="7" t="s">
        <v>915</v>
      </c>
      <c r="J341" s="6">
        <v>46050</v>
      </c>
      <c r="K341" s="7" t="s">
        <v>1117</v>
      </c>
      <c r="L341" s="7" t="s">
        <v>30</v>
      </c>
    </row>
    <row r="342" ht="16.5" spans="1:12">
      <c r="A342" s="12">
        <v>340</v>
      </c>
      <c r="B342" s="46" t="s">
        <v>23</v>
      </c>
      <c r="C342" s="46" t="s">
        <v>38</v>
      </c>
      <c r="D342" s="46" t="s">
        <v>63</v>
      </c>
      <c r="E342" s="12" t="s">
        <v>602</v>
      </c>
      <c r="F342" s="7" t="s">
        <v>481</v>
      </c>
      <c r="G342" s="46" t="s">
        <v>1099</v>
      </c>
      <c r="H342" s="46" t="s">
        <v>1089</v>
      </c>
      <c r="I342" s="7" t="s">
        <v>915</v>
      </c>
      <c r="J342" s="6">
        <v>46050</v>
      </c>
      <c r="K342" s="7" t="s">
        <v>1117</v>
      </c>
      <c r="L342" s="7" t="s">
        <v>30</v>
      </c>
    </row>
    <row r="343" ht="16.5" spans="1:12">
      <c r="A343" s="12">
        <v>341</v>
      </c>
      <c r="B343" s="46" t="s">
        <v>23</v>
      </c>
      <c r="C343" s="46" t="s">
        <v>31</v>
      </c>
      <c r="D343" s="46" t="s">
        <v>79</v>
      </c>
      <c r="E343" s="12" t="s">
        <v>189</v>
      </c>
      <c r="F343" s="7" t="s">
        <v>78</v>
      </c>
      <c r="G343" s="46" t="s">
        <v>1103</v>
      </c>
      <c r="H343" s="46" t="s">
        <v>1089</v>
      </c>
      <c r="I343" s="7" t="s">
        <v>915</v>
      </c>
      <c r="J343" s="6">
        <v>46050</v>
      </c>
      <c r="K343" s="7" t="s">
        <v>1117</v>
      </c>
      <c r="L343" s="7" t="s">
        <v>30</v>
      </c>
    </row>
    <row r="344" ht="16.5" spans="1:12">
      <c r="A344" s="12">
        <v>342</v>
      </c>
      <c r="B344" s="46" t="s">
        <v>23</v>
      </c>
      <c r="C344" s="46" t="s">
        <v>35</v>
      </c>
      <c r="D344" s="46" t="s">
        <v>125</v>
      </c>
      <c r="E344" s="12" t="s">
        <v>417</v>
      </c>
      <c r="F344" s="7" t="s">
        <v>493</v>
      </c>
      <c r="G344" s="46" t="s">
        <v>1102</v>
      </c>
      <c r="H344" s="46" t="s">
        <v>1089</v>
      </c>
      <c r="I344" s="7" t="s">
        <v>915</v>
      </c>
      <c r="J344" s="6">
        <v>46050</v>
      </c>
      <c r="K344" s="7" t="s">
        <v>1117</v>
      </c>
      <c r="L344" s="7" t="s">
        <v>30</v>
      </c>
    </row>
    <row r="345" ht="16.5" spans="1:12">
      <c r="A345" s="12">
        <v>343</v>
      </c>
      <c r="B345" s="46" t="s">
        <v>23</v>
      </c>
      <c r="C345" s="46" t="s">
        <v>32</v>
      </c>
      <c r="D345" s="46" t="s">
        <v>105</v>
      </c>
      <c r="E345" s="12" t="s">
        <v>556</v>
      </c>
      <c r="F345" s="7" t="s">
        <v>165</v>
      </c>
      <c r="G345" s="46" t="s">
        <v>1095</v>
      </c>
      <c r="H345" s="46" t="s">
        <v>1089</v>
      </c>
      <c r="I345" s="7" t="s">
        <v>915</v>
      </c>
      <c r="J345" s="6">
        <v>46050</v>
      </c>
      <c r="K345" s="7" t="s">
        <v>1117</v>
      </c>
      <c r="L345" s="7" t="s">
        <v>30</v>
      </c>
    </row>
    <row r="346" ht="16.5" spans="1:12">
      <c r="A346" s="12">
        <v>344</v>
      </c>
      <c r="B346" s="46" t="s">
        <v>23</v>
      </c>
      <c r="C346" s="46" t="s">
        <v>29</v>
      </c>
      <c r="D346" s="46" t="s">
        <v>130</v>
      </c>
      <c r="E346" s="12" t="s">
        <v>380</v>
      </c>
      <c r="F346" s="7" t="s">
        <v>253</v>
      </c>
      <c r="G346" s="46" t="s">
        <v>1097</v>
      </c>
      <c r="H346" s="46" t="s">
        <v>1089</v>
      </c>
      <c r="I346" s="7" t="s">
        <v>915</v>
      </c>
      <c r="J346" s="6">
        <v>46050</v>
      </c>
      <c r="K346" s="7" t="s">
        <v>1117</v>
      </c>
      <c r="L346" s="7" t="s">
        <v>30</v>
      </c>
    </row>
    <row r="347" ht="16.5" spans="1:12">
      <c r="A347" s="12">
        <v>345</v>
      </c>
      <c r="B347" s="46" t="s">
        <v>23</v>
      </c>
      <c r="C347" s="46" t="s">
        <v>35</v>
      </c>
      <c r="D347" s="46" t="s">
        <v>125</v>
      </c>
      <c r="E347" s="12" t="s">
        <v>444</v>
      </c>
      <c r="F347" s="7" t="s">
        <v>584</v>
      </c>
      <c r="G347" s="46" t="s">
        <v>1101</v>
      </c>
      <c r="H347" s="46" t="s">
        <v>1089</v>
      </c>
      <c r="I347" s="7" t="s">
        <v>915</v>
      </c>
      <c r="J347" s="6">
        <v>46050</v>
      </c>
      <c r="K347" s="7" t="s">
        <v>1117</v>
      </c>
      <c r="L347" s="7" t="s">
        <v>30</v>
      </c>
    </row>
    <row r="348" ht="16.5" spans="1:12">
      <c r="A348" s="12">
        <v>346</v>
      </c>
      <c r="B348" s="46" t="s">
        <v>23</v>
      </c>
      <c r="C348" s="46" t="s">
        <v>37</v>
      </c>
      <c r="D348" s="46" t="s">
        <v>152</v>
      </c>
      <c r="E348" s="12" t="s">
        <v>267</v>
      </c>
      <c r="F348" s="7" t="s">
        <v>251</v>
      </c>
      <c r="G348" s="46" t="s">
        <v>1109</v>
      </c>
      <c r="H348" s="46" t="s">
        <v>1089</v>
      </c>
      <c r="I348" s="7" t="s">
        <v>915</v>
      </c>
      <c r="J348" s="6">
        <v>46050</v>
      </c>
      <c r="K348" s="7" t="s">
        <v>1117</v>
      </c>
      <c r="L348" s="7" t="s">
        <v>30</v>
      </c>
    </row>
    <row r="349" ht="16.5" spans="1:12">
      <c r="A349" s="12">
        <v>347</v>
      </c>
      <c r="B349" s="46" t="s">
        <v>23</v>
      </c>
      <c r="C349" s="46" t="s">
        <v>37</v>
      </c>
      <c r="D349" s="46" t="s">
        <v>109</v>
      </c>
      <c r="E349" s="12" t="s">
        <v>108</v>
      </c>
      <c r="F349" s="7" t="s">
        <v>203</v>
      </c>
      <c r="G349" s="46" t="s">
        <v>1104</v>
      </c>
      <c r="H349" s="46" t="s">
        <v>1089</v>
      </c>
      <c r="I349" s="7" t="s">
        <v>915</v>
      </c>
      <c r="J349" s="6">
        <v>46050</v>
      </c>
      <c r="K349" s="7" t="s">
        <v>1117</v>
      </c>
      <c r="L349" s="7" t="s">
        <v>30</v>
      </c>
    </row>
    <row r="350" ht="16.5" spans="1:12">
      <c r="A350" s="12">
        <v>348</v>
      </c>
      <c r="B350" s="46" t="s">
        <v>23</v>
      </c>
      <c r="C350" s="46" t="s">
        <v>31</v>
      </c>
      <c r="D350" s="46" t="s">
        <v>79</v>
      </c>
      <c r="E350" s="12" t="s">
        <v>343</v>
      </c>
      <c r="F350" s="7" t="s">
        <v>245</v>
      </c>
      <c r="G350" s="46" t="s">
        <v>1105</v>
      </c>
      <c r="H350" s="46" t="s">
        <v>1089</v>
      </c>
      <c r="I350" s="7" t="s">
        <v>915</v>
      </c>
      <c r="J350" s="6">
        <v>46050</v>
      </c>
      <c r="K350" s="7" t="s">
        <v>1117</v>
      </c>
      <c r="L350" s="7" t="s">
        <v>30</v>
      </c>
    </row>
    <row r="351" ht="16.5" spans="1:12">
      <c r="A351" s="12">
        <v>349</v>
      </c>
      <c r="B351" s="46" t="s">
        <v>23</v>
      </c>
      <c r="C351" s="46" t="s">
        <v>32</v>
      </c>
      <c r="D351" s="46" t="s">
        <v>105</v>
      </c>
      <c r="E351" s="12" t="s">
        <v>104</v>
      </c>
      <c r="F351" s="7" t="s">
        <v>1106</v>
      </c>
      <c r="G351" s="46" t="s">
        <v>1107</v>
      </c>
      <c r="H351" s="46" t="s">
        <v>909</v>
      </c>
      <c r="I351" s="7" t="s">
        <v>915</v>
      </c>
      <c r="J351" s="6">
        <v>46050</v>
      </c>
      <c r="K351" s="7" t="s">
        <v>1117</v>
      </c>
      <c r="L351" s="7" t="s">
        <v>30</v>
      </c>
    </row>
    <row r="352" ht="16.5" spans="1:12">
      <c r="A352" s="12">
        <v>350</v>
      </c>
      <c r="B352" s="46" t="s">
        <v>23</v>
      </c>
      <c r="C352" s="46" t="s">
        <v>37</v>
      </c>
      <c r="D352" s="46" t="s">
        <v>152</v>
      </c>
      <c r="E352" s="12" t="s">
        <v>451</v>
      </c>
      <c r="F352" s="7" t="s">
        <v>237</v>
      </c>
      <c r="G352" s="46" t="s">
        <v>1108</v>
      </c>
      <c r="H352" s="46" t="s">
        <v>1089</v>
      </c>
      <c r="I352" s="7" t="s">
        <v>915</v>
      </c>
      <c r="J352" s="6">
        <v>46050</v>
      </c>
      <c r="K352" s="7" t="s">
        <v>1117</v>
      </c>
      <c r="L352" s="7" t="s">
        <v>30</v>
      </c>
    </row>
    <row r="353" ht="16.5" spans="1:12">
      <c r="A353" s="12">
        <v>351</v>
      </c>
      <c r="B353" s="46" t="s">
        <v>23</v>
      </c>
      <c r="C353" s="46" t="s">
        <v>35</v>
      </c>
      <c r="D353" s="46" t="s">
        <v>125</v>
      </c>
      <c r="E353" s="12" t="s">
        <v>605</v>
      </c>
      <c r="F353" s="7" t="s">
        <v>463</v>
      </c>
      <c r="G353" s="46" t="s">
        <v>1088</v>
      </c>
      <c r="H353" s="46" t="s">
        <v>1089</v>
      </c>
      <c r="I353" s="7" t="s">
        <v>915</v>
      </c>
      <c r="J353" s="6">
        <v>46049</v>
      </c>
      <c r="K353" s="7" t="s">
        <v>1118</v>
      </c>
      <c r="L353" s="7" t="s">
        <v>30</v>
      </c>
    </row>
    <row r="354" ht="16.5" spans="1:12">
      <c r="A354" s="12">
        <v>352</v>
      </c>
      <c r="B354" s="46" t="s">
        <v>23</v>
      </c>
      <c r="C354" s="46" t="s">
        <v>38</v>
      </c>
      <c r="D354" s="46" t="s">
        <v>168</v>
      </c>
      <c r="E354" s="12" t="s">
        <v>430</v>
      </c>
      <c r="F354" s="7" t="s">
        <v>205</v>
      </c>
      <c r="G354" s="46" t="s">
        <v>1094</v>
      </c>
      <c r="H354" s="46" t="s">
        <v>1089</v>
      </c>
      <c r="I354" s="7" t="s">
        <v>915</v>
      </c>
      <c r="J354" s="6">
        <v>46049</v>
      </c>
      <c r="K354" s="7" t="s">
        <v>1118</v>
      </c>
      <c r="L354" s="7" t="s">
        <v>30</v>
      </c>
    </row>
    <row r="355" ht="16.5" spans="1:12">
      <c r="A355" s="12">
        <v>353</v>
      </c>
      <c r="B355" s="46" t="s">
        <v>23</v>
      </c>
      <c r="C355" s="46" t="s">
        <v>38</v>
      </c>
      <c r="D355" s="46" t="s">
        <v>220</v>
      </c>
      <c r="E355" s="12" t="s">
        <v>427</v>
      </c>
      <c r="F355" s="7" t="s">
        <v>540</v>
      </c>
      <c r="G355" s="46" t="s">
        <v>1093</v>
      </c>
      <c r="H355" s="46" t="s">
        <v>1089</v>
      </c>
      <c r="I355" s="7" t="s">
        <v>915</v>
      </c>
      <c r="J355" s="6">
        <v>46049</v>
      </c>
      <c r="K355" s="7" t="s">
        <v>1118</v>
      </c>
      <c r="L355" s="7" t="s">
        <v>30</v>
      </c>
    </row>
    <row r="356" ht="16.5" spans="1:12">
      <c r="A356" s="12">
        <v>354</v>
      </c>
      <c r="B356" s="46" t="s">
        <v>23</v>
      </c>
      <c r="C356" s="46" t="s">
        <v>38</v>
      </c>
      <c r="D356" s="46" t="s">
        <v>148</v>
      </c>
      <c r="E356" s="12" t="s">
        <v>364</v>
      </c>
      <c r="F356" s="7" t="s">
        <v>147</v>
      </c>
      <c r="G356" s="46" t="s">
        <v>1100</v>
      </c>
      <c r="H356" s="46" t="s">
        <v>1089</v>
      </c>
      <c r="I356" s="7" t="s">
        <v>915</v>
      </c>
      <c r="J356" s="6">
        <v>46049</v>
      </c>
      <c r="K356" s="7" t="s">
        <v>1118</v>
      </c>
      <c r="L356" s="7" t="s">
        <v>30</v>
      </c>
    </row>
    <row r="357" ht="16.5" spans="1:12">
      <c r="A357" s="12">
        <v>355</v>
      </c>
      <c r="B357" s="46" t="s">
        <v>23</v>
      </c>
      <c r="C357" s="46" t="s">
        <v>32</v>
      </c>
      <c r="D357" s="46" t="s">
        <v>105</v>
      </c>
      <c r="E357" s="12" t="s">
        <v>556</v>
      </c>
      <c r="F357" s="7" t="s">
        <v>192</v>
      </c>
      <c r="G357" s="46" t="s">
        <v>1092</v>
      </c>
      <c r="H357" s="46" t="s">
        <v>1089</v>
      </c>
      <c r="I357" s="7" t="s">
        <v>915</v>
      </c>
      <c r="J357" s="6">
        <v>46049</v>
      </c>
      <c r="K357" s="7" t="s">
        <v>1118</v>
      </c>
      <c r="L357" s="7" t="s">
        <v>30</v>
      </c>
    </row>
    <row r="358" ht="16.5" spans="1:12">
      <c r="A358" s="12">
        <v>356</v>
      </c>
      <c r="B358" s="46" t="s">
        <v>23</v>
      </c>
      <c r="C358" s="46" t="s">
        <v>38</v>
      </c>
      <c r="D358" s="46" t="s">
        <v>148</v>
      </c>
      <c r="E358" s="12" t="s">
        <v>376</v>
      </c>
      <c r="F358" s="7" t="s">
        <v>227</v>
      </c>
      <c r="G358" s="46" t="s">
        <v>1091</v>
      </c>
      <c r="H358" s="46" t="s">
        <v>1089</v>
      </c>
      <c r="I358" s="7" t="s">
        <v>915</v>
      </c>
      <c r="J358" s="6">
        <v>46049</v>
      </c>
      <c r="K358" s="7" t="s">
        <v>1118</v>
      </c>
      <c r="L358" s="7" t="s">
        <v>30</v>
      </c>
    </row>
    <row r="359" ht="16.5" spans="1:12">
      <c r="A359" s="12">
        <v>357</v>
      </c>
      <c r="B359" s="46" t="s">
        <v>23</v>
      </c>
      <c r="C359" s="46" t="s">
        <v>36</v>
      </c>
      <c r="D359" s="46" t="s">
        <v>173</v>
      </c>
      <c r="E359" s="12" t="s">
        <v>309</v>
      </c>
      <c r="F359" s="7" t="s">
        <v>320</v>
      </c>
      <c r="G359" s="46" t="s">
        <v>1085</v>
      </c>
      <c r="H359" s="46" t="s">
        <v>1089</v>
      </c>
      <c r="I359" s="7" t="s">
        <v>915</v>
      </c>
      <c r="J359" s="6">
        <v>46049</v>
      </c>
      <c r="K359" s="7" t="s">
        <v>1118</v>
      </c>
      <c r="L359" s="7" t="s">
        <v>30</v>
      </c>
    </row>
    <row r="360" ht="16.5" spans="1:12">
      <c r="A360" s="12">
        <v>358</v>
      </c>
      <c r="B360" s="46" t="s">
        <v>23</v>
      </c>
      <c r="C360" s="46" t="s">
        <v>38</v>
      </c>
      <c r="D360" s="46" t="s">
        <v>63</v>
      </c>
      <c r="E360" s="12" t="s">
        <v>129</v>
      </c>
      <c r="F360" s="7" t="s">
        <v>294</v>
      </c>
      <c r="G360" s="46" t="s">
        <v>1112</v>
      </c>
      <c r="H360" s="46" t="s">
        <v>1113</v>
      </c>
      <c r="I360" s="7" t="s">
        <v>915</v>
      </c>
      <c r="J360" s="6">
        <v>46049</v>
      </c>
      <c r="K360" s="7" t="s">
        <v>1118</v>
      </c>
      <c r="L360" s="7" t="s">
        <v>30</v>
      </c>
    </row>
    <row r="361" ht="16.5" spans="1:12">
      <c r="A361" s="12">
        <v>359</v>
      </c>
      <c r="B361" s="46" t="s">
        <v>23</v>
      </c>
      <c r="C361" s="46" t="s">
        <v>38</v>
      </c>
      <c r="D361" s="46" t="s">
        <v>63</v>
      </c>
      <c r="E361" s="12" t="s">
        <v>494</v>
      </c>
      <c r="F361" s="7" t="s">
        <v>95</v>
      </c>
      <c r="G361" s="46" t="s">
        <v>1096</v>
      </c>
      <c r="H361" s="46" t="s">
        <v>1089</v>
      </c>
      <c r="I361" s="7" t="s">
        <v>915</v>
      </c>
      <c r="J361" s="6">
        <v>46049</v>
      </c>
      <c r="K361" s="7" t="s">
        <v>1118</v>
      </c>
      <c r="L361" s="7" t="s">
        <v>30</v>
      </c>
    </row>
    <row r="362" ht="16.5" spans="1:12">
      <c r="A362" s="12">
        <v>360</v>
      </c>
      <c r="B362" s="46" t="s">
        <v>23</v>
      </c>
      <c r="C362" s="46" t="s">
        <v>38</v>
      </c>
      <c r="D362" s="46" t="s">
        <v>63</v>
      </c>
      <c r="E362" s="12" t="s">
        <v>602</v>
      </c>
      <c r="F362" s="7" t="s">
        <v>481</v>
      </c>
      <c r="G362" s="46" t="s">
        <v>1099</v>
      </c>
      <c r="H362" s="46" t="s">
        <v>1089</v>
      </c>
      <c r="I362" s="7" t="s">
        <v>915</v>
      </c>
      <c r="J362" s="6">
        <v>46049</v>
      </c>
      <c r="K362" s="7" t="s">
        <v>1118</v>
      </c>
      <c r="L362" s="7" t="s">
        <v>30</v>
      </c>
    </row>
    <row r="363" ht="16.5" spans="1:12">
      <c r="A363" s="12">
        <v>361</v>
      </c>
      <c r="B363" s="46" t="s">
        <v>23</v>
      </c>
      <c r="C363" s="46" t="s">
        <v>31</v>
      </c>
      <c r="D363" s="46" t="s">
        <v>79</v>
      </c>
      <c r="E363" s="12" t="s">
        <v>189</v>
      </c>
      <c r="F363" s="7" t="s">
        <v>78</v>
      </c>
      <c r="G363" s="46" t="s">
        <v>1103</v>
      </c>
      <c r="H363" s="46" t="s">
        <v>1089</v>
      </c>
      <c r="I363" s="7" t="s">
        <v>915</v>
      </c>
      <c r="J363" s="6">
        <v>46049</v>
      </c>
      <c r="K363" s="7" t="s">
        <v>1118</v>
      </c>
      <c r="L363" s="7" t="s">
        <v>30</v>
      </c>
    </row>
    <row r="364" ht="16.5" spans="1:12">
      <c r="A364" s="12">
        <v>362</v>
      </c>
      <c r="B364" s="46" t="s">
        <v>23</v>
      </c>
      <c r="C364" s="46" t="s">
        <v>35</v>
      </c>
      <c r="D364" s="46" t="s">
        <v>125</v>
      </c>
      <c r="E364" s="12" t="s">
        <v>417</v>
      </c>
      <c r="F364" s="7" t="s">
        <v>493</v>
      </c>
      <c r="G364" s="46" t="s">
        <v>1102</v>
      </c>
      <c r="H364" s="46" t="s">
        <v>1089</v>
      </c>
      <c r="I364" s="7" t="s">
        <v>915</v>
      </c>
      <c r="J364" s="6">
        <v>46049</v>
      </c>
      <c r="K364" s="7" t="s">
        <v>1118</v>
      </c>
      <c r="L364" s="7" t="s">
        <v>30</v>
      </c>
    </row>
    <row r="365" ht="16.5" spans="1:12">
      <c r="A365" s="12">
        <v>363</v>
      </c>
      <c r="B365" s="46" t="s">
        <v>23</v>
      </c>
      <c r="C365" s="46" t="s">
        <v>32</v>
      </c>
      <c r="D365" s="46" t="s">
        <v>105</v>
      </c>
      <c r="E365" s="12" t="s">
        <v>556</v>
      </c>
      <c r="F365" s="7" t="s">
        <v>165</v>
      </c>
      <c r="G365" s="46" t="s">
        <v>1095</v>
      </c>
      <c r="H365" s="46" t="s">
        <v>1089</v>
      </c>
      <c r="I365" s="7" t="s">
        <v>915</v>
      </c>
      <c r="J365" s="6">
        <v>46049</v>
      </c>
      <c r="K365" s="7" t="s">
        <v>1118</v>
      </c>
      <c r="L365" s="7" t="s">
        <v>30</v>
      </c>
    </row>
    <row r="366" ht="16.5" spans="1:12">
      <c r="A366" s="12">
        <v>364</v>
      </c>
      <c r="B366" s="46" t="s">
        <v>23</v>
      </c>
      <c r="C366" s="46" t="s">
        <v>29</v>
      </c>
      <c r="D366" s="46" t="s">
        <v>130</v>
      </c>
      <c r="E366" s="12" t="s">
        <v>380</v>
      </c>
      <c r="F366" s="7" t="s">
        <v>253</v>
      </c>
      <c r="G366" s="46" t="s">
        <v>1097</v>
      </c>
      <c r="H366" s="46" t="s">
        <v>1089</v>
      </c>
      <c r="I366" s="7" t="s">
        <v>915</v>
      </c>
      <c r="J366" s="6">
        <v>46049</v>
      </c>
      <c r="K366" s="7" t="s">
        <v>1118</v>
      </c>
      <c r="L366" s="7" t="s">
        <v>30</v>
      </c>
    </row>
    <row r="367" ht="16.5" spans="1:12">
      <c r="A367" s="12">
        <v>365</v>
      </c>
      <c r="B367" s="46" t="s">
        <v>23</v>
      </c>
      <c r="C367" s="46" t="s">
        <v>35</v>
      </c>
      <c r="D367" s="46" t="s">
        <v>125</v>
      </c>
      <c r="E367" s="12" t="s">
        <v>444</v>
      </c>
      <c r="F367" s="7" t="s">
        <v>584</v>
      </c>
      <c r="G367" s="46" t="s">
        <v>1101</v>
      </c>
      <c r="H367" s="46" t="s">
        <v>1089</v>
      </c>
      <c r="I367" s="7" t="s">
        <v>915</v>
      </c>
      <c r="J367" s="6">
        <v>46049</v>
      </c>
      <c r="K367" s="7" t="s">
        <v>1118</v>
      </c>
      <c r="L367" s="7" t="s">
        <v>30</v>
      </c>
    </row>
    <row r="368" ht="16.5" spans="1:12">
      <c r="A368" s="12">
        <v>366</v>
      </c>
      <c r="B368" s="46" t="s">
        <v>23</v>
      </c>
      <c r="C368" s="46" t="s">
        <v>37</v>
      </c>
      <c r="D368" s="46" t="s">
        <v>152</v>
      </c>
      <c r="E368" s="12" t="s">
        <v>267</v>
      </c>
      <c r="F368" s="7" t="s">
        <v>251</v>
      </c>
      <c r="G368" s="46" t="s">
        <v>1109</v>
      </c>
      <c r="H368" s="46" t="s">
        <v>1089</v>
      </c>
      <c r="I368" s="7" t="s">
        <v>915</v>
      </c>
      <c r="J368" s="6">
        <v>46049</v>
      </c>
      <c r="K368" s="7" t="s">
        <v>1118</v>
      </c>
      <c r="L368" s="7" t="s">
        <v>30</v>
      </c>
    </row>
    <row r="369" ht="16.5" spans="1:12">
      <c r="A369" s="12">
        <v>367</v>
      </c>
      <c r="B369" s="46" t="s">
        <v>23</v>
      </c>
      <c r="C369" s="46" t="s">
        <v>37</v>
      </c>
      <c r="D369" s="46" t="s">
        <v>109</v>
      </c>
      <c r="E369" s="12" t="s">
        <v>108</v>
      </c>
      <c r="F369" s="7" t="s">
        <v>203</v>
      </c>
      <c r="G369" s="46" t="s">
        <v>1104</v>
      </c>
      <c r="H369" s="46" t="s">
        <v>1089</v>
      </c>
      <c r="I369" s="7" t="s">
        <v>915</v>
      </c>
      <c r="J369" s="6">
        <v>46049</v>
      </c>
      <c r="K369" s="7" t="s">
        <v>1118</v>
      </c>
      <c r="L369" s="7" t="s">
        <v>30</v>
      </c>
    </row>
    <row r="370" ht="16.5" spans="1:12">
      <c r="A370" s="12">
        <v>368</v>
      </c>
      <c r="B370" s="46" t="s">
        <v>23</v>
      </c>
      <c r="C370" s="46" t="s">
        <v>31</v>
      </c>
      <c r="D370" s="46" t="s">
        <v>79</v>
      </c>
      <c r="E370" s="12" t="s">
        <v>343</v>
      </c>
      <c r="F370" s="7" t="s">
        <v>245</v>
      </c>
      <c r="G370" s="46" t="s">
        <v>1105</v>
      </c>
      <c r="H370" s="46" t="s">
        <v>1089</v>
      </c>
      <c r="I370" s="7" t="s">
        <v>915</v>
      </c>
      <c r="J370" s="6">
        <v>46049</v>
      </c>
      <c r="K370" s="7" t="s">
        <v>1118</v>
      </c>
      <c r="L370" s="7" t="s">
        <v>30</v>
      </c>
    </row>
    <row r="371" ht="16.5" spans="1:12">
      <c r="A371" s="12">
        <v>369</v>
      </c>
      <c r="B371" s="46" t="s">
        <v>23</v>
      </c>
      <c r="C371" s="46" t="s">
        <v>32</v>
      </c>
      <c r="D371" s="46" t="s">
        <v>105</v>
      </c>
      <c r="E371" s="12" t="s">
        <v>104</v>
      </c>
      <c r="F371" s="7" t="s">
        <v>1106</v>
      </c>
      <c r="G371" s="46" t="s">
        <v>1107</v>
      </c>
      <c r="H371" s="46" t="s">
        <v>909</v>
      </c>
      <c r="I371" s="7" t="s">
        <v>915</v>
      </c>
      <c r="J371" s="6">
        <v>46049</v>
      </c>
      <c r="K371" s="7" t="s">
        <v>1118</v>
      </c>
      <c r="L371" s="7" t="s">
        <v>30</v>
      </c>
    </row>
    <row r="372" ht="16.5" spans="1:12">
      <c r="A372" s="12">
        <v>370</v>
      </c>
      <c r="B372" s="46" t="s">
        <v>23</v>
      </c>
      <c r="C372" s="46" t="s">
        <v>37</v>
      </c>
      <c r="D372" s="46" t="s">
        <v>152</v>
      </c>
      <c r="E372" s="12" t="s">
        <v>451</v>
      </c>
      <c r="F372" s="7" t="s">
        <v>237</v>
      </c>
      <c r="G372" s="46" t="s">
        <v>1108</v>
      </c>
      <c r="H372" s="46" t="s">
        <v>1089</v>
      </c>
      <c r="I372" s="7" t="s">
        <v>915</v>
      </c>
      <c r="J372" s="6">
        <v>46049</v>
      </c>
      <c r="K372" s="7" t="s">
        <v>1118</v>
      </c>
      <c r="L372" s="7" t="s">
        <v>30</v>
      </c>
    </row>
    <row r="373" ht="16.5" spans="1:12">
      <c r="A373" s="12">
        <v>371</v>
      </c>
      <c r="B373" s="46" t="s">
        <v>23</v>
      </c>
      <c r="C373" s="46" t="s">
        <v>38</v>
      </c>
      <c r="D373" s="46" t="s">
        <v>70</v>
      </c>
      <c r="E373" s="12" t="s">
        <v>82</v>
      </c>
      <c r="F373" s="7" t="s">
        <v>531</v>
      </c>
      <c r="G373" s="46" t="s">
        <v>1087</v>
      </c>
      <c r="H373" s="46" t="s">
        <v>1089</v>
      </c>
      <c r="I373" s="7" t="s">
        <v>915</v>
      </c>
      <c r="J373" s="6">
        <v>46049</v>
      </c>
      <c r="K373" s="7" t="s">
        <v>1118</v>
      </c>
      <c r="L373" s="7" t="s">
        <v>30</v>
      </c>
    </row>
    <row r="374" ht="16.5" spans="1:12">
      <c r="A374" s="12">
        <v>372</v>
      </c>
      <c r="B374" s="46" t="s">
        <v>23</v>
      </c>
      <c r="C374" s="46" t="s">
        <v>38</v>
      </c>
      <c r="D374" s="46" t="s">
        <v>70</v>
      </c>
      <c r="E374" s="12" t="s">
        <v>82</v>
      </c>
      <c r="F374" s="7" t="s">
        <v>531</v>
      </c>
      <c r="G374" s="46" t="s">
        <v>1087</v>
      </c>
      <c r="H374" s="46" t="s">
        <v>1089</v>
      </c>
      <c r="I374" s="7" t="s">
        <v>915</v>
      </c>
      <c r="J374" s="6">
        <v>46049</v>
      </c>
      <c r="K374" s="7" t="s">
        <v>1120</v>
      </c>
      <c r="L374" s="7" t="s">
        <v>30</v>
      </c>
    </row>
    <row r="375" ht="16.5" spans="1:12">
      <c r="A375" s="12">
        <v>373</v>
      </c>
      <c r="B375" s="46" t="s">
        <v>23</v>
      </c>
      <c r="C375" s="46" t="s">
        <v>35</v>
      </c>
      <c r="D375" s="46" t="s">
        <v>125</v>
      </c>
      <c r="E375" s="12" t="s">
        <v>605</v>
      </c>
      <c r="F375" s="7" t="s">
        <v>463</v>
      </c>
      <c r="G375" s="46" t="s">
        <v>1088</v>
      </c>
      <c r="H375" s="46" t="s">
        <v>1089</v>
      </c>
      <c r="I375" s="7" t="s">
        <v>915</v>
      </c>
      <c r="J375" s="6">
        <v>46049</v>
      </c>
      <c r="K375" s="7" t="s">
        <v>1120</v>
      </c>
      <c r="L375" s="7" t="s">
        <v>30</v>
      </c>
    </row>
    <row r="376" ht="16.5" spans="1:12">
      <c r="A376" s="12">
        <v>374</v>
      </c>
      <c r="B376" s="46" t="s">
        <v>23</v>
      </c>
      <c r="C376" s="46" t="s">
        <v>38</v>
      </c>
      <c r="D376" s="46" t="s">
        <v>168</v>
      </c>
      <c r="E376" s="12" t="s">
        <v>430</v>
      </c>
      <c r="F376" s="7" t="s">
        <v>205</v>
      </c>
      <c r="G376" s="46" t="s">
        <v>1094</v>
      </c>
      <c r="H376" s="46" t="s">
        <v>1089</v>
      </c>
      <c r="I376" s="7" t="s">
        <v>915</v>
      </c>
      <c r="J376" s="6">
        <v>46049</v>
      </c>
      <c r="K376" s="7" t="s">
        <v>1120</v>
      </c>
      <c r="L376" s="7" t="s">
        <v>30</v>
      </c>
    </row>
    <row r="377" ht="16.5" spans="1:12">
      <c r="A377" s="12">
        <v>375</v>
      </c>
      <c r="B377" s="46" t="s">
        <v>23</v>
      </c>
      <c r="C377" s="46" t="s">
        <v>38</v>
      </c>
      <c r="D377" s="46" t="s">
        <v>220</v>
      </c>
      <c r="E377" s="12" t="s">
        <v>427</v>
      </c>
      <c r="F377" s="7" t="s">
        <v>540</v>
      </c>
      <c r="G377" s="46" t="s">
        <v>1093</v>
      </c>
      <c r="H377" s="46" t="s">
        <v>1089</v>
      </c>
      <c r="I377" s="7" t="s">
        <v>915</v>
      </c>
      <c r="J377" s="6">
        <v>46049</v>
      </c>
      <c r="K377" s="7" t="s">
        <v>1120</v>
      </c>
      <c r="L377" s="7" t="s">
        <v>30</v>
      </c>
    </row>
    <row r="378" ht="16.5" spans="1:12">
      <c r="A378" s="12">
        <v>376</v>
      </c>
      <c r="B378" s="46" t="s">
        <v>23</v>
      </c>
      <c r="C378" s="46" t="s">
        <v>38</v>
      </c>
      <c r="D378" s="46" t="s">
        <v>148</v>
      </c>
      <c r="E378" s="12" t="s">
        <v>364</v>
      </c>
      <c r="F378" s="7" t="s">
        <v>147</v>
      </c>
      <c r="G378" s="46" t="s">
        <v>1100</v>
      </c>
      <c r="H378" s="46" t="s">
        <v>1089</v>
      </c>
      <c r="I378" s="7" t="s">
        <v>915</v>
      </c>
      <c r="J378" s="6">
        <v>46049</v>
      </c>
      <c r="K378" s="7" t="s">
        <v>1120</v>
      </c>
      <c r="L378" s="7" t="s">
        <v>30</v>
      </c>
    </row>
    <row r="379" ht="16.5" spans="1:12">
      <c r="A379" s="12">
        <v>377</v>
      </c>
      <c r="B379" s="46" t="s">
        <v>23</v>
      </c>
      <c r="C379" s="46" t="s">
        <v>32</v>
      </c>
      <c r="D379" s="46" t="s">
        <v>105</v>
      </c>
      <c r="E379" s="12" t="s">
        <v>556</v>
      </c>
      <c r="F379" s="7" t="s">
        <v>192</v>
      </c>
      <c r="G379" s="46" t="s">
        <v>1092</v>
      </c>
      <c r="H379" s="46" t="s">
        <v>1089</v>
      </c>
      <c r="I379" s="7" t="s">
        <v>915</v>
      </c>
      <c r="J379" s="6">
        <v>46049</v>
      </c>
      <c r="K379" s="7" t="s">
        <v>1120</v>
      </c>
      <c r="L379" s="7" t="s">
        <v>30</v>
      </c>
    </row>
    <row r="380" ht="16.5" spans="1:12">
      <c r="A380" s="12">
        <v>378</v>
      </c>
      <c r="B380" s="46" t="s">
        <v>23</v>
      </c>
      <c r="C380" s="46" t="s">
        <v>38</v>
      </c>
      <c r="D380" s="46" t="s">
        <v>148</v>
      </c>
      <c r="E380" s="12" t="s">
        <v>376</v>
      </c>
      <c r="F380" s="7" t="s">
        <v>227</v>
      </c>
      <c r="G380" s="46" t="s">
        <v>1091</v>
      </c>
      <c r="H380" s="46" t="s">
        <v>1089</v>
      </c>
      <c r="I380" s="7" t="s">
        <v>915</v>
      </c>
      <c r="J380" s="6">
        <v>46049</v>
      </c>
      <c r="K380" s="7" t="s">
        <v>1120</v>
      </c>
      <c r="L380" s="7" t="s">
        <v>30</v>
      </c>
    </row>
    <row r="381" ht="16.5" spans="1:12">
      <c r="A381" s="12">
        <v>379</v>
      </c>
      <c r="B381" s="46" t="s">
        <v>23</v>
      </c>
      <c r="C381" s="46" t="s">
        <v>36</v>
      </c>
      <c r="D381" s="46" t="s">
        <v>173</v>
      </c>
      <c r="E381" s="12" t="s">
        <v>309</v>
      </c>
      <c r="F381" s="7" t="s">
        <v>320</v>
      </c>
      <c r="G381" s="46" t="s">
        <v>1085</v>
      </c>
      <c r="H381" s="46" t="s">
        <v>1089</v>
      </c>
      <c r="I381" s="7" t="s">
        <v>915</v>
      </c>
      <c r="J381" s="6">
        <v>46049</v>
      </c>
      <c r="K381" s="7" t="s">
        <v>1120</v>
      </c>
      <c r="L381" s="7" t="s">
        <v>30</v>
      </c>
    </row>
    <row r="382" ht="16.5" spans="1:12">
      <c r="A382" s="12">
        <v>380</v>
      </c>
      <c r="B382" s="46" t="s">
        <v>23</v>
      </c>
      <c r="C382" s="46" t="s">
        <v>38</v>
      </c>
      <c r="D382" s="46" t="s">
        <v>63</v>
      </c>
      <c r="E382" s="12" t="s">
        <v>129</v>
      </c>
      <c r="F382" s="7" t="s">
        <v>294</v>
      </c>
      <c r="G382" s="46" t="s">
        <v>1112</v>
      </c>
      <c r="H382" s="46" t="s">
        <v>1113</v>
      </c>
      <c r="I382" s="7" t="s">
        <v>915</v>
      </c>
      <c r="J382" s="6">
        <v>46049</v>
      </c>
      <c r="K382" s="7" t="s">
        <v>1120</v>
      </c>
      <c r="L382" s="7" t="s">
        <v>30</v>
      </c>
    </row>
    <row r="383" ht="16.5" spans="1:12">
      <c r="A383" s="12">
        <v>381</v>
      </c>
      <c r="B383" s="46" t="s">
        <v>23</v>
      </c>
      <c r="C383" s="46" t="s">
        <v>38</v>
      </c>
      <c r="D383" s="46" t="s">
        <v>63</v>
      </c>
      <c r="E383" s="12" t="s">
        <v>494</v>
      </c>
      <c r="F383" s="7" t="s">
        <v>95</v>
      </c>
      <c r="G383" s="46" t="s">
        <v>1096</v>
      </c>
      <c r="H383" s="46" t="s">
        <v>1089</v>
      </c>
      <c r="I383" s="7" t="s">
        <v>915</v>
      </c>
      <c r="J383" s="6">
        <v>46049</v>
      </c>
      <c r="K383" s="7" t="s">
        <v>1120</v>
      </c>
      <c r="L383" s="7" t="s">
        <v>30</v>
      </c>
    </row>
    <row r="384" ht="16.5" spans="1:12">
      <c r="A384" s="12">
        <v>382</v>
      </c>
      <c r="B384" s="46" t="s">
        <v>23</v>
      </c>
      <c r="C384" s="46" t="s">
        <v>38</v>
      </c>
      <c r="D384" s="46" t="s">
        <v>63</v>
      </c>
      <c r="E384" s="12" t="s">
        <v>602</v>
      </c>
      <c r="F384" s="7" t="s">
        <v>481</v>
      </c>
      <c r="G384" s="46" t="s">
        <v>1099</v>
      </c>
      <c r="H384" s="46" t="s">
        <v>1089</v>
      </c>
      <c r="I384" s="7" t="s">
        <v>915</v>
      </c>
      <c r="J384" s="6">
        <v>46049</v>
      </c>
      <c r="K384" s="7" t="s">
        <v>1120</v>
      </c>
      <c r="L384" s="7" t="s">
        <v>30</v>
      </c>
    </row>
    <row r="385" ht="16.5" spans="1:12">
      <c r="A385" s="12">
        <v>383</v>
      </c>
      <c r="B385" s="46" t="s">
        <v>23</v>
      </c>
      <c r="C385" s="46" t="s">
        <v>31</v>
      </c>
      <c r="D385" s="46" t="s">
        <v>79</v>
      </c>
      <c r="E385" s="12" t="s">
        <v>189</v>
      </c>
      <c r="F385" s="7" t="s">
        <v>78</v>
      </c>
      <c r="G385" s="46" t="s">
        <v>1103</v>
      </c>
      <c r="H385" s="46" t="s">
        <v>1089</v>
      </c>
      <c r="I385" s="7" t="s">
        <v>915</v>
      </c>
      <c r="J385" s="6">
        <v>46049</v>
      </c>
      <c r="K385" s="7" t="s">
        <v>1120</v>
      </c>
      <c r="L385" s="7" t="s">
        <v>30</v>
      </c>
    </row>
    <row r="386" ht="16.5" spans="1:12">
      <c r="A386" s="12">
        <v>384</v>
      </c>
      <c r="B386" s="46" t="s">
        <v>23</v>
      </c>
      <c r="C386" s="46" t="s">
        <v>35</v>
      </c>
      <c r="D386" s="46" t="s">
        <v>125</v>
      </c>
      <c r="E386" s="12" t="s">
        <v>417</v>
      </c>
      <c r="F386" s="7" t="s">
        <v>493</v>
      </c>
      <c r="G386" s="46" t="s">
        <v>1102</v>
      </c>
      <c r="H386" s="46" t="s">
        <v>1089</v>
      </c>
      <c r="I386" s="7" t="s">
        <v>915</v>
      </c>
      <c r="J386" s="6">
        <v>46049</v>
      </c>
      <c r="K386" s="7" t="s">
        <v>1120</v>
      </c>
      <c r="L386" s="7" t="s">
        <v>30</v>
      </c>
    </row>
    <row r="387" ht="16.5" spans="1:12">
      <c r="A387" s="12">
        <v>385</v>
      </c>
      <c r="B387" s="46" t="s">
        <v>23</v>
      </c>
      <c r="C387" s="46" t="s">
        <v>32</v>
      </c>
      <c r="D387" s="46" t="s">
        <v>105</v>
      </c>
      <c r="E387" s="12" t="s">
        <v>556</v>
      </c>
      <c r="F387" s="7" t="s">
        <v>165</v>
      </c>
      <c r="G387" s="46" t="s">
        <v>1095</v>
      </c>
      <c r="H387" s="46" t="s">
        <v>1089</v>
      </c>
      <c r="I387" s="7" t="s">
        <v>915</v>
      </c>
      <c r="J387" s="6">
        <v>46049</v>
      </c>
      <c r="K387" s="7" t="s">
        <v>1120</v>
      </c>
      <c r="L387" s="7" t="s">
        <v>30</v>
      </c>
    </row>
    <row r="388" ht="16.5" spans="1:12">
      <c r="A388" s="12">
        <v>386</v>
      </c>
      <c r="B388" s="46" t="s">
        <v>23</v>
      </c>
      <c r="C388" s="46" t="s">
        <v>29</v>
      </c>
      <c r="D388" s="46" t="s">
        <v>130</v>
      </c>
      <c r="E388" s="12" t="s">
        <v>380</v>
      </c>
      <c r="F388" s="7" t="s">
        <v>253</v>
      </c>
      <c r="G388" s="46" t="s">
        <v>1097</v>
      </c>
      <c r="H388" s="46" t="s">
        <v>1089</v>
      </c>
      <c r="I388" s="7" t="s">
        <v>915</v>
      </c>
      <c r="J388" s="6">
        <v>46049</v>
      </c>
      <c r="K388" s="7" t="s">
        <v>1120</v>
      </c>
      <c r="L388" s="7" t="s">
        <v>30</v>
      </c>
    </row>
    <row r="389" ht="16.5" spans="1:12">
      <c r="A389" s="12">
        <v>387</v>
      </c>
      <c r="B389" s="46" t="s">
        <v>23</v>
      </c>
      <c r="C389" s="46" t="s">
        <v>35</v>
      </c>
      <c r="D389" s="46" t="s">
        <v>125</v>
      </c>
      <c r="E389" s="12" t="s">
        <v>444</v>
      </c>
      <c r="F389" s="7" t="s">
        <v>584</v>
      </c>
      <c r="G389" s="46" t="s">
        <v>1101</v>
      </c>
      <c r="H389" s="46" t="s">
        <v>1089</v>
      </c>
      <c r="I389" s="7" t="s">
        <v>915</v>
      </c>
      <c r="J389" s="6">
        <v>46049</v>
      </c>
      <c r="K389" s="7" t="s">
        <v>1120</v>
      </c>
      <c r="L389" s="7" t="s">
        <v>30</v>
      </c>
    </row>
    <row r="390" ht="16.5" spans="1:12">
      <c r="A390" s="12">
        <v>388</v>
      </c>
      <c r="B390" s="46" t="s">
        <v>23</v>
      </c>
      <c r="C390" s="46" t="s">
        <v>37</v>
      </c>
      <c r="D390" s="46" t="s">
        <v>152</v>
      </c>
      <c r="E390" s="12" t="s">
        <v>267</v>
      </c>
      <c r="F390" s="7" t="s">
        <v>251</v>
      </c>
      <c r="G390" s="46" t="s">
        <v>1109</v>
      </c>
      <c r="H390" s="46" t="s">
        <v>1089</v>
      </c>
      <c r="I390" s="7" t="s">
        <v>915</v>
      </c>
      <c r="J390" s="6">
        <v>46049</v>
      </c>
      <c r="K390" s="7" t="s">
        <v>1120</v>
      </c>
      <c r="L390" s="7" t="s">
        <v>30</v>
      </c>
    </row>
    <row r="391" ht="16.5" spans="1:12">
      <c r="A391" s="12">
        <v>389</v>
      </c>
      <c r="B391" s="46" t="s">
        <v>23</v>
      </c>
      <c r="C391" s="46" t="s">
        <v>37</v>
      </c>
      <c r="D391" s="46" t="s">
        <v>109</v>
      </c>
      <c r="E391" s="12" t="s">
        <v>108</v>
      </c>
      <c r="F391" s="7" t="s">
        <v>203</v>
      </c>
      <c r="G391" s="46" t="s">
        <v>1104</v>
      </c>
      <c r="H391" s="46" t="s">
        <v>1089</v>
      </c>
      <c r="I391" s="7" t="s">
        <v>915</v>
      </c>
      <c r="J391" s="6">
        <v>46049</v>
      </c>
      <c r="K391" s="7" t="s">
        <v>1120</v>
      </c>
      <c r="L391" s="7" t="s">
        <v>30</v>
      </c>
    </row>
    <row r="392" ht="16.5" spans="1:12">
      <c r="A392" s="12">
        <v>390</v>
      </c>
      <c r="B392" s="46" t="s">
        <v>23</v>
      </c>
      <c r="C392" s="46" t="s">
        <v>31</v>
      </c>
      <c r="D392" s="46" t="s">
        <v>79</v>
      </c>
      <c r="E392" s="12" t="s">
        <v>343</v>
      </c>
      <c r="F392" s="7" t="s">
        <v>245</v>
      </c>
      <c r="G392" s="46" t="s">
        <v>1105</v>
      </c>
      <c r="H392" s="46" t="s">
        <v>1089</v>
      </c>
      <c r="I392" s="7" t="s">
        <v>915</v>
      </c>
      <c r="J392" s="6">
        <v>46049</v>
      </c>
      <c r="K392" s="7" t="s">
        <v>1120</v>
      </c>
      <c r="L392" s="7" t="s">
        <v>30</v>
      </c>
    </row>
    <row r="393" ht="16.5" spans="1:12">
      <c r="A393" s="12">
        <v>391</v>
      </c>
      <c r="B393" s="46" t="s">
        <v>23</v>
      </c>
      <c r="C393" s="46" t="s">
        <v>32</v>
      </c>
      <c r="D393" s="46" t="s">
        <v>105</v>
      </c>
      <c r="E393" s="12" t="s">
        <v>104</v>
      </c>
      <c r="F393" s="7" t="s">
        <v>1106</v>
      </c>
      <c r="G393" s="46" t="s">
        <v>1107</v>
      </c>
      <c r="H393" s="46" t="s">
        <v>909</v>
      </c>
      <c r="I393" s="7" t="s">
        <v>915</v>
      </c>
      <c r="J393" s="6">
        <v>46049</v>
      </c>
      <c r="K393" s="7" t="s">
        <v>1120</v>
      </c>
      <c r="L393" s="7" t="s">
        <v>30</v>
      </c>
    </row>
    <row r="394" ht="16.5" spans="1:12">
      <c r="A394" s="12">
        <v>392</v>
      </c>
      <c r="B394" s="46" t="s">
        <v>23</v>
      </c>
      <c r="C394" s="46" t="s">
        <v>37</v>
      </c>
      <c r="D394" s="46" t="s">
        <v>152</v>
      </c>
      <c r="E394" s="12" t="s">
        <v>451</v>
      </c>
      <c r="F394" s="7" t="s">
        <v>237</v>
      </c>
      <c r="G394" s="46" t="s">
        <v>1108</v>
      </c>
      <c r="H394" s="46" t="s">
        <v>1089</v>
      </c>
      <c r="I394" s="7" t="s">
        <v>915</v>
      </c>
      <c r="J394" s="6">
        <v>46049</v>
      </c>
      <c r="K394" s="7" t="s">
        <v>1120</v>
      </c>
      <c r="L394" s="7" t="s">
        <v>30</v>
      </c>
    </row>
    <row r="395" ht="16.5" spans="1:12">
      <c r="A395" s="12">
        <v>393</v>
      </c>
      <c r="B395" s="46" t="s">
        <v>23</v>
      </c>
      <c r="C395" s="46" t="s">
        <v>38</v>
      </c>
      <c r="D395" s="46" t="s">
        <v>70</v>
      </c>
      <c r="E395" s="12" t="s">
        <v>82</v>
      </c>
      <c r="F395" s="7" t="s">
        <v>531</v>
      </c>
      <c r="G395" s="46" t="s">
        <v>1087</v>
      </c>
      <c r="H395" s="46" t="s">
        <v>1089</v>
      </c>
      <c r="I395" s="7" t="s">
        <v>915</v>
      </c>
      <c r="J395" s="6">
        <v>46044</v>
      </c>
      <c r="K395" s="7" t="s">
        <v>1123</v>
      </c>
      <c r="L395" s="7" t="s">
        <v>30</v>
      </c>
    </row>
    <row r="396" ht="16.5" spans="1:12">
      <c r="A396" s="12">
        <v>394</v>
      </c>
      <c r="B396" s="46" t="s">
        <v>23</v>
      </c>
      <c r="C396" s="46" t="s">
        <v>35</v>
      </c>
      <c r="D396" s="46" t="s">
        <v>125</v>
      </c>
      <c r="E396" s="12" t="s">
        <v>605</v>
      </c>
      <c r="F396" s="7" t="s">
        <v>463</v>
      </c>
      <c r="G396" s="46" t="s">
        <v>1088</v>
      </c>
      <c r="H396" s="46" t="s">
        <v>1089</v>
      </c>
      <c r="I396" s="7" t="s">
        <v>915</v>
      </c>
      <c r="J396" s="6">
        <v>46044</v>
      </c>
      <c r="K396" s="7" t="s">
        <v>1123</v>
      </c>
      <c r="L396" s="7" t="s">
        <v>30</v>
      </c>
    </row>
    <row r="397" ht="16.5" spans="1:12">
      <c r="A397" s="12">
        <v>395</v>
      </c>
      <c r="B397" s="46" t="s">
        <v>23</v>
      </c>
      <c r="C397" s="46" t="s">
        <v>38</v>
      </c>
      <c r="D397" s="46" t="s">
        <v>168</v>
      </c>
      <c r="E397" s="12" t="s">
        <v>430</v>
      </c>
      <c r="F397" s="7" t="s">
        <v>205</v>
      </c>
      <c r="G397" s="46" t="s">
        <v>1094</v>
      </c>
      <c r="H397" s="46" t="s">
        <v>1089</v>
      </c>
      <c r="I397" s="7" t="s">
        <v>915</v>
      </c>
      <c r="J397" s="6">
        <v>46044</v>
      </c>
      <c r="K397" s="7" t="s">
        <v>1123</v>
      </c>
      <c r="L397" s="7" t="s">
        <v>30</v>
      </c>
    </row>
    <row r="398" ht="16.5" spans="1:12">
      <c r="A398" s="12">
        <v>396</v>
      </c>
      <c r="B398" s="46" t="s">
        <v>23</v>
      </c>
      <c r="C398" s="46" t="s">
        <v>38</v>
      </c>
      <c r="D398" s="46" t="s">
        <v>220</v>
      </c>
      <c r="E398" s="12" t="s">
        <v>427</v>
      </c>
      <c r="F398" s="7" t="s">
        <v>540</v>
      </c>
      <c r="G398" s="46" t="s">
        <v>1093</v>
      </c>
      <c r="H398" s="46" t="s">
        <v>1089</v>
      </c>
      <c r="I398" s="7" t="s">
        <v>915</v>
      </c>
      <c r="J398" s="6">
        <v>46044</v>
      </c>
      <c r="K398" s="7" t="s">
        <v>1123</v>
      </c>
      <c r="L398" s="7" t="s">
        <v>30</v>
      </c>
    </row>
    <row r="399" ht="16.5" spans="1:12">
      <c r="A399" s="12">
        <v>397</v>
      </c>
      <c r="B399" s="46" t="s">
        <v>23</v>
      </c>
      <c r="C399" s="46" t="s">
        <v>38</v>
      </c>
      <c r="D399" s="46" t="s">
        <v>148</v>
      </c>
      <c r="E399" s="12" t="s">
        <v>364</v>
      </c>
      <c r="F399" s="7" t="s">
        <v>147</v>
      </c>
      <c r="G399" s="46" t="s">
        <v>1100</v>
      </c>
      <c r="H399" s="46" t="s">
        <v>1089</v>
      </c>
      <c r="I399" s="7" t="s">
        <v>915</v>
      </c>
      <c r="J399" s="6">
        <v>46044</v>
      </c>
      <c r="K399" s="7" t="s">
        <v>1123</v>
      </c>
      <c r="L399" s="7" t="s">
        <v>30</v>
      </c>
    </row>
    <row r="400" ht="16.5" spans="1:12">
      <c r="A400" s="12">
        <v>398</v>
      </c>
      <c r="B400" s="46" t="s">
        <v>23</v>
      </c>
      <c r="C400" s="46" t="s">
        <v>32</v>
      </c>
      <c r="D400" s="46" t="s">
        <v>105</v>
      </c>
      <c r="E400" s="12" t="s">
        <v>556</v>
      </c>
      <c r="F400" s="7" t="s">
        <v>192</v>
      </c>
      <c r="G400" s="46" t="s">
        <v>1092</v>
      </c>
      <c r="H400" s="46" t="s">
        <v>1089</v>
      </c>
      <c r="I400" s="7" t="s">
        <v>915</v>
      </c>
      <c r="J400" s="6">
        <v>46044</v>
      </c>
      <c r="K400" s="7" t="s">
        <v>1123</v>
      </c>
      <c r="L400" s="7" t="s">
        <v>30</v>
      </c>
    </row>
    <row r="401" ht="16.5" spans="1:12">
      <c r="A401" s="12">
        <v>399</v>
      </c>
      <c r="B401" s="46" t="s">
        <v>23</v>
      </c>
      <c r="C401" s="46" t="s">
        <v>38</v>
      </c>
      <c r="D401" s="46" t="s">
        <v>148</v>
      </c>
      <c r="E401" s="12" t="s">
        <v>376</v>
      </c>
      <c r="F401" s="7" t="s">
        <v>227</v>
      </c>
      <c r="G401" s="46" t="s">
        <v>1091</v>
      </c>
      <c r="H401" s="46" t="s">
        <v>1089</v>
      </c>
      <c r="I401" s="7" t="s">
        <v>915</v>
      </c>
      <c r="J401" s="6">
        <v>46044</v>
      </c>
      <c r="K401" s="7" t="s">
        <v>1123</v>
      </c>
      <c r="L401" s="7" t="s">
        <v>30</v>
      </c>
    </row>
    <row r="402" ht="16.5" spans="1:12">
      <c r="A402" s="12">
        <v>400</v>
      </c>
      <c r="B402" s="46" t="s">
        <v>23</v>
      </c>
      <c r="C402" s="46" t="s">
        <v>36</v>
      </c>
      <c r="D402" s="46" t="s">
        <v>173</v>
      </c>
      <c r="E402" s="12" t="s">
        <v>309</v>
      </c>
      <c r="F402" s="7" t="s">
        <v>320</v>
      </c>
      <c r="G402" s="46" t="s">
        <v>1085</v>
      </c>
      <c r="H402" s="46" t="s">
        <v>1089</v>
      </c>
      <c r="I402" s="7" t="s">
        <v>915</v>
      </c>
      <c r="J402" s="6">
        <v>46044</v>
      </c>
      <c r="K402" s="7" t="s">
        <v>1123</v>
      </c>
      <c r="L402" s="7" t="s">
        <v>30</v>
      </c>
    </row>
    <row r="403" ht="16.5" spans="1:12">
      <c r="A403" s="12">
        <v>401</v>
      </c>
      <c r="B403" s="46" t="s">
        <v>23</v>
      </c>
      <c r="C403" s="46" t="s">
        <v>38</v>
      </c>
      <c r="D403" s="46" t="s">
        <v>63</v>
      </c>
      <c r="E403" s="12" t="s">
        <v>129</v>
      </c>
      <c r="F403" s="7" t="s">
        <v>294</v>
      </c>
      <c r="G403" s="46" t="s">
        <v>1112</v>
      </c>
      <c r="H403" s="46" t="s">
        <v>1113</v>
      </c>
      <c r="I403" s="7" t="s">
        <v>915</v>
      </c>
      <c r="J403" s="6">
        <v>46044</v>
      </c>
      <c r="K403" s="7" t="s">
        <v>1123</v>
      </c>
      <c r="L403" s="7" t="s">
        <v>30</v>
      </c>
    </row>
    <row r="404" ht="16.5" spans="1:12">
      <c r="A404" s="12">
        <v>402</v>
      </c>
      <c r="B404" s="46" t="s">
        <v>23</v>
      </c>
      <c r="C404" s="46" t="s">
        <v>38</v>
      </c>
      <c r="D404" s="46" t="s">
        <v>63</v>
      </c>
      <c r="E404" s="12" t="s">
        <v>494</v>
      </c>
      <c r="F404" s="7" t="s">
        <v>95</v>
      </c>
      <c r="G404" s="46" t="s">
        <v>1096</v>
      </c>
      <c r="H404" s="46" t="s">
        <v>1089</v>
      </c>
      <c r="I404" s="7" t="s">
        <v>915</v>
      </c>
      <c r="J404" s="6">
        <v>46044</v>
      </c>
      <c r="K404" s="7" t="s">
        <v>1123</v>
      </c>
      <c r="L404" s="7" t="s">
        <v>30</v>
      </c>
    </row>
    <row r="405" ht="16.5" spans="1:12">
      <c r="A405" s="12">
        <v>403</v>
      </c>
      <c r="B405" s="46" t="s">
        <v>23</v>
      </c>
      <c r="C405" s="46" t="s">
        <v>38</v>
      </c>
      <c r="D405" s="46" t="s">
        <v>63</v>
      </c>
      <c r="E405" s="12" t="s">
        <v>602</v>
      </c>
      <c r="F405" s="7" t="s">
        <v>481</v>
      </c>
      <c r="G405" s="46" t="s">
        <v>1099</v>
      </c>
      <c r="H405" s="46" t="s">
        <v>1089</v>
      </c>
      <c r="I405" s="7" t="s">
        <v>915</v>
      </c>
      <c r="J405" s="6">
        <v>46044</v>
      </c>
      <c r="K405" s="7" t="s">
        <v>1123</v>
      </c>
      <c r="L405" s="7" t="s">
        <v>30</v>
      </c>
    </row>
    <row r="406" ht="16.5" spans="1:12">
      <c r="A406" s="12">
        <v>404</v>
      </c>
      <c r="B406" s="46" t="s">
        <v>23</v>
      </c>
      <c r="C406" s="46" t="s">
        <v>31</v>
      </c>
      <c r="D406" s="46" t="s">
        <v>79</v>
      </c>
      <c r="E406" s="12" t="s">
        <v>189</v>
      </c>
      <c r="F406" s="7" t="s">
        <v>78</v>
      </c>
      <c r="G406" s="46" t="s">
        <v>1103</v>
      </c>
      <c r="H406" s="46" t="s">
        <v>1089</v>
      </c>
      <c r="I406" s="7" t="s">
        <v>915</v>
      </c>
      <c r="J406" s="6">
        <v>46044</v>
      </c>
      <c r="K406" s="7" t="s">
        <v>1123</v>
      </c>
      <c r="L406" s="7" t="s">
        <v>30</v>
      </c>
    </row>
    <row r="407" ht="16.5" spans="1:12">
      <c r="A407" s="12">
        <v>405</v>
      </c>
      <c r="B407" s="46" t="s">
        <v>23</v>
      </c>
      <c r="C407" s="46" t="s">
        <v>35</v>
      </c>
      <c r="D407" s="46" t="s">
        <v>125</v>
      </c>
      <c r="E407" s="12" t="s">
        <v>417</v>
      </c>
      <c r="F407" s="7" t="s">
        <v>493</v>
      </c>
      <c r="G407" s="46" t="s">
        <v>1102</v>
      </c>
      <c r="H407" s="46" t="s">
        <v>1089</v>
      </c>
      <c r="I407" s="7" t="s">
        <v>915</v>
      </c>
      <c r="J407" s="6">
        <v>46044</v>
      </c>
      <c r="K407" s="7" t="s">
        <v>1123</v>
      </c>
      <c r="L407" s="7" t="s">
        <v>30</v>
      </c>
    </row>
    <row r="408" ht="16.5" spans="1:12">
      <c r="A408" s="12">
        <v>406</v>
      </c>
      <c r="B408" s="46" t="s">
        <v>23</v>
      </c>
      <c r="C408" s="46" t="s">
        <v>32</v>
      </c>
      <c r="D408" s="46" t="s">
        <v>105</v>
      </c>
      <c r="E408" s="12" t="s">
        <v>556</v>
      </c>
      <c r="F408" s="7" t="s">
        <v>165</v>
      </c>
      <c r="G408" s="46" t="s">
        <v>1095</v>
      </c>
      <c r="H408" s="46" t="s">
        <v>1089</v>
      </c>
      <c r="I408" s="7" t="s">
        <v>915</v>
      </c>
      <c r="J408" s="6">
        <v>46044</v>
      </c>
      <c r="K408" s="7" t="s">
        <v>1123</v>
      </c>
      <c r="L408" s="7" t="s">
        <v>30</v>
      </c>
    </row>
    <row r="409" ht="16.5" spans="1:12">
      <c r="A409" s="12">
        <v>407</v>
      </c>
      <c r="B409" s="46" t="s">
        <v>23</v>
      </c>
      <c r="C409" s="46" t="s">
        <v>29</v>
      </c>
      <c r="D409" s="46" t="s">
        <v>130</v>
      </c>
      <c r="E409" s="12" t="s">
        <v>380</v>
      </c>
      <c r="F409" s="7" t="s">
        <v>253</v>
      </c>
      <c r="G409" s="46" t="s">
        <v>1097</v>
      </c>
      <c r="H409" s="46" t="s">
        <v>1089</v>
      </c>
      <c r="I409" s="7" t="s">
        <v>915</v>
      </c>
      <c r="J409" s="6">
        <v>46044</v>
      </c>
      <c r="K409" s="7" t="s">
        <v>1123</v>
      </c>
      <c r="L409" s="7" t="s">
        <v>30</v>
      </c>
    </row>
    <row r="410" ht="16.5" spans="1:12">
      <c r="A410" s="12">
        <v>408</v>
      </c>
      <c r="B410" s="46" t="s">
        <v>23</v>
      </c>
      <c r="C410" s="46" t="s">
        <v>35</v>
      </c>
      <c r="D410" s="46" t="s">
        <v>125</v>
      </c>
      <c r="E410" s="12" t="s">
        <v>444</v>
      </c>
      <c r="F410" s="7" t="s">
        <v>584</v>
      </c>
      <c r="G410" s="46" t="s">
        <v>1101</v>
      </c>
      <c r="H410" s="46" t="s">
        <v>1089</v>
      </c>
      <c r="I410" s="7" t="s">
        <v>915</v>
      </c>
      <c r="J410" s="6">
        <v>46044</v>
      </c>
      <c r="K410" s="7" t="s">
        <v>1123</v>
      </c>
      <c r="L410" s="7" t="s">
        <v>30</v>
      </c>
    </row>
    <row r="411" ht="16.5" spans="1:12">
      <c r="A411" s="12">
        <v>409</v>
      </c>
      <c r="B411" s="46" t="s">
        <v>23</v>
      </c>
      <c r="C411" s="46" t="s">
        <v>37</v>
      </c>
      <c r="D411" s="46" t="s">
        <v>152</v>
      </c>
      <c r="E411" s="12" t="s">
        <v>267</v>
      </c>
      <c r="F411" s="7" t="s">
        <v>251</v>
      </c>
      <c r="G411" s="46" t="s">
        <v>1109</v>
      </c>
      <c r="H411" s="46" t="s">
        <v>1089</v>
      </c>
      <c r="I411" s="7" t="s">
        <v>915</v>
      </c>
      <c r="J411" s="6">
        <v>46044</v>
      </c>
      <c r="K411" s="7" t="s">
        <v>1123</v>
      </c>
      <c r="L411" s="7" t="s">
        <v>30</v>
      </c>
    </row>
    <row r="412" ht="16.5" spans="1:12">
      <c r="A412" s="12">
        <v>410</v>
      </c>
      <c r="B412" s="46" t="s">
        <v>23</v>
      </c>
      <c r="C412" s="46" t="s">
        <v>37</v>
      </c>
      <c r="D412" s="46" t="s">
        <v>109</v>
      </c>
      <c r="E412" s="12" t="s">
        <v>108</v>
      </c>
      <c r="F412" s="7" t="s">
        <v>203</v>
      </c>
      <c r="G412" s="46" t="s">
        <v>1104</v>
      </c>
      <c r="H412" s="46" t="s">
        <v>1089</v>
      </c>
      <c r="I412" s="7" t="s">
        <v>915</v>
      </c>
      <c r="J412" s="6">
        <v>46044</v>
      </c>
      <c r="K412" s="7" t="s">
        <v>1123</v>
      </c>
      <c r="L412" s="7" t="s">
        <v>30</v>
      </c>
    </row>
    <row r="413" ht="16.5" spans="1:12">
      <c r="A413" s="12">
        <v>411</v>
      </c>
      <c r="B413" s="46" t="s">
        <v>23</v>
      </c>
      <c r="C413" s="46" t="s">
        <v>31</v>
      </c>
      <c r="D413" s="46" t="s">
        <v>79</v>
      </c>
      <c r="E413" s="12" t="s">
        <v>343</v>
      </c>
      <c r="F413" s="7" t="s">
        <v>245</v>
      </c>
      <c r="G413" s="46" t="s">
        <v>1105</v>
      </c>
      <c r="H413" s="46" t="s">
        <v>1089</v>
      </c>
      <c r="I413" s="7" t="s">
        <v>915</v>
      </c>
      <c r="J413" s="6">
        <v>46044</v>
      </c>
      <c r="K413" s="7" t="s">
        <v>1123</v>
      </c>
      <c r="L413" s="7" t="s">
        <v>30</v>
      </c>
    </row>
    <row r="414" ht="16.5" spans="1:12">
      <c r="A414" s="12">
        <v>412</v>
      </c>
      <c r="B414" s="46" t="s">
        <v>23</v>
      </c>
      <c r="C414" s="46" t="s">
        <v>32</v>
      </c>
      <c r="D414" s="46" t="s">
        <v>105</v>
      </c>
      <c r="E414" s="12" t="s">
        <v>104</v>
      </c>
      <c r="F414" s="7" t="s">
        <v>1106</v>
      </c>
      <c r="G414" s="46" t="s">
        <v>1107</v>
      </c>
      <c r="H414" s="46" t="s">
        <v>909</v>
      </c>
      <c r="I414" s="7" t="s">
        <v>915</v>
      </c>
      <c r="J414" s="6">
        <v>46044</v>
      </c>
      <c r="K414" s="7" t="s">
        <v>1123</v>
      </c>
      <c r="L414" s="7" t="s">
        <v>30</v>
      </c>
    </row>
    <row r="415" ht="16.5" spans="1:12">
      <c r="A415" s="12">
        <v>413</v>
      </c>
      <c r="B415" s="46" t="s">
        <v>23</v>
      </c>
      <c r="C415" s="46" t="s">
        <v>37</v>
      </c>
      <c r="D415" s="46" t="s">
        <v>152</v>
      </c>
      <c r="E415" s="12" t="s">
        <v>451</v>
      </c>
      <c r="F415" s="7" t="s">
        <v>237</v>
      </c>
      <c r="G415" s="46" t="s">
        <v>1108</v>
      </c>
      <c r="H415" s="46" t="s">
        <v>1089</v>
      </c>
      <c r="I415" s="7" t="s">
        <v>915</v>
      </c>
      <c r="J415" s="6">
        <v>46044</v>
      </c>
      <c r="K415" s="7" t="s">
        <v>1123</v>
      </c>
      <c r="L415" s="7" t="s">
        <v>30</v>
      </c>
    </row>
    <row r="416" ht="16.5" spans="1:12">
      <c r="A416" s="12">
        <v>414</v>
      </c>
      <c r="B416" s="46" t="s">
        <v>23</v>
      </c>
      <c r="C416" s="46" t="s">
        <v>38</v>
      </c>
      <c r="D416" s="46" t="s">
        <v>70</v>
      </c>
      <c r="E416" s="12" t="s">
        <v>82</v>
      </c>
      <c r="F416" s="7" t="s">
        <v>413</v>
      </c>
      <c r="G416" s="46" t="s">
        <v>1126</v>
      </c>
      <c r="H416" s="46" t="s">
        <v>1127</v>
      </c>
      <c r="I416" s="7" t="s">
        <v>915</v>
      </c>
      <c r="J416" s="6">
        <v>46043</v>
      </c>
      <c r="K416" s="7" t="s">
        <v>1125</v>
      </c>
      <c r="L416" s="7" t="s">
        <v>28</v>
      </c>
    </row>
    <row r="417" ht="16.5" spans="1:12">
      <c r="A417" s="12">
        <v>415</v>
      </c>
      <c r="B417" s="46" t="s">
        <v>23</v>
      </c>
      <c r="C417" s="46" t="s">
        <v>38</v>
      </c>
      <c r="D417" s="46" t="s">
        <v>75</v>
      </c>
      <c r="E417" s="12" t="s">
        <v>1077</v>
      </c>
      <c r="F417" s="7" t="s">
        <v>407</v>
      </c>
      <c r="G417" s="46" t="s">
        <v>1128</v>
      </c>
      <c r="H417" s="46" t="s">
        <v>1129</v>
      </c>
      <c r="I417" s="7" t="s">
        <v>915</v>
      </c>
      <c r="J417" s="6">
        <v>46043</v>
      </c>
      <c r="K417" s="7" t="s">
        <v>1125</v>
      </c>
      <c r="L417" s="7" t="s">
        <v>28</v>
      </c>
    </row>
    <row r="418" ht="16.5" spans="1:12">
      <c r="A418" s="12">
        <v>416</v>
      </c>
      <c r="B418" s="46" t="s">
        <v>23</v>
      </c>
      <c r="C418" s="46" t="s">
        <v>38</v>
      </c>
      <c r="D418" s="46" t="s">
        <v>75</v>
      </c>
      <c r="E418" s="12" t="s">
        <v>407</v>
      </c>
      <c r="F418" s="7" t="s">
        <v>512</v>
      </c>
      <c r="G418" s="46" t="s">
        <v>1130</v>
      </c>
      <c r="H418" s="46" t="s">
        <v>1127</v>
      </c>
      <c r="I418" s="7" t="s">
        <v>915</v>
      </c>
      <c r="J418" s="6">
        <v>46043</v>
      </c>
      <c r="K418" s="7" t="s">
        <v>1125</v>
      </c>
      <c r="L418" s="7" t="s">
        <v>28</v>
      </c>
    </row>
    <row r="419" ht="16.5" spans="1:12">
      <c r="A419" s="12">
        <v>417</v>
      </c>
      <c r="B419" s="46" t="s">
        <v>23</v>
      </c>
      <c r="C419" s="46" t="s">
        <v>38</v>
      </c>
      <c r="D419" s="46" t="s">
        <v>70</v>
      </c>
      <c r="E419" s="12" t="s">
        <v>82</v>
      </c>
      <c r="F419" s="7" t="s">
        <v>336</v>
      </c>
      <c r="G419" s="46" t="s">
        <v>1131</v>
      </c>
      <c r="H419" s="46" t="s">
        <v>1132</v>
      </c>
      <c r="I419" s="7" t="s">
        <v>915</v>
      </c>
      <c r="J419" s="6">
        <v>46043</v>
      </c>
      <c r="K419" s="7" t="s">
        <v>1125</v>
      </c>
      <c r="L419" s="7" t="s">
        <v>28</v>
      </c>
    </row>
    <row r="420" ht="16.5" spans="1:12">
      <c r="A420" s="12">
        <v>418</v>
      </c>
      <c r="B420" s="46" t="s">
        <v>23</v>
      </c>
      <c r="C420" s="46" t="s">
        <v>38</v>
      </c>
      <c r="D420" s="46" t="s">
        <v>148</v>
      </c>
      <c r="E420" s="12" t="s">
        <v>364</v>
      </c>
      <c r="F420" s="7" t="s">
        <v>376</v>
      </c>
      <c r="G420" s="46" t="s">
        <v>1133</v>
      </c>
      <c r="H420" s="46" t="s">
        <v>1127</v>
      </c>
      <c r="I420" s="7" t="s">
        <v>915</v>
      </c>
      <c r="J420" s="6">
        <v>46043</v>
      </c>
      <c r="K420" s="7" t="s">
        <v>1125</v>
      </c>
      <c r="L420" s="7" t="s">
        <v>28</v>
      </c>
    </row>
    <row r="421" ht="16.5" spans="1:12">
      <c r="A421" s="12">
        <v>419</v>
      </c>
      <c r="B421" s="46" t="s">
        <v>23</v>
      </c>
      <c r="C421" s="46" t="s">
        <v>38</v>
      </c>
      <c r="D421" s="46" t="s">
        <v>220</v>
      </c>
      <c r="E421" s="12" t="s">
        <v>427</v>
      </c>
      <c r="F421" s="7" t="s">
        <v>614</v>
      </c>
      <c r="G421" s="46" t="s">
        <v>1134</v>
      </c>
      <c r="H421" s="46" t="s">
        <v>1132</v>
      </c>
      <c r="I421" s="7" t="s">
        <v>915</v>
      </c>
      <c r="J421" s="6">
        <v>46043</v>
      </c>
      <c r="K421" s="7" t="s">
        <v>1125</v>
      </c>
      <c r="L421" s="7" t="s">
        <v>28</v>
      </c>
    </row>
    <row r="422" ht="16.5" spans="1:12">
      <c r="A422" s="12">
        <v>420</v>
      </c>
      <c r="B422" s="46" t="s">
        <v>23</v>
      </c>
      <c r="C422" s="46" t="s">
        <v>38</v>
      </c>
      <c r="D422" s="46" t="s">
        <v>144</v>
      </c>
      <c r="E422" s="12" t="s">
        <v>1077</v>
      </c>
      <c r="F422" s="7" t="s">
        <v>155</v>
      </c>
      <c r="G422" s="46" t="s">
        <v>1135</v>
      </c>
      <c r="H422" s="46" t="s">
        <v>1129</v>
      </c>
      <c r="I422" s="7" t="s">
        <v>915</v>
      </c>
      <c r="J422" s="6">
        <v>46043</v>
      </c>
      <c r="K422" s="7" t="s">
        <v>1125</v>
      </c>
      <c r="L422" s="7" t="s">
        <v>28</v>
      </c>
    </row>
    <row r="423" ht="16.5" spans="1:12">
      <c r="A423" s="12">
        <v>421</v>
      </c>
      <c r="B423" s="46" t="s">
        <v>23</v>
      </c>
      <c r="C423" s="46" t="s">
        <v>38</v>
      </c>
      <c r="D423" s="46" t="s">
        <v>168</v>
      </c>
      <c r="E423" s="12" t="s">
        <v>322</v>
      </c>
      <c r="F423" s="7" t="s">
        <v>430</v>
      </c>
      <c r="G423" s="46" t="s">
        <v>1136</v>
      </c>
      <c r="H423" s="46" t="s">
        <v>1127</v>
      </c>
      <c r="I423" s="7" t="s">
        <v>915</v>
      </c>
      <c r="J423" s="6">
        <v>46043</v>
      </c>
      <c r="K423" s="7" t="s">
        <v>1125</v>
      </c>
      <c r="L423" s="7" t="s">
        <v>28</v>
      </c>
    </row>
    <row r="424" ht="16.5" spans="1:12">
      <c r="A424" s="12">
        <v>422</v>
      </c>
      <c r="B424" s="46" t="s">
        <v>23</v>
      </c>
      <c r="C424" s="46" t="s">
        <v>38</v>
      </c>
      <c r="D424" s="46" t="s">
        <v>168</v>
      </c>
      <c r="E424" s="12" t="s">
        <v>1077</v>
      </c>
      <c r="F424" s="7" t="s">
        <v>322</v>
      </c>
      <c r="G424" s="46" t="s">
        <v>1137</v>
      </c>
      <c r="H424" s="46" t="s">
        <v>1129</v>
      </c>
      <c r="I424" s="7" t="s">
        <v>915</v>
      </c>
      <c r="J424" s="6">
        <v>46043</v>
      </c>
      <c r="K424" s="7" t="s">
        <v>1125</v>
      </c>
      <c r="L424" s="7" t="s">
        <v>28</v>
      </c>
    </row>
    <row r="425" ht="16.5" spans="1:12">
      <c r="A425" s="12">
        <v>423</v>
      </c>
      <c r="B425" s="46" t="s">
        <v>23</v>
      </c>
      <c r="C425" s="46" t="s">
        <v>38</v>
      </c>
      <c r="D425" s="46" t="s">
        <v>63</v>
      </c>
      <c r="E425" s="12" t="s">
        <v>129</v>
      </c>
      <c r="F425" s="7" t="s">
        <v>602</v>
      </c>
      <c r="G425" s="46" t="s">
        <v>1138</v>
      </c>
      <c r="H425" s="46" t="s">
        <v>1132</v>
      </c>
      <c r="I425" s="7" t="s">
        <v>915</v>
      </c>
      <c r="J425" s="6">
        <v>46043</v>
      </c>
      <c r="K425" s="7" t="s">
        <v>1125</v>
      </c>
      <c r="L425" s="7" t="s">
        <v>28</v>
      </c>
    </row>
    <row r="426" ht="16.5" spans="1:12">
      <c r="A426" s="12">
        <v>424</v>
      </c>
      <c r="B426" s="46" t="s">
        <v>23</v>
      </c>
      <c r="C426" s="46" t="s">
        <v>38</v>
      </c>
      <c r="D426" s="46" t="s">
        <v>220</v>
      </c>
      <c r="E426" s="12" t="s">
        <v>1077</v>
      </c>
      <c r="F426" s="7" t="s">
        <v>427</v>
      </c>
      <c r="G426" s="46" t="s">
        <v>1139</v>
      </c>
      <c r="H426" s="46" t="s">
        <v>1129</v>
      </c>
      <c r="I426" s="7" t="s">
        <v>915</v>
      </c>
      <c r="J426" s="6">
        <v>46043</v>
      </c>
      <c r="K426" s="7" t="s">
        <v>1125</v>
      </c>
      <c r="L426" s="7" t="s">
        <v>28</v>
      </c>
    </row>
    <row r="427" ht="16.5" spans="1:12">
      <c r="A427" s="12">
        <v>425</v>
      </c>
      <c r="B427" s="46" t="s">
        <v>23</v>
      </c>
      <c r="C427" s="46" t="s">
        <v>37</v>
      </c>
      <c r="D427" s="46" t="s">
        <v>109</v>
      </c>
      <c r="E427" s="12" t="s">
        <v>108</v>
      </c>
      <c r="F427" s="7" t="s">
        <v>422</v>
      </c>
      <c r="G427" s="46" t="s">
        <v>1140</v>
      </c>
      <c r="H427" s="46" t="s">
        <v>1127</v>
      </c>
      <c r="I427" s="7" t="s">
        <v>915</v>
      </c>
      <c r="J427" s="6">
        <v>46043</v>
      </c>
      <c r="K427" s="7" t="s">
        <v>1125</v>
      </c>
      <c r="L427" s="7" t="s">
        <v>28</v>
      </c>
    </row>
    <row r="428" ht="16.5" spans="1:12">
      <c r="A428" s="12">
        <v>426</v>
      </c>
      <c r="B428" s="46" t="s">
        <v>23</v>
      </c>
      <c r="C428" s="46" t="s">
        <v>37</v>
      </c>
      <c r="D428" s="46" t="s">
        <v>152</v>
      </c>
      <c r="E428" s="12" t="s">
        <v>1143</v>
      </c>
      <c r="F428" s="7" t="s">
        <v>451</v>
      </c>
      <c r="G428" s="46" t="s">
        <v>1141</v>
      </c>
      <c r="H428" s="46" t="s">
        <v>1129</v>
      </c>
      <c r="I428" s="7" t="s">
        <v>915</v>
      </c>
      <c r="J428" s="6">
        <v>46043</v>
      </c>
      <c r="K428" s="7" t="s">
        <v>1125</v>
      </c>
      <c r="L428" s="7" t="s">
        <v>28</v>
      </c>
    </row>
    <row r="429" ht="16.5" spans="1:12">
      <c r="A429" s="12">
        <v>427</v>
      </c>
      <c r="B429" s="46" t="s">
        <v>23</v>
      </c>
      <c r="C429" s="46" t="s">
        <v>37</v>
      </c>
      <c r="D429" s="46" t="s">
        <v>109</v>
      </c>
      <c r="E429" s="12" t="s">
        <v>1143</v>
      </c>
      <c r="F429" s="7" t="s">
        <v>108</v>
      </c>
      <c r="G429" s="46" t="s">
        <v>1142</v>
      </c>
      <c r="H429" s="46" t="s">
        <v>1129</v>
      </c>
      <c r="I429" s="7" t="s">
        <v>915</v>
      </c>
      <c r="J429" s="6">
        <v>46043</v>
      </c>
      <c r="K429" s="7" t="s">
        <v>1125</v>
      </c>
      <c r="L429" s="7" t="s">
        <v>28</v>
      </c>
    </row>
    <row r="430" ht="16.5" spans="1:12">
      <c r="A430" s="12">
        <v>428</v>
      </c>
      <c r="B430" s="46" t="s">
        <v>23</v>
      </c>
      <c r="C430" s="46" t="s">
        <v>37</v>
      </c>
      <c r="D430" s="46" t="s">
        <v>152</v>
      </c>
      <c r="E430" s="12" t="s">
        <v>1119</v>
      </c>
      <c r="F430" s="7" t="s">
        <v>1143</v>
      </c>
      <c r="G430" s="46" t="s">
        <v>1144</v>
      </c>
      <c r="H430" s="46" t="s">
        <v>1145</v>
      </c>
      <c r="I430" s="7" t="s">
        <v>915</v>
      </c>
      <c r="J430" s="6">
        <v>46043</v>
      </c>
      <c r="K430" s="7" t="s">
        <v>1125</v>
      </c>
      <c r="L430" s="7" t="s">
        <v>28</v>
      </c>
    </row>
    <row r="431" ht="16.5" spans="1:12">
      <c r="A431" s="12">
        <v>429</v>
      </c>
      <c r="B431" s="46" t="s">
        <v>23</v>
      </c>
      <c r="C431" s="46" t="s">
        <v>36</v>
      </c>
      <c r="D431" s="46" t="s">
        <v>173</v>
      </c>
      <c r="E431" s="12" t="s">
        <v>433</v>
      </c>
      <c r="F431" s="7" t="s">
        <v>309</v>
      </c>
      <c r="G431" s="46" t="s">
        <v>1146</v>
      </c>
      <c r="H431" s="46" t="s">
        <v>1127</v>
      </c>
      <c r="I431" s="7" t="s">
        <v>915</v>
      </c>
      <c r="J431" s="6">
        <v>46043</v>
      </c>
      <c r="K431" s="7" t="s">
        <v>1125</v>
      </c>
      <c r="L431" s="7" t="s">
        <v>28</v>
      </c>
    </row>
    <row r="432" ht="16.5" spans="1:12">
      <c r="A432" s="12">
        <v>430</v>
      </c>
      <c r="B432" s="46" t="s">
        <v>23</v>
      </c>
      <c r="C432" s="46" t="s">
        <v>36</v>
      </c>
      <c r="D432" s="46" t="s">
        <v>173</v>
      </c>
      <c r="E432" s="12" t="s">
        <v>433</v>
      </c>
      <c r="F432" s="7" t="s">
        <v>587</v>
      </c>
      <c r="G432" s="46" t="s">
        <v>1147</v>
      </c>
      <c r="H432" s="46" t="s">
        <v>1129</v>
      </c>
      <c r="I432" s="7" t="s">
        <v>915</v>
      </c>
      <c r="J432" s="6">
        <v>46043</v>
      </c>
      <c r="K432" s="7" t="s">
        <v>1125</v>
      </c>
      <c r="L432" s="7" t="s">
        <v>28</v>
      </c>
    </row>
    <row r="433" ht="16.5" spans="1:12">
      <c r="A433" s="12">
        <v>431</v>
      </c>
      <c r="B433" s="46" t="s">
        <v>23</v>
      </c>
      <c r="C433" s="46" t="s">
        <v>36</v>
      </c>
      <c r="D433" s="46" t="s">
        <v>173</v>
      </c>
      <c r="E433" s="12" t="s">
        <v>1385</v>
      </c>
      <c r="F433" s="7" t="s">
        <v>433</v>
      </c>
      <c r="G433" s="46" t="s">
        <v>1148</v>
      </c>
      <c r="H433" s="46" t="s">
        <v>1149</v>
      </c>
      <c r="I433" s="7" t="s">
        <v>915</v>
      </c>
      <c r="J433" s="6">
        <v>46043</v>
      </c>
      <c r="K433" s="7" t="s">
        <v>1125</v>
      </c>
      <c r="L433" s="7" t="s">
        <v>28</v>
      </c>
    </row>
    <row r="434" ht="16.5" spans="1:12">
      <c r="A434" s="12">
        <v>432</v>
      </c>
      <c r="B434" s="46" t="s">
        <v>23</v>
      </c>
      <c r="C434" s="46" t="s">
        <v>35</v>
      </c>
      <c r="D434" s="46" t="s">
        <v>125</v>
      </c>
      <c r="E434" s="12" t="s">
        <v>417</v>
      </c>
      <c r="F434" s="7" t="s">
        <v>417</v>
      </c>
      <c r="G434" s="46" t="s">
        <v>1150</v>
      </c>
      <c r="H434" s="46" t="s">
        <v>1127</v>
      </c>
      <c r="I434" s="7" t="s">
        <v>915</v>
      </c>
      <c r="J434" s="6">
        <v>46043</v>
      </c>
      <c r="K434" s="7" t="s">
        <v>1125</v>
      </c>
      <c r="L434" s="7" t="s">
        <v>28</v>
      </c>
    </row>
    <row r="435" ht="16.5" spans="1:12">
      <c r="A435" s="12">
        <v>433</v>
      </c>
      <c r="B435" s="46" t="s">
        <v>23</v>
      </c>
      <c r="C435" s="46" t="s">
        <v>35</v>
      </c>
      <c r="D435" s="46" t="s">
        <v>125</v>
      </c>
      <c r="E435" s="12" t="s">
        <v>1152</v>
      </c>
      <c r="F435" s="7" t="s">
        <v>444</v>
      </c>
      <c r="G435" s="46" t="s">
        <v>1151</v>
      </c>
      <c r="H435" s="46" t="s">
        <v>1132</v>
      </c>
      <c r="I435" s="7" t="s">
        <v>915</v>
      </c>
      <c r="J435" s="6">
        <v>46043</v>
      </c>
      <c r="K435" s="7" t="s">
        <v>1125</v>
      </c>
      <c r="L435" s="7" t="s">
        <v>28</v>
      </c>
    </row>
    <row r="436" ht="16.5" spans="1:12">
      <c r="A436" s="12">
        <v>434</v>
      </c>
      <c r="B436" s="46" t="s">
        <v>23</v>
      </c>
      <c r="C436" s="46" t="s">
        <v>35</v>
      </c>
      <c r="D436" s="46" t="s">
        <v>125</v>
      </c>
      <c r="E436" s="12" t="s">
        <v>1119</v>
      </c>
      <c r="F436" s="7" t="s">
        <v>1152</v>
      </c>
      <c r="G436" s="46" t="s">
        <v>1153</v>
      </c>
      <c r="H436" s="46" t="s">
        <v>1145</v>
      </c>
      <c r="I436" s="7" t="s">
        <v>915</v>
      </c>
      <c r="J436" s="6">
        <v>46043</v>
      </c>
      <c r="K436" s="7" t="s">
        <v>1125</v>
      </c>
      <c r="L436" s="7" t="s">
        <v>28</v>
      </c>
    </row>
    <row r="437" ht="16.5" spans="1:12">
      <c r="A437" s="12">
        <v>435</v>
      </c>
      <c r="B437" s="46" t="s">
        <v>23</v>
      </c>
      <c r="C437" s="46" t="s">
        <v>33</v>
      </c>
      <c r="D437" s="46" t="s">
        <v>537</v>
      </c>
      <c r="E437" s="12" t="s">
        <v>740</v>
      </c>
      <c r="F437" s="7" t="s">
        <v>536</v>
      </c>
      <c r="G437" s="46" t="s">
        <v>1154</v>
      </c>
      <c r="H437" s="46" t="s">
        <v>1127</v>
      </c>
      <c r="I437" s="7" t="s">
        <v>915</v>
      </c>
      <c r="J437" s="6">
        <v>46043</v>
      </c>
      <c r="K437" s="7" t="s">
        <v>1125</v>
      </c>
      <c r="L437" s="7" t="s">
        <v>28</v>
      </c>
    </row>
    <row r="438" ht="16.5" spans="1:12">
      <c r="A438" s="12">
        <v>436</v>
      </c>
      <c r="B438" s="46" t="s">
        <v>23</v>
      </c>
      <c r="C438" s="46" t="s">
        <v>33</v>
      </c>
      <c r="D438" s="46" t="s">
        <v>537</v>
      </c>
      <c r="E438" s="12" t="s">
        <v>1143</v>
      </c>
      <c r="F438" s="7" t="s">
        <v>740</v>
      </c>
      <c r="G438" s="46" t="s">
        <v>1155</v>
      </c>
      <c r="H438" s="46" t="s">
        <v>1149</v>
      </c>
      <c r="I438" s="7" t="s">
        <v>915</v>
      </c>
      <c r="J438" s="6">
        <v>46043</v>
      </c>
      <c r="K438" s="7" t="s">
        <v>1125</v>
      </c>
      <c r="L438" s="7" t="s">
        <v>28</v>
      </c>
    </row>
    <row r="439" ht="16.5" spans="1:12">
      <c r="A439" s="12">
        <v>437</v>
      </c>
      <c r="B439" s="46" t="s">
        <v>23</v>
      </c>
      <c r="C439" s="46" t="s">
        <v>32</v>
      </c>
      <c r="D439" s="46" t="s">
        <v>105</v>
      </c>
      <c r="E439" s="12" t="s">
        <v>179</v>
      </c>
      <c r="F439" s="7" t="s">
        <v>447</v>
      </c>
      <c r="G439" s="46" t="s">
        <v>1156</v>
      </c>
      <c r="H439" s="46" t="s">
        <v>1127</v>
      </c>
      <c r="I439" s="7" t="s">
        <v>915</v>
      </c>
      <c r="J439" s="6">
        <v>46043</v>
      </c>
      <c r="K439" s="7" t="s">
        <v>1125</v>
      </c>
      <c r="L439" s="7" t="s">
        <v>28</v>
      </c>
    </row>
    <row r="440" ht="16.5" spans="1:12">
      <c r="A440" s="12">
        <v>438</v>
      </c>
      <c r="B440" s="46" t="s">
        <v>23</v>
      </c>
      <c r="C440" s="46" t="s">
        <v>32</v>
      </c>
      <c r="D440" s="46" t="s">
        <v>105</v>
      </c>
      <c r="E440" s="12" t="s">
        <v>1378</v>
      </c>
      <c r="F440" s="7" t="s">
        <v>179</v>
      </c>
      <c r="G440" s="46" t="s">
        <v>1157</v>
      </c>
      <c r="H440" s="46" t="s">
        <v>1149</v>
      </c>
      <c r="I440" s="7" t="s">
        <v>915</v>
      </c>
      <c r="J440" s="6">
        <v>46043</v>
      </c>
      <c r="K440" s="7" t="s">
        <v>1125</v>
      </c>
      <c r="L440" s="7" t="s">
        <v>28</v>
      </c>
    </row>
    <row r="441" ht="16.5" spans="1:12">
      <c r="A441" s="12">
        <v>439</v>
      </c>
      <c r="B441" s="46" t="s">
        <v>23</v>
      </c>
      <c r="C441" s="46" t="s">
        <v>32</v>
      </c>
      <c r="D441" s="46" t="s">
        <v>105</v>
      </c>
      <c r="E441" s="12" t="s">
        <v>1590</v>
      </c>
      <c r="F441" s="7" t="s">
        <v>411</v>
      </c>
      <c r="G441" s="46" t="s">
        <v>1158</v>
      </c>
      <c r="H441" s="46" t="s">
        <v>1159</v>
      </c>
      <c r="I441" s="7" t="s">
        <v>915</v>
      </c>
      <c r="J441" s="6">
        <v>46043</v>
      </c>
      <c r="K441" s="7" t="s">
        <v>1125</v>
      </c>
      <c r="L441" s="7" t="s">
        <v>28</v>
      </c>
    </row>
    <row r="442" ht="16.5" spans="1:12">
      <c r="A442" s="12">
        <v>440</v>
      </c>
      <c r="B442" s="46" t="s">
        <v>23</v>
      </c>
      <c r="C442" s="46" t="s">
        <v>32</v>
      </c>
      <c r="D442" s="46" t="s">
        <v>105</v>
      </c>
      <c r="E442" s="12" t="s">
        <v>179</v>
      </c>
      <c r="F442" s="7" t="s">
        <v>556</v>
      </c>
      <c r="G442" s="46" t="s">
        <v>1160</v>
      </c>
      <c r="H442" s="46" t="s">
        <v>1127</v>
      </c>
      <c r="I442" s="7" t="s">
        <v>915</v>
      </c>
      <c r="J442" s="6">
        <v>46043</v>
      </c>
      <c r="K442" s="7" t="s">
        <v>1125</v>
      </c>
      <c r="L442" s="7" t="s">
        <v>28</v>
      </c>
    </row>
    <row r="443" ht="16.5" spans="1:12">
      <c r="A443" s="12">
        <v>441</v>
      </c>
      <c r="B443" s="46" t="s">
        <v>23</v>
      </c>
      <c r="C443" s="46" t="s">
        <v>31</v>
      </c>
      <c r="D443" s="46" t="s">
        <v>90</v>
      </c>
      <c r="E443" s="12" t="s">
        <v>89</v>
      </c>
      <c r="F443" s="7" t="s">
        <v>89</v>
      </c>
      <c r="G443" s="46" t="s">
        <v>1161</v>
      </c>
      <c r="H443" s="46" t="s">
        <v>1129</v>
      </c>
      <c r="I443" s="7" t="s">
        <v>915</v>
      </c>
      <c r="J443" s="6">
        <v>46043</v>
      </c>
      <c r="K443" s="7" t="s">
        <v>1125</v>
      </c>
      <c r="L443" s="7" t="s">
        <v>28</v>
      </c>
    </row>
    <row r="444" ht="16.5" spans="1:12">
      <c r="A444" s="12">
        <v>442</v>
      </c>
      <c r="B444" s="46" t="s">
        <v>23</v>
      </c>
      <c r="C444" s="46" t="s">
        <v>31</v>
      </c>
      <c r="D444" s="46" t="s">
        <v>79</v>
      </c>
      <c r="E444" s="12" t="s">
        <v>1163</v>
      </c>
      <c r="F444" s="7" t="s">
        <v>189</v>
      </c>
      <c r="G444" s="46" t="s">
        <v>1162</v>
      </c>
      <c r="H444" s="46" t="s">
        <v>1129</v>
      </c>
      <c r="I444" s="7" t="s">
        <v>915</v>
      </c>
      <c r="J444" s="6">
        <v>46043</v>
      </c>
      <c r="K444" s="7" t="s">
        <v>1125</v>
      </c>
      <c r="L444" s="7" t="s">
        <v>28</v>
      </c>
    </row>
    <row r="445" ht="16.5" spans="1:12">
      <c r="A445" s="12">
        <v>443</v>
      </c>
      <c r="B445" s="46" t="s">
        <v>23</v>
      </c>
      <c r="C445" s="46" t="s">
        <v>31</v>
      </c>
      <c r="D445" s="46" t="s">
        <v>79</v>
      </c>
      <c r="E445" s="12" t="s">
        <v>1119</v>
      </c>
      <c r="F445" s="7" t="s">
        <v>1163</v>
      </c>
      <c r="G445" s="46" t="s">
        <v>1164</v>
      </c>
      <c r="H445" s="46" t="s">
        <v>1145</v>
      </c>
      <c r="I445" s="7" t="s">
        <v>915</v>
      </c>
      <c r="J445" s="6">
        <v>46043</v>
      </c>
      <c r="K445" s="7" t="s">
        <v>1125</v>
      </c>
      <c r="L445" s="7" t="s">
        <v>28</v>
      </c>
    </row>
    <row r="446" ht="16.5" spans="1:12">
      <c r="A446" s="12">
        <v>444</v>
      </c>
      <c r="B446" s="46" t="s">
        <v>23</v>
      </c>
      <c r="C446" s="46" t="s">
        <v>29</v>
      </c>
      <c r="D446" s="46" t="s">
        <v>130</v>
      </c>
      <c r="E446" s="12" t="s">
        <v>380</v>
      </c>
      <c r="F446" s="7" t="s">
        <v>129</v>
      </c>
      <c r="G446" s="46" t="s">
        <v>1165</v>
      </c>
      <c r="H446" s="46" t="s">
        <v>1129</v>
      </c>
      <c r="I446" s="7" t="s">
        <v>915</v>
      </c>
      <c r="J446" s="6">
        <v>46043</v>
      </c>
      <c r="K446" s="7" t="s">
        <v>1125</v>
      </c>
      <c r="L446" s="7" t="s">
        <v>28</v>
      </c>
    </row>
    <row r="447" ht="16.5" spans="1:12">
      <c r="A447" s="12">
        <v>445</v>
      </c>
      <c r="B447" s="46" t="s">
        <v>23</v>
      </c>
      <c r="C447" s="46" t="s">
        <v>29</v>
      </c>
      <c r="D447" s="46" t="s">
        <v>130</v>
      </c>
      <c r="E447" s="12" t="s">
        <v>380</v>
      </c>
      <c r="F447" s="7" t="s">
        <v>364</v>
      </c>
      <c r="G447" s="46" t="s">
        <v>1166</v>
      </c>
      <c r="H447" s="46" t="s">
        <v>1129</v>
      </c>
      <c r="I447" s="7" t="s">
        <v>915</v>
      </c>
      <c r="J447" s="6">
        <v>46043</v>
      </c>
      <c r="K447" s="7" t="s">
        <v>1125</v>
      </c>
      <c r="L447" s="7" t="s">
        <v>28</v>
      </c>
    </row>
    <row r="448" ht="16.5" spans="1:12">
      <c r="A448" s="12">
        <v>446</v>
      </c>
      <c r="B448" s="46" t="s">
        <v>23</v>
      </c>
      <c r="C448" s="46" t="s">
        <v>29</v>
      </c>
      <c r="D448" s="46" t="s">
        <v>130</v>
      </c>
      <c r="E448" s="12" t="s">
        <v>1376</v>
      </c>
      <c r="F448" s="7" t="s">
        <v>380</v>
      </c>
      <c r="G448" s="46" t="s">
        <v>1167</v>
      </c>
      <c r="H448" s="46" t="s">
        <v>1149</v>
      </c>
      <c r="I448" s="7" t="s">
        <v>915</v>
      </c>
      <c r="J448" s="6">
        <v>46043</v>
      </c>
      <c r="K448" s="7" t="s">
        <v>1125</v>
      </c>
      <c r="L448" s="7" t="s">
        <v>28</v>
      </c>
    </row>
    <row r="449" ht="16.5" spans="1:12">
      <c r="A449" s="12">
        <v>447</v>
      </c>
      <c r="B449" s="46" t="s">
        <v>23</v>
      </c>
      <c r="C449" s="46" t="s">
        <v>26</v>
      </c>
      <c r="D449" s="46" t="s">
        <v>121</v>
      </c>
      <c r="E449" s="12" t="s">
        <v>1591</v>
      </c>
      <c r="F449" s="7" t="s">
        <v>617</v>
      </c>
      <c r="G449" s="46" t="s">
        <v>1168</v>
      </c>
      <c r="H449" s="46" t="s">
        <v>1127</v>
      </c>
      <c r="I449" s="7" t="s">
        <v>915</v>
      </c>
      <c r="J449" s="6">
        <v>46043</v>
      </c>
      <c r="K449" s="7" t="s">
        <v>1125</v>
      </c>
      <c r="L449" s="7" t="s">
        <v>28</v>
      </c>
    </row>
    <row r="450" ht="16.5" spans="1:12">
      <c r="A450" s="12">
        <v>448</v>
      </c>
      <c r="B450" s="46" t="s">
        <v>23</v>
      </c>
      <c r="C450" s="46" t="s">
        <v>26</v>
      </c>
      <c r="D450" s="46" t="s">
        <v>121</v>
      </c>
      <c r="E450" s="12" t="s">
        <v>385</v>
      </c>
      <c r="F450" s="7" t="s">
        <v>385</v>
      </c>
      <c r="G450" s="46" t="s">
        <v>1169</v>
      </c>
      <c r="H450" s="46" t="s">
        <v>1149</v>
      </c>
      <c r="I450" s="7" t="s">
        <v>915</v>
      </c>
      <c r="J450" s="6">
        <v>46043</v>
      </c>
      <c r="K450" s="7" t="s">
        <v>1125</v>
      </c>
      <c r="L450" s="7" t="s">
        <v>28</v>
      </c>
    </row>
    <row r="451" ht="16.5" spans="1:12">
      <c r="A451" s="12">
        <v>449</v>
      </c>
      <c r="B451" s="46" t="s">
        <v>23</v>
      </c>
      <c r="C451" s="46" t="s">
        <v>38</v>
      </c>
      <c r="D451" s="46" t="s">
        <v>63</v>
      </c>
      <c r="E451" s="12" t="s">
        <v>95</v>
      </c>
      <c r="F451" s="7" t="s">
        <v>1171</v>
      </c>
      <c r="G451" s="46" t="s">
        <v>1172</v>
      </c>
      <c r="H451" s="46" t="s">
        <v>1173</v>
      </c>
      <c r="I451" s="7" t="s">
        <v>907</v>
      </c>
      <c r="J451" s="6">
        <v>46051</v>
      </c>
      <c r="K451" s="7" t="s">
        <v>1170</v>
      </c>
      <c r="L451" s="7" t="s">
        <v>25</v>
      </c>
    </row>
    <row r="452" ht="16.5" spans="1:12">
      <c r="A452" s="12">
        <v>450</v>
      </c>
      <c r="B452" s="46" t="s">
        <v>23</v>
      </c>
      <c r="C452" s="46" t="s">
        <v>32</v>
      </c>
      <c r="D452" s="46" t="s">
        <v>105</v>
      </c>
      <c r="E452" s="12" t="s">
        <v>179</v>
      </c>
      <c r="F452" s="7" t="s">
        <v>1174</v>
      </c>
      <c r="G452" s="46" t="s">
        <v>1175</v>
      </c>
      <c r="H452" s="46" t="s">
        <v>1173</v>
      </c>
      <c r="I452" s="7" t="s">
        <v>915</v>
      </c>
      <c r="J452" s="6">
        <v>46051</v>
      </c>
      <c r="K452" s="7" t="s">
        <v>1170</v>
      </c>
      <c r="L452" s="7" t="s">
        <v>25</v>
      </c>
    </row>
    <row r="453" ht="16.5" spans="1:12">
      <c r="A453" s="12">
        <v>451</v>
      </c>
      <c r="B453" s="46" t="s">
        <v>23</v>
      </c>
      <c r="C453" s="46" t="s">
        <v>32</v>
      </c>
      <c r="D453" s="46" t="s">
        <v>105</v>
      </c>
      <c r="E453" s="12" t="s">
        <v>556</v>
      </c>
      <c r="F453" s="7" t="s">
        <v>1176</v>
      </c>
      <c r="G453" s="46" t="s">
        <v>1177</v>
      </c>
      <c r="H453" s="46" t="s">
        <v>1173</v>
      </c>
      <c r="I453" s="7" t="s">
        <v>915</v>
      </c>
      <c r="J453" s="6">
        <v>46051</v>
      </c>
      <c r="K453" s="7" t="s">
        <v>1170</v>
      </c>
      <c r="L453" s="7" t="s">
        <v>25</v>
      </c>
    </row>
    <row r="454" ht="16.5" spans="1:12">
      <c r="A454" s="12">
        <v>452</v>
      </c>
      <c r="B454" s="46" t="s">
        <v>23</v>
      </c>
      <c r="C454" s="46" t="s">
        <v>37</v>
      </c>
      <c r="D454" s="46" t="s">
        <v>109</v>
      </c>
      <c r="E454" s="12" t="s">
        <v>203</v>
      </c>
      <c r="F454" s="7" t="s">
        <v>1178</v>
      </c>
      <c r="G454" s="46" t="s">
        <v>1179</v>
      </c>
      <c r="H454" s="46" t="s">
        <v>1173</v>
      </c>
      <c r="I454" s="7" t="s">
        <v>915</v>
      </c>
      <c r="J454" s="6">
        <v>46051</v>
      </c>
      <c r="K454" s="7" t="s">
        <v>1170</v>
      </c>
      <c r="L454" s="7" t="s">
        <v>25</v>
      </c>
    </row>
    <row r="455" ht="16.5" spans="1:12">
      <c r="A455" s="12">
        <v>453</v>
      </c>
      <c r="B455" s="46" t="s">
        <v>23</v>
      </c>
      <c r="C455" s="46" t="s">
        <v>37</v>
      </c>
      <c r="D455" s="46" t="s">
        <v>109</v>
      </c>
      <c r="E455" s="12" t="s">
        <v>203</v>
      </c>
      <c r="F455" s="7" t="s">
        <v>1180</v>
      </c>
      <c r="G455" s="46" t="s">
        <v>1181</v>
      </c>
      <c r="H455" s="46" t="s">
        <v>1173</v>
      </c>
      <c r="I455" s="7" t="s">
        <v>915</v>
      </c>
      <c r="J455" s="6">
        <v>46051</v>
      </c>
      <c r="K455" s="7" t="s">
        <v>1170</v>
      </c>
      <c r="L455" s="7" t="s">
        <v>25</v>
      </c>
    </row>
    <row r="456" ht="16.5" spans="1:12">
      <c r="A456" s="12">
        <v>454</v>
      </c>
      <c r="B456" s="46" t="s">
        <v>23</v>
      </c>
      <c r="C456" s="46" t="s">
        <v>38</v>
      </c>
      <c r="D456" s="46" t="s">
        <v>168</v>
      </c>
      <c r="E456" s="12" t="s">
        <v>205</v>
      </c>
      <c r="F456" s="7" t="s">
        <v>1182</v>
      </c>
      <c r="G456" s="46" t="s">
        <v>1183</v>
      </c>
      <c r="H456" s="46" t="s">
        <v>1173</v>
      </c>
      <c r="I456" s="7" t="s">
        <v>907</v>
      </c>
      <c r="J456" s="6">
        <v>46051</v>
      </c>
      <c r="K456" s="7" t="s">
        <v>1170</v>
      </c>
      <c r="L456" s="7" t="s">
        <v>25</v>
      </c>
    </row>
    <row r="457" ht="16.5" spans="1:12">
      <c r="A457" s="12">
        <v>455</v>
      </c>
      <c r="B457" s="46" t="s">
        <v>23</v>
      </c>
      <c r="C457" s="46" t="s">
        <v>38</v>
      </c>
      <c r="D457" s="46" t="s">
        <v>148</v>
      </c>
      <c r="E457" s="12" t="s">
        <v>371</v>
      </c>
      <c r="F457" s="7" t="s">
        <v>1184</v>
      </c>
      <c r="G457" s="46" t="s">
        <v>1185</v>
      </c>
      <c r="H457" s="46" t="s">
        <v>1173</v>
      </c>
      <c r="I457" s="7" t="s">
        <v>907</v>
      </c>
      <c r="J457" s="6">
        <v>46051</v>
      </c>
      <c r="K457" s="7" t="s">
        <v>1170</v>
      </c>
      <c r="L457" s="7" t="s">
        <v>25</v>
      </c>
    </row>
    <row r="458" ht="16.5" spans="1:12">
      <c r="A458" s="12">
        <v>456</v>
      </c>
      <c r="B458" s="46" t="s">
        <v>23</v>
      </c>
      <c r="C458" s="46" t="s">
        <v>38</v>
      </c>
      <c r="D458" s="46" t="s">
        <v>220</v>
      </c>
      <c r="E458" s="12" t="s">
        <v>540</v>
      </c>
      <c r="F458" s="7" t="s">
        <v>1186</v>
      </c>
      <c r="G458" s="46" t="s">
        <v>1187</v>
      </c>
      <c r="H458" s="46" t="s">
        <v>1173</v>
      </c>
      <c r="I458" s="7" t="s">
        <v>915</v>
      </c>
      <c r="J458" s="6">
        <v>46051</v>
      </c>
      <c r="K458" s="7" t="s">
        <v>1170</v>
      </c>
      <c r="L458" s="7" t="s">
        <v>25</v>
      </c>
    </row>
    <row r="459" ht="16.5" spans="1:12">
      <c r="A459" s="12">
        <v>457</v>
      </c>
      <c r="B459" s="46" t="s">
        <v>23</v>
      </c>
      <c r="C459" s="46" t="s">
        <v>29</v>
      </c>
      <c r="D459" s="46" t="s">
        <v>130</v>
      </c>
      <c r="E459" s="12" t="s">
        <v>1592</v>
      </c>
      <c r="F459" s="7" t="s">
        <v>677</v>
      </c>
      <c r="G459" s="46" t="s">
        <v>1188</v>
      </c>
      <c r="H459" s="46" t="s">
        <v>1173</v>
      </c>
      <c r="I459" s="7" t="s">
        <v>915</v>
      </c>
      <c r="J459" s="6">
        <v>46051</v>
      </c>
      <c r="K459" s="7" t="s">
        <v>1170</v>
      </c>
      <c r="L459" s="7" t="s">
        <v>25</v>
      </c>
    </row>
    <row r="460" ht="16.5" spans="1:12">
      <c r="A460" s="12">
        <v>458</v>
      </c>
      <c r="B460" s="46" t="s">
        <v>23</v>
      </c>
      <c r="C460" s="46" t="s">
        <v>29</v>
      </c>
      <c r="D460" s="46" t="s">
        <v>130</v>
      </c>
      <c r="E460" s="12" t="s">
        <v>1592</v>
      </c>
      <c r="F460" s="7" t="s">
        <v>1189</v>
      </c>
      <c r="G460" s="46" t="s">
        <v>1190</v>
      </c>
      <c r="H460" s="46" t="s">
        <v>1173</v>
      </c>
      <c r="I460" s="7" t="s">
        <v>915</v>
      </c>
      <c r="J460" s="6">
        <v>46051</v>
      </c>
      <c r="K460" s="7" t="s">
        <v>1170</v>
      </c>
      <c r="L460" s="7" t="s">
        <v>25</v>
      </c>
    </row>
    <row r="461" ht="16.5" spans="1:12">
      <c r="A461" s="12">
        <v>459</v>
      </c>
      <c r="B461" s="46" t="s">
        <v>23</v>
      </c>
      <c r="C461" s="46" t="s">
        <v>38</v>
      </c>
      <c r="D461" s="46" t="s">
        <v>63</v>
      </c>
      <c r="E461" s="12" t="s">
        <v>95</v>
      </c>
      <c r="F461" s="7" t="s">
        <v>1191</v>
      </c>
      <c r="G461" s="46" t="s">
        <v>1192</v>
      </c>
      <c r="H461" s="46" t="s">
        <v>1173</v>
      </c>
      <c r="I461" s="7" t="s">
        <v>907</v>
      </c>
      <c r="J461" s="6">
        <v>46051</v>
      </c>
      <c r="K461" s="7" t="s">
        <v>1170</v>
      </c>
      <c r="L461" s="7" t="s">
        <v>25</v>
      </c>
    </row>
    <row r="462" ht="16.5" spans="1:12">
      <c r="A462" s="12">
        <v>460</v>
      </c>
      <c r="B462" s="46" t="s">
        <v>23</v>
      </c>
      <c r="C462" s="46" t="s">
        <v>38</v>
      </c>
      <c r="D462" s="46" t="s">
        <v>63</v>
      </c>
      <c r="E462" s="12" t="s">
        <v>95</v>
      </c>
      <c r="F462" s="7" t="s">
        <v>1193</v>
      </c>
      <c r="G462" s="46" t="s">
        <v>1194</v>
      </c>
      <c r="H462" s="46" t="s">
        <v>1173</v>
      </c>
      <c r="I462" s="7" t="s">
        <v>907</v>
      </c>
      <c r="J462" s="6">
        <v>46051</v>
      </c>
      <c r="K462" s="7" t="s">
        <v>1170</v>
      </c>
      <c r="L462" s="7" t="s">
        <v>25</v>
      </c>
    </row>
    <row r="463" ht="16.5" spans="1:12">
      <c r="A463" s="12">
        <v>461</v>
      </c>
      <c r="B463" s="46" t="s">
        <v>23</v>
      </c>
      <c r="C463" s="46" t="s">
        <v>38</v>
      </c>
      <c r="D463" s="46" t="s">
        <v>63</v>
      </c>
      <c r="E463" s="12" t="s">
        <v>95</v>
      </c>
      <c r="F463" s="7" t="s">
        <v>1195</v>
      </c>
      <c r="G463" s="46" t="s">
        <v>1196</v>
      </c>
      <c r="H463" s="46" t="s">
        <v>1173</v>
      </c>
      <c r="I463" s="7" t="s">
        <v>907</v>
      </c>
      <c r="J463" s="6">
        <v>46051</v>
      </c>
      <c r="K463" s="7" t="s">
        <v>1170</v>
      </c>
      <c r="L463" s="7" t="s">
        <v>25</v>
      </c>
    </row>
    <row r="464" ht="16.5" spans="1:12">
      <c r="A464" s="12">
        <v>462</v>
      </c>
      <c r="B464" s="46" t="s">
        <v>23</v>
      </c>
      <c r="C464" s="46" t="s">
        <v>38</v>
      </c>
      <c r="D464" s="46" t="s">
        <v>70</v>
      </c>
      <c r="E464" s="12" t="s">
        <v>564</v>
      </c>
      <c r="F464" s="7" t="s">
        <v>1197</v>
      </c>
      <c r="G464" s="46" t="s">
        <v>1198</v>
      </c>
      <c r="H464" s="46" t="s">
        <v>1173</v>
      </c>
      <c r="I464" s="7" t="s">
        <v>907</v>
      </c>
      <c r="J464" s="6">
        <v>46051</v>
      </c>
      <c r="K464" s="7" t="s">
        <v>1170</v>
      </c>
      <c r="L464" s="7" t="s">
        <v>25</v>
      </c>
    </row>
    <row r="465" ht="16.5" spans="1:12">
      <c r="A465" s="12">
        <v>463</v>
      </c>
      <c r="B465" s="46" t="s">
        <v>23</v>
      </c>
      <c r="C465" s="46" t="s">
        <v>38</v>
      </c>
      <c r="D465" s="46" t="s">
        <v>70</v>
      </c>
      <c r="E465" s="12" t="s">
        <v>564</v>
      </c>
      <c r="F465" s="7" t="s">
        <v>1199</v>
      </c>
      <c r="G465" s="46" t="s">
        <v>1200</v>
      </c>
      <c r="H465" s="46" t="s">
        <v>1173</v>
      </c>
      <c r="I465" s="7" t="s">
        <v>907</v>
      </c>
      <c r="J465" s="6">
        <v>46051</v>
      </c>
      <c r="K465" s="7" t="s">
        <v>1170</v>
      </c>
      <c r="L465" s="7" t="s">
        <v>25</v>
      </c>
    </row>
    <row r="466" ht="16.5" spans="1:12">
      <c r="A466" s="12">
        <v>464</v>
      </c>
      <c r="B466" s="46" t="s">
        <v>23</v>
      </c>
      <c r="C466" s="46" t="s">
        <v>38</v>
      </c>
      <c r="D466" s="46" t="s">
        <v>75</v>
      </c>
      <c r="E466" s="12" t="s">
        <v>200</v>
      </c>
      <c r="F466" s="7" t="s">
        <v>1201</v>
      </c>
      <c r="G466" s="46" t="s">
        <v>1202</v>
      </c>
      <c r="H466" s="46" t="s">
        <v>1173</v>
      </c>
      <c r="I466" s="7" t="s">
        <v>907</v>
      </c>
      <c r="J466" s="6">
        <v>46051</v>
      </c>
      <c r="K466" s="7" t="s">
        <v>1170</v>
      </c>
      <c r="L466" s="7" t="s">
        <v>25</v>
      </c>
    </row>
    <row r="467" ht="16.5" spans="1:12">
      <c r="A467" s="12">
        <v>465</v>
      </c>
      <c r="B467" s="46" t="s">
        <v>23</v>
      </c>
      <c r="C467" s="46" t="s">
        <v>38</v>
      </c>
      <c r="D467" s="46" t="s">
        <v>168</v>
      </c>
      <c r="E467" s="12" t="s">
        <v>500</v>
      </c>
      <c r="F467" s="7" t="s">
        <v>1203</v>
      </c>
      <c r="G467" s="46" t="s">
        <v>1204</v>
      </c>
      <c r="H467" s="46" t="s">
        <v>1173</v>
      </c>
      <c r="I467" s="7" t="s">
        <v>907</v>
      </c>
      <c r="J467" s="6">
        <v>46051</v>
      </c>
      <c r="K467" s="7" t="s">
        <v>1170</v>
      </c>
      <c r="L467" s="7" t="s">
        <v>25</v>
      </c>
    </row>
    <row r="468" ht="16.5" spans="1:12">
      <c r="A468" s="12">
        <v>466</v>
      </c>
      <c r="B468" s="46" t="s">
        <v>23</v>
      </c>
      <c r="C468" s="46" t="s">
        <v>29</v>
      </c>
      <c r="D468" s="46" t="s">
        <v>130</v>
      </c>
      <c r="E468" s="12" t="s">
        <v>469</v>
      </c>
      <c r="F468" s="7" t="s">
        <v>1205</v>
      </c>
      <c r="G468" s="46" t="s">
        <v>1206</v>
      </c>
      <c r="H468" s="46" t="s">
        <v>1173</v>
      </c>
      <c r="I468" s="7" t="s">
        <v>907</v>
      </c>
      <c r="J468" s="6">
        <v>46051</v>
      </c>
      <c r="K468" s="7" t="s">
        <v>1170</v>
      </c>
      <c r="L468" s="7" t="s">
        <v>25</v>
      </c>
    </row>
    <row r="469" ht="16.5" spans="1:12">
      <c r="A469" s="12">
        <v>467</v>
      </c>
      <c r="B469" s="46" t="s">
        <v>23</v>
      </c>
      <c r="C469" s="46" t="s">
        <v>38</v>
      </c>
      <c r="D469" s="46" t="s">
        <v>63</v>
      </c>
      <c r="E469" s="12" t="s">
        <v>602</v>
      </c>
      <c r="F469" s="7" t="s">
        <v>1207</v>
      </c>
      <c r="G469" s="46" t="s">
        <v>1208</v>
      </c>
      <c r="H469" s="46" t="s">
        <v>1173</v>
      </c>
      <c r="I469" s="7" t="s">
        <v>907</v>
      </c>
      <c r="J469" s="6">
        <v>46051</v>
      </c>
      <c r="K469" s="7" t="s">
        <v>1170</v>
      </c>
      <c r="L469" s="7" t="s">
        <v>25</v>
      </c>
    </row>
    <row r="470" ht="16.5" spans="1:12">
      <c r="A470" s="12">
        <v>468</v>
      </c>
      <c r="B470" s="46" t="s">
        <v>23</v>
      </c>
      <c r="C470" s="46" t="s">
        <v>38</v>
      </c>
      <c r="D470" s="46" t="s">
        <v>63</v>
      </c>
      <c r="E470" s="12" t="s">
        <v>602</v>
      </c>
      <c r="F470" s="7" t="s">
        <v>1209</v>
      </c>
      <c r="G470" s="46" t="s">
        <v>1210</v>
      </c>
      <c r="H470" s="46" t="s">
        <v>1173</v>
      </c>
      <c r="I470" s="7" t="s">
        <v>907</v>
      </c>
      <c r="J470" s="6">
        <v>46051</v>
      </c>
      <c r="K470" s="7" t="s">
        <v>1170</v>
      </c>
      <c r="L470" s="7" t="s">
        <v>25</v>
      </c>
    </row>
    <row r="471" ht="16.5" spans="1:12">
      <c r="A471" s="12">
        <v>469</v>
      </c>
      <c r="B471" s="46" t="s">
        <v>23</v>
      </c>
      <c r="C471" s="46" t="s">
        <v>38</v>
      </c>
      <c r="D471" s="46" t="s">
        <v>63</v>
      </c>
      <c r="E471" s="12" t="s">
        <v>602</v>
      </c>
      <c r="F471" s="7" t="s">
        <v>1211</v>
      </c>
      <c r="G471" s="46" t="s">
        <v>1212</v>
      </c>
      <c r="H471" s="46" t="s">
        <v>1173</v>
      </c>
      <c r="I471" s="7" t="s">
        <v>907</v>
      </c>
      <c r="J471" s="6">
        <v>46051</v>
      </c>
      <c r="K471" s="7" t="s">
        <v>1170</v>
      </c>
      <c r="L471" s="7" t="s">
        <v>25</v>
      </c>
    </row>
    <row r="472" ht="16.5" spans="1:12">
      <c r="A472" s="12">
        <v>470</v>
      </c>
      <c r="B472" s="46" t="s">
        <v>23</v>
      </c>
      <c r="C472" s="46" t="s">
        <v>38</v>
      </c>
      <c r="D472" s="46" t="s">
        <v>63</v>
      </c>
      <c r="E472" s="12" t="s">
        <v>602</v>
      </c>
      <c r="F472" s="7" t="s">
        <v>1213</v>
      </c>
      <c r="G472" s="46" t="s">
        <v>1214</v>
      </c>
      <c r="H472" s="46" t="s">
        <v>1173</v>
      </c>
      <c r="I472" s="7" t="s">
        <v>907</v>
      </c>
      <c r="J472" s="6">
        <v>46051</v>
      </c>
      <c r="K472" s="7" t="s">
        <v>1170</v>
      </c>
      <c r="L472" s="7" t="s">
        <v>25</v>
      </c>
    </row>
    <row r="473" ht="16.5" spans="1:12">
      <c r="A473" s="12">
        <v>471</v>
      </c>
      <c r="B473" s="46" t="s">
        <v>23</v>
      </c>
      <c r="C473" s="46" t="s">
        <v>38</v>
      </c>
      <c r="D473" s="46" t="s">
        <v>168</v>
      </c>
      <c r="E473" s="12" t="s">
        <v>167</v>
      </c>
      <c r="F473" s="7" t="s">
        <v>1215</v>
      </c>
      <c r="G473" s="46" t="s">
        <v>1216</v>
      </c>
      <c r="H473" s="46" t="s">
        <v>1173</v>
      </c>
      <c r="I473" s="7" t="s">
        <v>907</v>
      </c>
      <c r="J473" s="6">
        <v>46051</v>
      </c>
      <c r="K473" s="7" t="s">
        <v>1170</v>
      </c>
      <c r="L473" s="7" t="s">
        <v>25</v>
      </c>
    </row>
    <row r="474" ht="16.5" spans="1:12">
      <c r="A474" s="12">
        <v>472</v>
      </c>
      <c r="B474" s="46" t="s">
        <v>23</v>
      </c>
      <c r="C474" s="46" t="s">
        <v>38</v>
      </c>
      <c r="D474" s="46" t="s">
        <v>168</v>
      </c>
      <c r="E474" s="12" t="s">
        <v>167</v>
      </c>
      <c r="F474" s="7" t="s">
        <v>1217</v>
      </c>
      <c r="G474" s="46" t="s">
        <v>1218</v>
      </c>
      <c r="H474" s="46" t="s">
        <v>1173</v>
      </c>
      <c r="I474" s="7" t="s">
        <v>907</v>
      </c>
      <c r="J474" s="6">
        <v>46051</v>
      </c>
      <c r="K474" s="7" t="s">
        <v>1170</v>
      </c>
      <c r="L474" s="7" t="s">
        <v>25</v>
      </c>
    </row>
    <row r="475" ht="16.5" spans="1:12">
      <c r="A475" s="12">
        <v>473</v>
      </c>
      <c r="B475" s="46" t="s">
        <v>23</v>
      </c>
      <c r="C475" s="46" t="s">
        <v>38</v>
      </c>
      <c r="D475" s="46" t="s">
        <v>75</v>
      </c>
      <c r="E475" s="12" t="s">
        <v>400</v>
      </c>
      <c r="F475" s="7" t="s">
        <v>1219</v>
      </c>
      <c r="G475" s="46" t="s">
        <v>1220</v>
      </c>
      <c r="H475" s="46" t="s">
        <v>1173</v>
      </c>
      <c r="I475" s="7" t="s">
        <v>915</v>
      </c>
      <c r="J475" s="6">
        <v>46051</v>
      </c>
      <c r="K475" s="7" t="s">
        <v>1170</v>
      </c>
      <c r="L475" s="7" t="s">
        <v>25</v>
      </c>
    </row>
    <row r="476" ht="16.5" spans="1:12">
      <c r="A476" s="12">
        <v>474</v>
      </c>
      <c r="B476" s="46" t="s">
        <v>23</v>
      </c>
      <c r="C476" s="46" t="s">
        <v>38</v>
      </c>
      <c r="D476" s="46" t="s">
        <v>75</v>
      </c>
      <c r="E476" s="12" t="s">
        <v>400</v>
      </c>
      <c r="F476" s="7" t="s">
        <v>1221</v>
      </c>
      <c r="G476" s="46" t="s">
        <v>1222</v>
      </c>
      <c r="H476" s="46" t="s">
        <v>1173</v>
      </c>
      <c r="I476" s="7" t="s">
        <v>907</v>
      </c>
      <c r="J476" s="6">
        <v>46051</v>
      </c>
      <c r="K476" s="7" t="s">
        <v>1170</v>
      </c>
      <c r="L476" s="7" t="s">
        <v>25</v>
      </c>
    </row>
    <row r="477" ht="16.5" spans="1:12">
      <c r="A477" s="12">
        <v>475</v>
      </c>
      <c r="B477" s="46" t="s">
        <v>23</v>
      </c>
      <c r="C477" s="46" t="s">
        <v>32</v>
      </c>
      <c r="D477" s="46" t="s">
        <v>105</v>
      </c>
      <c r="E477" s="12" t="s">
        <v>165</v>
      </c>
      <c r="F477" s="7" t="s">
        <v>1223</v>
      </c>
      <c r="G477" s="46" t="s">
        <v>1224</v>
      </c>
      <c r="H477" s="46" t="s">
        <v>1173</v>
      </c>
      <c r="I477" s="7" t="s">
        <v>907</v>
      </c>
      <c r="J477" s="6">
        <v>46051</v>
      </c>
      <c r="K477" s="7" t="s">
        <v>1170</v>
      </c>
      <c r="L477" s="7" t="s">
        <v>25</v>
      </c>
    </row>
    <row r="478" ht="16.5" spans="1:12">
      <c r="A478" s="12">
        <v>476</v>
      </c>
      <c r="B478" s="46" t="s">
        <v>23</v>
      </c>
      <c r="C478" s="46" t="s">
        <v>31</v>
      </c>
      <c r="D478" s="46" t="s">
        <v>90</v>
      </c>
      <c r="E478" s="12" t="s">
        <v>1593</v>
      </c>
      <c r="F478" s="7" t="s">
        <v>1225</v>
      </c>
      <c r="G478" s="46" t="s">
        <v>1226</v>
      </c>
      <c r="H478" s="46" t="s">
        <v>1173</v>
      </c>
      <c r="I478" s="7" t="s">
        <v>915</v>
      </c>
      <c r="J478" s="6">
        <v>46051</v>
      </c>
      <c r="K478" s="7" t="s">
        <v>1170</v>
      </c>
      <c r="L478" s="7" t="s">
        <v>25</v>
      </c>
    </row>
    <row r="479" ht="16.5" spans="1:12">
      <c r="A479" s="12">
        <v>477</v>
      </c>
      <c r="B479" s="46" t="s">
        <v>23</v>
      </c>
      <c r="C479" s="46" t="s">
        <v>38</v>
      </c>
      <c r="D479" s="46" t="s">
        <v>70</v>
      </c>
      <c r="E479" s="12" t="s">
        <v>69</v>
      </c>
      <c r="F479" s="7" t="s">
        <v>1227</v>
      </c>
      <c r="G479" s="46" t="s">
        <v>1228</v>
      </c>
      <c r="H479" s="46" t="s">
        <v>1173</v>
      </c>
      <c r="I479" s="7" t="s">
        <v>907</v>
      </c>
      <c r="J479" s="6">
        <v>46051</v>
      </c>
      <c r="K479" s="7" t="s">
        <v>1170</v>
      </c>
      <c r="L479" s="7" t="s">
        <v>25</v>
      </c>
    </row>
    <row r="480" ht="16.5" spans="1:12">
      <c r="A480" s="12">
        <v>478</v>
      </c>
      <c r="B480" s="46" t="s">
        <v>23</v>
      </c>
      <c r="C480" s="46" t="s">
        <v>38</v>
      </c>
      <c r="D480" s="46" t="s">
        <v>70</v>
      </c>
      <c r="E480" s="12" t="s">
        <v>413</v>
      </c>
      <c r="F480" s="7" t="s">
        <v>1229</v>
      </c>
      <c r="G480" s="46" t="s">
        <v>1230</v>
      </c>
      <c r="H480" s="46" t="s">
        <v>1173</v>
      </c>
      <c r="I480" s="7" t="s">
        <v>915</v>
      </c>
      <c r="J480" s="6">
        <v>46051</v>
      </c>
      <c r="K480" s="7" t="s">
        <v>1170</v>
      </c>
      <c r="L480" s="7" t="s">
        <v>25</v>
      </c>
    </row>
    <row r="481" ht="16.5" spans="1:12">
      <c r="A481" s="12">
        <v>479</v>
      </c>
      <c r="B481" s="46" t="s">
        <v>23</v>
      </c>
      <c r="C481" s="46" t="s">
        <v>37</v>
      </c>
      <c r="D481" s="46" t="s">
        <v>109</v>
      </c>
      <c r="E481" s="12" t="s">
        <v>527</v>
      </c>
      <c r="F481" s="7" t="s">
        <v>1231</v>
      </c>
      <c r="G481" s="46" t="s">
        <v>1232</v>
      </c>
      <c r="H481" s="46" t="s">
        <v>1173</v>
      </c>
      <c r="I481" s="7" t="s">
        <v>915</v>
      </c>
      <c r="J481" s="6">
        <v>46051</v>
      </c>
      <c r="K481" s="7" t="s">
        <v>1170</v>
      </c>
      <c r="L481" s="7" t="s">
        <v>25</v>
      </c>
    </row>
    <row r="482" ht="16.5" spans="1:12">
      <c r="A482" s="12">
        <v>480</v>
      </c>
      <c r="B482" s="46" t="s">
        <v>23</v>
      </c>
      <c r="C482" s="46" t="s">
        <v>32</v>
      </c>
      <c r="D482" s="46" t="s">
        <v>105</v>
      </c>
      <c r="E482" s="12" t="s">
        <v>487</v>
      </c>
      <c r="F482" s="7" t="s">
        <v>1233</v>
      </c>
      <c r="G482" s="46" t="s">
        <v>1234</v>
      </c>
      <c r="H482" s="46" t="s">
        <v>1173</v>
      </c>
      <c r="I482" s="7" t="s">
        <v>915</v>
      </c>
      <c r="J482" s="6">
        <v>46051</v>
      </c>
      <c r="K482" s="7" t="s">
        <v>1170</v>
      </c>
      <c r="L482" s="7" t="s">
        <v>25</v>
      </c>
    </row>
    <row r="483" ht="16.5" spans="1:12">
      <c r="A483" s="12">
        <v>481</v>
      </c>
      <c r="B483" s="46" t="s">
        <v>23</v>
      </c>
      <c r="C483" s="46" t="s">
        <v>24</v>
      </c>
      <c r="D483" s="46" t="s">
        <v>101</v>
      </c>
      <c r="E483" s="12" t="s">
        <v>1594</v>
      </c>
      <c r="F483" s="7" t="s">
        <v>1235</v>
      </c>
      <c r="G483" s="46" t="s">
        <v>1236</v>
      </c>
      <c r="H483" s="46" t="s">
        <v>1173</v>
      </c>
      <c r="I483" s="7" t="s">
        <v>915</v>
      </c>
      <c r="J483" s="6">
        <v>46051</v>
      </c>
      <c r="K483" s="7" t="s">
        <v>1170</v>
      </c>
      <c r="L483" s="7" t="s">
        <v>25</v>
      </c>
    </row>
    <row r="484" ht="16.5" spans="1:12">
      <c r="A484" s="12">
        <v>482</v>
      </c>
      <c r="B484" s="46" t="s">
        <v>23</v>
      </c>
      <c r="C484" s="46" t="s">
        <v>38</v>
      </c>
      <c r="D484" s="46" t="s">
        <v>70</v>
      </c>
      <c r="E484" s="12" t="s">
        <v>576</v>
      </c>
      <c r="F484" s="7" t="s">
        <v>1237</v>
      </c>
      <c r="G484" s="46" t="s">
        <v>1238</v>
      </c>
      <c r="H484" s="46" t="s">
        <v>1173</v>
      </c>
      <c r="I484" s="7" t="s">
        <v>915</v>
      </c>
      <c r="J484" s="6">
        <v>46051</v>
      </c>
      <c r="K484" s="7" t="s">
        <v>1170</v>
      </c>
      <c r="L484" s="7" t="s">
        <v>25</v>
      </c>
    </row>
    <row r="485" ht="16.5" spans="1:12">
      <c r="A485" s="12">
        <v>483</v>
      </c>
      <c r="B485" s="46" t="s">
        <v>23</v>
      </c>
      <c r="C485" s="46" t="s">
        <v>38</v>
      </c>
      <c r="D485" s="46" t="s">
        <v>148</v>
      </c>
      <c r="E485" s="12" t="s">
        <v>147</v>
      </c>
      <c r="F485" s="7" t="s">
        <v>1239</v>
      </c>
      <c r="G485" s="46" t="s">
        <v>1240</v>
      </c>
      <c r="H485" s="46" t="s">
        <v>1173</v>
      </c>
      <c r="I485" s="7" t="s">
        <v>915</v>
      </c>
      <c r="J485" s="6">
        <v>46051</v>
      </c>
      <c r="K485" s="7" t="s">
        <v>1170</v>
      </c>
      <c r="L485" s="7" t="s">
        <v>25</v>
      </c>
    </row>
    <row r="486" ht="16.5" spans="1:12">
      <c r="A486" s="12">
        <v>484</v>
      </c>
      <c r="B486" s="46" t="s">
        <v>23</v>
      </c>
      <c r="C486" s="46" t="s">
        <v>38</v>
      </c>
      <c r="D486" s="46" t="s">
        <v>148</v>
      </c>
      <c r="E486" s="12" t="s">
        <v>147</v>
      </c>
      <c r="F486" s="7" t="s">
        <v>1241</v>
      </c>
      <c r="G486" s="46" t="s">
        <v>1242</v>
      </c>
      <c r="H486" s="46" t="s">
        <v>1173</v>
      </c>
      <c r="I486" s="7" t="s">
        <v>915</v>
      </c>
      <c r="J486" s="6">
        <v>46051</v>
      </c>
      <c r="K486" s="7" t="s">
        <v>1170</v>
      </c>
      <c r="L486" s="7" t="s">
        <v>25</v>
      </c>
    </row>
    <row r="487" ht="16.5" spans="1:12">
      <c r="A487" s="12">
        <v>485</v>
      </c>
      <c r="B487" s="46" t="s">
        <v>23</v>
      </c>
      <c r="C487" s="46" t="s">
        <v>38</v>
      </c>
      <c r="D487" s="46" t="s">
        <v>220</v>
      </c>
      <c r="E487" s="12" t="s">
        <v>1077</v>
      </c>
      <c r="F487" s="7" t="s">
        <v>1243</v>
      </c>
      <c r="G487" s="46" t="s">
        <v>1244</v>
      </c>
      <c r="H487" s="46" t="s">
        <v>1173</v>
      </c>
      <c r="I487" s="7" t="s">
        <v>907</v>
      </c>
      <c r="J487" s="6">
        <v>46051</v>
      </c>
      <c r="K487" s="7" t="s">
        <v>1170</v>
      </c>
      <c r="L487" s="7" t="s">
        <v>25</v>
      </c>
    </row>
    <row r="488" ht="16.5" spans="1:12">
      <c r="A488" s="12">
        <v>486</v>
      </c>
      <c r="B488" s="46" t="s">
        <v>23</v>
      </c>
      <c r="C488" s="46" t="s">
        <v>38</v>
      </c>
      <c r="D488" s="46" t="s">
        <v>75</v>
      </c>
      <c r="E488" s="12" t="s">
        <v>437</v>
      </c>
      <c r="F488" s="7" t="s">
        <v>1245</v>
      </c>
      <c r="G488" s="46" t="s">
        <v>1246</v>
      </c>
      <c r="H488" s="46" t="s">
        <v>1173</v>
      </c>
      <c r="I488" s="7" t="s">
        <v>915</v>
      </c>
      <c r="J488" s="6">
        <v>46051</v>
      </c>
      <c r="K488" s="7" t="s">
        <v>1170</v>
      </c>
      <c r="L488" s="7" t="s">
        <v>25</v>
      </c>
    </row>
    <row r="489" ht="16.5" spans="1:12">
      <c r="A489" s="12">
        <v>487</v>
      </c>
      <c r="B489" s="46" t="s">
        <v>23</v>
      </c>
      <c r="C489" s="46" t="s">
        <v>29</v>
      </c>
      <c r="D489" s="46" t="s">
        <v>130</v>
      </c>
      <c r="E489" s="12" t="s">
        <v>390</v>
      </c>
      <c r="F489" s="7" t="s">
        <v>1247</v>
      </c>
      <c r="G489" s="46" t="s">
        <v>1248</v>
      </c>
      <c r="H489" s="46" t="s">
        <v>1173</v>
      </c>
      <c r="I489" s="7" t="s">
        <v>915</v>
      </c>
      <c r="J489" s="6">
        <v>46051</v>
      </c>
      <c r="K489" s="7" t="s">
        <v>1170</v>
      </c>
      <c r="L489" s="7" t="s">
        <v>25</v>
      </c>
    </row>
    <row r="490" ht="16.5" spans="1:12">
      <c r="A490" s="12">
        <v>488</v>
      </c>
      <c r="B490" s="46" t="s">
        <v>23</v>
      </c>
      <c r="C490" s="46" t="s">
        <v>35</v>
      </c>
      <c r="D490" s="46" t="s">
        <v>125</v>
      </c>
      <c r="E490" s="12" t="s">
        <v>1584</v>
      </c>
      <c r="F490" s="7" t="s">
        <v>1249</v>
      </c>
      <c r="G490" s="46" t="s">
        <v>1250</v>
      </c>
      <c r="H490" s="46" t="s">
        <v>1173</v>
      </c>
      <c r="I490" s="7" t="s">
        <v>915</v>
      </c>
      <c r="J490" s="6">
        <v>46051</v>
      </c>
      <c r="K490" s="7" t="s">
        <v>1170</v>
      </c>
      <c r="L490" s="7" t="s">
        <v>25</v>
      </c>
    </row>
    <row r="491" ht="16.5" spans="1:12">
      <c r="A491" s="12">
        <v>489</v>
      </c>
      <c r="B491" s="46" t="s">
        <v>23</v>
      </c>
      <c r="C491" s="46" t="s">
        <v>29</v>
      </c>
      <c r="D491" s="46" t="s">
        <v>130</v>
      </c>
      <c r="E491" s="12" t="s">
        <v>380</v>
      </c>
      <c r="F491" s="7" t="s">
        <v>1251</v>
      </c>
      <c r="G491" s="46" t="s">
        <v>1252</v>
      </c>
      <c r="H491" s="46" t="s">
        <v>1173</v>
      </c>
      <c r="I491" s="7" t="s">
        <v>915</v>
      </c>
      <c r="J491" s="6">
        <v>46051</v>
      </c>
      <c r="K491" s="7" t="s">
        <v>1170</v>
      </c>
      <c r="L491" s="7" t="s">
        <v>25</v>
      </c>
    </row>
    <row r="492" ht="16.5" spans="1:12">
      <c r="A492" s="12">
        <v>490</v>
      </c>
      <c r="B492" s="46" t="s">
        <v>23</v>
      </c>
      <c r="C492" s="46" t="s">
        <v>34</v>
      </c>
      <c r="D492" s="46" t="s">
        <v>351</v>
      </c>
      <c r="E492" s="12" t="s">
        <v>1595</v>
      </c>
      <c r="F492" s="7" t="s">
        <v>1253</v>
      </c>
      <c r="G492" s="46" t="s">
        <v>1254</v>
      </c>
      <c r="H492" s="46" t="s">
        <v>1173</v>
      </c>
      <c r="I492" s="7" t="s">
        <v>915</v>
      </c>
      <c r="J492" s="6">
        <v>46051</v>
      </c>
      <c r="K492" s="7" t="s">
        <v>1170</v>
      </c>
      <c r="L492" s="7" t="s">
        <v>25</v>
      </c>
    </row>
    <row r="493" ht="16.5" spans="1:12">
      <c r="A493" s="12">
        <v>491</v>
      </c>
      <c r="B493" s="46" t="s">
        <v>23</v>
      </c>
      <c r="C493" s="46" t="s">
        <v>34</v>
      </c>
      <c r="D493" s="46" t="s">
        <v>351</v>
      </c>
      <c r="E493" s="12" t="s">
        <v>1595</v>
      </c>
      <c r="F493" s="7" t="s">
        <v>1255</v>
      </c>
      <c r="G493" s="46" t="s">
        <v>1256</v>
      </c>
      <c r="H493" s="46" t="s">
        <v>1173</v>
      </c>
      <c r="I493" s="7" t="s">
        <v>915</v>
      </c>
      <c r="J493" s="6">
        <v>46051</v>
      </c>
      <c r="K493" s="7" t="s">
        <v>1170</v>
      </c>
      <c r="L493" s="7" t="s">
        <v>25</v>
      </c>
    </row>
    <row r="494" ht="16.5" spans="1:12">
      <c r="A494" s="12">
        <v>492</v>
      </c>
      <c r="B494" s="46" t="s">
        <v>23</v>
      </c>
      <c r="C494" s="46" t="s">
        <v>34</v>
      </c>
      <c r="D494" s="46" t="s">
        <v>351</v>
      </c>
      <c r="E494" s="12" t="s">
        <v>1595</v>
      </c>
      <c r="F494" s="7" t="s">
        <v>1257</v>
      </c>
      <c r="G494" s="46" t="s">
        <v>1258</v>
      </c>
      <c r="H494" s="46" t="s">
        <v>1173</v>
      </c>
      <c r="I494" s="7" t="s">
        <v>915</v>
      </c>
      <c r="J494" s="6">
        <v>46051</v>
      </c>
      <c r="K494" s="7" t="s">
        <v>1170</v>
      </c>
      <c r="L494" s="7" t="s">
        <v>25</v>
      </c>
    </row>
    <row r="495" ht="16.5" spans="1:12">
      <c r="A495" s="12">
        <v>493</v>
      </c>
      <c r="B495" s="46" t="s">
        <v>23</v>
      </c>
      <c r="C495" s="46" t="s">
        <v>32</v>
      </c>
      <c r="D495" s="46" t="s">
        <v>105</v>
      </c>
      <c r="E495" s="12" t="s">
        <v>192</v>
      </c>
      <c r="F495" s="7" t="s">
        <v>1259</v>
      </c>
      <c r="G495" s="46" t="s">
        <v>1260</v>
      </c>
      <c r="H495" s="46" t="s">
        <v>1173</v>
      </c>
      <c r="I495" s="7" t="s">
        <v>907</v>
      </c>
      <c r="J495" s="6">
        <v>46051</v>
      </c>
      <c r="K495" s="7" t="s">
        <v>1170</v>
      </c>
      <c r="L495" s="7" t="s">
        <v>25</v>
      </c>
    </row>
    <row r="496" ht="16.5" spans="1:12">
      <c r="A496" s="12">
        <v>494</v>
      </c>
      <c r="B496" s="46" t="s">
        <v>23</v>
      </c>
      <c r="C496" s="46" t="s">
        <v>32</v>
      </c>
      <c r="D496" s="46" t="s">
        <v>105</v>
      </c>
      <c r="E496" s="12" t="s">
        <v>115</v>
      </c>
      <c r="F496" s="7" t="s">
        <v>1261</v>
      </c>
      <c r="G496" s="46" t="s">
        <v>1262</v>
      </c>
      <c r="H496" s="46" t="s">
        <v>1173</v>
      </c>
      <c r="I496" s="7" t="s">
        <v>907</v>
      </c>
      <c r="J496" s="6">
        <v>46051</v>
      </c>
      <c r="K496" s="7" t="s">
        <v>1170</v>
      </c>
      <c r="L496" s="7" t="s">
        <v>25</v>
      </c>
    </row>
    <row r="497" ht="16.5" spans="1:12">
      <c r="A497" s="12">
        <v>495</v>
      </c>
      <c r="B497" s="46" t="s">
        <v>23</v>
      </c>
      <c r="C497" s="46" t="s">
        <v>38</v>
      </c>
      <c r="D497" s="46" t="s">
        <v>75</v>
      </c>
      <c r="E497" s="12" t="s">
        <v>74</v>
      </c>
      <c r="F497" s="7" t="s">
        <v>1263</v>
      </c>
      <c r="G497" s="46" t="s">
        <v>1264</v>
      </c>
      <c r="H497" s="46" t="s">
        <v>1173</v>
      </c>
      <c r="I497" s="7" t="s">
        <v>907</v>
      </c>
      <c r="J497" s="6">
        <v>46051</v>
      </c>
      <c r="K497" s="7" t="s">
        <v>1170</v>
      </c>
      <c r="L497" s="7" t="s">
        <v>25</v>
      </c>
    </row>
    <row r="498" ht="16.5" spans="1:12">
      <c r="A498" s="12">
        <v>496</v>
      </c>
      <c r="B498" s="46" t="s">
        <v>23</v>
      </c>
      <c r="C498" s="46" t="s">
        <v>31</v>
      </c>
      <c r="D498" s="46" t="s">
        <v>79</v>
      </c>
      <c r="E498" s="12" t="s">
        <v>189</v>
      </c>
      <c r="F498" s="7" t="s">
        <v>1265</v>
      </c>
      <c r="G498" s="46" t="s">
        <v>1266</v>
      </c>
      <c r="H498" s="46" t="s">
        <v>1173</v>
      </c>
      <c r="I498" s="7" t="s">
        <v>915</v>
      </c>
      <c r="J498" s="6">
        <v>46051</v>
      </c>
      <c r="K498" s="7" t="s">
        <v>1170</v>
      </c>
      <c r="L498" s="7" t="s">
        <v>25</v>
      </c>
    </row>
    <row r="499" ht="16.5" spans="1:12">
      <c r="A499" s="12">
        <v>497</v>
      </c>
      <c r="B499" s="46" t="s">
        <v>23</v>
      </c>
      <c r="C499" s="46" t="s">
        <v>37</v>
      </c>
      <c r="D499" s="46" t="s">
        <v>109</v>
      </c>
      <c r="E499" s="12" t="s">
        <v>108</v>
      </c>
      <c r="F499" s="7" t="s">
        <v>1267</v>
      </c>
      <c r="G499" s="46" t="s">
        <v>1268</v>
      </c>
      <c r="H499" s="46" t="s">
        <v>1173</v>
      </c>
      <c r="I499" s="7" t="s">
        <v>915</v>
      </c>
      <c r="J499" s="6">
        <v>46051</v>
      </c>
      <c r="K499" s="7" t="s">
        <v>1170</v>
      </c>
      <c r="L499" s="7" t="s">
        <v>25</v>
      </c>
    </row>
    <row r="500" ht="16.5" spans="1:12">
      <c r="A500" s="12">
        <v>498</v>
      </c>
      <c r="B500" s="46" t="s">
        <v>23</v>
      </c>
      <c r="C500" s="46" t="s">
        <v>31</v>
      </c>
      <c r="D500" s="46" t="s">
        <v>79</v>
      </c>
      <c r="E500" s="12" t="s">
        <v>86</v>
      </c>
      <c r="F500" s="7" t="s">
        <v>1269</v>
      </c>
      <c r="G500" s="46" t="s">
        <v>1270</v>
      </c>
      <c r="H500" s="46" t="s">
        <v>1173</v>
      </c>
      <c r="I500" s="7" t="s">
        <v>915</v>
      </c>
      <c r="J500" s="6">
        <v>46051</v>
      </c>
      <c r="K500" s="7" t="s">
        <v>1170</v>
      </c>
      <c r="L500" s="7" t="s">
        <v>25</v>
      </c>
    </row>
    <row r="501" ht="16.5" spans="1:12">
      <c r="A501" s="12">
        <v>499</v>
      </c>
      <c r="B501" s="46" t="s">
        <v>23</v>
      </c>
      <c r="C501" s="46" t="s">
        <v>38</v>
      </c>
      <c r="D501" s="46" t="s">
        <v>144</v>
      </c>
      <c r="E501" s="12" t="s">
        <v>216</v>
      </c>
      <c r="F501" s="7" t="s">
        <v>1271</v>
      </c>
      <c r="G501" s="46" t="s">
        <v>1272</v>
      </c>
      <c r="H501" s="46" t="s">
        <v>1173</v>
      </c>
      <c r="I501" s="7" t="s">
        <v>907</v>
      </c>
      <c r="J501" s="6">
        <v>46051</v>
      </c>
      <c r="K501" s="7" t="s">
        <v>1170</v>
      </c>
      <c r="L501" s="7" t="s">
        <v>25</v>
      </c>
    </row>
    <row r="502" ht="16.5" spans="1:12">
      <c r="A502" s="12">
        <v>500</v>
      </c>
      <c r="B502" s="46" t="s">
        <v>23</v>
      </c>
      <c r="C502" s="46" t="s">
        <v>38</v>
      </c>
      <c r="D502" s="46" t="s">
        <v>144</v>
      </c>
      <c r="E502" s="12" t="s">
        <v>216</v>
      </c>
      <c r="F502" s="7" t="s">
        <v>1273</v>
      </c>
      <c r="G502" s="46" t="s">
        <v>1274</v>
      </c>
      <c r="H502" s="46" t="s">
        <v>1173</v>
      </c>
      <c r="I502" s="7" t="s">
        <v>907</v>
      </c>
      <c r="J502" s="6">
        <v>46051</v>
      </c>
      <c r="K502" s="7" t="s">
        <v>1170</v>
      </c>
      <c r="L502" s="7" t="s">
        <v>25</v>
      </c>
    </row>
    <row r="503" ht="16.5" spans="1:12">
      <c r="A503" s="12">
        <v>501</v>
      </c>
      <c r="B503" s="46" t="s">
        <v>23</v>
      </c>
      <c r="C503" s="46" t="s">
        <v>38</v>
      </c>
      <c r="D503" s="46" t="s">
        <v>148</v>
      </c>
      <c r="E503" s="12" t="s">
        <v>227</v>
      </c>
      <c r="F503" s="7" t="s">
        <v>1275</v>
      </c>
      <c r="G503" s="46" t="s">
        <v>1276</v>
      </c>
      <c r="H503" s="46" t="s">
        <v>1173</v>
      </c>
      <c r="I503" s="7" t="s">
        <v>907</v>
      </c>
      <c r="J503" s="6">
        <v>46051</v>
      </c>
      <c r="K503" s="7" t="s">
        <v>1170</v>
      </c>
      <c r="L503" s="7" t="s">
        <v>25</v>
      </c>
    </row>
    <row r="504" ht="16.5" spans="1:12">
      <c r="A504" s="12">
        <v>502</v>
      </c>
      <c r="B504" s="46" t="s">
        <v>23</v>
      </c>
      <c r="C504" s="46" t="s">
        <v>38</v>
      </c>
      <c r="D504" s="46" t="s">
        <v>220</v>
      </c>
      <c r="E504" s="12" t="s">
        <v>427</v>
      </c>
      <c r="F504" s="7" t="s">
        <v>1277</v>
      </c>
      <c r="G504" s="46" t="s">
        <v>1278</v>
      </c>
      <c r="H504" s="46" t="s">
        <v>1173</v>
      </c>
      <c r="I504" s="7" t="s">
        <v>915</v>
      </c>
      <c r="J504" s="6">
        <v>46051</v>
      </c>
      <c r="K504" s="7" t="s">
        <v>1170</v>
      </c>
      <c r="L504" s="7" t="s">
        <v>25</v>
      </c>
    </row>
    <row r="505" ht="16.5" spans="1:12">
      <c r="A505" s="12">
        <v>503</v>
      </c>
      <c r="B505" s="46" t="s">
        <v>23</v>
      </c>
      <c r="C505" s="46" t="s">
        <v>38</v>
      </c>
      <c r="D505" s="46" t="s">
        <v>70</v>
      </c>
      <c r="E505" s="12" t="s">
        <v>368</v>
      </c>
      <c r="F505" s="7" t="s">
        <v>1279</v>
      </c>
      <c r="G505" s="46" t="s">
        <v>1280</v>
      </c>
      <c r="H505" s="46" t="s">
        <v>1173</v>
      </c>
      <c r="I505" s="7" t="s">
        <v>907</v>
      </c>
      <c r="J505" s="6">
        <v>46051</v>
      </c>
      <c r="K505" s="7" t="s">
        <v>1170</v>
      </c>
      <c r="L505" s="7" t="s">
        <v>25</v>
      </c>
    </row>
    <row r="506" ht="16.5" spans="1:12">
      <c r="A506" s="12">
        <v>504</v>
      </c>
      <c r="B506" s="46" t="s">
        <v>23</v>
      </c>
      <c r="C506" s="46" t="s">
        <v>38</v>
      </c>
      <c r="D506" s="46" t="s">
        <v>148</v>
      </c>
      <c r="E506" s="12" t="s">
        <v>531</v>
      </c>
      <c r="F506" s="7" t="s">
        <v>1281</v>
      </c>
      <c r="G506" s="46" t="s">
        <v>1282</v>
      </c>
      <c r="H506" s="46" t="s">
        <v>1173</v>
      </c>
      <c r="I506" s="7" t="s">
        <v>907</v>
      </c>
      <c r="J506" s="6">
        <v>46051</v>
      </c>
      <c r="K506" s="7" t="s">
        <v>1170</v>
      </c>
      <c r="L506" s="7" t="s">
        <v>25</v>
      </c>
    </row>
    <row r="507" ht="16.5" spans="1:12">
      <c r="A507" s="12">
        <v>505</v>
      </c>
      <c r="B507" s="46" t="s">
        <v>23</v>
      </c>
      <c r="C507" s="46" t="s">
        <v>38</v>
      </c>
      <c r="D507" s="46" t="s">
        <v>148</v>
      </c>
      <c r="E507" s="12" t="s">
        <v>531</v>
      </c>
      <c r="F507" s="7" t="s">
        <v>1283</v>
      </c>
      <c r="G507" s="46" t="s">
        <v>1284</v>
      </c>
      <c r="H507" s="46" t="s">
        <v>1173</v>
      </c>
      <c r="I507" s="7" t="s">
        <v>907</v>
      </c>
      <c r="J507" s="6">
        <v>46051</v>
      </c>
      <c r="K507" s="7" t="s">
        <v>1170</v>
      </c>
      <c r="L507" s="7" t="s">
        <v>25</v>
      </c>
    </row>
    <row r="508" ht="16.5" spans="1:12">
      <c r="A508" s="12">
        <v>506</v>
      </c>
      <c r="B508" s="46" t="s">
        <v>23</v>
      </c>
      <c r="C508" s="46" t="s">
        <v>38</v>
      </c>
      <c r="D508" s="46" t="s">
        <v>148</v>
      </c>
      <c r="E508" s="12" t="s">
        <v>531</v>
      </c>
      <c r="F508" s="7" t="s">
        <v>1285</v>
      </c>
      <c r="G508" s="46" t="s">
        <v>1286</v>
      </c>
      <c r="H508" s="46" t="s">
        <v>1173</v>
      </c>
      <c r="I508" s="7" t="s">
        <v>907</v>
      </c>
      <c r="J508" s="6">
        <v>46051</v>
      </c>
      <c r="K508" s="7" t="s">
        <v>1170</v>
      </c>
      <c r="L508" s="7" t="s">
        <v>25</v>
      </c>
    </row>
    <row r="509" ht="16.5" spans="1:12">
      <c r="A509" s="12">
        <v>507</v>
      </c>
      <c r="B509" s="46" t="s">
        <v>23</v>
      </c>
      <c r="C509" s="46" t="s">
        <v>38</v>
      </c>
      <c r="D509" s="46" t="s">
        <v>220</v>
      </c>
      <c r="E509" s="12" t="s">
        <v>614</v>
      </c>
      <c r="F509" s="7" t="s">
        <v>1287</v>
      </c>
      <c r="G509" s="46" t="s">
        <v>1288</v>
      </c>
      <c r="H509" s="46" t="s">
        <v>1173</v>
      </c>
      <c r="I509" s="7" t="s">
        <v>915</v>
      </c>
      <c r="J509" s="6">
        <v>46051</v>
      </c>
      <c r="K509" s="7" t="s">
        <v>1170</v>
      </c>
      <c r="L509" s="7" t="s">
        <v>25</v>
      </c>
    </row>
    <row r="510" ht="16.5" spans="1:12">
      <c r="A510" s="12">
        <v>508</v>
      </c>
      <c r="B510" s="46" t="s">
        <v>23</v>
      </c>
      <c r="C510" s="46" t="s">
        <v>38</v>
      </c>
      <c r="D510" s="46" t="s">
        <v>220</v>
      </c>
      <c r="E510" s="12" t="s">
        <v>614</v>
      </c>
      <c r="F510" s="7" t="s">
        <v>1289</v>
      </c>
      <c r="G510" s="46" t="s">
        <v>1290</v>
      </c>
      <c r="H510" s="46" t="s">
        <v>1173</v>
      </c>
      <c r="I510" s="7" t="s">
        <v>915</v>
      </c>
      <c r="J510" s="6">
        <v>46051</v>
      </c>
      <c r="K510" s="7" t="s">
        <v>1170</v>
      </c>
      <c r="L510" s="7" t="s">
        <v>25</v>
      </c>
    </row>
    <row r="511" ht="16.5" spans="1:12">
      <c r="A511" s="12">
        <v>509</v>
      </c>
      <c r="B511" s="46" t="s">
        <v>23</v>
      </c>
      <c r="C511" s="46" t="s">
        <v>38</v>
      </c>
      <c r="D511" s="46" t="s">
        <v>168</v>
      </c>
      <c r="E511" s="12" t="s">
        <v>319</v>
      </c>
      <c r="F511" s="7" t="s">
        <v>1291</v>
      </c>
      <c r="G511" s="46" t="s">
        <v>1292</v>
      </c>
      <c r="H511" s="46" t="s">
        <v>1173</v>
      </c>
      <c r="I511" s="7" t="s">
        <v>907</v>
      </c>
      <c r="J511" s="6">
        <v>46051</v>
      </c>
      <c r="K511" s="7" t="s">
        <v>1170</v>
      </c>
      <c r="L511" s="7" t="s">
        <v>25</v>
      </c>
    </row>
    <row r="512" ht="16.5" spans="1:12">
      <c r="A512" s="12">
        <v>510</v>
      </c>
      <c r="B512" s="46" t="s">
        <v>23</v>
      </c>
      <c r="C512" s="46" t="s">
        <v>38</v>
      </c>
      <c r="D512" s="46" t="s">
        <v>168</v>
      </c>
      <c r="E512" s="12" t="s">
        <v>319</v>
      </c>
      <c r="F512" s="7" t="s">
        <v>1293</v>
      </c>
      <c r="G512" s="46" t="s">
        <v>1294</v>
      </c>
      <c r="H512" s="46" t="s">
        <v>1173</v>
      </c>
      <c r="I512" s="7" t="s">
        <v>907</v>
      </c>
      <c r="J512" s="6">
        <v>46051</v>
      </c>
      <c r="K512" s="7" t="s">
        <v>1170</v>
      </c>
      <c r="L512" s="7" t="s">
        <v>25</v>
      </c>
    </row>
    <row r="513" ht="16.5" spans="1:12">
      <c r="A513" s="12">
        <v>511</v>
      </c>
      <c r="B513" s="46" t="s">
        <v>23</v>
      </c>
      <c r="C513" s="46" t="s">
        <v>38</v>
      </c>
      <c r="D513" s="46" t="s">
        <v>168</v>
      </c>
      <c r="E513" s="12" t="s">
        <v>319</v>
      </c>
      <c r="F513" s="7" t="s">
        <v>1295</v>
      </c>
      <c r="G513" s="46" t="s">
        <v>1296</v>
      </c>
      <c r="H513" s="46" t="s">
        <v>1173</v>
      </c>
      <c r="I513" s="7" t="s">
        <v>907</v>
      </c>
      <c r="J513" s="6">
        <v>46051</v>
      </c>
      <c r="K513" s="7" t="s">
        <v>1170</v>
      </c>
      <c r="L513" s="7" t="s">
        <v>25</v>
      </c>
    </row>
    <row r="514" ht="16.5" spans="1:12">
      <c r="A514" s="12">
        <v>512</v>
      </c>
      <c r="B514" s="46" t="s">
        <v>23</v>
      </c>
      <c r="C514" s="46" t="s">
        <v>26</v>
      </c>
      <c r="D514" s="46" t="s">
        <v>121</v>
      </c>
      <c r="E514" s="12" t="s">
        <v>385</v>
      </c>
      <c r="F514" s="7" t="s">
        <v>1297</v>
      </c>
      <c r="G514" s="46" t="s">
        <v>1298</v>
      </c>
      <c r="H514" s="46" t="s">
        <v>1173</v>
      </c>
      <c r="I514" s="7" t="s">
        <v>915</v>
      </c>
      <c r="J514" s="6">
        <v>46051</v>
      </c>
      <c r="K514" s="7" t="s">
        <v>1170</v>
      </c>
      <c r="L514" s="7" t="s">
        <v>25</v>
      </c>
    </row>
    <row r="515" ht="16.5" spans="1:12">
      <c r="A515" s="12">
        <v>513</v>
      </c>
      <c r="B515" s="46" t="s">
        <v>23</v>
      </c>
      <c r="C515" s="46" t="s">
        <v>35</v>
      </c>
      <c r="D515" s="46" t="s">
        <v>125</v>
      </c>
      <c r="E515" s="12" t="s">
        <v>605</v>
      </c>
      <c r="F515" s="7" t="s">
        <v>1299</v>
      </c>
      <c r="G515" s="46" t="s">
        <v>1300</v>
      </c>
      <c r="H515" s="46" t="s">
        <v>1173</v>
      </c>
      <c r="I515" s="7" t="s">
        <v>915</v>
      </c>
      <c r="J515" s="6">
        <v>46051</v>
      </c>
      <c r="K515" s="7" t="s">
        <v>1170</v>
      </c>
      <c r="L515" s="7" t="s">
        <v>25</v>
      </c>
    </row>
    <row r="516" ht="16.5" spans="1:12">
      <c r="A516" s="12">
        <v>514</v>
      </c>
      <c r="B516" s="46" t="s">
        <v>23</v>
      </c>
      <c r="C516" s="46" t="s">
        <v>29</v>
      </c>
      <c r="D516" s="46" t="s">
        <v>130</v>
      </c>
      <c r="E516" s="12" t="s">
        <v>263</v>
      </c>
      <c r="F516" s="7" t="s">
        <v>1301</v>
      </c>
      <c r="G516" s="46" t="s">
        <v>1302</v>
      </c>
      <c r="H516" s="46" t="s">
        <v>1173</v>
      </c>
      <c r="I516" s="7" t="s">
        <v>915</v>
      </c>
      <c r="J516" s="6">
        <v>46051</v>
      </c>
      <c r="K516" s="7" t="s">
        <v>1170</v>
      </c>
      <c r="L516" s="7" t="s">
        <v>25</v>
      </c>
    </row>
    <row r="517" ht="16.5" spans="1:12">
      <c r="A517" s="12">
        <v>515</v>
      </c>
      <c r="B517" s="46" t="s">
        <v>23</v>
      </c>
      <c r="C517" s="46" t="s">
        <v>38</v>
      </c>
      <c r="D517" s="46" t="s">
        <v>144</v>
      </c>
      <c r="E517" s="12" t="s">
        <v>185</v>
      </c>
      <c r="F517" s="7" t="s">
        <v>1303</v>
      </c>
      <c r="G517" s="46" t="s">
        <v>1304</v>
      </c>
      <c r="H517" s="46" t="s">
        <v>1173</v>
      </c>
      <c r="I517" s="7" t="s">
        <v>907</v>
      </c>
      <c r="J517" s="6">
        <v>46051</v>
      </c>
      <c r="K517" s="7" t="s">
        <v>1170</v>
      </c>
      <c r="L517" s="7" t="s">
        <v>25</v>
      </c>
    </row>
    <row r="518" ht="16.5" spans="1:12">
      <c r="A518" s="12">
        <v>516</v>
      </c>
      <c r="B518" s="46" t="s">
        <v>23</v>
      </c>
      <c r="C518" s="46" t="s">
        <v>38</v>
      </c>
      <c r="D518" s="46" t="s">
        <v>144</v>
      </c>
      <c r="E518" s="12" t="s">
        <v>185</v>
      </c>
      <c r="F518" s="7" t="s">
        <v>1305</v>
      </c>
      <c r="G518" s="46" t="s">
        <v>1306</v>
      </c>
      <c r="H518" s="46" t="s">
        <v>1173</v>
      </c>
      <c r="I518" s="7" t="s">
        <v>915</v>
      </c>
      <c r="J518" s="6">
        <v>46051</v>
      </c>
      <c r="K518" s="7" t="s">
        <v>1170</v>
      </c>
      <c r="L518" s="7" t="s">
        <v>25</v>
      </c>
    </row>
    <row r="519" ht="16.5" spans="1:12">
      <c r="A519" s="12">
        <v>517</v>
      </c>
      <c r="B519" s="46" t="s">
        <v>23</v>
      </c>
      <c r="C519" s="46" t="s">
        <v>38</v>
      </c>
      <c r="D519" s="46" t="s">
        <v>144</v>
      </c>
      <c r="E519" s="12" t="s">
        <v>185</v>
      </c>
      <c r="F519" s="7" t="s">
        <v>1307</v>
      </c>
      <c r="G519" s="46" t="s">
        <v>1308</v>
      </c>
      <c r="H519" s="46" t="s">
        <v>1173</v>
      </c>
      <c r="I519" s="7" t="s">
        <v>907</v>
      </c>
      <c r="J519" s="6">
        <v>46051</v>
      </c>
      <c r="K519" s="7" t="s">
        <v>1170</v>
      </c>
      <c r="L519" s="7" t="s">
        <v>25</v>
      </c>
    </row>
    <row r="520" ht="16.5" spans="1:12">
      <c r="A520" s="12">
        <v>518</v>
      </c>
      <c r="B520" s="46" t="s">
        <v>23</v>
      </c>
      <c r="C520" s="46" t="s">
        <v>26</v>
      </c>
      <c r="D520" s="46" t="s">
        <v>121</v>
      </c>
      <c r="E520" s="12" t="s">
        <v>1596</v>
      </c>
      <c r="F520" s="7" t="s">
        <v>1309</v>
      </c>
      <c r="G520" s="46" t="s">
        <v>1310</v>
      </c>
      <c r="H520" s="46" t="s">
        <v>1173</v>
      </c>
      <c r="I520" s="7" t="s">
        <v>907</v>
      </c>
      <c r="J520" s="6">
        <v>46051</v>
      </c>
      <c r="K520" s="7" t="s">
        <v>1170</v>
      </c>
      <c r="L520" s="7" t="s">
        <v>25</v>
      </c>
    </row>
    <row r="521" ht="16.5" spans="1:12">
      <c r="A521" s="12">
        <v>519</v>
      </c>
      <c r="B521" s="46" t="s">
        <v>23</v>
      </c>
      <c r="C521" s="46" t="s">
        <v>26</v>
      </c>
      <c r="D521" s="46" t="s">
        <v>121</v>
      </c>
      <c r="E521" s="12" t="s">
        <v>1596</v>
      </c>
      <c r="F521" s="7" t="s">
        <v>1311</v>
      </c>
      <c r="G521" s="46" t="s">
        <v>1312</v>
      </c>
      <c r="H521" s="46" t="s">
        <v>1173</v>
      </c>
      <c r="I521" s="7" t="s">
        <v>915</v>
      </c>
      <c r="J521" s="6">
        <v>46051</v>
      </c>
      <c r="K521" s="7" t="s">
        <v>1170</v>
      </c>
      <c r="L521" s="7" t="s">
        <v>25</v>
      </c>
    </row>
    <row r="522" ht="16.5" spans="1:12">
      <c r="A522" s="12">
        <v>520</v>
      </c>
      <c r="B522" s="46" t="s">
        <v>23</v>
      </c>
      <c r="C522" s="46" t="s">
        <v>26</v>
      </c>
      <c r="D522" s="46" t="s">
        <v>121</v>
      </c>
      <c r="E522" s="12" t="s">
        <v>1596</v>
      </c>
      <c r="F522" s="7" t="s">
        <v>1313</v>
      </c>
      <c r="G522" s="46" t="s">
        <v>1314</v>
      </c>
      <c r="H522" s="46" t="s">
        <v>1173</v>
      </c>
      <c r="I522" s="7" t="s">
        <v>915</v>
      </c>
      <c r="J522" s="6">
        <v>46051</v>
      </c>
      <c r="K522" s="7" t="s">
        <v>1170</v>
      </c>
      <c r="L522" s="7" t="s">
        <v>25</v>
      </c>
    </row>
    <row r="523" ht="16.5" spans="1:12">
      <c r="A523" s="12">
        <v>521</v>
      </c>
      <c r="B523" s="46" t="s">
        <v>23</v>
      </c>
      <c r="C523" s="46" t="s">
        <v>38</v>
      </c>
      <c r="D523" s="46" t="s">
        <v>75</v>
      </c>
      <c r="E523" s="12" t="s">
        <v>176</v>
      </c>
      <c r="F523" s="7" t="s">
        <v>1315</v>
      </c>
      <c r="G523" s="46" t="s">
        <v>1316</v>
      </c>
      <c r="H523" s="46" t="s">
        <v>1173</v>
      </c>
      <c r="I523" s="7" t="s">
        <v>915</v>
      </c>
      <c r="J523" s="6">
        <v>46051</v>
      </c>
      <c r="K523" s="7" t="s">
        <v>1170</v>
      </c>
      <c r="L523" s="7" t="s">
        <v>25</v>
      </c>
    </row>
    <row r="524" ht="16.5" spans="1:12">
      <c r="A524" s="12">
        <v>522</v>
      </c>
      <c r="B524" s="46" t="s">
        <v>23</v>
      </c>
      <c r="C524" s="46" t="s">
        <v>38</v>
      </c>
      <c r="D524" s="46" t="s">
        <v>75</v>
      </c>
      <c r="E524" s="12" t="s">
        <v>176</v>
      </c>
      <c r="F524" s="7" t="s">
        <v>1317</v>
      </c>
      <c r="G524" s="46" t="s">
        <v>1318</v>
      </c>
      <c r="H524" s="46" t="s">
        <v>1173</v>
      </c>
      <c r="I524" s="7" t="s">
        <v>907</v>
      </c>
      <c r="J524" s="6">
        <v>46051</v>
      </c>
      <c r="K524" s="7" t="s">
        <v>1170</v>
      </c>
      <c r="L524" s="7" t="s">
        <v>25</v>
      </c>
    </row>
    <row r="525" ht="16.5" spans="1:12">
      <c r="A525" s="12">
        <v>523</v>
      </c>
      <c r="B525" s="46" t="s">
        <v>23</v>
      </c>
      <c r="C525" s="46" t="s">
        <v>38</v>
      </c>
      <c r="D525" s="46" t="s">
        <v>220</v>
      </c>
      <c r="E525" s="12" t="s">
        <v>620</v>
      </c>
      <c r="F525" s="7" t="s">
        <v>1319</v>
      </c>
      <c r="G525" s="46" t="s">
        <v>1320</v>
      </c>
      <c r="H525" s="46" t="s">
        <v>1173</v>
      </c>
      <c r="I525" s="7" t="s">
        <v>907</v>
      </c>
      <c r="J525" s="6">
        <v>46051</v>
      </c>
      <c r="K525" s="7" t="s">
        <v>1170</v>
      </c>
      <c r="L525" s="7" t="s">
        <v>25</v>
      </c>
    </row>
    <row r="526" ht="16.5" spans="1:12">
      <c r="A526" s="12">
        <v>524</v>
      </c>
      <c r="B526" s="46" t="s">
        <v>23</v>
      </c>
      <c r="C526" s="46" t="s">
        <v>38</v>
      </c>
      <c r="D526" s="46" t="s">
        <v>220</v>
      </c>
      <c r="E526" s="12" t="s">
        <v>620</v>
      </c>
      <c r="F526" s="7" t="s">
        <v>1321</v>
      </c>
      <c r="G526" s="46" t="s">
        <v>1322</v>
      </c>
      <c r="H526" s="46" t="s">
        <v>1173</v>
      </c>
      <c r="I526" s="7" t="s">
        <v>907</v>
      </c>
      <c r="J526" s="6">
        <v>46051</v>
      </c>
      <c r="K526" s="7" t="s">
        <v>1170</v>
      </c>
      <c r="L526" s="7" t="s">
        <v>25</v>
      </c>
    </row>
    <row r="527" ht="16.5" spans="1:12">
      <c r="A527" s="12">
        <v>525</v>
      </c>
      <c r="B527" s="46" t="s">
        <v>23</v>
      </c>
      <c r="C527" s="46" t="s">
        <v>38</v>
      </c>
      <c r="D527" s="46" t="s">
        <v>70</v>
      </c>
      <c r="E527" s="12" t="s">
        <v>564</v>
      </c>
      <c r="F527" s="7" t="s">
        <v>1199</v>
      </c>
      <c r="G527" s="46" t="s">
        <v>1200</v>
      </c>
      <c r="H527" s="46" t="s">
        <v>1173</v>
      </c>
      <c r="I527" s="7" t="s">
        <v>907</v>
      </c>
      <c r="J527" s="6">
        <v>46051</v>
      </c>
      <c r="K527" s="7" t="s">
        <v>1323</v>
      </c>
      <c r="L527" s="7" t="s">
        <v>25</v>
      </c>
    </row>
    <row r="528" ht="16.5" spans="1:12">
      <c r="A528" s="12">
        <v>526</v>
      </c>
      <c r="B528" s="46" t="s">
        <v>23</v>
      </c>
      <c r="C528" s="46" t="s">
        <v>32</v>
      </c>
      <c r="D528" s="46" t="s">
        <v>105</v>
      </c>
      <c r="E528" s="12" t="s">
        <v>179</v>
      </c>
      <c r="F528" s="7" t="s">
        <v>1174</v>
      </c>
      <c r="G528" s="46" t="s">
        <v>1175</v>
      </c>
      <c r="H528" s="46" t="s">
        <v>1173</v>
      </c>
      <c r="I528" s="7" t="s">
        <v>915</v>
      </c>
      <c r="J528" s="6">
        <v>46051</v>
      </c>
      <c r="K528" s="7" t="s">
        <v>1323</v>
      </c>
      <c r="L528" s="7" t="s">
        <v>25</v>
      </c>
    </row>
    <row r="529" ht="16.5" spans="1:12">
      <c r="A529" s="12">
        <v>527</v>
      </c>
      <c r="B529" s="46" t="s">
        <v>23</v>
      </c>
      <c r="C529" s="46" t="s">
        <v>32</v>
      </c>
      <c r="D529" s="46" t="s">
        <v>105</v>
      </c>
      <c r="E529" s="12" t="s">
        <v>556</v>
      </c>
      <c r="F529" s="7" t="s">
        <v>1176</v>
      </c>
      <c r="G529" s="46" t="s">
        <v>1177</v>
      </c>
      <c r="H529" s="46" t="s">
        <v>1173</v>
      </c>
      <c r="I529" s="7" t="s">
        <v>915</v>
      </c>
      <c r="J529" s="6">
        <v>46051</v>
      </c>
      <c r="K529" s="7" t="s">
        <v>1323</v>
      </c>
      <c r="L529" s="7" t="s">
        <v>25</v>
      </c>
    </row>
    <row r="530" ht="16.5" spans="1:12">
      <c r="A530" s="12">
        <v>528</v>
      </c>
      <c r="B530" s="46" t="s">
        <v>23</v>
      </c>
      <c r="C530" s="46" t="s">
        <v>37</v>
      </c>
      <c r="D530" s="46" t="s">
        <v>109</v>
      </c>
      <c r="E530" s="12" t="s">
        <v>203</v>
      </c>
      <c r="F530" s="7" t="s">
        <v>1178</v>
      </c>
      <c r="G530" s="46" t="s">
        <v>1179</v>
      </c>
      <c r="H530" s="46" t="s">
        <v>1173</v>
      </c>
      <c r="I530" s="7" t="s">
        <v>915</v>
      </c>
      <c r="J530" s="6">
        <v>46051</v>
      </c>
      <c r="K530" s="7" t="s">
        <v>1323</v>
      </c>
      <c r="L530" s="7" t="s">
        <v>25</v>
      </c>
    </row>
    <row r="531" ht="16.5" spans="1:12">
      <c r="A531" s="12">
        <v>529</v>
      </c>
      <c r="B531" s="46" t="s">
        <v>23</v>
      </c>
      <c r="C531" s="46" t="s">
        <v>37</v>
      </c>
      <c r="D531" s="46" t="s">
        <v>109</v>
      </c>
      <c r="E531" s="12" t="s">
        <v>203</v>
      </c>
      <c r="F531" s="7" t="s">
        <v>1180</v>
      </c>
      <c r="G531" s="46" t="s">
        <v>1181</v>
      </c>
      <c r="H531" s="46" t="s">
        <v>1173</v>
      </c>
      <c r="I531" s="7" t="s">
        <v>915</v>
      </c>
      <c r="J531" s="6">
        <v>46051</v>
      </c>
      <c r="K531" s="7" t="s">
        <v>1323</v>
      </c>
      <c r="L531" s="7" t="s">
        <v>25</v>
      </c>
    </row>
    <row r="532" ht="16.5" spans="1:12">
      <c r="A532" s="12">
        <v>530</v>
      </c>
      <c r="B532" s="46" t="s">
        <v>23</v>
      </c>
      <c r="C532" s="46" t="s">
        <v>38</v>
      </c>
      <c r="D532" s="46" t="s">
        <v>168</v>
      </c>
      <c r="E532" s="12" t="s">
        <v>205</v>
      </c>
      <c r="F532" s="7" t="s">
        <v>1182</v>
      </c>
      <c r="G532" s="46" t="s">
        <v>1183</v>
      </c>
      <c r="H532" s="46" t="s">
        <v>1173</v>
      </c>
      <c r="I532" s="7" t="s">
        <v>907</v>
      </c>
      <c r="J532" s="6">
        <v>46051</v>
      </c>
      <c r="K532" s="7" t="s">
        <v>1323</v>
      </c>
      <c r="L532" s="7" t="s">
        <v>25</v>
      </c>
    </row>
    <row r="533" ht="16.5" spans="1:12">
      <c r="A533" s="12">
        <v>531</v>
      </c>
      <c r="B533" s="46" t="s">
        <v>23</v>
      </c>
      <c r="C533" s="46" t="s">
        <v>38</v>
      </c>
      <c r="D533" s="46" t="s">
        <v>148</v>
      </c>
      <c r="E533" s="12" t="s">
        <v>371</v>
      </c>
      <c r="F533" s="7" t="s">
        <v>1184</v>
      </c>
      <c r="G533" s="46" t="s">
        <v>1185</v>
      </c>
      <c r="H533" s="46" t="s">
        <v>1173</v>
      </c>
      <c r="I533" s="7" t="s">
        <v>907</v>
      </c>
      <c r="J533" s="6">
        <v>46051</v>
      </c>
      <c r="K533" s="7" t="s">
        <v>1323</v>
      </c>
      <c r="L533" s="7" t="s">
        <v>25</v>
      </c>
    </row>
    <row r="534" ht="16.5" spans="1:12">
      <c r="A534" s="12">
        <v>532</v>
      </c>
      <c r="B534" s="46" t="s">
        <v>23</v>
      </c>
      <c r="C534" s="46" t="s">
        <v>38</v>
      </c>
      <c r="D534" s="46" t="s">
        <v>220</v>
      </c>
      <c r="E534" s="12" t="s">
        <v>540</v>
      </c>
      <c r="F534" s="7" t="s">
        <v>1186</v>
      </c>
      <c r="G534" s="46" t="s">
        <v>1187</v>
      </c>
      <c r="H534" s="46" t="s">
        <v>1173</v>
      </c>
      <c r="I534" s="7" t="s">
        <v>915</v>
      </c>
      <c r="J534" s="6">
        <v>46051</v>
      </c>
      <c r="K534" s="7" t="s">
        <v>1323</v>
      </c>
      <c r="L534" s="7" t="s">
        <v>25</v>
      </c>
    </row>
    <row r="535" ht="16.5" spans="1:12">
      <c r="A535" s="12">
        <v>533</v>
      </c>
      <c r="B535" s="46" t="s">
        <v>23</v>
      </c>
      <c r="C535" s="46" t="s">
        <v>29</v>
      </c>
      <c r="D535" s="46" t="s">
        <v>130</v>
      </c>
      <c r="E535" s="12" t="s">
        <v>1592</v>
      </c>
      <c r="F535" s="7" t="s">
        <v>677</v>
      </c>
      <c r="G535" s="46" t="s">
        <v>1188</v>
      </c>
      <c r="H535" s="46" t="s">
        <v>1173</v>
      </c>
      <c r="I535" s="7" t="s">
        <v>915</v>
      </c>
      <c r="J535" s="6">
        <v>46051</v>
      </c>
      <c r="K535" s="7" t="s">
        <v>1323</v>
      </c>
      <c r="L535" s="7" t="s">
        <v>25</v>
      </c>
    </row>
    <row r="536" ht="16.5" spans="1:12">
      <c r="A536" s="12">
        <v>534</v>
      </c>
      <c r="B536" s="46" t="s">
        <v>23</v>
      </c>
      <c r="C536" s="46" t="s">
        <v>29</v>
      </c>
      <c r="D536" s="46" t="s">
        <v>130</v>
      </c>
      <c r="E536" s="12" t="s">
        <v>1592</v>
      </c>
      <c r="F536" s="7" t="s">
        <v>1189</v>
      </c>
      <c r="G536" s="46" t="s">
        <v>1190</v>
      </c>
      <c r="H536" s="46" t="s">
        <v>1173</v>
      </c>
      <c r="I536" s="7" t="s">
        <v>915</v>
      </c>
      <c r="J536" s="6">
        <v>46051</v>
      </c>
      <c r="K536" s="7" t="s">
        <v>1323</v>
      </c>
      <c r="L536" s="7" t="s">
        <v>25</v>
      </c>
    </row>
    <row r="537" ht="16.5" spans="1:12">
      <c r="A537" s="12">
        <v>535</v>
      </c>
      <c r="B537" s="46" t="s">
        <v>23</v>
      </c>
      <c r="C537" s="46" t="s">
        <v>38</v>
      </c>
      <c r="D537" s="46" t="s">
        <v>63</v>
      </c>
      <c r="E537" s="12" t="s">
        <v>95</v>
      </c>
      <c r="F537" s="7" t="s">
        <v>1191</v>
      </c>
      <c r="G537" s="46" t="s">
        <v>1192</v>
      </c>
      <c r="H537" s="46" t="s">
        <v>1173</v>
      </c>
      <c r="I537" s="7" t="s">
        <v>907</v>
      </c>
      <c r="J537" s="6">
        <v>46051</v>
      </c>
      <c r="K537" s="7" t="s">
        <v>1323</v>
      </c>
      <c r="L537" s="7" t="s">
        <v>25</v>
      </c>
    </row>
    <row r="538" ht="16.5" spans="1:12">
      <c r="A538" s="12">
        <v>536</v>
      </c>
      <c r="B538" s="46" t="s">
        <v>23</v>
      </c>
      <c r="C538" s="46" t="s">
        <v>38</v>
      </c>
      <c r="D538" s="46" t="s">
        <v>63</v>
      </c>
      <c r="E538" s="12" t="s">
        <v>95</v>
      </c>
      <c r="F538" s="7" t="s">
        <v>1193</v>
      </c>
      <c r="G538" s="46" t="s">
        <v>1194</v>
      </c>
      <c r="H538" s="46" t="s">
        <v>1173</v>
      </c>
      <c r="I538" s="7" t="s">
        <v>907</v>
      </c>
      <c r="J538" s="6">
        <v>46051</v>
      </c>
      <c r="K538" s="7" t="s">
        <v>1323</v>
      </c>
      <c r="L538" s="7" t="s">
        <v>25</v>
      </c>
    </row>
    <row r="539" ht="16.5" spans="1:12">
      <c r="A539" s="12">
        <v>537</v>
      </c>
      <c r="B539" s="46" t="s">
        <v>23</v>
      </c>
      <c r="C539" s="46" t="s">
        <v>38</v>
      </c>
      <c r="D539" s="46" t="s">
        <v>63</v>
      </c>
      <c r="E539" s="12" t="s">
        <v>95</v>
      </c>
      <c r="F539" s="7" t="s">
        <v>1171</v>
      </c>
      <c r="G539" s="46" t="s">
        <v>1172</v>
      </c>
      <c r="H539" s="46" t="s">
        <v>1173</v>
      </c>
      <c r="I539" s="7" t="s">
        <v>907</v>
      </c>
      <c r="J539" s="6">
        <v>46051</v>
      </c>
      <c r="K539" s="7" t="s">
        <v>1323</v>
      </c>
      <c r="L539" s="7" t="s">
        <v>25</v>
      </c>
    </row>
    <row r="540" ht="16.5" spans="1:12">
      <c r="A540" s="12">
        <v>538</v>
      </c>
      <c r="B540" s="46" t="s">
        <v>23</v>
      </c>
      <c r="C540" s="46" t="s">
        <v>38</v>
      </c>
      <c r="D540" s="46" t="s">
        <v>63</v>
      </c>
      <c r="E540" s="12" t="s">
        <v>95</v>
      </c>
      <c r="F540" s="7" t="s">
        <v>1195</v>
      </c>
      <c r="G540" s="46" t="s">
        <v>1196</v>
      </c>
      <c r="H540" s="46" t="s">
        <v>1173</v>
      </c>
      <c r="I540" s="7" t="s">
        <v>907</v>
      </c>
      <c r="J540" s="6">
        <v>46051</v>
      </c>
      <c r="K540" s="7" t="s">
        <v>1323</v>
      </c>
      <c r="L540" s="7" t="s">
        <v>25</v>
      </c>
    </row>
    <row r="541" ht="16.5" spans="1:12">
      <c r="A541" s="12">
        <v>539</v>
      </c>
      <c r="B541" s="46" t="s">
        <v>23</v>
      </c>
      <c r="C541" s="46" t="s">
        <v>38</v>
      </c>
      <c r="D541" s="46" t="s">
        <v>70</v>
      </c>
      <c r="E541" s="12" t="s">
        <v>564</v>
      </c>
      <c r="F541" s="7" t="s">
        <v>1197</v>
      </c>
      <c r="G541" s="46" t="s">
        <v>1198</v>
      </c>
      <c r="H541" s="46" t="s">
        <v>1173</v>
      </c>
      <c r="I541" s="7" t="s">
        <v>907</v>
      </c>
      <c r="J541" s="6">
        <v>46051</v>
      </c>
      <c r="K541" s="7" t="s">
        <v>1323</v>
      </c>
      <c r="L541" s="7" t="s">
        <v>25</v>
      </c>
    </row>
    <row r="542" ht="16.5" spans="1:12">
      <c r="A542" s="12">
        <v>540</v>
      </c>
      <c r="B542" s="46" t="s">
        <v>23</v>
      </c>
      <c r="C542" s="46" t="s">
        <v>38</v>
      </c>
      <c r="D542" s="46" t="s">
        <v>75</v>
      </c>
      <c r="E542" s="12" t="s">
        <v>200</v>
      </c>
      <c r="F542" s="7" t="s">
        <v>1201</v>
      </c>
      <c r="G542" s="46" t="s">
        <v>1202</v>
      </c>
      <c r="H542" s="46" t="s">
        <v>1173</v>
      </c>
      <c r="I542" s="7" t="s">
        <v>907</v>
      </c>
      <c r="J542" s="6">
        <v>46051</v>
      </c>
      <c r="K542" s="7" t="s">
        <v>1323</v>
      </c>
      <c r="L542" s="7" t="s">
        <v>25</v>
      </c>
    </row>
    <row r="543" ht="16.5" spans="1:12">
      <c r="A543" s="12">
        <v>541</v>
      </c>
      <c r="B543" s="46" t="s">
        <v>23</v>
      </c>
      <c r="C543" s="46" t="s">
        <v>38</v>
      </c>
      <c r="D543" s="46" t="s">
        <v>168</v>
      </c>
      <c r="E543" s="12" t="s">
        <v>500</v>
      </c>
      <c r="F543" s="7" t="s">
        <v>1203</v>
      </c>
      <c r="G543" s="46" t="s">
        <v>1204</v>
      </c>
      <c r="H543" s="46" t="s">
        <v>1173</v>
      </c>
      <c r="I543" s="7" t="s">
        <v>907</v>
      </c>
      <c r="J543" s="6">
        <v>46051</v>
      </c>
      <c r="K543" s="7" t="s">
        <v>1323</v>
      </c>
      <c r="L543" s="7" t="s">
        <v>25</v>
      </c>
    </row>
    <row r="544" ht="16.5" spans="1:12">
      <c r="A544" s="12">
        <v>542</v>
      </c>
      <c r="B544" s="46" t="s">
        <v>23</v>
      </c>
      <c r="C544" s="46" t="s">
        <v>29</v>
      </c>
      <c r="D544" s="46" t="s">
        <v>130</v>
      </c>
      <c r="E544" s="12" t="s">
        <v>469</v>
      </c>
      <c r="F544" s="7" t="s">
        <v>1205</v>
      </c>
      <c r="G544" s="46" t="s">
        <v>1206</v>
      </c>
      <c r="H544" s="46" t="s">
        <v>1173</v>
      </c>
      <c r="I544" s="7" t="s">
        <v>907</v>
      </c>
      <c r="J544" s="6">
        <v>46051</v>
      </c>
      <c r="K544" s="7" t="s">
        <v>1323</v>
      </c>
      <c r="L544" s="7" t="s">
        <v>25</v>
      </c>
    </row>
    <row r="545" ht="16.5" spans="1:12">
      <c r="A545" s="12">
        <v>543</v>
      </c>
      <c r="B545" s="46" t="s">
        <v>23</v>
      </c>
      <c r="C545" s="46" t="s">
        <v>38</v>
      </c>
      <c r="D545" s="46" t="s">
        <v>63</v>
      </c>
      <c r="E545" s="12" t="s">
        <v>602</v>
      </c>
      <c r="F545" s="7" t="s">
        <v>1207</v>
      </c>
      <c r="G545" s="46" t="s">
        <v>1208</v>
      </c>
      <c r="H545" s="46" t="s">
        <v>1173</v>
      </c>
      <c r="I545" s="7" t="s">
        <v>907</v>
      </c>
      <c r="J545" s="6">
        <v>46051</v>
      </c>
      <c r="K545" s="7" t="s">
        <v>1323</v>
      </c>
      <c r="L545" s="7" t="s">
        <v>25</v>
      </c>
    </row>
    <row r="546" ht="16.5" spans="1:12">
      <c r="A546" s="12">
        <v>544</v>
      </c>
      <c r="B546" s="46" t="s">
        <v>23</v>
      </c>
      <c r="C546" s="46" t="s">
        <v>38</v>
      </c>
      <c r="D546" s="46" t="s">
        <v>63</v>
      </c>
      <c r="E546" s="12" t="s">
        <v>602</v>
      </c>
      <c r="F546" s="7" t="s">
        <v>1209</v>
      </c>
      <c r="G546" s="46" t="s">
        <v>1210</v>
      </c>
      <c r="H546" s="46" t="s">
        <v>1173</v>
      </c>
      <c r="I546" s="7" t="s">
        <v>907</v>
      </c>
      <c r="J546" s="6">
        <v>46051</v>
      </c>
      <c r="K546" s="7" t="s">
        <v>1323</v>
      </c>
      <c r="L546" s="7" t="s">
        <v>25</v>
      </c>
    </row>
    <row r="547" ht="16.5" spans="1:12">
      <c r="A547" s="12">
        <v>545</v>
      </c>
      <c r="B547" s="46" t="s">
        <v>23</v>
      </c>
      <c r="C547" s="46" t="s">
        <v>38</v>
      </c>
      <c r="D547" s="46" t="s">
        <v>63</v>
      </c>
      <c r="E547" s="12" t="s">
        <v>602</v>
      </c>
      <c r="F547" s="7" t="s">
        <v>1211</v>
      </c>
      <c r="G547" s="46" t="s">
        <v>1212</v>
      </c>
      <c r="H547" s="46" t="s">
        <v>1173</v>
      </c>
      <c r="I547" s="7" t="s">
        <v>907</v>
      </c>
      <c r="J547" s="6">
        <v>46051</v>
      </c>
      <c r="K547" s="7" t="s">
        <v>1323</v>
      </c>
      <c r="L547" s="7" t="s">
        <v>25</v>
      </c>
    </row>
    <row r="548" ht="16.5" spans="1:12">
      <c r="A548" s="12">
        <v>546</v>
      </c>
      <c r="B548" s="46" t="s">
        <v>23</v>
      </c>
      <c r="C548" s="46" t="s">
        <v>38</v>
      </c>
      <c r="D548" s="46" t="s">
        <v>63</v>
      </c>
      <c r="E548" s="12" t="s">
        <v>602</v>
      </c>
      <c r="F548" s="7" t="s">
        <v>1213</v>
      </c>
      <c r="G548" s="46" t="s">
        <v>1214</v>
      </c>
      <c r="H548" s="46" t="s">
        <v>1173</v>
      </c>
      <c r="I548" s="7" t="s">
        <v>907</v>
      </c>
      <c r="J548" s="6">
        <v>46051</v>
      </c>
      <c r="K548" s="7" t="s">
        <v>1323</v>
      </c>
      <c r="L548" s="7" t="s">
        <v>25</v>
      </c>
    </row>
    <row r="549" ht="16.5" spans="1:12">
      <c r="A549" s="12">
        <v>547</v>
      </c>
      <c r="B549" s="46" t="s">
        <v>23</v>
      </c>
      <c r="C549" s="46" t="s">
        <v>38</v>
      </c>
      <c r="D549" s="46" t="s">
        <v>168</v>
      </c>
      <c r="E549" s="12" t="s">
        <v>167</v>
      </c>
      <c r="F549" s="7" t="s">
        <v>1215</v>
      </c>
      <c r="G549" s="46" t="s">
        <v>1216</v>
      </c>
      <c r="H549" s="46" t="s">
        <v>1173</v>
      </c>
      <c r="I549" s="7" t="s">
        <v>907</v>
      </c>
      <c r="J549" s="6">
        <v>46051</v>
      </c>
      <c r="K549" s="7" t="s">
        <v>1323</v>
      </c>
      <c r="L549" s="7" t="s">
        <v>25</v>
      </c>
    </row>
    <row r="550" ht="16.5" spans="1:12">
      <c r="A550" s="12">
        <v>548</v>
      </c>
      <c r="B550" s="46" t="s">
        <v>23</v>
      </c>
      <c r="C550" s="46" t="s">
        <v>38</v>
      </c>
      <c r="D550" s="46" t="s">
        <v>168</v>
      </c>
      <c r="E550" s="12" t="s">
        <v>167</v>
      </c>
      <c r="F550" s="7" t="s">
        <v>1217</v>
      </c>
      <c r="G550" s="46" t="s">
        <v>1218</v>
      </c>
      <c r="H550" s="46" t="s">
        <v>1173</v>
      </c>
      <c r="I550" s="7" t="s">
        <v>907</v>
      </c>
      <c r="J550" s="6">
        <v>46051</v>
      </c>
      <c r="K550" s="7" t="s">
        <v>1323</v>
      </c>
      <c r="L550" s="7" t="s">
        <v>25</v>
      </c>
    </row>
    <row r="551" ht="16.5" spans="1:12">
      <c r="A551" s="12">
        <v>549</v>
      </c>
      <c r="B551" s="46" t="s">
        <v>23</v>
      </c>
      <c r="C551" s="46" t="s">
        <v>38</v>
      </c>
      <c r="D551" s="46" t="s">
        <v>75</v>
      </c>
      <c r="E551" s="12" t="s">
        <v>400</v>
      </c>
      <c r="F551" s="7" t="s">
        <v>1219</v>
      </c>
      <c r="G551" s="46" t="s">
        <v>1220</v>
      </c>
      <c r="H551" s="46" t="s">
        <v>1173</v>
      </c>
      <c r="I551" s="7" t="s">
        <v>915</v>
      </c>
      <c r="J551" s="6">
        <v>46051</v>
      </c>
      <c r="K551" s="7" t="s">
        <v>1323</v>
      </c>
      <c r="L551" s="7" t="s">
        <v>25</v>
      </c>
    </row>
    <row r="552" ht="16.5" spans="1:12">
      <c r="A552" s="12">
        <v>550</v>
      </c>
      <c r="B552" s="46" t="s">
        <v>23</v>
      </c>
      <c r="C552" s="46" t="s">
        <v>38</v>
      </c>
      <c r="D552" s="46" t="s">
        <v>75</v>
      </c>
      <c r="E552" s="12" t="s">
        <v>400</v>
      </c>
      <c r="F552" s="7" t="s">
        <v>1221</v>
      </c>
      <c r="G552" s="46" t="s">
        <v>1222</v>
      </c>
      <c r="H552" s="46" t="s">
        <v>1173</v>
      </c>
      <c r="I552" s="7" t="s">
        <v>907</v>
      </c>
      <c r="J552" s="6">
        <v>46051</v>
      </c>
      <c r="K552" s="7" t="s">
        <v>1323</v>
      </c>
      <c r="L552" s="7" t="s">
        <v>25</v>
      </c>
    </row>
    <row r="553" ht="16.5" spans="1:12">
      <c r="A553" s="12">
        <v>551</v>
      </c>
      <c r="B553" s="46" t="s">
        <v>23</v>
      </c>
      <c r="C553" s="46" t="s">
        <v>32</v>
      </c>
      <c r="D553" s="46" t="s">
        <v>105</v>
      </c>
      <c r="E553" s="12" t="s">
        <v>165</v>
      </c>
      <c r="F553" s="7" t="s">
        <v>1223</v>
      </c>
      <c r="G553" s="46" t="s">
        <v>1224</v>
      </c>
      <c r="H553" s="46" t="s">
        <v>1173</v>
      </c>
      <c r="I553" s="7" t="s">
        <v>907</v>
      </c>
      <c r="J553" s="6">
        <v>46051</v>
      </c>
      <c r="K553" s="7" t="s">
        <v>1323</v>
      </c>
      <c r="L553" s="7" t="s">
        <v>25</v>
      </c>
    </row>
    <row r="554" ht="16.5" spans="1:12">
      <c r="A554" s="12">
        <v>552</v>
      </c>
      <c r="B554" s="46" t="s">
        <v>23</v>
      </c>
      <c r="C554" s="46" t="s">
        <v>31</v>
      </c>
      <c r="D554" s="46" t="s">
        <v>90</v>
      </c>
      <c r="E554" s="12" t="s">
        <v>1593</v>
      </c>
      <c r="F554" s="7" t="s">
        <v>1225</v>
      </c>
      <c r="G554" s="46" t="s">
        <v>1226</v>
      </c>
      <c r="H554" s="46" t="s">
        <v>1173</v>
      </c>
      <c r="I554" s="7" t="s">
        <v>915</v>
      </c>
      <c r="J554" s="6">
        <v>46051</v>
      </c>
      <c r="K554" s="7" t="s">
        <v>1323</v>
      </c>
      <c r="L554" s="7" t="s">
        <v>25</v>
      </c>
    </row>
    <row r="555" ht="16.5" spans="1:12">
      <c r="A555" s="12">
        <v>553</v>
      </c>
      <c r="B555" s="46" t="s">
        <v>23</v>
      </c>
      <c r="C555" s="46" t="s">
        <v>38</v>
      </c>
      <c r="D555" s="46" t="s">
        <v>70</v>
      </c>
      <c r="E555" s="12" t="s">
        <v>69</v>
      </c>
      <c r="F555" s="7" t="s">
        <v>1227</v>
      </c>
      <c r="G555" s="46" t="s">
        <v>1228</v>
      </c>
      <c r="H555" s="46" t="s">
        <v>1173</v>
      </c>
      <c r="I555" s="7" t="s">
        <v>907</v>
      </c>
      <c r="J555" s="6">
        <v>46051</v>
      </c>
      <c r="K555" s="7" t="s">
        <v>1323</v>
      </c>
      <c r="L555" s="7" t="s">
        <v>25</v>
      </c>
    </row>
    <row r="556" ht="16.5" spans="1:12">
      <c r="A556" s="12">
        <v>554</v>
      </c>
      <c r="B556" s="46" t="s">
        <v>23</v>
      </c>
      <c r="C556" s="46" t="s">
        <v>38</v>
      </c>
      <c r="D556" s="46" t="s">
        <v>70</v>
      </c>
      <c r="E556" s="12" t="s">
        <v>413</v>
      </c>
      <c r="F556" s="7" t="s">
        <v>1229</v>
      </c>
      <c r="G556" s="46" t="s">
        <v>1230</v>
      </c>
      <c r="H556" s="46" t="s">
        <v>1173</v>
      </c>
      <c r="I556" s="7" t="s">
        <v>915</v>
      </c>
      <c r="J556" s="6">
        <v>46051</v>
      </c>
      <c r="K556" s="7" t="s">
        <v>1323</v>
      </c>
      <c r="L556" s="7" t="s">
        <v>25</v>
      </c>
    </row>
    <row r="557" ht="16.5" spans="1:12">
      <c r="A557" s="12">
        <v>555</v>
      </c>
      <c r="B557" s="46" t="s">
        <v>23</v>
      </c>
      <c r="C557" s="46" t="s">
        <v>37</v>
      </c>
      <c r="D557" s="46" t="s">
        <v>109</v>
      </c>
      <c r="E557" s="12" t="s">
        <v>527</v>
      </c>
      <c r="F557" s="7" t="s">
        <v>1231</v>
      </c>
      <c r="G557" s="46" t="s">
        <v>1232</v>
      </c>
      <c r="H557" s="46" t="s">
        <v>1173</v>
      </c>
      <c r="I557" s="7" t="s">
        <v>915</v>
      </c>
      <c r="J557" s="6">
        <v>46051</v>
      </c>
      <c r="K557" s="7" t="s">
        <v>1323</v>
      </c>
      <c r="L557" s="7" t="s">
        <v>25</v>
      </c>
    </row>
    <row r="558" ht="16.5" spans="1:12">
      <c r="A558" s="12">
        <v>556</v>
      </c>
      <c r="B558" s="46" t="s">
        <v>23</v>
      </c>
      <c r="C558" s="46" t="s">
        <v>32</v>
      </c>
      <c r="D558" s="46" t="s">
        <v>105</v>
      </c>
      <c r="E558" s="12" t="s">
        <v>487</v>
      </c>
      <c r="F558" s="7" t="s">
        <v>1233</v>
      </c>
      <c r="G558" s="46" t="s">
        <v>1234</v>
      </c>
      <c r="H558" s="46" t="s">
        <v>1173</v>
      </c>
      <c r="I558" s="7" t="s">
        <v>915</v>
      </c>
      <c r="J558" s="6">
        <v>46051</v>
      </c>
      <c r="K558" s="7" t="s">
        <v>1323</v>
      </c>
      <c r="L558" s="7" t="s">
        <v>25</v>
      </c>
    </row>
    <row r="559" ht="16.5" spans="1:12">
      <c r="A559" s="12">
        <v>557</v>
      </c>
      <c r="B559" s="46" t="s">
        <v>23</v>
      </c>
      <c r="C559" s="46" t="s">
        <v>24</v>
      </c>
      <c r="D559" s="46" t="s">
        <v>101</v>
      </c>
      <c r="E559" s="12" t="s">
        <v>1594</v>
      </c>
      <c r="F559" s="7" t="s">
        <v>1235</v>
      </c>
      <c r="G559" s="46" t="s">
        <v>1236</v>
      </c>
      <c r="H559" s="46" t="s">
        <v>1173</v>
      </c>
      <c r="I559" s="7" t="s">
        <v>915</v>
      </c>
      <c r="J559" s="6">
        <v>46051</v>
      </c>
      <c r="K559" s="7" t="s">
        <v>1323</v>
      </c>
      <c r="L559" s="7" t="s">
        <v>25</v>
      </c>
    </row>
    <row r="560" ht="16.5" spans="1:12">
      <c r="A560" s="12">
        <v>558</v>
      </c>
      <c r="B560" s="46" t="s">
        <v>23</v>
      </c>
      <c r="C560" s="46" t="s">
        <v>38</v>
      </c>
      <c r="D560" s="46" t="s">
        <v>70</v>
      </c>
      <c r="E560" s="12" t="s">
        <v>576</v>
      </c>
      <c r="F560" s="7" t="s">
        <v>1237</v>
      </c>
      <c r="G560" s="46" t="s">
        <v>1238</v>
      </c>
      <c r="H560" s="46" t="s">
        <v>1173</v>
      </c>
      <c r="I560" s="7" t="s">
        <v>915</v>
      </c>
      <c r="J560" s="6">
        <v>46051</v>
      </c>
      <c r="K560" s="7" t="s">
        <v>1323</v>
      </c>
      <c r="L560" s="7" t="s">
        <v>25</v>
      </c>
    </row>
    <row r="561" ht="16.5" spans="1:12">
      <c r="A561" s="12">
        <v>559</v>
      </c>
      <c r="B561" s="46" t="s">
        <v>23</v>
      </c>
      <c r="C561" s="46" t="s">
        <v>38</v>
      </c>
      <c r="D561" s="46" t="s">
        <v>148</v>
      </c>
      <c r="E561" s="12" t="s">
        <v>147</v>
      </c>
      <c r="F561" s="7" t="s">
        <v>1239</v>
      </c>
      <c r="G561" s="46" t="s">
        <v>1240</v>
      </c>
      <c r="H561" s="46" t="s">
        <v>1173</v>
      </c>
      <c r="I561" s="7" t="s">
        <v>915</v>
      </c>
      <c r="J561" s="6">
        <v>46051</v>
      </c>
      <c r="K561" s="7" t="s">
        <v>1323</v>
      </c>
      <c r="L561" s="7" t="s">
        <v>25</v>
      </c>
    </row>
    <row r="562" ht="16.5" spans="1:12">
      <c r="A562" s="12">
        <v>560</v>
      </c>
      <c r="B562" s="46" t="s">
        <v>23</v>
      </c>
      <c r="C562" s="46" t="s">
        <v>38</v>
      </c>
      <c r="D562" s="46" t="s">
        <v>148</v>
      </c>
      <c r="E562" s="12" t="s">
        <v>147</v>
      </c>
      <c r="F562" s="7" t="s">
        <v>1241</v>
      </c>
      <c r="G562" s="46" t="s">
        <v>1242</v>
      </c>
      <c r="H562" s="46" t="s">
        <v>1173</v>
      </c>
      <c r="I562" s="7" t="s">
        <v>915</v>
      </c>
      <c r="J562" s="6">
        <v>46051</v>
      </c>
      <c r="K562" s="7" t="s">
        <v>1323</v>
      </c>
      <c r="L562" s="7" t="s">
        <v>25</v>
      </c>
    </row>
    <row r="563" ht="16.5" spans="1:12">
      <c r="A563" s="12">
        <v>561</v>
      </c>
      <c r="B563" s="46" t="s">
        <v>23</v>
      </c>
      <c r="C563" s="46" t="s">
        <v>38</v>
      </c>
      <c r="D563" s="46" t="s">
        <v>220</v>
      </c>
      <c r="E563" s="12" t="s">
        <v>1077</v>
      </c>
      <c r="F563" s="7" t="s">
        <v>1243</v>
      </c>
      <c r="G563" s="46" t="s">
        <v>1244</v>
      </c>
      <c r="H563" s="46" t="s">
        <v>1173</v>
      </c>
      <c r="I563" s="7" t="s">
        <v>907</v>
      </c>
      <c r="J563" s="6">
        <v>46051</v>
      </c>
      <c r="K563" s="7" t="s">
        <v>1323</v>
      </c>
      <c r="L563" s="7" t="s">
        <v>25</v>
      </c>
    </row>
    <row r="564" ht="16.5" spans="1:12">
      <c r="A564" s="12">
        <v>562</v>
      </c>
      <c r="B564" s="46" t="s">
        <v>23</v>
      </c>
      <c r="C564" s="46" t="s">
        <v>38</v>
      </c>
      <c r="D564" s="46" t="s">
        <v>75</v>
      </c>
      <c r="E564" s="12" t="s">
        <v>437</v>
      </c>
      <c r="F564" s="7" t="s">
        <v>1245</v>
      </c>
      <c r="G564" s="46" t="s">
        <v>1246</v>
      </c>
      <c r="H564" s="46" t="s">
        <v>1173</v>
      </c>
      <c r="I564" s="7" t="s">
        <v>915</v>
      </c>
      <c r="J564" s="6">
        <v>46051</v>
      </c>
      <c r="K564" s="7" t="s">
        <v>1323</v>
      </c>
      <c r="L564" s="7" t="s">
        <v>25</v>
      </c>
    </row>
    <row r="565" ht="16.5" spans="1:12">
      <c r="A565" s="12">
        <v>563</v>
      </c>
      <c r="B565" s="46" t="s">
        <v>23</v>
      </c>
      <c r="C565" s="46" t="s">
        <v>29</v>
      </c>
      <c r="D565" s="46" t="s">
        <v>130</v>
      </c>
      <c r="E565" s="12" t="s">
        <v>390</v>
      </c>
      <c r="F565" s="7" t="s">
        <v>1247</v>
      </c>
      <c r="G565" s="46" t="s">
        <v>1248</v>
      </c>
      <c r="H565" s="46" t="s">
        <v>1173</v>
      </c>
      <c r="I565" s="7" t="s">
        <v>915</v>
      </c>
      <c r="J565" s="6">
        <v>46051</v>
      </c>
      <c r="K565" s="7" t="s">
        <v>1323</v>
      </c>
      <c r="L565" s="7" t="s">
        <v>25</v>
      </c>
    </row>
    <row r="566" ht="16.5" spans="1:12">
      <c r="A566" s="12">
        <v>564</v>
      </c>
      <c r="B566" s="46" t="s">
        <v>23</v>
      </c>
      <c r="C566" s="46" t="s">
        <v>35</v>
      </c>
      <c r="D566" s="46" t="s">
        <v>125</v>
      </c>
      <c r="E566" s="12" t="s">
        <v>1584</v>
      </c>
      <c r="F566" s="7" t="s">
        <v>1249</v>
      </c>
      <c r="G566" s="46" t="s">
        <v>1250</v>
      </c>
      <c r="H566" s="46" t="s">
        <v>1173</v>
      </c>
      <c r="I566" s="7" t="s">
        <v>915</v>
      </c>
      <c r="J566" s="6">
        <v>46051</v>
      </c>
      <c r="K566" s="7" t="s">
        <v>1323</v>
      </c>
      <c r="L566" s="7" t="s">
        <v>25</v>
      </c>
    </row>
    <row r="567" ht="16.5" spans="1:12">
      <c r="A567" s="12">
        <v>565</v>
      </c>
      <c r="B567" s="46" t="s">
        <v>23</v>
      </c>
      <c r="C567" s="46" t="s">
        <v>29</v>
      </c>
      <c r="D567" s="46" t="s">
        <v>130</v>
      </c>
      <c r="E567" s="12" t="s">
        <v>380</v>
      </c>
      <c r="F567" s="7" t="s">
        <v>1251</v>
      </c>
      <c r="G567" s="46" t="s">
        <v>1252</v>
      </c>
      <c r="H567" s="46" t="s">
        <v>1173</v>
      </c>
      <c r="I567" s="7" t="s">
        <v>915</v>
      </c>
      <c r="J567" s="6">
        <v>46051</v>
      </c>
      <c r="K567" s="7" t="s">
        <v>1323</v>
      </c>
      <c r="L567" s="7" t="s">
        <v>25</v>
      </c>
    </row>
    <row r="568" ht="16.5" spans="1:12">
      <c r="A568" s="12">
        <v>566</v>
      </c>
      <c r="B568" s="46" t="s">
        <v>23</v>
      </c>
      <c r="C568" s="46" t="s">
        <v>34</v>
      </c>
      <c r="D568" s="46" t="s">
        <v>351</v>
      </c>
      <c r="E568" s="12" t="s">
        <v>1595</v>
      </c>
      <c r="F568" s="7" t="s">
        <v>1253</v>
      </c>
      <c r="G568" s="46" t="s">
        <v>1254</v>
      </c>
      <c r="H568" s="46" t="s">
        <v>1173</v>
      </c>
      <c r="I568" s="7" t="s">
        <v>915</v>
      </c>
      <c r="J568" s="6">
        <v>46051</v>
      </c>
      <c r="K568" s="7" t="s">
        <v>1323</v>
      </c>
      <c r="L568" s="7" t="s">
        <v>25</v>
      </c>
    </row>
    <row r="569" ht="16.5" spans="1:12">
      <c r="A569" s="12">
        <v>567</v>
      </c>
      <c r="B569" s="46" t="s">
        <v>23</v>
      </c>
      <c r="C569" s="46" t="s">
        <v>34</v>
      </c>
      <c r="D569" s="46" t="s">
        <v>351</v>
      </c>
      <c r="E569" s="12" t="s">
        <v>1595</v>
      </c>
      <c r="F569" s="7" t="s">
        <v>1255</v>
      </c>
      <c r="G569" s="46" t="s">
        <v>1256</v>
      </c>
      <c r="H569" s="46" t="s">
        <v>1173</v>
      </c>
      <c r="I569" s="7" t="s">
        <v>915</v>
      </c>
      <c r="J569" s="6">
        <v>46051</v>
      </c>
      <c r="K569" s="7" t="s">
        <v>1323</v>
      </c>
      <c r="L569" s="7" t="s">
        <v>25</v>
      </c>
    </row>
    <row r="570" ht="16.5" spans="1:12">
      <c r="A570" s="12">
        <v>568</v>
      </c>
      <c r="B570" s="46" t="s">
        <v>23</v>
      </c>
      <c r="C570" s="46" t="s">
        <v>34</v>
      </c>
      <c r="D570" s="46" t="s">
        <v>351</v>
      </c>
      <c r="E570" s="12" t="s">
        <v>1595</v>
      </c>
      <c r="F570" s="7" t="s">
        <v>1257</v>
      </c>
      <c r="G570" s="46" t="s">
        <v>1258</v>
      </c>
      <c r="H570" s="46" t="s">
        <v>1173</v>
      </c>
      <c r="I570" s="7" t="s">
        <v>915</v>
      </c>
      <c r="J570" s="6">
        <v>46051</v>
      </c>
      <c r="K570" s="7" t="s">
        <v>1323</v>
      </c>
      <c r="L570" s="7" t="s">
        <v>25</v>
      </c>
    </row>
    <row r="571" ht="16.5" spans="1:12">
      <c r="A571" s="12">
        <v>569</v>
      </c>
      <c r="B571" s="46" t="s">
        <v>23</v>
      </c>
      <c r="C571" s="46" t="s">
        <v>32</v>
      </c>
      <c r="D571" s="46" t="s">
        <v>105</v>
      </c>
      <c r="E571" s="12" t="s">
        <v>192</v>
      </c>
      <c r="F571" s="7" t="s">
        <v>1259</v>
      </c>
      <c r="G571" s="46" t="s">
        <v>1260</v>
      </c>
      <c r="H571" s="46" t="s">
        <v>1173</v>
      </c>
      <c r="I571" s="7" t="s">
        <v>907</v>
      </c>
      <c r="J571" s="6">
        <v>46051</v>
      </c>
      <c r="K571" s="7" t="s">
        <v>1323</v>
      </c>
      <c r="L571" s="7" t="s">
        <v>25</v>
      </c>
    </row>
    <row r="572" ht="16.5" spans="1:12">
      <c r="A572" s="12">
        <v>570</v>
      </c>
      <c r="B572" s="46" t="s">
        <v>23</v>
      </c>
      <c r="C572" s="46" t="s">
        <v>32</v>
      </c>
      <c r="D572" s="46" t="s">
        <v>105</v>
      </c>
      <c r="E572" s="12" t="s">
        <v>115</v>
      </c>
      <c r="F572" s="7" t="s">
        <v>1261</v>
      </c>
      <c r="G572" s="46" t="s">
        <v>1262</v>
      </c>
      <c r="H572" s="46" t="s">
        <v>1173</v>
      </c>
      <c r="I572" s="7" t="s">
        <v>907</v>
      </c>
      <c r="J572" s="6">
        <v>46051</v>
      </c>
      <c r="K572" s="7" t="s">
        <v>1323</v>
      </c>
      <c r="L572" s="7" t="s">
        <v>25</v>
      </c>
    </row>
    <row r="573" ht="16.5" spans="1:12">
      <c r="A573" s="12">
        <v>571</v>
      </c>
      <c r="B573" s="46" t="s">
        <v>23</v>
      </c>
      <c r="C573" s="46" t="s">
        <v>38</v>
      </c>
      <c r="D573" s="46" t="s">
        <v>75</v>
      </c>
      <c r="E573" s="12" t="s">
        <v>74</v>
      </c>
      <c r="F573" s="7" t="s">
        <v>1263</v>
      </c>
      <c r="G573" s="46" t="s">
        <v>1264</v>
      </c>
      <c r="H573" s="46" t="s">
        <v>1173</v>
      </c>
      <c r="I573" s="7" t="s">
        <v>907</v>
      </c>
      <c r="J573" s="6">
        <v>46051</v>
      </c>
      <c r="K573" s="7" t="s">
        <v>1323</v>
      </c>
      <c r="L573" s="7" t="s">
        <v>25</v>
      </c>
    </row>
    <row r="574" ht="16.5" spans="1:12">
      <c r="A574" s="12">
        <v>572</v>
      </c>
      <c r="B574" s="46" t="s">
        <v>23</v>
      </c>
      <c r="C574" s="46" t="s">
        <v>31</v>
      </c>
      <c r="D574" s="46" t="s">
        <v>79</v>
      </c>
      <c r="E574" s="12" t="s">
        <v>189</v>
      </c>
      <c r="F574" s="7" t="s">
        <v>1265</v>
      </c>
      <c r="G574" s="46" t="s">
        <v>1266</v>
      </c>
      <c r="H574" s="46" t="s">
        <v>1173</v>
      </c>
      <c r="I574" s="7" t="s">
        <v>915</v>
      </c>
      <c r="J574" s="6">
        <v>46051</v>
      </c>
      <c r="K574" s="7" t="s">
        <v>1323</v>
      </c>
      <c r="L574" s="7" t="s">
        <v>25</v>
      </c>
    </row>
    <row r="575" ht="16.5" spans="1:12">
      <c r="A575" s="12">
        <v>573</v>
      </c>
      <c r="B575" s="46" t="s">
        <v>23</v>
      </c>
      <c r="C575" s="46" t="s">
        <v>37</v>
      </c>
      <c r="D575" s="46" t="s">
        <v>109</v>
      </c>
      <c r="E575" s="12" t="s">
        <v>108</v>
      </c>
      <c r="F575" s="7" t="s">
        <v>1267</v>
      </c>
      <c r="G575" s="46" t="s">
        <v>1268</v>
      </c>
      <c r="H575" s="46" t="s">
        <v>1173</v>
      </c>
      <c r="I575" s="7" t="s">
        <v>915</v>
      </c>
      <c r="J575" s="6">
        <v>46051</v>
      </c>
      <c r="K575" s="7" t="s">
        <v>1323</v>
      </c>
      <c r="L575" s="7" t="s">
        <v>25</v>
      </c>
    </row>
    <row r="576" ht="16.5" spans="1:12">
      <c r="A576" s="12">
        <v>574</v>
      </c>
      <c r="B576" s="46" t="s">
        <v>23</v>
      </c>
      <c r="C576" s="46" t="s">
        <v>31</v>
      </c>
      <c r="D576" s="46" t="s">
        <v>79</v>
      </c>
      <c r="E576" s="12" t="s">
        <v>86</v>
      </c>
      <c r="F576" s="7" t="s">
        <v>1269</v>
      </c>
      <c r="G576" s="46" t="s">
        <v>1270</v>
      </c>
      <c r="H576" s="46" t="s">
        <v>1173</v>
      </c>
      <c r="I576" s="7" t="s">
        <v>915</v>
      </c>
      <c r="J576" s="6">
        <v>46051</v>
      </c>
      <c r="K576" s="7" t="s">
        <v>1323</v>
      </c>
      <c r="L576" s="7" t="s">
        <v>25</v>
      </c>
    </row>
    <row r="577" ht="16.5" spans="1:12">
      <c r="A577" s="12">
        <v>575</v>
      </c>
      <c r="B577" s="46" t="s">
        <v>23</v>
      </c>
      <c r="C577" s="46" t="s">
        <v>38</v>
      </c>
      <c r="D577" s="46" t="s">
        <v>144</v>
      </c>
      <c r="E577" s="12" t="s">
        <v>216</v>
      </c>
      <c r="F577" s="7" t="s">
        <v>1271</v>
      </c>
      <c r="G577" s="46" t="s">
        <v>1272</v>
      </c>
      <c r="H577" s="46" t="s">
        <v>1173</v>
      </c>
      <c r="I577" s="7" t="s">
        <v>907</v>
      </c>
      <c r="J577" s="6">
        <v>46051</v>
      </c>
      <c r="K577" s="7" t="s">
        <v>1323</v>
      </c>
      <c r="L577" s="7" t="s">
        <v>25</v>
      </c>
    </row>
    <row r="578" ht="16.5" spans="1:12">
      <c r="A578" s="12">
        <v>576</v>
      </c>
      <c r="B578" s="46" t="s">
        <v>23</v>
      </c>
      <c r="C578" s="46" t="s">
        <v>38</v>
      </c>
      <c r="D578" s="46" t="s">
        <v>144</v>
      </c>
      <c r="E578" s="12" t="s">
        <v>216</v>
      </c>
      <c r="F578" s="7" t="s">
        <v>1273</v>
      </c>
      <c r="G578" s="46" t="s">
        <v>1274</v>
      </c>
      <c r="H578" s="46" t="s">
        <v>1173</v>
      </c>
      <c r="I578" s="7" t="s">
        <v>907</v>
      </c>
      <c r="J578" s="6">
        <v>46051</v>
      </c>
      <c r="K578" s="7" t="s">
        <v>1323</v>
      </c>
      <c r="L578" s="7" t="s">
        <v>25</v>
      </c>
    </row>
    <row r="579" ht="16.5" spans="1:12">
      <c r="A579" s="12">
        <v>577</v>
      </c>
      <c r="B579" s="46" t="s">
        <v>23</v>
      </c>
      <c r="C579" s="46" t="s">
        <v>38</v>
      </c>
      <c r="D579" s="46" t="s">
        <v>148</v>
      </c>
      <c r="E579" s="12" t="s">
        <v>227</v>
      </c>
      <c r="F579" s="7" t="s">
        <v>1275</v>
      </c>
      <c r="G579" s="46" t="s">
        <v>1276</v>
      </c>
      <c r="H579" s="46" t="s">
        <v>1173</v>
      </c>
      <c r="I579" s="7" t="s">
        <v>907</v>
      </c>
      <c r="J579" s="6">
        <v>46051</v>
      </c>
      <c r="K579" s="7" t="s">
        <v>1323</v>
      </c>
      <c r="L579" s="7" t="s">
        <v>25</v>
      </c>
    </row>
    <row r="580" ht="16.5" spans="1:12">
      <c r="A580" s="12">
        <v>578</v>
      </c>
      <c r="B580" s="46" t="s">
        <v>23</v>
      </c>
      <c r="C580" s="46" t="s">
        <v>38</v>
      </c>
      <c r="D580" s="46" t="s">
        <v>220</v>
      </c>
      <c r="E580" s="12" t="s">
        <v>427</v>
      </c>
      <c r="F580" s="7" t="s">
        <v>1277</v>
      </c>
      <c r="G580" s="46" t="s">
        <v>1278</v>
      </c>
      <c r="H580" s="46" t="s">
        <v>1173</v>
      </c>
      <c r="I580" s="7" t="s">
        <v>915</v>
      </c>
      <c r="J580" s="6">
        <v>46051</v>
      </c>
      <c r="K580" s="7" t="s">
        <v>1323</v>
      </c>
      <c r="L580" s="7" t="s">
        <v>25</v>
      </c>
    </row>
    <row r="581" ht="16.5" spans="1:12">
      <c r="A581" s="12">
        <v>579</v>
      </c>
      <c r="B581" s="46" t="s">
        <v>23</v>
      </c>
      <c r="C581" s="46" t="s">
        <v>38</v>
      </c>
      <c r="D581" s="46" t="s">
        <v>70</v>
      </c>
      <c r="E581" s="12" t="s">
        <v>368</v>
      </c>
      <c r="F581" s="7" t="s">
        <v>1279</v>
      </c>
      <c r="G581" s="46" t="s">
        <v>1280</v>
      </c>
      <c r="H581" s="46" t="s">
        <v>1173</v>
      </c>
      <c r="I581" s="7" t="s">
        <v>907</v>
      </c>
      <c r="J581" s="6">
        <v>46051</v>
      </c>
      <c r="K581" s="7" t="s">
        <v>1323</v>
      </c>
      <c r="L581" s="7" t="s">
        <v>25</v>
      </c>
    </row>
    <row r="582" ht="16.5" spans="1:12">
      <c r="A582" s="12">
        <v>580</v>
      </c>
      <c r="B582" s="46" t="s">
        <v>23</v>
      </c>
      <c r="C582" s="46" t="s">
        <v>38</v>
      </c>
      <c r="D582" s="46" t="s">
        <v>148</v>
      </c>
      <c r="E582" s="12" t="s">
        <v>531</v>
      </c>
      <c r="F582" s="7" t="s">
        <v>1281</v>
      </c>
      <c r="G582" s="46" t="s">
        <v>1282</v>
      </c>
      <c r="H582" s="46" t="s">
        <v>1173</v>
      </c>
      <c r="I582" s="7" t="s">
        <v>907</v>
      </c>
      <c r="J582" s="6">
        <v>46051</v>
      </c>
      <c r="K582" s="7" t="s">
        <v>1323</v>
      </c>
      <c r="L582" s="7" t="s">
        <v>25</v>
      </c>
    </row>
    <row r="583" ht="16.5" spans="1:12">
      <c r="A583" s="12">
        <v>581</v>
      </c>
      <c r="B583" s="46" t="s">
        <v>23</v>
      </c>
      <c r="C583" s="46" t="s">
        <v>38</v>
      </c>
      <c r="D583" s="46" t="s">
        <v>148</v>
      </c>
      <c r="E583" s="12" t="s">
        <v>531</v>
      </c>
      <c r="F583" s="7" t="s">
        <v>1283</v>
      </c>
      <c r="G583" s="46" t="s">
        <v>1284</v>
      </c>
      <c r="H583" s="46" t="s">
        <v>1173</v>
      </c>
      <c r="I583" s="7" t="s">
        <v>907</v>
      </c>
      <c r="J583" s="6">
        <v>46051</v>
      </c>
      <c r="K583" s="7" t="s">
        <v>1323</v>
      </c>
      <c r="L583" s="7" t="s">
        <v>25</v>
      </c>
    </row>
    <row r="584" ht="16.5" spans="1:12">
      <c r="A584" s="12">
        <v>582</v>
      </c>
      <c r="B584" s="46" t="s">
        <v>23</v>
      </c>
      <c r="C584" s="46" t="s">
        <v>38</v>
      </c>
      <c r="D584" s="46" t="s">
        <v>148</v>
      </c>
      <c r="E584" s="12" t="s">
        <v>531</v>
      </c>
      <c r="F584" s="7" t="s">
        <v>1285</v>
      </c>
      <c r="G584" s="46" t="s">
        <v>1286</v>
      </c>
      <c r="H584" s="46" t="s">
        <v>1173</v>
      </c>
      <c r="I584" s="7" t="s">
        <v>907</v>
      </c>
      <c r="J584" s="6">
        <v>46051</v>
      </c>
      <c r="K584" s="7" t="s">
        <v>1323</v>
      </c>
      <c r="L584" s="7" t="s">
        <v>25</v>
      </c>
    </row>
    <row r="585" ht="16.5" spans="1:12">
      <c r="A585" s="12">
        <v>583</v>
      </c>
      <c r="B585" s="46" t="s">
        <v>23</v>
      </c>
      <c r="C585" s="46" t="s">
        <v>38</v>
      </c>
      <c r="D585" s="46" t="s">
        <v>220</v>
      </c>
      <c r="E585" s="12" t="s">
        <v>614</v>
      </c>
      <c r="F585" s="7" t="s">
        <v>1287</v>
      </c>
      <c r="G585" s="46" t="s">
        <v>1288</v>
      </c>
      <c r="H585" s="46" t="s">
        <v>1173</v>
      </c>
      <c r="I585" s="7" t="s">
        <v>915</v>
      </c>
      <c r="J585" s="6">
        <v>46051</v>
      </c>
      <c r="K585" s="7" t="s">
        <v>1323</v>
      </c>
      <c r="L585" s="7" t="s">
        <v>25</v>
      </c>
    </row>
    <row r="586" ht="16.5" spans="1:12">
      <c r="A586" s="12">
        <v>584</v>
      </c>
      <c r="B586" s="46" t="s">
        <v>23</v>
      </c>
      <c r="C586" s="46" t="s">
        <v>38</v>
      </c>
      <c r="D586" s="46" t="s">
        <v>220</v>
      </c>
      <c r="E586" s="12" t="s">
        <v>614</v>
      </c>
      <c r="F586" s="7" t="s">
        <v>1289</v>
      </c>
      <c r="G586" s="46" t="s">
        <v>1290</v>
      </c>
      <c r="H586" s="46" t="s">
        <v>1173</v>
      </c>
      <c r="I586" s="7" t="s">
        <v>915</v>
      </c>
      <c r="J586" s="6">
        <v>46051</v>
      </c>
      <c r="K586" s="7" t="s">
        <v>1323</v>
      </c>
      <c r="L586" s="7" t="s">
        <v>25</v>
      </c>
    </row>
    <row r="587" ht="16.5" spans="1:12">
      <c r="A587" s="12">
        <v>585</v>
      </c>
      <c r="B587" s="46" t="s">
        <v>23</v>
      </c>
      <c r="C587" s="46" t="s">
        <v>38</v>
      </c>
      <c r="D587" s="46" t="s">
        <v>168</v>
      </c>
      <c r="E587" s="12" t="s">
        <v>319</v>
      </c>
      <c r="F587" s="7" t="s">
        <v>1291</v>
      </c>
      <c r="G587" s="46" t="s">
        <v>1292</v>
      </c>
      <c r="H587" s="46" t="s">
        <v>1173</v>
      </c>
      <c r="I587" s="7" t="s">
        <v>907</v>
      </c>
      <c r="J587" s="6">
        <v>46051</v>
      </c>
      <c r="K587" s="7" t="s">
        <v>1323</v>
      </c>
      <c r="L587" s="7" t="s">
        <v>25</v>
      </c>
    </row>
    <row r="588" ht="16.5" spans="1:12">
      <c r="A588" s="12">
        <v>586</v>
      </c>
      <c r="B588" s="46" t="s">
        <v>23</v>
      </c>
      <c r="C588" s="46" t="s">
        <v>38</v>
      </c>
      <c r="D588" s="46" t="s">
        <v>168</v>
      </c>
      <c r="E588" s="12" t="s">
        <v>319</v>
      </c>
      <c r="F588" s="7" t="s">
        <v>1293</v>
      </c>
      <c r="G588" s="46" t="s">
        <v>1294</v>
      </c>
      <c r="H588" s="46" t="s">
        <v>1173</v>
      </c>
      <c r="I588" s="7" t="s">
        <v>907</v>
      </c>
      <c r="J588" s="6">
        <v>46051</v>
      </c>
      <c r="K588" s="7" t="s">
        <v>1323</v>
      </c>
      <c r="L588" s="7" t="s">
        <v>25</v>
      </c>
    </row>
    <row r="589" ht="16.5" spans="1:12">
      <c r="A589" s="12">
        <v>587</v>
      </c>
      <c r="B589" s="46" t="s">
        <v>23</v>
      </c>
      <c r="C589" s="46" t="s">
        <v>38</v>
      </c>
      <c r="D589" s="46" t="s">
        <v>168</v>
      </c>
      <c r="E589" s="12" t="s">
        <v>319</v>
      </c>
      <c r="F589" s="7" t="s">
        <v>1295</v>
      </c>
      <c r="G589" s="46" t="s">
        <v>1296</v>
      </c>
      <c r="H589" s="46" t="s">
        <v>1173</v>
      </c>
      <c r="I589" s="7" t="s">
        <v>907</v>
      </c>
      <c r="J589" s="6">
        <v>46051</v>
      </c>
      <c r="K589" s="7" t="s">
        <v>1323</v>
      </c>
      <c r="L589" s="7" t="s">
        <v>25</v>
      </c>
    </row>
    <row r="590" ht="16.5" spans="1:12">
      <c r="A590" s="12">
        <v>588</v>
      </c>
      <c r="B590" s="46" t="s">
        <v>23</v>
      </c>
      <c r="C590" s="46" t="s">
        <v>26</v>
      </c>
      <c r="D590" s="46" t="s">
        <v>121</v>
      </c>
      <c r="E590" s="12" t="s">
        <v>385</v>
      </c>
      <c r="F590" s="7" t="s">
        <v>1297</v>
      </c>
      <c r="G590" s="46" t="s">
        <v>1298</v>
      </c>
      <c r="H590" s="46" t="s">
        <v>1173</v>
      </c>
      <c r="I590" s="7" t="s">
        <v>915</v>
      </c>
      <c r="J590" s="6">
        <v>46051</v>
      </c>
      <c r="K590" s="7" t="s">
        <v>1323</v>
      </c>
      <c r="L590" s="7" t="s">
        <v>25</v>
      </c>
    </row>
    <row r="591" ht="16.5" spans="1:12">
      <c r="A591" s="12">
        <v>589</v>
      </c>
      <c r="B591" s="46" t="s">
        <v>23</v>
      </c>
      <c r="C591" s="46" t="s">
        <v>35</v>
      </c>
      <c r="D591" s="46" t="s">
        <v>125</v>
      </c>
      <c r="E591" s="12" t="s">
        <v>605</v>
      </c>
      <c r="F591" s="7" t="s">
        <v>1299</v>
      </c>
      <c r="G591" s="46" t="s">
        <v>1300</v>
      </c>
      <c r="H591" s="46" t="s">
        <v>1173</v>
      </c>
      <c r="I591" s="7" t="s">
        <v>915</v>
      </c>
      <c r="J591" s="6">
        <v>46051</v>
      </c>
      <c r="K591" s="7" t="s">
        <v>1323</v>
      </c>
      <c r="L591" s="7" t="s">
        <v>25</v>
      </c>
    </row>
    <row r="592" ht="16.5" spans="1:12">
      <c r="A592" s="12">
        <v>590</v>
      </c>
      <c r="B592" s="46" t="s">
        <v>23</v>
      </c>
      <c r="C592" s="46" t="s">
        <v>29</v>
      </c>
      <c r="D592" s="46" t="s">
        <v>130</v>
      </c>
      <c r="E592" s="12" t="s">
        <v>263</v>
      </c>
      <c r="F592" s="7" t="s">
        <v>1301</v>
      </c>
      <c r="G592" s="46" t="s">
        <v>1302</v>
      </c>
      <c r="H592" s="46" t="s">
        <v>1173</v>
      </c>
      <c r="I592" s="7" t="s">
        <v>915</v>
      </c>
      <c r="J592" s="6">
        <v>46051</v>
      </c>
      <c r="K592" s="7" t="s">
        <v>1323</v>
      </c>
      <c r="L592" s="7" t="s">
        <v>25</v>
      </c>
    </row>
    <row r="593" ht="16.5" spans="1:12">
      <c r="A593" s="12">
        <v>591</v>
      </c>
      <c r="B593" s="46" t="s">
        <v>23</v>
      </c>
      <c r="C593" s="46" t="s">
        <v>38</v>
      </c>
      <c r="D593" s="46" t="s">
        <v>144</v>
      </c>
      <c r="E593" s="12" t="s">
        <v>185</v>
      </c>
      <c r="F593" s="7" t="s">
        <v>1303</v>
      </c>
      <c r="G593" s="46" t="s">
        <v>1304</v>
      </c>
      <c r="H593" s="46" t="s">
        <v>1173</v>
      </c>
      <c r="I593" s="7" t="s">
        <v>907</v>
      </c>
      <c r="J593" s="6">
        <v>46051</v>
      </c>
      <c r="K593" s="7" t="s">
        <v>1323</v>
      </c>
      <c r="L593" s="7" t="s">
        <v>25</v>
      </c>
    </row>
    <row r="594" ht="16.5" spans="1:12">
      <c r="A594" s="12">
        <v>592</v>
      </c>
      <c r="B594" s="46" t="s">
        <v>23</v>
      </c>
      <c r="C594" s="46" t="s">
        <v>38</v>
      </c>
      <c r="D594" s="46" t="s">
        <v>144</v>
      </c>
      <c r="E594" s="12" t="s">
        <v>185</v>
      </c>
      <c r="F594" s="7" t="s">
        <v>1305</v>
      </c>
      <c r="G594" s="46" t="s">
        <v>1306</v>
      </c>
      <c r="H594" s="46" t="s">
        <v>1173</v>
      </c>
      <c r="I594" s="7" t="s">
        <v>915</v>
      </c>
      <c r="J594" s="6">
        <v>46051</v>
      </c>
      <c r="K594" s="7" t="s">
        <v>1323</v>
      </c>
      <c r="L594" s="7" t="s">
        <v>25</v>
      </c>
    </row>
    <row r="595" ht="16.5" spans="1:12">
      <c r="A595" s="12">
        <v>593</v>
      </c>
      <c r="B595" s="46" t="s">
        <v>23</v>
      </c>
      <c r="C595" s="46" t="s">
        <v>38</v>
      </c>
      <c r="D595" s="46" t="s">
        <v>144</v>
      </c>
      <c r="E595" s="12" t="s">
        <v>185</v>
      </c>
      <c r="F595" s="7" t="s">
        <v>1307</v>
      </c>
      <c r="G595" s="46" t="s">
        <v>1308</v>
      </c>
      <c r="H595" s="46" t="s">
        <v>1173</v>
      </c>
      <c r="I595" s="7" t="s">
        <v>907</v>
      </c>
      <c r="J595" s="6">
        <v>46051</v>
      </c>
      <c r="K595" s="7" t="s">
        <v>1323</v>
      </c>
      <c r="L595" s="7" t="s">
        <v>25</v>
      </c>
    </row>
    <row r="596" ht="16.5" spans="1:12">
      <c r="A596" s="12">
        <v>594</v>
      </c>
      <c r="B596" s="46" t="s">
        <v>23</v>
      </c>
      <c r="C596" s="46" t="s">
        <v>26</v>
      </c>
      <c r="D596" s="46" t="s">
        <v>121</v>
      </c>
      <c r="E596" s="12" t="s">
        <v>1596</v>
      </c>
      <c r="F596" s="7" t="s">
        <v>1309</v>
      </c>
      <c r="G596" s="46" t="s">
        <v>1310</v>
      </c>
      <c r="H596" s="46" t="s">
        <v>1173</v>
      </c>
      <c r="I596" s="7" t="s">
        <v>907</v>
      </c>
      <c r="J596" s="6">
        <v>46051</v>
      </c>
      <c r="K596" s="7" t="s">
        <v>1323</v>
      </c>
      <c r="L596" s="7" t="s">
        <v>25</v>
      </c>
    </row>
    <row r="597" ht="16.5" spans="1:12">
      <c r="A597" s="12">
        <v>595</v>
      </c>
      <c r="B597" s="46" t="s">
        <v>23</v>
      </c>
      <c r="C597" s="46" t="s">
        <v>26</v>
      </c>
      <c r="D597" s="46" t="s">
        <v>121</v>
      </c>
      <c r="E597" s="12" t="s">
        <v>1596</v>
      </c>
      <c r="F597" s="7" t="s">
        <v>1311</v>
      </c>
      <c r="G597" s="46" t="s">
        <v>1312</v>
      </c>
      <c r="H597" s="46" t="s">
        <v>1173</v>
      </c>
      <c r="I597" s="7" t="s">
        <v>915</v>
      </c>
      <c r="J597" s="6">
        <v>46051</v>
      </c>
      <c r="K597" s="7" t="s">
        <v>1323</v>
      </c>
      <c r="L597" s="7" t="s">
        <v>25</v>
      </c>
    </row>
    <row r="598" ht="16.5" spans="1:12">
      <c r="A598" s="12">
        <v>596</v>
      </c>
      <c r="B598" s="46" t="s">
        <v>23</v>
      </c>
      <c r="C598" s="46" t="s">
        <v>26</v>
      </c>
      <c r="D598" s="46" t="s">
        <v>121</v>
      </c>
      <c r="E598" s="12" t="s">
        <v>1596</v>
      </c>
      <c r="F598" s="7" t="s">
        <v>1313</v>
      </c>
      <c r="G598" s="46" t="s">
        <v>1314</v>
      </c>
      <c r="H598" s="46" t="s">
        <v>1173</v>
      </c>
      <c r="I598" s="7" t="s">
        <v>915</v>
      </c>
      <c r="J598" s="6">
        <v>46051</v>
      </c>
      <c r="K598" s="7" t="s">
        <v>1323</v>
      </c>
      <c r="L598" s="7" t="s">
        <v>25</v>
      </c>
    </row>
    <row r="599" ht="16.5" spans="1:12">
      <c r="A599" s="12">
        <v>597</v>
      </c>
      <c r="B599" s="46" t="s">
        <v>23</v>
      </c>
      <c r="C599" s="46" t="s">
        <v>38</v>
      </c>
      <c r="D599" s="46" t="s">
        <v>75</v>
      </c>
      <c r="E599" s="12" t="s">
        <v>176</v>
      </c>
      <c r="F599" s="7" t="s">
        <v>1315</v>
      </c>
      <c r="G599" s="46" t="s">
        <v>1316</v>
      </c>
      <c r="H599" s="46" t="s">
        <v>1173</v>
      </c>
      <c r="I599" s="7" t="s">
        <v>915</v>
      </c>
      <c r="J599" s="6">
        <v>46051</v>
      </c>
      <c r="K599" s="7" t="s">
        <v>1323</v>
      </c>
      <c r="L599" s="7" t="s">
        <v>25</v>
      </c>
    </row>
    <row r="600" ht="16.5" spans="1:12">
      <c r="A600" s="12">
        <v>598</v>
      </c>
      <c r="B600" s="46" t="s">
        <v>23</v>
      </c>
      <c r="C600" s="46" t="s">
        <v>38</v>
      </c>
      <c r="D600" s="46" t="s">
        <v>75</v>
      </c>
      <c r="E600" s="12" t="s">
        <v>176</v>
      </c>
      <c r="F600" s="7" t="s">
        <v>1317</v>
      </c>
      <c r="G600" s="46" t="s">
        <v>1318</v>
      </c>
      <c r="H600" s="46" t="s">
        <v>1173</v>
      </c>
      <c r="I600" s="7" t="s">
        <v>907</v>
      </c>
      <c r="J600" s="6">
        <v>46051</v>
      </c>
      <c r="K600" s="7" t="s">
        <v>1323</v>
      </c>
      <c r="L600" s="7" t="s">
        <v>25</v>
      </c>
    </row>
    <row r="601" ht="16.5" spans="1:12">
      <c r="A601" s="12">
        <v>599</v>
      </c>
      <c r="B601" s="46" t="s">
        <v>23</v>
      </c>
      <c r="C601" s="46" t="s">
        <v>38</v>
      </c>
      <c r="D601" s="46" t="s">
        <v>220</v>
      </c>
      <c r="E601" s="12" t="s">
        <v>620</v>
      </c>
      <c r="F601" s="7" t="s">
        <v>1319</v>
      </c>
      <c r="G601" s="46" t="s">
        <v>1320</v>
      </c>
      <c r="H601" s="46" t="s">
        <v>1173</v>
      </c>
      <c r="I601" s="7" t="s">
        <v>907</v>
      </c>
      <c r="J601" s="6">
        <v>46051</v>
      </c>
      <c r="K601" s="7" t="s">
        <v>1323</v>
      </c>
      <c r="L601" s="7" t="s">
        <v>25</v>
      </c>
    </row>
    <row r="602" ht="16.5" spans="1:12">
      <c r="A602" s="12">
        <v>600</v>
      </c>
      <c r="B602" s="46" t="s">
        <v>23</v>
      </c>
      <c r="C602" s="46" t="s">
        <v>38</v>
      </c>
      <c r="D602" s="46" t="s">
        <v>220</v>
      </c>
      <c r="E602" s="12" t="s">
        <v>620</v>
      </c>
      <c r="F602" s="7" t="s">
        <v>1321</v>
      </c>
      <c r="G602" s="46" t="s">
        <v>1322</v>
      </c>
      <c r="H602" s="46" t="s">
        <v>1173</v>
      </c>
      <c r="I602" s="7" t="s">
        <v>907</v>
      </c>
      <c r="J602" s="6">
        <v>46051</v>
      </c>
      <c r="K602" s="7" t="s">
        <v>1323</v>
      </c>
      <c r="L602" s="7" t="s">
        <v>25</v>
      </c>
    </row>
    <row r="603" ht="16.5" spans="1:12">
      <c r="A603" s="12">
        <v>601</v>
      </c>
      <c r="B603" s="46" t="s">
        <v>23</v>
      </c>
      <c r="C603" s="46" t="s">
        <v>32</v>
      </c>
      <c r="D603" s="46" t="s">
        <v>105</v>
      </c>
      <c r="E603" s="12" t="s">
        <v>179</v>
      </c>
      <c r="F603" s="7" t="s">
        <v>1174</v>
      </c>
      <c r="G603" s="46" t="s">
        <v>1175</v>
      </c>
      <c r="H603" s="46" t="s">
        <v>1173</v>
      </c>
      <c r="I603" s="7" t="s">
        <v>915</v>
      </c>
      <c r="J603" s="6">
        <v>46051</v>
      </c>
      <c r="K603" s="7" t="s">
        <v>1324</v>
      </c>
      <c r="L603" s="7" t="s">
        <v>25</v>
      </c>
    </row>
    <row r="604" ht="16.5" spans="1:12">
      <c r="A604" s="12">
        <v>602</v>
      </c>
      <c r="B604" s="46" t="s">
        <v>23</v>
      </c>
      <c r="C604" s="46" t="s">
        <v>32</v>
      </c>
      <c r="D604" s="46" t="s">
        <v>105</v>
      </c>
      <c r="E604" s="12" t="s">
        <v>556</v>
      </c>
      <c r="F604" s="7" t="s">
        <v>1176</v>
      </c>
      <c r="G604" s="46" t="s">
        <v>1177</v>
      </c>
      <c r="H604" s="46" t="s">
        <v>1173</v>
      </c>
      <c r="I604" s="7" t="s">
        <v>915</v>
      </c>
      <c r="J604" s="6">
        <v>46051</v>
      </c>
      <c r="K604" s="7" t="s">
        <v>1324</v>
      </c>
      <c r="L604" s="7" t="s">
        <v>25</v>
      </c>
    </row>
    <row r="605" ht="16.5" spans="1:12">
      <c r="A605" s="12">
        <v>603</v>
      </c>
      <c r="B605" s="46" t="s">
        <v>23</v>
      </c>
      <c r="C605" s="46" t="s">
        <v>37</v>
      </c>
      <c r="D605" s="46" t="s">
        <v>109</v>
      </c>
      <c r="E605" s="12" t="s">
        <v>203</v>
      </c>
      <c r="F605" s="7" t="s">
        <v>1178</v>
      </c>
      <c r="G605" s="46" t="s">
        <v>1179</v>
      </c>
      <c r="H605" s="46" t="s">
        <v>1173</v>
      </c>
      <c r="I605" s="7" t="s">
        <v>915</v>
      </c>
      <c r="J605" s="6">
        <v>46051</v>
      </c>
      <c r="K605" s="7" t="s">
        <v>1324</v>
      </c>
      <c r="L605" s="7" t="s">
        <v>25</v>
      </c>
    </row>
    <row r="606" ht="16.5" spans="1:12">
      <c r="A606" s="12">
        <v>604</v>
      </c>
      <c r="B606" s="46" t="s">
        <v>23</v>
      </c>
      <c r="C606" s="46" t="s">
        <v>37</v>
      </c>
      <c r="D606" s="46" t="s">
        <v>109</v>
      </c>
      <c r="E606" s="12" t="s">
        <v>203</v>
      </c>
      <c r="F606" s="7" t="s">
        <v>1180</v>
      </c>
      <c r="G606" s="46" t="s">
        <v>1181</v>
      </c>
      <c r="H606" s="46" t="s">
        <v>1173</v>
      </c>
      <c r="I606" s="7" t="s">
        <v>915</v>
      </c>
      <c r="J606" s="6">
        <v>46051</v>
      </c>
      <c r="K606" s="7" t="s">
        <v>1324</v>
      </c>
      <c r="L606" s="7" t="s">
        <v>25</v>
      </c>
    </row>
    <row r="607" ht="16.5" spans="1:12">
      <c r="A607" s="12">
        <v>605</v>
      </c>
      <c r="B607" s="46" t="s">
        <v>23</v>
      </c>
      <c r="C607" s="46" t="s">
        <v>38</v>
      </c>
      <c r="D607" s="46" t="s">
        <v>168</v>
      </c>
      <c r="E607" s="12" t="s">
        <v>205</v>
      </c>
      <c r="F607" s="7" t="s">
        <v>1182</v>
      </c>
      <c r="G607" s="46" t="s">
        <v>1183</v>
      </c>
      <c r="H607" s="46" t="s">
        <v>1173</v>
      </c>
      <c r="I607" s="7" t="s">
        <v>907</v>
      </c>
      <c r="J607" s="6">
        <v>46051</v>
      </c>
      <c r="K607" s="7" t="s">
        <v>1324</v>
      </c>
      <c r="L607" s="7" t="s">
        <v>25</v>
      </c>
    </row>
    <row r="608" ht="16.5" spans="1:12">
      <c r="A608" s="12">
        <v>606</v>
      </c>
      <c r="B608" s="46" t="s">
        <v>23</v>
      </c>
      <c r="C608" s="46" t="s">
        <v>38</v>
      </c>
      <c r="D608" s="46" t="s">
        <v>148</v>
      </c>
      <c r="E608" s="12" t="s">
        <v>371</v>
      </c>
      <c r="F608" s="7" t="s">
        <v>1184</v>
      </c>
      <c r="G608" s="46" t="s">
        <v>1185</v>
      </c>
      <c r="H608" s="46" t="s">
        <v>1173</v>
      </c>
      <c r="I608" s="7" t="s">
        <v>907</v>
      </c>
      <c r="J608" s="6">
        <v>46051</v>
      </c>
      <c r="K608" s="7" t="s">
        <v>1324</v>
      </c>
      <c r="L608" s="7" t="s">
        <v>25</v>
      </c>
    </row>
    <row r="609" ht="16.5" spans="1:12">
      <c r="A609" s="12">
        <v>607</v>
      </c>
      <c r="B609" s="46" t="s">
        <v>23</v>
      </c>
      <c r="C609" s="46" t="s">
        <v>38</v>
      </c>
      <c r="D609" s="46" t="s">
        <v>220</v>
      </c>
      <c r="E609" s="12" t="s">
        <v>540</v>
      </c>
      <c r="F609" s="7" t="s">
        <v>1186</v>
      </c>
      <c r="G609" s="46" t="s">
        <v>1187</v>
      </c>
      <c r="H609" s="46" t="s">
        <v>1173</v>
      </c>
      <c r="I609" s="7" t="s">
        <v>915</v>
      </c>
      <c r="J609" s="6">
        <v>46051</v>
      </c>
      <c r="K609" s="7" t="s">
        <v>1324</v>
      </c>
      <c r="L609" s="7" t="s">
        <v>25</v>
      </c>
    </row>
    <row r="610" ht="16.5" spans="1:12">
      <c r="A610" s="12">
        <v>608</v>
      </c>
      <c r="B610" s="46" t="s">
        <v>23</v>
      </c>
      <c r="C610" s="46" t="s">
        <v>29</v>
      </c>
      <c r="D610" s="46" t="s">
        <v>130</v>
      </c>
      <c r="E610" s="12" t="s">
        <v>1592</v>
      </c>
      <c r="F610" s="7" t="s">
        <v>677</v>
      </c>
      <c r="G610" s="46" t="s">
        <v>1188</v>
      </c>
      <c r="H610" s="46" t="s">
        <v>1173</v>
      </c>
      <c r="I610" s="7" t="s">
        <v>915</v>
      </c>
      <c r="J610" s="6">
        <v>46051</v>
      </c>
      <c r="K610" s="7" t="s">
        <v>1324</v>
      </c>
      <c r="L610" s="7" t="s">
        <v>25</v>
      </c>
    </row>
    <row r="611" ht="16.5" spans="1:12">
      <c r="A611" s="12">
        <v>609</v>
      </c>
      <c r="B611" s="46" t="s">
        <v>23</v>
      </c>
      <c r="C611" s="46" t="s">
        <v>29</v>
      </c>
      <c r="D611" s="46" t="s">
        <v>130</v>
      </c>
      <c r="E611" s="12" t="s">
        <v>1592</v>
      </c>
      <c r="F611" s="7" t="s">
        <v>1189</v>
      </c>
      <c r="G611" s="46" t="s">
        <v>1190</v>
      </c>
      <c r="H611" s="46" t="s">
        <v>1173</v>
      </c>
      <c r="I611" s="7" t="s">
        <v>915</v>
      </c>
      <c r="J611" s="6">
        <v>46051</v>
      </c>
      <c r="K611" s="7" t="s">
        <v>1324</v>
      </c>
      <c r="L611" s="7" t="s">
        <v>25</v>
      </c>
    </row>
    <row r="612" ht="16.5" spans="1:12">
      <c r="A612" s="12">
        <v>610</v>
      </c>
      <c r="B612" s="46" t="s">
        <v>23</v>
      </c>
      <c r="C612" s="46" t="s">
        <v>38</v>
      </c>
      <c r="D612" s="46" t="s">
        <v>63</v>
      </c>
      <c r="E612" s="12" t="s">
        <v>95</v>
      </c>
      <c r="F612" s="7" t="s">
        <v>1191</v>
      </c>
      <c r="G612" s="46" t="s">
        <v>1192</v>
      </c>
      <c r="H612" s="46" t="s">
        <v>1173</v>
      </c>
      <c r="I612" s="7" t="s">
        <v>907</v>
      </c>
      <c r="J612" s="6">
        <v>46051</v>
      </c>
      <c r="K612" s="7" t="s">
        <v>1324</v>
      </c>
      <c r="L612" s="7" t="s">
        <v>25</v>
      </c>
    </row>
    <row r="613" ht="16.5" spans="1:12">
      <c r="A613" s="12">
        <v>611</v>
      </c>
      <c r="B613" s="46" t="s">
        <v>23</v>
      </c>
      <c r="C613" s="46" t="s">
        <v>38</v>
      </c>
      <c r="D613" s="46" t="s">
        <v>63</v>
      </c>
      <c r="E613" s="12" t="s">
        <v>95</v>
      </c>
      <c r="F613" s="7" t="s">
        <v>1193</v>
      </c>
      <c r="G613" s="46" t="s">
        <v>1194</v>
      </c>
      <c r="H613" s="46" t="s">
        <v>1173</v>
      </c>
      <c r="I613" s="7" t="s">
        <v>907</v>
      </c>
      <c r="J613" s="6">
        <v>46051</v>
      </c>
      <c r="K613" s="7" t="s">
        <v>1324</v>
      </c>
      <c r="L613" s="7" t="s">
        <v>25</v>
      </c>
    </row>
    <row r="614" ht="16.5" spans="1:12">
      <c r="A614" s="12">
        <v>612</v>
      </c>
      <c r="B614" s="46" t="s">
        <v>23</v>
      </c>
      <c r="C614" s="46" t="s">
        <v>38</v>
      </c>
      <c r="D614" s="46" t="s">
        <v>63</v>
      </c>
      <c r="E614" s="12" t="s">
        <v>95</v>
      </c>
      <c r="F614" s="7" t="s">
        <v>1171</v>
      </c>
      <c r="G614" s="46" t="s">
        <v>1172</v>
      </c>
      <c r="H614" s="46" t="s">
        <v>1173</v>
      </c>
      <c r="I614" s="7" t="s">
        <v>907</v>
      </c>
      <c r="J614" s="6">
        <v>46051</v>
      </c>
      <c r="K614" s="7" t="s">
        <v>1324</v>
      </c>
      <c r="L614" s="7" t="s">
        <v>25</v>
      </c>
    </row>
    <row r="615" ht="16.5" spans="1:12">
      <c r="A615" s="12">
        <v>613</v>
      </c>
      <c r="B615" s="46" t="s">
        <v>23</v>
      </c>
      <c r="C615" s="46" t="s">
        <v>38</v>
      </c>
      <c r="D615" s="46" t="s">
        <v>63</v>
      </c>
      <c r="E615" s="12" t="s">
        <v>95</v>
      </c>
      <c r="F615" s="7" t="s">
        <v>1195</v>
      </c>
      <c r="G615" s="46" t="s">
        <v>1196</v>
      </c>
      <c r="H615" s="46" t="s">
        <v>1173</v>
      </c>
      <c r="I615" s="7" t="s">
        <v>907</v>
      </c>
      <c r="J615" s="6">
        <v>46051</v>
      </c>
      <c r="K615" s="7" t="s">
        <v>1324</v>
      </c>
      <c r="L615" s="7" t="s">
        <v>25</v>
      </c>
    </row>
    <row r="616" ht="16.5" spans="1:12">
      <c r="A616" s="12">
        <v>614</v>
      </c>
      <c r="B616" s="46" t="s">
        <v>23</v>
      </c>
      <c r="C616" s="46" t="s">
        <v>38</v>
      </c>
      <c r="D616" s="46" t="s">
        <v>70</v>
      </c>
      <c r="E616" s="12" t="s">
        <v>564</v>
      </c>
      <c r="F616" s="7" t="s">
        <v>1197</v>
      </c>
      <c r="G616" s="46" t="s">
        <v>1198</v>
      </c>
      <c r="H616" s="46" t="s">
        <v>1173</v>
      </c>
      <c r="I616" s="7" t="s">
        <v>907</v>
      </c>
      <c r="J616" s="6">
        <v>46051</v>
      </c>
      <c r="K616" s="7" t="s">
        <v>1324</v>
      </c>
      <c r="L616" s="7" t="s">
        <v>25</v>
      </c>
    </row>
    <row r="617" ht="16.5" spans="1:12">
      <c r="A617" s="12">
        <v>615</v>
      </c>
      <c r="B617" s="46" t="s">
        <v>23</v>
      </c>
      <c r="C617" s="46" t="s">
        <v>38</v>
      </c>
      <c r="D617" s="46" t="s">
        <v>70</v>
      </c>
      <c r="E617" s="12" t="s">
        <v>564</v>
      </c>
      <c r="F617" s="7" t="s">
        <v>1199</v>
      </c>
      <c r="G617" s="46" t="s">
        <v>1200</v>
      </c>
      <c r="H617" s="46" t="s">
        <v>1173</v>
      </c>
      <c r="I617" s="7" t="s">
        <v>907</v>
      </c>
      <c r="J617" s="6">
        <v>46051</v>
      </c>
      <c r="K617" s="7" t="s">
        <v>1324</v>
      </c>
      <c r="L617" s="7" t="s">
        <v>25</v>
      </c>
    </row>
    <row r="618" ht="16.5" spans="1:12">
      <c r="A618" s="12">
        <v>616</v>
      </c>
      <c r="B618" s="46" t="s">
        <v>23</v>
      </c>
      <c r="C618" s="46" t="s">
        <v>38</v>
      </c>
      <c r="D618" s="46" t="s">
        <v>75</v>
      </c>
      <c r="E618" s="12" t="s">
        <v>200</v>
      </c>
      <c r="F618" s="7" t="s">
        <v>1201</v>
      </c>
      <c r="G618" s="46" t="s">
        <v>1202</v>
      </c>
      <c r="H618" s="46" t="s">
        <v>1173</v>
      </c>
      <c r="I618" s="7" t="s">
        <v>907</v>
      </c>
      <c r="J618" s="6">
        <v>46051</v>
      </c>
      <c r="K618" s="7" t="s">
        <v>1324</v>
      </c>
      <c r="L618" s="7" t="s">
        <v>25</v>
      </c>
    </row>
    <row r="619" ht="16.5" spans="1:12">
      <c r="A619" s="12">
        <v>617</v>
      </c>
      <c r="B619" s="46" t="s">
        <v>23</v>
      </c>
      <c r="C619" s="46" t="s">
        <v>38</v>
      </c>
      <c r="D619" s="46" t="s">
        <v>168</v>
      </c>
      <c r="E619" s="12" t="s">
        <v>500</v>
      </c>
      <c r="F619" s="7" t="s">
        <v>1203</v>
      </c>
      <c r="G619" s="46" t="s">
        <v>1204</v>
      </c>
      <c r="H619" s="46" t="s">
        <v>1173</v>
      </c>
      <c r="I619" s="7" t="s">
        <v>907</v>
      </c>
      <c r="J619" s="6">
        <v>46051</v>
      </c>
      <c r="K619" s="7" t="s">
        <v>1324</v>
      </c>
      <c r="L619" s="7" t="s">
        <v>25</v>
      </c>
    </row>
    <row r="620" ht="16.5" spans="1:12">
      <c r="A620" s="12">
        <v>618</v>
      </c>
      <c r="B620" s="46" t="s">
        <v>23</v>
      </c>
      <c r="C620" s="46" t="s">
        <v>29</v>
      </c>
      <c r="D620" s="46" t="s">
        <v>130</v>
      </c>
      <c r="E620" s="12" t="s">
        <v>469</v>
      </c>
      <c r="F620" s="7" t="s">
        <v>1205</v>
      </c>
      <c r="G620" s="46" t="s">
        <v>1206</v>
      </c>
      <c r="H620" s="46" t="s">
        <v>1173</v>
      </c>
      <c r="I620" s="7" t="s">
        <v>907</v>
      </c>
      <c r="J620" s="6">
        <v>46051</v>
      </c>
      <c r="K620" s="7" t="s">
        <v>1324</v>
      </c>
      <c r="L620" s="7" t="s">
        <v>25</v>
      </c>
    </row>
    <row r="621" ht="16.5" spans="1:12">
      <c r="A621" s="12">
        <v>619</v>
      </c>
      <c r="B621" s="46" t="s">
        <v>23</v>
      </c>
      <c r="C621" s="46" t="s">
        <v>38</v>
      </c>
      <c r="D621" s="46" t="s">
        <v>63</v>
      </c>
      <c r="E621" s="12" t="s">
        <v>602</v>
      </c>
      <c r="F621" s="7" t="s">
        <v>1207</v>
      </c>
      <c r="G621" s="46" t="s">
        <v>1208</v>
      </c>
      <c r="H621" s="46" t="s">
        <v>1173</v>
      </c>
      <c r="I621" s="7" t="s">
        <v>907</v>
      </c>
      <c r="J621" s="6">
        <v>46051</v>
      </c>
      <c r="K621" s="7" t="s">
        <v>1324</v>
      </c>
      <c r="L621" s="7" t="s">
        <v>25</v>
      </c>
    </row>
    <row r="622" ht="16.5" spans="1:12">
      <c r="A622" s="12">
        <v>620</v>
      </c>
      <c r="B622" s="46" t="s">
        <v>23</v>
      </c>
      <c r="C622" s="46" t="s">
        <v>38</v>
      </c>
      <c r="D622" s="46" t="s">
        <v>63</v>
      </c>
      <c r="E622" s="12" t="s">
        <v>602</v>
      </c>
      <c r="F622" s="7" t="s">
        <v>1209</v>
      </c>
      <c r="G622" s="46" t="s">
        <v>1210</v>
      </c>
      <c r="H622" s="46" t="s">
        <v>1173</v>
      </c>
      <c r="I622" s="7" t="s">
        <v>907</v>
      </c>
      <c r="J622" s="6">
        <v>46051</v>
      </c>
      <c r="K622" s="7" t="s">
        <v>1324</v>
      </c>
      <c r="L622" s="7" t="s">
        <v>25</v>
      </c>
    </row>
    <row r="623" ht="16.5" spans="1:12">
      <c r="A623" s="12">
        <v>621</v>
      </c>
      <c r="B623" s="46" t="s">
        <v>23</v>
      </c>
      <c r="C623" s="46" t="s">
        <v>38</v>
      </c>
      <c r="D623" s="46" t="s">
        <v>63</v>
      </c>
      <c r="E623" s="12" t="s">
        <v>602</v>
      </c>
      <c r="F623" s="7" t="s">
        <v>1211</v>
      </c>
      <c r="G623" s="46" t="s">
        <v>1212</v>
      </c>
      <c r="H623" s="46" t="s">
        <v>1173</v>
      </c>
      <c r="I623" s="7" t="s">
        <v>907</v>
      </c>
      <c r="J623" s="6">
        <v>46051</v>
      </c>
      <c r="K623" s="7" t="s">
        <v>1324</v>
      </c>
      <c r="L623" s="7" t="s">
        <v>25</v>
      </c>
    </row>
    <row r="624" ht="16.5" spans="1:12">
      <c r="A624" s="12">
        <v>622</v>
      </c>
      <c r="B624" s="46" t="s">
        <v>23</v>
      </c>
      <c r="C624" s="46" t="s">
        <v>38</v>
      </c>
      <c r="D624" s="46" t="s">
        <v>63</v>
      </c>
      <c r="E624" s="12" t="s">
        <v>602</v>
      </c>
      <c r="F624" s="7" t="s">
        <v>1213</v>
      </c>
      <c r="G624" s="46" t="s">
        <v>1214</v>
      </c>
      <c r="H624" s="46" t="s">
        <v>1173</v>
      </c>
      <c r="I624" s="7" t="s">
        <v>907</v>
      </c>
      <c r="J624" s="6">
        <v>46051</v>
      </c>
      <c r="K624" s="7" t="s">
        <v>1324</v>
      </c>
      <c r="L624" s="7" t="s">
        <v>25</v>
      </c>
    </row>
    <row r="625" ht="16.5" spans="1:12">
      <c r="A625" s="12">
        <v>623</v>
      </c>
      <c r="B625" s="46" t="s">
        <v>23</v>
      </c>
      <c r="C625" s="46" t="s">
        <v>38</v>
      </c>
      <c r="D625" s="46" t="s">
        <v>168</v>
      </c>
      <c r="E625" s="12" t="s">
        <v>167</v>
      </c>
      <c r="F625" s="7" t="s">
        <v>1215</v>
      </c>
      <c r="G625" s="46" t="s">
        <v>1216</v>
      </c>
      <c r="H625" s="46" t="s">
        <v>1173</v>
      </c>
      <c r="I625" s="7" t="s">
        <v>907</v>
      </c>
      <c r="J625" s="6">
        <v>46051</v>
      </c>
      <c r="K625" s="7" t="s">
        <v>1324</v>
      </c>
      <c r="L625" s="7" t="s">
        <v>25</v>
      </c>
    </row>
    <row r="626" ht="16.5" spans="1:12">
      <c r="A626" s="12">
        <v>624</v>
      </c>
      <c r="B626" s="46" t="s">
        <v>23</v>
      </c>
      <c r="C626" s="46" t="s">
        <v>38</v>
      </c>
      <c r="D626" s="46" t="s">
        <v>168</v>
      </c>
      <c r="E626" s="12" t="s">
        <v>167</v>
      </c>
      <c r="F626" s="7" t="s">
        <v>1217</v>
      </c>
      <c r="G626" s="46" t="s">
        <v>1218</v>
      </c>
      <c r="H626" s="46" t="s">
        <v>1173</v>
      </c>
      <c r="I626" s="7" t="s">
        <v>907</v>
      </c>
      <c r="J626" s="6">
        <v>46051</v>
      </c>
      <c r="K626" s="7" t="s">
        <v>1324</v>
      </c>
      <c r="L626" s="7" t="s">
        <v>25</v>
      </c>
    </row>
    <row r="627" ht="16.5" spans="1:12">
      <c r="A627" s="12">
        <v>625</v>
      </c>
      <c r="B627" s="46" t="s">
        <v>23</v>
      </c>
      <c r="C627" s="46" t="s">
        <v>38</v>
      </c>
      <c r="D627" s="46" t="s">
        <v>75</v>
      </c>
      <c r="E627" s="12" t="s">
        <v>400</v>
      </c>
      <c r="F627" s="7" t="s">
        <v>1219</v>
      </c>
      <c r="G627" s="46" t="s">
        <v>1220</v>
      </c>
      <c r="H627" s="46" t="s">
        <v>1173</v>
      </c>
      <c r="I627" s="7" t="s">
        <v>915</v>
      </c>
      <c r="J627" s="6">
        <v>46051</v>
      </c>
      <c r="K627" s="7" t="s">
        <v>1324</v>
      </c>
      <c r="L627" s="7" t="s">
        <v>25</v>
      </c>
    </row>
    <row r="628" ht="16.5" spans="1:12">
      <c r="A628" s="12">
        <v>626</v>
      </c>
      <c r="B628" s="46" t="s">
        <v>23</v>
      </c>
      <c r="C628" s="46" t="s">
        <v>38</v>
      </c>
      <c r="D628" s="46" t="s">
        <v>75</v>
      </c>
      <c r="E628" s="12" t="s">
        <v>400</v>
      </c>
      <c r="F628" s="7" t="s">
        <v>1221</v>
      </c>
      <c r="G628" s="46" t="s">
        <v>1222</v>
      </c>
      <c r="H628" s="46" t="s">
        <v>1173</v>
      </c>
      <c r="I628" s="7" t="s">
        <v>907</v>
      </c>
      <c r="J628" s="6">
        <v>46051</v>
      </c>
      <c r="K628" s="7" t="s">
        <v>1324</v>
      </c>
      <c r="L628" s="7" t="s">
        <v>25</v>
      </c>
    </row>
    <row r="629" ht="16.5" spans="1:12">
      <c r="A629" s="12">
        <v>627</v>
      </c>
      <c r="B629" s="46" t="s">
        <v>23</v>
      </c>
      <c r="C629" s="46" t="s">
        <v>32</v>
      </c>
      <c r="D629" s="46" t="s">
        <v>105</v>
      </c>
      <c r="E629" s="12" t="s">
        <v>165</v>
      </c>
      <c r="F629" s="7" t="s">
        <v>1223</v>
      </c>
      <c r="G629" s="46" t="s">
        <v>1224</v>
      </c>
      <c r="H629" s="46" t="s">
        <v>1173</v>
      </c>
      <c r="I629" s="7" t="s">
        <v>907</v>
      </c>
      <c r="J629" s="6">
        <v>46051</v>
      </c>
      <c r="K629" s="7" t="s">
        <v>1324</v>
      </c>
      <c r="L629" s="7" t="s">
        <v>25</v>
      </c>
    </row>
    <row r="630" ht="16.5" spans="1:12">
      <c r="A630" s="12">
        <v>628</v>
      </c>
      <c r="B630" s="46" t="s">
        <v>23</v>
      </c>
      <c r="C630" s="46" t="s">
        <v>31</v>
      </c>
      <c r="D630" s="46" t="s">
        <v>90</v>
      </c>
      <c r="E630" s="12" t="s">
        <v>1593</v>
      </c>
      <c r="F630" s="7" t="s">
        <v>1225</v>
      </c>
      <c r="G630" s="46" t="s">
        <v>1226</v>
      </c>
      <c r="H630" s="46" t="s">
        <v>1173</v>
      </c>
      <c r="I630" s="7" t="s">
        <v>915</v>
      </c>
      <c r="J630" s="6">
        <v>46051</v>
      </c>
      <c r="K630" s="7" t="s">
        <v>1324</v>
      </c>
      <c r="L630" s="7" t="s">
        <v>25</v>
      </c>
    </row>
    <row r="631" ht="16.5" spans="1:12">
      <c r="A631" s="12">
        <v>629</v>
      </c>
      <c r="B631" s="46" t="s">
        <v>23</v>
      </c>
      <c r="C631" s="46" t="s">
        <v>38</v>
      </c>
      <c r="D631" s="46" t="s">
        <v>70</v>
      </c>
      <c r="E631" s="12" t="s">
        <v>69</v>
      </c>
      <c r="F631" s="7" t="s">
        <v>1227</v>
      </c>
      <c r="G631" s="46" t="s">
        <v>1228</v>
      </c>
      <c r="H631" s="46" t="s">
        <v>1173</v>
      </c>
      <c r="I631" s="7" t="s">
        <v>907</v>
      </c>
      <c r="J631" s="6">
        <v>46051</v>
      </c>
      <c r="K631" s="7" t="s">
        <v>1324</v>
      </c>
      <c r="L631" s="7" t="s">
        <v>25</v>
      </c>
    </row>
    <row r="632" ht="16.5" spans="1:12">
      <c r="A632" s="12">
        <v>630</v>
      </c>
      <c r="B632" s="46" t="s">
        <v>23</v>
      </c>
      <c r="C632" s="46" t="s">
        <v>38</v>
      </c>
      <c r="D632" s="46" t="s">
        <v>70</v>
      </c>
      <c r="E632" s="12" t="s">
        <v>413</v>
      </c>
      <c r="F632" s="7" t="s">
        <v>1229</v>
      </c>
      <c r="G632" s="46" t="s">
        <v>1230</v>
      </c>
      <c r="H632" s="46" t="s">
        <v>1173</v>
      </c>
      <c r="I632" s="7" t="s">
        <v>915</v>
      </c>
      <c r="J632" s="6">
        <v>46051</v>
      </c>
      <c r="K632" s="7" t="s">
        <v>1324</v>
      </c>
      <c r="L632" s="7" t="s">
        <v>25</v>
      </c>
    </row>
    <row r="633" ht="16.5" spans="1:12">
      <c r="A633" s="12">
        <v>631</v>
      </c>
      <c r="B633" s="46" t="s">
        <v>23</v>
      </c>
      <c r="C633" s="46" t="s">
        <v>37</v>
      </c>
      <c r="D633" s="46" t="s">
        <v>109</v>
      </c>
      <c r="E633" s="12" t="s">
        <v>527</v>
      </c>
      <c r="F633" s="7" t="s">
        <v>1231</v>
      </c>
      <c r="G633" s="46" t="s">
        <v>1232</v>
      </c>
      <c r="H633" s="46" t="s">
        <v>1173</v>
      </c>
      <c r="I633" s="7" t="s">
        <v>915</v>
      </c>
      <c r="J633" s="6">
        <v>46051</v>
      </c>
      <c r="K633" s="7" t="s">
        <v>1324</v>
      </c>
      <c r="L633" s="7" t="s">
        <v>25</v>
      </c>
    </row>
    <row r="634" ht="16.5" spans="1:12">
      <c r="A634" s="12">
        <v>632</v>
      </c>
      <c r="B634" s="46" t="s">
        <v>23</v>
      </c>
      <c r="C634" s="46" t="s">
        <v>32</v>
      </c>
      <c r="D634" s="46" t="s">
        <v>105</v>
      </c>
      <c r="E634" s="12" t="s">
        <v>487</v>
      </c>
      <c r="F634" s="7" t="s">
        <v>1233</v>
      </c>
      <c r="G634" s="46" t="s">
        <v>1234</v>
      </c>
      <c r="H634" s="46" t="s">
        <v>1173</v>
      </c>
      <c r="I634" s="7" t="s">
        <v>915</v>
      </c>
      <c r="J634" s="6">
        <v>46051</v>
      </c>
      <c r="K634" s="7" t="s">
        <v>1324</v>
      </c>
      <c r="L634" s="7" t="s">
        <v>25</v>
      </c>
    </row>
    <row r="635" ht="16.5" spans="1:12">
      <c r="A635" s="12">
        <v>633</v>
      </c>
      <c r="B635" s="46" t="s">
        <v>23</v>
      </c>
      <c r="C635" s="46" t="s">
        <v>24</v>
      </c>
      <c r="D635" s="46" t="s">
        <v>101</v>
      </c>
      <c r="E635" s="12" t="s">
        <v>1594</v>
      </c>
      <c r="F635" s="7" t="s">
        <v>1235</v>
      </c>
      <c r="G635" s="46" t="s">
        <v>1236</v>
      </c>
      <c r="H635" s="46" t="s">
        <v>1173</v>
      </c>
      <c r="I635" s="7" t="s">
        <v>915</v>
      </c>
      <c r="J635" s="6">
        <v>46051</v>
      </c>
      <c r="K635" s="7" t="s">
        <v>1324</v>
      </c>
      <c r="L635" s="7" t="s">
        <v>25</v>
      </c>
    </row>
    <row r="636" ht="16.5" spans="1:12">
      <c r="A636" s="12">
        <v>634</v>
      </c>
      <c r="B636" s="46" t="s">
        <v>23</v>
      </c>
      <c r="C636" s="46" t="s">
        <v>38</v>
      </c>
      <c r="D636" s="46" t="s">
        <v>70</v>
      </c>
      <c r="E636" s="12" t="s">
        <v>576</v>
      </c>
      <c r="F636" s="7" t="s">
        <v>1237</v>
      </c>
      <c r="G636" s="46" t="s">
        <v>1238</v>
      </c>
      <c r="H636" s="46" t="s">
        <v>1173</v>
      </c>
      <c r="I636" s="7" t="s">
        <v>915</v>
      </c>
      <c r="J636" s="6">
        <v>46051</v>
      </c>
      <c r="K636" s="7" t="s">
        <v>1324</v>
      </c>
      <c r="L636" s="7" t="s">
        <v>25</v>
      </c>
    </row>
    <row r="637" ht="16.5" spans="1:12">
      <c r="A637" s="12">
        <v>635</v>
      </c>
      <c r="B637" s="46" t="s">
        <v>23</v>
      </c>
      <c r="C637" s="46" t="s">
        <v>38</v>
      </c>
      <c r="D637" s="46" t="s">
        <v>148</v>
      </c>
      <c r="E637" s="12" t="s">
        <v>147</v>
      </c>
      <c r="F637" s="7" t="s">
        <v>1239</v>
      </c>
      <c r="G637" s="46" t="s">
        <v>1240</v>
      </c>
      <c r="H637" s="46" t="s">
        <v>1173</v>
      </c>
      <c r="I637" s="7" t="s">
        <v>915</v>
      </c>
      <c r="J637" s="6">
        <v>46051</v>
      </c>
      <c r="K637" s="7" t="s">
        <v>1324</v>
      </c>
      <c r="L637" s="7" t="s">
        <v>25</v>
      </c>
    </row>
    <row r="638" ht="16.5" spans="1:12">
      <c r="A638" s="12">
        <v>636</v>
      </c>
      <c r="B638" s="46" t="s">
        <v>23</v>
      </c>
      <c r="C638" s="46" t="s">
        <v>38</v>
      </c>
      <c r="D638" s="46" t="s">
        <v>148</v>
      </c>
      <c r="E638" s="12" t="s">
        <v>147</v>
      </c>
      <c r="F638" s="7" t="s">
        <v>1241</v>
      </c>
      <c r="G638" s="46" t="s">
        <v>1242</v>
      </c>
      <c r="H638" s="46" t="s">
        <v>1173</v>
      </c>
      <c r="I638" s="7" t="s">
        <v>915</v>
      </c>
      <c r="J638" s="6">
        <v>46051</v>
      </c>
      <c r="K638" s="7" t="s">
        <v>1324</v>
      </c>
      <c r="L638" s="7" t="s">
        <v>25</v>
      </c>
    </row>
    <row r="639" ht="16.5" spans="1:12">
      <c r="A639" s="12">
        <v>637</v>
      </c>
      <c r="B639" s="46" t="s">
        <v>23</v>
      </c>
      <c r="C639" s="46" t="s">
        <v>38</v>
      </c>
      <c r="D639" s="46" t="s">
        <v>220</v>
      </c>
      <c r="E639" s="12" t="s">
        <v>1077</v>
      </c>
      <c r="F639" s="7" t="s">
        <v>1243</v>
      </c>
      <c r="G639" s="46" t="s">
        <v>1244</v>
      </c>
      <c r="H639" s="46" t="s">
        <v>1173</v>
      </c>
      <c r="I639" s="7" t="s">
        <v>907</v>
      </c>
      <c r="J639" s="6">
        <v>46051</v>
      </c>
      <c r="K639" s="7" t="s">
        <v>1324</v>
      </c>
      <c r="L639" s="7" t="s">
        <v>25</v>
      </c>
    </row>
    <row r="640" ht="16.5" spans="1:12">
      <c r="A640" s="12">
        <v>638</v>
      </c>
      <c r="B640" s="46" t="s">
        <v>23</v>
      </c>
      <c r="C640" s="46" t="s">
        <v>38</v>
      </c>
      <c r="D640" s="46" t="s">
        <v>75</v>
      </c>
      <c r="E640" s="12" t="s">
        <v>437</v>
      </c>
      <c r="F640" s="7" t="s">
        <v>1245</v>
      </c>
      <c r="G640" s="46" t="s">
        <v>1246</v>
      </c>
      <c r="H640" s="46" t="s">
        <v>1173</v>
      </c>
      <c r="I640" s="7" t="s">
        <v>915</v>
      </c>
      <c r="J640" s="6">
        <v>46051</v>
      </c>
      <c r="K640" s="7" t="s">
        <v>1324</v>
      </c>
      <c r="L640" s="7" t="s">
        <v>25</v>
      </c>
    </row>
    <row r="641" ht="16.5" spans="1:12">
      <c r="A641" s="12">
        <v>639</v>
      </c>
      <c r="B641" s="46" t="s">
        <v>23</v>
      </c>
      <c r="C641" s="46" t="s">
        <v>29</v>
      </c>
      <c r="D641" s="46" t="s">
        <v>130</v>
      </c>
      <c r="E641" s="12" t="s">
        <v>390</v>
      </c>
      <c r="F641" s="7" t="s">
        <v>1247</v>
      </c>
      <c r="G641" s="46" t="s">
        <v>1248</v>
      </c>
      <c r="H641" s="46" t="s">
        <v>1173</v>
      </c>
      <c r="I641" s="7" t="s">
        <v>915</v>
      </c>
      <c r="J641" s="6">
        <v>46051</v>
      </c>
      <c r="K641" s="7" t="s">
        <v>1324</v>
      </c>
      <c r="L641" s="7" t="s">
        <v>25</v>
      </c>
    </row>
    <row r="642" ht="16.5" spans="1:12">
      <c r="A642" s="12">
        <v>640</v>
      </c>
      <c r="B642" s="46" t="s">
        <v>23</v>
      </c>
      <c r="C642" s="46" t="s">
        <v>35</v>
      </c>
      <c r="D642" s="46" t="s">
        <v>125</v>
      </c>
      <c r="E642" s="12" t="s">
        <v>1584</v>
      </c>
      <c r="F642" s="7" t="s">
        <v>1249</v>
      </c>
      <c r="G642" s="46" t="s">
        <v>1250</v>
      </c>
      <c r="H642" s="46" t="s">
        <v>1173</v>
      </c>
      <c r="I642" s="7" t="s">
        <v>915</v>
      </c>
      <c r="J642" s="6">
        <v>46051</v>
      </c>
      <c r="K642" s="7" t="s">
        <v>1324</v>
      </c>
      <c r="L642" s="7" t="s">
        <v>25</v>
      </c>
    </row>
    <row r="643" ht="16.5" spans="1:12">
      <c r="A643" s="12">
        <v>641</v>
      </c>
      <c r="B643" s="46" t="s">
        <v>23</v>
      </c>
      <c r="C643" s="46" t="s">
        <v>29</v>
      </c>
      <c r="D643" s="46" t="s">
        <v>130</v>
      </c>
      <c r="E643" s="12" t="s">
        <v>380</v>
      </c>
      <c r="F643" s="7" t="s">
        <v>1251</v>
      </c>
      <c r="G643" s="46" t="s">
        <v>1252</v>
      </c>
      <c r="H643" s="46" t="s">
        <v>1173</v>
      </c>
      <c r="I643" s="7" t="s">
        <v>915</v>
      </c>
      <c r="J643" s="6">
        <v>46051</v>
      </c>
      <c r="K643" s="7" t="s">
        <v>1324</v>
      </c>
      <c r="L643" s="7" t="s">
        <v>25</v>
      </c>
    </row>
    <row r="644" ht="16.5" spans="1:12">
      <c r="A644" s="12">
        <v>642</v>
      </c>
      <c r="B644" s="46" t="s">
        <v>23</v>
      </c>
      <c r="C644" s="46" t="s">
        <v>34</v>
      </c>
      <c r="D644" s="46" t="s">
        <v>351</v>
      </c>
      <c r="E644" s="12" t="s">
        <v>1595</v>
      </c>
      <c r="F644" s="7" t="s">
        <v>1253</v>
      </c>
      <c r="G644" s="46" t="s">
        <v>1254</v>
      </c>
      <c r="H644" s="46" t="s">
        <v>1173</v>
      </c>
      <c r="I644" s="7" t="s">
        <v>915</v>
      </c>
      <c r="J644" s="6">
        <v>46051</v>
      </c>
      <c r="K644" s="7" t="s">
        <v>1324</v>
      </c>
      <c r="L644" s="7" t="s">
        <v>25</v>
      </c>
    </row>
    <row r="645" ht="16.5" spans="1:12">
      <c r="A645" s="12">
        <v>643</v>
      </c>
      <c r="B645" s="46" t="s">
        <v>23</v>
      </c>
      <c r="C645" s="46" t="s">
        <v>34</v>
      </c>
      <c r="D645" s="46" t="s">
        <v>351</v>
      </c>
      <c r="E645" s="12" t="s">
        <v>1595</v>
      </c>
      <c r="F645" s="7" t="s">
        <v>1255</v>
      </c>
      <c r="G645" s="46" t="s">
        <v>1256</v>
      </c>
      <c r="H645" s="46" t="s">
        <v>1173</v>
      </c>
      <c r="I645" s="7" t="s">
        <v>915</v>
      </c>
      <c r="J645" s="6">
        <v>46051</v>
      </c>
      <c r="K645" s="7" t="s">
        <v>1324</v>
      </c>
      <c r="L645" s="7" t="s">
        <v>25</v>
      </c>
    </row>
    <row r="646" ht="16.5" spans="1:12">
      <c r="A646" s="12">
        <v>644</v>
      </c>
      <c r="B646" s="46" t="s">
        <v>23</v>
      </c>
      <c r="C646" s="46" t="s">
        <v>34</v>
      </c>
      <c r="D646" s="46" t="s">
        <v>351</v>
      </c>
      <c r="E646" s="12" t="s">
        <v>1595</v>
      </c>
      <c r="F646" s="7" t="s">
        <v>1257</v>
      </c>
      <c r="G646" s="46" t="s">
        <v>1258</v>
      </c>
      <c r="H646" s="46" t="s">
        <v>1173</v>
      </c>
      <c r="I646" s="7" t="s">
        <v>915</v>
      </c>
      <c r="J646" s="6">
        <v>46051</v>
      </c>
      <c r="K646" s="7" t="s">
        <v>1324</v>
      </c>
      <c r="L646" s="7" t="s">
        <v>25</v>
      </c>
    </row>
    <row r="647" ht="16.5" spans="1:12">
      <c r="A647" s="12">
        <v>645</v>
      </c>
      <c r="B647" s="46" t="s">
        <v>23</v>
      </c>
      <c r="C647" s="46" t="s">
        <v>32</v>
      </c>
      <c r="D647" s="46" t="s">
        <v>105</v>
      </c>
      <c r="E647" s="12" t="s">
        <v>192</v>
      </c>
      <c r="F647" s="7" t="s">
        <v>1259</v>
      </c>
      <c r="G647" s="46" t="s">
        <v>1260</v>
      </c>
      <c r="H647" s="46" t="s">
        <v>1173</v>
      </c>
      <c r="I647" s="7" t="s">
        <v>907</v>
      </c>
      <c r="J647" s="6">
        <v>46051</v>
      </c>
      <c r="K647" s="7" t="s">
        <v>1324</v>
      </c>
      <c r="L647" s="7" t="s">
        <v>25</v>
      </c>
    </row>
    <row r="648" ht="16.5" spans="1:12">
      <c r="A648" s="12">
        <v>646</v>
      </c>
      <c r="B648" s="46" t="s">
        <v>23</v>
      </c>
      <c r="C648" s="46" t="s">
        <v>32</v>
      </c>
      <c r="D648" s="46" t="s">
        <v>105</v>
      </c>
      <c r="E648" s="12" t="s">
        <v>115</v>
      </c>
      <c r="F648" s="7" t="s">
        <v>1261</v>
      </c>
      <c r="G648" s="46" t="s">
        <v>1262</v>
      </c>
      <c r="H648" s="46" t="s">
        <v>1173</v>
      </c>
      <c r="I648" s="7" t="s">
        <v>907</v>
      </c>
      <c r="J648" s="6">
        <v>46051</v>
      </c>
      <c r="K648" s="7" t="s">
        <v>1324</v>
      </c>
      <c r="L648" s="7" t="s">
        <v>25</v>
      </c>
    </row>
    <row r="649" ht="16.5" spans="1:12">
      <c r="A649" s="12">
        <v>647</v>
      </c>
      <c r="B649" s="46" t="s">
        <v>23</v>
      </c>
      <c r="C649" s="46" t="s">
        <v>38</v>
      </c>
      <c r="D649" s="46" t="s">
        <v>75</v>
      </c>
      <c r="E649" s="12" t="s">
        <v>74</v>
      </c>
      <c r="F649" s="7" t="s">
        <v>1263</v>
      </c>
      <c r="G649" s="46" t="s">
        <v>1264</v>
      </c>
      <c r="H649" s="46" t="s">
        <v>1173</v>
      </c>
      <c r="I649" s="7" t="s">
        <v>907</v>
      </c>
      <c r="J649" s="6">
        <v>46051</v>
      </c>
      <c r="K649" s="7" t="s">
        <v>1324</v>
      </c>
      <c r="L649" s="7" t="s">
        <v>25</v>
      </c>
    </row>
    <row r="650" ht="16.5" spans="1:12">
      <c r="A650" s="12">
        <v>648</v>
      </c>
      <c r="B650" s="46" t="s">
        <v>23</v>
      </c>
      <c r="C650" s="46" t="s">
        <v>31</v>
      </c>
      <c r="D650" s="46" t="s">
        <v>79</v>
      </c>
      <c r="E650" s="12" t="s">
        <v>189</v>
      </c>
      <c r="F650" s="7" t="s">
        <v>1265</v>
      </c>
      <c r="G650" s="46" t="s">
        <v>1266</v>
      </c>
      <c r="H650" s="46" t="s">
        <v>1173</v>
      </c>
      <c r="I650" s="7" t="s">
        <v>915</v>
      </c>
      <c r="J650" s="6">
        <v>46051</v>
      </c>
      <c r="K650" s="7" t="s">
        <v>1324</v>
      </c>
      <c r="L650" s="7" t="s">
        <v>25</v>
      </c>
    </row>
    <row r="651" ht="16.5" spans="1:12">
      <c r="A651" s="12">
        <v>649</v>
      </c>
      <c r="B651" s="46" t="s">
        <v>23</v>
      </c>
      <c r="C651" s="46" t="s">
        <v>37</v>
      </c>
      <c r="D651" s="46" t="s">
        <v>109</v>
      </c>
      <c r="E651" s="12" t="s">
        <v>108</v>
      </c>
      <c r="F651" s="7" t="s">
        <v>1267</v>
      </c>
      <c r="G651" s="46" t="s">
        <v>1268</v>
      </c>
      <c r="H651" s="46" t="s">
        <v>1173</v>
      </c>
      <c r="I651" s="7" t="s">
        <v>915</v>
      </c>
      <c r="J651" s="6">
        <v>46051</v>
      </c>
      <c r="K651" s="7" t="s">
        <v>1324</v>
      </c>
      <c r="L651" s="7" t="s">
        <v>25</v>
      </c>
    </row>
    <row r="652" ht="16.5" spans="1:12">
      <c r="A652" s="12">
        <v>650</v>
      </c>
      <c r="B652" s="46" t="s">
        <v>23</v>
      </c>
      <c r="C652" s="46" t="s">
        <v>31</v>
      </c>
      <c r="D652" s="46" t="s">
        <v>79</v>
      </c>
      <c r="E652" s="12" t="s">
        <v>86</v>
      </c>
      <c r="F652" s="7" t="s">
        <v>1269</v>
      </c>
      <c r="G652" s="46" t="s">
        <v>1270</v>
      </c>
      <c r="H652" s="46" t="s">
        <v>1173</v>
      </c>
      <c r="I652" s="7" t="s">
        <v>915</v>
      </c>
      <c r="J652" s="6">
        <v>46051</v>
      </c>
      <c r="K652" s="7" t="s">
        <v>1324</v>
      </c>
      <c r="L652" s="7" t="s">
        <v>25</v>
      </c>
    </row>
    <row r="653" ht="16.5" spans="1:12">
      <c r="A653" s="12">
        <v>651</v>
      </c>
      <c r="B653" s="46" t="s">
        <v>23</v>
      </c>
      <c r="C653" s="46" t="s">
        <v>38</v>
      </c>
      <c r="D653" s="46" t="s">
        <v>144</v>
      </c>
      <c r="E653" s="12" t="s">
        <v>216</v>
      </c>
      <c r="F653" s="7" t="s">
        <v>1271</v>
      </c>
      <c r="G653" s="46" t="s">
        <v>1272</v>
      </c>
      <c r="H653" s="46" t="s">
        <v>1173</v>
      </c>
      <c r="I653" s="7" t="s">
        <v>907</v>
      </c>
      <c r="J653" s="6">
        <v>46051</v>
      </c>
      <c r="K653" s="7" t="s">
        <v>1324</v>
      </c>
      <c r="L653" s="7" t="s">
        <v>25</v>
      </c>
    </row>
    <row r="654" ht="16.5" spans="1:12">
      <c r="A654" s="12">
        <v>652</v>
      </c>
      <c r="B654" s="46" t="s">
        <v>23</v>
      </c>
      <c r="C654" s="46" t="s">
        <v>38</v>
      </c>
      <c r="D654" s="46" t="s">
        <v>144</v>
      </c>
      <c r="E654" s="12" t="s">
        <v>216</v>
      </c>
      <c r="F654" s="7" t="s">
        <v>1273</v>
      </c>
      <c r="G654" s="46" t="s">
        <v>1274</v>
      </c>
      <c r="H654" s="46" t="s">
        <v>1173</v>
      </c>
      <c r="I654" s="7" t="s">
        <v>907</v>
      </c>
      <c r="J654" s="6">
        <v>46051</v>
      </c>
      <c r="K654" s="7" t="s">
        <v>1324</v>
      </c>
      <c r="L654" s="7" t="s">
        <v>25</v>
      </c>
    </row>
    <row r="655" ht="16.5" spans="1:12">
      <c r="A655" s="12">
        <v>653</v>
      </c>
      <c r="B655" s="46" t="s">
        <v>23</v>
      </c>
      <c r="C655" s="46" t="s">
        <v>38</v>
      </c>
      <c r="D655" s="46" t="s">
        <v>148</v>
      </c>
      <c r="E655" s="12" t="s">
        <v>227</v>
      </c>
      <c r="F655" s="7" t="s">
        <v>1275</v>
      </c>
      <c r="G655" s="46" t="s">
        <v>1276</v>
      </c>
      <c r="H655" s="46" t="s">
        <v>1173</v>
      </c>
      <c r="I655" s="7" t="s">
        <v>907</v>
      </c>
      <c r="J655" s="6">
        <v>46051</v>
      </c>
      <c r="K655" s="7" t="s">
        <v>1324</v>
      </c>
      <c r="L655" s="7" t="s">
        <v>25</v>
      </c>
    </row>
    <row r="656" ht="16.5" spans="1:12">
      <c r="A656" s="12">
        <v>654</v>
      </c>
      <c r="B656" s="46" t="s">
        <v>23</v>
      </c>
      <c r="C656" s="46" t="s">
        <v>38</v>
      </c>
      <c r="D656" s="46" t="s">
        <v>220</v>
      </c>
      <c r="E656" s="12" t="s">
        <v>427</v>
      </c>
      <c r="F656" s="7" t="s">
        <v>1277</v>
      </c>
      <c r="G656" s="46" t="s">
        <v>1278</v>
      </c>
      <c r="H656" s="46" t="s">
        <v>1173</v>
      </c>
      <c r="I656" s="7" t="s">
        <v>915</v>
      </c>
      <c r="J656" s="6">
        <v>46051</v>
      </c>
      <c r="K656" s="7" t="s">
        <v>1324</v>
      </c>
      <c r="L656" s="7" t="s">
        <v>25</v>
      </c>
    </row>
    <row r="657" ht="16.5" spans="1:12">
      <c r="A657" s="12">
        <v>655</v>
      </c>
      <c r="B657" s="46" t="s">
        <v>23</v>
      </c>
      <c r="C657" s="46" t="s">
        <v>38</v>
      </c>
      <c r="D657" s="46" t="s">
        <v>70</v>
      </c>
      <c r="E657" s="12" t="s">
        <v>368</v>
      </c>
      <c r="F657" s="7" t="s">
        <v>1279</v>
      </c>
      <c r="G657" s="46" t="s">
        <v>1280</v>
      </c>
      <c r="H657" s="46" t="s">
        <v>1173</v>
      </c>
      <c r="I657" s="7" t="s">
        <v>907</v>
      </c>
      <c r="J657" s="6">
        <v>46051</v>
      </c>
      <c r="K657" s="7" t="s">
        <v>1324</v>
      </c>
      <c r="L657" s="7" t="s">
        <v>25</v>
      </c>
    </row>
    <row r="658" ht="16.5" spans="1:12">
      <c r="A658" s="12">
        <v>656</v>
      </c>
      <c r="B658" s="46" t="s">
        <v>23</v>
      </c>
      <c r="C658" s="46" t="s">
        <v>38</v>
      </c>
      <c r="D658" s="46" t="s">
        <v>148</v>
      </c>
      <c r="E658" s="12" t="s">
        <v>531</v>
      </c>
      <c r="F658" s="7" t="s">
        <v>1281</v>
      </c>
      <c r="G658" s="46" t="s">
        <v>1282</v>
      </c>
      <c r="H658" s="46" t="s">
        <v>1173</v>
      </c>
      <c r="I658" s="7" t="s">
        <v>907</v>
      </c>
      <c r="J658" s="6">
        <v>46051</v>
      </c>
      <c r="K658" s="7" t="s">
        <v>1324</v>
      </c>
      <c r="L658" s="7" t="s">
        <v>25</v>
      </c>
    </row>
    <row r="659" ht="16.5" spans="1:12">
      <c r="A659" s="12">
        <v>657</v>
      </c>
      <c r="B659" s="46" t="s">
        <v>23</v>
      </c>
      <c r="C659" s="46" t="s">
        <v>38</v>
      </c>
      <c r="D659" s="46" t="s">
        <v>148</v>
      </c>
      <c r="E659" s="12" t="s">
        <v>531</v>
      </c>
      <c r="F659" s="7" t="s">
        <v>1283</v>
      </c>
      <c r="G659" s="46" t="s">
        <v>1284</v>
      </c>
      <c r="H659" s="46" t="s">
        <v>1173</v>
      </c>
      <c r="I659" s="7" t="s">
        <v>907</v>
      </c>
      <c r="J659" s="6">
        <v>46051</v>
      </c>
      <c r="K659" s="7" t="s">
        <v>1324</v>
      </c>
      <c r="L659" s="7" t="s">
        <v>25</v>
      </c>
    </row>
    <row r="660" ht="16.5" spans="1:12">
      <c r="A660" s="12">
        <v>658</v>
      </c>
      <c r="B660" s="46" t="s">
        <v>23</v>
      </c>
      <c r="C660" s="46" t="s">
        <v>38</v>
      </c>
      <c r="D660" s="46" t="s">
        <v>148</v>
      </c>
      <c r="E660" s="12" t="s">
        <v>531</v>
      </c>
      <c r="F660" s="7" t="s">
        <v>1285</v>
      </c>
      <c r="G660" s="46" t="s">
        <v>1286</v>
      </c>
      <c r="H660" s="46" t="s">
        <v>1173</v>
      </c>
      <c r="I660" s="7" t="s">
        <v>907</v>
      </c>
      <c r="J660" s="6">
        <v>46051</v>
      </c>
      <c r="K660" s="7" t="s">
        <v>1324</v>
      </c>
      <c r="L660" s="7" t="s">
        <v>25</v>
      </c>
    </row>
    <row r="661" ht="16.5" spans="1:12">
      <c r="A661" s="12">
        <v>659</v>
      </c>
      <c r="B661" s="46" t="s">
        <v>23</v>
      </c>
      <c r="C661" s="46" t="s">
        <v>38</v>
      </c>
      <c r="D661" s="46" t="s">
        <v>220</v>
      </c>
      <c r="E661" s="12" t="s">
        <v>614</v>
      </c>
      <c r="F661" s="7" t="s">
        <v>1287</v>
      </c>
      <c r="G661" s="46" t="s">
        <v>1288</v>
      </c>
      <c r="H661" s="46" t="s">
        <v>1173</v>
      </c>
      <c r="I661" s="7" t="s">
        <v>915</v>
      </c>
      <c r="J661" s="6">
        <v>46051</v>
      </c>
      <c r="K661" s="7" t="s">
        <v>1324</v>
      </c>
      <c r="L661" s="7" t="s">
        <v>25</v>
      </c>
    </row>
    <row r="662" ht="16.5" spans="1:12">
      <c r="A662" s="12">
        <v>660</v>
      </c>
      <c r="B662" s="46" t="s">
        <v>23</v>
      </c>
      <c r="C662" s="46" t="s">
        <v>38</v>
      </c>
      <c r="D662" s="46" t="s">
        <v>220</v>
      </c>
      <c r="E662" s="12" t="s">
        <v>614</v>
      </c>
      <c r="F662" s="7" t="s">
        <v>1289</v>
      </c>
      <c r="G662" s="46" t="s">
        <v>1290</v>
      </c>
      <c r="H662" s="46" t="s">
        <v>1173</v>
      </c>
      <c r="I662" s="7" t="s">
        <v>915</v>
      </c>
      <c r="J662" s="6">
        <v>46051</v>
      </c>
      <c r="K662" s="7" t="s">
        <v>1324</v>
      </c>
      <c r="L662" s="7" t="s">
        <v>25</v>
      </c>
    </row>
    <row r="663" ht="16.5" spans="1:12">
      <c r="A663" s="12">
        <v>661</v>
      </c>
      <c r="B663" s="46" t="s">
        <v>23</v>
      </c>
      <c r="C663" s="46" t="s">
        <v>38</v>
      </c>
      <c r="D663" s="46" t="s">
        <v>168</v>
      </c>
      <c r="E663" s="12" t="s">
        <v>319</v>
      </c>
      <c r="F663" s="7" t="s">
        <v>1291</v>
      </c>
      <c r="G663" s="46" t="s">
        <v>1292</v>
      </c>
      <c r="H663" s="46" t="s">
        <v>1173</v>
      </c>
      <c r="I663" s="7" t="s">
        <v>907</v>
      </c>
      <c r="J663" s="6">
        <v>46051</v>
      </c>
      <c r="K663" s="7" t="s">
        <v>1324</v>
      </c>
      <c r="L663" s="7" t="s">
        <v>25</v>
      </c>
    </row>
    <row r="664" ht="16.5" spans="1:12">
      <c r="A664" s="12">
        <v>662</v>
      </c>
      <c r="B664" s="46" t="s">
        <v>23</v>
      </c>
      <c r="C664" s="46" t="s">
        <v>38</v>
      </c>
      <c r="D664" s="46" t="s">
        <v>168</v>
      </c>
      <c r="E664" s="12" t="s">
        <v>319</v>
      </c>
      <c r="F664" s="7" t="s">
        <v>1293</v>
      </c>
      <c r="G664" s="46" t="s">
        <v>1294</v>
      </c>
      <c r="H664" s="46" t="s">
        <v>1173</v>
      </c>
      <c r="I664" s="7" t="s">
        <v>907</v>
      </c>
      <c r="J664" s="6">
        <v>46051</v>
      </c>
      <c r="K664" s="7" t="s">
        <v>1324</v>
      </c>
      <c r="L664" s="7" t="s">
        <v>25</v>
      </c>
    </row>
    <row r="665" ht="16.5" spans="1:12">
      <c r="A665" s="12">
        <v>663</v>
      </c>
      <c r="B665" s="46" t="s">
        <v>23</v>
      </c>
      <c r="C665" s="46" t="s">
        <v>38</v>
      </c>
      <c r="D665" s="46" t="s">
        <v>168</v>
      </c>
      <c r="E665" s="12" t="s">
        <v>319</v>
      </c>
      <c r="F665" s="7" t="s">
        <v>1295</v>
      </c>
      <c r="G665" s="46" t="s">
        <v>1296</v>
      </c>
      <c r="H665" s="46" t="s">
        <v>1173</v>
      </c>
      <c r="I665" s="7" t="s">
        <v>907</v>
      </c>
      <c r="J665" s="6">
        <v>46051</v>
      </c>
      <c r="K665" s="7" t="s">
        <v>1324</v>
      </c>
      <c r="L665" s="7" t="s">
        <v>25</v>
      </c>
    </row>
    <row r="666" ht="16.5" spans="1:12">
      <c r="A666" s="12">
        <v>664</v>
      </c>
      <c r="B666" s="46" t="s">
        <v>23</v>
      </c>
      <c r="C666" s="46" t="s">
        <v>26</v>
      </c>
      <c r="D666" s="46" t="s">
        <v>121</v>
      </c>
      <c r="E666" s="12" t="s">
        <v>385</v>
      </c>
      <c r="F666" s="7" t="s">
        <v>1297</v>
      </c>
      <c r="G666" s="46" t="s">
        <v>1298</v>
      </c>
      <c r="H666" s="46" t="s">
        <v>1173</v>
      </c>
      <c r="I666" s="7" t="s">
        <v>915</v>
      </c>
      <c r="J666" s="6">
        <v>46051</v>
      </c>
      <c r="K666" s="7" t="s">
        <v>1324</v>
      </c>
      <c r="L666" s="7" t="s">
        <v>25</v>
      </c>
    </row>
    <row r="667" ht="16.5" spans="1:12">
      <c r="A667" s="12">
        <v>665</v>
      </c>
      <c r="B667" s="46" t="s">
        <v>23</v>
      </c>
      <c r="C667" s="46" t="s">
        <v>35</v>
      </c>
      <c r="D667" s="46" t="s">
        <v>125</v>
      </c>
      <c r="E667" s="12" t="s">
        <v>605</v>
      </c>
      <c r="F667" s="7" t="s">
        <v>1299</v>
      </c>
      <c r="G667" s="46" t="s">
        <v>1300</v>
      </c>
      <c r="H667" s="46" t="s">
        <v>1173</v>
      </c>
      <c r="I667" s="7" t="s">
        <v>915</v>
      </c>
      <c r="J667" s="6">
        <v>46051</v>
      </c>
      <c r="K667" s="7" t="s">
        <v>1324</v>
      </c>
      <c r="L667" s="7" t="s">
        <v>25</v>
      </c>
    </row>
    <row r="668" ht="16.5" spans="1:12">
      <c r="A668" s="12">
        <v>666</v>
      </c>
      <c r="B668" s="46" t="s">
        <v>23</v>
      </c>
      <c r="C668" s="46" t="s">
        <v>29</v>
      </c>
      <c r="D668" s="46" t="s">
        <v>130</v>
      </c>
      <c r="E668" s="12" t="s">
        <v>263</v>
      </c>
      <c r="F668" s="7" t="s">
        <v>1301</v>
      </c>
      <c r="G668" s="46" t="s">
        <v>1302</v>
      </c>
      <c r="H668" s="46" t="s">
        <v>1173</v>
      </c>
      <c r="I668" s="7" t="s">
        <v>915</v>
      </c>
      <c r="J668" s="6">
        <v>46051</v>
      </c>
      <c r="K668" s="7" t="s">
        <v>1324</v>
      </c>
      <c r="L668" s="7" t="s">
        <v>25</v>
      </c>
    </row>
    <row r="669" ht="16.5" spans="1:12">
      <c r="A669" s="12">
        <v>667</v>
      </c>
      <c r="B669" s="46" t="s">
        <v>23</v>
      </c>
      <c r="C669" s="46" t="s">
        <v>38</v>
      </c>
      <c r="D669" s="46" t="s">
        <v>144</v>
      </c>
      <c r="E669" s="12" t="s">
        <v>185</v>
      </c>
      <c r="F669" s="7" t="s">
        <v>1303</v>
      </c>
      <c r="G669" s="46" t="s">
        <v>1304</v>
      </c>
      <c r="H669" s="46" t="s">
        <v>1173</v>
      </c>
      <c r="I669" s="7" t="s">
        <v>907</v>
      </c>
      <c r="J669" s="6">
        <v>46051</v>
      </c>
      <c r="K669" s="7" t="s">
        <v>1324</v>
      </c>
      <c r="L669" s="7" t="s">
        <v>25</v>
      </c>
    </row>
    <row r="670" ht="16.5" spans="1:12">
      <c r="A670" s="12">
        <v>668</v>
      </c>
      <c r="B670" s="46" t="s">
        <v>23</v>
      </c>
      <c r="C670" s="46" t="s">
        <v>38</v>
      </c>
      <c r="D670" s="46" t="s">
        <v>144</v>
      </c>
      <c r="E670" s="12" t="s">
        <v>185</v>
      </c>
      <c r="F670" s="7" t="s">
        <v>1305</v>
      </c>
      <c r="G670" s="46" t="s">
        <v>1306</v>
      </c>
      <c r="H670" s="46" t="s">
        <v>1173</v>
      </c>
      <c r="I670" s="7" t="s">
        <v>915</v>
      </c>
      <c r="J670" s="6">
        <v>46051</v>
      </c>
      <c r="K670" s="7" t="s">
        <v>1324</v>
      </c>
      <c r="L670" s="7" t="s">
        <v>25</v>
      </c>
    </row>
    <row r="671" ht="16.5" spans="1:12">
      <c r="A671" s="12">
        <v>669</v>
      </c>
      <c r="B671" s="46" t="s">
        <v>23</v>
      </c>
      <c r="C671" s="46" t="s">
        <v>38</v>
      </c>
      <c r="D671" s="46" t="s">
        <v>144</v>
      </c>
      <c r="E671" s="12" t="s">
        <v>185</v>
      </c>
      <c r="F671" s="7" t="s">
        <v>1307</v>
      </c>
      <c r="G671" s="46" t="s">
        <v>1308</v>
      </c>
      <c r="H671" s="46" t="s">
        <v>1173</v>
      </c>
      <c r="I671" s="7" t="s">
        <v>907</v>
      </c>
      <c r="J671" s="6">
        <v>46051</v>
      </c>
      <c r="K671" s="7" t="s">
        <v>1324</v>
      </c>
      <c r="L671" s="7" t="s">
        <v>25</v>
      </c>
    </row>
    <row r="672" ht="16.5" spans="1:12">
      <c r="A672" s="12">
        <v>670</v>
      </c>
      <c r="B672" s="46" t="s">
        <v>23</v>
      </c>
      <c r="C672" s="46" t="s">
        <v>26</v>
      </c>
      <c r="D672" s="46" t="s">
        <v>121</v>
      </c>
      <c r="E672" s="12" t="s">
        <v>1596</v>
      </c>
      <c r="F672" s="7" t="s">
        <v>1309</v>
      </c>
      <c r="G672" s="46" t="s">
        <v>1310</v>
      </c>
      <c r="H672" s="46" t="s">
        <v>1173</v>
      </c>
      <c r="I672" s="7" t="s">
        <v>907</v>
      </c>
      <c r="J672" s="6">
        <v>46051</v>
      </c>
      <c r="K672" s="7" t="s">
        <v>1324</v>
      </c>
      <c r="L672" s="7" t="s">
        <v>25</v>
      </c>
    </row>
    <row r="673" ht="16.5" spans="1:12">
      <c r="A673" s="12">
        <v>671</v>
      </c>
      <c r="B673" s="46" t="s">
        <v>23</v>
      </c>
      <c r="C673" s="46" t="s">
        <v>26</v>
      </c>
      <c r="D673" s="46" t="s">
        <v>121</v>
      </c>
      <c r="E673" s="12" t="s">
        <v>1596</v>
      </c>
      <c r="F673" s="7" t="s">
        <v>1311</v>
      </c>
      <c r="G673" s="46" t="s">
        <v>1312</v>
      </c>
      <c r="H673" s="46" t="s">
        <v>1173</v>
      </c>
      <c r="I673" s="7" t="s">
        <v>915</v>
      </c>
      <c r="J673" s="6">
        <v>46051</v>
      </c>
      <c r="K673" s="7" t="s">
        <v>1324</v>
      </c>
      <c r="L673" s="7" t="s">
        <v>25</v>
      </c>
    </row>
    <row r="674" ht="16.5" spans="1:12">
      <c r="A674" s="12">
        <v>672</v>
      </c>
      <c r="B674" s="46" t="s">
        <v>23</v>
      </c>
      <c r="C674" s="46" t="s">
        <v>26</v>
      </c>
      <c r="D674" s="46" t="s">
        <v>121</v>
      </c>
      <c r="E674" s="12" t="s">
        <v>1596</v>
      </c>
      <c r="F674" s="7" t="s">
        <v>1313</v>
      </c>
      <c r="G674" s="46" t="s">
        <v>1314</v>
      </c>
      <c r="H674" s="46" t="s">
        <v>1173</v>
      </c>
      <c r="I674" s="7" t="s">
        <v>915</v>
      </c>
      <c r="J674" s="6">
        <v>46051</v>
      </c>
      <c r="K674" s="7" t="s">
        <v>1324</v>
      </c>
      <c r="L674" s="7" t="s">
        <v>25</v>
      </c>
    </row>
    <row r="675" ht="16.5" spans="1:12">
      <c r="A675" s="12">
        <v>673</v>
      </c>
      <c r="B675" s="46" t="s">
        <v>23</v>
      </c>
      <c r="C675" s="46" t="s">
        <v>38</v>
      </c>
      <c r="D675" s="46" t="s">
        <v>75</v>
      </c>
      <c r="E675" s="12" t="s">
        <v>176</v>
      </c>
      <c r="F675" s="7" t="s">
        <v>1315</v>
      </c>
      <c r="G675" s="46" t="s">
        <v>1316</v>
      </c>
      <c r="H675" s="46" t="s">
        <v>1173</v>
      </c>
      <c r="I675" s="7" t="s">
        <v>915</v>
      </c>
      <c r="J675" s="6">
        <v>46051</v>
      </c>
      <c r="K675" s="7" t="s">
        <v>1324</v>
      </c>
      <c r="L675" s="7" t="s">
        <v>25</v>
      </c>
    </row>
    <row r="676" ht="16.5" spans="1:12">
      <c r="A676" s="12">
        <v>674</v>
      </c>
      <c r="B676" s="46" t="s">
        <v>23</v>
      </c>
      <c r="C676" s="46" t="s">
        <v>38</v>
      </c>
      <c r="D676" s="46" t="s">
        <v>75</v>
      </c>
      <c r="E676" s="12" t="s">
        <v>176</v>
      </c>
      <c r="F676" s="7" t="s">
        <v>1317</v>
      </c>
      <c r="G676" s="46" t="s">
        <v>1318</v>
      </c>
      <c r="H676" s="46" t="s">
        <v>1173</v>
      </c>
      <c r="I676" s="7" t="s">
        <v>907</v>
      </c>
      <c r="J676" s="6">
        <v>46051</v>
      </c>
      <c r="K676" s="7" t="s">
        <v>1324</v>
      </c>
      <c r="L676" s="7" t="s">
        <v>25</v>
      </c>
    </row>
    <row r="677" ht="16.5" spans="1:12">
      <c r="A677" s="12">
        <v>675</v>
      </c>
      <c r="B677" s="46" t="s">
        <v>23</v>
      </c>
      <c r="C677" s="46" t="s">
        <v>38</v>
      </c>
      <c r="D677" s="46" t="s">
        <v>220</v>
      </c>
      <c r="E677" s="12" t="s">
        <v>620</v>
      </c>
      <c r="F677" s="7" t="s">
        <v>1319</v>
      </c>
      <c r="G677" s="46" t="s">
        <v>1320</v>
      </c>
      <c r="H677" s="46" t="s">
        <v>1173</v>
      </c>
      <c r="I677" s="7" t="s">
        <v>907</v>
      </c>
      <c r="J677" s="6">
        <v>46051</v>
      </c>
      <c r="K677" s="7" t="s">
        <v>1324</v>
      </c>
      <c r="L677" s="7" t="s">
        <v>25</v>
      </c>
    </row>
    <row r="678" ht="16.5" spans="1:12">
      <c r="A678" s="12">
        <v>676</v>
      </c>
      <c r="B678" s="46" t="s">
        <v>23</v>
      </c>
      <c r="C678" s="46" t="s">
        <v>38</v>
      </c>
      <c r="D678" s="46" t="s">
        <v>220</v>
      </c>
      <c r="E678" s="12" t="s">
        <v>620</v>
      </c>
      <c r="F678" s="7" t="s">
        <v>1321</v>
      </c>
      <c r="G678" s="46" t="s">
        <v>1322</v>
      </c>
      <c r="H678" s="46" t="s">
        <v>1173</v>
      </c>
      <c r="I678" s="7" t="s">
        <v>907</v>
      </c>
      <c r="J678" s="6">
        <v>46051</v>
      </c>
      <c r="K678" s="7" t="s">
        <v>1324</v>
      </c>
      <c r="L678" s="7" t="s">
        <v>25</v>
      </c>
    </row>
    <row r="679" ht="16.5" spans="1:12">
      <c r="A679" s="12">
        <v>677</v>
      </c>
      <c r="B679" s="46" t="s">
        <v>23</v>
      </c>
      <c r="C679" s="46" t="s">
        <v>38</v>
      </c>
      <c r="D679" s="46" t="s">
        <v>168</v>
      </c>
      <c r="E679" s="12" t="s">
        <v>205</v>
      </c>
      <c r="F679" s="7" t="s">
        <v>1182</v>
      </c>
      <c r="G679" s="46" t="s">
        <v>1183</v>
      </c>
      <c r="H679" s="46" t="s">
        <v>1173</v>
      </c>
      <c r="I679" s="7" t="s">
        <v>907</v>
      </c>
      <c r="J679" s="6">
        <v>46051</v>
      </c>
      <c r="K679" s="7" t="s">
        <v>1326</v>
      </c>
      <c r="L679" s="7" t="s">
        <v>25</v>
      </c>
    </row>
    <row r="680" ht="16.5" spans="1:12">
      <c r="A680" s="12">
        <v>678</v>
      </c>
      <c r="B680" s="46" t="s">
        <v>23</v>
      </c>
      <c r="C680" s="46" t="s">
        <v>32</v>
      </c>
      <c r="D680" s="46" t="s">
        <v>105</v>
      </c>
      <c r="E680" s="12" t="s">
        <v>179</v>
      </c>
      <c r="F680" s="7" t="s">
        <v>1174</v>
      </c>
      <c r="G680" s="46" t="s">
        <v>1175</v>
      </c>
      <c r="H680" s="46" t="s">
        <v>1173</v>
      </c>
      <c r="I680" s="7" t="s">
        <v>915</v>
      </c>
      <c r="J680" s="6">
        <v>46051</v>
      </c>
      <c r="K680" s="7" t="s">
        <v>1326</v>
      </c>
      <c r="L680" s="7" t="s">
        <v>25</v>
      </c>
    </row>
    <row r="681" ht="16.5" spans="1:12">
      <c r="A681" s="12">
        <v>679</v>
      </c>
      <c r="B681" s="46" t="s">
        <v>23</v>
      </c>
      <c r="C681" s="46" t="s">
        <v>32</v>
      </c>
      <c r="D681" s="46" t="s">
        <v>105</v>
      </c>
      <c r="E681" s="12" t="s">
        <v>556</v>
      </c>
      <c r="F681" s="7" t="s">
        <v>1176</v>
      </c>
      <c r="G681" s="46" t="s">
        <v>1177</v>
      </c>
      <c r="H681" s="46" t="s">
        <v>1173</v>
      </c>
      <c r="I681" s="7" t="s">
        <v>915</v>
      </c>
      <c r="J681" s="6">
        <v>46051</v>
      </c>
      <c r="K681" s="7" t="s">
        <v>1326</v>
      </c>
      <c r="L681" s="7" t="s">
        <v>25</v>
      </c>
    </row>
    <row r="682" ht="16.5" spans="1:12">
      <c r="A682" s="12">
        <v>680</v>
      </c>
      <c r="B682" s="46" t="s">
        <v>23</v>
      </c>
      <c r="C682" s="46" t="s">
        <v>37</v>
      </c>
      <c r="D682" s="46" t="s">
        <v>109</v>
      </c>
      <c r="E682" s="12" t="s">
        <v>203</v>
      </c>
      <c r="F682" s="7" t="s">
        <v>1178</v>
      </c>
      <c r="G682" s="46" t="s">
        <v>1179</v>
      </c>
      <c r="H682" s="46" t="s">
        <v>1173</v>
      </c>
      <c r="I682" s="7" t="s">
        <v>915</v>
      </c>
      <c r="J682" s="6">
        <v>46051</v>
      </c>
      <c r="K682" s="7" t="s">
        <v>1326</v>
      </c>
      <c r="L682" s="7" t="s">
        <v>25</v>
      </c>
    </row>
    <row r="683" ht="16.5" spans="1:12">
      <c r="A683" s="12">
        <v>681</v>
      </c>
      <c r="B683" s="46" t="s">
        <v>23</v>
      </c>
      <c r="C683" s="46" t="s">
        <v>37</v>
      </c>
      <c r="D683" s="46" t="s">
        <v>109</v>
      </c>
      <c r="E683" s="12" t="s">
        <v>203</v>
      </c>
      <c r="F683" s="7" t="s">
        <v>1180</v>
      </c>
      <c r="G683" s="46" t="s">
        <v>1181</v>
      </c>
      <c r="H683" s="46" t="s">
        <v>1173</v>
      </c>
      <c r="I683" s="7" t="s">
        <v>915</v>
      </c>
      <c r="J683" s="6">
        <v>46051</v>
      </c>
      <c r="K683" s="7" t="s">
        <v>1326</v>
      </c>
      <c r="L683" s="7" t="s">
        <v>25</v>
      </c>
    </row>
    <row r="684" ht="16.5" spans="1:12">
      <c r="A684" s="12">
        <v>682</v>
      </c>
      <c r="B684" s="46" t="s">
        <v>23</v>
      </c>
      <c r="C684" s="46" t="s">
        <v>38</v>
      </c>
      <c r="D684" s="46" t="s">
        <v>148</v>
      </c>
      <c r="E684" s="12" t="s">
        <v>371</v>
      </c>
      <c r="F684" s="7" t="s">
        <v>1184</v>
      </c>
      <c r="G684" s="46" t="s">
        <v>1185</v>
      </c>
      <c r="H684" s="46" t="s">
        <v>1173</v>
      </c>
      <c r="I684" s="7" t="s">
        <v>907</v>
      </c>
      <c r="J684" s="6">
        <v>46051</v>
      </c>
      <c r="K684" s="7" t="s">
        <v>1326</v>
      </c>
      <c r="L684" s="7" t="s">
        <v>25</v>
      </c>
    </row>
    <row r="685" ht="16.5" spans="1:12">
      <c r="A685" s="12">
        <v>683</v>
      </c>
      <c r="B685" s="46" t="s">
        <v>23</v>
      </c>
      <c r="C685" s="46" t="s">
        <v>38</v>
      </c>
      <c r="D685" s="46" t="s">
        <v>1329</v>
      </c>
      <c r="E685" s="12" t="s">
        <v>1597</v>
      </c>
      <c r="F685" s="7" t="s">
        <v>1327</v>
      </c>
      <c r="G685" s="46" t="s">
        <v>1328</v>
      </c>
      <c r="H685" s="46" t="s">
        <v>1330</v>
      </c>
      <c r="I685" s="7" t="s">
        <v>915</v>
      </c>
      <c r="J685" s="6">
        <v>46051</v>
      </c>
      <c r="K685" s="7" t="s">
        <v>1326</v>
      </c>
      <c r="L685" s="7" t="s">
        <v>25</v>
      </c>
    </row>
    <row r="686" ht="16.5" spans="1:12">
      <c r="A686" s="12">
        <v>684</v>
      </c>
      <c r="B686" s="46" t="s">
        <v>23</v>
      </c>
      <c r="C686" s="46" t="s">
        <v>38</v>
      </c>
      <c r="D686" s="46" t="s">
        <v>220</v>
      </c>
      <c r="E686" s="12" t="s">
        <v>540</v>
      </c>
      <c r="F686" s="7" t="s">
        <v>1186</v>
      </c>
      <c r="G686" s="46" t="s">
        <v>1187</v>
      </c>
      <c r="H686" s="46" t="s">
        <v>1173</v>
      </c>
      <c r="I686" s="7" t="s">
        <v>915</v>
      </c>
      <c r="J686" s="6">
        <v>46051</v>
      </c>
      <c r="K686" s="7" t="s">
        <v>1326</v>
      </c>
      <c r="L686" s="7" t="s">
        <v>25</v>
      </c>
    </row>
    <row r="687" ht="16.5" spans="1:12">
      <c r="A687" s="12">
        <v>685</v>
      </c>
      <c r="B687" s="46" t="s">
        <v>23</v>
      </c>
      <c r="C687" s="46" t="s">
        <v>29</v>
      </c>
      <c r="D687" s="46" t="s">
        <v>130</v>
      </c>
      <c r="E687" s="12" t="s">
        <v>1592</v>
      </c>
      <c r="F687" s="7" t="s">
        <v>677</v>
      </c>
      <c r="G687" s="46" t="s">
        <v>1188</v>
      </c>
      <c r="H687" s="46" t="s">
        <v>1173</v>
      </c>
      <c r="I687" s="7" t="s">
        <v>915</v>
      </c>
      <c r="J687" s="6">
        <v>46051</v>
      </c>
      <c r="K687" s="7" t="s">
        <v>1326</v>
      </c>
      <c r="L687" s="7" t="s">
        <v>25</v>
      </c>
    </row>
    <row r="688" ht="16.5" spans="1:12">
      <c r="A688" s="12">
        <v>686</v>
      </c>
      <c r="B688" s="46" t="s">
        <v>23</v>
      </c>
      <c r="C688" s="46" t="s">
        <v>29</v>
      </c>
      <c r="D688" s="46" t="s">
        <v>130</v>
      </c>
      <c r="E688" s="12" t="s">
        <v>1592</v>
      </c>
      <c r="F688" s="7" t="s">
        <v>1189</v>
      </c>
      <c r="G688" s="46" t="s">
        <v>1190</v>
      </c>
      <c r="H688" s="46" t="s">
        <v>1173</v>
      </c>
      <c r="I688" s="7" t="s">
        <v>915</v>
      </c>
      <c r="J688" s="6">
        <v>46051</v>
      </c>
      <c r="K688" s="7" t="s">
        <v>1326</v>
      </c>
      <c r="L688" s="7" t="s">
        <v>25</v>
      </c>
    </row>
    <row r="689" ht="16.5" spans="1:12">
      <c r="A689" s="12">
        <v>687</v>
      </c>
      <c r="B689" s="46" t="s">
        <v>23</v>
      </c>
      <c r="C689" s="46" t="s">
        <v>38</v>
      </c>
      <c r="D689" s="46" t="s">
        <v>63</v>
      </c>
      <c r="E689" s="12" t="s">
        <v>95</v>
      </c>
      <c r="F689" s="7" t="s">
        <v>1191</v>
      </c>
      <c r="G689" s="46" t="s">
        <v>1192</v>
      </c>
      <c r="H689" s="46" t="s">
        <v>1173</v>
      </c>
      <c r="I689" s="7" t="s">
        <v>907</v>
      </c>
      <c r="J689" s="6">
        <v>46051</v>
      </c>
      <c r="K689" s="7" t="s">
        <v>1326</v>
      </c>
      <c r="L689" s="7" t="s">
        <v>25</v>
      </c>
    </row>
    <row r="690" ht="16.5" spans="1:12">
      <c r="A690" s="12">
        <v>688</v>
      </c>
      <c r="B690" s="46" t="s">
        <v>23</v>
      </c>
      <c r="C690" s="46" t="s">
        <v>38</v>
      </c>
      <c r="D690" s="46" t="s">
        <v>63</v>
      </c>
      <c r="E690" s="12" t="s">
        <v>95</v>
      </c>
      <c r="F690" s="7" t="s">
        <v>1193</v>
      </c>
      <c r="G690" s="46" t="s">
        <v>1194</v>
      </c>
      <c r="H690" s="46" t="s">
        <v>1173</v>
      </c>
      <c r="I690" s="7" t="s">
        <v>907</v>
      </c>
      <c r="J690" s="6">
        <v>46051</v>
      </c>
      <c r="K690" s="7" t="s">
        <v>1326</v>
      </c>
      <c r="L690" s="7" t="s">
        <v>25</v>
      </c>
    </row>
    <row r="691" ht="16.5" spans="1:12">
      <c r="A691" s="12">
        <v>689</v>
      </c>
      <c r="B691" s="46" t="s">
        <v>23</v>
      </c>
      <c r="C691" s="46" t="s">
        <v>38</v>
      </c>
      <c r="D691" s="46" t="s">
        <v>63</v>
      </c>
      <c r="E691" s="12" t="s">
        <v>95</v>
      </c>
      <c r="F691" s="7" t="s">
        <v>1171</v>
      </c>
      <c r="G691" s="46" t="s">
        <v>1172</v>
      </c>
      <c r="H691" s="46" t="s">
        <v>1173</v>
      </c>
      <c r="I691" s="7" t="s">
        <v>907</v>
      </c>
      <c r="J691" s="6">
        <v>46051</v>
      </c>
      <c r="K691" s="7" t="s">
        <v>1326</v>
      </c>
      <c r="L691" s="7" t="s">
        <v>25</v>
      </c>
    </row>
    <row r="692" ht="16.5" spans="1:12">
      <c r="A692" s="12">
        <v>690</v>
      </c>
      <c r="B692" s="46" t="s">
        <v>23</v>
      </c>
      <c r="C692" s="46" t="s">
        <v>38</v>
      </c>
      <c r="D692" s="46" t="s">
        <v>63</v>
      </c>
      <c r="E692" s="12" t="s">
        <v>95</v>
      </c>
      <c r="F692" s="7" t="s">
        <v>1195</v>
      </c>
      <c r="G692" s="46" t="s">
        <v>1196</v>
      </c>
      <c r="H692" s="46" t="s">
        <v>1173</v>
      </c>
      <c r="I692" s="7" t="s">
        <v>907</v>
      </c>
      <c r="J692" s="6">
        <v>46051</v>
      </c>
      <c r="K692" s="7" t="s">
        <v>1326</v>
      </c>
      <c r="L692" s="7" t="s">
        <v>25</v>
      </c>
    </row>
    <row r="693" ht="16.5" spans="1:12">
      <c r="A693" s="12">
        <v>691</v>
      </c>
      <c r="B693" s="46" t="s">
        <v>23</v>
      </c>
      <c r="C693" s="46" t="s">
        <v>38</v>
      </c>
      <c r="D693" s="46" t="s">
        <v>70</v>
      </c>
      <c r="E693" s="12" t="s">
        <v>564</v>
      </c>
      <c r="F693" s="7" t="s">
        <v>1197</v>
      </c>
      <c r="G693" s="46" t="s">
        <v>1198</v>
      </c>
      <c r="H693" s="46" t="s">
        <v>1173</v>
      </c>
      <c r="I693" s="7" t="s">
        <v>907</v>
      </c>
      <c r="J693" s="6">
        <v>46051</v>
      </c>
      <c r="K693" s="7" t="s">
        <v>1326</v>
      </c>
      <c r="L693" s="7" t="s">
        <v>25</v>
      </c>
    </row>
    <row r="694" ht="16.5" spans="1:12">
      <c r="A694" s="12">
        <v>692</v>
      </c>
      <c r="B694" s="46" t="s">
        <v>23</v>
      </c>
      <c r="C694" s="46" t="s">
        <v>38</v>
      </c>
      <c r="D694" s="46" t="s">
        <v>70</v>
      </c>
      <c r="E694" s="12" t="s">
        <v>564</v>
      </c>
      <c r="F694" s="7" t="s">
        <v>1199</v>
      </c>
      <c r="G694" s="46" t="s">
        <v>1200</v>
      </c>
      <c r="H694" s="46" t="s">
        <v>1173</v>
      </c>
      <c r="I694" s="7" t="s">
        <v>907</v>
      </c>
      <c r="J694" s="6">
        <v>46051</v>
      </c>
      <c r="K694" s="7" t="s">
        <v>1326</v>
      </c>
      <c r="L694" s="7" t="s">
        <v>25</v>
      </c>
    </row>
    <row r="695" ht="16.5" spans="1:12">
      <c r="A695" s="12">
        <v>693</v>
      </c>
      <c r="B695" s="46" t="s">
        <v>23</v>
      </c>
      <c r="C695" s="46" t="s">
        <v>38</v>
      </c>
      <c r="D695" s="46" t="s">
        <v>75</v>
      </c>
      <c r="E695" s="12" t="s">
        <v>200</v>
      </c>
      <c r="F695" s="7" t="s">
        <v>1201</v>
      </c>
      <c r="G695" s="46" t="s">
        <v>1202</v>
      </c>
      <c r="H695" s="46" t="s">
        <v>1173</v>
      </c>
      <c r="I695" s="7" t="s">
        <v>907</v>
      </c>
      <c r="J695" s="6">
        <v>46051</v>
      </c>
      <c r="K695" s="7" t="s">
        <v>1326</v>
      </c>
      <c r="L695" s="7" t="s">
        <v>25</v>
      </c>
    </row>
    <row r="696" ht="16.5" spans="1:12">
      <c r="A696" s="12">
        <v>694</v>
      </c>
      <c r="B696" s="46" t="s">
        <v>23</v>
      </c>
      <c r="C696" s="46" t="s">
        <v>38</v>
      </c>
      <c r="D696" s="46" t="s">
        <v>168</v>
      </c>
      <c r="E696" s="12" t="s">
        <v>500</v>
      </c>
      <c r="F696" s="7" t="s">
        <v>1203</v>
      </c>
      <c r="G696" s="46" t="s">
        <v>1204</v>
      </c>
      <c r="H696" s="46" t="s">
        <v>1173</v>
      </c>
      <c r="I696" s="7" t="s">
        <v>907</v>
      </c>
      <c r="J696" s="6">
        <v>46051</v>
      </c>
      <c r="K696" s="7" t="s">
        <v>1326</v>
      </c>
      <c r="L696" s="7" t="s">
        <v>25</v>
      </c>
    </row>
    <row r="697" ht="16.5" spans="1:12">
      <c r="A697" s="12">
        <v>695</v>
      </c>
      <c r="B697" s="46" t="s">
        <v>23</v>
      </c>
      <c r="C697" s="46" t="s">
        <v>29</v>
      </c>
      <c r="D697" s="46" t="s">
        <v>130</v>
      </c>
      <c r="E697" s="12" t="s">
        <v>469</v>
      </c>
      <c r="F697" s="7" t="s">
        <v>1205</v>
      </c>
      <c r="G697" s="46" t="s">
        <v>1206</v>
      </c>
      <c r="H697" s="46" t="s">
        <v>1173</v>
      </c>
      <c r="I697" s="7" t="s">
        <v>907</v>
      </c>
      <c r="J697" s="6">
        <v>46051</v>
      </c>
      <c r="K697" s="7" t="s">
        <v>1326</v>
      </c>
      <c r="L697" s="7" t="s">
        <v>25</v>
      </c>
    </row>
    <row r="698" ht="16.5" spans="1:12">
      <c r="A698" s="12">
        <v>696</v>
      </c>
      <c r="B698" s="46" t="s">
        <v>23</v>
      </c>
      <c r="C698" s="46" t="s">
        <v>38</v>
      </c>
      <c r="D698" s="46" t="s">
        <v>1329</v>
      </c>
      <c r="E698" s="12" t="s">
        <v>1598</v>
      </c>
      <c r="F698" s="7" t="s">
        <v>1331</v>
      </c>
      <c r="G698" s="46" t="s">
        <v>1332</v>
      </c>
      <c r="H698" s="46" t="s">
        <v>1333</v>
      </c>
      <c r="I698" s="7" t="s">
        <v>915</v>
      </c>
      <c r="J698" s="6">
        <v>46051</v>
      </c>
      <c r="K698" s="7" t="s">
        <v>1326</v>
      </c>
      <c r="L698" s="7" t="s">
        <v>25</v>
      </c>
    </row>
    <row r="699" ht="16.5" spans="1:12">
      <c r="A699" s="12">
        <v>697</v>
      </c>
      <c r="B699" s="46" t="s">
        <v>23</v>
      </c>
      <c r="C699" s="46" t="s">
        <v>38</v>
      </c>
      <c r="D699" s="46" t="s">
        <v>63</v>
      </c>
      <c r="E699" s="12" t="s">
        <v>602</v>
      </c>
      <c r="F699" s="7" t="s">
        <v>1207</v>
      </c>
      <c r="G699" s="46" t="s">
        <v>1208</v>
      </c>
      <c r="H699" s="46" t="s">
        <v>1173</v>
      </c>
      <c r="I699" s="7" t="s">
        <v>907</v>
      </c>
      <c r="J699" s="6">
        <v>46051</v>
      </c>
      <c r="K699" s="7" t="s">
        <v>1326</v>
      </c>
      <c r="L699" s="7" t="s">
        <v>25</v>
      </c>
    </row>
    <row r="700" ht="16.5" spans="1:12">
      <c r="A700" s="12">
        <v>698</v>
      </c>
      <c r="B700" s="46" t="s">
        <v>23</v>
      </c>
      <c r="C700" s="46" t="s">
        <v>38</v>
      </c>
      <c r="D700" s="46" t="s">
        <v>63</v>
      </c>
      <c r="E700" s="12" t="s">
        <v>602</v>
      </c>
      <c r="F700" s="7" t="s">
        <v>1209</v>
      </c>
      <c r="G700" s="46" t="s">
        <v>1210</v>
      </c>
      <c r="H700" s="46" t="s">
        <v>1173</v>
      </c>
      <c r="I700" s="7" t="s">
        <v>907</v>
      </c>
      <c r="J700" s="6">
        <v>46051</v>
      </c>
      <c r="K700" s="7" t="s">
        <v>1326</v>
      </c>
      <c r="L700" s="7" t="s">
        <v>25</v>
      </c>
    </row>
    <row r="701" ht="16.5" spans="1:12">
      <c r="A701" s="12">
        <v>699</v>
      </c>
      <c r="B701" s="46" t="s">
        <v>23</v>
      </c>
      <c r="C701" s="46" t="s">
        <v>38</v>
      </c>
      <c r="D701" s="46" t="s">
        <v>63</v>
      </c>
      <c r="E701" s="12" t="s">
        <v>602</v>
      </c>
      <c r="F701" s="7" t="s">
        <v>1211</v>
      </c>
      <c r="G701" s="46" t="s">
        <v>1212</v>
      </c>
      <c r="H701" s="46" t="s">
        <v>1173</v>
      </c>
      <c r="I701" s="7" t="s">
        <v>907</v>
      </c>
      <c r="J701" s="6">
        <v>46051</v>
      </c>
      <c r="K701" s="7" t="s">
        <v>1326</v>
      </c>
      <c r="L701" s="7" t="s">
        <v>25</v>
      </c>
    </row>
    <row r="702" ht="16.5" spans="1:12">
      <c r="A702" s="12">
        <v>700</v>
      </c>
      <c r="B702" s="46" t="s">
        <v>23</v>
      </c>
      <c r="C702" s="46" t="s">
        <v>38</v>
      </c>
      <c r="D702" s="46" t="s">
        <v>63</v>
      </c>
      <c r="E702" s="12" t="s">
        <v>602</v>
      </c>
      <c r="F702" s="7" t="s">
        <v>1213</v>
      </c>
      <c r="G702" s="46" t="s">
        <v>1214</v>
      </c>
      <c r="H702" s="46" t="s">
        <v>1173</v>
      </c>
      <c r="I702" s="7" t="s">
        <v>907</v>
      </c>
      <c r="J702" s="6">
        <v>46051</v>
      </c>
      <c r="K702" s="7" t="s">
        <v>1326</v>
      </c>
      <c r="L702" s="7" t="s">
        <v>25</v>
      </c>
    </row>
    <row r="703" ht="16.5" spans="1:12">
      <c r="A703" s="12">
        <v>701</v>
      </c>
      <c r="B703" s="46" t="s">
        <v>23</v>
      </c>
      <c r="C703" s="46" t="s">
        <v>38</v>
      </c>
      <c r="D703" s="46" t="s">
        <v>168</v>
      </c>
      <c r="E703" s="12" t="s">
        <v>167</v>
      </c>
      <c r="F703" s="7" t="s">
        <v>1215</v>
      </c>
      <c r="G703" s="46" t="s">
        <v>1216</v>
      </c>
      <c r="H703" s="46" t="s">
        <v>1173</v>
      </c>
      <c r="I703" s="7" t="s">
        <v>907</v>
      </c>
      <c r="J703" s="6">
        <v>46051</v>
      </c>
      <c r="K703" s="7" t="s">
        <v>1326</v>
      </c>
      <c r="L703" s="7" t="s">
        <v>25</v>
      </c>
    </row>
    <row r="704" ht="16.5" spans="1:12">
      <c r="A704" s="12">
        <v>702</v>
      </c>
      <c r="B704" s="46" t="s">
        <v>23</v>
      </c>
      <c r="C704" s="46" t="s">
        <v>38</v>
      </c>
      <c r="D704" s="46" t="s">
        <v>168</v>
      </c>
      <c r="E704" s="12" t="s">
        <v>167</v>
      </c>
      <c r="F704" s="7" t="s">
        <v>1217</v>
      </c>
      <c r="G704" s="46" t="s">
        <v>1218</v>
      </c>
      <c r="H704" s="46" t="s">
        <v>1173</v>
      </c>
      <c r="I704" s="7" t="s">
        <v>907</v>
      </c>
      <c r="J704" s="6">
        <v>46051</v>
      </c>
      <c r="K704" s="7" t="s">
        <v>1326</v>
      </c>
      <c r="L704" s="7" t="s">
        <v>25</v>
      </c>
    </row>
    <row r="705" ht="16.5" spans="1:12">
      <c r="A705" s="12">
        <v>703</v>
      </c>
      <c r="B705" s="46" t="s">
        <v>23</v>
      </c>
      <c r="C705" s="46" t="s">
        <v>38</v>
      </c>
      <c r="D705" s="46" t="s">
        <v>75</v>
      </c>
      <c r="E705" s="12" t="s">
        <v>400</v>
      </c>
      <c r="F705" s="7" t="s">
        <v>1219</v>
      </c>
      <c r="G705" s="46" t="s">
        <v>1220</v>
      </c>
      <c r="H705" s="46" t="s">
        <v>1173</v>
      </c>
      <c r="I705" s="7" t="s">
        <v>915</v>
      </c>
      <c r="J705" s="6">
        <v>46051</v>
      </c>
      <c r="K705" s="7" t="s">
        <v>1326</v>
      </c>
      <c r="L705" s="7" t="s">
        <v>25</v>
      </c>
    </row>
    <row r="706" ht="16.5" spans="1:12">
      <c r="A706" s="12">
        <v>704</v>
      </c>
      <c r="B706" s="46" t="s">
        <v>23</v>
      </c>
      <c r="C706" s="46" t="s">
        <v>38</v>
      </c>
      <c r="D706" s="46" t="s">
        <v>75</v>
      </c>
      <c r="E706" s="12" t="s">
        <v>400</v>
      </c>
      <c r="F706" s="7" t="s">
        <v>1221</v>
      </c>
      <c r="G706" s="46" t="s">
        <v>1222</v>
      </c>
      <c r="H706" s="46" t="s">
        <v>1173</v>
      </c>
      <c r="I706" s="7" t="s">
        <v>907</v>
      </c>
      <c r="J706" s="6">
        <v>46051</v>
      </c>
      <c r="K706" s="7" t="s">
        <v>1326</v>
      </c>
      <c r="L706" s="7" t="s">
        <v>25</v>
      </c>
    </row>
    <row r="707" ht="16.5" spans="1:12">
      <c r="A707" s="12">
        <v>705</v>
      </c>
      <c r="B707" s="46" t="s">
        <v>23</v>
      </c>
      <c r="C707" s="46" t="s">
        <v>32</v>
      </c>
      <c r="D707" s="46" t="s">
        <v>105</v>
      </c>
      <c r="E707" s="12" t="s">
        <v>165</v>
      </c>
      <c r="F707" s="7" t="s">
        <v>1223</v>
      </c>
      <c r="G707" s="46" t="s">
        <v>1224</v>
      </c>
      <c r="H707" s="46" t="s">
        <v>1173</v>
      </c>
      <c r="I707" s="7" t="s">
        <v>907</v>
      </c>
      <c r="J707" s="6">
        <v>46051</v>
      </c>
      <c r="K707" s="7" t="s">
        <v>1326</v>
      </c>
      <c r="L707" s="7" t="s">
        <v>25</v>
      </c>
    </row>
    <row r="708" ht="16.5" spans="1:12">
      <c r="A708" s="12">
        <v>706</v>
      </c>
      <c r="B708" s="46" t="s">
        <v>23</v>
      </c>
      <c r="C708" s="46" t="s">
        <v>31</v>
      </c>
      <c r="D708" s="46" t="s">
        <v>90</v>
      </c>
      <c r="E708" s="12" t="s">
        <v>1593</v>
      </c>
      <c r="F708" s="7" t="s">
        <v>1225</v>
      </c>
      <c r="G708" s="46" t="s">
        <v>1226</v>
      </c>
      <c r="H708" s="46" t="s">
        <v>1173</v>
      </c>
      <c r="I708" s="7" t="s">
        <v>915</v>
      </c>
      <c r="J708" s="6">
        <v>46051</v>
      </c>
      <c r="K708" s="7" t="s">
        <v>1326</v>
      </c>
      <c r="L708" s="7" t="s">
        <v>25</v>
      </c>
    </row>
    <row r="709" ht="16.5" spans="1:12">
      <c r="A709" s="12">
        <v>707</v>
      </c>
      <c r="B709" s="46" t="s">
        <v>23</v>
      </c>
      <c r="C709" s="46" t="s">
        <v>38</v>
      </c>
      <c r="D709" s="46" t="s">
        <v>70</v>
      </c>
      <c r="E709" s="12" t="s">
        <v>69</v>
      </c>
      <c r="F709" s="7" t="s">
        <v>1227</v>
      </c>
      <c r="G709" s="46" t="s">
        <v>1228</v>
      </c>
      <c r="H709" s="46" t="s">
        <v>1173</v>
      </c>
      <c r="I709" s="7" t="s">
        <v>907</v>
      </c>
      <c r="J709" s="6">
        <v>46051</v>
      </c>
      <c r="K709" s="7" t="s">
        <v>1326</v>
      </c>
      <c r="L709" s="7" t="s">
        <v>25</v>
      </c>
    </row>
    <row r="710" ht="16.5" spans="1:12">
      <c r="A710" s="12">
        <v>708</v>
      </c>
      <c r="B710" s="46" t="s">
        <v>23</v>
      </c>
      <c r="C710" s="46" t="s">
        <v>38</v>
      </c>
      <c r="D710" s="46" t="s">
        <v>70</v>
      </c>
      <c r="E710" s="12" t="s">
        <v>413</v>
      </c>
      <c r="F710" s="7" t="s">
        <v>1229</v>
      </c>
      <c r="G710" s="46" t="s">
        <v>1230</v>
      </c>
      <c r="H710" s="46" t="s">
        <v>1173</v>
      </c>
      <c r="I710" s="7" t="s">
        <v>915</v>
      </c>
      <c r="J710" s="6">
        <v>46051</v>
      </c>
      <c r="K710" s="7" t="s">
        <v>1326</v>
      </c>
      <c r="L710" s="7" t="s">
        <v>25</v>
      </c>
    </row>
    <row r="711" ht="16.5" spans="1:12">
      <c r="A711" s="12">
        <v>709</v>
      </c>
      <c r="B711" s="46" t="s">
        <v>23</v>
      </c>
      <c r="C711" s="46" t="s">
        <v>37</v>
      </c>
      <c r="D711" s="46" t="s">
        <v>109</v>
      </c>
      <c r="E711" s="12" t="s">
        <v>527</v>
      </c>
      <c r="F711" s="7" t="s">
        <v>1231</v>
      </c>
      <c r="G711" s="46" t="s">
        <v>1232</v>
      </c>
      <c r="H711" s="46" t="s">
        <v>1173</v>
      </c>
      <c r="I711" s="7" t="s">
        <v>915</v>
      </c>
      <c r="J711" s="6">
        <v>46051</v>
      </c>
      <c r="K711" s="7" t="s">
        <v>1326</v>
      </c>
      <c r="L711" s="7" t="s">
        <v>25</v>
      </c>
    </row>
    <row r="712" ht="16.5" spans="1:12">
      <c r="A712" s="12">
        <v>710</v>
      </c>
      <c r="B712" s="46" t="s">
        <v>23</v>
      </c>
      <c r="C712" s="46" t="s">
        <v>32</v>
      </c>
      <c r="D712" s="46" t="s">
        <v>105</v>
      </c>
      <c r="E712" s="12" t="s">
        <v>487</v>
      </c>
      <c r="F712" s="7" t="s">
        <v>1233</v>
      </c>
      <c r="G712" s="46" t="s">
        <v>1234</v>
      </c>
      <c r="H712" s="46" t="s">
        <v>1173</v>
      </c>
      <c r="I712" s="7" t="s">
        <v>915</v>
      </c>
      <c r="J712" s="6">
        <v>46051</v>
      </c>
      <c r="K712" s="7" t="s">
        <v>1326</v>
      </c>
      <c r="L712" s="7" t="s">
        <v>25</v>
      </c>
    </row>
    <row r="713" ht="16.5" spans="1:12">
      <c r="A713" s="12">
        <v>711</v>
      </c>
      <c r="B713" s="46" t="s">
        <v>23</v>
      </c>
      <c r="C713" s="46" t="s">
        <v>24</v>
      </c>
      <c r="D713" s="46" t="s">
        <v>101</v>
      </c>
      <c r="E713" s="12" t="s">
        <v>1594</v>
      </c>
      <c r="F713" s="7" t="s">
        <v>1235</v>
      </c>
      <c r="G713" s="46" t="s">
        <v>1236</v>
      </c>
      <c r="H713" s="46" t="s">
        <v>1173</v>
      </c>
      <c r="I713" s="7" t="s">
        <v>915</v>
      </c>
      <c r="J713" s="6">
        <v>46051</v>
      </c>
      <c r="K713" s="7" t="s">
        <v>1326</v>
      </c>
      <c r="L713" s="7" t="s">
        <v>25</v>
      </c>
    </row>
    <row r="714" ht="16.5" spans="1:12">
      <c r="A714" s="12">
        <v>712</v>
      </c>
      <c r="B714" s="46" t="s">
        <v>23</v>
      </c>
      <c r="C714" s="46" t="s">
        <v>38</v>
      </c>
      <c r="D714" s="46" t="s">
        <v>70</v>
      </c>
      <c r="E714" s="12" t="s">
        <v>576</v>
      </c>
      <c r="F714" s="7" t="s">
        <v>1237</v>
      </c>
      <c r="G714" s="46" t="s">
        <v>1238</v>
      </c>
      <c r="H714" s="46" t="s">
        <v>1173</v>
      </c>
      <c r="I714" s="7" t="s">
        <v>915</v>
      </c>
      <c r="J714" s="6">
        <v>46051</v>
      </c>
      <c r="K714" s="7" t="s">
        <v>1326</v>
      </c>
      <c r="L714" s="7" t="s">
        <v>25</v>
      </c>
    </row>
    <row r="715" ht="16.5" spans="1:12">
      <c r="A715" s="12">
        <v>713</v>
      </c>
      <c r="B715" s="46" t="s">
        <v>23</v>
      </c>
      <c r="C715" s="46" t="s">
        <v>38</v>
      </c>
      <c r="D715" s="46" t="s">
        <v>148</v>
      </c>
      <c r="E715" s="12" t="s">
        <v>147</v>
      </c>
      <c r="F715" s="7" t="s">
        <v>1239</v>
      </c>
      <c r="G715" s="46" t="s">
        <v>1240</v>
      </c>
      <c r="H715" s="46" t="s">
        <v>1173</v>
      </c>
      <c r="I715" s="7" t="s">
        <v>915</v>
      </c>
      <c r="J715" s="6">
        <v>46051</v>
      </c>
      <c r="K715" s="7" t="s">
        <v>1326</v>
      </c>
      <c r="L715" s="7" t="s">
        <v>25</v>
      </c>
    </row>
    <row r="716" ht="16.5" spans="1:12">
      <c r="A716" s="12">
        <v>714</v>
      </c>
      <c r="B716" s="46" t="s">
        <v>23</v>
      </c>
      <c r="C716" s="46" t="s">
        <v>38</v>
      </c>
      <c r="D716" s="46" t="s">
        <v>148</v>
      </c>
      <c r="E716" s="12" t="s">
        <v>147</v>
      </c>
      <c r="F716" s="7" t="s">
        <v>1241</v>
      </c>
      <c r="G716" s="46" t="s">
        <v>1242</v>
      </c>
      <c r="H716" s="46" t="s">
        <v>1173</v>
      </c>
      <c r="I716" s="7" t="s">
        <v>915</v>
      </c>
      <c r="J716" s="6">
        <v>46051</v>
      </c>
      <c r="K716" s="7" t="s">
        <v>1326</v>
      </c>
      <c r="L716" s="7" t="s">
        <v>25</v>
      </c>
    </row>
    <row r="717" ht="16.5" spans="1:12">
      <c r="A717" s="12">
        <v>715</v>
      </c>
      <c r="B717" s="46" t="s">
        <v>23</v>
      </c>
      <c r="C717" s="46" t="s">
        <v>38</v>
      </c>
      <c r="D717" s="46" t="s">
        <v>220</v>
      </c>
      <c r="E717" s="12" t="s">
        <v>1077</v>
      </c>
      <c r="F717" s="7" t="s">
        <v>1243</v>
      </c>
      <c r="G717" s="46" t="s">
        <v>1244</v>
      </c>
      <c r="H717" s="46" t="s">
        <v>1173</v>
      </c>
      <c r="I717" s="7" t="s">
        <v>907</v>
      </c>
      <c r="J717" s="6">
        <v>46051</v>
      </c>
      <c r="K717" s="7" t="s">
        <v>1326</v>
      </c>
      <c r="L717" s="7" t="s">
        <v>25</v>
      </c>
    </row>
    <row r="718" ht="16.5" spans="1:12">
      <c r="A718" s="12">
        <v>716</v>
      </c>
      <c r="B718" s="46" t="s">
        <v>23</v>
      </c>
      <c r="C718" s="46" t="s">
        <v>38</v>
      </c>
      <c r="D718" s="46" t="s">
        <v>75</v>
      </c>
      <c r="E718" s="12" t="s">
        <v>437</v>
      </c>
      <c r="F718" s="7" t="s">
        <v>1245</v>
      </c>
      <c r="G718" s="46" t="s">
        <v>1246</v>
      </c>
      <c r="H718" s="46" t="s">
        <v>1173</v>
      </c>
      <c r="I718" s="7" t="s">
        <v>915</v>
      </c>
      <c r="J718" s="6">
        <v>46051</v>
      </c>
      <c r="K718" s="7" t="s">
        <v>1326</v>
      </c>
      <c r="L718" s="7" t="s">
        <v>25</v>
      </c>
    </row>
    <row r="719" ht="16.5" spans="1:12">
      <c r="A719" s="12">
        <v>717</v>
      </c>
      <c r="B719" s="46" t="s">
        <v>23</v>
      </c>
      <c r="C719" s="46" t="s">
        <v>38</v>
      </c>
      <c r="D719" s="46" t="s">
        <v>1329</v>
      </c>
      <c r="E719" s="12" t="s">
        <v>1599</v>
      </c>
      <c r="F719" s="7" t="s">
        <v>1334</v>
      </c>
      <c r="G719" s="46" t="s">
        <v>1335</v>
      </c>
      <c r="H719" s="46" t="s">
        <v>1336</v>
      </c>
      <c r="I719" s="7" t="s">
        <v>907</v>
      </c>
      <c r="J719" s="6">
        <v>46051</v>
      </c>
      <c r="K719" s="7" t="s">
        <v>1326</v>
      </c>
      <c r="L719" s="7" t="s">
        <v>25</v>
      </c>
    </row>
    <row r="720" ht="16.5" spans="1:12">
      <c r="A720" s="12">
        <v>718</v>
      </c>
      <c r="B720" s="46" t="s">
        <v>23</v>
      </c>
      <c r="C720" s="46" t="s">
        <v>29</v>
      </c>
      <c r="D720" s="46" t="s">
        <v>130</v>
      </c>
      <c r="E720" s="12" t="s">
        <v>390</v>
      </c>
      <c r="F720" s="7" t="s">
        <v>1247</v>
      </c>
      <c r="G720" s="46" t="s">
        <v>1248</v>
      </c>
      <c r="H720" s="46" t="s">
        <v>1173</v>
      </c>
      <c r="I720" s="7" t="s">
        <v>915</v>
      </c>
      <c r="J720" s="6">
        <v>46051</v>
      </c>
      <c r="K720" s="7" t="s">
        <v>1326</v>
      </c>
      <c r="L720" s="7" t="s">
        <v>25</v>
      </c>
    </row>
    <row r="721" ht="16.5" spans="1:12">
      <c r="A721" s="12">
        <v>719</v>
      </c>
      <c r="B721" s="46" t="s">
        <v>23</v>
      </c>
      <c r="C721" s="46" t="s">
        <v>35</v>
      </c>
      <c r="D721" s="46" t="s">
        <v>125</v>
      </c>
      <c r="E721" s="12" t="s">
        <v>1584</v>
      </c>
      <c r="F721" s="7" t="s">
        <v>1249</v>
      </c>
      <c r="G721" s="46" t="s">
        <v>1250</v>
      </c>
      <c r="H721" s="46" t="s">
        <v>1173</v>
      </c>
      <c r="I721" s="7" t="s">
        <v>915</v>
      </c>
      <c r="J721" s="6">
        <v>46051</v>
      </c>
      <c r="K721" s="7" t="s">
        <v>1326</v>
      </c>
      <c r="L721" s="7" t="s">
        <v>25</v>
      </c>
    </row>
    <row r="722" ht="16.5" spans="1:12">
      <c r="A722" s="12">
        <v>720</v>
      </c>
      <c r="B722" s="46" t="s">
        <v>23</v>
      </c>
      <c r="C722" s="46" t="s">
        <v>38</v>
      </c>
      <c r="D722" s="46" t="s">
        <v>1329</v>
      </c>
      <c r="E722" s="12" t="s">
        <v>1600</v>
      </c>
      <c r="F722" s="7" t="s">
        <v>1337</v>
      </c>
      <c r="G722" s="46" t="s">
        <v>1338</v>
      </c>
      <c r="H722" s="46" t="s">
        <v>1339</v>
      </c>
      <c r="I722" s="7" t="s">
        <v>915</v>
      </c>
      <c r="J722" s="6">
        <v>46051</v>
      </c>
      <c r="K722" s="7" t="s">
        <v>1326</v>
      </c>
      <c r="L722" s="7" t="s">
        <v>25</v>
      </c>
    </row>
    <row r="723" ht="16.5" spans="1:12">
      <c r="A723" s="12">
        <v>721</v>
      </c>
      <c r="B723" s="46" t="s">
        <v>23</v>
      </c>
      <c r="C723" s="46" t="s">
        <v>29</v>
      </c>
      <c r="D723" s="46" t="s">
        <v>130</v>
      </c>
      <c r="E723" s="12" t="s">
        <v>380</v>
      </c>
      <c r="F723" s="7" t="s">
        <v>1251</v>
      </c>
      <c r="G723" s="46" t="s">
        <v>1252</v>
      </c>
      <c r="H723" s="46" t="s">
        <v>1173</v>
      </c>
      <c r="I723" s="7" t="s">
        <v>915</v>
      </c>
      <c r="J723" s="6">
        <v>46051</v>
      </c>
      <c r="K723" s="7" t="s">
        <v>1326</v>
      </c>
      <c r="L723" s="7" t="s">
        <v>25</v>
      </c>
    </row>
    <row r="724" ht="16.5" spans="1:12">
      <c r="A724" s="12">
        <v>722</v>
      </c>
      <c r="B724" s="46" t="s">
        <v>23</v>
      </c>
      <c r="C724" s="46" t="s">
        <v>34</v>
      </c>
      <c r="D724" s="46" t="s">
        <v>351</v>
      </c>
      <c r="E724" s="12" t="s">
        <v>1595</v>
      </c>
      <c r="F724" s="7" t="s">
        <v>1253</v>
      </c>
      <c r="G724" s="46" t="s">
        <v>1254</v>
      </c>
      <c r="H724" s="46" t="s">
        <v>1173</v>
      </c>
      <c r="I724" s="7" t="s">
        <v>915</v>
      </c>
      <c r="J724" s="6">
        <v>46051</v>
      </c>
      <c r="K724" s="7" t="s">
        <v>1326</v>
      </c>
      <c r="L724" s="7" t="s">
        <v>25</v>
      </c>
    </row>
    <row r="725" ht="16.5" spans="1:12">
      <c r="A725" s="12">
        <v>723</v>
      </c>
      <c r="B725" s="46" t="s">
        <v>23</v>
      </c>
      <c r="C725" s="46" t="s">
        <v>34</v>
      </c>
      <c r="D725" s="46" t="s">
        <v>351</v>
      </c>
      <c r="E725" s="12" t="s">
        <v>1595</v>
      </c>
      <c r="F725" s="7" t="s">
        <v>1255</v>
      </c>
      <c r="G725" s="46" t="s">
        <v>1256</v>
      </c>
      <c r="H725" s="46" t="s">
        <v>1173</v>
      </c>
      <c r="I725" s="7" t="s">
        <v>915</v>
      </c>
      <c r="J725" s="6">
        <v>46051</v>
      </c>
      <c r="K725" s="7" t="s">
        <v>1326</v>
      </c>
      <c r="L725" s="7" t="s">
        <v>25</v>
      </c>
    </row>
    <row r="726" ht="16.5" spans="1:12">
      <c r="A726" s="12">
        <v>724</v>
      </c>
      <c r="B726" s="46" t="s">
        <v>23</v>
      </c>
      <c r="C726" s="46" t="s">
        <v>34</v>
      </c>
      <c r="D726" s="46" t="s">
        <v>351</v>
      </c>
      <c r="E726" s="12" t="s">
        <v>1595</v>
      </c>
      <c r="F726" s="7" t="s">
        <v>1257</v>
      </c>
      <c r="G726" s="46" t="s">
        <v>1258</v>
      </c>
      <c r="H726" s="46" t="s">
        <v>1173</v>
      </c>
      <c r="I726" s="7" t="s">
        <v>915</v>
      </c>
      <c r="J726" s="6">
        <v>46051</v>
      </c>
      <c r="K726" s="7" t="s">
        <v>1326</v>
      </c>
      <c r="L726" s="7" t="s">
        <v>25</v>
      </c>
    </row>
    <row r="727" ht="16.5" spans="1:12">
      <c r="A727" s="12">
        <v>725</v>
      </c>
      <c r="B727" s="46" t="s">
        <v>23</v>
      </c>
      <c r="C727" s="46" t="s">
        <v>32</v>
      </c>
      <c r="D727" s="46" t="s">
        <v>105</v>
      </c>
      <c r="E727" s="12" t="s">
        <v>192</v>
      </c>
      <c r="F727" s="7" t="s">
        <v>1259</v>
      </c>
      <c r="G727" s="46" t="s">
        <v>1260</v>
      </c>
      <c r="H727" s="46" t="s">
        <v>1173</v>
      </c>
      <c r="I727" s="7" t="s">
        <v>907</v>
      </c>
      <c r="J727" s="6">
        <v>46051</v>
      </c>
      <c r="K727" s="7" t="s">
        <v>1326</v>
      </c>
      <c r="L727" s="7" t="s">
        <v>25</v>
      </c>
    </row>
    <row r="728" ht="16.5" spans="1:12">
      <c r="A728" s="12">
        <v>726</v>
      </c>
      <c r="B728" s="46" t="s">
        <v>23</v>
      </c>
      <c r="C728" s="46" t="s">
        <v>32</v>
      </c>
      <c r="D728" s="46" t="s">
        <v>105</v>
      </c>
      <c r="E728" s="12" t="s">
        <v>115</v>
      </c>
      <c r="F728" s="7" t="s">
        <v>1261</v>
      </c>
      <c r="G728" s="46" t="s">
        <v>1262</v>
      </c>
      <c r="H728" s="46" t="s">
        <v>1173</v>
      </c>
      <c r="I728" s="7" t="s">
        <v>907</v>
      </c>
      <c r="J728" s="6">
        <v>46051</v>
      </c>
      <c r="K728" s="7" t="s">
        <v>1326</v>
      </c>
      <c r="L728" s="7" t="s">
        <v>25</v>
      </c>
    </row>
    <row r="729" ht="16.5" spans="1:12">
      <c r="A729" s="12">
        <v>727</v>
      </c>
      <c r="B729" s="46" t="s">
        <v>23</v>
      </c>
      <c r="C729" s="46" t="s">
        <v>38</v>
      </c>
      <c r="D729" s="46" t="s">
        <v>75</v>
      </c>
      <c r="E729" s="12" t="s">
        <v>74</v>
      </c>
      <c r="F729" s="7" t="s">
        <v>1263</v>
      </c>
      <c r="G729" s="46" t="s">
        <v>1264</v>
      </c>
      <c r="H729" s="46" t="s">
        <v>1173</v>
      </c>
      <c r="I729" s="7" t="s">
        <v>907</v>
      </c>
      <c r="J729" s="6">
        <v>46051</v>
      </c>
      <c r="K729" s="7" t="s">
        <v>1326</v>
      </c>
      <c r="L729" s="7" t="s">
        <v>25</v>
      </c>
    </row>
    <row r="730" ht="16.5" spans="1:12">
      <c r="A730" s="12">
        <v>728</v>
      </c>
      <c r="B730" s="46" t="s">
        <v>23</v>
      </c>
      <c r="C730" s="46" t="s">
        <v>31</v>
      </c>
      <c r="D730" s="46" t="s">
        <v>79</v>
      </c>
      <c r="E730" s="12" t="s">
        <v>189</v>
      </c>
      <c r="F730" s="7" t="s">
        <v>1265</v>
      </c>
      <c r="G730" s="46" t="s">
        <v>1266</v>
      </c>
      <c r="H730" s="46" t="s">
        <v>1173</v>
      </c>
      <c r="I730" s="7" t="s">
        <v>915</v>
      </c>
      <c r="J730" s="6">
        <v>46051</v>
      </c>
      <c r="K730" s="7" t="s">
        <v>1326</v>
      </c>
      <c r="L730" s="7" t="s">
        <v>25</v>
      </c>
    </row>
    <row r="731" ht="16.5" spans="1:12">
      <c r="A731" s="12">
        <v>729</v>
      </c>
      <c r="B731" s="46" t="s">
        <v>23</v>
      </c>
      <c r="C731" s="46" t="s">
        <v>37</v>
      </c>
      <c r="D731" s="46" t="s">
        <v>109</v>
      </c>
      <c r="E731" s="12" t="s">
        <v>108</v>
      </c>
      <c r="F731" s="7" t="s">
        <v>1267</v>
      </c>
      <c r="G731" s="46" t="s">
        <v>1268</v>
      </c>
      <c r="H731" s="46" t="s">
        <v>1173</v>
      </c>
      <c r="I731" s="7" t="s">
        <v>915</v>
      </c>
      <c r="J731" s="6">
        <v>46051</v>
      </c>
      <c r="K731" s="7" t="s">
        <v>1326</v>
      </c>
      <c r="L731" s="7" t="s">
        <v>25</v>
      </c>
    </row>
    <row r="732" ht="16.5" spans="1:12">
      <c r="A732" s="12">
        <v>730</v>
      </c>
      <c r="B732" s="46" t="s">
        <v>23</v>
      </c>
      <c r="C732" s="46" t="s">
        <v>31</v>
      </c>
      <c r="D732" s="46" t="s">
        <v>79</v>
      </c>
      <c r="E732" s="12" t="s">
        <v>86</v>
      </c>
      <c r="F732" s="7" t="s">
        <v>1269</v>
      </c>
      <c r="G732" s="46" t="s">
        <v>1270</v>
      </c>
      <c r="H732" s="46" t="s">
        <v>1173</v>
      </c>
      <c r="I732" s="7" t="s">
        <v>915</v>
      </c>
      <c r="J732" s="6">
        <v>46051</v>
      </c>
      <c r="K732" s="7" t="s">
        <v>1326</v>
      </c>
      <c r="L732" s="7" t="s">
        <v>25</v>
      </c>
    </row>
    <row r="733" ht="16.5" spans="1:12">
      <c r="A733" s="12">
        <v>731</v>
      </c>
      <c r="B733" s="46" t="s">
        <v>23</v>
      </c>
      <c r="C733" s="46" t="s">
        <v>38</v>
      </c>
      <c r="D733" s="46" t="s">
        <v>144</v>
      </c>
      <c r="E733" s="12" t="s">
        <v>216</v>
      </c>
      <c r="F733" s="7" t="s">
        <v>1271</v>
      </c>
      <c r="G733" s="46" t="s">
        <v>1272</v>
      </c>
      <c r="H733" s="46" t="s">
        <v>1173</v>
      </c>
      <c r="I733" s="7" t="s">
        <v>907</v>
      </c>
      <c r="J733" s="6">
        <v>46051</v>
      </c>
      <c r="K733" s="7" t="s">
        <v>1326</v>
      </c>
      <c r="L733" s="7" t="s">
        <v>25</v>
      </c>
    </row>
    <row r="734" ht="16.5" spans="1:12">
      <c r="A734" s="12">
        <v>732</v>
      </c>
      <c r="B734" s="46" t="s">
        <v>23</v>
      </c>
      <c r="C734" s="46" t="s">
        <v>38</v>
      </c>
      <c r="D734" s="46" t="s">
        <v>144</v>
      </c>
      <c r="E734" s="12" t="s">
        <v>216</v>
      </c>
      <c r="F734" s="7" t="s">
        <v>1273</v>
      </c>
      <c r="G734" s="46" t="s">
        <v>1274</v>
      </c>
      <c r="H734" s="46" t="s">
        <v>1173</v>
      </c>
      <c r="I734" s="7" t="s">
        <v>907</v>
      </c>
      <c r="J734" s="6">
        <v>46051</v>
      </c>
      <c r="K734" s="7" t="s">
        <v>1326</v>
      </c>
      <c r="L734" s="7" t="s">
        <v>25</v>
      </c>
    </row>
    <row r="735" ht="16.5" spans="1:12">
      <c r="A735" s="12">
        <v>733</v>
      </c>
      <c r="B735" s="46" t="s">
        <v>23</v>
      </c>
      <c r="C735" s="46" t="s">
        <v>38</v>
      </c>
      <c r="D735" s="46" t="s">
        <v>148</v>
      </c>
      <c r="E735" s="12" t="s">
        <v>227</v>
      </c>
      <c r="F735" s="7" t="s">
        <v>1275</v>
      </c>
      <c r="G735" s="46" t="s">
        <v>1276</v>
      </c>
      <c r="H735" s="46" t="s">
        <v>1173</v>
      </c>
      <c r="I735" s="7" t="s">
        <v>907</v>
      </c>
      <c r="J735" s="6">
        <v>46051</v>
      </c>
      <c r="K735" s="7" t="s">
        <v>1326</v>
      </c>
      <c r="L735" s="7" t="s">
        <v>25</v>
      </c>
    </row>
    <row r="736" ht="16.5" spans="1:12">
      <c r="A736" s="12">
        <v>734</v>
      </c>
      <c r="B736" s="46" t="s">
        <v>23</v>
      </c>
      <c r="C736" s="46" t="s">
        <v>38</v>
      </c>
      <c r="D736" s="46" t="s">
        <v>220</v>
      </c>
      <c r="E736" s="12" t="s">
        <v>427</v>
      </c>
      <c r="F736" s="7" t="s">
        <v>1277</v>
      </c>
      <c r="G736" s="46" t="s">
        <v>1278</v>
      </c>
      <c r="H736" s="46" t="s">
        <v>1173</v>
      </c>
      <c r="I736" s="7" t="s">
        <v>915</v>
      </c>
      <c r="J736" s="6">
        <v>46051</v>
      </c>
      <c r="K736" s="7" t="s">
        <v>1326</v>
      </c>
      <c r="L736" s="7" t="s">
        <v>25</v>
      </c>
    </row>
    <row r="737" ht="16.5" spans="1:12">
      <c r="A737" s="12">
        <v>735</v>
      </c>
      <c r="B737" s="46" t="s">
        <v>23</v>
      </c>
      <c r="C737" s="46" t="s">
        <v>38</v>
      </c>
      <c r="D737" s="46" t="s">
        <v>70</v>
      </c>
      <c r="E737" s="12" t="s">
        <v>368</v>
      </c>
      <c r="F737" s="7" t="s">
        <v>1279</v>
      </c>
      <c r="G737" s="46" t="s">
        <v>1280</v>
      </c>
      <c r="H737" s="46" t="s">
        <v>1173</v>
      </c>
      <c r="I737" s="7" t="s">
        <v>907</v>
      </c>
      <c r="J737" s="6">
        <v>46051</v>
      </c>
      <c r="K737" s="7" t="s">
        <v>1326</v>
      </c>
      <c r="L737" s="7" t="s">
        <v>25</v>
      </c>
    </row>
    <row r="738" ht="16.5" spans="1:12">
      <c r="A738" s="12">
        <v>736</v>
      </c>
      <c r="B738" s="46" t="s">
        <v>23</v>
      </c>
      <c r="C738" s="46" t="s">
        <v>38</v>
      </c>
      <c r="D738" s="46" t="s">
        <v>1329</v>
      </c>
      <c r="E738" s="12" t="s">
        <v>1119</v>
      </c>
      <c r="F738" s="7" t="s">
        <v>1340</v>
      </c>
      <c r="G738" s="46" t="s">
        <v>1341</v>
      </c>
      <c r="H738" s="46" t="s">
        <v>1342</v>
      </c>
      <c r="I738" s="7" t="s">
        <v>915</v>
      </c>
      <c r="J738" s="6">
        <v>46051</v>
      </c>
      <c r="K738" s="7" t="s">
        <v>1326</v>
      </c>
      <c r="L738" s="7" t="s">
        <v>25</v>
      </c>
    </row>
    <row r="739" ht="16.5" spans="1:12">
      <c r="A739" s="12">
        <v>737</v>
      </c>
      <c r="B739" s="46" t="s">
        <v>23</v>
      </c>
      <c r="C739" s="46" t="s">
        <v>38</v>
      </c>
      <c r="D739" s="46" t="s">
        <v>148</v>
      </c>
      <c r="E739" s="12" t="s">
        <v>531</v>
      </c>
      <c r="F739" s="7" t="s">
        <v>1281</v>
      </c>
      <c r="G739" s="46" t="s">
        <v>1282</v>
      </c>
      <c r="H739" s="46" t="s">
        <v>1173</v>
      </c>
      <c r="I739" s="7" t="s">
        <v>907</v>
      </c>
      <c r="J739" s="6">
        <v>46051</v>
      </c>
      <c r="K739" s="7" t="s">
        <v>1326</v>
      </c>
      <c r="L739" s="7" t="s">
        <v>25</v>
      </c>
    </row>
    <row r="740" ht="16.5" spans="1:12">
      <c r="A740" s="12">
        <v>738</v>
      </c>
      <c r="B740" s="46" t="s">
        <v>23</v>
      </c>
      <c r="C740" s="46" t="s">
        <v>38</v>
      </c>
      <c r="D740" s="46" t="s">
        <v>148</v>
      </c>
      <c r="E740" s="12" t="s">
        <v>531</v>
      </c>
      <c r="F740" s="7" t="s">
        <v>1283</v>
      </c>
      <c r="G740" s="46" t="s">
        <v>1284</v>
      </c>
      <c r="H740" s="46" t="s">
        <v>1173</v>
      </c>
      <c r="I740" s="7" t="s">
        <v>907</v>
      </c>
      <c r="J740" s="6">
        <v>46051</v>
      </c>
      <c r="K740" s="7" t="s">
        <v>1326</v>
      </c>
      <c r="L740" s="7" t="s">
        <v>25</v>
      </c>
    </row>
    <row r="741" ht="16.5" spans="1:12">
      <c r="A741" s="12">
        <v>739</v>
      </c>
      <c r="B741" s="46" t="s">
        <v>23</v>
      </c>
      <c r="C741" s="46" t="s">
        <v>38</v>
      </c>
      <c r="D741" s="46" t="s">
        <v>148</v>
      </c>
      <c r="E741" s="12" t="s">
        <v>531</v>
      </c>
      <c r="F741" s="7" t="s">
        <v>1285</v>
      </c>
      <c r="G741" s="46" t="s">
        <v>1286</v>
      </c>
      <c r="H741" s="46" t="s">
        <v>1173</v>
      </c>
      <c r="I741" s="7" t="s">
        <v>907</v>
      </c>
      <c r="J741" s="6">
        <v>46051</v>
      </c>
      <c r="K741" s="7" t="s">
        <v>1326</v>
      </c>
      <c r="L741" s="7" t="s">
        <v>25</v>
      </c>
    </row>
    <row r="742" ht="16.5" spans="1:12">
      <c r="A742" s="12">
        <v>740</v>
      </c>
      <c r="B742" s="46" t="s">
        <v>23</v>
      </c>
      <c r="C742" s="46" t="s">
        <v>38</v>
      </c>
      <c r="D742" s="46" t="s">
        <v>220</v>
      </c>
      <c r="E742" s="12" t="s">
        <v>614</v>
      </c>
      <c r="F742" s="7" t="s">
        <v>1287</v>
      </c>
      <c r="G742" s="46" t="s">
        <v>1288</v>
      </c>
      <c r="H742" s="46" t="s">
        <v>1173</v>
      </c>
      <c r="I742" s="7" t="s">
        <v>915</v>
      </c>
      <c r="J742" s="6">
        <v>46051</v>
      </c>
      <c r="K742" s="7" t="s">
        <v>1326</v>
      </c>
      <c r="L742" s="7" t="s">
        <v>25</v>
      </c>
    </row>
    <row r="743" ht="16.5" spans="1:12">
      <c r="A743" s="12">
        <v>741</v>
      </c>
      <c r="B743" s="46" t="s">
        <v>23</v>
      </c>
      <c r="C743" s="46" t="s">
        <v>38</v>
      </c>
      <c r="D743" s="46" t="s">
        <v>220</v>
      </c>
      <c r="E743" s="12" t="s">
        <v>614</v>
      </c>
      <c r="F743" s="7" t="s">
        <v>1289</v>
      </c>
      <c r="G743" s="46" t="s">
        <v>1290</v>
      </c>
      <c r="H743" s="46" t="s">
        <v>1173</v>
      </c>
      <c r="I743" s="7" t="s">
        <v>915</v>
      </c>
      <c r="J743" s="6">
        <v>46051</v>
      </c>
      <c r="K743" s="7" t="s">
        <v>1326</v>
      </c>
      <c r="L743" s="7" t="s">
        <v>25</v>
      </c>
    </row>
    <row r="744" ht="16.5" spans="1:12">
      <c r="A744" s="12">
        <v>742</v>
      </c>
      <c r="B744" s="46" t="s">
        <v>23</v>
      </c>
      <c r="C744" s="46" t="s">
        <v>38</v>
      </c>
      <c r="D744" s="46" t="s">
        <v>168</v>
      </c>
      <c r="E744" s="12" t="s">
        <v>319</v>
      </c>
      <c r="F744" s="7" t="s">
        <v>1291</v>
      </c>
      <c r="G744" s="46" t="s">
        <v>1292</v>
      </c>
      <c r="H744" s="46" t="s">
        <v>1173</v>
      </c>
      <c r="I744" s="7" t="s">
        <v>907</v>
      </c>
      <c r="J744" s="6">
        <v>46051</v>
      </c>
      <c r="K744" s="7" t="s">
        <v>1326</v>
      </c>
      <c r="L744" s="7" t="s">
        <v>25</v>
      </c>
    </row>
    <row r="745" ht="16.5" spans="1:12">
      <c r="A745" s="12">
        <v>743</v>
      </c>
      <c r="B745" s="46" t="s">
        <v>23</v>
      </c>
      <c r="C745" s="46" t="s">
        <v>38</v>
      </c>
      <c r="D745" s="46" t="s">
        <v>168</v>
      </c>
      <c r="E745" s="12" t="s">
        <v>319</v>
      </c>
      <c r="F745" s="7" t="s">
        <v>1293</v>
      </c>
      <c r="G745" s="46" t="s">
        <v>1294</v>
      </c>
      <c r="H745" s="46" t="s">
        <v>1173</v>
      </c>
      <c r="I745" s="7" t="s">
        <v>907</v>
      </c>
      <c r="J745" s="6">
        <v>46051</v>
      </c>
      <c r="K745" s="7" t="s">
        <v>1326</v>
      </c>
      <c r="L745" s="7" t="s">
        <v>25</v>
      </c>
    </row>
    <row r="746" ht="16.5" spans="1:12">
      <c r="A746" s="12">
        <v>744</v>
      </c>
      <c r="B746" s="46" t="s">
        <v>23</v>
      </c>
      <c r="C746" s="46" t="s">
        <v>38</v>
      </c>
      <c r="D746" s="46" t="s">
        <v>168</v>
      </c>
      <c r="E746" s="12" t="s">
        <v>319</v>
      </c>
      <c r="F746" s="7" t="s">
        <v>1343</v>
      </c>
      <c r="G746" s="46" t="s">
        <v>1344</v>
      </c>
      <c r="H746" s="46" t="s">
        <v>1173</v>
      </c>
      <c r="I746" s="7" t="s">
        <v>907</v>
      </c>
      <c r="J746" s="6">
        <v>46051</v>
      </c>
      <c r="K746" s="7" t="s">
        <v>1326</v>
      </c>
      <c r="L746" s="7" t="s">
        <v>25</v>
      </c>
    </row>
    <row r="747" ht="16.5" spans="1:12">
      <c r="A747" s="12">
        <v>745</v>
      </c>
      <c r="B747" s="46" t="s">
        <v>23</v>
      </c>
      <c r="C747" s="46" t="s">
        <v>38</v>
      </c>
      <c r="D747" s="46" t="s">
        <v>168</v>
      </c>
      <c r="E747" s="12" t="s">
        <v>319</v>
      </c>
      <c r="F747" s="7" t="s">
        <v>1295</v>
      </c>
      <c r="G747" s="46" t="s">
        <v>1296</v>
      </c>
      <c r="H747" s="46" t="s">
        <v>1173</v>
      </c>
      <c r="I747" s="7" t="s">
        <v>907</v>
      </c>
      <c r="J747" s="6">
        <v>46051</v>
      </c>
      <c r="K747" s="7" t="s">
        <v>1326</v>
      </c>
      <c r="L747" s="7" t="s">
        <v>25</v>
      </c>
    </row>
    <row r="748" ht="16.5" spans="1:12">
      <c r="A748" s="12">
        <v>746</v>
      </c>
      <c r="B748" s="46" t="s">
        <v>23</v>
      </c>
      <c r="C748" s="46" t="s">
        <v>26</v>
      </c>
      <c r="D748" s="46" t="s">
        <v>121</v>
      </c>
      <c r="E748" s="12" t="s">
        <v>385</v>
      </c>
      <c r="F748" s="7" t="s">
        <v>1297</v>
      </c>
      <c r="G748" s="46" t="s">
        <v>1298</v>
      </c>
      <c r="H748" s="46" t="s">
        <v>1173</v>
      </c>
      <c r="I748" s="7" t="s">
        <v>915</v>
      </c>
      <c r="J748" s="6">
        <v>46051</v>
      </c>
      <c r="K748" s="7" t="s">
        <v>1326</v>
      </c>
      <c r="L748" s="7" t="s">
        <v>25</v>
      </c>
    </row>
    <row r="749" ht="16.5" spans="1:12">
      <c r="A749" s="12">
        <v>747</v>
      </c>
      <c r="B749" s="46" t="s">
        <v>23</v>
      </c>
      <c r="C749" s="46" t="s">
        <v>35</v>
      </c>
      <c r="D749" s="46" t="s">
        <v>125</v>
      </c>
      <c r="E749" s="12" t="s">
        <v>605</v>
      </c>
      <c r="F749" s="7" t="s">
        <v>1299</v>
      </c>
      <c r="G749" s="46" t="s">
        <v>1300</v>
      </c>
      <c r="H749" s="46" t="s">
        <v>1173</v>
      </c>
      <c r="I749" s="7" t="s">
        <v>915</v>
      </c>
      <c r="J749" s="6">
        <v>46051</v>
      </c>
      <c r="K749" s="7" t="s">
        <v>1326</v>
      </c>
      <c r="L749" s="7" t="s">
        <v>25</v>
      </c>
    </row>
    <row r="750" ht="16.5" spans="1:12">
      <c r="A750" s="12">
        <v>748</v>
      </c>
      <c r="B750" s="46" t="s">
        <v>23</v>
      </c>
      <c r="C750" s="46" t="s">
        <v>29</v>
      </c>
      <c r="D750" s="46" t="s">
        <v>130</v>
      </c>
      <c r="E750" s="12" t="s">
        <v>263</v>
      </c>
      <c r="F750" s="7" t="s">
        <v>1301</v>
      </c>
      <c r="G750" s="46" t="s">
        <v>1302</v>
      </c>
      <c r="H750" s="46" t="s">
        <v>1173</v>
      </c>
      <c r="I750" s="7" t="s">
        <v>915</v>
      </c>
      <c r="J750" s="6">
        <v>46051</v>
      </c>
      <c r="K750" s="7" t="s">
        <v>1326</v>
      </c>
      <c r="L750" s="7" t="s">
        <v>25</v>
      </c>
    </row>
    <row r="751" ht="16.5" spans="1:12">
      <c r="A751" s="12">
        <v>749</v>
      </c>
      <c r="B751" s="46" t="s">
        <v>23</v>
      </c>
      <c r="C751" s="46" t="s">
        <v>38</v>
      </c>
      <c r="D751" s="46" t="s">
        <v>1329</v>
      </c>
      <c r="E751" s="12" t="s">
        <v>1601</v>
      </c>
      <c r="F751" s="7" t="s">
        <v>1345</v>
      </c>
      <c r="G751" s="46" t="s">
        <v>1346</v>
      </c>
      <c r="H751" s="46" t="s">
        <v>1347</v>
      </c>
      <c r="I751" s="7" t="s">
        <v>915</v>
      </c>
      <c r="J751" s="6">
        <v>46051</v>
      </c>
      <c r="K751" s="7" t="s">
        <v>1326</v>
      </c>
      <c r="L751" s="7" t="s">
        <v>25</v>
      </c>
    </row>
    <row r="752" ht="16.5" spans="1:12">
      <c r="A752" s="12">
        <v>750</v>
      </c>
      <c r="B752" s="46" t="s">
        <v>23</v>
      </c>
      <c r="C752" s="46" t="s">
        <v>38</v>
      </c>
      <c r="D752" s="46" t="s">
        <v>144</v>
      </c>
      <c r="E752" s="12" t="s">
        <v>185</v>
      </c>
      <c r="F752" s="7" t="s">
        <v>1303</v>
      </c>
      <c r="G752" s="46" t="s">
        <v>1304</v>
      </c>
      <c r="H752" s="46" t="s">
        <v>1173</v>
      </c>
      <c r="I752" s="7" t="s">
        <v>907</v>
      </c>
      <c r="J752" s="6">
        <v>46051</v>
      </c>
      <c r="K752" s="7" t="s">
        <v>1326</v>
      </c>
      <c r="L752" s="7" t="s">
        <v>25</v>
      </c>
    </row>
    <row r="753" ht="16.5" spans="1:12">
      <c r="A753" s="12">
        <v>751</v>
      </c>
      <c r="B753" s="46" t="s">
        <v>23</v>
      </c>
      <c r="C753" s="46" t="s">
        <v>38</v>
      </c>
      <c r="D753" s="46" t="s">
        <v>144</v>
      </c>
      <c r="E753" s="12" t="s">
        <v>185</v>
      </c>
      <c r="F753" s="7" t="s">
        <v>1305</v>
      </c>
      <c r="G753" s="46" t="s">
        <v>1306</v>
      </c>
      <c r="H753" s="46" t="s">
        <v>1173</v>
      </c>
      <c r="I753" s="7" t="s">
        <v>915</v>
      </c>
      <c r="J753" s="6">
        <v>46051</v>
      </c>
      <c r="K753" s="7" t="s">
        <v>1326</v>
      </c>
      <c r="L753" s="7" t="s">
        <v>25</v>
      </c>
    </row>
    <row r="754" ht="16.5" spans="1:12">
      <c r="A754" s="12">
        <v>752</v>
      </c>
      <c r="B754" s="46" t="s">
        <v>23</v>
      </c>
      <c r="C754" s="46" t="s">
        <v>38</v>
      </c>
      <c r="D754" s="46" t="s">
        <v>144</v>
      </c>
      <c r="E754" s="12" t="s">
        <v>185</v>
      </c>
      <c r="F754" s="7" t="s">
        <v>1307</v>
      </c>
      <c r="G754" s="46" t="s">
        <v>1308</v>
      </c>
      <c r="H754" s="46" t="s">
        <v>1173</v>
      </c>
      <c r="I754" s="7" t="s">
        <v>907</v>
      </c>
      <c r="J754" s="6">
        <v>46051</v>
      </c>
      <c r="K754" s="7" t="s">
        <v>1326</v>
      </c>
      <c r="L754" s="7" t="s">
        <v>25</v>
      </c>
    </row>
    <row r="755" ht="16.5" spans="1:12">
      <c r="A755" s="12">
        <v>753</v>
      </c>
      <c r="B755" s="46" t="s">
        <v>23</v>
      </c>
      <c r="C755" s="46" t="s">
        <v>26</v>
      </c>
      <c r="D755" s="46" t="s">
        <v>121</v>
      </c>
      <c r="E755" s="12" t="s">
        <v>1596</v>
      </c>
      <c r="F755" s="7" t="s">
        <v>1309</v>
      </c>
      <c r="G755" s="46" t="s">
        <v>1310</v>
      </c>
      <c r="H755" s="46" t="s">
        <v>1173</v>
      </c>
      <c r="I755" s="7" t="s">
        <v>907</v>
      </c>
      <c r="J755" s="6">
        <v>46051</v>
      </c>
      <c r="K755" s="7" t="s">
        <v>1326</v>
      </c>
      <c r="L755" s="7" t="s">
        <v>25</v>
      </c>
    </row>
    <row r="756" ht="16.5" spans="1:12">
      <c r="A756" s="12">
        <v>754</v>
      </c>
      <c r="B756" s="46" t="s">
        <v>23</v>
      </c>
      <c r="C756" s="46" t="s">
        <v>26</v>
      </c>
      <c r="D756" s="46" t="s">
        <v>121</v>
      </c>
      <c r="E756" s="12" t="s">
        <v>1596</v>
      </c>
      <c r="F756" s="7" t="s">
        <v>1311</v>
      </c>
      <c r="G756" s="46" t="s">
        <v>1312</v>
      </c>
      <c r="H756" s="46" t="s">
        <v>1173</v>
      </c>
      <c r="I756" s="7" t="s">
        <v>915</v>
      </c>
      <c r="J756" s="6">
        <v>46051</v>
      </c>
      <c r="K756" s="7" t="s">
        <v>1326</v>
      </c>
      <c r="L756" s="7" t="s">
        <v>25</v>
      </c>
    </row>
    <row r="757" ht="16.5" spans="1:12">
      <c r="A757" s="12">
        <v>755</v>
      </c>
      <c r="B757" s="46" t="s">
        <v>23</v>
      </c>
      <c r="C757" s="46" t="s">
        <v>26</v>
      </c>
      <c r="D757" s="46" t="s">
        <v>121</v>
      </c>
      <c r="E757" s="12" t="s">
        <v>1596</v>
      </c>
      <c r="F757" s="7" t="s">
        <v>1313</v>
      </c>
      <c r="G757" s="46" t="s">
        <v>1314</v>
      </c>
      <c r="H757" s="46" t="s">
        <v>1173</v>
      </c>
      <c r="I757" s="7" t="s">
        <v>915</v>
      </c>
      <c r="J757" s="6">
        <v>46051</v>
      </c>
      <c r="K757" s="7" t="s">
        <v>1326</v>
      </c>
      <c r="L757" s="7" t="s">
        <v>25</v>
      </c>
    </row>
    <row r="758" ht="16.5" spans="1:12">
      <c r="A758" s="12">
        <v>756</v>
      </c>
      <c r="B758" s="46" t="s">
        <v>23</v>
      </c>
      <c r="C758" s="46" t="s">
        <v>38</v>
      </c>
      <c r="D758" s="46" t="s">
        <v>75</v>
      </c>
      <c r="E758" s="12" t="s">
        <v>176</v>
      </c>
      <c r="F758" s="7" t="s">
        <v>1315</v>
      </c>
      <c r="G758" s="46" t="s">
        <v>1316</v>
      </c>
      <c r="H758" s="46" t="s">
        <v>1173</v>
      </c>
      <c r="I758" s="7" t="s">
        <v>915</v>
      </c>
      <c r="J758" s="6">
        <v>46051</v>
      </c>
      <c r="K758" s="7" t="s">
        <v>1326</v>
      </c>
      <c r="L758" s="7" t="s">
        <v>25</v>
      </c>
    </row>
    <row r="759" ht="16.5" spans="1:12">
      <c r="A759" s="12">
        <v>757</v>
      </c>
      <c r="B759" s="46" t="s">
        <v>23</v>
      </c>
      <c r="C759" s="46" t="s">
        <v>38</v>
      </c>
      <c r="D759" s="46" t="s">
        <v>75</v>
      </c>
      <c r="E759" s="12" t="s">
        <v>176</v>
      </c>
      <c r="F759" s="7" t="s">
        <v>1317</v>
      </c>
      <c r="G759" s="46" t="s">
        <v>1318</v>
      </c>
      <c r="H759" s="46" t="s">
        <v>1173</v>
      </c>
      <c r="I759" s="7" t="s">
        <v>907</v>
      </c>
      <c r="J759" s="6">
        <v>46051</v>
      </c>
      <c r="K759" s="7" t="s">
        <v>1326</v>
      </c>
      <c r="L759" s="7" t="s">
        <v>25</v>
      </c>
    </row>
    <row r="760" ht="16.5" spans="1:12">
      <c r="A760" s="12">
        <v>758</v>
      </c>
      <c r="B760" s="46" t="s">
        <v>23</v>
      </c>
      <c r="C760" s="46" t="s">
        <v>38</v>
      </c>
      <c r="D760" s="46" t="s">
        <v>220</v>
      </c>
      <c r="E760" s="12" t="s">
        <v>620</v>
      </c>
      <c r="F760" s="7" t="s">
        <v>1319</v>
      </c>
      <c r="G760" s="46" t="s">
        <v>1320</v>
      </c>
      <c r="H760" s="46" t="s">
        <v>1173</v>
      </c>
      <c r="I760" s="7" t="s">
        <v>907</v>
      </c>
      <c r="J760" s="6">
        <v>46051</v>
      </c>
      <c r="K760" s="7" t="s">
        <v>1326</v>
      </c>
      <c r="L760" s="7" t="s">
        <v>25</v>
      </c>
    </row>
    <row r="761" ht="16.5" spans="1:12">
      <c r="A761" s="12">
        <v>759</v>
      </c>
      <c r="B761" s="46" t="s">
        <v>23</v>
      </c>
      <c r="C761" s="46" t="s">
        <v>38</v>
      </c>
      <c r="D761" s="46" t="s">
        <v>220</v>
      </c>
      <c r="E761" s="12" t="s">
        <v>620</v>
      </c>
      <c r="F761" s="7" t="s">
        <v>1321</v>
      </c>
      <c r="G761" s="46" t="s">
        <v>1322</v>
      </c>
      <c r="H761" s="46" t="s">
        <v>1173</v>
      </c>
      <c r="I761" s="7" t="s">
        <v>907</v>
      </c>
      <c r="J761" s="6">
        <v>46051</v>
      </c>
      <c r="K761" s="7" t="s">
        <v>1326</v>
      </c>
      <c r="L761" s="7" t="s">
        <v>25</v>
      </c>
    </row>
    <row r="762" ht="16.5" spans="1:12">
      <c r="A762" s="12">
        <v>760</v>
      </c>
      <c r="B762" s="46" t="s">
        <v>39</v>
      </c>
      <c r="C762" s="46" t="str">
        <f>VLOOKUP(F762,[4]在职!$A:$E,5,0)</f>
        <v>安徽</v>
      </c>
      <c r="D762" s="46" t="s">
        <v>1380</v>
      </c>
      <c r="E762" s="46" t="str">
        <f>VLOOKUP(F762,[4]在职!$A:$M,13,0)</f>
        <v>黄芳</v>
      </c>
      <c r="F762" s="7" t="s">
        <v>1379</v>
      </c>
      <c r="G762" s="46" t="str">
        <f>VLOOKUP(F762,[4]在职!$A:$B,2,0)</f>
        <v>00032</v>
      </c>
      <c r="H762" s="46" t="str">
        <f>VLOOKUP(F762,[4]在职!$A:$I,9,0)</f>
        <v>分公司总经理</v>
      </c>
      <c r="I762" s="7" t="s">
        <v>915</v>
      </c>
      <c r="J762" s="6">
        <v>46077</v>
      </c>
      <c r="K762" s="7" t="s">
        <v>1349</v>
      </c>
      <c r="L762" s="7" t="s">
        <v>1349</v>
      </c>
    </row>
    <row r="763" ht="16.5" spans="1:12">
      <c r="A763" s="12">
        <v>761</v>
      </c>
      <c r="B763" s="46" t="s">
        <v>39</v>
      </c>
      <c r="C763" s="46" t="str">
        <f>VLOOKUP(F763,[4]在职!$A:$E,5,0)</f>
        <v>安徽</v>
      </c>
      <c r="D763" s="46" t="s">
        <v>1380</v>
      </c>
      <c r="E763" s="46" t="str">
        <f>VLOOKUP(F763,[4]在职!$A:$M,13,0)</f>
        <v>黄芳</v>
      </c>
      <c r="F763" s="7" t="s">
        <v>1379</v>
      </c>
      <c r="G763" s="46" t="str">
        <f>VLOOKUP(F763,[4]在职!$A:$B,2,0)</f>
        <v>00032</v>
      </c>
      <c r="H763" s="46" t="str">
        <f>VLOOKUP(F763,[4]在职!$A:$I,9,0)</f>
        <v>分公司总经理</v>
      </c>
      <c r="I763" s="7" t="s">
        <v>915</v>
      </c>
      <c r="J763" s="6">
        <v>46078</v>
      </c>
      <c r="K763" s="7" t="s">
        <v>1349</v>
      </c>
      <c r="L763" s="7" t="s">
        <v>1349</v>
      </c>
    </row>
    <row r="764" ht="16.5" spans="1:12">
      <c r="A764" s="12">
        <v>762</v>
      </c>
      <c r="B764" s="46" t="s">
        <v>39</v>
      </c>
      <c r="C764" s="46" t="str">
        <f>VLOOKUP(F764,[4]在职!$A:$E,5,0)</f>
        <v>西南总部</v>
      </c>
      <c r="D764" s="46" t="str">
        <f>VLOOKUP(F764,[4]在职!$A:$G,7,0)</f>
        <v>川北</v>
      </c>
      <c r="E764" s="46" t="str">
        <f>VLOOKUP(F764,[4]在职!$A:$M,13,0)</f>
        <v>刘文宇</v>
      </c>
      <c r="F764" s="7" t="s">
        <v>1354</v>
      </c>
      <c r="G764" s="46" t="str">
        <f>VLOOKUP(F764,[4]在职!$A:$B,2,0)</f>
        <v>00745</v>
      </c>
      <c r="H764" s="46" t="str">
        <f>VLOOKUP(F764,[4]在职!$A:$I,9,0)</f>
        <v>区域拓展总监</v>
      </c>
      <c r="I764" s="7" t="s">
        <v>915</v>
      </c>
      <c r="J764" s="6">
        <v>46077</v>
      </c>
      <c r="K764" s="7" t="s">
        <v>1349</v>
      </c>
      <c r="L764" s="7" t="s">
        <v>1349</v>
      </c>
    </row>
    <row r="765" ht="16.5" spans="1:12">
      <c r="A765" s="12">
        <v>763</v>
      </c>
      <c r="B765" s="46" t="s">
        <v>39</v>
      </c>
      <c r="C765" s="46" t="str">
        <f>VLOOKUP(F765,[4]在职!$A:$E,5,0)</f>
        <v>西南总部</v>
      </c>
      <c r="D765" s="46" t="str">
        <f>VLOOKUP(F765,[4]在职!$A:$G,7,0)</f>
        <v>川北</v>
      </c>
      <c r="E765" s="46" t="str">
        <f>VLOOKUP(F765,[4]在职!$A:$M,13,0)</f>
        <v>刘文宇</v>
      </c>
      <c r="F765" s="7" t="s">
        <v>1354</v>
      </c>
      <c r="G765" s="46" t="str">
        <f>VLOOKUP(F765,[4]在职!$A:$B,2,0)</f>
        <v>00745</v>
      </c>
      <c r="H765" s="46" t="str">
        <f>VLOOKUP(F765,[4]在职!$A:$I,9,0)</f>
        <v>区域拓展总监</v>
      </c>
      <c r="I765" s="7" t="s">
        <v>915</v>
      </c>
      <c r="J765" s="6">
        <v>46078</v>
      </c>
      <c r="K765" s="7" t="s">
        <v>1349</v>
      </c>
      <c r="L765" s="7" t="s">
        <v>1349</v>
      </c>
    </row>
    <row r="766" ht="16.5" spans="1:12">
      <c r="A766" s="12">
        <v>764</v>
      </c>
      <c r="B766" s="46" t="s">
        <v>39</v>
      </c>
      <c r="C766" s="46" t="str">
        <f>VLOOKUP(F766,[4]在职!$A:$E,5,0)</f>
        <v>西南总部</v>
      </c>
      <c r="D766" s="46" t="str">
        <f>VLOOKUP(F766,[4]在职!$A:$G,7,0)</f>
        <v>川东</v>
      </c>
      <c r="E766" s="46" t="str">
        <f>VLOOKUP(F766,[4]在职!$A:$M,13,0)</f>
        <v>刘文宇</v>
      </c>
      <c r="F766" s="7" t="s">
        <v>1361</v>
      </c>
      <c r="G766" s="46" t="str">
        <f>VLOOKUP(F766,[4]在职!$A:$B,2,0)</f>
        <v>00029</v>
      </c>
      <c r="H766" s="46" t="str">
        <f>VLOOKUP(F766,[4]在职!$A:$I,9,0)</f>
        <v>区域拓展总监</v>
      </c>
      <c r="I766" s="7" t="s">
        <v>915</v>
      </c>
      <c r="J766" s="6">
        <v>46077</v>
      </c>
      <c r="K766" s="7" t="s">
        <v>1349</v>
      </c>
      <c r="L766" s="7" t="s">
        <v>1349</v>
      </c>
    </row>
    <row r="767" ht="16.5" spans="1:12">
      <c r="A767" s="12">
        <v>765</v>
      </c>
      <c r="B767" s="46" t="s">
        <v>39</v>
      </c>
      <c r="C767" s="46" t="str">
        <f>VLOOKUP(F767,[4]在职!$A:$E,5,0)</f>
        <v>西南总部</v>
      </c>
      <c r="D767" s="46" t="str">
        <f>VLOOKUP(F767,[4]在职!$A:$G,7,0)</f>
        <v>川东</v>
      </c>
      <c r="E767" s="46" t="str">
        <f>VLOOKUP(F767,[4]在职!$A:$M,13,0)</f>
        <v>刘超</v>
      </c>
      <c r="F767" s="7" t="s">
        <v>1368</v>
      </c>
      <c r="G767" s="46" t="str">
        <f>VLOOKUP(F767,[4]在职!$A:$B,2,0)</f>
        <v>00590</v>
      </c>
      <c r="H767" s="46" t="str">
        <f>VLOOKUP(F767,[4]在职!$A:$I,9,0)</f>
        <v>二星拓展专员</v>
      </c>
      <c r="I767" s="7" t="s">
        <v>915</v>
      </c>
      <c r="J767" s="6">
        <v>46077</v>
      </c>
      <c r="K767" s="7" t="s">
        <v>1349</v>
      </c>
      <c r="L767" s="7" t="s">
        <v>1349</v>
      </c>
    </row>
    <row r="768" ht="16.5" spans="1:12">
      <c r="A768" s="12">
        <v>766</v>
      </c>
      <c r="B768" s="46" t="s">
        <v>39</v>
      </c>
      <c r="C768" s="46" t="str">
        <f>VLOOKUP(F768,[4]在职!$A:$E,5,0)</f>
        <v>西南总部</v>
      </c>
      <c r="D768" s="46" t="str">
        <f>VLOOKUP(F768,[4]在职!$A:$G,7,0)</f>
        <v>川东</v>
      </c>
      <c r="E768" s="46" t="str">
        <f>VLOOKUP(F768,[4]在职!$A:$M,13,0)</f>
        <v>刘文宇</v>
      </c>
      <c r="F768" s="7" t="s">
        <v>1361</v>
      </c>
      <c r="G768" s="46" t="str">
        <f>VLOOKUP(F768,[4]在职!$A:$B,2,0)</f>
        <v>00029</v>
      </c>
      <c r="H768" s="46" t="str">
        <f>VLOOKUP(F768,[4]在职!$A:$I,9,0)</f>
        <v>区域拓展总监</v>
      </c>
      <c r="I768" s="7" t="s">
        <v>915</v>
      </c>
      <c r="J768" s="6">
        <v>46078</v>
      </c>
      <c r="K768" s="7" t="s">
        <v>1349</v>
      </c>
      <c r="L768" s="7" t="s">
        <v>1349</v>
      </c>
    </row>
    <row r="769" ht="16.5" spans="1:12">
      <c r="A769" s="12">
        <v>767</v>
      </c>
      <c r="B769" s="46" t="s">
        <v>39</v>
      </c>
      <c r="C769" s="46" t="str">
        <f>VLOOKUP(F769,[4]在职!$A:$E,5,0)</f>
        <v>西南总部</v>
      </c>
      <c r="D769" s="46" t="str">
        <f>VLOOKUP(F769,[4]在职!$A:$G,7,0)</f>
        <v>川东</v>
      </c>
      <c r="E769" s="46" t="str">
        <f>VLOOKUP(F769,[4]在职!$A:$M,13,0)</f>
        <v>刘超</v>
      </c>
      <c r="F769" s="7" t="s">
        <v>1368</v>
      </c>
      <c r="G769" s="46" t="str">
        <f>VLOOKUP(F769,[4]在职!$A:$B,2,0)</f>
        <v>00590</v>
      </c>
      <c r="H769" s="46" t="str">
        <f>VLOOKUP(F769,[4]在职!$A:$I,9,0)</f>
        <v>二星拓展专员</v>
      </c>
      <c r="I769" s="7" t="s">
        <v>915</v>
      </c>
      <c r="J769" s="6">
        <v>46078</v>
      </c>
      <c r="K769" s="7" t="s">
        <v>1349</v>
      </c>
      <c r="L769" s="7" t="s">
        <v>1349</v>
      </c>
    </row>
    <row r="770" ht="16.5" spans="1:12">
      <c r="A770" s="12">
        <v>768</v>
      </c>
      <c r="B770" s="46" t="s">
        <v>39</v>
      </c>
      <c r="C770" s="46" t="str">
        <f>VLOOKUP(F770,[4]在职!$A:$E,5,0)</f>
        <v>西南总部</v>
      </c>
      <c r="D770" s="46" t="str">
        <f>VLOOKUP(F770,[4]在职!$A:$G,7,0)</f>
        <v>川南</v>
      </c>
      <c r="E770" s="46" t="str">
        <f>VLOOKUP(F770,[4]在职!$A:$M,13,0)</f>
        <v>刘文宇</v>
      </c>
      <c r="F770" s="7" t="s">
        <v>1367</v>
      </c>
      <c r="G770" s="46" t="str">
        <f>VLOOKUP(F770,[4]在职!$A:$B,2,0)</f>
        <v>00416</v>
      </c>
      <c r="H770" s="46" t="str">
        <f>VLOOKUP(F770,[4]在职!$A:$I,9,0)</f>
        <v>区域拓展总监</v>
      </c>
      <c r="I770" s="7" t="s">
        <v>915</v>
      </c>
      <c r="J770" s="6">
        <v>46077</v>
      </c>
      <c r="K770" s="7" t="s">
        <v>1349</v>
      </c>
      <c r="L770" s="7" t="s">
        <v>1349</v>
      </c>
    </row>
    <row r="771" ht="16.5" spans="1:12">
      <c r="A771" s="12">
        <v>769</v>
      </c>
      <c r="B771" s="46" t="s">
        <v>39</v>
      </c>
      <c r="C771" s="46" t="str">
        <f>VLOOKUP(F771,[4]在职!$A:$E,5,0)</f>
        <v>西南总部</v>
      </c>
      <c r="D771" s="46" t="str">
        <f>VLOOKUP(F771,[4]在职!$A:$G,7,0)</f>
        <v>川南</v>
      </c>
      <c r="E771" s="46" t="str">
        <f>VLOOKUP(F771,[4]在职!$A:$M,13,0)</f>
        <v>刘文宇</v>
      </c>
      <c r="F771" s="7" t="s">
        <v>1367</v>
      </c>
      <c r="G771" s="46" t="str">
        <f>VLOOKUP(F771,[4]在职!$A:$B,2,0)</f>
        <v>00416</v>
      </c>
      <c r="H771" s="46" t="str">
        <f>VLOOKUP(F771,[4]在职!$A:$I,9,0)</f>
        <v>区域拓展总监</v>
      </c>
      <c r="I771" s="7" t="s">
        <v>915</v>
      </c>
      <c r="J771" s="6">
        <v>46078</v>
      </c>
      <c r="K771" s="7" t="s">
        <v>1349</v>
      </c>
      <c r="L771" s="7" t="s">
        <v>1349</v>
      </c>
    </row>
    <row r="772" ht="16.5" spans="1:12">
      <c r="A772" s="12">
        <v>770</v>
      </c>
      <c r="B772" s="46" t="s">
        <v>39</v>
      </c>
      <c r="C772" s="46" t="str">
        <f>VLOOKUP(F772,[4]在职!$A:$E,5,0)</f>
        <v>西南总部</v>
      </c>
      <c r="D772" s="46" t="str">
        <f>VLOOKUP(F772,[4]在职!$A:$G,7,0)</f>
        <v>川西</v>
      </c>
      <c r="E772" s="46" t="str">
        <f>VLOOKUP(F772,[4]在职!$A:$M,13,0)</f>
        <v>刘文宇</v>
      </c>
      <c r="F772" s="7" t="s">
        <v>1366</v>
      </c>
      <c r="G772" s="46" t="str">
        <f>VLOOKUP(F772,[4]在职!$A:$B,2,0)</f>
        <v>00770</v>
      </c>
      <c r="H772" s="46" t="str">
        <f>VLOOKUP(F772,[4]在职!$A:$I,9,0)</f>
        <v>区域拓展总监</v>
      </c>
      <c r="I772" s="7" t="s">
        <v>915</v>
      </c>
      <c r="J772" s="6">
        <v>46077</v>
      </c>
      <c r="K772" s="7" t="s">
        <v>1349</v>
      </c>
      <c r="L772" s="7" t="s">
        <v>1349</v>
      </c>
    </row>
    <row r="773" ht="16.5" spans="1:12">
      <c r="A773" s="12">
        <v>771</v>
      </c>
      <c r="B773" s="46" t="s">
        <v>39</v>
      </c>
      <c r="C773" s="46" t="str">
        <f>VLOOKUP(F773,[4]在职!$A:$E,5,0)</f>
        <v>西南总部</v>
      </c>
      <c r="D773" s="46" t="str">
        <f>VLOOKUP(F773,[4]在职!$A:$G,7,0)</f>
        <v>川西</v>
      </c>
      <c r="E773" s="46" t="str">
        <f>VLOOKUP(F773,[4]在职!$A:$M,13,0)</f>
        <v>刘文宇</v>
      </c>
      <c r="F773" s="7" t="s">
        <v>1366</v>
      </c>
      <c r="G773" s="46" t="str">
        <f>VLOOKUP(F773,[4]在职!$A:$B,2,0)</f>
        <v>00770</v>
      </c>
      <c r="H773" s="46" t="str">
        <f>VLOOKUP(F773,[4]在职!$A:$I,9,0)</f>
        <v>区域拓展总监</v>
      </c>
      <c r="I773" s="7" t="s">
        <v>915</v>
      </c>
      <c r="J773" s="6">
        <v>46078</v>
      </c>
      <c r="K773" s="7" t="s">
        <v>1349</v>
      </c>
      <c r="L773" s="7" t="s">
        <v>1349</v>
      </c>
    </row>
    <row r="774" ht="16.5" spans="1:12">
      <c r="A774" s="12">
        <v>772</v>
      </c>
      <c r="B774" s="46" t="s">
        <v>39</v>
      </c>
      <c r="C774" s="46" t="str">
        <f>VLOOKUP(F774,[4]在职!$A:$E,5,0)</f>
        <v>甘肃</v>
      </c>
      <c r="D774" s="46" t="s">
        <v>1359</v>
      </c>
      <c r="E774" s="46" t="str">
        <f>VLOOKUP(F774,[4]在职!$A:$M,13,0)</f>
        <v>黄芳</v>
      </c>
      <c r="F774" s="7" t="s">
        <v>1358</v>
      </c>
      <c r="G774" s="46" t="str">
        <f>VLOOKUP(F774,[4]在职!$A:$B,2,0)</f>
        <v>00248</v>
      </c>
      <c r="H774" s="46" t="str">
        <f>VLOOKUP(F774,[4]在职!$A:$I,9,0)</f>
        <v>区域拓展总监</v>
      </c>
      <c r="I774" s="7" t="s">
        <v>915</v>
      </c>
      <c r="J774" s="6">
        <v>46077</v>
      </c>
      <c r="K774" s="7" t="s">
        <v>1349</v>
      </c>
      <c r="L774" s="7" t="s">
        <v>1349</v>
      </c>
    </row>
    <row r="775" ht="16.5" spans="1:12">
      <c r="A775" s="12">
        <v>773</v>
      </c>
      <c r="B775" s="46" t="s">
        <v>39</v>
      </c>
      <c r="C775" s="46" t="str">
        <f>VLOOKUP(F775,[4]在职!$A:$E,5,0)</f>
        <v>甘肃</v>
      </c>
      <c r="D775" s="46" t="s">
        <v>1359</v>
      </c>
      <c r="E775" s="46" t="str">
        <f>VLOOKUP(F775,[4]在职!$A:$M,13,0)</f>
        <v>黄芳</v>
      </c>
      <c r="F775" s="7" t="s">
        <v>1358</v>
      </c>
      <c r="G775" s="46" t="str">
        <f>VLOOKUP(F775,[4]在职!$A:$B,2,0)</f>
        <v>00248</v>
      </c>
      <c r="H775" s="46" t="str">
        <f>VLOOKUP(F775,[4]在职!$A:$I,9,0)</f>
        <v>区域拓展总监</v>
      </c>
      <c r="I775" s="7" t="s">
        <v>915</v>
      </c>
      <c r="J775" s="6">
        <v>46078</v>
      </c>
      <c r="K775" s="7" t="s">
        <v>1349</v>
      </c>
      <c r="L775" s="7" t="s">
        <v>1349</v>
      </c>
    </row>
    <row r="776" ht="16.5" spans="1:12">
      <c r="A776" s="12">
        <v>774</v>
      </c>
      <c r="B776" s="46" t="s">
        <v>39</v>
      </c>
      <c r="C776" s="46" t="str">
        <f>VLOOKUP(F776,[4]在职!$A:$E,5,0)</f>
        <v>河北</v>
      </c>
      <c r="D776" s="46" t="s">
        <v>1357</v>
      </c>
      <c r="E776" s="46" t="s">
        <v>1119</v>
      </c>
      <c r="F776" s="7" t="s">
        <v>1374</v>
      </c>
      <c r="G776" s="46" t="str">
        <f>VLOOKUP(F776,[4]在职!$A:$B,2,0)</f>
        <v>00039</v>
      </c>
      <c r="H776" s="46" t="str">
        <f>VLOOKUP(F776,[4]在职!$A:$I,9,0)</f>
        <v>分公司总经理</v>
      </c>
      <c r="I776" s="7" t="s">
        <v>915</v>
      </c>
      <c r="J776" s="6">
        <v>46077</v>
      </c>
      <c r="K776" s="7" t="s">
        <v>1349</v>
      </c>
      <c r="L776" s="7" t="s">
        <v>1349</v>
      </c>
    </row>
    <row r="777" ht="16.5" spans="1:12">
      <c r="A777" s="12">
        <v>775</v>
      </c>
      <c r="B777" s="46" t="s">
        <v>39</v>
      </c>
      <c r="C777" s="46" t="str">
        <f>VLOOKUP(F777,[4]在职!$A:$E,5,0)</f>
        <v>河北</v>
      </c>
      <c r="D777" s="46" t="s">
        <v>1357</v>
      </c>
      <c r="E777" s="46" t="s">
        <v>1119</v>
      </c>
      <c r="F777" s="7" t="s">
        <v>1374</v>
      </c>
      <c r="G777" s="46" t="str">
        <f>VLOOKUP(F777,[4]在职!$A:$B,2,0)</f>
        <v>00039</v>
      </c>
      <c r="H777" s="46" t="str">
        <f>VLOOKUP(F777,[4]在职!$A:$I,9,0)</f>
        <v>分公司总经理</v>
      </c>
      <c r="I777" s="7" t="s">
        <v>915</v>
      </c>
      <c r="J777" s="6">
        <v>46078</v>
      </c>
      <c r="K777" s="7" t="s">
        <v>1349</v>
      </c>
      <c r="L777" s="7" t="s">
        <v>1349</v>
      </c>
    </row>
    <row r="778" ht="16.5" spans="1:12">
      <c r="A778" s="12">
        <v>776</v>
      </c>
      <c r="B778" s="46" t="s">
        <v>39</v>
      </c>
      <c r="C778" s="46" t="str">
        <f>VLOOKUP(F778,[4]在职!$A:$E,5,0)</f>
        <v>河北</v>
      </c>
      <c r="D778" s="46">
        <f>VLOOKUP(F778,[4]在职!$A:$G,7,0)</f>
        <v>0</v>
      </c>
      <c r="E778" s="46" t="str">
        <f>VLOOKUP(F778,[4]在职!$A:$M,13,0)</f>
        <v>张冀</v>
      </c>
      <c r="F778" s="7" t="s">
        <v>385</v>
      </c>
      <c r="G778" s="46" t="str">
        <f>VLOOKUP(F778,[4]在职!$A:$B,2,0)</f>
        <v>00008</v>
      </c>
      <c r="H778" s="46" t="str">
        <f>VLOOKUP(F778,[4]在职!$A:$I,9,0)</f>
        <v>分公司副总经理</v>
      </c>
      <c r="I778" s="7" t="s">
        <v>915</v>
      </c>
      <c r="J778" s="6">
        <v>46077</v>
      </c>
      <c r="K778" s="7" t="s">
        <v>1349</v>
      </c>
      <c r="L778" s="7" t="s">
        <v>1349</v>
      </c>
    </row>
    <row r="779" ht="16.5" spans="1:12">
      <c r="A779" s="12">
        <v>777</v>
      </c>
      <c r="B779" s="46" t="s">
        <v>39</v>
      </c>
      <c r="C779" s="46" t="str">
        <f>VLOOKUP(F779,[4]在职!$A:$E,5,0)</f>
        <v>河北</v>
      </c>
      <c r="D779" s="46" t="str">
        <f>VLOOKUP(F779,[4]在职!$A:$G,7,0)</f>
        <v>河北销售部</v>
      </c>
      <c r="E779" s="46" t="str">
        <f>VLOOKUP(F779,[4]在职!$A:$M,13,0)</f>
        <v>李港一</v>
      </c>
      <c r="F779" s="7" t="s">
        <v>617</v>
      </c>
      <c r="G779" s="46" t="str">
        <f>VLOOKUP(F779,[4]在职!$A:$B,2,0)</f>
        <v>00263</v>
      </c>
      <c r="H779" s="46" t="str">
        <f>VLOOKUP(F779,[4]在职!$A:$I,9,0)</f>
        <v>一星正式经理</v>
      </c>
      <c r="I779" s="7" t="s">
        <v>915</v>
      </c>
      <c r="J779" s="6">
        <v>46077</v>
      </c>
      <c r="K779" s="7" t="s">
        <v>1349</v>
      </c>
      <c r="L779" s="7" t="s">
        <v>1349</v>
      </c>
    </row>
    <row r="780" ht="16.5" spans="1:12">
      <c r="A780" s="12">
        <v>778</v>
      </c>
      <c r="B780" s="46" t="s">
        <v>39</v>
      </c>
      <c r="C780" s="46" t="str">
        <f>VLOOKUP(F780,[4]在职!$A:$E,5,0)</f>
        <v>河北</v>
      </c>
      <c r="D780" s="46">
        <f>VLOOKUP(F780,[4]在职!$A:$G,7,0)</f>
        <v>0</v>
      </c>
      <c r="E780" s="46" t="str">
        <f>VLOOKUP(F780,[4]在职!$A:$M,13,0)</f>
        <v>张冀</v>
      </c>
      <c r="F780" s="7" t="s">
        <v>385</v>
      </c>
      <c r="G780" s="46" t="str">
        <f>VLOOKUP(F780,[4]在职!$A:$B,2,0)</f>
        <v>00008</v>
      </c>
      <c r="H780" s="46" t="str">
        <f>VLOOKUP(F780,[4]在职!$A:$I,9,0)</f>
        <v>分公司副总经理</v>
      </c>
      <c r="I780" s="7" t="s">
        <v>915</v>
      </c>
      <c r="J780" s="6">
        <v>46078</v>
      </c>
      <c r="K780" s="7" t="s">
        <v>1349</v>
      </c>
      <c r="L780" s="7" t="s">
        <v>1349</v>
      </c>
    </row>
    <row r="781" ht="16.5" spans="1:12">
      <c r="A781" s="12">
        <v>779</v>
      </c>
      <c r="B781" s="46" t="s">
        <v>39</v>
      </c>
      <c r="C781" s="46" t="str">
        <f>VLOOKUP(F781,[4]在职!$A:$E,5,0)</f>
        <v>河北</v>
      </c>
      <c r="D781" s="46" t="str">
        <f>VLOOKUP(F781,[4]在职!$A:$G,7,0)</f>
        <v>河北销售部</v>
      </c>
      <c r="E781" s="46" t="str">
        <f>VLOOKUP(F781,[4]在职!$A:$M,13,0)</f>
        <v>李港一</v>
      </c>
      <c r="F781" s="7" t="s">
        <v>617</v>
      </c>
      <c r="G781" s="46" t="str">
        <f>VLOOKUP(F781,[4]在职!$A:$B,2,0)</f>
        <v>00263</v>
      </c>
      <c r="H781" s="46" t="str">
        <f>VLOOKUP(F781,[4]在职!$A:$I,9,0)</f>
        <v>一星正式经理</v>
      </c>
      <c r="I781" s="7" t="s">
        <v>915</v>
      </c>
      <c r="J781" s="6">
        <v>46078</v>
      </c>
      <c r="K781" s="7" t="s">
        <v>1349</v>
      </c>
      <c r="L781" s="7" t="s">
        <v>1349</v>
      </c>
    </row>
    <row r="782" ht="16.5" spans="1:12">
      <c r="A782" s="12">
        <v>780</v>
      </c>
      <c r="B782" s="46" t="s">
        <v>39</v>
      </c>
      <c r="C782" s="46" t="str">
        <f>VLOOKUP(F782,[4]在职!$A:$E,5,0)</f>
        <v>河南</v>
      </c>
      <c r="D782" s="46" t="s">
        <v>1377</v>
      </c>
      <c r="E782" s="46" t="str">
        <f>VLOOKUP(F782,[4]在职!$A:$M,13,0)</f>
        <v>黄芳</v>
      </c>
      <c r="F782" s="7" t="s">
        <v>1376</v>
      </c>
      <c r="G782" s="46" t="str">
        <f>VLOOKUP(F782,[4]在职!$A:$B,2,0)</f>
        <v>00040</v>
      </c>
      <c r="H782" s="46" t="str">
        <f>VLOOKUP(F782,[4]在职!$A:$I,9,0)</f>
        <v>分公司总经理</v>
      </c>
      <c r="I782" s="7" t="s">
        <v>915</v>
      </c>
      <c r="J782" s="6">
        <v>46077</v>
      </c>
      <c r="K782" s="7" t="s">
        <v>1349</v>
      </c>
      <c r="L782" s="7" t="s">
        <v>1349</v>
      </c>
    </row>
    <row r="783" ht="16.5" spans="1:12">
      <c r="A783" s="12">
        <v>781</v>
      </c>
      <c r="B783" s="46" t="s">
        <v>39</v>
      </c>
      <c r="C783" s="46" t="str">
        <f>VLOOKUP(F783,[4]在职!$A:$E,5,0)</f>
        <v>河南</v>
      </c>
      <c r="D783" s="46" t="s">
        <v>1377</v>
      </c>
      <c r="E783" s="46" t="str">
        <f>VLOOKUP(F783,[4]在职!$A:$M,13,0)</f>
        <v>黄芳</v>
      </c>
      <c r="F783" s="7" t="s">
        <v>1376</v>
      </c>
      <c r="G783" s="46" t="str">
        <f>VLOOKUP(F783,[4]在职!$A:$B,2,0)</f>
        <v>00040</v>
      </c>
      <c r="H783" s="46" t="str">
        <f>VLOOKUP(F783,[4]在职!$A:$I,9,0)</f>
        <v>分公司总经理</v>
      </c>
      <c r="I783" s="7" t="s">
        <v>915</v>
      </c>
      <c r="J783" s="6">
        <v>46078</v>
      </c>
      <c r="K783" s="7" t="s">
        <v>1349</v>
      </c>
      <c r="L783" s="7" t="s">
        <v>1349</v>
      </c>
    </row>
    <row r="784" ht="16.5" spans="1:12">
      <c r="A784" s="12">
        <v>782</v>
      </c>
      <c r="B784" s="46" t="s">
        <v>39</v>
      </c>
      <c r="C784" s="46" t="str">
        <f>VLOOKUP(F784,[4]在职!$A:$E,5,0)</f>
        <v>河南</v>
      </c>
      <c r="D784" s="46" t="str">
        <f>VLOOKUP(F784,[4]在职!$A:$G,7,0)</f>
        <v>河南销售部</v>
      </c>
      <c r="E784" s="46" t="str">
        <f>VLOOKUP(F784,[4]在职!$A:$M,13,0)</f>
        <v>毛孝树</v>
      </c>
      <c r="F784" s="7" t="s">
        <v>364</v>
      </c>
      <c r="G784" s="46" t="str">
        <f>VLOOKUP(F784,[4]在职!$A:$B,2,0)</f>
        <v>00270</v>
      </c>
      <c r="H784" s="46" t="str">
        <f>VLOOKUP(F784,[4]在职!$A:$I,9,0)</f>
        <v>部长</v>
      </c>
      <c r="I784" s="7" t="s">
        <v>915</v>
      </c>
      <c r="J784" s="6">
        <v>46077</v>
      </c>
      <c r="K784" s="7" t="s">
        <v>1349</v>
      </c>
      <c r="L784" s="7" t="s">
        <v>1349</v>
      </c>
    </row>
    <row r="785" ht="16.5" spans="1:12">
      <c r="A785" s="12">
        <v>783</v>
      </c>
      <c r="B785" s="46" t="s">
        <v>39</v>
      </c>
      <c r="C785" s="46" t="str">
        <f>VLOOKUP(F785,[4]在职!$A:$E,5,0)</f>
        <v>河南</v>
      </c>
      <c r="D785" s="46">
        <f>VLOOKUP(F785,[4]在职!$A:$G,7,0)</f>
        <v>0</v>
      </c>
      <c r="E785" s="46" t="str">
        <f>VLOOKUP(F785,[4]在职!$A:$M,13,0)</f>
        <v>廖静</v>
      </c>
      <c r="F785" s="7" t="s">
        <v>380</v>
      </c>
      <c r="G785" s="46" t="str">
        <f>VLOOKUP(F785,[4]在职!$A:$B,2,0)</f>
        <v>00010</v>
      </c>
      <c r="H785" s="46" t="str">
        <f>VLOOKUP(F785,[4]在职!$A:$I,9,0)</f>
        <v>分公司副总经理</v>
      </c>
      <c r="I785" s="7" t="s">
        <v>915</v>
      </c>
      <c r="J785" s="6">
        <v>46077</v>
      </c>
      <c r="K785" s="7" t="s">
        <v>1349</v>
      </c>
      <c r="L785" s="7" t="s">
        <v>1349</v>
      </c>
    </row>
    <row r="786" ht="16.5" spans="1:12">
      <c r="A786" s="12">
        <v>784</v>
      </c>
      <c r="B786" s="46" t="s">
        <v>39</v>
      </c>
      <c r="C786" s="46" t="str">
        <f>VLOOKUP(F786,[4]在职!$A:$E,5,0)</f>
        <v>河南</v>
      </c>
      <c r="D786" s="46" t="str">
        <f>VLOOKUP(F786,[4]在职!$A:$G,7,0)</f>
        <v>河南销售部</v>
      </c>
      <c r="E786" s="46" t="str">
        <f>VLOOKUP(F786,[4]在职!$A:$M,13,0)</f>
        <v>毛孝树</v>
      </c>
      <c r="F786" s="7" t="s">
        <v>364</v>
      </c>
      <c r="G786" s="46" t="str">
        <f>VLOOKUP(F786,[4]在职!$A:$B,2,0)</f>
        <v>00270</v>
      </c>
      <c r="H786" s="46" t="str">
        <f>VLOOKUP(F786,[4]在职!$A:$I,9,0)</f>
        <v>部长</v>
      </c>
      <c r="I786" s="7" t="s">
        <v>915</v>
      </c>
      <c r="J786" s="6">
        <v>46078</v>
      </c>
      <c r="K786" s="7" t="s">
        <v>1349</v>
      </c>
      <c r="L786" s="7" t="s">
        <v>1349</v>
      </c>
    </row>
    <row r="787" ht="16.5" spans="1:12">
      <c r="A787" s="12">
        <v>785</v>
      </c>
      <c r="B787" s="46" t="s">
        <v>39</v>
      </c>
      <c r="C787" s="46" t="str">
        <f>VLOOKUP(F787,[4]在职!$A:$E,5,0)</f>
        <v>河南</v>
      </c>
      <c r="D787" s="46">
        <f>VLOOKUP(F787,[4]在职!$A:$G,7,0)</f>
        <v>0</v>
      </c>
      <c r="E787" s="46" t="str">
        <f>VLOOKUP(F787,[4]在职!$A:$M,13,0)</f>
        <v>廖静</v>
      </c>
      <c r="F787" s="7" t="s">
        <v>380</v>
      </c>
      <c r="G787" s="46" t="str">
        <f>VLOOKUP(F787,[4]在职!$A:$B,2,0)</f>
        <v>00010</v>
      </c>
      <c r="H787" s="46" t="str">
        <f>VLOOKUP(F787,[4]在职!$A:$I,9,0)</f>
        <v>分公司副总经理</v>
      </c>
      <c r="I787" s="7" t="s">
        <v>915</v>
      </c>
      <c r="J787" s="6">
        <v>46078</v>
      </c>
      <c r="K787" s="7" t="s">
        <v>1349</v>
      </c>
      <c r="L787" s="7" t="s">
        <v>1349</v>
      </c>
    </row>
    <row r="788" ht="16.5" spans="1:12">
      <c r="A788" s="12">
        <v>786</v>
      </c>
      <c r="B788" s="46" t="s">
        <v>39</v>
      </c>
      <c r="C788" s="46" t="str">
        <f>VLOOKUP(F788,[4]在职!$A:$E,5,0)</f>
        <v>湖北</v>
      </c>
      <c r="D788" s="46" t="str">
        <f>VLOOKUP(F788,[4]在职!$A:$G,7,0)</f>
        <v>湖北1部</v>
      </c>
      <c r="E788" s="46" t="str">
        <f>VLOOKUP(F788,[4]在职!$A:$M,13,0)</f>
        <v>范庚</v>
      </c>
      <c r="F788" s="7" t="s">
        <v>189</v>
      </c>
      <c r="G788" s="46" t="str">
        <f>VLOOKUP(F788,[4]在职!$A:$B,2,0)</f>
        <v>00333</v>
      </c>
      <c r="H788" s="46" t="str">
        <f>VLOOKUP(F788,[4]在职!$A:$I,9,0)</f>
        <v>部长</v>
      </c>
      <c r="I788" s="7" t="s">
        <v>915</v>
      </c>
      <c r="J788" s="6">
        <v>46077</v>
      </c>
      <c r="K788" s="7" t="s">
        <v>1349</v>
      </c>
      <c r="L788" s="7" t="s">
        <v>1349</v>
      </c>
    </row>
    <row r="789" ht="16.5" spans="1:12">
      <c r="A789" s="12">
        <v>787</v>
      </c>
      <c r="B789" s="46" t="s">
        <v>39</v>
      </c>
      <c r="C789" s="46" t="str">
        <f>VLOOKUP(F789,[4]在职!$A:$E,5,0)</f>
        <v>湖北</v>
      </c>
      <c r="D789" s="46" t="str">
        <f>VLOOKUP(F789,[4]在职!$A:$G,7,0)</f>
        <v>湖北1部</v>
      </c>
      <c r="E789" s="46" t="str">
        <f>VLOOKUP(F789,[4]在职!$A:$M,13,0)</f>
        <v>范庚</v>
      </c>
      <c r="F789" s="7" t="s">
        <v>189</v>
      </c>
      <c r="G789" s="46" t="str">
        <f>VLOOKUP(F789,[4]在职!$A:$B,2,0)</f>
        <v>00333</v>
      </c>
      <c r="H789" s="46" t="str">
        <f>VLOOKUP(F789,[4]在职!$A:$I,9,0)</f>
        <v>部长</v>
      </c>
      <c r="I789" s="7" t="s">
        <v>915</v>
      </c>
      <c r="J789" s="6">
        <v>46078</v>
      </c>
      <c r="K789" s="7" t="s">
        <v>1349</v>
      </c>
      <c r="L789" s="7" t="s">
        <v>1349</v>
      </c>
    </row>
    <row r="790" ht="16.5" spans="1:12">
      <c r="A790" s="12">
        <v>788</v>
      </c>
      <c r="B790" s="46" t="s">
        <v>39</v>
      </c>
      <c r="C790" s="46" t="str">
        <f>VLOOKUP(F790,[4]在职!$A:$E,5,0)</f>
        <v>湖北</v>
      </c>
      <c r="D790" s="46" t="str">
        <f>VLOOKUP(F790,[4]在职!$A:$G,7,0)</f>
        <v>湖北2部</v>
      </c>
      <c r="E790" s="46" t="str">
        <f>VLOOKUP(F790,[4]在职!$A:$M,13,0)</f>
        <v>范庚</v>
      </c>
      <c r="F790" s="7" t="s">
        <v>89</v>
      </c>
      <c r="G790" s="46" t="str">
        <f>VLOOKUP(F790,[4]在职!$A:$B,2,0)</f>
        <v>00549</v>
      </c>
      <c r="H790" s="46" t="str">
        <f>VLOOKUP(F790,[4]在职!$A:$I,9,0)</f>
        <v>部长</v>
      </c>
      <c r="I790" s="7" t="s">
        <v>915</v>
      </c>
      <c r="J790" s="6">
        <v>46077</v>
      </c>
      <c r="K790" s="7" t="s">
        <v>1349</v>
      </c>
      <c r="L790" s="7" t="s">
        <v>1349</v>
      </c>
    </row>
    <row r="791" ht="16.5" spans="1:12">
      <c r="A791" s="12">
        <v>789</v>
      </c>
      <c r="B791" s="46" t="s">
        <v>39</v>
      </c>
      <c r="C791" s="46" t="str">
        <f>VLOOKUP(F791,[4]在职!$A:$E,5,0)</f>
        <v>湖北</v>
      </c>
      <c r="D791" s="46" t="str">
        <f>VLOOKUP(F791,[4]在职!$A:$G,7,0)</f>
        <v>湖北2部</v>
      </c>
      <c r="E791" s="46" t="str">
        <f>VLOOKUP(F791,[4]在职!$A:$M,13,0)</f>
        <v>范庚</v>
      </c>
      <c r="F791" s="7" t="s">
        <v>89</v>
      </c>
      <c r="G791" s="46" t="str">
        <f>VLOOKUP(F791,[4]在职!$A:$B,2,0)</f>
        <v>00549</v>
      </c>
      <c r="H791" s="46" t="str">
        <f>VLOOKUP(F791,[4]在职!$A:$I,9,0)</f>
        <v>部长</v>
      </c>
      <c r="I791" s="7" t="s">
        <v>915</v>
      </c>
      <c r="J791" s="6">
        <v>46078</v>
      </c>
      <c r="K791" s="7" t="s">
        <v>1349</v>
      </c>
      <c r="L791" s="7" t="s">
        <v>1349</v>
      </c>
    </row>
    <row r="792" ht="16.5" spans="1:12">
      <c r="A792" s="12">
        <v>790</v>
      </c>
      <c r="B792" s="46" t="s">
        <v>39</v>
      </c>
      <c r="C792" s="46" t="str">
        <f>VLOOKUP(F792,[4]在职!$A:$E,5,0)</f>
        <v>湖北</v>
      </c>
      <c r="D792" s="46" t="s">
        <v>1602</v>
      </c>
      <c r="E792" s="46" t="str">
        <f>VLOOKUP(F792,[4]在职!$A:$M,13,0)</f>
        <v>黄芳</v>
      </c>
      <c r="F792" s="7" t="s">
        <v>1163</v>
      </c>
      <c r="G792" s="46" t="str">
        <f>VLOOKUP(F792,[4]在职!$A:$B,2,0)</f>
        <v>00004</v>
      </c>
      <c r="H792" s="46" t="str">
        <f>VLOOKUP(F792,[4]在职!$A:$I,9,0)</f>
        <v>分公司总经理</v>
      </c>
      <c r="I792" s="7" t="s">
        <v>915</v>
      </c>
      <c r="J792" s="6">
        <v>46077</v>
      </c>
      <c r="K792" s="7" t="s">
        <v>1349</v>
      </c>
      <c r="L792" s="7" t="s">
        <v>1349</v>
      </c>
    </row>
    <row r="793" ht="16.5" spans="1:12">
      <c r="A793" s="12">
        <v>791</v>
      </c>
      <c r="B793" s="46" t="s">
        <v>39</v>
      </c>
      <c r="C793" s="46" t="str">
        <f>VLOOKUP(F793,[4]在职!$A:$E,5,0)</f>
        <v>湖北</v>
      </c>
      <c r="D793" s="46" t="s">
        <v>79</v>
      </c>
      <c r="E793" s="46" t="str">
        <f>VLOOKUP(F793,[4]在职!$A:$M,13,0)</f>
        <v>黄芳</v>
      </c>
      <c r="F793" s="7" t="s">
        <v>1163</v>
      </c>
      <c r="G793" s="46" t="str">
        <f>VLOOKUP(F793,[4]在职!$A:$B,2,0)</f>
        <v>00004</v>
      </c>
      <c r="H793" s="46" t="str">
        <f>VLOOKUP(F793,[4]在职!$A:$I,9,0)</f>
        <v>分公司总经理</v>
      </c>
      <c r="I793" s="7" t="s">
        <v>915</v>
      </c>
      <c r="J793" s="6">
        <v>46078</v>
      </c>
      <c r="K793" s="7" t="s">
        <v>1349</v>
      </c>
      <c r="L793" s="7" t="s">
        <v>1349</v>
      </c>
    </row>
    <row r="794" ht="16.5" spans="1:12">
      <c r="A794" s="12">
        <v>792</v>
      </c>
      <c r="B794" s="46" t="s">
        <v>39</v>
      </c>
      <c r="C794" s="46" t="str">
        <f>VLOOKUP(F794,[4]在职!$A:$E,5,0)</f>
        <v>湖南</v>
      </c>
      <c r="D794" s="46" t="s">
        <v>1370</v>
      </c>
      <c r="E794" s="46" t="str">
        <f>VLOOKUP(F794,[4]在职!$A:$M,13,0)</f>
        <v>王超飞</v>
      </c>
      <c r="F794" s="7" t="s">
        <v>1369</v>
      </c>
      <c r="G794" s="46" t="str">
        <f>VLOOKUP(F794,[4]在职!$A:$B,2,0)</f>
        <v>00235</v>
      </c>
      <c r="H794" s="46" t="str">
        <f>VLOOKUP(F794,[4]在职!$A:$I,9,0)</f>
        <v>二星拓展专员</v>
      </c>
      <c r="I794" s="7" t="s">
        <v>915</v>
      </c>
      <c r="J794" s="6">
        <v>46077</v>
      </c>
      <c r="K794" s="7" t="s">
        <v>1349</v>
      </c>
      <c r="L794" s="7" t="s">
        <v>1349</v>
      </c>
    </row>
    <row r="795" ht="16.5" spans="1:12">
      <c r="A795" s="12">
        <v>793</v>
      </c>
      <c r="B795" s="46" t="s">
        <v>39</v>
      </c>
      <c r="C795" s="46" t="str">
        <f>VLOOKUP(F795,[4]在职!$A:$E,5,0)</f>
        <v>湖南</v>
      </c>
      <c r="D795" s="46" t="s">
        <v>1370</v>
      </c>
      <c r="E795" s="46" t="str">
        <f>VLOOKUP(F795,[4]在职!$A:$M,13,0)</f>
        <v>黄芳</v>
      </c>
      <c r="F795" s="7" t="s">
        <v>1378</v>
      </c>
      <c r="G795" s="46" t="str">
        <f>VLOOKUP(F795,[4]在职!$A:$B,2,0)</f>
        <v>00094</v>
      </c>
      <c r="H795" s="46" t="str">
        <f>VLOOKUP(F795,[4]在职!$A:$I,9,0)</f>
        <v>分公司总经理</v>
      </c>
      <c r="I795" s="7" t="s">
        <v>915</v>
      </c>
      <c r="J795" s="6">
        <v>46077</v>
      </c>
      <c r="K795" s="7" t="s">
        <v>1349</v>
      </c>
      <c r="L795" s="7" t="s">
        <v>1349</v>
      </c>
    </row>
    <row r="796" ht="16.5" spans="1:12">
      <c r="A796" s="12">
        <v>794</v>
      </c>
      <c r="B796" s="46" t="s">
        <v>39</v>
      </c>
      <c r="C796" s="46" t="str">
        <f>VLOOKUP(F796,[4]在职!$A:$E,5,0)</f>
        <v>湖南</v>
      </c>
      <c r="D796" s="46" t="s">
        <v>1370</v>
      </c>
      <c r="E796" s="46" t="str">
        <f>VLOOKUP(F796,[4]在职!$A:$M,13,0)</f>
        <v>王超飞</v>
      </c>
      <c r="F796" s="7" t="s">
        <v>1369</v>
      </c>
      <c r="G796" s="46" t="str">
        <f>VLOOKUP(F796,[4]在职!$A:$B,2,0)</f>
        <v>00235</v>
      </c>
      <c r="H796" s="46" t="str">
        <f>VLOOKUP(F796,[4]在职!$A:$I,9,0)</f>
        <v>二星拓展专员</v>
      </c>
      <c r="I796" s="7" t="s">
        <v>915</v>
      </c>
      <c r="J796" s="6">
        <v>46078</v>
      </c>
      <c r="K796" s="7" t="s">
        <v>1349</v>
      </c>
      <c r="L796" s="7" t="s">
        <v>1349</v>
      </c>
    </row>
    <row r="797" ht="16.5" spans="1:12">
      <c r="A797" s="12">
        <v>795</v>
      </c>
      <c r="B797" s="46" t="s">
        <v>39</v>
      </c>
      <c r="C797" s="46" t="str">
        <f>VLOOKUP(F797,[4]在职!$A:$E,5,0)</f>
        <v>湖南</v>
      </c>
      <c r="D797" s="46" t="s">
        <v>1370</v>
      </c>
      <c r="E797" s="46" t="str">
        <f>VLOOKUP(F797,[4]在职!$A:$M,13,0)</f>
        <v>黄芳</v>
      </c>
      <c r="F797" s="7" t="s">
        <v>1378</v>
      </c>
      <c r="G797" s="46" t="str">
        <f>VLOOKUP(F797,[4]在职!$A:$B,2,0)</f>
        <v>00094</v>
      </c>
      <c r="H797" s="46" t="str">
        <f>VLOOKUP(F797,[4]在职!$A:$I,9,0)</f>
        <v>分公司总经理</v>
      </c>
      <c r="I797" s="7" t="s">
        <v>915</v>
      </c>
      <c r="J797" s="6">
        <v>46078</v>
      </c>
      <c r="K797" s="7" t="s">
        <v>1349</v>
      </c>
      <c r="L797" s="7" t="s">
        <v>1349</v>
      </c>
    </row>
    <row r="798" ht="16.5" spans="1:12">
      <c r="A798" s="12">
        <v>796</v>
      </c>
      <c r="B798" s="46" t="s">
        <v>39</v>
      </c>
      <c r="C798" s="46" t="str">
        <f>VLOOKUP(F798,[4]在职!$A:$E,5,0)</f>
        <v>湖南</v>
      </c>
      <c r="D798" s="46" t="str">
        <f>VLOOKUP(F798,[4]在职!$A:$G,7,0)</f>
        <v>湖南销售部</v>
      </c>
      <c r="E798" s="46" t="str">
        <f>VLOOKUP(F798,[4]在职!$A:$M,13,0)</f>
        <v>王超飞</v>
      </c>
      <c r="F798" s="7" t="s">
        <v>179</v>
      </c>
      <c r="G798" s="46" t="str">
        <f>VLOOKUP(F798,[4]在职!$A:$B,2,0)</f>
        <v>00050</v>
      </c>
      <c r="H798" s="46" t="str">
        <f>VLOOKUP(F798,[4]在职!$A:$I,9,0)</f>
        <v>分公司副总经理</v>
      </c>
      <c r="I798" s="7" t="s">
        <v>915</v>
      </c>
      <c r="J798" s="6">
        <v>46077</v>
      </c>
      <c r="K798" s="7" t="s">
        <v>1349</v>
      </c>
      <c r="L798" s="7" t="s">
        <v>1349</v>
      </c>
    </row>
    <row r="799" ht="16.5" spans="1:12">
      <c r="A799" s="12">
        <v>797</v>
      </c>
      <c r="B799" s="46" t="s">
        <v>39</v>
      </c>
      <c r="C799" s="46" t="str">
        <f>VLOOKUP(F799,[4]在职!$A:$E,5,0)</f>
        <v>湖南</v>
      </c>
      <c r="D799" s="46" t="str">
        <f>VLOOKUP(F799,[4]在职!$A:$G,7,0)</f>
        <v>湖南销售部</v>
      </c>
      <c r="E799" s="46" t="str">
        <f>VLOOKUP(F799,[4]在职!$A:$M,13,0)</f>
        <v>王超飞</v>
      </c>
      <c r="F799" s="7" t="s">
        <v>179</v>
      </c>
      <c r="G799" s="46" t="str">
        <f>VLOOKUP(F799,[4]在职!$A:$B,2,0)</f>
        <v>00050</v>
      </c>
      <c r="H799" s="46" t="str">
        <f>VLOOKUP(F799,[4]在职!$A:$I,9,0)</f>
        <v>分公司副总经理</v>
      </c>
      <c r="I799" s="7" t="s">
        <v>915</v>
      </c>
      <c r="J799" s="6">
        <v>46078</v>
      </c>
      <c r="K799" s="7" t="s">
        <v>1349</v>
      </c>
      <c r="L799" s="7" t="s">
        <v>1349</v>
      </c>
    </row>
    <row r="800" ht="16.5" spans="1:12">
      <c r="A800" s="12">
        <v>798</v>
      </c>
      <c r="B800" s="46" t="s">
        <v>39</v>
      </c>
      <c r="C800" s="46" t="str">
        <f>VLOOKUP(F800,[4]在职!$A:$E,5,0)</f>
        <v>辽宁</v>
      </c>
      <c r="D800" s="46" t="s">
        <v>1384</v>
      </c>
      <c r="E800" s="46" t="str">
        <f>VLOOKUP(F800,[4]在职!$A:$M,13,0)</f>
        <v>黄芳</v>
      </c>
      <c r="F800" s="7" t="s">
        <v>1383</v>
      </c>
      <c r="G800" s="46" t="str">
        <f>VLOOKUP(F800,[4]在职!$A:$B,2,0)</f>
        <v>00057</v>
      </c>
      <c r="H800" s="46" t="str">
        <f>VLOOKUP(F800,[4]在职!$A:$I,9,0)</f>
        <v>分公司总经理</v>
      </c>
      <c r="I800" s="7" t="s">
        <v>915</v>
      </c>
      <c r="J800" s="6">
        <v>46077</v>
      </c>
      <c r="K800" s="7" t="s">
        <v>1349</v>
      </c>
      <c r="L800" s="7" t="s">
        <v>1349</v>
      </c>
    </row>
    <row r="801" ht="16.5" spans="1:12">
      <c r="A801" s="12">
        <v>799</v>
      </c>
      <c r="B801" s="46" t="s">
        <v>39</v>
      </c>
      <c r="C801" s="46" t="str">
        <f>VLOOKUP(F801,[4]在职!$A:$E,5,0)</f>
        <v>辽宁</v>
      </c>
      <c r="D801" s="46" t="s">
        <v>1384</v>
      </c>
      <c r="E801" s="46" t="str">
        <f>VLOOKUP(F801,[4]在职!$A:$M,13,0)</f>
        <v>黄芳</v>
      </c>
      <c r="F801" s="7" t="s">
        <v>1383</v>
      </c>
      <c r="G801" s="46" t="str">
        <f>VLOOKUP(F801,[4]在职!$A:$B,2,0)</f>
        <v>00057</v>
      </c>
      <c r="H801" s="46" t="str">
        <f>VLOOKUP(F801,[4]在职!$A:$I,9,0)</f>
        <v>分公司总经理</v>
      </c>
      <c r="I801" s="7" t="s">
        <v>915</v>
      </c>
      <c r="J801" s="6">
        <v>46078</v>
      </c>
      <c r="K801" s="7" t="s">
        <v>1349</v>
      </c>
      <c r="L801" s="7" t="s">
        <v>1349</v>
      </c>
    </row>
    <row r="802" ht="16.5" spans="1:12">
      <c r="A802" s="12">
        <v>800</v>
      </c>
      <c r="B802" s="46" t="s">
        <v>39</v>
      </c>
      <c r="C802" s="46" t="str">
        <f>VLOOKUP(F802,[4]在职!$A:$E,5,0)</f>
        <v>辽宁</v>
      </c>
      <c r="D802" s="46">
        <f>VLOOKUP(F802,[4]在职!$A:$G,7,0)</f>
        <v>0</v>
      </c>
      <c r="E802" s="46" t="str">
        <f>VLOOKUP(F802,[4]在职!$A:$M,13,0)</f>
        <v>聂仕平</v>
      </c>
      <c r="F802" s="7" t="s">
        <v>740</v>
      </c>
      <c r="G802" s="46" t="str">
        <f>VLOOKUP(F802,[4]在职!$A:$B,2,0)</f>
        <v>00016</v>
      </c>
      <c r="H802" s="46" t="str">
        <f>VLOOKUP(F802,[4]在职!$A:$I,9,0)</f>
        <v>分公司副总经理</v>
      </c>
      <c r="I802" s="7" t="s">
        <v>915</v>
      </c>
      <c r="J802" s="6">
        <v>46077</v>
      </c>
      <c r="K802" s="7" t="s">
        <v>1349</v>
      </c>
      <c r="L802" s="7" t="s">
        <v>1349</v>
      </c>
    </row>
    <row r="803" ht="16.5" spans="1:12">
      <c r="A803" s="12">
        <v>801</v>
      </c>
      <c r="B803" s="46" t="s">
        <v>39</v>
      </c>
      <c r="C803" s="46" t="str">
        <f>VLOOKUP(F803,[4]在职!$A:$E,5,0)</f>
        <v>辽宁</v>
      </c>
      <c r="D803" s="46">
        <f>VLOOKUP(F803,[4]在职!$A:$G,7,0)</f>
        <v>0</v>
      </c>
      <c r="E803" s="46" t="str">
        <f>VLOOKUP(F803,[4]在职!$A:$M,13,0)</f>
        <v>聂仕平</v>
      </c>
      <c r="F803" s="7" t="s">
        <v>740</v>
      </c>
      <c r="G803" s="46" t="str">
        <f>VLOOKUP(F803,[4]在职!$A:$B,2,0)</f>
        <v>00016</v>
      </c>
      <c r="H803" s="46" t="str">
        <f>VLOOKUP(F803,[4]在职!$A:$I,9,0)</f>
        <v>分公司副总经理</v>
      </c>
      <c r="I803" s="7" t="s">
        <v>915</v>
      </c>
      <c r="J803" s="6">
        <v>46078</v>
      </c>
      <c r="K803" s="7" t="s">
        <v>1349</v>
      </c>
      <c r="L803" s="7" t="s">
        <v>1349</v>
      </c>
    </row>
    <row r="804" ht="16.5" spans="1:12">
      <c r="A804" s="12">
        <v>802</v>
      </c>
      <c r="B804" s="46" t="s">
        <v>39</v>
      </c>
      <c r="C804" s="46" t="str">
        <f>VLOOKUP(F804,[4]在职!$A:$E,5,0)</f>
        <v>内蒙古</v>
      </c>
      <c r="D804" s="46" t="s">
        <v>1603</v>
      </c>
      <c r="E804" s="46" t="str">
        <f>VLOOKUP(F804,[4]在职!$A:$M,13,0)</f>
        <v>刘文宇</v>
      </c>
      <c r="F804" s="7" t="s">
        <v>1364</v>
      </c>
      <c r="G804" s="46" t="str">
        <f>VLOOKUP(F804,[4]在职!$A:$B,2,0)</f>
        <v>00154</v>
      </c>
      <c r="H804" s="46" t="str">
        <f>VLOOKUP(F804,[4]在职!$A:$I,9,0)</f>
        <v>分公司总经理</v>
      </c>
      <c r="I804" s="7" t="s">
        <v>915</v>
      </c>
      <c r="J804" s="6">
        <v>46077</v>
      </c>
      <c r="K804" s="7" t="s">
        <v>1349</v>
      </c>
      <c r="L804" s="7" t="s">
        <v>1349</v>
      </c>
    </row>
    <row r="805" ht="16.5" spans="1:12">
      <c r="A805" s="12">
        <v>803</v>
      </c>
      <c r="B805" s="46" t="s">
        <v>39</v>
      </c>
      <c r="C805" s="46" t="str">
        <f>VLOOKUP(F805,[4]在职!$A:$E,5,0)</f>
        <v>内蒙古</v>
      </c>
      <c r="D805" s="46" t="s">
        <v>1365</v>
      </c>
      <c r="E805" s="46" t="str">
        <f>VLOOKUP(F805,[4]在职!$A:$M,13,0)</f>
        <v>刘文宇</v>
      </c>
      <c r="F805" s="7" t="s">
        <v>1364</v>
      </c>
      <c r="G805" s="46" t="str">
        <f>VLOOKUP(F805,[4]在职!$A:$B,2,0)</f>
        <v>00154</v>
      </c>
      <c r="H805" s="46" t="str">
        <f>VLOOKUP(F805,[4]在职!$A:$I,9,0)</f>
        <v>分公司总经理</v>
      </c>
      <c r="I805" s="7" t="s">
        <v>915</v>
      </c>
      <c r="J805" s="6">
        <v>46078</v>
      </c>
      <c r="K805" s="7" t="s">
        <v>1349</v>
      </c>
      <c r="L805" s="7" t="s">
        <v>1349</v>
      </c>
    </row>
    <row r="806" ht="16.5" spans="1:12">
      <c r="A806" s="12">
        <v>804</v>
      </c>
      <c r="B806" s="46" t="s">
        <v>39</v>
      </c>
      <c r="C806" s="46" t="str">
        <f>VLOOKUP(F806,[4]在职!$A:$E,5,0)</f>
        <v>山东</v>
      </c>
      <c r="D806" s="46" t="s">
        <v>1353</v>
      </c>
      <c r="E806" s="46" t="str">
        <f>VLOOKUP(F806,[4]在职!$A:$M,13,0)</f>
        <v>刘文宇</v>
      </c>
      <c r="F806" s="7" t="s">
        <v>1352</v>
      </c>
      <c r="G806" s="46" t="str">
        <f>VLOOKUP(F806,[4]在职!$A:$B,2,0)</f>
        <v>00215</v>
      </c>
      <c r="H806" s="46" t="str">
        <f>VLOOKUP(F806,[4]在职!$A:$I,9,0)</f>
        <v>区域拓展总监</v>
      </c>
      <c r="I806" s="7" t="s">
        <v>915</v>
      </c>
      <c r="J806" s="6">
        <v>46078</v>
      </c>
      <c r="K806" s="7" t="s">
        <v>1349</v>
      </c>
      <c r="L806" s="7" t="s">
        <v>1349</v>
      </c>
    </row>
    <row r="807" ht="16.5" spans="1:12">
      <c r="A807" s="12">
        <v>805</v>
      </c>
      <c r="B807" s="46" t="s">
        <v>39</v>
      </c>
      <c r="C807" s="46" t="s">
        <v>44</v>
      </c>
      <c r="D807" s="46" t="s">
        <v>1353</v>
      </c>
      <c r="E807" s="46" t="str">
        <f>VLOOKUP(F807,[4]在职!$A:$M,13,0)</f>
        <v>刘文宇</v>
      </c>
      <c r="F807" s="7" t="s">
        <v>1352</v>
      </c>
      <c r="G807" s="46" t="str">
        <f>VLOOKUP(F807,[4]在职!$A:$B,2,0)</f>
        <v>00215</v>
      </c>
      <c r="H807" s="46" t="str">
        <f>VLOOKUP(F807,[4]在职!$A:$I,9,0)</f>
        <v>区域拓展总监</v>
      </c>
      <c r="I807" s="7" t="s">
        <v>915</v>
      </c>
      <c r="J807" s="6">
        <v>46077</v>
      </c>
      <c r="K807" s="7" t="s">
        <v>1349</v>
      </c>
      <c r="L807" s="7" t="s">
        <v>1349</v>
      </c>
    </row>
    <row r="808" ht="16.5" spans="1:12">
      <c r="A808" s="12">
        <v>806</v>
      </c>
      <c r="B808" s="46" t="s">
        <v>39</v>
      </c>
      <c r="C808" s="46" t="str">
        <f>VLOOKUP(F808,[4]在职!$A:$E,5,0)</f>
        <v>山东</v>
      </c>
      <c r="D808" s="46" t="s">
        <v>1373</v>
      </c>
      <c r="E808" s="46" t="str">
        <f>VLOOKUP(F808,[4]在职!$A:$M,13,0)</f>
        <v>李丹</v>
      </c>
      <c r="F808" s="7" t="s">
        <v>1372</v>
      </c>
      <c r="G808" s="46" t="str">
        <f>VLOOKUP(F808,[4]在职!$A:$B,2,0)</f>
        <v>00315</v>
      </c>
      <c r="H808" s="46" t="str">
        <f>VLOOKUP(F808,[4]在职!$A:$I,9,0)</f>
        <v>区域拓展总监</v>
      </c>
      <c r="I808" s="7" t="s">
        <v>915</v>
      </c>
      <c r="J808" s="6">
        <v>46077</v>
      </c>
      <c r="K808" s="7" t="s">
        <v>1349</v>
      </c>
      <c r="L808" s="7" t="s">
        <v>1349</v>
      </c>
    </row>
    <row r="809" ht="16.5" spans="1:12">
      <c r="A809" s="12">
        <v>807</v>
      </c>
      <c r="B809" s="46" t="s">
        <v>39</v>
      </c>
      <c r="C809" s="46" t="str">
        <f>VLOOKUP(F809,[4]在职!$A:$E,5,0)</f>
        <v>山东</v>
      </c>
      <c r="D809" s="46" t="s">
        <v>1373</v>
      </c>
      <c r="E809" s="46" t="str">
        <f>VLOOKUP(F809,[4]在职!$A:$M,13,0)</f>
        <v>黄芳</v>
      </c>
      <c r="F809" s="7" t="s">
        <v>1152</v>
      </c>
      <c r="G809" s="46" t="str">
        <f>VLOOKUP(F809,[4]在职!$A:$B,2,0)</f>
        <v>00067</v>
      </c>
      <c r="H809" s="46" t="str">
        <f>VLOOKUP(F809,[4]在职!$A:$I,9,0)</f>
        <v>分公司总经理</v>
      </c>
      <c r="I809" s="7" t="s">
        <v>915</v>
      </c>
      <c r="J809" s="6">
        <v>46077</v>
      </c>
      <c r="K809" s="7" t="s">
        <v>1349</v>
      </c>
      <c r="L809" s="7" t="s">
        <v>1349</v>
      </c>
    </row>
    <row r="810" ht="16.5" spans="1:12">
      <c r="A810" s="12">
        <v>808</v>
      </c>
      <c r="B810" s="46" t="s">
        <v>39</v>
      </c>
      <c r="C810" s="46" t="str">
        <f>VLOOKUP(F810,[4]在职!$A:$E,5,0)</f>
        <v>山东</v>
      </c>
      <c r="D810" s="46" t="s">
        <v>1373</v>
      </c>
      <c r="E810" s="46" t="str">
        <f>VLOOKUP(F810,[4]在职!$A:$M,13,0)</f>
        <v>李丹</v>
      </c>
      <c r="F810" s="7" t="s">
        <v>1372</v>
      </c>
      <c r="G810" s="46" t="str">
        <f>VLOOKUP(F810,[4]在职!$A:$B,2,0)</f>
        <v>00315</v>
      </c>
      <c r="H810" s="46" t="str">
        <f>VLOOKUP(F810,[4]在职!$A:$I,9,0)</f>
        <v>区域拓展总监</v>
      </c>
      <c r="I810" s="7" t="s">
        <v>915</v>
      </c>
      <c r="J810" s="6">
        <v>46078</v>
      </c>
      <c r="K810" s="7" t="s">
        <v>1349</v>
      </c>
      <c r="L810" s="7" t="s">
        <v>1349</v>
      </c>
    </row>
    <row r="811" ht="16.5" spans="1:12">
      <c r="A811" s="12">
        <v>809</v>
      </c>
      <c r="B811" s="46" t="s">
        <v>39</v>
      </c>
      <c r="C811" s="46" t="str">
        <f>VLOOKUP(F811,[4]在职!$A:$E,5,0)</f>
        <v>山东</v>
      </c>
      <c r="D811" s="46" t="s">
        <v>1373</v>
      </c>
      <c r="E811" s="46" t="str">
        <f>VLOOKUP(F811,[4]在职!$A:$M,13,0)</f>
        <v>黄芳</v>
      </c>
      <c r="F811" s="7" t="s">
        <v>1152</v>
      </c>
      <c r="G811" s="46" t="str">
        <f>VLOOKUP(F811,[4]在职!$A:$B,2,0)</f>
        <v>00067</v>
      </c>
      <c r="H811" s="46" t="str">
        <f>VLOOKUP(F811,[4]在职!$A:$I,9,0)</f>
        <v>分公司总经理</v>
      </c>
      <c r="I811" s="7" t="s">
        <v>915</v>
      </c>
      <c r="J811" s="6">
        <v>46078</v>
      </c>
      <c r="K811" s="7" t="s">
        <v>1349</v>
      </c>
      <c r="L811" s="7" t="s">
        <v>1349</v>
      </c>
    </row>
    <row r="812" ht="16.5" spans="1:12">
      <c r="A812" s="12">
        <v>810</v>
      </c>
      <c r="B812" s="46" t="s">
        <v>39</v>
      </c>
      <c r="C812" s="46" t="str">
        <f>VLOOKUP(F812,[4]在职!$A:$E,5,0)</f>
        <v>山东</v>
      </c>
      <c r="D812" s="46" t="str">
        <f>VLOOKUP(F812,[4]在职!$A:$G,7,0)</f>
        <v>山东销售部</v>
      </c>
      <c r="E812" s="46" t="str">
        <f>VLOOKUP(F812,[4]在职!$A:$M,13,0)</f>
        <v>李丹</v>
      </c>
      <c r="F812" s="7" t="s">
        <v>444</v>
      </c>
      <c r="G812" s="46" t="str">
        <f>VLOOKUP(F812,[4]在职!$A:$B,2,0)</f>
        <v>00166</v>
      </c>
      <c r="H812" s="46" t="str">
        <f>VLOOKUP(F812,[4]在职!$A:$I,9,0)</f>
        <v>二星正式经理</v>
      </c>
      <c r="I812" s="7" t="s">
        <v>915</v>
      </c>
      <c r="J812" s="6">
        <v>46077</v>
      </c>
      <c r="K812" s="7" t="s">
        <v>1349</v>
      </c>
      <c r="L812" s="7" t="s">
        <v>1349</v>
      </c>
    </row>
    <row r="813" ht="16.5" spans="1:12">
      <c r="A813" s="12">
        <v>811</v>
      </c>
      <c r="B813" s="46" t="s">
        <v>39</v>
      </c>
      <c r="C813" s="46" t="str">
        <f>VLOOKUP(F813,[4]在职!$A:$E,5,0)</f>
        <v>山东</v>
      </c>
      <c r="D813" s="46" t="str">
        <f>VLOOKUP(F813,[4]在职!$A:$G,7,0)</f>
        <v>山东销售部</v>
      </c>
      <c r="E813" s="46" t="str">
        <f>VLOOKUP(F813,[4]在职!$A:$M,13,0)</f>
        <v>李丹</v>
      </c>
      <c r="F813" s="7" t="s">
        <v>417</v>
      </c>
      <c r="G813" s="46" t="str">
        <f>VLOOKUP(F813,[4]在职!$A:$B,2,0)</f>
        <v>00521</v>
      </c>
      <c r="H813" s="46" t="str">
        <f>VLOOKUP(F813,[4]在职!$A:$I,9,0)</f>
        <v>一星正式经理</v>
      </c>
      <c r="I813" s="7" t="s">
        <v>915</v>
      </c>
      <c r="J813" s="6">
        <v>46077</v>
      </c>
      <c r="K813" s="7" t="s">
        <v>1349</v>
      </c>
      <c r="L813" s="7" t="s">
        <v>1349</v>
      </c>
    </row>
    <row r="814" ht="16.5" spans="1:12">
      <c r="A814" s="12">
        <v>812</v>
      </c>
      <c r="B814" s="46" t="s">
        <v>39</v>
      </c>
      <c r="C814" s="46" t="str">
        <f>VLOOKUP(F814,[4]在职!$A:$E,5,0)</f>
        <v>山东</v>
      </c>
      <c r="D814" s="46" t="str">
        <f>VLOOKUP(F814,[4]在职!$A:$G,7,0)</f>
        <v>山东销售部</v>
      </c>
      <c r="E814" s="46" t="str">
        <f>VLOOKUP(F814,[4]在职!$A:$M,13,0)</f>
        <v>李丹</v>
      </c>
      <c r="F814" s="7" t="s">
        <v>444</v>
      </c>
      <c r="G814" s="46" t="str">
        <f>VLOOKUP(F814,[4]在职!$A:$B,2,0)</f>
        <v>00166</v>
      </c>
      <c r="H814" s="46" t="str">
        <f>VLOOKUP(F814,[4]在职!$A:$I,9,0)</f>
        <v>二星正式经理</v>
      </c>
      <c r="I814" s="7" t="s">
        <v>915</v>
      </c>
      <c r="J814" s="6">
        <v>46078</v>
      </c>
      <c r="K814" s="7" t="s">
        <v>1349</v>
      </c>
      <c r="L814" s="7" t="s">
        <v>1349</v>
      </c>
    </row>
    <row r="815" ht="16.5" spans="1:12">
      <c r="A815" s="12">
        <v>813</v>
      </c>
      <c r="B815" s="46" t="s">
        <v>39</v>
      </c>
      <c r="C815" s="46" t="str">
        <f>VLOOKUP(F815,[4]在职!$A:$E,5,0)</f>
        <v>山东</v>
      </c>
      <c r="D815" s="46" t="str">
        <f>VLOOKUP(F815,[4]在职!$A:$G,7,0)</f>
        <v>山东销售部</v>
      </c>
      <c r="E815" s="46" t="str">
        <f>VLOOKUP(F815,[4]在职!$A:$M,13,0)</f>
        <v>李丹</v>
      </c>
      <c r="F815" s="7" t="s">
        <v>417</v>
      </c>
      <c r="G815" s="46" t="str">
        <f>VLOOKUP(F815,[4]在职!$A:$B,2,0)</f>
        <v>00521</v>
      </c>
      <c r="H815" s="46" t="str">
        <f>VLOOKUP(F815,[4]在职!$A:$I,9,0)</f>
        <v>一星正式经理</v>
      </c>
      <c r="I815" s="7" t="s">
        <v>915</v>
      </c>
      <c r="J815" s="6">
        <v>46078</v>
      </c>
      <c r="K815" s="7" t="s">
        <v>1349</v>
      </c>
      <c r="L815" s="7" t="s">
        <v>1349</v>
      </c>
    </row>
    <row r="816" ht="16.5" spans="1:12">
      <c r="A816" s="12">
        <v>814</v>
      </c>
      <c r="B816" s="46" t="s">
        <v>39</v>
      </c>
      <c r="C816" s="46" t="str">
        <f>VLOOKUP(F816,[4]在职!$A:$E,5,0)</f>
        <v>山西</v>
      </c>
      <c r="D816" s="46" t="s">
        <v>1386</v>
      </c>
      <c r="E816" s="46" t="str">
        <f>VLOOKUP(F816,[4]在职!$A:$M,13,0)</f>
        <v>黄芳</v>
      </c>
      <c r="F816" s="7" t="s">
        <v>1385</v>
      </c>
      <c r="G816" s="46" t="str">
        <f>VLOOKUP(F816,[4]在职!$A:$B,2,0)</f>
        <v>00695</v>
      </c>
      <c r="H816" s="46" t="str">
        <f>VLOOKUP(F816,[4]在职!$A:$I,9,0)</f>
        <v>分公司总经理</v>
      </c>
      <c r="I816" s="7" t="s">
        <v>915</v>
      </c>
      <c r="J816" s="6">
        <v>46077</v>
      </c>
      <c r="K816" s="7" t="s">
        <v>1349</v>
      </c>
      <c r="L816" s="7" t="s">
        <v>1349</v>
      </c>
    </row>
    <row r="817" ht="16.5" spans="1:12">
      <c r="A817" s="12">
        <v>815</v>
      </c>
      <c r="B817" s="46" t="s">
        <v>39</v>
      </c>
      <c r="C817" s="46" t="str">
        <f>VLOOKUP(F817,[4]在职!$A:$E,5,0)</f>
        <v>山西</v>
      </c>
      <c r="D817" s="46" t="s">
        <v>1386</v>
      </c>
      <c r="E817" s="46" t="str">
        <f>VLOOKUP(F817,[4]在职!$A:$M,13,0)</f>
        <v>黄芳</v>
      </c>
      <c r="F817" s="7" t="s">
        <v>1385</v>
      </c>
      <c r="G817" s="46" t="str">
        <f>VLOOKUP(F817,[4]在职!$A:$B,2,0)</f>
        <v>00695</v>
      </c>
      <c r="H817" s="46" t="str">
        <f>VLOOKUP(F817,[4]在职!$A:$I,9,0)</f>
        <v>分公司总经理</v>
      </c>
      <c r="I817" s="7" t="s">
        <v>915</v>
      </c>
      <c r="J817" s="6">
        <v>46078</v>
      </c>
      <c r="K817" s="7" t="s">
        <v>1349</v>
      </c>
      <c r="L817" s="7" t="s">
        <v>1349</v>
      </c>
    </row>
    <row r="818" ht="16.5" spans="1:12">
      <c r="A818" s="12">
        <v>816</v>
      </c>
      <c r="B818" s="46" t="s">
        <v>39</v>
      </c>
      <c r="C818" s="46" t="str">
        <f>VLOOKUP(F818,[4]在职!$A:$E,5,0)</f>
        <v>山西</v>
      </c>
      <c r="D818" s="46" t="str">
        <f>VLOOKUP(F818,[4]在职!$A:$G,7,0)</f>
        <v>山西销售部</v>
      </c>
      <c r="E818" s="46" t="str">
        <f>VLOOKUP(F818,[4]在职!$A:$M,13,0)</f>
        <v>吴川江</v>
      </c>
      <c r="F818" s="7" t="s">
        <v>587</v>
      </c>
      <c r="G818" s="46" t="str">
        <f>VLOOKUP(F818,[4]在职!$A:$B,2,0)</f>
        <v>00160</v>
      </c>
      <c r="H818" s="46" t="str">
        <f>VLOOKUP(F818,[4]在职!$A:$I,9,0)</f>
        <v>部长</v>
      </c>
      <c r="I818" s="7" t="s">
        <v>915</v>
      </c>
      <c r="J818" s="6">
        <v>46077</v>
      </c>
      <c r="K818" s="7" t="s">
        <v>1349</v>
      </c>
      <c r="L818" s="7" t="s">
        <v>1349</v>
      </c>
    </row>
    <row r="819" ht="16.5" spans="1:12">
      <c r="A819" s="12">
        <v>817</v>
      </c>
      <c r="B819" s="46" t="s">
        <v>39</v>
      </c>
      <c r="C819" s="46" t="str">
        <f>VLOOKUP(F819,[4]在职!$A:$E,5,0)</f>
        <v>山西</v>
      </c>
      <c r="D819" s="46">
        <f>VLOOKUP(F819,[4]在职!$A:$G,7,0)</f>
        <v>0</v>
      </c>
      <c r="E819" s="46" t="str">
        <f>VLOOKUP(F819,[4]在职!$A:$M,13,0)</f>
        <v>吴川江</v>
      </c>
      <c r="F819" s="7" t="s">
        <v>433</v>
      </c>
      <c r="G819" s="46" t="str">
        <f>VLOOKUP(F819,[4]在职!$A:$B,2,0)</f>
        <v>00015</v>
      </c>
      <c r="H819" s="46" t="str">
        <f>VLOOKUP(F819,[4]在职!$A:$I,9,0)</f>
        <v>分公司副总经理</v>
      </c>
      <c r="I819" s="7" t="s">
        <v>915</v>
      </c>
      <c r="J819" s="6">
        <v>46077</v>
      </c>
      <c r="K819" s="7" t="s">
        <v>1349</v>
      </c>
      <c r="L819" s="7" t="s">
        <v>1349</v>
      </c>
    </row>
    <row r="820" ht="16.5" spans="1:12">
      <c r="A820" s="12">
        <v>818</v>
      </c>
      <c r="B820" s="46" t="s">
        <v>39</v>
      </c>
      <c r="C820" s="46" t="str">
        <f>VLOOKUP(F820,[4]在职!$A:$E,5,0)</f>
        <v>山西</v>
      </c>
      <c r="D820" s="46" t="str">
        <f>VLOOKUP(F820,[4]在职!$A:$G,7,0)</f>
        <v>山西销售部</v>
      </c>
      <c r="E820" s="46" t="str">
        <f>VLOOKUP(F820,[4]在职!$A:$M,13,0)</f>
        <v>吴川江</v>
      </c>
      <c r="F820" s="7" t="s">
        <v>587</v>
      </c>
      <c r="G820" s="46" t="str">
        <f>VLOOKUP(F820,[4]在职!$A:$B,2,0)</f>
        <v>00160</v>
      </c>
      <c r="H820" s="46" t="str">
        <f>VLOOKUP(F820,[4]在职!$A:$I,9,0)</f>
        <v>部长</v>
      </c>
      <c r="I820" s="7" t="s">
        <v>915</v>
      </c>
      <c r="J820" s="6">
        <v>46078</v>
      </c>
      <c r="K820" s="7" t="s">
        <v>1349</v>
      </c>
      <c r="L820" s="7" t="s">
        <v>1349</v>
      </c>
    </row>
    <row r="821" ht="16.5" spans="1:12">
      <c r="A821" s="12">
        <v>819</v>
      </c>
      <c r="B821" s="46" t="s">
        <v>39</v>
      </c>
      <c r="C821" s="46" t="str">
        <f>VLOOKUP(F821,[4]在职!$A:$E,5,0)</f>
        <v>山西</v>
      </c>
      <c r="D821" s="46">
        <f>VLOOKUP(F821,[4]在职!$A:$G,7,0)</f>
        <v>0</v>
      </c>
      <c r="E821" s="46" t="str">
        <f>VLOOKUP(F821,[4]在职!$A:$M,13,0)</f>
        <v>吴川江</v>
      </c>
      <c r="F821" s="7" t="s">
        <v>433</v>
      </c>
      <c r="G821" s="46" t="str">
        <f>VLOOKUP(F821,[4]在职!$A:$B,2,0)</f>
        <v>00015</v>
      </c>
      <c r="H821" s="46" t="str">
        <f>VLOOKUP(F821,[4]在职!$A:$I,9,0)</f>
        <v>分公司副总经理</v>
      </c>
      <c r="I821" s="7" t="s">
        <v>915</v>
      </c>
      <c r="J821" s="6">
        <v>46078</v>
      </c>
      <c r="K821" s="7" t="s">
        <v>1349</v>
      </c>
      <c r="L821" s="7" t="s">
        <v>1349</v>
      </c>
    </row>
    <row r="822" ht="16.5" spans="1:12">
      <c r="A822" s="12">
        <v>820</v>
      </c>
      <c r="B822" s="46" t="s">
        <v>39</v>
      </c>
      <c r="C822" s="46" t="str">
        <f>VLOOKUP(F822,[4]在职!$A:$E,5,0)</f>
        <v>陕西</v>
      </c>
      <c r="D822" s="46" t="str">
        <f>VLOOKUP(F822,[4]在职!$A:$G,7,0)</f>
        <v>陕西1部</v>
      </c>
      <c r="E822" s="46" t="str">
        <f>VLOOKUP(F822,[4]在职!$A:$M,13,0)</f>
        <v>廖小朋</v>
      </c>
      <c r="F822" s="7" t="s">
        <v>451</v>
      </c>
      <c r="G822" s="46" t="str">
        <f>VLOOKUP(F822,[4]在职!$A:$B,2,0)</f>
        <v>00090</v>
      </c>
      <c r="H822" s="46" t="str">
        <f>VLOOKUP(F822,[4]在职!$A:$I,9,0)</f>
        <v>部长</v>
      </c>
      <c r="I822" s="7" t="s">
        <v>915</v>
      </c>
      <c r="J822" s="6">
        <v>46077</v>
      </c>
      <c r="K822" s="7" t="s">
        <v>1349</v>
      </c>
      <c r="L822" s="7" t="s">
        <v>1349</v>
      </c>
    </row>
    <row r="823" ht="16.5" spans="1:12">
      <c r="A823" s="12">
        <v>821</v>
      </c>
      <c r="B823" s="46" t="s">
        <v>39</v>
      </c>
      <c r="C823" s="46" t="str">
        <f>VLOOKUP(F823,[4]在职!$A:$E,5,0)</f>
        <v>陕西</v>
      </c>
      <c r="D823" s="46" t="str">
        <f>VLOOKUP(F823,[4]在职!$A:$G,7,0)</f>
        <v>陕西1部</v>
      </c>
      <c r="E823" s="46" t="str">
        <f>VLOOKUP(F823,[4]在职!$A:$M,13,0)</f>
        <v>廖小朋</v>
      </c>
      <c r="F823" s="7" t="s">
        <v>451</v>
      </c>
      <c r="G823" s="46" t="str">
        <f>VLOOKUP(F823,[4]在职!$A:$B,2,0)</f>
        <v>00090</v>
      </c>
      <c r="H823" s="46" t="str">
        <f>VLOOKUP(F823,[4]在职!$A:$I,9,0)</f>
        <v>部长</v>
      </c>
      <c r="I823" s="7" t="s">
        <v>915</v>
      </c>
      <c r="J823" s="6">
        <v>46078</v>
      </c>
      <c r="K823" s="7" t="s">
        <v>1349</v>
      </c>
      <c r="L823" s="7" t="s">
        <v>1349</v>
      </c>
    </row>
    <row r="824" ht="16.5" spans="1:12">
      <c r="A824" s="12">
        <v>822</v>
      </c>
      <c r="B824" s="46" t="s">
        <v>39</v>
      </c>
      <c r="C824" s="46" t="str">
        <f>VLOOKUP(F824,[4]在职!$A:$E,5,0)</f>
        <v>陕西</v>
      </c>
      <c r="D824" s="46" t="str">
        <f>VLOOKUP(F824,[4]在职!$A:$G,7,0)</f>
        <v>陕西2部</v>
      </c>
      <c r="E824" s="46" t="str">
        <f>VLOOKUP(F824,[4]在职!$A:$M,13,0)</f>
        <v>廖小朋</v>
      </c>
      <c r="F824" s="7" t="s">
        <v>108</v>
      </c>
      <c r="G824" s="46" t="str">
        <f>VLOOKUP(F824,[4]在职!$A:$B,2,0)</f>
        <v>00077</v>
      </c>
      <c r="H824" s="46" t="str">
        <f>VLOOKUP(F824,[4]在职!$A:$I,9,0)</f>
        <v>部长</v>
      </c>
      <c r="I824" s="7" t="s">
        <v>915</v>
      </c>
      <c r="J824" s="6">
        <v>46077</v>
      </c>
      <c r="K824" s="7" t="s">
        <v>1349</v>
      </c>
      <c r="L824" s="7" t="s">
        <v>1349</v>
      </c>
    </row>
    <row r="825" ht="16.5" spans="1:12">
      <c r="A825" s="12">
        <v>823</v>
      </c>
      <c r="B825" s="46" t="s">
        <v>39</v>
      </c>
      <c r="C825" s="46" t="str">
        <f>VLOOKUP(F825,[4]在职!$A:$E,5,0)</f>
        <v>陕西</v>
      </c>
      <c r="D825" s="46" t="str">
        <f>VLOOKUP(F825,[4]在职!$A:$G,7,0)</f>
        <v>陕西2部</v>
      </c>
      <c r="E825" s="46" t="str">
        <f>VLOOKUP(F825,[4]在职!$A:$M,13,0)</f>
        <v>廖小朋</v>
      </c>
      <c r="F825" s="7" t="s">
        <v>108</v>
      </c>
      <c r="G825" s="46" t="str">
        <f>VLOOKUP(F825,[4]在职!$A:$B,2,0)</f>
        <v>00077</v>
      </c>
      <c r="H825" s="46" t="str">
        <f>VLOOKUP(F825,[4]在职!$A:$I,9,0)</f>
        <v>部长</v>
      </c>
      <c r="I825" s="7" t="s">
        <v>915</v>
      </c>
      <c r="J825" s="6">
        <v>46078</v>
      </c>
      <c r="K825" s="7" t="s">
        <v>1349</v>
      </c>
      <c r="L825" s="7" t="s">
        <v>1349</v>
      </c>
    </row>
    <row r="826" ht="16.5" spans="1:12">
      <c r="A826" s="12">
        <v>824</v>
      </c>
      <c r="B826" s="46" t="s">
        <v>39</v>
      </c>
      <c r="C826" s="46" t="str">
        <f>VLOOKUP(F826,[4]在职!$A:$E,5,0)</f>
        <v>陕西</v>
      </c>
      <c r="D826" s="46" t="s">
        <v>1604</v>
      </c>
      <c r="E826" s="46" t="str">
        <f>VLOOKUP(F826,[4]在职!$A:$M,13,0)</f>
        <v>黄芳</v>
      </c>
      <c r="F826" s="7" t="s">
        <v>1143</v>
      </c>
      <c r="G826" s="46" t="str">
        <f>VLOOKUP(F826,[4]在职!$A:$B,2,0)</f>
        <v>00009</v>
      </c>
      <c r="H826" s="46" t="str">
        <f>VLOOKUP(F826,[4]在职!$A:$I,9,0)</f>
        <v>分公司总经理</v>
      </c>
      <c r="I826" s="7" t="s">
        <v>915</v>
      </c>
      <c r="J826" s="6">
        <v>46077</v>
      </c>
      <c r="K826" s="7" t="s">
        <v>1349</v>
      </c>
      <c r="L826" s="7" t="s">
        <v>1349</v>
      </c>
    </row>
    <row r="827" ht="16.5" spans="1:12">
      <c r="A827" s="12">
        <v>825</v>
      </c>
      <c r="B827" s="46" t="s">
        <v>39</v>
      </c>
      <c r="C827" s="46" t="str">
        <f>VLOOKUP(F827,[4]在职!$A:$E,5,0)</f>
        <v>陕西</v>
      </c>
      <c r="D827" s="46" t="s">
        <v>152</v>
      </c>
      <c r="E827" s="46" t="str">
        <f>VLOOKUP(F827,[4]在职!$A:$M,13,0)</f>
        <v>黄芳</v>
      </c>
      <c r="F827" s="7" t="s">
        <v>1143</v>
      </c>
      <c r="G827" s="46" t="str">
        <f>VLOOKUP(F827,[4]在职!$A:$B,2,0)</f>
        <v>00009</v>
      </c>
      <c r="H827" s="46" t="str">
        <f>VLOOKUP(F827,[4]在职!$A:$I,9,0)</f>
        <v>分公司总经理</v>
      </c>
      <c r="I827" s="7" t="s">
        <v>915</v>
      </c>
      <c r="J827" s="6">
        <v>46078</v>
      </c>
      <c r="K827" s="7" t="s">
        <v>1349</v>
      </c>
      <c r="L827" s="7" t="s">
        <v>1349</v>
      </c>
    </row>
    <row r="828" ht="16.5" spans="1:12">
      <c r="A828" s="12">
        <v>826</v>
      </c>
      <c r="B828" s="46" t="s">
        <v>39</v>
      </c>
      <c r="C828" s="46" t="str">
        <f>VLOOKUP(F828,[4]在职!$A:$E,5,0)</f>
        <v>西南总部</v>
      </c>
      <c r="D828" s="46" t="s">
        <v>1605</v>
      </c>
      <c r="E828" s="46" t="str">
        <f>VLOOKUP(F828,[4]在职!$A:$M,13,0)</f>
        <v>刘文宇</v>
      </c>
      <c r="F828" s="7" t="s">
        <v>1356</v>
      </c>
      <c r="G828" s="46" t="str">
        <f>VLOOKUP(F828,[4]在职!$A:$B,2,0)</f>
        <v>00043</v>
      </c>
      <c r="H828" s="46" t="str">
        <f>VLOOKUP(F828,[4]在职!$A:$I,9,0)</f>
        <v>分公司总经理</v>
      </c>
      <c r="I828" s="7" t="s">
        <v>915</v>
      </c>
      <c r="J828" s="6">
        <v>46077</v>
      </c>
      <c r="K828" s="7" t="s">
        <v>1349</v>
      </c>
      <c r="L828" s="7" t="s">
        <v>1349</v>
      </c>
    </row>
    <row r="829" ht="16.5" spans="1:12">
      <c r="A829" s="12">
        <v>827</v>
      </c>
      <c r="B829" s="46" t="s">
        <v>39</v>
      </c>
      <c r="C829" s="46" t="s">
        <v>26</v>
      </c>
      <c r="D829" s="46" t="s">
        <v>1357</v>
      </c>
      <c r="E829" s="46" t="str">
        <f>VLOOKUP(F829,[4]在职!$A:$M,13,0)</f>
        <v>刘文宇</v>
      </c>
      <c r="F829" s="7" t="s">
        <v>1356</v>
      </c>
      <c r="G829" s="46" t="str">
        <f>VLOOKUP(F829,[4]在职!$A:$B,2,0)</f>
        <v>00043</v>
      </c>
      <c r="H829" s="46" t="str">
        <f>VLOOKUP(F829,[4]在职!$A:$I,9,0)</f>
        <v>分公司总经理</v>
      </c>
      <c r="I829" s="7" t="s">
        <v>915</v>
      </c>
      <c r="J829" s="6">
        <v>46078</v>
      </c>
      <c r="K829" s="7" t="s">
        <v>1349</v>
      </c>
      <c r="L829" s="7" t="s">
        <v>1349</v>
      </c>
    </row>
    <row r="830" ht="16.5" spans="1:12">
      <c r="A830" s="12">
        <v>828</v>
      </c>
      <c r="B830" s="46" t="s">
        <v>39</v>
      </c>
      <c r="C830" s="46" t="str">
        <f>VLOOKUP(F830,[4]在职!$A:$E,5,0)</f>
        <v>湖南</v>
      </c>
      <c r="D830" s="46" t="str">
        <f>VLOOKUP(F830,[4]在职!$A:$G,7,0)</f>
        <v>湖南销售部</v>
      </c>
      <c r="E830" s="46" t="str">
        <f>VLOOKUP(F830,[4]在职!$A:$M,13,0)</f>
        <v>刘进</v>
      </c>
      <c r="F830" s="7" t="s">
        <v>336</v>
      </c>
      <c r="G830" s="46" t="str">
        <f>VLOOKUP(F830,[4]在职!$A:$B,2,0)</f>
        <v>00288</v>
      </c>
      <c r="H830" s="46" t="str">
        <f>VLOOKUP(F830,[4]在职!$A:$I,9,0)</f>
        <v>二星正式经理</v>
      </c>
      <c r="I830" s="7" t="s">
        <v>915</v>
      </c>
      <c r="J830" s="6">
        <v>46077</v>
      </c>
      <c r="K830" s="7" t="s">
        <v>1349</v>
      </c>
      <c r="L830" s="7" t="s">
        <v>1349</v>
      </c>
    </row>
    <row r="831" ht="16.5" spans="1:12">
      <c r="A831" s="12">
        <v>829</v>
      </c>
      <c r="B831" s="46" t="s">
        <v>39</v>
      </c>
      <c r="C831" s="46" t="str">
        <f>VLOOKUP(F831,[4]在职!$A:$E,5,0)</f>
        <v>西南总部</v>
      </c>
      <c r="D831" s="46" t="str">
        <f>VLOOKUP(F831,[4]在职!$A:$G,7,0)</f>
        <v>营业二部</v>
      </c>
      <c r="E831" s="46" t="str">
        <f>VLOOKUP(F831,[4]在职!$A:$M,13,0)</f>
        <v>柏刚</v>
      </c>
      <c r="F831" s="7" t="s">
        <v>413</v>
      </c>
      <c r="G831" s="46" t="str">
        <f>VLOOKUP(F831,[4]在职!$A:$B,2,0)</f>
        <v>00522</v>
      </c>
      <c r="H831" s="46" t="str">
        <f>VLOOKUP(F831,[4]在职!$A:$I,9,0)</f>
        <v>一星正式经理</v>
      </c>
      <c r="I831" s="7" t="s">
        <v>915</v>
      </c>
      <c r="J831" s="6">
        <v>46077</v>
      </c>
      <c r="K831" s="7" t="s">
        <v>1349</v>
      </c>
      <c r="L831" s="7" t="s">
        <v>1349</v>
      </c>
    </row>
    <row r="832" ht="16.5" spans="1:12">
      <c r="A832" s="12">
        <v>830</v>
      </c>
      <c r="B832" s="46" t="s">
        <v>39</v>
      </c>
      <c r="C832" s="46" t="str">
        <f>VLOOKUP(F832,[4]在职!$A:$E,5,0)</f>
        <v>西南总部</v>
      </c>
      <c r="D832" s="46" t="str">
        <f>VLOOKUP(F832,[4]在职!$A:$G,7,0)</f>
        <v>营业二部</v>
      </c>
      <c r="E832" s="46" t="str">
        <f>VLOOKUP(F832,[4]在职!$A:$M,13,0)</f>
        <v>欧松林</v>
      </c>
      <c r="F832" s="7" t="s">
        <v>82</v>
      </c>
      <c r="G832" s="46" t="str">
        <f>VLOOKUP(F832,[4]在职!$A:$B,2,0)</f>
        <v>00060</v>
      </c>
      <c r="H832" s="46" t="str">
        <f>VLOOKUP(F832,[4]在职!$A:$I,9,0)</f>
        <v>部长</v>
      </c>
      <c r="I832" s="7" t="s">
        <v>915</v>
      </c>
      <c r="J832" s="6">
        <v>46077</v>
      </c>
      <c r="K832" s="7" t="s">
        <v>1349</v>
      </c>
      <c r="L832" s="7" t="s">
        <v>1349</v>
      </c>
    </row>
    <row r="833" ht="16.5" spans="1:12">
      <c r="A833" s="12">
        <v>831</v>
      </c>
      <c r="B833" s="46" t="s">
        <v>39</v>
      </c>
      <c r="C833" s="46" t="str">
        <f>VLOOKUP(F833,[4]在职!$A:$E,5,0)</f>
        <v>湖南</v>
      </c>
      <c r="D833" s="46" t="str">
        <f>VLOOKUP(F833,[4]在职!$A:$G,7,0)</f>
        <v>湖南销售部</v>
      </c>
      <c r="E833" s="46" t="str">
        <f>VLOOKUP(F833,[4]在职!$A:$M,13,0)</f>
        <v>刘进</v>
      </c>
      <c r="F833" s="7" t="s">
        <v>336</v>
      </c>
      <c r="G833" s="46" t="str">
        <f>VLOOKUP(F833,[4]在职!$A:$B,2,0)</f>
        <v>00288</v>
      </c>
      <c r="H833" s="46" t="str">
        <f>VLOOKUP(F833,[4]在职!$A:$I,9,0)</f>
        <v>二星正式经理</v>
      </c>
      <c r="I833" s="7" t="s">
        <v>915</v>
      </c>
      <c r="J833" s="6">
        <v>46078</v>
      </c>
      <c r="K833" s="7" t="s">
        <v>1349</v>
      </c>
      <c r="L833" s="7" t="s">
        <v>1349</v>
      </c>
    </row>
    <row r="834" ht="16.5" spans="1:12">
      <c r="A834" s="12">
        <v>832</v>
      </c>
      <c r="B834" s="46" t="s">
        <v>39</v>
      </c>
      <c r="C834" s="46" t="str">
        <f>VLOOKUP(F834,[4]在职!$A:$E,5,0)</f>
        <v>西南总部</v>
      </c>
      <c r="D834" s="46" t="str">
        <f>VLOOKUP(F834,[4]在职!$A:$G,7,0)</f>
        <v>营业二部</v>
      </c>
      <c r="E834" s="46" t="str">
        <f>VLOOKUP(F834,[4]在职!$A:$M,13,0)</f>
        <v>柏刚</v>
      </c>
      <c r="F834" s="7" t="s">
        <v>413</v>
      </c>
      <c r="G834" s="46" t="str">
        <f>VLOOKUP(F834,[4]在职!$A:$B,2,0)</f>
        <v>00522</v>
      </c>
      <c r="H834" s="46" t="str">
        <f>VLOOKUP(F834,[4]在职!$A:$I,9,0)</f>
        <v>一星正式经理</v>
      </c>
      <c r="I834" s="7" t="s">
        <v>915</v>
      </c>
      <c r="J834" s="6">
        <v>46078</v>
      </c>
      <c r="K834" s="7" t="s">
        <v>1349</v>
      </c>
      <c r="L834" s="7" t="s">
        <v>1349</v>
      </c>
    </row>
    <row r="835" ht="16.5" spans="1:12">
      <c r="A835" s="12">
        <v>833</v>
      </c>
      <c r="B835" s="46" t="s">
        <v>39</v>
      </c>
      <c r="C835" s="46" t="str">
        <f>VLOOKUP(F835,[4]在职!$A:$E,5,0)</f>
        <v>西南总部</v>
      </c>
      <c r="D835" s="46" t="str">
        <f>VLOOKUP(F835,[4]在职!$A:$G,7,0)</f>
        <v>营业二部</v>
      </c>
      <c r="E835" s="46" t="str">
        <f>VLOOKUP(F835,[4]在职!$A:$M,13,0)</f>
        <v>欧松林</v>
      </c>
      <c r="F835" s="7" t="s">
        <v>82</v>
      </c>
      <c r="G835" s="46" t="str">
        <f>VLOOKUP(F835,[4]在职!$A:$B,2,0)</f>
        <v>00060</v>
      </c>
      <c r="H835" s="46" t="str">
        <f>VLOOKUP(F835,[4]在职!$A:$I,9,0)</f>
        <v>部长</v>
      </c>
      <c r="I835" s="7" t="s">
        <v>915</v>
      </c>
      <c r="J835" s="6">
        <v>46078</v>
      </c>
      <c r="K835" s="7" t="s">
        <v>1349</v>
      </c>
      <c r="L835" s="7" t="s">
        <v>1349</v>
      </c>
    </row>
    <row r="836" ht="16.5" spans="1:12">
      <c r="A836" s="12">
        <v>834</v>
      </c>
      <c r="B836" s="46" t="s">
        <v>39</v>
      </c>
      <c r="C836" s="46" t="str">
        <f>VLOOKUP(F836,[4]在职!$A:$E,5,0)</f>
        <v>西南总部</v>
      </c>
      <c r="D836" s="46" t="str">
        <f>VLOOKUP(F836,[4]在职!$A:$G,7,0)</f>
        <v>营业六部</v>
      </c>
      <c r="E836" s="46" t="str">
        <f>VLOOKUP(F836,[4]在职!$A:$M,13,0)</f>
        <v>欧松林</v>
      </c>
      <c r="F836" s="7" t="s">
        <v>322</v>
      </c>
      <c r="G836" s="46" t="str">
        <f>VLOOKUP(F836,[4]在职!$A:$B,2,0)</f>
        <v>00087</v>
      </c>
      <c r="H836" s="46" t="str">
        <f>VLOOKUP(F836,[4]在职!$A:$I,9,0)</f>
        <v>部长</v>
      </c>
      <c r="I836" s="7" t="s">
        <v>915</v>
      </c>
      <c r="J836" s="6">
        <v>46077</v>
      </c>
      <c r="K836" s="7" t="s">
        <v>1349</v>
      </c>
      <c r="L836" s="7" t="s">
        <v>1349</v>
      </c>
    </row>
    <row r="837" ht="16.5" spans="1:12">
      <c r="A837" s="12">
        <v>835</v>
      </c>
      <c r="B837" s="46" t="s">
        <v>39</v>
      </c>
      <c r="C837" s="46" t="str">
        <f>VLOOKUP(F837,[4]在职!$A:$E,5,0)</f>
        <v>西南总部</v>
      </c>
      <c r="D837" s="46" t="str">
        <f>VLOOKUP(F837,[4]在职!$A:$G,7,0)</f>
        <v>营业六部</v>
      </c>
      <c r="E837" s="46" t="str">
        <f>VLOOKUP(F837,[4]在职!$A:$M,13,0)</f>
        <v>欧松林</v>
      </c>
      <c r="F837" s="7" t="s">
        <v>322</v>
      </c>
      <c r="G837" s="46" t="str">
        <f>VLOOKUP(F837,[4]在职!$A:$B,2,0)</f>
        <v>00087</v>
      </c>
      <c r="H837" s="46" t="str">
        <f>VLOOKUP(F837,[4]在职!$A:$I,9,0)</f>
        <v>部长</v>
      </c>
      <c r="I837" s="7" t="s">
        <v>915</v>
      </c>
      <c r="J837" s="6">
        <v>46078</v>
      </c>
      <c r="K837" s="7" t="s">
        <v>1349</v>
      </c>
      <c r="L837" s="7" t="s">
        <v>1349</v>
      </c>
    </row>
    <row r="838" ht="16.5" spans="1:12">
      <c r="A838" s="12">
        <v>836</v>
      </c>
      <c r="B838" s="46" t="s">
        <v>39</v>
      </c>
      <c r="C838" s="46" t="str">
        <f>VLOOKUP(F838,[4]在职!$A:$E,5,0)</f>
        <v>西南总部</v>
      </c>
      <c r="D838" s="46" t="str">
        <f>VLOOKUP(F838,[4]在职!$A:$G,7,0)</f>
        <v>营业七部</v>
      </c>
      <c r="E838" s="46" t="str">
        <f>VLOOKUP(F838,[4]在职!$A:$M,13,0)</f>
        <v>欧松林</v>
      </c>
      <c r="F838" s="7" t="s">
        <v>407</v>
      </c>
      <c r="G838" s="46" t="str">
        <f>VLOOKUP(F838,[4]在职!$A:$B,2,0)</f>
        <v>00345</v>
      </c>
      <c r="H838" s="46" t="str">
        <f>VLOOKUP(F838,[4]在职!$A:$I,9,0)</f>
        <v>部长</v>
      </c>
      <c r="I838" s="7" t="s">
        <v>915</v>
      </c>
      <c r="J838" s="6">
        <v>46077</v>
      </c>
      <c r="K838" s="7" t="s">
        <v>1349</v>
      </c>
      <c r="L838" s="7" t="s">
        <v>1349</v>
      </c>
    </row>
    <row r="839" ht="16.5" spans="1:12">
      <c r="A839" s="12">
        <v>837</v>
      </c>
      <c r="B839" s="46" t="s">
        <v>39</v>
      </c>
      <c r="C839" s="46" t="str">
        <f>VLOOKUP(F839,[4]在职!$A:$E,5,0)</f>
        <v>西南总部</v>
      </c>
      <c r="D839" s="46" t="str">
        <f>VLOOKUP(F839,[4]在职!$A:$G,7,0)</f>
        <v>营业七部</v>
      </c>
      <c r="E839" s="46" t="str">
        <f>VLOOKUP(F839,[4]在职!$A:$M,13,0)</f>
        <v>欧松林</v>
      </c>
      <c r="F839" s="7" t="s">
        <v>407</v>
      </c>
      <c r="G839" s="46" t="str">
        <f>VLOOKUP(F839,[4]在职!$A:$B,2,0)</f>
        <v>00345</v>
      </c>
      <c r="H839" s="46" t="str">
        <f>VLOOKUP(F839,[4]在职!$A:$I,9,0)</f>
        <v>部长</v>
      </c>
      <c r="I839" s="7" t="s">
        <v>915</v>
      </c>
      <c r="J839" s="6">
        <v>46078</v>
      </c>
      <c r="K839" s="7" t="s">
        <v>1349</v>
      </c>
      <c r="L839" s="7" t="s">
        <v>1349</v>
      </c>
    </row>
    <row r="840" ht="16.5" spans="1:12">
      <c r="A840" s="12">
        <v>838</v>
      </c>
      <c r="B840" s="46" t="s">
        <v>39</v>
      </c>
      <c r="C840" s="46" t="str">
        <f>VLOOKUP(F840,[4]在职!$A:$E,5,0)</f>
        <v>西南总部</v>
      </c>
      <c r="D840" s="46" t="str">
        <f>VLOOKUP(F840,[4]在职!$A:$G,7,0)</f>
        <v>营业三部</v>
      </c>
      <c r="E840" s="46" t="str">
        <f>VLOOKUP(F840,[4]在职!$A:$M,13,0)</f>
        <v>周吉双</v>
      </c>
      <c r="F840" s="7" t="s">
        <v>376</v>
      </c>
      <c r="G840" s="46" t="str">
        <f>VLOOKUP(F840,[4]在职!$A:$B,2,0)</f>
        <v>00204</v>
      </c>
      <c r="H840" s="46" t="str">
        <f>VLOOKUP(F840,[4]在职!$A:$I,9,0)</f>
        <v>二星正式经理</v>
      </c>
      <c r="I840" s="7" t="s">
        <v>915</v>
      </c>
      <c r="J840" s="6">
        <v>46077</v>
      </c>
      <c r="K840" s="7" t="s">
        <v>1349</v>
      </c>
      <c r="L840" s="7" t="s">
        <v>1349</v>
      </c>
    </row>
    <row r="841" ht="16.5" spans="1:12">
      <c r="A841" s="12">
        <v>839</v>
      </c>
      <c r="B841" s="46" t="s">
        <v>39</v>
      </c>
      <c r="C841" s="46" t="str">
        <f>VLOOKUP(F841,[4]在职!$A:$E,5,0)</f>
        <v>西南总部</v>
      </c>
      <c r="D841" s="46" t="str">
        <f>VLOOKUP(F841,[4]在职!$A:$G,7,0)</f>
        <v>营业三部</v>
      </c>
      <c r="E841" s="46" t="str">
        <f>VLOOKUP(F841,[4]在职!$A:$M,13,0)</f>
        <v>姚瑶</v>
      </c>
      <c r="F841" s="7" t="s">
        <v>1111</v>
      </c>
      <c r="G841" s="46" t="str">
        <f>VLOOKUP(F841,[4]在职!$A:$B,2,0)</f>
        <v>00036</v>
      </c>
      <c r="H841" s="46" t="str">
        <f>VLOOKUP(F841,[4]在职!$A:$I,9,0)</f>
        <v>督导</v>
      </c>
      <c r="I841" s="7" t="s">
        <v>915</v>
      </c>
      <c r="J841" s="6">
        <v>46077</v>
      </c>
      <c r="K841" s="7" t="s">
        <v>1349</v>
      </c>
      <c r="L841" s="7" t="s">
        <v>1349</v>
      </c>
    </row>
    <row r="842" ht="16.5" spans="1:12">
      <c r="A842" s="12">
        <v>840</v>
      </c>
      <c r="B842" s="46" t="s">
        <v>39</v>
      </c>
      <c r="C842" s="46" t="str">
        <f>VLOOKUP(F842,[4]在职!$A:$E,5,0)</f>
        <v>西南总部</v>
      </c>
      <c r="D842" s="46" t="str">
        <f>VLOOKUP(F842,[4]在职!$A:$G,7,0)</f>
        <v>营业三部</v>
      </c>
      <c r="E842" s="46" t="str">
        <f>VLOOKUP(F842,[4]在职!$A:$M,13,0)</f>
        <v>周吉双</v>
      </c>
      <c r="F842" s="7" t="s">
        <v>376</v>
      </c>
      <c r="G842" s="46" t="str">
        <f>VLOOKUP(F842,[4]在职!$A:$B,2,0)</f>
        <v>00204</v>
      </c>
      <c r="H842" s="46" t="str">
        <f>VLOOKUP(F842,[4]在职!$A:$I,9,0)</f>
        <v>二星正式经理</v>
      </c>
      <c r="I842" s="7" t="s">
        <v>915</v>
      </c>
      <c r="J842" s="6">
        <v>46078</v>
      </c>
      <c r="K842" s="7" t="s">
        <v>1349</v>
      </c>
      <c r="L842" s="7" t="s">
        <v>1349</v>
      </c>
    </row>
    <row r="843" ht="16.5" spans="1:12">
      <c r="A843" s="12">
        <v>841</v>
      </c>
      <c r="B843" s="46" t="s">
        <v>39</v>
      </c>
      <c r="C843" s="46" t="str">
        <f>VLOOKUP(F843,[4]在职!$A:$E,5,0)</f>
        <v>西南总部</v>
      </c>
      <c r="D843" s="46" t="str">
        <f>VLOOKUP(F843,[4]在职!$A:$G,7,0)</f>
        <v>营业三部</v>
      </c>
      <c r="E843" s="46" t="str">
        <f>VLOOKUP(F843,[4]在职!$A:$M,13,0)</f>
        <v>姚瑶</v>
      </c>
      <c r="F843" s="7" t="s">
        <v>1111</v>
      </c>
      <c r="G843" s="46" t="str">
        <f>VLOOKUP(F843,[4]在职!$A:$B,2,0)</f>
        <v>00036</v>
      </c>
      <c r="H843" s="46" t="str">
        <f>VLOOKUP(F843,[4]在职!$A:$I,9,0)</f>
        <v>督导</v>
      </c>
      <c r="I843" s="7" t="s">
        <v>915</v>
      </c>
      <c r="J843" s="6">
        <v>46078</v>
      </c>
      <c r="K843" s="7" t="s">
        <v>1349</v>
      </c>
      <c r="L843" s="7" t="s">
        <v>1349</v>
      </c>
    </row>
    <row r="844" ht="16.5" spans="1:12">
      <c r="A844" s="12">
        <v>842</v>
      </c>
      <c r="B844" s="46" t="s">
        <v>39</v>
      </c>
      <c r="C844" s="46" t="str">
        <f>VLOOKUP(F844,[4]在职!$A:$E,5,0)</f>
        <v>西南总部</v>
      </c>
      <c r="D844" s="46" t="str">
        <f>VLOOKUP(F844,[4]在职!$A:$G,7,0)</f>
        <v>营业四部</v>
      </c>
      <c r="E844" s="46" t="str">
        <f>VLOOKUP(F844,[4]在职!$A:$M,13,0)</f>
        <v>欧松林</v>
      </c>
      <c r="F844" s="7" t="s">
        <v>155</v>
      </c>
      <c r="G844" s="46" t="str">
        <f>VLOOKUP(F844,[4]在职!$A:$B,2,0)</f>
        <v>00117</v>
      </c>
      <c r="H844" s="46" t="str">
        <f>VLOOKUP(F844,[4]在职!$A:$I,9,0)</f>
        <v>部长</v>
      </c>
      <c r="I844" s="7" t="s">
        <v>915</v>
      </c>
      <c r="J844" s="6">
        <v>46077</v>
      </c>
      <c r="K844" s="7" t="s">
        <v>1349</v>
      </c>
      <c r="L844" s="7" t="s">
        <v>1349</v>
      </c>
    </row>
    <row r="845" ht="16.5" spans="1:12">
      <c r="A845" s="12">
        <v>843</v>
      </c>
      <c r="B845" s="46" t="s">
        <v>39</v>
      </c>
      <c r="C845" s="46" t="str">
        <f>VLOOKUP(F845,[4]在职!$A:$E,5,0)</f>
        <v>西南总部</v>
      </c>
      <c r="D845" s="46" t="str">
        <f>VLOOKUP(F845,[4]在职!$A:$G,7,0)</f>
        <v>营业四部</v>
      </c>
      <c r="E845" s="46" t="str">
        <f>VLOOKUP(F845,[4]在职!$A:$M,13,0)</f>
        <v>欧松林</v>
      </c>
      <c r="F845" s="7" t="s">
        <v>155</v>
      </c>
      <c r="G845" s="46" t="str">
        <f>VLOOKUP(F845,[4]在职!$A:$B,2,0)</f>
        <v>00117</v>
      </c>
      <c r="H845" s="46" t="str">
        <f>VLOOKUP(F845,[4]在职!$A:$I,9,0)</f>
        <v>部长</v>
      </c>
      <c r="I845" s="7" t="s">
        <v>915</v>
      </c>
      <c r="J845" s="6">
        <v>46078</v>
      </c>
      <c r="K845" s="7" t="s">
        <v>1349</v>
      </c>
      <c r="L845" s="7" t="s">
        <v>1349</v>
      </c>
    </row>
    <row r="846" ht="16.5" spans="1:12">
      <c r="A846" s="12">
        <v>844</v>
      </c>
      <c r="B846" s="46" t="s">
        <v>39</v>
      </c>
      <c r="C846" s="46" t="str">
        <f>VLOOKUP(F846,[4]在职!$A:$E,5,0)</f>
        <v>西南总部</v>
      </c>
      <c r="D846" s="46" t="str">
        <f>VLOOKUP(F846,[4]在职!$A:$G,7,0)</f>
        <v>营业五部</v>
      </c>
      <c r="E846" s="46" t="str">
        <f>VLOOKUP(F846,[4]在职!$A:$M,13,0)</f>
        <v>叶鑫</v>
      </c>
      <c r="F846" s="7" t="s">
        <v>602</v>
      </c>
      <c r="G846" s="46" t="str">
        <f>VLOOKUP(F846,[4]在职!$A:$B,2,0)</f>
        <v>00012</v>
      </c>
      <c r="H846" s="46" t="str">
        <f>VLOOKUP(F846,[4]在职!$A:$I,9,0)</f>
        <v>二星正式经理</v>
      </c>
      <c r="I846" s="7" t="s">
        <v>915</v>
      </c>
      <c r="J846" s="6">
        <v>46077</v>
      </c>
      <c r="K846" s="7" t="s">
        <v>1349</v>
      </c>
      <c r="L846" s="7" t="s">
        <v>1349</v>
      </c>
    </row>
    <row r="847" ht="16.5" spans="1:12">
      <c r="A847" s="12">
        <v>845</v>
      </c>
      <c r="B847" s="46" t="s">
        <v>39</v>
      </c>
      <c r="C847" s="46" t="str">
        <f>VLOOKUP(F847,[4]在职!$A:$E,5,0)</f>
        <v>西南总部</v>
      </c>
      <c r="D847" s="46" t="str">
        <f>VLOOKUP(F847,[4]在职!$A:$G,7,0)</f>
        <v>营业五部</v>
      </c>
      <c r="E847" s="46" t="str">
        <f>VLOOKUP(F847,[4]在职!$A:$M,13,0)</f>
        <v>欧松林</v>
      </c>
      <c r="F847" s="7" t="s">
        <v>129</v>
      </c>
      <c r="G847" s="46" t="str">
        <f>VLOOKUP(F847,[4]在职!$A:$B,2,0)</f>
        <v>00472</v>
      </c>
      <c r="H847" s="46" t="str">
        <f>VLOOKUP(F847,[4]在职!$A:$I,9,0)</f>
        <v>部长</v>
      </c>
      <c r="I847" s="7" t="s">
        <v>915</v>
      </c>
      <c r="J847" s="6">
        <v>46077</v>
      </c>
      <c r="K847" s="7" t="s">
        <v>1349</v>
      </c>
      <c r="L847" s="7" t="s">
        <v>1349</v>
      </c>
    </row>
    <row r="848" ht="16.5" spans="1:12">
      <c r="A848" s="12">
        <v>846</v>
      </c>
      <c r="B848" s="46" t="s">
        <v>39</v>
      </c>
      <c r="C848" s="46" t="str">
        <f>VLOOKUP(F848,[4]在职!$A:$E,5,0)</f>
        <v>西南总部</v>
      </c>
      <c r="D848" s="46" t="str">
        <f>VLOOKUP(F848,[4]在职!$A:$G,7,0)</f>
        <v>营业五部</v>
      </c>
      <c r="E848" s="46" t="str">
        <f>VLOOKUP(F848,[4]在职!$A:$M,13,0)</f>
        <v>叶鑫</v>
      </c>
      <c r="F848" s="7" t="s">
        <v>602</v>
      </c>
      <c r="G848" s="46" t="str">
        <f>VLOOKUP(F848,[4]在职!$A:$B,2,0)</f>
        <v>00012</v>
      </c>
      <c r="H848" s="46" t="str">
        <f>VLOOKUP(F848,[4]在职!$A:$I,9,0)</f>
        <v>二星正式经理</v>
      </c>
      <c r="I848" s="7" t="s">
        <v>915</v>
      </c>
      <c r="J848" s="6">
        <v>46078</v>
      </c>
      <c r="K848" s="7" t="s">
        <v>1349</v>
      </c>
      <c r="L848" s="7" t="s">
        <v>1349</v>
      </c>
    </row>
    <row r="849" ht="16.5" spans="1:12">
      <c r="A849" s="12">
        <v>847</v>
      </c>
      <c r="B849" s="46" t="s">
        <v>39</v>
      </c>
      <c r="C849" s="46" t="str">
        <f>VLOOKUP(F849,[4]在职!$A:$E,5,0)</f>
        <v>西南总部</v>
      </c>
      <c r="D849" s="46" t="str">
        <f>VLOOKUP(F849,[4]在职!$A:$G,7,0)</f>
        <v>营业五部</v>
      </c>
      <c r="E849" s="46" t="str">
        <f>VLOOKUP(F849,[4]在职!$A:$M,13,0)</f>
        <v>欧松林</v>
      </c>
      <c r="F849" s="7" t="s">
        <v>129</v>
      </c>
      <c r="G849" s="46" t="str">
        <f>VLOOKUP(F849,[4]在职!$A:$B,2,0)</f>
        <v>00472</v>
      </c>
      <c r="H849" s="46" t="str">
        <f>VLOOKUP(F849,[4]在职!$A:$I,9,0)</f>
        <v>部长</v>
      </c>
      <c r="I849" s="7" t="s">
        <v>915</v>
      </c>
      <c r="J849" s="6">
        <v>46078</v>
      </c>
      <c r="K849" s="7" t="s">
        <v>1349</v>
      </c>
      <c r="L849" s="7" t="s">
        <v>1349</v>
      </c>
    </row>
    <row r="850" ht="16.5" spans="1:12">
      <c r="A850" s="12">
        <v>848</v>
      </c>
      <c r="B850" s="46" t="s">
        <v>39</v>
      </c>
      <c r="C850" s="46" t="str">
        <f>VLOOKUP(F850,[4]在职!$A:$E,5,0)</f>
        <v>西南总部</v>
      </c>
      <c r="D850" s="46" t="str">
        <f>VLOOKUP(F850,[4]在职!$A:$G,7,0)</f>
        <v>营业一部</v>
      </c>
      <c r="E850" s="46" t="str">
        <f>VLOOKUP(F850,[4]在职!$A:$M,13,0)</f>
        <v>欧松林</v>
      </c>
      <c r="F850" s="7" t="s">
        <v>427</v>
      </c>
      <c r="G850" s="46" t="str">
        <f>VLOOKUP(F850,[4]在职!$A:$B,2,0)</f>
        <v>00011</v>
      </c>
      <c r="H850" s="46" t="str">
        <f>VLOOKUP(F850,[4]在职!$A:$I,9,0)</f>
        <v>部长</v>
      </c>
      <c r="I850" s="7" t="s">
        <v>915</v>
      </c>
      <c r="J850" s="6">
        <v>46077</v>
      </c>
      <c r="K850" s="7" t="s">
        <v>1349</v>
      </c>
      <c r="L850" s="7" t="s">
        <v>1349</v>
      </c>
    </row>
    <row r="851" ht="16.5" spans="1:12">
      <c r="A851" s="12">
        <v>849</v>
      </c>
      <c r="B851" s="46" t="s">
        <v>39</v>
      </c>
      <c r="C851" s="46" t="str">
        <f>VLOOKUP(F851,[4]在职!$A:$E,5,0)</f>
        <v>西南总部</v>
      </c>
      <c r="D851" s="46" t="str">
        <f>VLOOKUP(F851,[4]在职!$A:$G,7,0)</f>
        <v>营业一部</v>
      </c>
      <c r="E851" s="46" t="str">
        <f>VLOOKUP(F851,[4]在职!$A:$M,13,0)</f>
        <v>欧松林</v>
      </c>
      <c r="F851" s="7" t="s">
        <v>427</v>
      </c>
      <c r="G851" s="46" t="str">
        <f>VLOOKUP(F851,[4]在职!$A:$B,2,0)</f>
        <v>00011</v>
      </c>
      <c r="H851" s="46" t="str">
        <f>VLOOKUP(F851,[4]在职!$A:$I,9,0)</f>
        <v>部长</v>
      </c>
      <c r="I851" s="7" t="s">
        <v>915</v>
      </c>
      <c r="J851" s="6">
        <v>46078</v>
      </c>
      <c r="K851" s="7" t="s">
        <v>1349</v>
      </c>
      <c r="L851" s="7" t="s">
        <v>1349</v>
      </c>
    </row>
    <row r="852" ht="16.5" spans="1:12">
      <c r="A852" s="12">
        <v>850</v>
      </c>
      <c r="B852" s="46" t="s">
        <v>39</v>
      </c>
      <c r="C852" s="46" t="str">
        <f>VLOOKUP(F852,[4]在职!$A:$E,5,0)</f>
        <v>集团职能</v>
      </c>
      <c r="D852" s="46" t="str">
        <f>VLOOKUP(F852,[4]在职!$A:$G,7,0)</f>
        <v>总经办</v>
      </c>
      <c r="E852" s="46" t="s">
        <v>1119</v>
      </c>
      <c r="F852" s="46" t="s">
        <v>1119</v>
      </c>
      <c r="G852" s="46" t="str">
        <f>VLOOKUP(F852,[4]在职!$A:$B,2,0)</f>
        <v>00001</v>
      </c>
      <c r="H852" s="46" t="str">
        <f>VLOOKUP(F852,[4]在职!$A:$I,9,0)</f>
        <v>总经理</v>
      </c>
      <c r="I852" s="7" t="s">
        <v>915</v>
      </c>
      <c r="J852" s="6">
        <v>46077</v>
      </c>
      <c r="K852" s="7" t="s">
        <v>1349</v>
      </c>
      <c r="L852" s="7" t="s">
        <v>1349</v>
      </c>
    </row>
    <row r="853" ht="16.5" spans="1:12">
      <c r="A853" s="12">
        <v>851</v>
      </c>
      <c r="B853" s="46" t="s">
        <v>39</v>
      </c>
      <c r="C853" s="46" t="str">
        <f>VLOOKUP(F853,[4]在职!$A:$E,5,0)</f>
        <v>集团职能</v>
      </c>
      <c r="D853" s="46" t="str">
        <f>VLOOKUP(F853,[4]在职!$A:$G,7,0)</f>
        <v>人资行政部</v>
      </c>
      <c r="E853" s="46" t="str">
        <f>VLOOKUP(F853,[4]在职!$A:$M,13,0)</f>
        <v>黄芳</v>
      </c>
      <c r="F853" s="7" t="s">
        <v>1355</v>
      </c>
      <c r="G853" s="46" t="str">
        <f>VLOOKUP(F853,[4]在职!$A:$B,2,0)</f>
        <v>01918</v>
      </c>
      <c r="H853" s="46" t="str">
        <f>VLOOKUP(F853,[4]在职!$A:$I,9,0)</f>
        <v>人资行政经理</v>
      </c>
      <c r="I853" s="7" t="s">
        <v>915</v>
      </c>
      <c r="J853" s="6">
        <v>46077</v>
      </c>
      <c r="K853" s="7" t="s">
        <v>1349</v>
      </c>
      <c r="L853" s="7" t="s">
        <v>1349</v>
      </c>
    </row>
    <row r="854" ht="16.5" spans="1:12">
      <c r="A854" s="12">
        <v>852</v>
      </c>
      <c r="B854" s="46" t="s">
        <v>39</v>
      </c>
      <c r="C854" s="46" t="str">
        <f>VLOOKUP(F854,[4]在职!$A:$E,5,0)</f>
        <v>集团职能</v>
      </c>
      <c r="D854" s="46" t="s">
        <v>1606</v>
      </c>
      <c r="E854" s="46" t="str">
        <f>VLOOKUP(F854,[4]在职!$A:$M,13,0)</f>
        <v>刘盼</v>
      </c>
      <c r="F854" s="7" t="s">
        <v>1360</v>
      </c>
      <c r="G854" s="46" t="str">
        <f>VLOOKUP(F854,[4]在职!$A:$B,2,0)</f>
        <v>00456</v>
      </c>
      <c r="H854" s="46" t="str">
        <f>VLOOKUP(F854,[4]在职!$A:$I,9,0)</f>
        <v>运营经理</v>
      </c>
      <c r="I854" s="7" t="s">
        <v>915</v>
      </c>
      <c r="J854" s="6">
        <v>46077</v>
      </c>
      <c r="K854" s="7" t="s">
        <v>1349</v>
      </c>
      <c r="L854" s="7" t="s">
        <v>1349</v>
      </c>
    </row>
    <row r="855" ht="16.5" spans="1:12">
      <c r="A855" s="12">
        <v>853</v>
      </c>
      <c r="B855" s="46" t="s">
        <v>39</v>
      </c>
      <c r="C855" s="46" t="str">
        <f>VLOOKUP(F855,[4]在职!$A:$E,5,0)</f>
        <v>集团职能</v>
      </c>
      <c r="D855" s="46" t="str">
        <f>VLOOKUP(F855,[4]在职!$A:$G,7,0)</f>
        <v>技术部</v>
      </c>
      <c r="E855" s="46" t="str">
        <f>VLOOKUP(F855,[4]在职!$A:$M,13,0)</f>
        <v>黄芳</v>
      </c>
      <c r="F855" s="7" t="s">
        <v>1362</v>
      </c>
      <c r="G855" s="46" t="str">
        <f>VLOOKUP(F855,[4]在职!$A:$B,2,0)</f>
        <v>00120</v>
      </c>
      <c r="H855" s="46" t="str">
        <f>VLOOKUP(F855,[4]在职!$A:$I,9,0)</f>
        <v>技术总监</v>
      </c>
      <c r="I855" s="7" t="s">
        <v>915</v>
      </c>
      <c r="J855" s="6">
        <v>46077</v>
      </c>
      <c r="K855" s="7" t="s">
        <v>1349</v>
      </c>
      <c r="L855" s="7" t="s">
        <v>1349</v>
      </c>
    </row>
    <row r="856" ht="16.5" spans="1:12">
      <c r="A856" s="12">
        <v>854</v>
      </c>
      <c r="B856" s="46" t="s">
        <v>39</v>
      </c>
      <c r="C856" s="46" t="str">
        <f>VLOOKUP(F856,[4]在职!$A:$E,5,0)</f>
        <v>集团职能</v>
      </c>
      <c r="D856" s="46" t="str">
        <f>VLOOKUP(F856,[4]在职!$A:$G,7,0)</f>
        <v>总经办</v>
      </c>
      <c r="E856" s="46" t="str">
        <f>VLOOKUP(F856,[4]在职!$A:$M,13,0)</f>
        <v>黄芳</v>
      </c>
      <c r="F856" s="7" t="s">
        <v>1363</v>
      </c>
      <c r="G856" s="46" t="str">
        <f>VLOOKUP(F856,[4]在职!$A:$B,2,0)</f>
        <v>00003</v>
      </c>
      <c r="H856" s="46" t="str">
        <f>VLOOKUP(F856,[4]在职!$A:$I,9,0)</f>
        <v>风控总监</v>
      </c>
      <c r="I856" s="7" t="s">
        <v>915</v>
      </c>
      <c r="J856" s="6">
        <v>46077</v>
      </c>
      <c r="K856" s="7" t="s">
        <v>1349</v>
      </c>
      <c r="L856" s="7" t="s">
        <v>1349</v>
      </c>
    </row>
    <row r="857" ht="16.5" spans="1:12">
      <c r="A857" s="12">
        <v>855</v>
      </c>
      <c r="B857" s="46" t="s">
        <v>39</v>
      </c>
      <c r="C857" s="46" t="str">
        <f>VLOOKUP(F857,[4]在职!$A:$E,5,0)</f>
        <v>集团职能</v>
      </c>
      <c r="D857" s="46" t="str">
        <f>VLOOKUP(F857,[4]在职!$A:$G,7,0)</f>
        <v>业绩增长部</v>
      </c>
      <c r="E857" s="46" t="str">
        <f>VLOOKUP(F857,[4]在职!$A:$M,13,0)</f>
        <v>黄芳</v>
      </c>
      <c r="F857" s="7" t="s">
        <v>903</v>
      </c>
      <c r="G857" s="46" t="str">
        <f>VLOOKUP(F857,[4]在职!$A:$B,2,0)</f>
        <v>00585</v>
      </c>
      <c r="H857" s="46" t="str">
        <f>VLOOKUP(F857,[4]在职!$A:$I,9,0)</f>
        <v>业绩增长部经理</v>
      </c>
      <c r="I857" s="7" t="s">
        <v>915</v>
      </c>
      <c r="J857" s="6">
        <v>46077</v>
      </c>
      <c r="K857" s="7" t="s">
        <v>1349</v>
      </c>
      <c r="L857" s="7" t="s">
        <v>1349</v>
      </c>
    </row>
    <row r="858" ht="16.5" spans="1:12">
      <c r="A858" s="12">
        <v>856</v>
      </c>
      <c r="B858" s="46" t="s">
        <v>39</v>
      </c>
      <c r="C858" s="46" t="str">
        <f>VLOOKUP(F858,[4]在职!$A:$E,5,0)</f>
        <v>集团职能</v>
      </c>
      <c r="D858" s="46" t="s">
        <v>1606</v>
      </c>
      <c r="E858" s="46" t="str">
        <f>VLOOKUP(F858,[4]在职!$A:$M,13,0)</f>
        <v>欧松林</v>
      </c>
      <c r="F858" s="7" t="s">
        <v>1371</v>
      </c>
      <c r="G858" s="46" t="str">
        <f>VLOOKUP(F858,[4]在职!$A:$B,2,0)</f>
        <v>00828</v>
      </c>
      <c r="H858" s="46" t="str">
        <f>VLOOKUP(F858,[4]在职!$A:$I,9,0)</f>
        <v>教培主管</v>
      </c>
      <c r="I858" s="7" t="s">
        <v>915</v>
      </c>
      <c r="J858" s="6">
        <v>46077</v>
      </c>
      <c r="K858" s="7" t="s">
        <v>1349</v>
      </c>
      <c r="L858" s="7" t="s">
        <v>1349</v>
      </c>
    </row>
    <row r="859" ht="16.5" spans="1:12">
      <c r="A859" s="12">
        <v>857</v>
      </c>
      <c r="B859" s="46" t="s">
        <v>39</v>
      </c>
      <c r="C859" s="46" t="str">
        <f>VLOOKUP(F859,[4]在职!$A:$E,5,0)</f>
        <v>集团职能</v>
      </c>
      <c r="D859" s="46" t="str">
        <f>VLOOKUP(F859,[4]在职!$A:$G,7,0)</f>
        <v>业绩增长部</v>
      </c>
      <c r="E859" s="46" t="str">
        <f>VLOOKUP(F859,[4]在职!$A:$M,13,0)</f>
        <v>梁霞</v>
      </c>
      <c r="F859" s="7" t="s">
        <v>1375</v>
      </c>
      <c r="G859" s="46" t="str">
        <f>VLOOKUP(F859,[4]在职!$A:$B,2,0)</f>
        <v>00380</v>
      </c>
      <c r="H859" s="46" t="str">
        <f>VLOOKUP(F859,[4]在职!$A:$I,9,0)</f>
        <v>拓展BP组长</v>
      </c>
      <c r="I859" s="7" t="s">
        <v>915</v>
      </c>
      <c r="J859" s="6">
        <v>46077</v>
      </c>
      <c r="K859" s="7" t="s">
        <v>1349</v>
      </c>
      <c r="L859" s="7" t="s">
        <v>1349</v>
      </c>
    </row>
    <row r="860" ht="16.5" spans="1:12">
      <c r="A860" s="12">
        <v>858</v>
      </c>
      <c r="B860" s="46" t="s">
        <v>39</v>
      </c>
      <c r="C860" s="46" t="str">
        <f>VLOOKUP(F860,[4]在职!$A:$E,5,0)</f>
        <v>集团职能</v>
      </c>
      <c r="D860" s="46" t="str">
        <f>VLOOKUP(F860,[4]在职!$A:$G,7,0)</f>
        <v>业绩增长部</v>
      </c>
      <c r="E860" s="46" t="str">
        <f>VLOOKUP(F860,[4]在职!$A:$M,13,0)</f>
        <v>梁霞</v>
      </c>
      <c r="F860" s="7" t="s">
        <v>1381</v>
      </c>
      <c r="G860" s="46" t="str">
        <f>VLOOKUP(F860,[4]在职!$A:$B,2,0)</f>
        <v>00068</v>
      </c>
      <c r="H860" s="46" t="str">
        <f>VLOOKUP(F860,[4]在职!$A:$I,9,0)</f>
        <v>拓展BP</v>
      </c>
      <c r="I860" s="7" t="s">
        <v>915</v>
      </c>
      <c r="J860" s="6">
        <v>46077</v>
      </c>
      <c r="K860" s="7" t="s">
        <v>1349</v>
      </c>
      <c r="L860" s="7" t="s">
        <v>1349</v>
      </c>
    </row>
    <row r="861" ht="16.5" spans="1:12">
      <c r="A861" s="12">
        <v>859</v>
      </c>
      <c r="B861" s="46" t="s">
        <v>39</v>
      </c>
      <c r="C861" s="46" t="str">
        <f>VLOOKUP(F861,[4]在职!$A:$E,5,0)</f>
        <v>集团职能</v>
      </c>
      <c r="D861" s="46" t="str">
        <f>VLOOKUP(F861,[4]在职!$A:$G,7,0)</f>
        <v>财务部</v>
      </c>
      <c r="E861" s="46" t="str">
        <f>VLOOKUP(F861,[4]在职!$A:$M,13,0)</f>
        <v>黄芳</v>
      </c>
      <c r="F861" s="7" t="s">
        <v>1382</v>
      </c>
      <c r="G861" s="46" t="str">
        <f>VLOOKUP(F861,[4]在职!$A:$B,2,0)</f>
        <v>00037</v>
      </c>
      <c r="H861" s="46" t="str">
        <f>VLOOKUP(F861,[4]在职!$A:$I,9,0)</f>
        <v>财务经理</v>
      </c>
      <c r="I861" s="7" t="s">
        <v>915</v>
      </c>
      <c r="J861" s="6">
        <v>46077</v>
      </c>
      <c r="K861" s="7" t="s">
        <v>1349</v>
      </c>
      <c r="L861" s="7" t="s">
        <v>1349</v>
      </c>
    </row>
    <row r="862" ht="16.5" spans="1:12">
      <c r="A862" s="12">
        <v>860</v>
      </c>
      <c r="B862" s="46" t="s">
        <v>39</v>
      </c>
      <c r="C862" s="46" t="str">
        <f>VLOOKUP(F862,[4]在职!$A:$E,5,0)</f>
        <v>集团职能</v>
      </c>
      <c r="D862" s="46" t="s">
        <v>1329</v>
      </c>
      <c r="E862" s="46" t="s">
        <v>1119</v>
      </c>
      <c r="F862" s="46" t="s">
        <v>1119</v>
      </c>
      <c r="G862" s="46" t="str">
        <f>VLOOKUP(F862,[4]在职!$A:$B,2,0)</f>
        <v>00001</v>
      </c>
      <c r="H862" s="46" t="str">
        <f>VLOOKUP(F862,[4]在职!$A:$I,9,0)</f>
        <v>总经理</v>
      </c>
      <c r="I862" s="7" t="s">
        <v>915</v>
      </c>
      <c r="J862" s="6">
        <v>46078</v>
      </c>
      <c r="K862" s="7" t="s">
        <v>1349</v>
      </c>
      <c r="L862" s="7" t="s">
        <v>1349</v>
      </c>
    </row>
    <row r="863" ht="16.5" spans="1:12">
      <c r="A863" s="12">
        <v>861</v>
      </c>
      <c r="B863" s="46" t="s">
        <v>39</v>
      </c>
      <c r="C863" s="46" t="str">
        <f>VLOOKUP(F863,[4]在职!$A:$E,5,0)</f>
        <v>集团职能</v>
      </c>
      <c r="D863" s="46" t="s">
        <v>1329</v>
      </c>
      <c r="E863" s="46" t="str">
        <f>VLOOKUP(F863,[4]在职!$A:$M,13,0)</f>
        <v>黄芳</v>
      </c>
      <c r="F863" s="7" t="s">
        <v>1355</v>
      </c>
      <c r="G863" s="46" t="str">
        <f>VLOOKUP(F863,[4]在职!$A:$B,2,0)</f>
        <v>01918</v>
      </c>
      <c r="H863" s="46" t="str">
        <f>VLOOKUP(F863,[4]在职!$A:$I,9,0)</f>
        <v>人资行政经理</v>
      </c>
      <c r="I863" s="7" t="s">
        <v>915</v>
      </c>
      <c r="J863" s="6">
        <v>46078</v>
      </c>
      <c r="K863" s="7" t="s">
        <v>1349</v>
      </c>
      <c r="L863" s="7" t="s">
        <v>1349</v>
      </c>
    </row>
    <row r="864" ht="16.5" spans="1:12">
      <c r="A864" s="12">
        <v>862</v>
      </c>
      <c r="B864" s="46" t="s">
        <v>39</v>
      </c>
      <c r="C864" s="46" t="str">
        <f>VLOOKUP(F864,[4]在职!$A:$E,5,0)</f>
        <v>集团职能</v>
      </c>
      <c r="D864" s="46" t="s">
        <v>1329</v>
      </c>
      <c r="E864" s="46" t="str">
        <f>VLOOKUP(F864,[4]在职!$A:$M,13,0)</f>
        <v>刘盼</v>
      </c>
      <c r="F864" s="7" t="s">
        <v>1360</v>
      </c>
      <c r="G864" s="46" t="str">
        <f>VLOOKUP(F864,[4]在职!$A:$B,2,0)</f>
        <v>00456</v>
      </c>
      <c r="H864" s="46" t="str">
        <f>VLOOKUP(F864,[4]在职!$A:$I,9,0)</f>
        <v>运营经理</v>
      </c>
      <c r="I864" s="7" t="s">
        <v>915</v>
      </c>
      <c r="J864" s="6">
        <v>46078</v>
      </c>
      <c r="K864" s="7" t="s">
        <v>1349</v>
      </c>
      <c r="L864" s="7" t="s">
        <v>1349</v>
      </c>
    </row>
    <row r="865" ht="16.5" spans="1:12">
      <c r="A865" s="12">
        <v>863</v>
      </c>
      <c r="B865" s="46" t="s">
        <v>39</v>
      </c>
      <c r="C865" s="46" t="str">
        <f>VLOOKUP(F865,[4]在职!$A:$E,5,0)</f>
        <v>集团职能</v>
      </c>
      <c r="D865" s="46" t="s">
        <v>1329</v>
      </c>
      <c r="E865" s="46" t="str">
        <f>VLOOKUP(F865,[4]在职!$A:$M,13,0)</f>
        <v>黄芳</v>
      </c>
      <c r="F865" s="7" t="s">
        <v>1362</v>
      </c>
      <c r="G865" s="46" t="str">
        <f>VLOOKUP(F865,[4]在职!$A:$B,2,0)</f>
        <v>00120</v>
      </c>
      <c r="H865" s="46" t="str">
        <f>VLOOKUP(F865,[4]在职!$A:$I,9,0)</f>
        <v>技术总监</v>
      </c>
      <c r="I865" s="7" t="s">
        <v>915</v>
      </c>
      <c r="J865" s="6">
        <v>46078</v>
      </c>
      <c r="K865" s="7" t="s">
        <v>1349</v>
      </c>
      <c r="L865" s="7" t="s">
        <v>1349</v>
      </c>
    </row>
    <row r="866" ht="16.5" spans="1:12">
      <c r="A866" s="12">
        <v>864</v>
      </c>
      <c r="B866" s="46" t="s">
        <v>39</v>
      </c>
      <c r="C866" s="46" t="str">
        <f>VLOOKUP(F866,[4]在职!$A:$E,5,0)</f>
        <v>集团职能</v>
      </c>
      <c r="D866" s="46" t="s">
        <v>1329</v>
      </c>
      <c r="E866" s="46" t="str">
        <f>VLOOKUP(F866,[4]在职!$A:$M,13,0)</f>
        <v>黄芳</v>
      </c>
      <c r="F866" s="7" t="s">
        <v>1363</v>
      </c>
      <c r="G866" s="46" t="str">
        <f>VLOOKUP(F866,[4]在职!$A:$B,2,0)</f>
        <v>00003</v>
      </c>
      <c r="H866" s="46" t="str">
        <f>VLOOKUP(F866,[4]在职!$A:$I,9,0)</f>
        <v>风控总监</v>
      </c>
      <c r="I866" s="7" t="s">
        <v>915</v>
      </c>
      <c r="J866" s="6">
        <v>46078</v>
      </c>
      <c r="K866" s="7" t="s">
        <v>1349</v>
      </c>
      <c r="L866" s="7" t="s">
        <v>1349</v>
      </c>
    </row>
    <row r="867" ht="16.5" spans="1:12">
      <c r="A867" s="12">
        <v>865</v>
      </c>
      <c r="B867" s="46" t="s">
        <v>39</v>
      </c>
      <c r="C867" s="46" t="str">
        <f>VLOOKUP(F867,[4]在职!$A:$E,5,0)</f>
        <v>集团职能</v>
      </c>
      <c r="D867" s="46" t="s">
        <v>1329</v>
      </c>
      <c r="E867" s="46" t="str">
        <f>VLOOKUP(F867,[4]在职!$A:$M,13,0)</f>
        <v>黄芳</v>
      </c>
      <c r="F867" s="7" t="s">
        <v>903</v>
      </c>
      <c r="G867" s="46" t="str">
        <f>VLOOKUP(F867,[4]在职!$A:$B,2,0)</f>
        <v>00585</v>
      </c>
      <c r="H867" s="46" t="str">
        <f>VLOOKUP(F867,[4]在职!$A:$I,9,0)</f>
        <v>业绩增长部经理</v>
      </c>
      <c r="I867" s="7" t="s">
        <v>915</v>
      </c>
      <c r="J867" s="6">
        <v>46078</v>
      </c>
      <c r="K867" s="7" t="s">
        <v>1349</v>
      </c>
      <c r="L867" s="7" t="s">
        <v>1349</v>
      </c>
    </row>
    <row r="868" ht="16.5" spans="1:12">
      <c r="A868" s="12">
        <v>866</v>
      </c>
      <c r="B868" s="46" t="s">
        <v>39</v>
      </c>
      <c r="C868" s="46" t="str">
        <f>VLOOKUP(F868,[4]在职!$A:$E,5,0)</f>
        <v>集团职能</v>
      </c>
      <c r="D868" s="46" t="s">
        <v>1329</v>
      </c>
      <c r="E868" s="46" t="str">
        <f>VLOOKUP(F868,[4]在职!$A:$M,13,0)</f>
        <v>欧松林</v>
      </c>
      <c r="F868" s="7" t="s">
        <v>1371</v>
      </c>
      <c r="G868" s="46" t="str">
        <f>VLOOKUP(F868,[4]在职!$A:$B,2,0)</f>
        <v>00828</v>
      </c>
      <c r="H868" s="46" t="str">
        <f>VLOOKUP(F868,[4]在职!$A:$I,9,0)</f>
        <v>教培主管</v>
      </c>
      <c r="I868" s="7" t="s">
        <v>915</v>
      </c>
      <c r="J868" s="6">
        <v>46078</v>
      </c>
      <c r="K868" s="7" t="s">
        <v>1349</v>
      </c>
      <c r="L868" s="7" t="s">
        <v>1349</v>
      </c>
    </row>
    <row r="869" ht="16.5" spans="1:12">
      <c r="A869" s="12">
        <v>867</v>
      </c>
      <c r="B869" s="46" t="s">
        <v>39</v>
      </c>
      <c r="C869" s="46" t="str">
        <f>VLOOKUP(F869,[4]在职!$A:$E,5,0)</f>
        <v>集团职能</v>
      </c>
      <c r="D869" s="46" t="s">
        <v>1329</v>
      </c>
      <c r="E869" s="46" t="str">
        <f>VLOOKUP(F869,[4]在职!$A:$M,13,0)</f>
        <v>梁霞</v>
      </c>
      <c r="F869" s="7" t="s">
        <v>1375</v>
      </c>
      <c r="G869" s="46" t="str">
        <f>VLOOKUP(F869,[4]在职!$A:$B,2,0)</f>
        <v>00380</v>
      </c>
      <c r="H869" s="46" t="str">
        <f>VLOOKUP(F869,[4]在职!$A:$I,9,0)</f>
        <v>拓展BP组长</v>
      </c>
      <c r="I869" s="7" t="s">
        <v>915</v>
      </c>
      <c r="J869" s="6">
        <v>46078</v>
      </c>
      <c r="K869" s="7" t="s">
        <v>1349</v>
      </c>
      <c r="L869" s="7" t="s">
        <v>1349</v>
      </c>
    </row>
    <row r="870" ht="16.5" spans="1:12">
      <c r="A870" s="12">
        <v>868</v>
      </c>
      <c r="B870" s="46" t="s">
        <v>39</v>
      </c>
      <c r="C870" s="46" t="str">
        <f>VLOOKUP(F870,[4]在职!$A:$E,5,0)</f>
        <v>集团职能</v>
      </c>
      <c r="D870" s="46" t="s">
        <v>1329</v>
      </c>
      <c r="E870" s="46" t="str">
        <f>VLOOKUP(F870,[4]在职!$A:$M,13,0)</f>
        <v>梁霞</v>
      </c>
      <c r="F870" s="7" t="s">
        <v>1381</v>
      </c>
      <c r="G870" s="46" t="str">
        <f>VLOOKUP(F870,[4]在职!$A:$B,2,0)</f>
        <v>00068</v>
      </c>
      <c r="H870" s="46" t="str">
        <f>VLOOKUP(F870,[4]在职!$A:$I,9,0)</f>
        <v>拓展BP</v>
      </c>
      <c r="I870" s="7" t="s">
        <v>915</v>
      </c>
      <c r="J870" s="6">
        <v>46078</v>
      </c>
      <c r="K870" s="7" t="s">
        <v>1349</v>
      </c>
      <c r="L870" s="7" t="s">
        <v>1349</v>
      </c>
    </row>
    <row r="871" ht="16.5" spans="1:12">
      <c r="A871" s="12">
        <v>869</v>
      </c>
      <c r="B871" s="46" t="s">
        <v>39</v>
      </c>
      <c r="C871" s="46" t="str">
        <f>VLOOKUP(F871,[4]在职!$A:$E,5,0)</f>
        <v>集团职能</v>
      </c>
      <c r="D871" s="46" t="s">
        <v>1329</v>
      </c>
      <c r="E871" s="46" t="str">
        <f>VLOOKUP(F871,[4]在职!$A:$M,13,0)</f>
        <v>黄芳</v>
      </c>
      <c r="F871" s="7" t="s">
        <v>1382</v>
      </c>
      <c r="G871" s="46" t="str">
        <f>VLOOKUP(F871,[4]在职!$A:$B,2,0)</f>
        <v>00037</v>
      </c>
      <c r="H871" s="46" t="str">
        <f>VLOOKUP(F871,[4]在职!$A:$I,9,0)</f>
        <v>财务经理</v>
      </c>
      <c r="I871" s="7" t="s">
        <v>915</v>
      </c>
      <c r="J871" s="6">
        <v>46078</v>
      </c>
      <c r="K871" s="7" t="s">
        <v>1349</v>
      </c>
      <c r="L871" s="7" t="s">
        <v>1349</v>
      </c>
    </row>
    <row r="872" ht="16.5" spans="1:12">
      <c r="A872" s="46">
        <v>870</v>
      </c>
      <c r="B872" s="46" t="s">
        <v>45</v>
      </c>
      <c r="C872" s="46" t="str">
        <f>VLOOKUP(F872,[4]在职!$A:$E,5,0)</f>
        <v>湖北</v>
      </c>
      <c r="D872" s="46" t="str">
        <f>VLOOKUP(F872,[4]在职!$A:$G,7,0)</f>
        <v>湖北2部</v>
      </c>
      <c r="E872" s="46" t="str">
        <f>VLOOKUP(F872,[4]在职!$A:$M,13,0)</f>
        <v>陈晓辉</v>
      </c>
      <c r="F872" s="46" t="s">
        <v>1390</v>
      </c>
      <c r="G872" s="46" t="str">
        <f>VLOOKUP(F872,[4]在职!$A:$B,2,0)</f>
        <v>01320</v>
      </c>
      <c r="H872" s="46" t="str">
        <f>VLOOKUP(F872,[4]在职!$A:$I,9,0)</f>
        <v>三星销售顾问</v>
      </c>
      <c r="I872" s="46" t="s">
        <v>915</v>
      </c>
      <c r="J872" s="83">
        <v>46085</v>
      </c>
      <c r="K872" s="46" t="s">
        <v>1387</v>
      </c>
      <c r="L872" s="46" t="s">
        <v>30</v>
      </c>
    </row>
    <row r="873" ht="16.5" spans="1:12">
      <c r="A873" s="46">
        <v>871</v>
      </c>
      <c r="B873" s="46" t="s">
        <v>45</v>
      </c>
      <c r="C873" s="46" t="str">
        <f>VLOOKUP(F873,[4]在职!$A:$E,5,0)</f>
        <v>西南总部</v>
      </c>
      <c r="D873" s="46" t="str">
        <f>VLOOKUP(F873,[4]在职!$A:$G,7,0)</f>
        <v>营业四部</v>
      </c>
      <c r="E873" s="46" t="str">
        <f>VLOOKUP(F873,[4]在职!$A:$M,13,0)</f>
        <v>刘亮</v>
      </c>
      <c r="F873" s="46" t="s">
        <v>1392</v>
      </c>
      <c r="G873" s="46" t="str">
        <f>VLOOKUP(F873,[4]在职!$A:$B,2,0)</f>
        <v>01105</v>
      </c>
      <c r="H873" s="46" t="str">
        <f>VLOOKUP(F873,[4]在职!$A:$I,9,0)</f>
        <v>B岗经理</v>
      </c>
      <c r="I873" s="46" t="s">
        <v>915</v>
      </c>
      <c r="J873" s="83">
        <v>46085</v>
      </c>
      <c r="K873" s="46" t="s">
        <v>1387</v>
      </c>
      <c r="L873" s="46" t="s">
        <v>30</v>
      </c>
    </row>
    <row r="874" ht="16.5" spans="1:12">
      <c r="A874" s="46">
        <v>872</v>
      </c>
      <c r="B874" s="46" t="s">
        <v>45</v>
      </c>
      <c r="C874" s="46" t="str">
        <f>VLOOKUP(F874,[4]在职!$A:$E,5,0)</f>
        <v>陕西</v>
      </c>
      <c r="D874" s="46" t="str">
        <f>VLOOKUP(F874,[4]在职!$A:$G,7,0)</f>
        <v>陕西1部</v>
      </c>
      <c r="E874" s="46" t="str">
        <f>VLOOKUP(F874,[4]在职!$A:$M,13,0)</f>
        <v>杨永梅</v>
      </c>
      <c r="F874" s="46" t="s">
        <v>1394</v>
      </c>
      <c r="G874" s="46" t="str">
        <f>VLOOKUP(F874,[4]在职!$A:$B,2,0)</f>
        <v>01158</v>
      </c>
      <c r="H874" s="46" t="str">
        <f>VLOOKUP(F874,[4]在职!$A:$I,9,0)</f>
        <v>三星销售顾问</v>
      </c>
      <c r="I874" s="46" t="s">
        <v>915</v>
      </c>
      <c r="J874" s="83">
        <v>46085</v>
      </c>
      <c r="K874" s="46" t="s">
        <v>1387</v>
      </c>
      <c r="L874" s="46" t="s">
        <v>30</v>
      </c>
    </row>
    <row r="875" ht="16.5" spans="1:12">
      <c r="A875" s="46">
        <v>873</v>
      </c>
      <c r="B875" s="46" t="s">
        <v>45</v>
      </c>
      <c r="C875" s="46" t="str">
        <f>VLOOKUP(F875,[4]在职!$A:$E,5,0)</f>
        <v>西南总部</v>
      </c>
      <c r="D875" s="46" t="str">
        <f>VLOOKUP(F875,[4]在职!$A:$G,7,0)</f>
        <v>营业五部</v>
      </c>
      <c r="E875" s="46" t="str">
        <f>VLOOKUP(F875,[4]在职!$A:$M,13,0)</f>
        <v>杨科</v>
      </c>
      <c r="F875" s="46" t="s">
        <v>1396</v>
      </c>
      <c r="G875" s="46" t="str">
        <f>VLOOKUP(F875,[4]在职!$A:$B,2,0)</f>
        <v>01351</v>
      </c>
      <c r="H875" s="46" t="str">
        <f>VLOOKUP(F875,[4]在职!$A:$I,9,0)</f>
        <v>B岗经理</v>
      </c>
      <c r="I875" s="46" t="s">
        <v>915</v>
      </c>
      <c r="J875" s="83">
        <v>46085</v>
      </c>
      <c r="K875" s="46" t="s">
        <v>1387</v>
      </c>
      <c r="L875" s="46" t="s">
        <v>30</v>
      </c>
    </row>
    <row r="876" ht="16.5" spans="1:12">
      <c r="A876" s="46">
        <v>874</v>
      </c>
      <c r="B876" s="46" t="s">
        <v>45</v>
      </c>
      <c r="C876" s="46" t="str">
        <f>VLOOKUP(F876,[4]在职!$A:$E,5,0)</f>
        <v>西南总部</v>
      </c>
      <c r="D876" s="46" t="str">
        <f>VLOOKUP(F876,[4]在职!$A:$G,7,0)</f>
        <v>营业二部</v>
      </c>
      <c r="E876" s="46" t="str">
        <f>VLOOKUP(F876,[4]在职!$A:$M,13,0)</f>
        <v>杨芊</v>
      </c>
      <c r="F876" s="46" t="s">
        <v>1398</v>
      </c>
      <c r="G876" s="46" t="str">
        <f>VLOOKUP(F876,[4]在职!$A:$B,2,0)</f>
        <v>00950</v>
      </c>
      <c r="H876" s="46" t="str">
        <f>VLOOKUP(F876,[4]在职!$A:$I,9,0)</f>
        <v>三星销售顾问</v>
      </c>
      <c r="I876" s="46" t="s">
        <v>915</v>
      </c>
      <c r="J876" s="83">
        <v>46085</v>
      </c>
      <c r="K876" s="46" t="s">
        <v>1387</v>
      </c>
      <c r="L876" s="46" t="s">
        <v>30</v>
      </c>
    </row>
    <row r="877" ht="16.5" spans="1:12">
      <c r="A877" s="46">
        <v>875</v>
      </c>
      <c r="B877" s="46" t="s">
        <v>45</v>
      </c>
      <c r="C877" s="46" t="str">
        <f>VLOOKUP(F877,[4]在职!$A:$E,5,0)</f>
        <v>陕西</v>
      </c>
      <c r="D877" s="46" t="str">
        <f>VLOOKUP(F877,[4]在职!$A:$G,7,0)</f>
        <v>陕西2部</v>
      </c>
      <c r="E877" s="46" t="str">
        <f>VLOOKUP(F877,[4]在职!$A:$M,13,0)</f>
        <v>王辉</v>
      </c>
      <c r="F877" s="46" t="s">
        <v>1400</v>
      </c>
      <c r="G877" s="46" t="str">
        <f>VLOOKUP(F877,[4]在职!$A:$B,2,0)</f>
        <v>00978</v>
      </c>
      <c r="H877" s="46" t="str">
        <f>VLOOKUP(F877,[4]在职!$A:$I,9,0)</f>
        <v>三星销售顾问</v>
      </c>
      <c r="I877" s="46" t="s">
        <v>915</v>
      </c>
      <c r="J877" s="83">
        <v>46085</v>
      </c>
      <c r="K877" s="46" t="s">
        <v>1387</v>
      </c>
      <c r="L877" s="46" t="s">
        <v>30</v>
      </c>
    </row>
    <row r="878" ht="16.5" spans="1:12">
      <c r="A878" s="46">
        <v>876</v>
      </c>
      <c r="B878" s="46" t="s">
        <v>45</v>
      </c>
      <c r="C878" s="46" t="str">
        <f>VLOOKUP(F878,[4]在职!$A:$E,5,0)</f>
        <v>河南</v>
      </c>
      <c r="D878" s="46" t="str">
        <f>VLOOKUP(F878,[4]在职!$A:$G,7,0)</f>
        <v>河南销售部</v>
      </c>
      <c r="E878" s="46" t="str">
        <f>VLOOKUP(F878,[4]在职!$A:$M,13,0)</f>
        <v>余金梅</v>
      </c>
      <c r="F878" s="46" t="s">
        <v>1402</v>
      </c>
      <c r="G878" s="46" t="str">
        <f>VLOOKUP(F878,[4]在职!$A:$B,2,0)</f>
        <v>01421</v>
      </c>
      <c r="H878" s="46" t="str">
        <f>VLOOKUP(F878,[4]在职!$A:$I,9,0)</f>
        <v>二星销售顾问</v>
      </c>
      <c r="I878" s="46" t="s">
        <v>915</v>
      </c>
      <c r="J878" s="83">
        <v>46085</v>
      </c>
      <c r="K878" s="46" t="s">
        <v>1387</v>
      </c>
      <c r="L878" s="46" t="s">
        <v>30</v>
      </c>
    </row>
    <row r="879" ht="16.5" spans="1:12">
      <c r="A879" s="46">
        <v>877</v>
      </c>
      <c r="B879" s="46" t="s">
        <v>45</v>
      </c>
      <c r="C879" s="46" t="str">
        <f>VLOOKUP(F879,[4]在职!$A:$E,5,0)</f>
        <v>西南总部</v>
      </c>
      <c r="D879" s="46" t="str">
        <f>VLOOKUP(F879,[4]在职!$A:$G,7,0)</f>
        <v>营业七部</v>
      </c>
      <c r="E879" s="46" t="str">
        <f>VLOOKUP(F879,[4]在职!$A:$M,13,0)</f>
        <v>谢沁霜</v>
      </c>
      <c r="F879" s="46" t="s">
        <v>1404</v>
      </c>
      <c r="G879" s="46" t="str">
        <f>VLOOKUP(F879,[4]在职!$A:$B,2,0)</f>
        <v>00893</v>
      </c>
      <c r="H879" s="46" t="str">
        <f>VLOOKUP(F879,[4]在职!$A:$I,9,0)</f>
        <v>三星销售顾问</v>
      </c>
      <c r="I879" s="46" t="s">
        <v>915</v>
      </c>
      <c r="J879" s="83">
        <v>46085</v>
      </c>
      <c r="K879" s="46" t="s">
        <v>1387</v>
      </c>
      <c r="L879" s="46" t="s">
        <v>30</v>
      </c>
    </row>
    <row r="880" ht="16.5" spans="1:12">
      <c r="A880" s="46">
        <v>878</v>
      </c>
      <c r="B880" s="46" t="s">
        <v>45</v>
      </c>
      <c r="C880" s="46" t="str">
        <f>VLOOKUP(F880,[4]在职!$A:$E,5,0)</f>
        <v>陕西</v>
      </c>
      <c r="D880" s="46" t="str">
        <f>VLOOKUP(F880,[4]在职!$A:$G,7,0)</f>
        <v>陕西2部</v>
      </c>
      <c r="E880" s="46" t="str">
        <f>VLOOKUP(F880,[4]在职!$A:$M,13,0)</f>
        <v>李耀</v>
      </c>
      <c r="F880" s="46" t="s">
        <v>1406</v>
      </c>
      <c r="G880" s="46" t="str">
        <f>VLOOKUP(F880,[4]在职!$A:$B,2,0)</f>
        <v>00945</v>
      </c>
      <c r="H880" s="46" t="str">
        <f>VLOOKUP(F880,[4]在职!$A:$I,9,0)</f>
        <v>三星销售顾问</v>
      </c>
      <c r="I880" s="46" t="s">
        <v>915</v>
      </c>
      <c r="J880" s="83">
        <v>46085</v>
      </c>
      <c r="K880" s="46" t="s">
        <v>1387</v>
      </c>
      <c r="L880" s="46" t="s">
        <v>30</v>
      </c>
    </row>
    <row r="881" ht="16.5" spans="1:12">
      <c r="A881" s="46">
        <v>879</v>
      </c>
      <c r="B881" s="46" t="s">
        <v>45</v>
      </c>
      <c r="C881" s="46" t="str">
        <f>VLOOKUP(F881,[4]在职!$A:$E,5,0)</f>
        <v>西南总部</v>
      </c>
      <c r="D881" s="46" t="str">
        <f>VLOOKUP(F881,[4]在职!$A:$G,7,0)</f>
        <v>营业七部</v>
      </c>
      <c r="E881" s="46" t="str">
        <f>VLOOKUP(F881,[4]在职!$A:$M,13,0)</f>
        <v>蒋杨</v>
      </c>
      <c r="F881" s="46" t="s">
        <v>1408</v>
      </c>
      <c r="G881" s="46" t="str">
        <f>VLOOKUP(F881,[4]在职!$A:$B,2,0)</f>
        <v>01374</v>
      </c>
      <c r="H881" s="46" t="str">
        <f>VLOOKUP(F881,[4]在职!$A:$I,9,0)</f>
        <v>B岗经理</v>
      </c>
      <c r="I881" s="46" t="s">
        <v>915</v>
      </c>
      <c r="J881" s="83">
        <v>46085</v>
      </c>
      <c r="K881" s="46" t="s">
        <v>1387</v>
      </c>
      <c r="L881" s="46" t="s">
        <v>30</v>
      </c>
    </row>
    <row r="882" ht="16.5" spans="1:12">
      <c r="A882" s="46">
        <v>880</v>
      </c>
      <c r="B882" s="46" t="s">
        <v>45</v>
      </c>
      <c r="C882" s="46" t="str">
        <f>VLOOKUP(F882,[4]在职!$A:$E,5,0)</f>
        <v>西南总部</v>
      </c>
      <c r="D882" s="46" t="str">
        <f>VLOOKUP(F882,[4]在职!$A:$G,7,0)</f>
        <v>营业二部</v>
      </c>
      <c r="E882" s="46" t="str">
        <f>VLOOKUP(F882,[4]在职!$A:$M,13,0)</f>
        <v>魏飞翔</v>
      </c>
      <c r="F882" s="46" t="s">
        <v>1410</v>
      </c>
      <c r="G882" s="46" t="str">
        <f>VLOOKUP(F882,[4]在职!$A:$B,2,0)</f>
        <v>00856</v>
      </c>
      <c r="H882" s="46" t="str">
        <f>VLOOKUP(F882,[4]在职!$A:$I,9,0)</f>
        <v>B岗经理</v>
      </c>
      <c r="I882" s="46" t="s">
        <v>915</v>
      </c>
      <c r="J882" s="83">
        <v>46085</v>
      </c>
      <c r="K882" s="46" t="s">
        <v>1387</v>
      </c>
      <c r="L882" s="46" t="s">
        <v>30</v>
      </c>
    </row>
    <row r="883" ht="16.5" spans="1:12">
      <c r="A883" s="46">
        <v>881</v>
      </c>
      <c r="B883" s="46" t="s">
        <v>45</v>
      </c>
      <c r="C883" s="46" t="str">
        <f>VLOOKUP(F883,[4]在职!$A:$E,5,0)</f>
        <v>河南</v>
      </c>
      <c r="D883" s="46" t="str">
        <f>VLOOKUP(F883,[4]在职!$A:$G,7,0)</f>
        <v>河南销售部</v>
      </c>
      <c r="E883" s="46" t="str">
        <f>VLOOKUP(F883,[4]在职!$A:$M,13,0)</f>
        <v>任枭月</v>
      </c>
      <c r="F883" s="46" t="s">
        <v>1412</v>
      </c>
      <c r="G883" s="46" t="str">
        <f>VLOOKUP(F883,[4]在职!$A:$B,2,0)</f>
        <v>00718</v>
      </c>
      <c r="H883" s="46" t="str">
        <f>VLOOKUP(F883,[4]在职!$A:$I,9,0)</f>
        <v>二星销售顾问</v>
      </c>
      <c r="I883" s="46" t="s">
        <v>915</v>
      </c>
      <c r="J883" s="83">
        <v>46085</v>
      </c>
      <c r="K883" s="46" t="s">
        <v>1387</v>
      </c>
      <c r="L883" s="46" t="s">
        <v>30</v>
      </c>
    </row>
    <row r="884" ht="16.5" spans="1:12">
      <c r="A884" s="46">
        <v>882</v>
      </c>
      <c r="B884" s="46" t="s">
        <v>45</v>
      </c>
      <c r="C884" s="46" t="str">
        <f>VLOOKUP(F884,[4]在职!$A:$E,5,0)</f>
        <v>山西</v>
      </c>
      <c r="D884" s="46" t="str">
        <f>VLOOKUP(F884,[4]在职!$A:$G,7,0)</f>
        <v>山西销售部</v>
      </c>
      <c r="E884" s="46" t="str">
        <f>VLOOKUP(F884,[4]在职!$A:$M,13,0)</f>
        <v>彭停</v>
      </c>
      <c r="F884" s="46" t="s">
        <v>1414</v>
      </c>
      <c r="G884" s="46" t="str">
        <f>VLOOKUP(F884,[4]在职!$A:$B,2,0)</f>
        <v>01046</v>
      </c>
      <c r="H884" s="46" t="str">
        <f>VLOOKUP(F884,[4]在职!$A:$I,9,0)</f>
        <v>三星销售顾问</v>
      </c>
      <c r="I884" s="46" t="s">
        <v>915</v>
      </c>
      <c r="J884" s="83">
        <v>46085</v>
      </c>
      <c r="K884" s="46" t="s">
        <v>1387</v>
      </c>
      <c r="L884" s="46" t="s">
        <v>30</v>
      </c>
    </row>
    <row r="885" ht="16.5" spans="1:12">
      <c r="A885" s="46">
        <v>883</v>
      </c>
      <c r="B885" s="46" t="s">
        <v>45</v>
      </c>
      <c r="C885" s="46" t="str">
        <f>VLOOKUP(F885,[4]在职!$A:$E,5,0)</f>
        <v>山东</v>
      </c>
      <c r="D885" s="46" t="str">
        <f>VLOOKUP(F885,[4]在职!$A:$G,7,0)</f>
        <v>山东销售部</v>
      </c>
      <c r="E885" s="46" t="str">
        <f>VLOOKUP(F885,[4]在职!$A:$M,13,0)</f>
        <v>苏晓青</v>
      </c>
      <c r="F885" s="46" t="s">
        <v>1416</v>
      </c>
      <c r="G885" s="46" t="str">
        <f>VLOOKUP(F885,[4]在职!$A:$B,2,0)</f>
        <v>00993</v>
      </c>
      <c r="H885" s="46" t="str">
        <f>VLOOKUP(F885,[4]在职!$A:$I,9,0)</f>
        <v>B岗经理</v>
      </c>
      <c r="I885" s="46" t="s">
        <v>915</v>
      </c>
      <c r="J885" s="83">
        <v>46085</v>
      </c>
      <c r="K885" s="46" t="s">
        <v>1387</v>
      </c>
      <c r="L885" s="46" t="s">
        <v>30</v>
      </c>
    </row>
    <row r="886" ht="16.5" spans="1:12">
      <c r="A886" s="46">
        <v>884</v>
      </c>
      <c r="B886" s="46" t="s">
        <v>45</v>
      </c>
      <c r="C886" s="46" t="str">
        <f>VLOOKUP(F886,[4]在职!$A:$E,5,0)</f>
        <v>西南总部</v>
      </c>
      <c r="D886" s="46" t="str">
        <f>VLOOKUP(F886,[4]在职!$A:$G,7,0)</f>
        <v>营业二部</v>
      </c>
      <c r="E886" s="46" t="str">
        <f>VLOOKUP(F886,[4]在职!$A:$M,13,0)</f>
        <v>柏刚</v>
      </c>
      <c r="F886" s="46" t="s">
        <v>1418</v>
      </c>
      <c r="G886" s="46" t="str">
        <f>VLOOKUP(F886,[4]在职!$A:$B,2,0)</f>
        <v>00693</v>
      </c>
      <c r="H886" s="46" t="str">
        <f>VLOOKUP(F886,[4]在职!$A:$I,9,0)</f>
        <v>三星销售顾问</v>
      </c>
      <c r="I886" s="46" t="s">
        <v>915</v>
      </c>
      <c r="J886" s="83">
        <v>46085</v>
      </c>
      <c r="K886" s="46" t="s">
        <v>1387</v>
      </c>
      <c r="L886" s="46" t="s">
        <v>30</v>
      </c>
    </row>
    <row r="887" ht="16.5" spans="1:12">
      <c r="A887" s="46">
        <v>885</v>
      </c>
      <c r="B887" s="46" t="s">
        <v>45</v>
      </c>
      <c r="C887" s="46" t="str">
        <f>VLOOKUP(F887,[4]在职!$A:$E,5,0)</f>
        <v>河北</v>
      </c>
      <c r="D887" s="46" t="str">
        <f>VLOOKUP(F887,[4]在职!$A:$G,7,0)</f>
        <v>河北销售部</v>
      </c>
      <c r="E887" s="46" t="str">
        <f>VLOOKUP(F887,[4]在职!$A:$M,13,0)</f>
        <v>李港一</v>
      </c>
      <c r="F887" s="46" t="s">
        <v>1420</v>
      </c>
      <c r="G887" s="46" t="str">
        <f>VLOOKUP(F887,[4]在职!$A:$B,2,0)</f>
        <v>01476</v>
      </c>
      <c r="H887" s="46" t="str">
        <f>VLOOKUP(F887,[4]在职!$A:$I,9,0)</f>
        <v>二星销售顾问</v>
      </c>
      <c r="I887" s="46" t="s">
        <v>915</v>
      </c>
      <c r="J887" s="83">
        <v>46085</v>
      </c>
      <c r="K887" s="46" t="s">
        <v>1387</v>
      </c>
      <c r="L887" s="46" t="s">
        <v>30</v>
      </c>
    </row>
    <row r="888" ht="16.5" spans="1:12">
      <c r="A888" s="46">
        <v>886</v>
      </c>
      <c r="B888" s="46" t="s">
        <v>45</v>
      </c>
      <c r="C888" s="46" t="str">
        <f>VLOOKUP(F888,[4]在职!$A:$E,5,0)</f>
        <v>湖南</v>
      </c>
      <c r="D888" s="46" t="str">
        <f>VLOOKUP(F888,[4]在职!$A:$G,7,0)</f>
        <v>湖南销售部</v>
      </c>
      <c r="E888" s="46" t="str">
        <f>VLOOKUP(F888,[4]在职!$A:$M,13,0)</f>
        <v>陈炳佑</v>
      </c>
      <c r="F888" s="46" t="s">
        <v>1422</v>
      </c>
      <c r="G888" s="46" t="str">
        <f>VLOOKUP(F888,[4]在职!$A:$B,2,0)</f>
        <v>01411</v>
      </c>
      <c r="H888" s="46" t="str">
        <f>VLOOKUP(F888,[4]在职!$A:$I,9,0)</f>
        <v>二星销售顾问</v>
      </c>
      <c r="I888" s="46" t="s">
        <v>915</v>
      </c>
      <c r="J888" s="83">
        <v>46085</v>
      </c>
      <c r="K888" s="46" t="s">
        <v>1387</v>
      </c>
      <c r="L888" s="46" t="s">
        <v>30</v>
      </c>
    </row>
    <row r="889" ht="16.5" spans="1:12">
      <c r="A889" s="46">
        <v>887</v>
      </c>
      <c r="B889" s="46" t="s">
        <v>45</v>
      </c>
      <c r="C889" s="46" t="str">
        <f>VLOOKUP(F889,[4]在职!$A:$E,5,0)</f>
        <v>西南总部</v>
      </c>
      <c r="D889" s="46" t="str">
        <f>VLOOKUP(F889,[4]在职!$A:$G,7,0)</f>
        <v>营业六部</v>
      </c>
      <c r="E889" s="46" t="str">
        <f>VLOOKUP(F889,[4]在职!$A:$M,13,0)</f>
        <v>刘亮</v>
      </c>
      <c r="F889" s="46" t="s">
        <v>1424</v>
      </c>
      <c r="G889" s="46" t="str">
        <f>VLOOKUP(F889,[4]在职!$A:$B,2,0)</f>
        <v>01194</v>
      </c>
      <c r="H889" s="46" t="str">
        <f>VLOOKUP(F889,[4]在职!$A:$I,9,0)</f>
        <v>B岗经理</v>
      </c>
      <c r="I889" s="46" t="s">
        <v>915</v>
      </c>
      <c r="J889" s="83">
        <v>46085</v>
      </c>
      <c r="K889" s="46" t="s">
        <v>1387</v>
      </c>
      <c r="L889" s="46" t="s">
        <v>30</v>
      </c>
    </row>
    <row r="890" ht="16.5" spans="1:12">
      <c r="A890" s="46">
        <v>888</v>
      </c>
      <c r="B890" s="46" t="s">
        <v>45</v>
      </c>
      <c r="C890" s="46" t="str">
        <f>VLOOKUP(F890,[4]在职!$A:$E,5,0)</f>
        <v>西南总部</v>
      </c>
      <c r="D890" s="46" t="str">
        <f>VLOOKUP(F890,[4]在职!$A:$G,7,0)</f>
        <v>营业五部</v>
      </c>
      <c r="E890" s="46" t="str">
        <f>VLOOKUP(F890,[4]在职!$A:$M,13,0)</f>
        <v>李敏</v>
      </c>
      <c r="F890" s="46" t="s">
        <v>1426</v>
      </c>
      <c r="G890" s="46" t="str">
        <f>VLOOKUP(F890,[4]在职!$A:$B,2,0)</f>
        <v>01532</v>
      </c>
      <c r="H890" s="46" t="str">
        <f>VLOOKUP(F890,[4]在职!$A:$I,9,0)</f>
        <v>B岗经理</v>
      </c>
      <c r="I890" s="46" t="s">
        <v>915</v>
      </c>
      <c r="J890" s="83">
        <v>46085</v>
      </c>
      <c r="K890" s="46" t="s">
        <v>1387</v>
      </c>
      <c r="L890" s="46" t="s">
        <v>30</v>
      </c>
    </row>
    <row r="891" ht="16.5" spans="1:12">
      <c r="A891" s="46">
        <v>889</v>
      </c>
      <c r="B891" s="46" t="s">
        <v>45</v>
      </c>
      <c r="C891" s="46" t="str">
        <f>VLOOKUP(F891,[4]在职!$A:$E,5,0)</f>
        <v>湖南</v>
      </c>
      <c r="D891" s="46" t="str">
        <f>VLOOKUP(F891,[4]在职!$A:$G,7,0)</f>
        <v>湖南销售部</v>
      </c>
      <c r="E891" s="46" t="str">
        <f>VLOOKUP(F891,[4]在职!$A:$M,13,0)</f>
        <v>黄勇刚</v>
      </c>
      <c r="F891" s="46" t="s">
        <v>1428</v>
      </c>
      <c r="G891" s="46" t="str">
        <f>VLOOKUP(F891,[4]在职!$A:$B,2,0)</f>
        <v>00840</v>
      </c>
      <c r="H891" s="46" t="str">
        <f>VLOOKUP(F891,[4]在职!$A:$I,9,0)</f>
        <v>B岗经理</v>
      </c>
      <c r="I891" s="46" t="s">
        <v>915</v>
      </c>
      <c r="J891" s="83">
        <v>46085</v>
      </c>
      <c r="K891" s="46" t="s">
        <v>1387</v>
      </c>
      <c r="L891" s="46" t="s">
        <v>30</v>
      </c>
    </row>
    <row r="892" ht="16.5" spans="1:12">
      <c r="A892" s="46">
        <v>890</v>
      </c>
      <c r="B892" s="46" t="s">
        <v>45</v>
      </c>
      <c r="C892" s="46" t="str">
        <f>VLOOKUP(F892,[4]在职!$A:$E,5,0)</f>
        <v>湖北</v>
      </c>
      <c r="D892" s="46" t="str">
        <f>VLOOKUP(F892,[4]在职!$A:$G,7,0)</f>
        <v>湖北2部</v>
      </c>
      <c r="E892" s="46" t="str">
        <f>VLOOKUP(F892,[4]在职!$A:$M,13,0)</f>
        <v>陈晓辉</v>
      </c>
      <c r="F892" s="87" t="s">
        <v>1390</v>
      </c>
      <c r="G892" s="46" t="str">
        <f>VLOOKUP(F892,[4]在职!$A:$B,2,0)</f>
        <v>01320</v>
      </c>
      <c r="H892" s="46" t="str">
        <f>VLOOKUP(F892,[4]在职!$A:$I,9,0)</f>
        <v>三星销售顾问</v>
      </c>
      <c r="I892" s="46" t="s">
        <v>915</v>
      </c>
      <c r="J892" s="83">
        <v>46085</v>
      </c>
      <c r="K892" s="46" t="s">
        <v>1430</v>
      </c>
      <c r="L892" s="46" t="s">
        <v>30</v>
      </c>
    </row>
    <row r="893" ht="16.5" spans="1:12">
      <c r="A893" s="46">
        <v>891</v>
      </c>
      <c r="B893" s="46" t="s">
        <v>45</v>
      </c>
      <c r="C893" s="46" t="str">
        <f>VLOOKUP(F893,[4]在职!$A:$E,5,0)</f>
        <v>西南总部</v>
      </c>
      <c r="D893" s="46" t="str">
        <f>VLOOKUP(F893,[4]在职!$A:$G,7,0)</f>
        <v>营业四部</v>
      </c>
      <c r="E893" s="46" t="str">
        <f>VLOOKUP(F893,[4]在职!$A:$M,13,0)</f>
        <v>刘亮</v>
      </c>
      <c r="F893" s="87" t="s">
        <v>1392</v>
      </c>
      <c r="G893" s="46" t="str">
        <f>VLOOKUP(F893,[4]在职!$A:$B,2,0)</f>
        <v>01105</v>
      </c>
      <c r="H893" s="46" t="str">
        <f>VLOOKUP(F893,[4]在职!$A:$I,9,0)</f>
        <v>B岗经理</v>
      </c>
      <c r="I893" s="46" t="s">
        <v>915</v>
      </c>
      <c r="J893" s="83">
        <v>46085</v>
      </c>
      <c r="K893" s="46" t="s">
        <v>1430</v>
      </c>
      <c r="L893" s="46" t="s">
        <v>30</v>
      </c>
    </row>
    <row r="894" ht="16.5" spans="1:12">
      <c r="A894" s="46">
        <v>892</v>
      </c>
      <c r="B894" s="46" t="s">
        <v>45</v>
      </c>
      <c r="C894" s="46" t="str">
        <f>VLOOKUP(F894,[4]在职!$A:$E,5,0)</f>
        <v>陕西</v>
      </c>
      <c r="D894" s="46" t="str">
        <f>VLOOKUP(F894,[4]在职!$A:$G,7,0)</f>
        <v>陕西1部</v>
      </c>
      <c r="E894" s="46" t="str">
        <f>VLOOKUP(F894,[4]在职!$A:$M,13,0)</f>
        <v>杨永梅</v>
      </c>
      <c r="F894" s="87" t="s">
        <v>1394</v>
      </c>
      <c r="G894" s="46" t="str">
        <f>VLOOKUP(F894,[4]在职!$A:$B,2,0)</f>
        <v>01158</v>
      </c>
      <c r="H894" s="46" t="str">
        <f>VLOOKUP(F894,[4]在职!$A:$I,9,0)</f>
        <v>三星销售顾问</v>
      </c>
      <c r="I894" s="46" t="s">
        <v>915</v>
      </c>
      <c r="J894" s="83">
        <v>46085</v>
      </c>
      <c r="K894" s="46" t="s">
        <v>1430</v>
      </c>
      <c r="L894" s="46" t="s">
        <v>30</v>
      </c>
    </row>
    <row r="895" ht="16.5" spans="1:12">
      <c r="A895" s="46">
        <v>893</v>
      </c>
      <c r="B895" s="46" t="s">
        <v>45</v>
      </c>
      <c r="C895" s="46" t="str">
        <f>VLOOKUP(F895,[4]在职!$A:$E,5,0)</f>
        <v>西南总部</v>
      </c>
      <c r="D895" s="46" t="str">
        <f>VLOOKUP(F895,[4]在职!$A:$G,7,0)</f>
        <v>营业五部</v>
      </c>
      <c r="E895" s="46" t="str">
        <f>VLOOKUP(F895,[4]在职!$A:$M,13,0)</f>
        <v>杨科</v>
      </c>
      <c r="F895" s="87" t="s">
        <v>1396</v>
      </c>
      <c r="G895" s="46" t="str">
        <f>VLOOKUP(F895,[4]在职!$A:$B,2,0)</f>
        <v>01351</v>
      </c>
      <c r="H895" s="46" t="str">
        <f>VLOOKUP(F895,[4]在职!$A:$I,9,0)</f>
        <v>B岗经理</v>
      </c>
      <c r="I895" s="46" t="s">
        <v>915</v>
      </c>
      <c r="J895" s="83">
        <v>46085</v>
      </c>
      <c r="K895" s="46" t="s">
        <v>1430</v>
      </c>
      <c r="L895" s="46" t="s">
        <v>30</v>
      </c>
    </row>
    <row r="896" ht="16.5" spans="1:12">
      <c r="A896" s="46">
        <v>894</v>
      </c>
      <c r="B896" s="46" t="s">
        <v>45</v>
      </c>
      <c r="C896" s="46" t="str">
        <f>VLOOKUP(F896,[4]在职!$A:$E,5,0)</f>
        <v>西南总部</v>
      </c>
      <c r="D896" s="46" t="str">
        <f>VLOOKUP(F896,[4]在职!$A:$G,7,0)</f>
        <v>营业二部</v>
      </c>
      <c r="E896" s="46" t="str">
        <f>VLOOKUP(F896,[4]在职!$A:$M,13,0)</f>
        <v>杨芊</v>
      </c>
      <c r="F896" s="87" t="s">
        <v>1398</v>
      </c>
      <c r="G896" s="46" t="str">
        <f>VLOOKUP(F896,[4]在职!$A:$B,2,0)</f>
        <v>00950</v>
      </c>
      <c r="H896" s="46" t="str">
        <f>VLOOKUP(F896,[4]在职!$A:$I,9,0)</f>
        <v>三星销售顾问</v>
      </c>
      <c r="I896" s="46" t="s">
        <v>915</v>
      </c>
      <c r="J896" s="83">
        <v>46085</v>
      </c>
      <c r="K896" s="46" t="s">
        <v>1430</v>
      </c>
      <c r="L896" s="46" t="s">
        <v>30</v>
      </c>
    </row>
    <row r="897" ht="16.5" spans="1:12">
      <c r="A897" s="46">
        <v>895</v>
      </c>
      <c r="B897" s="46" t="s">
        <v>45</v>
      </c>
      <c r="C897" s="46" t="str">
        <f>VLOOKUP(F897,[4]在职!$A:$E,5,0)</f>
        <v>陕西</v>
      </c>
      <c r="D897" s="46" t="str">
        <f>VLOOKUP(F897,[4]在职!$A:$G,7,0)</f>
        <v>陕西2部</v>
      </c>
      <c r="E897" s="46" t="str">
        <f>VLOOKUP(F897,[4]在职!$A:$M,13,0)</f>
        <v>王辉</v>
      </c>
      <c r="F897" s="87" t="s">
        <v>1400</v>
      </c>
      <c r="G897" s="46" t="str">
        <f>VLOOKUP(F897,[4]在职!$A:$B,2,0)</f>
        <v>00978</v>
      </c>
      <c r="H897" s="46" t="str">
        <f>VLOOKUP(F897,[4]在职!$A:$I,9,0)</f>
        <v>三星销售顾问</v>
      </c>
      <c r="I897" s="46" t="s">
        <v>915</v>
      </c>
      <c r="J897" s="83">
        <v>46085</v>
      </c>
      <c r="K897" s="46" t="s">
        <v>1430</v>
      </c>
      <c r="L897" s="46" t="s">
        <v>30</v>
      </c>
    </row>
    <row r="898" ht="16.5" spans="1:12">
      <c r="A898" s="46">
        <v>896</v>
      </c>
      <c r="B898" s="46" t="s">
        <v>45</v>
      </c>
      <c r="C898" s="46" t="str">
        <f>VLOOKUP(F898,[4]在职!$A:$E,5,0)</f>
        <v>河南</v>
      </c>
      <c r="D898" s="46" t="str">
        <f>VLOOKUP(F898,[4]在职!$A:$G,7,0)</f>
        <v>河南销售部</v>
      </c>
      <c r="E898" s="46" t="str">
        <f>VLOOKUP(F898,[4]在职!$A:$M,13,0)</f>
        <v>余金梅</v>
      </c>
      <c r="F898" s="87" t="s">
        <v>1402</v>
      </c>
      <c r="G898" s="46" t="str">
        <f>VLOOKUP(F898,[4]在职!$A:$B,2,0)</f>
        <v>01421</v>
      </c>
      <c r="H898" s="46" t="str">
        <f>VLOOKUP(F898,[4]在职!$A:$I,9,0)</f>
        <v>二星销售顾问</v>
      </c>
      <c r="I898" s="46" t="s">
        <v>915</v>
      </c>
      <c r="J898" s="83">
        <v>46085</v>
      </c>
      <c r="K898" s="46" t="s">
        <v>1430</v>
      </c>
      <c r="L898" s="46" t="s">
        <v>30</v>
      </c>
    </row>
    <row r="899" ht="16.5" spans="1:12">
      <c r="A899" s="46">
        <v>897</v>
      </c>
      <c r="B899" s="46" t="s">
        <v>45</v>
      </c>
      <c r="C899" s="46" t="str">
        <f>VLOOKUP(F899,[4]在职!$A:$E,5,0)</f>
        <v>西南总部</v>
      </c>
      <c r="D899" s="46" t="str">
        <f>VLOOKUP(F899,[4]在职!$A:$G,7,0)</f>
        <v>营业七部</v>
      </c>
      <c r="E899" s="46" t="str">
        <f>VLOOKUP(F899,[4]在职!$A:$M,13,0)</f>
        <v>谢沁霜</v>
      </c>
      <c r="F899" s="87" t="s">
        <v>1404</v>
      </c>
      <c r="G899" s="46" t="str">
        <f>VLOOKUP(F899,[4]在职!$A:$B,2,0)</f>
        <v>00893</v>
      </c>
      <c r="H899" s="46" t="str">
        <f>VLOOKUP(F899,[4]在职!$A:$I,9,0)</f>
        <v>三星销售顾问</v>
      </c>
      <c r="I899" s="46" t="s">
        <v>915</v>
      </c>
      <c r="J899" s="83">
        <v>46085</v>
      </c>
      <c r="K899" s="46" t="s">
        <v>1430</v>
      </c>
      <c r="L899" s="46" t="s">
        <v>30</v>
      </c>
    </row>
    <row r="900" ht="16.5" spans="1:12">
      <c r="A900" s="46">
        <v>898</v>
      </c>
      <c r="B900" s="46" t="s">
        <v>45</v>
      </c>
      <c r="C900" s="46" t="str">
        <f>VLOOKUP(F900,[4]在职!$A:$E,5,0)</f>
        <v>陕西</v>
      </c>
      <c r="D900" s="46" t="str">
        <f>VLOOKUP(F900,[4]在职!$A:$G,7,0)</f>
        <v>陕西2部</v>
      </c>
      <c r="E900" s="46" t="str">
        <f>VLOOKUP(F900,[4]在职!$A:$M,13,0)</f>
        <v>李耀</v>
      </c>
      <c r="F900" s="87" t="s">
        <v>1406</v>
      </c>
      <c r="G900" s="46" t="str">
        <f>VLOOKUP(F900,[4]在职!$A:$B,2,0)</f>
        <v>00945</v>
      </c>
      <c r="H900" s="46" t="str">
        <f>VLOOKUP(F900,[4]在职!$A:$I,9,0)</f>
        <v>三星销售顾问</v>
      </c>
      <c r="I900" s="46" t="s">
        <v>915</v>
      </c>
      <c r="J900" s="83">
        <v>46085</v>
      </c>
      <c r="K900" s="46" t="s">
        <v>1430</v>
      </c>
      <c r="L900" s="46" t="s">
        <v>30</v>
      </c>
    </row>
    <row r="901" ht="16.5" spans="1:12">
      <c r="A901" s="46">
        <v>899</v>
      </c>
      <c r="B901" s="46" t="s">
        <v>45</v>
      </c>
      <c r="C901" s="46" t="str">
        <f>VLOOKUP(F901,[4]在职!$A:$E,5,0)</f>
        <v>西南总部</v>
      </c>
      <c r="D901" s="46" t="str">
        <f>VLOOKUP(F901,[4]在职!$A:$G,7,0)</f>
        <v>营业七部</v>
      </c>
      <c r="E901" s="46" t="str">
        <f>VLOOKUP(F901,[4]在职!$A:$M,13,0)</f>
        <v>蒋杨</v>
      </c>
      <c r="F901" s="87" t="s">
        <v>1408</v>
      </c>
      <c r="G901" s="46" t="str">
        <f>VLOOKUP(F901,[4]在职!$A:$B,2,0)</f>
        <v>01374</v>
      </c>
      <c r="H901" s="46" t="str">
        <f>VLOOKUP(F901,[4]在职!$A:$I,9,0)</f>
        <v>B岗经理</v>
      </c>
      <c r="I901" s="46" t="s">
        <v>915</v>
      </c>
      <c r="J901" s="83">
        <v>46085</v>
      </c>
      <c r="K901" s="46" t="s">
        <v>1430</v>
      </c>
      <c r="L901" s="46" t="s">
        <v>30</v>
      </c>
    </row>
    <row r="902" ht="16.5" spans="1:12">
      <c r="A902" s="46">
        <v>900</v>
      </c>
      <c r="B902" s="46" t="s">
        <v>45</v>
      </c>
      <c r="C902" s="46" t="str">
        <f>VLOOKUP(F902,[4]在职!$A:$E,5,0)</f>
        <v>西南总部</v>
      </c>
      <c r="D902" s="46" t="str">
        <f>VLOOKUP(F902,[4]在职!$A:$G,7,0)</f>
        <v>营业二部</v>
      </c>
      <c r="E902" s="46" t="str">
        <f>VLOOKUP(F902,[4]在职!$A:$M,13,0)</f>
        <v>魏飞翔</v>
      </c>
      <c r="F902" s="87" t="s">
        <v>1410</v>
      </c>
      <c r="G902" s="46" t="str">
        <f>VLOOKUP(F902,[4]在职!$A:$B,2,0)</f>
        <v>00856</v>
      </c>
      <c r="H902" s="46" t="str">
        <f>VLOOKUP(F902,[4]在职!$A:$I,9,0)</f>
        <v>B岗经理</v>
      </c>
      <c r="I902" s="46" t="s">
        <v>915</v>
      </c>
      <c r="J902" s="83">
        <v>46085</v>
      </c>
      <c r="K902" s="46" t="s">
        <v>1430</v>
      </c>
      <c r="L902" s="46" t="s">
        <v>30</v>
      </c>
    </row>
    <row r="903" ht="16.5" spans="1:12">
      <c r="A903" s="46">
        <v>901</v>
      </c>
      <c r="B903" s="46" t="s">
        <v>45</v>
      </c>
      <c r="C903" s="46" t="str">
        <f>VLOOKUP(F903,[4]在职!$A:$E,5,0)</f>
        <v>河南</v>
      </c>
      <c r="D903" s="46" t="str">
        <f>VLOOKUP(F903,[4]在职!$A:$G,7,0)</f>
        <v>河南销售部</v>
      </c>
      <c r="E903" s="46" t="str">
        <f>VLOOKUP(F903,[4]在职!$A:$M,13,0)</f>
        <v>任枭月</v>
      </c>
      <c r="F903" s="87" t="s">
        <v>1412</v>
      </c>
      <c r="G903" s="46" t="str">
        <f>VLOOKUP(F903,[4]在职!$A:$B,2,0)</f>
        <v>00718</v>
      </c>
      <c r="H903" s="46" t="str">
        <f>VLOOKUP(F903,[4]在职!$A:$I,9,0)</f>
        <v>二星销售顾问</v>
      </c>
      <c r="I903" s="46" t="s">
        <v>915</v>
      </c>
      <c r="J903" s="83">
        <v>46085</v>
      </c>
      <c r="K903" s="46" t="s">
        <v>1430</v>
      </c>
      <c r="L903" s="46" t="s">
        <v>30</v>
      </c>
    </row>
    <row r="904" ht="16.5" spans="1:12">
      <c r="A904" s="46">
        <v>902</v>
      </c>
      <c r="B904" s="46" t="s">
        <v>45</v>
      </c>
      <c r="C904" s="46" t="str">
        <f>VLOOKUP(F904,[4]在职!$A:$E,5,0)</f>
        <v>山西</v>
      </c>
      <c r="D904" s="46" t="str">
        <f>VLOOKUP(F904,[4]在职!$A:$G,7,0)</f>
        <v>山西销售部</v>
      </c>
      <c r="E904" s="46" t="str">
        <f>VLOOKUP(F904,[4]在职!$A:$M,13,0)</f>
        <v>彭停</v>
      </c>
      <c r="F904" s="87" t="s">
        <v>1414</v>
      </c>
      <c r="G904" s="46" t="str">
        <f>VLOOKUP(F904,[4]在职!$A:$B,2,0)</f>
        <v>01046</v>
      </c>
      <c r="H904" s="46" t="str">
        <f>VLOOKUP(F904,[4]在职!$A:$I,9,0)</f>
        <v>三星销售顾问</v>
      </c>
      <c r="I904" s="46" t="s">
        <v>915</v>
      </c>
      <c r="J904" s="83">
        <v>46085</v>
      </c>
      <c r="K904" s="46" t="s">
        <v>1430</v>
      </c>
      <c r="L904" s="46" t="s">
        <v>30</v>
      </c>
    </row>
    <row r="905" ht="16.5" spans="1:12">
      <c r="A905" s="46">
        <v>903</v>
      </c>
      <c r="B905" s="46" t="s">
        <v>45</v>
      </c>
      <c r="C905" s="46" t="str">
        <f>VLOOKUP(F905,[4]在职!$A:$E,5,0)</f>
        <v>山东</v>
      </c>
      <c r="D905" s="46" t="str">
        <f>VLOOKUP(F905,[4]在职!$A:$G,7,0)</f>
        <v>山东销售部</v>
      </c>
      <c r="E905" s="46" t="str">
        <f>VLOOKUP(F905,[4]在职!$A:$M,13,0)</f>
        <v>苏晓青</v>
      </c>
      <c r="F905" s="87" t="s">
        <v>1416</v>
      </c>
      <c r="G905" s="46" t="str">
        <f>VLOOKUP(F905,[4]在职!$A:$B,2,0)</f>
        <v>00993</v>
      </c>
      <c r="H905" s="46" t="str">
        <f>VLOOKUP(F905,[4]在职!$A:$I,9,0)</f>
        <v>B岗经理</v>
      </c>
      <c r="I905" s="46" t="s">
        <v>915</v>
      </c>
      <c r="J905" s="83">
        <v>46085</v>
      </c>
      <c r="K905" s="46" t="s">
        <v>1430</v>
      </c>
      <c r="L905" s="46" t="s">
        <v>30</v>
      </c>
    </row>
    <row r="906" ht="16.5" spans="1:12">
      <c r="A906" s="46">
        <v>904</v>
      </c>
      <c r="B906" s="46" t="s">
        <v>45</v>
      </c>
      <c r="C906" s="46" t="str">
        <f>VLOOKUP(F906,[4]在职!$A:$E,5,0)</f>
        <v>西南总部</v>
      </c>
      <c r="D906" s="46" t="str">
        <f>VLOOKUP(F906,[4]在职!$A:$G,7,0)</f>
        <v>营业二部</v>
      </c>
      <c r="E906" s="46" t="str">
        <f>VLOOKUP(F906,[4]在职!$A:$M,13,0)</f>
        <v>柏刚</v>
      </c>
      <c r="F906" s="87" t="s">
        <v>1418</v>
      </c>
      <c r="G906" s="46" t="str">
        <f>VLOOKUP(F906,[4]在职!$A:$B,2,0)</f>
        <v>00693</v>
      </c>
      <c r="H906" s="46" t="str">
        <f>VLOOKUP(F906,[4]在职!$A:$I,9,0)</f>
        <v>三星销售顾问</v>
      </c>
      <c r="I906" s="46" t="s">
        <v>915</v>
      </c>
      <c r="J906" s="83">
        <v>46085</v>
      </c>
      <c r="K906" s="46" t="s">
        <v>1430</v>
      </c>
      <c r="L906" s="46" t="s">
        <v>30</v>
      </c>
    </row>
    <row r="907" ht="16.5" spans="1:12">
      <c r="A907" s="46">
        <v>905</v>
      </c>
      <c r="B907" s="46" t="s">
        <v>45</v>
      </c>
      <c r="C907" s="46" t="str">
        <f>VLOOKUP(F907,[4]在职!$A:$E,5,0)</f>
        <v>河北</v>
      </c>
      <c r="D907" s="46" t="str">
        <f>VLOOKUP(F907,[4]在职!$A:$G,7,0)</f>
        <v>河北销售部</v>
      </c>
      <c r="E907" s="46" t="str">
        <f>VLOOKUP(F907,[4]在职!$A:$M,13,0)</f>
        <v>李港一</v>
      </c>
      <c r="F907" s="87" t="s">
        <v>1420</v>
      </c>
      <c r="G907" s="46" t="str">
        <f>VLOOKUP(F907,[4]在职!$A:$B,2,0)</f>
        <v>01476</v>
      </c>
      <c r="H907" s="46" t="str">
        <f>VLOOKUP(F907,[4]在职!$A:$I,9,0)</f>
        <v>二星销售顾问</v>
      </c>
      <c r="I907" s="46" t="s">
        <v>915</v>
      </c>
      <c r="J907" s="83">
        <v>46085</v>
      </c>
      <c r="K907" s="46" t="s">
        <v>1430</v>
      </c>
      <c r="L907" s="46" t="s">
        <v>30</v>
      </c>
    </row>
    <row r="908" ht="16.5" spans="1:12">
      <c r="A908" s="46">
        <v>906</v>
      </c>
      <c r="B908" s="46" t="s">
        <v>45</v>
      </c>
      <c r="C908" s="46" t="str">
        <f>VLOOKUP(F908,[4]在职!$A:$E,5,0)</f>
        <v>湖南</v>
      </c>
      <c r="D908" s="46" t="str">
        <f>VLOOKUP(F908,[4]在职!$A:$G,7,0)</f>
        <v>湖南销售部</v>
      </c>
      <c r="E908" s="46" t="str">
        <f>VLOOKUP(F908,[4]在职!$A:$M,13,0)</f>
        <v>陈炳佑</v>
      </c>
      <c r="F908" s="87" t="s">
        <v>1422</v>
      </c>
      <c r="G908" s="46" t="str">
        <f>VLOOKUP(F908,[4]在职!$A:$B,2,0)</f>
        <v>01411</v>
      </c>
      <c r="H908" s="46" t="str">
        <f>VLOOKUP(F908,[4]在职!$A:$I,9,0)</f>
        <v>二星销售顾问</v>
      </c>
      <c r="I908" s="46" t="s">
        <v>915</v>
      </c>
      <c r="J908" s="83">
        <v>46085</v>
      </c>
      <c r="K908" s="46" t="s">
        <v>1430</v>
      </c>
      <c r="L908" s="46" t="s">
        <v>30</v>
      </c>
    </row>
    <row r="909" ht="16.5" spans="1:12">
      <c r="A909" s="46">
        <v>907</v>
      </c>
      <c r="B909" s="46" t="s">
        <v>45</v>
      </c>
      <c r="C909" s="46" t="str">
        <f>VLOOKUP(F909,[4]在职!$A:$E,5,0)</f>
        <v>西南总部</v>
      </c>
      <c r="D909" s="46" t="str">
        <f>VLOOKUP(F909,[4]在职!$A:$G,7,0)</f>
        <v>营业六部</v>
      </c>
      <c r="E909" s="46" t="str">
        <f>VLOOKUP(F909,[4]在职!$A:$M,13,0)</f>
        <v>刘亮</v>
      </c>
      <c r="F909" s="87" t="s">
        <v>1424</v>
      </c>
      <c r="G909" s="46" t="str">
        <f>VLOOKUP(F909,[4]在职!$A:$B,2,0)</f>
        <v>01194</v>
      </c>
      <c r="H909" s="46" t="str">
        <f>VLOOKUP(F909,[4]在职!$A:$I,9,0)</f>
        <v>B岗经理</v>
      </c>
      <c r="I909" s="46" t="s">
        <v>915</v>
      </c>
      <c r="J909" s="83">
        <v>46085</v>
      </c>
      <c r="K909" s="46" t="s">
        <v>1430</v>
      </c>
      <c r="L909" s="46" t="s">
        <v>30</v>
      </c>
    </row>
    <row r="910" ht="16.5" spans="1:12">
      <c r="A910" s="46">
        <v>908</v>
      </c>
      <c r="B910" s="46" t="s">
        <v>45</v>
      </c>
      <c r="C910" s="46" t="str">
        <f>VLOOKUP(F910,[4]在职!$A:$E,5,0)</f>
        <v>西南总部</v>
      </c>
      <c r="D910" s="46" t="str">
        <f>VLOOKUP(F910,[4]在职!$A:$G,7,0)</f>
        <v>营业五部</v>
      </c>
      <c r="E910" s="46" t="str">
        <f>VLOOKUP(F910,[4]在职!$A:$M,13,0)</f>
        <v>李敏</v>
      </c>
      <c r="F910" s="87" t="s">
        <v>1426</v>
      </c>
      <c r="G910" s="46" t="str">
        <f>VLOOKUP(F910,[4]在职!$A:$B,2,0)</f>
        <v>01532</v>
      </c>
      <c r="H910" s="46" t="str">
        <f>VLOOKUP(F910,[4]在职!$A:$I,9,0)</f>
        <v>B岗经理</v>
      </c>
      <c r="I910" s="46" t="s">
        <v>915</v>
      </c>
      <c r="J910" s="83">
        <v>46085</v>
      </c>
      <c r="K910" s="46" t="s">
        <v>1430</v>
      </c>
      <c r="L910" s="46" t="s">
        <v>30</v>
      </c>
    </row>
    <row r="911" ht="16.5" spans="1:12">
      <c r="A911" s="46">
        <v>909</v>
      </c>
      <c r="B911" s="46" t="s">
        <v>45</v>
      </c>
      <c r="C911" s="46" t="str">
        <f>VLOOKUP(F911,[4]在职!$A:$E,5,0)</f>
        <v>湖南</v>
      </c>
      <c r="D911" s="46" t="str">
        <f>VLOOKUP(F911,[4]在职!$A:$G,7,0)</f>
        <v>湖南销售部</v>
      </c>
      <c r="E911" s="46" t="str">
        <f>VLOOKUP(F911,[4]在职!$A:$M,13,0)</f>
        <v>黄勇刚</v>
      </c>
      <c r="F911" s="87" t="s">
        <v>1428</v>
      </c>
      <c r="G911" s="46" t="str">
        <f>VLOOKUP(F911,[4]在职!$A:$B,2,0)</f>
        <v>00840</v>
      </c>
      <c r="H911" s="46" t="str">
        <f>VLOOKUP(F911,[4]在职!$A:$I,9,0)</f>
        <v>B岗经理</v>
      </c>
      <c r="I911" s="46" t="s">
        <v>915</v>
      </c>
      <c r="J911" s="83">
        <v>46085</v>
      </c>
      <c r="K911" s="46" t="s">
        <v>1430</v>
      </c>
      <c r="L911" s="46" t="s">
        <v>30</v>
      </c>
    </row>
    <row r="912" ht="16.5" spans="1:12">
      <c r="A912" s="46">
        <v>910</v>
      </c>
      <c r="B912" s="46" t="s">
        <v>45</v>
      </c>
      <c r="C912" s="46" t="str">
        <f>VLOOKUP(F912,[4]在职!$A:$E,5,0)</f>
        <v>湖北</v>
      </c>
      <c r="D912" s="46" t="str">
        <f>VLOOKUP(F912,[4]在职!$A:$G,7,0)</f>
        <v>湖北2部</v>
      </c>
      <c r="E912" s="46" t="str">
        <f>VLOOKUP(F912,[4]在职!$A:$M,13,0)</f>
        <v>陈晓辉</v>
      </c>
      <c r="F912" s="46" t="s">
        <v>1390</v>
      </c>
      <c r="G912" s="46" t="str">
        <f>VLOOKUP(F912,[4]在职!$A:$B,2,0)</f>
        <v>01320</v>
      </c>
      <c r="H912" s="46" t="str">
        <f>VLOOKUP(F912,[4]在职!$A:$I,9,0)</f>
        <v>三星销售顾问</v>
      </c>
      <c r="I912" s="46" t="s">
        <v>915</v>
      </c>
      <c r="J912" s="83">
        <v>46085</v>
      </c>
      <c r="K912" s="46" t="s">
        <v>1431</v>
      </c>
      <c r="L912" s="46" t="s">
        <v>30</v>
      </c>
    </row>
    <row r="913" ht="16.5" spans="1:12">
      <c r="A913" s="46">
        <v>911</v>
      </c>
      <c r="B913" s="46" t="s">
        <v>45</v>
      </c>
      <c r="C913" s="46" t="str">
        <f>VLOOKUP(F913,[4]在职!$A:$E,5,0)</f>
        <v>西南总部</v>
      </c>
      <c r="D913" s="46" t="str">
        <f>VLOOKUP(F913,[4]在职!$A:$G,7,0)</f>
        <v>营业四部</v>
      </c>
      <c r="E913" s="46" t="str">
        <f>VLOOKUP(F913,[4]在职!$A:$M,13,0)</f>
        <v>刘亮</v>
      </c>
      <c r="F913" s="46" t="s">
        <v>1392</v>
      </c>
      <c r="G913" s="46" t="str">
        <f>VLOOKUP(F913,[4]在职!$A:$B,2,0)</f>
        <v>01105</v>
      </c>
      <c r="H913" s="46" t="str">
        <f>VLOOKUP(F913,[4]在职!$A:$I,9,0)</f>
        <v>B岗经理</v>
      </c>
      <c r="I913" s="46" t="s">
        <v>915</v>
      </c>
      <c r="J913" s="83">
        <v>46085</v>
      </c>
      <c r="K913" s="46" t="s">
        <v>1431</v>
      </c>
      <c r="L913" s="46" t="s">
        <v>30</v>
      </c>
    </row>
    <row r="914" ht="16.5" spans="1:12">
      <c r="A914" s="46">
        <v>912</v>
      </c>
      <c r="B914" s="46" t="s">
        <v>45</v>
      </c>
      <c r="C914" s="46" t="str">
        <f>VLOOKUP(F914,[4]在职!$A:$E,5,0)</f>
        <v>陕西</v>
      </c>
      <c r="D914" s="46" t="str">
        <f>VLOOKUP(F914,[4]在职!$A:$G,7,0)</f>
        <v>陕西1部</v>
      </c>
      <c r="E914" s="46" t="str">
        <f>VLOOKUP(F914,[4]在职!$A:$M,13,0)</f>
        <v>杨永梅</v>
      </c>
      <c r="F914" s="46" t="s">
        <v>1394</v>
      </c>
      <c r="G914" s="46" t="str">
        <f>VLOOKUP(F914,[4]在职!$A:$B,2,0)</f>
        <v>01158</v>
      </c>
      <c r="H914" s="46" t="str">
        <f>VLOOKUP(F914,[4]在职!$A:$I,9,0)</f>
        <v>三星销售顾问</v>
      </c>
      <c r="I914" s="46" t="s">
        <v>915</v>
      </c>
      <c r="J914" s="83">
        <v>46085</v>
      </c>
      <c r="K914" s="46" t="s">
        <v>1431</v>
      </c>
      <c r="L914" s="46" t="s">
        <v>30</v>
      </c>
    </row>
    <row r="915" ht="16.5" spans="1:12">
      <c r="A915" s="46">
        <v>913</v>
      </c>
      <c r="B915" s="46" t="s">
        <v>45</v>
      </c>
      <c r="C915" s="46" t="str">
        <f>VLOOKUP(F915,[4]在职!$A:$E,5,0)</f>
        <v>西南总部</v>
      </c>
      <c r="D915" s="46" t="str">
        <f>VLOOKUP(F915,[4]在职!$A:$G,7,0)</f>
        <v>营业五部</v>
      </c>
      <c r="E915" s="46" t="str">
        <f>VLOOKUP(F915,[4]在职!$A:$M,13,0)</f>
        <v>杨科</v>
      </c>
      <c r="F915" s="46" t="s">
        <v>1396</v>
      </c>
      <c r="G915" s="46" t="str">
        <f>VLOOKUP(F915,[4]在职!$A:$B,2,0)</f>
        <v>01351</v>
      </c>
      <c r="H915" s="46" t="str">
        <f>VLOOKUP(F915,[4]在职!$A:$I,9,0)</f>
        <v>B岗经理</v>
      </c>
      <c r="I915" s="46" t="s">
        <v>915</v>
      </c>
      <c r="J915" s="83">
        <v>46085</v>
      </c>
      <c r="K915" s="46" t="s">
        <v>1431</v>
      </c>
      <c r="L915" s="46" t="s">
        <v>30</v>
      </c>
    </row>
    <row r="916" ht="16.5" spans="1:12">
      <c r="A916" s="46">
        <v>914</v>
      </c>
      <c r="B916" s="46" t="s">
        <v>45</v>
      </c>
      <c r="C916" s="46" t="str">
        <f>VLOOKUP(F916,[4]在职!$A:$E,5,0)</f>
        <v>西南总部</v>
      </c>
      <c r="D916" s="46" t="str">
        <f>VLOOKUP(F916,[4]在职!$A:$G,7,0)</f>
        <v>营业二部</v>
      </c>
      <c r="E916" s="46" t="str">
        <f>VLOOKUP(F916,[4]在职!$A:$M,13,0)</f>
        <v>杨芊</v>
      </c>
      <c r="F916" s="46" t="s">
        <v>1398</v>
      </c>
      <c r="G916" s="46" t="str">
        <f>VLOOKUP(F916,[4]在职!$A:$B,2,0)</f>
        <v>00950</v>
      </c>
      <c r="H916" s="46" t="str">
        <f>VLOOKUP(F916,[4]在职!$A:$I,9,0)</f>
        <v>三星销售顾问</v>
      </c>
      <c r="I916" s="46" t="s">
        <v>915</v>
      </c>
      <c r="J916" s="83">
        <v>46085</v>
      </c>
      <c r="K916" s="46" t="s">
        <v>1431</v>
      </c>
      <c r="L916" s="46" t="s">
        <v>30</v>
      </c>
    </row>
    <row r="917" ht="16.5" spans="1:12">
      <c r="A917" s="46">
        <v>915</v>
      </c>
      <c r="B917" s="46" t="s">
        <v>45</v>
      </c>
      <c r="C917" s="46" t="str">
        <f>VLOOKUP(F917,[4]在职!$A:$E,5,0)</f>
        <v>陕西</v>
      </c>
      <c r="D917" s="46" t="str">
        <f>VLOOKUP(F917,[4]在职!$A:$G,7,0)</f>
        <v>陕西2部</v>
      </c>
      <c r="E917" s="46" t="str">
        <f>VLOOKUP(F917,[4]在职!$A:$M,13,0)</f>
        <v>王辉</v>
      </c>
      <c r="F917" s="46" t="s">
        <v>1400</v>
      </c>
      <c r="G917" s="46" t="str">
        <f>VLOOKUP(F917,[4]在职!$A:$B,2,0)</f>
        <v>00978</v>
      </c>
      <c r="H917" s="46" t="str">
        <f>VLOOKUP(F917,[4]在职!$A:$I,9,0)</f>
        <v>三星销售顾问</v>
      </c>
      <c r="I917" s="46" t="s">
        <v>915</v>
      </c>
      <c r="J917" s="83">
        <v>46085</v>
      </c>
      <c r="K917" s="46" t="s">
        <v>1431</v>
      </c>
      <c r="L917" s="46" t="s">
        <v>30</v>
      </c>
    </row>
    <row r="918" ht="16.5" spans="1:12">
      <c r="A918" s="46">
        <v>916</v>
      </c>
      <c r="B918" s="46" t="s">
        <v>45</v>
      </c>
      <c r="C918" s="46" t="str">
        <f>VLOOKUP(F918,[4]在职!$A:$E,5,0)</f>
        <v>河南</v>
      </c>
      <c r="D918" s="46" t="str">
        <f>VLOOKUP(F918,[4]在职!$A:$G,7,0)</f>
        <v>河南销售部</v>
      </c>
      <c r="E918" s="46" t="str">
        <f>VLOOKUP(F918,[4]在职!$A:$M,13,0)</f>
        <v>余金梅</v>
      </c>
      <c r="F918" s="46" t="s">
        <v>1402</v>
      </c>
      <c r="G918" s="46" t="str">
        <f>VLOOKUP(F918,[4]在职!$A:$B,2,0)</f>
        <v>01421</v>
      </c>
      <c r="H918" s="46" t="str">
        <f>VLOOKUP(F918,[4]在职!$A:$I,9,0)</f>
        <v>二星销售顾问</v>
      </c>
      <c r="I918" s="46" t="s">
        <v>915</v>
      </c>
      <c r="J918" s="83">
        <v>46085</v>
      </c>
      <c r="K918" s="46" t="s">
        <v>1431</v>
      </c>
      <c r="L918" s="46" t="s">
        <v>30</v>
      </c>
    </row>
    <row r="919" ht="16.5" spans="1:12">
      <c r="A919" s="46">
        <v>917</v>
      </c>
      <c r="B919" s="46" t="s">
        <v>45</v>
      </c>
      <c r="C919" s="46" t="str">
        <f>VLOOKUP(F919,[4]在职!$A:$E,5,0)</f>
        <v>西南总部</v>
      </c>
      <c r="D919" s="46" t="str">
        <f>VLOOKUP(F919,[4]在职!$A:$G,7,0)</f>
        <v>营业七部</v>
      </c>
      <c r="E919" s="46" t="str">
        <f>VLOOKUP(F919,[4]在职!$A:$M,13,0)</f>
        <v>谢沁霜</v>
      </c>
      <c r="F919" s="46" t="s">
        <v>1404</v>
      </c>
      <c r="G919" s="46" t="str">
        <f>VLOOKUP(F919,[4]在职!$A:$B,2,0)</f>
        <v>00893</v>
      </c>
      <c r="H919" s="46" t="str">
        <f>VLOOKUP(F919,[4]在职!$A:$I,9,0)</f>
        <v>三星销售顾问</v>
      </c>
      <c r="I919" s="46" t="s">
        <v>915</v>
      </c>
      <c r="J919" s="83">
        <v>46085</v>
      </c>
      <c r="K919" s="46" t="s">
        <v>1431</v>
      </c>
      <c r="L919" s="46" t="s">
        <v>30</v>
      </c>
    </row>
    <row r="920" ht="16.5" spans="1:12">
      <c r="A920" s="46">
        <v>918</v>
      </c>
      <c r="B920" s="46" t="s">
        <v>45</v>
      </c>
      <c r="C920" s="46" t="str">
        <f>VLOOKUP(F920,[4]在职!$A:$E,5,0)</f>
        <v>陕西</v>
      </c>
      <c r="D920" s="46" t="str">
        <f>VLOOKUP(F920,[4]在职!$A:$G,7,0)</f>
        <v>陕西2部</v>
      </c>
      <c r="E920" s="46" t="str">
        <f>VLOOKUP(F920,[4]在职!$A:$M,13,0)</f>
        <v>李耀</v>
      </c>
      <c r="F920" s="46" t="s">
        <v>1406</v>
      </c>
      <c r="G920" s="46" t="str">
        <f>VLOOKUP(F920,[4]在职!$A:$B,2,0)</f>
        <v>00945</v>
      </c>
      <c r="H920" s="46" t="str">
        <f>VLOOKUP(F920,[4]在职!$A:$I,9,0)</f>
        <v>三星销售顾问</v>
      </c>
      <c r="I920" s="46" t="s">
        <v>915</v>
      </c>
      <c r="J920" s="83">
        <v>46085</v>
      </c>
      <c r="K920" s="46" t="s">
        <v>1431</v>
      </c>
      <c r="L920" s="46" t="s">
        <v>30</v>
      </c>
    </row>
    <row r="921" ht="16.5" spans="1:12">
      <c r="A921" s="46">
        <v>919</v>
      </c>
      <c r="B921" s="46" t="s">
        <v>45</v>
      </c>
      <c r="C921" s="46" t="str">
        <f>VLOOKUP(F921,[4]在职!$A:$E,5,0)</f>
        <v>西南总部</v>
      </c>
      <c r="D921" s="46" t="str">
        <f>VLOOKUP(F921,[4]在职!$A:$G,7,0)</f>
        <v>营业七部</v>
      </c>
      <c r="E921" s="46" t="str">
        <f>VLOOKUP(F921,[4]在职!$A:$M,13,0)</f>
        <v>蒋杨</v>
      </c>
      <c r="F921" s="46" t="s">
        <v>1408</v>
      </c>
      <c r="G921" s="46" t="str">
        <f>VLOOKUP(F921,[4]在职!$A:$B,2,0)</f>
        <v>01374</v>
      </c>
      <c r="H921" s="46" t="str">
        <f>VLOOKUP(F921,[4]在职!$A:$I,9,0)</f>
        <v>B岗经理</v>
      </c>
      <c r="I921" s="46" t="s">
        <v>915</v>
      </c>
      <c r="J921" s="83">
        <v>46085</v>
      </c>
      <c r="K921" s="46" t="s">
        <v>1431</v>
      </c>
      <c r="L921" s="46" t="s">
        <v>30</v>
      </c>
    </row>
    <row r="922" ht="16.5" spans="1:12">
      <c r="A922" s="46">
        <v>920</v>
      </c>
      <c r="B922" s="46" t="s">
        <v>45</v>
      </c>
      <c r="C922" s="46" t="str">
        <f>VLOOKUP(F922,[4]在职!$A:$E,5,0)</f>
        <v>西南总部</v>
      </c>
      <c r="D922" s="46" t="str">
        <f>VLOOKUP(F922,[4]在职!$A:$G,7,0)</f>
        <v>营业二部</v>
      </c>
      <c r="E922" s="46" t="str">
        <f>VLOOKUP(F922,[4]在职!$A:$M,13,0)</f>
        <v>魏飞翔</v>
      </c>
      <c r="F922" s="46" t="s">
        <v>1410</v>
      </c>
      <c r="G922" s="46" t="str">
        <f>VLOOKUP(F922,[4]在职!$A:$B,2,0)</f>
        <v>00856</v>
      </c>
      <c r="H922" s="46" t="str">
        <f>VLOOKUP(F922,[4]在职!$A:$I,9,0)</f>
        <v>B岗经理</v>
      </c>
      <c r="I922" s="46" t="s">
        <v>915</v>
      </c>
      <c r="J922" s="83">
        <v>46085</v>
      </c>
      <c r="K922" s="46" t="s">
        <v>1431</v>
      </c>
      <c r="L922" s="46" t="s">
        <v>30</v>
      </c>
    </row>
    <row r="923" ht="16.5" spans="1:12">
      <c r="A923" s="46">
        <v>921</v>
      </c>
      <c r="B923" s="46" t="s">
        <v>45</v>
      </c>
      <c r="C923" s="46" t="str">
        <f>VLOOKUP(F923,[4]在职!$A:$E,5,0)</f>
        <v>河南</v>
      </c>
      <c r="D923" s="46" t="str">
        <f>VLOOKUP(F923,[4]在职!$A:$G,7,0)</f>
        <v>河南销售部</v>
      </c>
      <c r="E923" s="46" t="str">
        <f>VLOOKUP(F923,[4]在职!$A:$M,13,0)</f>
        <v>任枭月</v>
      </c>
      <c r="F923" s="46" t="s">
        <v>1412</v>
      </c>
      <c r="G923" s="46" t="str">
        <f>VLOOKUP(F923,[4]在职!$A:$B,2,0)</f>
        <v>00718</v>
      </c>
      <c r="H923" s="46" t="str">
        <f>VLOOKUP(F923,[4]在职!$A:$I,9,0)</f>
        <v>二星销售顾问</v>
      </c>
      <c r="I923" s="46" t="s">
        <v>915</v>
      </c>
      <c r="J923" s="83">
        <v>46085</v>
      </c>
      <c r="K923" s="46" t="s">
        <v>1431</v>
      </c>
      <c r="L923" s="46" t="s">
        <v>30</v>
      </c>
    </row>
    <row r="924" ht="16.5" spans="1:12">
      <c r="A924" s="46">
        <v>922</v>
      </c>
      <c r="B924" s="46" t="s">
        <v>45</v>
      </c>
      <c r="C924" s="46" t="str">
        <f>VLOOKUP(F924,[4]在职!$A:$E,5,0)</f>
        <v>山西</v>
      </c>
      <c r="D924" s="46" t="str">
        <f>VLOOKUP(F924,[4]在职!$A:$G,7,0)</f>
        <v>山西销售部</v>
      </c>
      <c r="E924" s="46" t="str">
        <f>VLOOKUP(F924,[4]在职!$A:$M,13,0)</f>
        <v>彭停</v>
      </c>
      <c r="F924" s="46" t="s">
        <v>1414</v>
      </c>
      <c r="G924" s="46" t="str">
        <f>VLOOKUP(F924,[4]在职!$A:$B,2,0)</f>
        <v>01046</v>
      </c>
      <c r="H924" s="46" t="str">
        <f>VLOOKUP(F924,[4]在职!$A:$I,9,0)</f>
        <v>三星销售顾问</v>
      </c>
      <c r="I924" s="46" t="s">
        <v>915</v>
      </c>
      <c r="J924" s="83">
        <v>46085</v>
      </c>
      <c r="K924" s="46" t="s">
        <v>1431</v>
      </c>
      <c r="L924" s="46" t="s">
        <v>30</v>
      </c>
    </row>
    <row r="925" ht="16.5" spans="1:12">
      <c r="A925" s="46">
        <v>923</v>
      </c>
      <c r="B925" s="46" t="s">
        <v>45</v>
      </c>
      <c r="C925" s="46" t="str">
        <f>VLOOKUP(F925,[4]在职!$A:$E,5,0)</f>
        <v>山东</v>
      </c>
      <c r="D925" s="46" t="str">
        <f>VLOOKUP(F925,[4]在职!$A:$G,7,0)</f>
        <v>山东销售部</v>
      </c>
      <c r="E925" s="46" t="str">
        <f>VLOOKUP(F925,[4]在职!$A:$M,13,0)</f>
        <v>苏晓青</v>
      </c>
      <c r="F925" s="46" t="s">
        <v>1416</v>
      </c>
      <c r="G925" s="46" t="str">
        <f>VLOOKUP(F925,[4]在职!$A:$B,2,0)</f>
        <v>00993</v>
      </c>
      <c r="H925" s="46" t="str">
        <f>VLOOKUP(F925,[4]在职!$A:$I,9,0)</f>
        <v>B岗经理</v>
      </c>
      <c r="I925" s="46" t="s">
        <v>915</v>
      </c>
      <c r="J925" s="83">
        <v>46085</v>
      </c>
      <c r="K925" s="46" t="s">
        <v>1431</v>
      </c>
      <c r="L925" s="46" t="s">
        <v>30</v>
      </c>
    </row>
    <row r="926" ht="16.5" spans="1:12">
      <c r="A926" s="46">
        <v>924</v>
      </c>
      <c r="B926" s="46" t="s">
        <v>45</v>
      </c>
      <c r="C926" s="46" t="str">
        <f>VLOOKUP(F926,[4]在职!$A:$E,5,0)</f>
        <v>西南总部</v>
      </c>
      <c r="D926" s="46" t="str">
        <f>VLOOKUP(F926,[4]在职!$A:$G,7,0)</f>
        <v>营业二部</v>
      </c>
      <c r="E926" s="46" t="str">
        <f>VLOOKUP(F926,[4]在职!$A:$M,13,0)</f>
        <v>柏刚</v>
      </c>
      <c r="F926" s="46" t="s">
        <v>1418</v>
      </c>
      <c r="G926" s="46" t="str">
        <f>VLOOKUP(F926,[4]在职!$A:$B,2,0)</f>
        <v>00693</v>
      </c>
      <c r="H926" s="46" t="str">
        <f>VLOOKUP(F926,[4]在职!$A:$I,9,0)</f>
        <v>三星销售顾问</v>
      </c>
      <c r="I926" s="46" t="s">
        <v>915</v>
      </c>
      <c r="J926" s="83">
        <v>46085</v>
      </c>
      <c r="K926" s="46" t="s">
        <v>1431</v>
      </c>
      <c r="L926" s="46" t="s">
        <v>30</v>
      </c>
    </row>
    <row r="927" ht="16.5" spans="1:12">
      <c r="A927" s="46">
        <v>925</v>
      </c>
      <c r="B927" s="46" t="s">
        <v>45</v>
      </c>
      <c r="C927" s="46" t="str">
        <f>VLOOKUP(F927,[4]在职!$A:$E,5,0)</f>
        <v>河北</v>
      </c>
      <c r="D927" s="46" t="str">
        <f>VLOOKUP(F927,[4]在职!$A:$G,7,0)</f>
        <v>河北销售部</v>
      </c>
      <c r="E927" s="46" t="str">
        <f>VLOOKUP(F927,[4]在职!$A:$M,13,0)</f>
        <v>李港一</v>
      </c>
      <c r="F927" s="46" t="s">
        <v>1420</v>
      </c>
      <c r="G927" s="46" t="str">
        <f>VLOOKUP(F927,[4]在职!$A:$B,2,0)</f>
        <v>01476</v>
      </c>
      <c r="H927" s="46" t="str">
        <f>VLOOKUP(F927,[4]在职!$A:$I,9,0)</f>
        <v>二星销售顾问</v>
      </c>
      <c r="I927" s="46" t="s">
        <v>915</v>
      </c>
      <c r="J927" s="83">
        <v>46085</v>
      </c>
      <c r="K927" s="46" t="s">
        <v>1431</v>
      </c>
      <c r="L927" s="46" t="s">
        <v>30</v>
      </c>
    </row>
    <row r="928" ht="16.5" spans="1:12">
      <c r="A928" s="46">
        <v>926</v>
      </c>
      <c r="B928" s="46" t="s">
        <v>45</v>
      </c>
      <c r="C928" s="46" t="str">
        <f>VLOOKUP(F928,[4]在职!$A:$E,5,0)</f>
        <v>湖南</v>
      </c>
      <c r="D928" s="46" t="str">
        <f>VLOOKUP(F928,[4]在职!$A:$G,7,0)</f>
        <v>湖南销售部</v>
      </c>
      <c r="E928" s="46" t="str">
        <f>VLOOKUP(F928,[4]在职!$A:$M,13,0)</f>
        <v>陈炳佑</v>
      </c>
      <c r="F928" s="46" t="s">
        <v>1422</v>
      </c>
      <c r="G928" s="46" t="str">
        <f>VLOOKUP(F928,[4]在职!$A:$B,2,0)</f>
        <v>01411</v>
      </c>
      <c r="H928" s="46" t="str">
        <f>VLOOKUP(F928,[4]在职!$A:$I,9,0)</f>
        <v>二星销售顾问</v>
      </c>
      <c r="I928" s="46" t="s">
        <v>915</v>
      </c>
      <c r="J928" s="83">
        <v>46085</v>
      </c>
      <c r="K928" s="46" t="s">
        <v>1431</v>
      </c>
      <c r="L928" s="46" t="s">
        <v>30</v>
      </c>
    </row>
    <row r="929" ht="16.5" spans="1:12">
      <c r="A929" s="46">
        <v>927</v>
      </c>
      <c r="B929" s="46" t="s">
        <v>45</v>
      </c>
      <c r="C929" s="46" t="str">
        <f>VLOOKUP(F929,[4]在职!$A:$E,5,0)</f>
        <v>西南总部</v>
      </c>
      <c r="D929" s="46" t="str">
        <f>VLOOKUP(F929,[4]在职!$A:$G,7,0)</f>
        <v>营业六部</v>
      </c>
      <c r="E929" s="46" t="str">
        <f>VLOOKUP(F929,[4]在职!$A:$M,13,0)</f>
        <v>刘亮</v>
      </c>
      <c r="F929" s="46" t="s">
        <v>1424</v>
      </c>
      <c r="G929" s="46" t="str">
        <f>VLOOKUP(F929,[4]在职!$A:$B,2,0)</f>
        <v>01194</v>
      </c>
      <c r="H929" s="46" t="str">
        <f>VLOOKUP(F929,[4]在职!$A:$I,9,0)</f>
        <v>B岗经理</v>
      </c>
      <c r="I929" s="46" t="s">
        <v>915</v>
      </c>
      <c r="J929" s="83">
        <v>46085</v>
      </c>
      <c r="K929" s="46" t="s">
        <v>1431</v>
      </c>
      <c r="L929" s="46" t="s">
        <v>30</v>
      </c>
    </row>
    <row r="930" ht="16.5" spans="1:12">
      <c r="A930" s="46">
        <v>928</v>
      </c>
      <c r="B930" s="46" t="s">
        <v>45</v>
      </c>
      <c r="C930" s="46" t="str">
        <f>VLOOKUP(F930,[4]在职!$A:$E,5,0)</f>
        <v>西南总部</v>
      </c>
      <c r="D930" s="46" t="str">
        <f>VLOOKUP(F930,[4]在职!$A:$G,7,0)</f>
        <v>营业五部</v>
      </c>
      <c r="E930" s="46" t="str">
        <f>VLOOKUP(F930,[4]在职!$A:$M,13,0)</f>
        <v>李敏</v>
      </c>
      <c r="F930" s="46" t="s">
        <v>1426</v>
      </c>
      <c r="G930" s="46" t="str">
        <f>VLOOKUP(F930,[4]在职!$A:$B,2,0)</f>
        <v>01532</v>
      </c>
      <c r="H930" s="46" t="str">
        <f>VLOOKUP(F930,[4]在职!$A:$I,9,0)</f>
        <v>B岗经理</v>
      </c>
      <c r="I930" s="46" t="s">
        <v>915</v>
      </c>
      <c r="J930" s="83">
        <v>46085</v>
      </c>
      <c r="K930" s="46" t="s">
        <v>1431</v>
      </c>
      <c r="L930" s="46" t="s">
        <v>30</v>
      </c>
    </row>
    <row r="931" ht="16.5" spans="1:12">
      <c r="A931" s="46">
        <v>929</v>
      </c>
      <c r="B931" s="46" t="s">
        <v>45</v>
      </c>
      <c r="C931" s="46" t="str">
        <f>VLOOKUP(F931,[4]在职!$A:$E,5,0)</f>
        <v>湖南</v>
      </c>
      <c r="D931" s="46" t="str">
        <f>VLOOKUP(F931,[4]在职!$A:$G,7,0)</f>
        <v>湖南销售部</v>
      </c>
      <c r="E931" s="46" t="str">
        <f>VLOOKUP(F931,[4]在职!$A:$M,13,0)</f>
        <v>黄勇刚</v>
      </c>
      <c r="F931" s="46" t="s">
        <v>1428</v>
      </c>
      <c r="G931" s="46" t="str">
        <f>VLOOKUP(F931,[4]在职!$A:$B,2,0)</f>
        <v>00840</v>
      </c>
      <c r="H931" s="46" t="str">
        <f>VLOOKUP(F931,[4]在职!$A:$I,9,0)</f>
        <v>B岗经理</v>
      </c>
      <c r="I931" s="46" t="s">
        <v>915</v>
      </c>
      <c r="J931" s="83">
        <v>46085</v>
      </c>
      <c r="K931" s="46" t="s">
        <v>1431</v>
      </c>
      <c r="L931" s="46" t="s">
        <v>30</v>
      </c>
    </row>
    <row r="932" ht="16.5" spans="1:12">
      <c r="A932" s="46">
        <v>930</v>
      </c>
      <c r="B932" s="46" t="s">
        <v>45</v>
      </c>
      <c r="C932" s="46" t="str">
        <f>VLOOKUP(F932,[4]在职!$A:$E,5,0)</f>
        <v>湖北</v>
      </c>
      <c r="D932" s="46" t="str">
        <f>VLOOKUP(F932,[4]在职!$A:$G,7,0)</f>
        <v>湖北2部</v>
      </c>
      <c r="E932" s="46" t="str">
        <f>VLOOKUP(F932,[4]在职!$A:$M,13,0)</f>
        <v>陈晓辉</v>
      </c>
      <c r="F932" s="46" t="s">
        <v>1390</v>
      </c>
      <c r="G932" s="46" t="str">
        <f>VLOOKUP(F932,[4]在职!$A:$B,2,0)</f>
        <v>01320</v>
      </c>
      <c r="H932" s="46" t="str">
        <f>VLOOKUP(F932,[4]在职!$A:$I,9,0)</f>
        <v>三星销售顾问</v>
      </c>
      <c r="I932" s="46" t="s">
        <v>915</v>
      </c>
      <c r="J932" s="83">
        <v>46084</v>
      </c>
      <c r="K932" s="46" t="s">
        <v>1432</v>
      </c>
      <c r="L932" s="46" t="s">
        <v>30</v>
      </c>
    </row>
    <row r="933" ht="16.5" spans="1:12">
      <c r="A933" s="46">
        <v>931</v>
      </c>
      <c r="B933" s="46" t="s">
        <v>45</v>
      </c>
      <c r="C933" s="46" t="str">
        <f>VLOOKUP(F933,[4]在职!$A:$E,5,0)</f>
        <v>西南总部</v>
      </c>
      <c r="D933" s="46" t="str">
        <f>VLOOKUP(F933,[4]在职!$A:$G,7,0)</f>
        <v>营业四部</v>
      </c>
      <c r="E933" s="46" t="str">
        <f>VLOOKUP(F933,[4]在职!$A:$M,13,0)</f>
        <v>刘亮</v>
      </c>
      <c r="F933" s="46" t="s">
        <v>1392</v>
      </c>
      <c r="G933" s="46" t="str">
        <f>VLOOKUP(F933,[4]在职!$A:$B,2,0)</f>
        <v>01105</v>
      </c>
      <c r="H933" s="46" t="str">
        <f>VLOOKUP(F933,[4]在职!$A:$I,9,0)</f>
        <v>B岗经理</v>
      </c>
      <c r="I933" s="46" t="s">
        <v>915</v>
      </c>
      <c r="J933" s="83">
        <v>46084</v>
      </c>
      <c r="K933" s="46" t="s">
        <v>1432</v>
      </c>
      <c r="L933" s="46" t="s">
        <v>30</v>
      </c>
    </row>
    <row r="934" ht="16.5" spans="1:12">
      <c r="A934" s="46">
        <v>932</v>
      </c>
      <c r="B934" s="46" t="s">
        <v>45</v>
      </c>
      <c r="C934" s="46" t="str">
        <f>VLOOKUP(F934,[4]在职!$A:$E,5,0)</f>
        <v>陕西</v>
      </c>
      <c r="D934" s="46" t="str">
        <f>VLOOKUP(F934,[4]在职!$A:$G,7,0)</f>
        <v>陕西1部</v>
      </c>
      <c r="E934" s="46" t="str">
        <f>VLOOKUP(F934,[4]在职!$A:$M,13,0)</f>
        <v>杨永梅</v>
      </c>
      <c r="F934" s="46" t="s">
        <v>1394</v>
      </c>
      <c r="G934" s="46" t="str">
        <f>VLOOKUP(F934,[4]在职!$A:$B,2,0)</f>
        <v>01158</v>
      </c>
      <c r="H934" s="46" t="str">
        <f>VLOOKUP(F934,[4]在职!$A:$I,9,0)</f>
        <v>三星销售顾问</v>
      </c>
      <c r="I934" s="46" t="s">
        <v>915</v>
      </c>
      <c r="J934" s="83">
        <v>46084</v>
      </c>
      <c r="K934" s="46" t="s">
        <v>1432</v>
      </c>
      <c r="L934" s="46" t="s">
        <v>30</v>
      </c>
    </row>
    <row r="935" ht="16.5" spans="1:12">
      <c r="A935" s="46">
        <v>933</v>
      </c>
      <c r="B935" s="46" t="s">
        <v>45</v>
      </c>
      <c r="C935" s="46" t="str">
        <f>VLOOKUP(F935,[4]在职!$A:$E,5,0)</f>
        <v>西南总部</v>
      </c>
      <c r="D935" s="46" t="str">
        <f>VLOOKUP(F935,[4]在职!$A:$G,7,0)</f>
        <v>营业五部</v>
      </c>
      <c r="E935" s="46" t="str">
        <f>VLOOKUP(F935,[4]在职!$A:$M,13,0)</f>
        <v>杨科</v>
      </c>
      <c r="F935" s="46" t="s">
        <v>1396</v>
      </c>
      <c r="G935" s="46" t="str">
        <f>VLOOKUP(F935,[4]在职!$A:$B,2,0)</f>
        <v>01351</v>
      </c>
      <c r="H935" s="46" t="str">
        <f>VLOOKUP(F935,[4]在职!$A:$I,9,0)</f>
        <v>B岗经理</v>
      </c>
      <c r="I935" s="46" t="s">
        <v>915</v>
      </c>
      <c r="J935" s="83">
        <v>46084</v>
      </c>
      <c r="K935" s="46" t="s">
        <v>1432</v>
      </c>
      <c r="L935" s="46" t="s">
        <v>30</v>
      </c>
    </row>
    <row r="936" ht="16.5" spans="1:12">
      <c r="A936" s="46">
        <v>934</v>
      </c>
      <c r="B936" s="46" t="s">
        <v>45</v>
      </c>
      <c r="C936" s="46" t="str">
        <f>VLOOKUP(F936,[4]在职!$A:$E,5,0)</f>
        <v>西南总部</v>
      </c>
      <c r="D936" s="46" t="str">
        <f>VLOOKUP(F936,[4]在职!$A:$G,7,0)</f>
        <v>营业二部</v>
      </c>
      <c r="E936" s="46" t="str">
        <f>VLOOKUP(F936,[4]在职!$A:$M,13,0)</f>
        <v>杨芊</v>
      </c>
      <c r="F936" s="46" t="s">
        <v>1398</v>
      </c>
      <c r="G936" s="46" t="str">
        <f>VLOOKUP(F936,[4]在职!$A:$B,2,0)</f>
        <v>00950</v>
      </c>
      <c r="H936" s="46" t="str">
        <f>VLOOKUP(F936,[4]在职!$A:$I,9,0)</f>
        <v>三星销售顾问</v>
      </c>
      <c r="I936" s="46" t="s">
        <v>915</v>
      </c>
      <c r="J936" s="83">
        <v>46084</v>
      </c>
      <c r="K936" s="46" t="s">
        <v>1432</v>
      </c>
      <c r="L936" s="46" t="s">
        <v>30</v>
      </c>
    </row>
    <row r="937" ht="16.5" spans="1:12">
      <c r="A937" s="46">
        <v>935</v>
      </c>
      <c r="B937" s="46" t="s">
        <v>45</v>
      </c>
      <c r="C937" s="46" t="str">
        <f>VLOOKUP(F937,[4]在职!$A:$E,5,0)</f>
        <v>陕西</v>
      </c>
      <c r="D937" s="46" t="str">
        <f>VLOOKUP(F937,[4]在职!$A:$G,7,0)</f>
        <v>陕西2部</v>
      </c>
      <c r="E937" s="46" t="str">
        <f>VLOOKUP(F937,[4]在职!$A:$M,13,0)</f>
        <v>王辉</v>
      </c>
      <c r="F937" s="46" t="s">
        <v>1400</v>
      </c>
      <c r="G937" s="46" t="str">
        <f>VLOOKUP(F937,[4]在职!$A:$B,2,0)</f>
        <v>00978</v>
      </c>
      <c r="H937" s="46" t="str">
        <f>VLOOKUP(F937,[4]在职!$A:$I,9,0)</f>
        <v>三星销售顾问</v>
      </c>
      <c r="I937" s="46" t="s">
        <v>915</v>
      </c>
      <c r="J937" s="83">
        <v>46084</v>
      </c>
      <c r="K937" s="46" t="s">
        <v>1432</v>
      </c>
      <c r="L937" s="46" t="s">
        <v>30</v>
      </c>
    </row>
    <row r="938" ht="16.5" spans="1:12">
      <c r="A938" s="46">
        <v>936</v>
      </c>
      <c r="B938" s="46" t="s">
        <v>45</v>
      </c>
      <c r="C938" s="46" t="str">
        <f>VLOOKUP(F938,[4]在职!$A:$E,5,0)</f>
        <v>河南</v>
      </c>
      <c r="D938" s="46" t="str">
        <f>VLOOKUP(F938,[4]在职!$A:$G,7,0)</f>
        <v>河南销售部</v>
      </c>
      <c r="E938" s="46" t="str">
        <f>VLOOKUP(F938,[4]在职!$A:$M,13,0)</f>
        <v>余金梅</v>
      </c>
      <c r="F938" s="46" t="s">
        <v>1402</v>
      </c>
      <c r="G938" s="46" t="str">
        <f>VLOOKUP(F938,[4]在职!$A:$B,2,0)</f>
        <v>01421</v>
      </c>
      <c r="H938" s="46" t="str">
        <f>VLOOKUP(F938,[4]在职!$A:$I,9,0)</f>
        <v>二星销售顾问</v>
      </c>
      <c r="I938" s="46" t="s">
        <v>915</v>
      </c>
      <c r="J938" s="83">
        <v>46084</v>
      </c>
      <c r="K938" s="46" t="s">
        <v>1432</v>
      </c>
      <c r="L938" s="46" t="s">
        <v>30</v>
      </c>
    </row>
    <row r="939" ht="16.5" spans="1:12">
      <c r="A939" s="46">
        <v>937</v>
      </c>
      <c r="B939" s="46" t="s">
        <v>45</v>
      </c>
      <c r="C939" s="46" t="str">
        <f>VLOOKUP(F939,[4]在职!$A:$E,5,0)</f>
        <v>西南总部</v>
      </c>
      <c r="D939" s="46" t="str">
        <f>VLOOKUP(F939,[4]在职!$A:$G,7,0)</f>
        <v>营业七部</v>
      </c>
      <c r="E939" s="46" t="str">
        <f>VLOOKUP(F939,[4]在职!$A:$M,13,0)</f>
        <v>谢沁霜</v>
      </c>
      <c r="F939" s="46" t="s">
        <v>1404</v>
      </c>
      <c r="G939" s="46" t="str">
        <f>VLOOKUP(F939,[4]在职!$A:$B,2,0)</f>
        <v>00893</v>
      </c>
      <c r="H939" s="46" t="str">
        <f>VLOOKUP(F939,[4]在职!$A:$I,9,0)</f>
        <v>三星销售顾问</v>
      </c>
      <c r="I939" s="46" t="s">
        <v>915</v>
      </c>
      <c r="J939" s="83">
        <v>46084</v>
      </c>
      <c r="K939" s="46" t="s">
        <v>1432</v>
      </c>
      <c r="L939" s="46" t="s">
        <v>30</v>
      </c>
    </row>
    <row r="940" ht="16.5" spans="1:12">
      <c r="A940" s="46">
        <v>938</v>
      </c>
      <c r="B940" s="46" t="s">
        <v>45</v>
      </c>
      <c r="C940" s="46" t="str">
        <f>VLOOKUP(F940,[4]在职!$A:$E,5,0)</f>
        <v>陕西</v>
      </c>
      <c r="D940" s="46" t="str">
        <f>VLOOKUP(F940,[4]在职!$A:$G,7,0)</f>
        <v>陕西2部</v>
      </c>
      <c r="E940" s="46" t="str">
        <f>VLOOKUP(F940,[4]在职!$A:$M,13,0)</f>
        <v>李耀</v>
      </c>
      <c r="F940" s="46" t="s">
        <v>1406</v>
      </c>
      <c r="G940" s="46" t="str">
        <f>VLOOKUP(F940,[4]在职!$A:$B,2,0)</f>
        <v>00945</v>
      </c>
      <c r="H940" s="46" t="str">
        <f>VLOOKUP(F940,[4]在职!$A:$I,9,0)</f>
        <v>三星销售顾问</v>
      </c>
      <c r="I940" s="46" t="s">
        <v>915</v>
      </c>
      <c r="J940" s="83">
        <v>46084</v>
      </c>
      <c r="K940" s="46" t="s">
        <v>1432</v>
      </c>
      <c r="L940" s="46" t="s">
        <v>30</v>
      </c>
    </row>
    <row r="941" ht="16.5" spans="1:12">
      <c r="A941" s="46">
        <v>939</v>
      </c>
      <c r="B941" s="46" t="s">
        <v>45</v>
      </c>
      <c r="C941" s="46" t="str">
        <f>VLOOKUP(F941,[4]在职!$A:$E,5,0)</f>
        <v>西南总部</v>
      </c>
      <c r="D941" s="46" t="str">
        <f>VLOOKUP(F941,[4]在职!$A:$G,7,0)</f>
        <v>营业七部</v>
      </c>
      <c r="E941" s="46" t="str">
        <f>VLOOKUP(F941,[4]在职!$A:$M,13,0)</f>
        <v>蒋杨</v>
      </c>
      <c r="F941" s="46" t="s">
        <v>1408</v>
      </c>
      <c r="G941" s="46" t="str">
        <f>VLOOKUP(F941,[4]在职!$A:$B,2,0)</f>
        <v>01374</v>
      </c>
      <c r="H941" s="46" t="str">
        <f>VLOOKUP(F941,[4]在职!$A:$I,9,0)</f>
        <v>B岗经理</v>
      </c>
      <c r="I941" s="46" t="s">
        <v>915</v>
      </c>
      <c r="J941" s="83">
        <v>46084</v>
      </c>
      <c r="K941" s="46" t="s">
        <v>1432</v>
      </c>
      <c r="L941" s="46" t="s">
        <v>30</v>
      </c>
    </row>
    <row r="942" ht="16.5" spans="1:12">
      <c r="A942" s="46">
        <v>940</v>
      </c>
      <c r="B942" s="46" t="s">
        <v>45</v>
      </c>
      <c r="C942" s="46" t="str">
        <f>VLOOKUP(F942,[4]在职!$A:$E,5,0)</f>
        <v>西南总部</v>
      </c>
      <c r="D942" s="46" t="str">
        <f>VLOOKUP(F942,[4]在职!$A:$G,7,0)</f>
        <v>营业二部</v>
      </c>
      <c r="E942" s="46" t="str">
        <f>VLOOKUP(F942,[4]在职!$A:$M,13,0)</f>
        <v>魏飞翔</v>
      </c>
      <c r="F942" s="46" t="s">
        <v>1410</v>
      </c>
      <c r="G942" s="46" t="str">
        <f>VLOOKUP(F942,[4]在职!$A:$B,2,0)</f>
        <v>00856</v>
      </c>
      <c r="H942" s="46" t="str">
        <f>VLOOKUP(F942,[4]在职!$A:$I,9,0)</f>
        <v>B岗经理</v>
      </c>
      <c r="I942" s="46" t="s">
        <v>915</v>
      </c>
      <c r="J942" s="83">
        <v>46084</v>
      </c>
      <c r="K942" s="46" t="s">
        <v>1432</v>
      </c>
      <c r="L942" s="46" t="s">
        <v>30</v>
      </c>
    </row>
    <row r="943" ht="16.5" spans="1:12">
      <c r="A943" s="46">
        <v>941</v>
      </c>
      <c r="B943" s="46" t="s">
        <v>45</v>
      </c>
      <c r="C943" s="46" t="str">
        <f>VLOOKUP(F943,[4]在职!$A:$E,5,0)</f>
        <v>河南</v>
      </c>
      <c r="D943" s="46" t="str">
        <f>VLOOKUP(F943,[4]在职!$A:$G,7,0)</f>
        <v>河南销售部</v>
      </c>
      <c r="E943" s="46" t="str">
        <f>VLOOKUP(F943,[4]在职!$A:$M,13,0)</f>
        <v>任枭月</v>
      </c>
      <c r="F943" s="46" t="s">
        <v>1412</v>
      </c>
      <c r="G943" s="46" t="str">
        <f>VLOOKUP(F943,[4]在职!$A:$B,2,0)</f>
        <v>00718</v>
      </c>
      <c r="H943" s="46" t="str">
        <f>VLOOKUP(F943,[4]在职!$A:$I,9,0)</f>
        <v>二星销售顾问</v>
      </c>
      <c r="I943" s="46" t="s">
        <v>915</v>
      </c>
      <c r="J943" s="83">
        <v>46084</v>
      </c>
      <c r="K943" s="46" t="s">
        <v>1432</v>
      </c>
      <c r="L943" s="46" t="s">
        <v>30</v>
      </c>
    </row>
    <row r="944" ht="16.5" spans="1:12">
      <c r="A944" s="46">
        <v>942</v>
      </c>
      <c r="B944" s="46" t="s">
        <v>45</v>
      </c>
      <c r="C944" s="46" t="str">
        <f>VLOOKUP(F944,[4]在职!$A:$E,5,0)</f>
        <v>山西</v>
      </c>
      <c r="D944" s="46" t="str">
        <f>VLOOKUP(F944,[4]在职!$A:$G,7,0)</f>
        <v>山西销售部</v>
      </c>
      <c r="E944" s="46" t="str">
        <f>VLOOKUP(F944,[4]在职!$A:$M,13,0)</f>
        <v>彭停</v>
      </c>
      <c r="F944" s="46" t="s">
        <v>1414</v>
      </c>
      <c r="G944" s="46" t="str">
        <f>VLOOKUP(F944,[4]在职!$A:$B,2,0)</f>
        <v>01046</v>
      </c>
      <c r="H944" s="46" t="str">
        <f>VLOOKUP(F944,[4]在职!$A:$I,9,0)</f>
        <v>三星销售顾问</v>
      </c>
      <c r="I944" s="46" t="s">
        <v>915</v>
      </c>
      <c r="J944" s="83">
        <v>46084</v>
      </c>
      <c r="K944" s="46" t="s">
        <v>1432</v>
      </c>
      <c r="L944" s="46" t="s">
        <v>30</v>
      </c>
    </row>
    <row r="945" ht="16.5" spans="1:12">
      <c r="A945" s="46">
        <v>943</v>
      </c>
      <c r="B945" s="46" t="s">
        <v>45</v>
      </c>
      <c r="C945" s="46" t="str">
        <f>VLOOKUP(F945,[4]在职!$A:$E,5,0)</f>
        <v>山东</v>
      </c>
      <c r="D945" s="46" t="str">
        <f>VLOOKUP(F945,[4]在职!$A:$G,7,0)</f>
        <v>山东销售部</v>
      </c>
      <c r="E945" s="46" t="str">
        <f>VLOOKUP(F945,[4]在职!$A:$M,13,0)</f>
        <v>苏晓青</v>
      </c>
      <c r="F945" s="46" t="s">
        <v>1416</v>
      </c>
      <c r="G945" s="46" t="str">
        <f>VLOOKUP(F945,[4]在职!$A:$B,2,0)</f>
        <v>00993</v>
      </c>
      <c r="H945" s="46" t="str">
        <f>VLOOKUP(F945,[4]在职!$A:$I,9,0)</f>
        <v>B岗经理</v>
      </c>
      <c r="I945" s="46" t="s">
        <v>915</v>
      </c>
      <c r="J945" s="83">
        <v>46084</v>
      </c>
      <c r="K945" s="46" t="s">
        <v>1432</v>
      </c>
      <c r="L945" s="46" t="s">
        <v>30</v>
      </c>
    </row>
    <row r="946" ht="16.5" spans="1:12">
      <c r="A946" s="46">
        <v>944</v>
      </c>
      <c r="B946" s="46" t="s">
        <v>45</v>
      </c>
      <c r="C946" s="46" t="str">
        <f>VLOOKUP(F946,[4]在职!$A:$E,5,0)</f>
        <v>西南总部</v>
      </c>
      <c r="D946" s="46" t="str">
        <f>VLOOKUP(F946,[4]在职!$A:$G,7,0)</f>
        <v>营业二部</v>
      </c>
      <c r="E946" s="46" t="str">
        <f>VLOOKUP(F946,[4]在职!$A:$M,13,0)</f>
        <v>柏刚</v>
      </c>
      <c r="F946" s="46" t="s">
        <v>1418</v>
      </c>
      <c r="G946" s="46" t="str">
        <f>VLOOKUP(F946,[4]在职!$A:$B,2,0)</f>
        <v>00693</v>
      </c>
      <c r="H946" s="46" t="str">
        <f>VLOOKUP(F946,[4]在职!$A:$I,9,0)</f>
        <v>三星销售顾问</v>
      </c>
      <c r="I946" s="46" t="s">
        <v>915</v>
      </c>
      <c r="J946" s="83">
        <v>46084</v>
      </c>
      <c r="K946" s="46" t="s">
        <v>1432</v>
      </c>
      <c r="L946" s="46" t="s">
        <v>30</v>
      </c>
    </row>
    <row r="947" ht="16.5" spans="1:12">
      <c r="A947" s="46">
        <v>945</v>
      </c>
      <c r="B947" s="46" t="s">
        <v>45</v>
      </c>
      <c r="C947" s="46" t="str">
        <f>VLOOKUP(F947,[4]在职!$A:$E,5,0)</f>
        <v>河北</v>
      </c>
      <c r="D947" s="46" t="str">
        <f>VLOOKUP(F947,[4]在职!$A:$G,7,0)</f>
        <v>河北销售部</v>
      </c>
      <c r="E947" s="46" t="str">
        <f>VLOOKUP(F947,[4]在职!$A:$M,13,0)</f>
        <v>李港一</v>
      </c>
      <c r="F947" s="46" t="s">
        <v>1420</v>
      </c>
      <c r="G947" s="46" t="str">
        <f>VLOOKUP(F947,[4]在职!$A:$B,2,0)</f>
        <v>01476</v>
      </c>
      <c r="H947" s="46" t="str">
        <f>VLOOKUP(F947,[4]在职!$A:$I,9,0)</f>
        <v>二星销售顾问</v>
      </c>
      <c r="I947" s="46" t="s">
        <v>915</v>
      </c>
      <c r="J947" s="83">
        <v>46084</v>
      </c>
      <c r="K947" s="46" t="s">
        <v>1432</v>
      </c>
      <c r="L947" s="46" t="s">
        <v>30</v>
      </c>
    </row>
    <row r="948" ht="16.5" spans="1:12">
      <c r="A948" s="46">
        <v>946</v>
      </c>
      <c r="B948" s="46" t="s">
        <v>45</v>
      </c>
      <c r="C948" s="46" t="str">
        <f>VLOOKUP(F948,[4]在职!$A:$E,5,0)</f>
        <v>湖南</v>
      </c>
      <c r="D948" s="46" t="str">
        <f>VLOOKUP(F948,[4]在职!$A:$G,7,0)</f>
        <v>湖南销售部</v>
      </c>
      <c r="E948" s="46" t="str">
        <f>VLOOKUP(F948,[4]在职!$A:$M,13,0)</f>
        <v>陈炳佑</v>
      </c>
      <c r="F948" s="46" t="s">
        <v>1422</v>
      </c>
      <c r="G948" s="46" t="str">
        <f>VLOOKUP(F948,[4]在职!$A:$B,2,0)</f>
        <v>01411</v>
      </c>
      <c r="H948" s="46" t="str">
        <f>VLOOKUP(F948,[4]在职!$A:$I,9,0)</f>
        <v>二星销售顾问</v>
      </c>
      <c r="I948" s="46" t="s">
        <v>915</v>
      </c>
      <c r="J948" s="83">
        <v>46084</v>
      </c>
      <c r="K948" s="46" t="s">
        <v>1432</v>
      </c>
      <c r="L948" s="46" t="s">
        <v>30</v>
      </c>
    </row>
    <row r="949" ht="16.5" spans="1:12">
      <c r="A949" s="46">
        <v>947</v>
      </c>
      <c r="B949" s="46" t="s">
        <v>45</v>
      </c>
      <c r="C949" s="46" t="str">
        <f>VLOOKUP(F949,[4]在职!$A:$E,5,0)</f>
        <v>西南总部</v>
      </c>
      <c r="D949" s="46" t="str">
        <f>VLOOKUP(F949,[4]在职!$A:$G,7,0)</f>
        <v>营业六部</v>
      </c>
      <c r="E949" s="46" t="str">
        <f>VLOOKUP(F949,[4]在职!$A:$M,13,0)</f>
        <v>刘亮</v>
      </c>
      <c r="F949" s="46" t="s">
        <v>1424</v>
      </c>
      <c r="G949" s="46" t="str">
        <f>VLOOKUP(F949,[4]在职!$A:$B,2,0)</f>
        <v>01194</v>
      </c>
      <c r="H949" s="46" t="str">
        <f>VLOOKUP(F949,[4]在职!$A:$I,9,0)</f>
        <v>B岗经理</v>
      </c>
      <c r="I949" s="46" t="s">
        <v>915</v>
      </c>
      <c r="J949" s="83">
        <v>46084</v>
      </c>
      <c r="K949" s="46" t="s">
        <v>1432</v>
      </c>
      <c r="L949" s="46" t="s">
        <v>30</v>
      </c>
    </row>
    <row r="950" ht="16.5" spans="1:12">
      <c r="A950" s="46">
        <v>948</v>
      </c>
      <c r="B950" s="46" t="s">
        <v>45</v>
      </c>
      <c r="C950" s="46" t="str">
        <f>VLOOKUP(F950,[4]在职!$A:$E,5,0)</f>
        <v>西南总部</v>
      </c>
      <c r="D950" s="46" t="str">
        <f>VLOOKUP(F950,[4]在职!$A:$G,7,0)</f>
        <v>营业五部</v>
      </c>
      <c r="E950" s="46" t="str">
        <f>VLOOKUP(F950,[4]在职!$A:$M,13,0)</f>
        <v>李敏</v>
      </c>
      <c r="F950" s="46" t="s">
        <v>1426</v>
      </c>
      <c r="G950" s="46" t="str">
        <f>VLOOKUP(F950,[4]在职!$A:$B,2,0)</f>
        <v>01532</v>
      </c>
      <c r="H950" s="46" t="str">
        <f>VLOOKUP(F950,[4]在职!$A:$I,9,0)</f>
        <v>B岗经理</v>
      </c>
      <c r="I950" s="46" t="s">
        <v>915</v>
      </c>
      <c r="J950" s="83">
        <v>46084</v>
      </c>
      <c r="K950" s="46" t="s">
        <v>1432</v>
      </c>
      <c r="L950" s="46" t="s">
        <v>30</v>
      </c>
    </row>
    <row r="951" ht="16.5" spans="1:12">
      <c r="A951" s="46">
        <v>949</v>
      </c>
      <c r="B951" s="46" t="s">
        <v>45</v>
      </c>
      <c r="C951" s="46" t="str">
        <f>VLOOKUP(F951,[4]在职!$A:$E,5,0)</f>
        <v>湖南</v>
      </c>
      <c r="D951" s="46" t="str">
        <f>VLOOKUP(F951,[4]在职!$A:$G,7,0)</f>
        <v>湖南销售部</v>
      </c>
      <c r="E951" s="46" t="str">
        <f>VLOOKUP(F951,[4]在职!$A:$M,13,0)</f>
        <v>黄勇刚</v>
      </c>
      <c r="F951" s="46" t="s">
        <v>1428</v>
      </c>
      <c r="G951" s="46" t="str">
        <f>VLOOKUP(F951,[4]在职!$A:$B,2,0)</f>
        <v>00840</v>
      </c>
      <c r="H951" s="46" t="str">
        <f>VLOOKUP(F951,[4]在职!$A:$I,9,0)</f>
        <v>B岗经理</v>
      </c>
      <c r="I951" s="46" t="s">
        <v>915</v>
      </c>
      <c r="J951" s="83">
        <v>46084</v>
      </c>
      <c r="K951" s="46" t="s">
        <v>1432</v>
      </c>
      <c r="L951" s="46" t="s">
        <v>30</v>
      </c>
    </row>
    <row r="952" ht="16.5" spans="1:12">
      <c r="A952" s="46">
        <v>950</v>
      </c>
      <c r="B952" s="46" t="s">
        <v>45</v>
      </c>
      <c r="C952" s="46" t="str">
        <f>VLOOKUP(F952,[4]在职!$A:$E,5,0)</f>
        <v>西南总部</v>
      </c>
      <c r="D952" s="46" t="str">
        <f>VLOOKUP(F952,[4]在职!$A:$G,7,0)</f>
        <v>营业七部</v>
      </c>
      <c r="E952" s="46" t="str">
        <f>VLOOKUP(F952,[4]在职!$A:$M,13,0)</f>
        <v>蒋杨</v>
      </c>
      <c r="F952" s="7" t="s">
        <v>1408</v>
      </c>
      <c r="G952" s="46" t="str">
        <f>VLOOKUP(F952,[4]在职!$A:$B,2,0)</f>
        <v>01374</v>
      </c>
      <c r="H952" s="46" t="str">
        <f>VLOOKUP(F952,[4]在职!$A:$I,9,0)</f>
        <v>B岗经理</v>
      </c>
      <c r="I952" s="46" t="s">
        <v>915</v>
      </c>
      <c r="J952" s="83">
        <v>46097</v>
      </c>
      <c r="K952" s="7" t="s">
        <v>1504</v>
      </c>
      <c r="L952" s="46" t="s">
        <v>30</v>
      </c>
    </row>
    <row r="953" ht="16.5" spans="1:12">
      <c r="A953" s="46">
        <v>951</v>
      </c>
      <c r="B953" s="46" t="s">
        <v>45</v>
      </c>
      <c r="C953" s="46" t="str">
        <f>VLOOKUP(F953,[4]在职!$A:$E,5,0)</f>
        <v>西南总部</v>
      </c>
      <c r="D953" s="46" t="str">
        <f>VLOOKUP(F953,[4]在职!$A:$G,7,0)</f>
        <v>营业二部</v>
      </c>
      <c r="E953" s="46" t="str">
        <f>VLOOKUP(F953,[4]在职!$A:$M,13,0)</f>
        <v>魏飞翔</v>
      </c>
      <c r="F953" s="7" t="s">
        <v>1410</v>
      </c>
      <c r="G953" s="46" t="str">
        <f>VLOOKUP(F953,[4]在职!$A:$B,2,0)</f>
        <v>00856</v>
      </c>
      <c r="H953" s="46" t="str">
        <f>VLOOKUP(F953,[4]在职!$A:$I,9,0)</f>
        <v>B岗经理</v>
      </c>
      <c r="I953" s="46" t="s">
        <v>915</v>
      </c>
      <c r="J953" s="83">
        <v>46097</v>
      </c>
      <c r="K953" s="7" t="s">
        <v>1504</v>
      </c>
      <c r="L953" s="46" t="s">
        <v>30</v>
      </c>
    </row>
    <row r="954" ht="16.5" spans="1:12">
      <c r="A954" s="46">
        <v>952</v>
      </c>
      <c r="B954" s="46" t="s">
        <v>45</v>
      </c>
      <c r="C954" s="46" t="str">
        <f>VLOOKUP(F954,[4]在职!$A:$E,5,0)</f>
        <v>西南总部</v>
      </c>
      <c r="D954" s="46" t="str">
        <f>VLOOKUP(F954,[4]在职!$A:$G,7,0)</f>
        <v>营业六部</v>
      </c>
      <c r="E954" s="46" t="str">
        <f>VLOOKUP(F954,[4]在职!$A:$M,13,0)</f>
        <v>刘亮</v>
      </c>
      <c r="F954" s="7" t="s">
        <v>1424</v>
      </c>
      <c r="G954" s="46" t="str">
        <f>VLOOKUP(F954,[4]在职!$A:$B,2,0)</f>
        <v>01194</v>
      </c>
      <c r="H954" s="46" t="str">
        <f>VLOOKUP(F954,[4]在职!$A:$I,9,0)</f>
        <v>B岗经理</v>
      </c>
      <c r="I954" s="46" t="s">
        <v>915</v>
      </c>
      <c r="J954" s="83">
        <v>46097</v>
      </c>
      <c r="K954" s="7" t="s">
        <v>1504</v>
      </c>
      <c r="L954" s="46" t="s">
        <v>30</v>
      </c>
    </row>
    <row r="955" ht="16.5" spans="1:12">
      <c r="A955" s="46">
        <v>953</v>
      </c>
      <c r="B955" s="46" t="s">
        <v>45</v>
      </c>
      <c r="C955" s="46" t="str">
        <f>VLOOKUP(F955,[4]在职!$A:$E,5,0)</f>
        <v>西南总部</v>
      </c>
      <c r="D955" s="46" t="str">
        <f>VLOOKUP(F955,[4]在职!$A:$G,7,0)</f>
        <v>营业五部</v>
      </c>
      <c r="E955" s="46" t="str">
        <f>VLOOKUP(F955,[4]在职!$A:$M,13,0)</f>
        <v>杨科</v>
      </c>
      <c r="F955" s="7" t="s">
        <v>1396</v>
      </c>
      <c r="G955" s="46" t="str">
        <f>VLOOKUP(F955,[4]在职!$A:$B,2,0)</f>
        <v>01351</v>
      </c>
      <c r="H955" s="46" t="str">
        <f>VLOOKUP(F955,[4]在职!$A:$I,9,0)</f>
        <v>B岗经理</v>
      </c>
      <c r="I955" s="46" t="s">
        <v>915</v>
      </c>
      <c r="J955" s="83">
        <v>46097</v>
      </c>
      <c r="K955" s="7" t="s">
        <v>1504</v>
      </c>
      <c r="L955" s="46" t="s">
        <v>30</v>
      </c>
    </row>
    <row r="956" ht="16.5" spans="1:12">
      <c r="A956" s="46">
        <v>954</v>
      </c>
      <c r="B956" s="46" t="s">
        <v>45</v>
      </c>
      <c r="C956" s="46" t="str">
        <f>VLOOKUP(F956,[4]在职!$A:$E,5,0)</f>
        <v>陕西</v>
      </c>
      <c r="D956" s="46" t="str">
        <f>VLOOKUP(F956,[4]在职!$A:$G,7,0)</f>
        <v>陕西2部</v>
      </c>
      <c r="E956" s="46" t="str">
        <f>VLOOKUP(F956,[4]在职!$A:$M,13,0)</f>
        <v>李耀</v>
      </c>
      <c r="F956" s="7" t="s">
        <v>1406</v>
      </c>
      <c r="G956" s="46" t="str">
        <f>VLOOKUP(F956,[4]在职!$A:$B,2,0)</f>
        <v>00945</v>
      </c>
      <c r="H956" s="46" t="str">
        <f>VLOOKUP(F956,[4]在职!$A:$I,9,0)</f>
        <v>三星销售顾问</v>
      </c>
      <c r="I956" s="46" t="s">
        <v>915</v>
      </c>
      <c r="J956" s="83">
        <v>46097</v>
      </c>
      <c r="K956" s="7" t="s">
        <v>1504</v>
      </c>
      <c r="L956" s="46" t="s">
        <v>30</v>
      </c>
    </row>
    <row r="957" ht="16.5" spans="1:12">
      <c r="A957" s="46">
        <v>955</v>
      </c>
      <c r="B957" s="46" t="s">
        <v>45</v>
      </c>
      <c r="C957" s="46" t="str">
        <f>VLOOKUP(F957,[4]在职!$A:$E,5,0)</f>
        <v>山东</v>
      </c>
      <c r="D957" s="46" t="str">
        <f>VLOOKUP(F957,[4]在职!$A:$G,7,0)</f>
        <v>山东销售部</v>
      </c>
      <c r="E957" s="46" t="str">
        <f>VLOOKUP(F957,[4]在职!$A:$M,13,0)</f>
        <v>苏晓青</v>
      </c>
      <c r="F957" s="7" t="s">
        <v>1416</v>
      </c>
      <c r="G957" s="46" t="str">
        <f>VLOOKUP(F957,[4]在职!$A:$B,2,0)</f>
        <v>00993</v>
      </c>
      <c r="H957" s="46" t="str">
        <f>VLOOKUP(F957,[4]在职!$A:$I,9,0)</f>
        <v>B岗经理</v>
      </c>
      <c r="I957" s="46" t="s">
        <v>915</v>
      </c>
      <c r="J957" s="83">
        <v>46097</v>
      </c>
      <c r="K957" s="7" t="s">
        <v>1504</v>
      </c>
      <c r="L957" s="46" t="s">
        <v>30</v>
      </c>
    </row>
    <row r="958" ht="16.5" spans="1:12">
      <c r="A958" s="46">
        <v>956</v>
      </c>
      <c r="B958" s="46" t="s">
        <v>45</v>
      </c>
      <c r="C958" s="46" t="str">
        <f>VLOOKUP(F958,[4]在职!$A:$E,5,0)</f>
        <v>西南总部</v>
      </c>
      <c r="D958" s="46" t="str">
        <f>VLOOKUP(F958,[4]在职!$A:$G,7,0)</f>
        <v>营业五部</v>
      </c>
      <c r="E958" s="46" t="str">
        <f>VLOOKUP(F958,[4]在职!$A:$M,13,0)</f>
        <v>李敏</v>
      </c>
      <c r="F958" s="7" t="s">
        <v>1426</v>
      </c>
      <c r="G958" s="46" t="str">
        <f>VLOOKUP(F958,[4]在职!$A:$B,2,0)</f>
        <v>01532</v>
      </c>
      <c r="H958" s="46" t="str">
        <f>VLOOKUP(F958,[4]在职!$A:$I,9,0)</f>
        <v>B岗经理</v>
      </c>
      <c r="I958" s="46" t="s">
        <v>915</v>
      </c>
      <c r="J958" s="83">
        <v>46097</v>
      </c>
      <c r="K958" s="7" t="s">
        <v>1504</v>
      </c>
      <c r="L958" s="46" t="s">
        <v>30</v>
      </c>
    </row>
    <row r="959" ht="16.5" spans="1:12">
      <c r="A959" s="46">
        <v>957</v>
      </c>
      <c r="B959" s="46" t="s">
        <v>45</v>
      </c>
      <c r="C959" s="46" t="str">
        <f>VLOOKUP(F959,[4]在职!$A:$E,5,0)</f>
        <v>西南总部</v>
      </c>
      <c r="D959" s="46" t="str">
        <f>VLOOKUP(F959,[4]在职!$A:$G,7,0)</f>
        <v>营业四部</v>
      </c>
      <c r="E959" s="46" t="str">
        <f>VLOOKUP(F959,[4]在职!$A:$M,13,0)</f>
        <v>刘亮</v>
      </c>
      <c r="F959" s="7" t="s">
        <v>1392</v>
      </c>
      <c r="G959" s="46" t="str">
        <f>VLOOKUP(F959,[4]在职!$A:$B,2,0)</f>
        <v>01105</v>
      </c>
      <c r="H959" s="46" t="str">
        <f>VLOOKUP(F959,[4]在职!$A:$I,9,0)</f>
        <v>B岗经理</v>
      </c>
      <c r="I959" s="46" t="s">
        <v>915</v>
      </c>
      <c r="J959" s="83">
        <v>46097</v>
      </c>
      <c r="K959" s="7" t="s">
        <v>1504</v>
      </c>
      <c r="L959" s="46" t="s">
        <v>30</v>
      </c>
    </row>
    <row r="960" ht="16.5" spans="1:12">
      <c r="A960" s="46">
        <v>958</v>
      </c>
      <c r="B960" s="46" t="s">
        <v>45</v>
      </c>
      <c r="C960" s="46" t="str">
        <f>VLOOKUP(F960,[4]在职!$A:$E,5,0)</f>
        <v>西南总部</v>
      </c>
      <c r="D960" s="46" t="str">
        <f>VLOOKUP(F960,[4]在职!$A:$G,7,0)</f>
        <v>营业二部</v>
      </c>
      <c r="E960" s="46" t="str">
        <f>VLOOKUP(F960,[4]在职!$A:$M,13,0)</f>
        <v>柏刚</v>
      </c>
      <c r="F960" s="7" t="s">
        <v>1418</v>
      </c>
      <c r="G960" s="46" t="str">
        <f>VLOOKUP(F960,[4]在职!$A:$B,2,0)</f>
        <v>00693</v>
      </c>
      <c r="H960" s="46" t="str">
        <f>VLOOKUP(F960,[4]在职!$A:$I,9,0)</f>
        <v>三星销售顾问</v>
      </c>
      <c r="I960" s="46" t="s">
        <v>915</v>
      </c>
      <c r="J960" s="83">
        <v>46097</v>
      </c>
      <c r="K960" s="7" t="s">
        <v>1504</v>
      </c>
      <c r="L960" s="46" t="s">
        <v>30</v>
      </c>
    </row>
    <row r="961" ht="16.5" spans="1:12">
      <c r="A961" s="46">
        <v>959</v>
      </c>
      <c r="B961" s="46" t="s">
        <v>45</v>
      </c>
      <c r="C961" s="46" t="str">
        <f>VLOOKUP(F961,[4]在职!$A:$E,5,0)</f>
        <v>西南总部</v>
      </c>
      <c r="D961" s="46" t="str">
        <f>VLOOKUP(F961,[4]在职!$A:$G,7,0)</f>
        <v>营业二部</v>
      </c>
      <c r="E961" s="46" t="str">
        <f>VLOOKUP(F961,[4]在职!$A:$M,13,0)</f>
        <v>杨芊</v>
      </c>
      <c r="F961" s="7" t="s">
        <v>1398</v>
      </c>
      <c r="G961" s="46" t="str">
        <f>VLOOKUP(F961,[4]在职!$A:$B,2,0)</f>
        <v>00950</v>
      </c>
      <c r="H961" s="46" t="str">
        <f>VLOOKUP(F961,[4]在职!$A:$I,9,0)</f>
        <v>三星销售顾问</v>
      </c>
      <c r="I961" s="46" t="s">
        <v>915</v>
      </c>
      <c r="J961" s="83">
        <v>46097</v>
      </c>
      <c r="K961" s="7" t="s">
        <v>1504</v>
      </c>
      <c r="L961" s="46" t="s">
        <v>30</v>
      </c>
    </row>
    <row r="962" ht="16.5" spans="1:12">
      <c r="A962" s="46">
        <v>960</v>
      </c>
      <c r="B962" s="46" t="s">
        <v>45</v>
      </c>
      <c r="C962" s="46" t="str">
        <f>VLOOKUP(F962,[4]在职!$A:$E,5,0)</f>
        <v>西南总部</v>
      </c>
      <c r="D962" s="46" t="str">
        <f>VLOOKUP(F962,[4]在职!$A:$G,7,0)</f>
        <v>营业七部</v>
      </c>
      <c r="E962" s="46" t="str">
        <f>VLOOKUP(F962,[4]在职!$A:$M,13,0)</f>
        <v>谢沁霜</v>
      </c>
      <c r="F962" s="7" t="s">
        <v>1404</v>
      </c>
      <c r="G962" s="46" t="str">
        <f>VLOOKUP(F962,[4]在职!$A:$B,2,0)</f>
        <v>00893</v>
      </c>
      <c r="H962" s="46" t="str">
        <f>VLOOKUP(F962,[4]在职!$A:$I,9,0)</f>
        <v>三星销售顾问</v>
      </c>
      <c r="I962" s="46" t="s">
        <v>915</v>
      </c>
      <c r="J962" s="83">
        <v>46097</v>
      </c>
      <c r="K962" s="7" t="s">
        <v>1504</v>
      </c>
      <c r="L962" s="46" t="s">
        <v>30</v>
      </c>
    </row>
    <row r="963" ht="16.5" spans="1:12">
      <c r="A963" s="46">
        <v>961</v>
      </c>
      <c r="B963" s="46" t="s">
        <v>45</v>
      </c>
      <c r="C963" s="46" t="str">
        <f>VLOOKUP(F963,[4]在职!$A:$E,5,0)</f>
        <v>陕西</v>
      </c>
      <c r="D963" s="46" t="str">
        <f>VLOOKUP(F963,[4]在职!$A:$G,7,0)</f>
        <v>陕西1部</v>
      </c>
      <c r="E963" s="46" t="str">
        <f>VLOOKUP(F963,[4]在职!$A:$M,13,0)</f>
        <v>杨永梅</v>
      </c>
      <c r="F963" s="7" t="s">
        <v>1394</v>
      </c>
      <c r="G963" s="46" t="str">
        <f>VLOOKUP(F963,[4]在职!$A:$B,2,0)</f>
        <v>01158</v>
      </c>
      <c r="H963" s="46" t="str">
        <f>VLOOKUP(F963,[4]在职!$A:$I,9,0)</f>
        <v>三星销售顾问</v>
      </c>
      <c r="I963" s="46" t="s">
        <v>915</v>
      </c>
      <c r="J963" s="83">
        <v>46097</v>
      </c>
      <c r="K963" s="7" t="s">
        <v>1504</v>
      </c>
      <c r="L963" s="46" t="s">
        <v>30</v>
      </c>
    </row>
    <row r="964" ht="16.5" spans="1:12">
      <c r="A964" s="46">
        <v>962</v>
      </c>
      <c r="B964" s="46" t="s">
        <v>45</v>
      </c>
      <c r="C964" s="46" t="str">
        <f>VLOOKUP(F964,[4]在职!$A:$E,5,0)</f>
        <v>山西</v>
      </c>
      <c r="D964" s="46" t="str">
        <f>VLOOKUP(F964,[4]在职!$A:$G,7,0)</f>
        <v>山西销售部</v>
      </c>
      <c r="E964" s="46" t="str">
        <f>VLOOKUP(F964,[4]在职!$A:$M,13,0)</f>
        <v>彭停</v>
      </c>
      <c r="F964" s="7" t="s">
        <v>1414</v>
      </c>
      <c r="G964" s="46" t="str">
        <f>VLOOKUP(F964,[4]在职!$A:$B,2,0)</f>
        <v>01046</v>
      </c>
      <c r="H964" s="46" t="str">
        <f>VLOOKUP(F964,[4]在职!$A:$I,9,0)</f>
        <v>三星销售顾问</v>
      </c>
      <c r="I964" s="46" t="s">
        <v>915</v>
      </c>
      <c r="J964" s="83">
        <v>46097</v>
      </c>
      <c r="K964" s="7" t="s">
        <v>1504</v>
      </c>
      <c r="L964" s="46" t="s">
        <v>30</v>
      </c>
    </row>
    <row r="965" ht="16.5" spans="1:12">
      <c r="A965" s="46">
        <v>963</v>
      </c>
      <c r="B965" s="46" t="s">
        <v>45</v>
      </c>
      <c r="C965" s="46" t="str">
        <f>VLOOKUP(F965,[4]在职!$A:$E,5,0)</f>
        <v>湖南</v>
      </c>
      <c r="D965" s="46" t="str">
        <f>VLOOKUP(F965,[4]在职!$A:$G,7,0)</f>
        <v>湖南销售部</v>
      </c>
      <c r="E965" s="46" t="str">
        <f>VLOOKUP(F965,[4]在职!$A:$M,13,0)</f>
        <v>黄勇刚</v>
      </c>
      <c r="F965" s="7" t="s">
        <v>1428</v>
      </c>
      <c r="G965" s="46" t="str">
        <f>VLOOKUP(F965,[4]在职!$A:$B,2,0)</f>
        <v>00840</v>
      </c>
      <c r="H965" s="46" t="str">
        <f>VLOOKUP(F965,[4]在职!$A:$I,9,0)</f>
        <v>B岗经理</v>
      </c>
      <c r="I965" s="46" t="s">
        <v>915</v>
      </c>
      <c r="J965" s="83">
        <v>46097</v>
      </c>
      <c r="K965" s="7" t="s">
        <v>1504</v>
      </c>
      <c r="L965" s="46" t="s">
        <v>30</v>
      </c>
    </row>
    <row r="966" ht="16.5" spans="1:12">
      <c r="A966" s="46">
        <v>964</v>
      </c>
      <c r="B966" s="46" t="s">
        <v>45</v>
      </c>
      <c r="C966" s="46" t="str">
        <f>VLOOKUP(F966,[4]在职!$A:$E,5,0)</f>
        <v>湖北</v>
      </c>
      <c r="D966" s="46" t="str">
        <f>VLOOKUP(F966,[4]在职!$A:$G,7,0)</f>
        <v>湖北2部</v>
      </c>
      <c r="E966" s="46" t="str">
        <f>VLOOKUP(F966,[4]在职!$A:$M,13,0)</f>
        <v>陈晓辉</v>
      </c>
      <c r="F966" s="7" t="s">
        <v>1390</v>
      </c>
      <c r="G966" s="46" t="str">
        <f>VLOOKUP(F966,[4]在职!$A:$B,2,0)</f>
        <v>01320</v>
      </c>
      <c r="H966" s="46" t="str">
        <f>VLOOKUP(F966,[4]在职!$A:$I,9,0)</f>
        <v>三星销售顾问</v>
      </c>
      <c r="I966" s="46" t="s">
        <v>915</v>
      </c>
      <c r="J966" s="83">
        <v>46097</v>
      </c>
      <c r="K966" s="7" t="s">
        <v>1504</v>
      </c>
      <c r="L966" s="46" t="s">
        <v>30</v>
      </c>
    </row>
    <row r="967" ht="16.5" spans="1:12">
      <c r="A967" s="46">
        <v>965</v>
      </c>
      <c r="B967" s="46" t="s">
        <v>45</v>
      </c>
      <c r="C967" s="46" t="str">
        <f>VLOOKUP(F967,[4]在职!$A:$E,5,0)</f>
        <v>河南</v>
      </c>
      <c r="D967" s="46" t="str">
        <f>VLOOKUP(F967,[4]在职!$A:$G,7,0)</f>
        <v>河南销售部</v>
      </c>
      <c r="E967" s="46" t="str">
        <f>VLOOKUP(F967,[4]在职!$A:$M,13,0)</f>
        <v>余金梅</v>
      </c>
      <c r="F967" s="7" t="s">
        <v>1402</v>
      </c>
      <c r="G967" s="46" t="str">
        <f>VLOOKUP(F967,[4]在职!$A:$B,2,0)</f>
        <v>01421</v>
      </c>
      <c r="H967" s="46" t="str">
        <f>VLOOKUP(F967,[4]在职!$A:$I,9,0)</f>
        <v>二星销售顾问</v>
      </c>
      <c r="I967" s="46" t="s">
        <v>915</v>
      </c>
      <c r="J967" s="83">
        <v>46097</v>
      </c>
      <c r="K967" s="7" t="s">
        <v>1504</v>
      </c>
      <c r="L967" s="46" t="s">
        <v>30</v>
      </c>
    </row>
    <row r="968" ht="16.5" spans="1:12">
      <c r="A968" s="46">
        <v>966</v>
      </c>
      <c r="B968" s="46" t="s">
        <v>45</v>
      </c>
      <c r="C968" s="46" t="str">
        <f>VLOOKUP(F968,[4]在职!$A:$E,5,0)</f>
        <v>河北</v>
      </c>
      <c r="D968" s="46" t="str">
        <f>VLOOKUP(F968,[4]在职!$A:$G,7,0)</f>
        <v>河北销售部</v>
      </c>
      <c r="E968" s="46" t="str">
        <f>VLOOKUP(F968,[4]在职!$A:$M,13,0)</f>
        <v>李港一</v>
      </c>
      <c r="F968" s="7" t="s">
        <v>1420</v>
      </c>
      <c r="G968" s="46" t="str">
        <f>VLOOKUP(F968,[4]在职!$A:$B,2,0)</f>
        <v>01476</v>
      </c>
      <c r="H968" s="46" t="str">
        <f>VLOOKUP(F968,[4]在职!$A:$I,9,0)</f>
        <v>二星销售顾问</v>
      </c>
      <c r="I968" s="46" t="s">
        <v>915</v>
      </c>
      <c r="J968" s="83">
        <v>46097</v>
      </c>
      <c r="K968" s="7" t="s">
        <v>1504</v>
      </c>
      <c r="L968" s="46" t="s">
        <v>30</v>
      </c>
    </row>
    <row r="969" ht="16.5" spans="1:12">
      <c r="A969" s="46">
        <v>967</v>
      </c>
      <c r="B969" s="46" t="s">
        <v>45</v>
      </c>
      <c r="C969" s="46" t="str">
        <f>VLOOKUP(F969,[4]在职!$A:$E,5,0)</f>
        <v>西南总部</v>
      </c>
      <c r="D969" s="46" t="str">
        <f>VLOOKUP(F969,[4]在职!$A:$G,7,0)</f>
        <v>营业七部</v>
      </c>
      <c r="E969" s="46" t="str">
        <f>VLOOKUP(F969,[4]在职!$A:$M,13,0)</f>
        <v>蒋杨</v>
      </c>
      <c r="F969" s="7" t="s">
        <v>1408</v>
      </c>
      <c r="G969" s="46" t="str">
        <f>VLOOKUP(F969,[4]在职!$A:$B,2,0)</f>
        <v>01374</v>
      </c>
      <c r="H969" s="46" t="str">
        <f>VLOOKUP(F969,[4]在职!$A:$I,9,0)</f>
        <v>B岗经理</v>
      </c>
      <c r="I969" s="46" t="s">
        <v>915</v>
      </c>
      <c r="J969" s="83">
        <v>46098</v>
      </c>
      <c r="K969" s="46" t="s">
        <v>1505</v>
      </c>
      <c r="L969" s="46" t="s">
        <v>30</v>
      </c>
    </row>
    <row r="970" ht="16.5" spans="1:12">
      <c r="A970" s="46">
        <v>968</v>
      </c>
      <c r="B970" s="46" t="s">
        <v>45</v>
      </c>
      <c r="C970" s="46" t="str">
        <f>VLOOKUP(F970,[4]在职!$A:$E,5,0)</f>
        <v>西南总部</v>
      </c>
      <c r="D970" s="46" t="str">
        <f>VLOOKUP(F970,[4]在职!$A:$G,7,0)</f>
        <v>营业二部</v>
      </c>
      <c r="E970" s="46" t="str">
        <f>VLOOKUP(F970,[4]在职!$A:$M,13,0)</f>
        <v>魏飞翔</v>
      </c>
      <c r="F970" s="7" t="s">
        <v>1410</v>
      </c>
      <c r="G970" s="46" t="str">
        <f>VLOOKUP(F970,[4]在职!$A:$B,2,0)</f>
        <v>00856</v>
      </c>
      <c r="H970" s="46" t="str">
        <f>VLOOKUP(F970,[4]在职!$A:$I,9,0)</f>
        <v>B岗经理</v>
      </c>
      <c r="I970" s="46" t="s">
        <v>915</v>
      </c>
      <c r="J970" s="83">
        <v>46098</v>
      </c>
      <c r="K970" s="46" t="s">
        <v>1505</v>
      </c>
      <c r="L970" s="46" t="s">
        <v>30</v>
      </c>
    </row>
    <row r="971" ht="16.5" spans="1:12">
      <c r="A971" s="46">
        <v>969</v>
      </c>
      <c r="B971" s="46" t="s">
        <v>45</v>
      </c>
      <c r="C971" s="46" t="str">
        <f>VLOOKUP(F971,[4]在职!$A:$E,5,0)</f>
        <v>西南总部</v>
      </c>
      <c r="D971" s="46" t="str">
        <f>VLOOKUP(F971,[4]在职!$A:$G,7,0)</f>
        <v>营业六部</v>
      </c>
      <c r="E971" s="46" t="str">
        <f>VLOOKUP(F971,[4]在职!$A:$M,13,0)</f>
        <v>刘亮</v>
      </c>
      <c r="F971" s="7" t="s">
        <v>1424</v>
      </c>
      <c r="G971" s="46" t="str">
        <f>VLOOKUP(F971,[4]在职!$A:$B,2,0)</f>
        <v>01194</v>
      </c>
      <c r="H971" s="46" t="str">
        <f>VLOOKUP(F971,[4]在职!$A:$I,9,0)</f>
        <v>B岗经理</v>
      </c>
      <c r="I971" s="46" t="s">
        <v>915</v>
      </c>
      <c r="J971" s="83">
        <v>46098</v>
      </c>
      <c r="K971" s="46" t="s">
        <v>1505</v>
      </c>
      <c r="L971" s="46" t="s">
        <v>30</v>
      </c>
    </row>
    <row r="972" ht="16.5" spans="1:12">
      <c r="A972" s="46">
        <v>970</v>
      </c>
      <c r="B972" s="46" t="s">
        <v>45</v>
      </c>
      <c r="C972" s="46" t="str">
        <f>VLOOKUP(F972,[4]在职!$A:$E,5,0)</f>
        <v>西南总部</v>
      </c>
      <c r="D972" s="46" t="str">
        <f>VLOOKUP(F972,[4]在职!$A:$G,7,0)</f>
        <v>营业五部</v>
      </c>
      <c r="E972" s="46" t="str">
        <f>VLOOKUP(F972,[4]在职!$A:$M,13,0)</f>
        <v>杨科</v>
      </c>
      <c r="F972" s="7" t="s">
        <v>1396</v>
      </c>
      <c r="G972" s="46" t="str">
        <f>VLOOKUP(F972,[4]在职!$A:$B,2,0)</f>
        <v>01351</v>
      </c>
      <c r="H972" s="46" t="str">
        <f>VLOOKUP(F972,[4]在职!$A:$I,9,0)</f>
        <v>B岗经理</v>
      </c>
      <c r="I972" s="46" t="s">
        <v>915</v>
      </c>
      <c r="J972" s="83">
        <v>46098</v>
      </c>
      <c r="K972" s="46" t="s">
        <v>1505</v>
      </c>
      <c r="L972" s="46" t="s">
        <v>30</v>
      </c>
    </row>
    <row r="973" ht="16.5" spans="1:12">
      <c r="A973" s="46">
        <v>971</v>
      </c>
      <c r="B973" s="46" t="s">
        <v>45</v>
      </c>
      <c r="C973" s="46" t="str">
        <f>VLOOKUP(F973,[4]在职!$A:$E,5,0)</f>
        <v>陕西</v>
      </c>
      <c r="D973" s="46" t="str">
        <f>VLOOKUP(F973,[4]在职!$A:$G,7,0)</f>
        <v>陕西2部</v>
      </c>
      <c r="E973" s="46" t="str">
        <f>VLOOKUP(F973,[4]在职!$A:$M,13,0)</f>
        <v>李耀</v>
      </c>
      <c r="F973" s="7" t="s">
        <v>1406</v>
      </c>
      <c r="G973" s="46" t="str">
        <f>VLOOKUP(F973,[4]在职!$A:$B,2,0)</f>
        <v>00945</v>
      </c>
      <c r="H973" s="46" t="str">
        <f>VLOOKUP(F973,[4]在职!$A:$I,9,0)</f>
        <v>三星销售顾问</v>
      </c>
      <c r="I973" s="46" t="s">
        <v>915</v>
      </c>
      <c r="J973" s="83">
        <v>46098</v>
      </c>
      <c r="K973" s="46" t="s">
        <v>1505</v>
      </c>
      <c r="L973" s="46" t="s">
        <v>30</v>
      </c>
    </row>
    <row r="974" ht="16.5" spans="1:12">
      <c r="A974" s="46">
        <v>972</v>
      </c>
      <c r="B974" s="46" t="s">
        <v>45</v>
      </c>
      <c r="C974" s="46" t="str">
        <f>VLOOKUP(F974,[4]在职!$A:$E,5,0)</f>
        <v>山东</v>
      </c>
      <c r="D974" s="46" t="str">
        <f>VLOOKUP(F974,[4]在职!$A:$G,7,0)</f>
        <v>山东销售部</v>
      </c>
      <c r="E974" s="46" t="str">
        <f>VLOOKUP(F974,[4]在职!$A:$M,13,0)</f>
        <v>苏晓青</v>
      </c>
      <c r="F974" s="7" t="s">
        <v>1416</v>
      </c>
      <c r="G974" s="46" t="str">
        <f>VLOOKUP(F974,[4]在职!$A:$B,2,0)</f>
        <v>00993</v>
      </c>
      <c r="H974" s="46" t="str">
        <f>VLOOKUP(F974,[4]在职!$A:$I,9,0)</f>
        <v>B岗经理</v>
      </c>
      <c r="I974" s="46" t="s">
        <v>915</v>
      </c>
      <c r="J974" s="83">
        <v>46098</v>
      </c>
      <c r="K974" s="46" t="s">
        <v>1505</v>
      </c>
      <c r="L974" s="46" t="s">
        <v>30</v>
      </c>
    </row>
    <row r="975" ht="16.5" spans="1:12">
      <c r="A975" s="46">
        <v>973</v>
      </c>
      <c r="B975" s="46" t="s">
        <v>45</v>
      </c>
      <c r="C975" s="46" t="str">
        <f>VLOOKUP(F975,[4]在职!$A:$E,5,0)</f>
        <v>西南总部</v>
      </c>
      <c r="D975" s="46" t="str">
        <f>VLOOKUP(F975,[4]在职!$A:$G,7,0)</f>
        <v>营业五部</v>
      </c>
      <c r="E975" s="46" t="str">
        <f>VLOOKUP(F975,[4]在职!$A:$M,13,0)</f>
        <v>李敏</v>
      </c>
      <c r="F975" s="7" t="s">
        <v>1426</v>
      </c>
      <c r="G975" s="46" t="str">
        <f>VLOOKUP(F975,[4]在职!$A:$B,2,0)</f>
        <v>01532</v>
      </c>
      <c r="H975" s="46" t="str">
        <f>VLOOKUP(F975,[4]在职!$A:$I,9,0)</f>
        <v>B岗经理</v>
      </c>
      <c r="I975" s="46" t="s">
        <v>915</v>
      </c>
      <c r="J975" s="83">
        <v>46098</v>
      </c>
      <c r="K975" s="46" t="s">
        <v>1505</v>
      </c>
      <c r="L975" s="46" t="s">
        <v>30</v>
      </c>
    </row>
    <row r="976" ht="16.5" spans="1:12">
      <c r="A976" s="46">
        <v>974</v>
      </c>
      <c r="B976" s="46" t="s">
        <v>45</v>
      </c>
      <c r="C976" s="46" t="str">
        <f>VLOOKUP(F976,[4]在职!$A:$E,5,0)</f>
        <v>西南总部</v>
      </c>
      <c r="D976" s="46" t="str">
        <f>VLOOKUP(F976,[4]在职!$A:$G,7,0)</f>
        <v>营业四部</v>
      </c>
      <c r="E976" s="46" t="str">
        <f>VLOOKUP(F976,[4]在职!$A:$M,13,0)</f>
        <v>刘亮</v>
      </c>
      <c r="F976" s="7" t="s">
        <v>1392</v>
      </c>
      <c r="G976" s="46" t="str">
        <f>VLOOKUP(F976,[4]在职!$A:$B,2,0)</f>
        <v>01105</v>
      </c>
      <c r="H976" s="46" t="str">
        <f>VLOOKUP(F976,[4]在职!$A:$I,9,0)</f>
        <v>B岗经理</v>
      </c>
      <c r="I976" s="46" t="s">
        <v>915</v>
      </c>
      <c r="J976" s="83">
        <v>46098</v>
      </c>
      <c r="K976" s="46" t="s">
        <v>1505</v>
      </c>
      <c r="L976" s="46" t="s">
        <v>30</v>
      </c>
    </row>
    <row r="977" ht="16.5" spans="1:12">
      <c r="A977" s="46">
        <v>975</v>
      </c>
      <c r="B977" s="46" t="s">
        <v>45</v>
      </c>
      <c r="C977" s="46" t="str">
        <f>VLOOKUP(F977,[4]在职!$A:$E,5,0)</f>
        <v>西南总部</v>
      </c>
      <c r="D977" s="46" t="str">
        <f>VLOOKUP(F977,[4]在职!$A:$G,7,0)</f>
        <v>营业二部</v>
      </c>
      <c r="E977" s="46" t="str">
        <f>VLOOKUP(F977,[4]在职!$A:$M,13,0)</f>
        <v>柏刚</v>
      </c>
      <c r="F977" s="7" t="s">
        <v>1418</v>
      </c>
      <c r="G977" s="46" t="str">
        <f>VLOOKUP(F977,[4]在职!$A:$B,2,0)</f>
        <v>00693</v>
      </c>
      <c r="H977" s="46" t="str">
        <f>VLOOKUP(F977,[4]在职!$A:$I,9,0)</f>
        <v>三星销售顾问</v>
      </c>
      <c r="I977" s="46" t="s">
        <v>915</v>
      </c>
      <c r="J977" s="83">
        <v>46098</v>
      </c>
      <c r="K977" s="46" t="s">
        <v>1505</v>
      </c>
      <c r="L977" s="46" t="s">
        <v>30</v>
      </c>
    </row>
    <row r="978" ht="16.5" spans="1:12">
      <c r="A978" s="46">
        <v>976</v>
      </c>
      <c r="B978" s="46" t="s">
        <v>45</v>
      </c>
      <c r="C978" s="46" t="str">
        <f>VLOOKUP(F978,[4]在职!$A:$E,5,0)</f>
        <v>西南总部</v>
      </c>
      <c r="D978" s="46" t="str">
        <f>VLOOKUP(F978,[4]在职!$A:$G,7,0)</f>
        <v>营业二部</v>
      </c>
      <c r="E978" s="46" t="str">
        <f>VLOOKUP(F978,[4]在职!$A:$M,13,0)</f>
        <v>杨芊</v>
      </c>
      <c r="F978" s="7" t="s">
        <v>1398</v>
      </c>
      <c r="G978" s="46" t="str">
        <f>VLOOKUP(F978,[4]在职!$A:$B,2,0)</f>
        <v>00950</v>
      </c>
      <c r="H978" s="46" t="str">
        <f>VLOOKUP(F978,[4]在职!$A:$I,9,0)</f>
        <v>三星销售顾问</v>
      </c>
      <c r="I978" s="46" t="s">
        <v>915</v>
      </c>
      <c r="J978" s="83">
        <v>46098</v>
      </c>
      <c r="K978" s="46" t="s">
        <v>1505</v>
      </c>
      <c r="L978" s="46" t="s">
        <v>30</v>
      </c>
    </row>
    <row r="979" ht="16.5" spans="1:12">
      <c r="A979" s="46">
        <v>977</v>
      </c>
      <c r="B979" s="46" t="s">
        <v>45</v>
      </c>
      <c r="C979" s="46" t="str">
        <f>VLOOKUP(F979,[4]在职!$A:$E,5,0)</f>
        <v>西南总部</v>
      </c>
      <c r="D979" s="46" t="str">
        <f>VLOOKUP(F979,[4]在职!$A:$G,7,0)</f>
        <v>营业七部</v>
      </c>
      <c r="E979" s="46" t="str">
        <f>VLOOKUP(F979,[4]在职!$A:$M,13,0)</f>
        <v>谢沁霜</v>
      </c>
      <c r="F979" s="7" t="s">
        <v>1404</v>
      </c>
      <c r="G979" s="46" t="str">
        <f>VLOOKUP(F979,[4]在职!$A:$B,2,0)</f>
        <v>00893</v>
      </c>
      <c r="H979" s="46" t="str">
        <f>VLOOKUP(F979,[4]在职!$A:$I,9,0)</f>
        <v>三星销售顾问</v>
      </c>
      <c r="I979" s="46" t="s">
        <v>915</v>
      </c>
      <c r="J979" s="83">
        <v>46098</v>
      </c>
      <c r="K979" s="46" t="s">
        <v>1505</v>
      </c>
      <c r="L979" s="46" t="s">
        <v>30</v>
      </c>
    </row>
    <row r="980" ht="16.5" spans="1:12">
      <c r="A980" s="46">
        <v>978</v>
      </c>
      <c r="B980" s="46" t="s">
        <v>45</v>
      </c>
      <c r="C980" s="46" t="str">
        <f>VLOOKUP(F980,[4]在职!$A:$E,5,0)</f>
        <v>陕西</v>
      </c>
      <c r="D980" s="46" t="str">
        <f>VLOOKUP(F980,[4]在职!$A:$G,7,0)</f>
        <v>陕西1部</v>
      </c>
      <c r="E980" s="46" t="str">
        <f>VLOOKUP(F980,[4]在职!$A:$M,13,0)</f>
        <v>杨永梅</v>
      </c>
      <c r="F980" s="7" t="s">
        <v>1394</v>
      </c>
      <c r="G980" s="46" t="str">
        <f>VLOOKUP(F980,[4]在职!$A:$B,2,0)</f>
        <v>01158</v>
      </c>
      <c r="H980" s="46" t="str">
        <f>VLOOKUP(F980,[4]在职!$A:$I,9,0)</f>
        <v>三星销售顾问</v>
      </c>
      <c r="I980" s="46" t="s">
        <v>915</v>
      </c>
      <c r="J980" s="83">
        <v>46098</v>
      </c>
      <c r="K980" s="46" t="s">
        <v>1505</v>
      </c>
      <c r="L980" s="46" t="s">
        <v>30</v>
      </c>
    </row>
    <row r="981" ht="16.5" spans="1:12">
      <c r="A981" s="46">
        <v>979</v>
      </c>
      <c r="B981" s="46" t="s">
        <v>45</v>
      </c>
      <c r="C981" s="46" t="str">
        <f>VLOOKUP(F981,[4]在职!$A:$E,5,0)</f>
        <v>山西</v>
      </c>
      <c r="D981" s="46" t="str">
        <f>VLOOKUP(F981,[4]在职!$A:$G,7,0)</f>
        <v>山西销售部</v>
      </c>
      <c r="E981" s="46" t="str">
        <f>VLOOKUP(F981,[4]在职!$A:$M,13,0)</f>
        <v>彭停</v>
      </c>
      <c r="F981" s="7" t="s">
        <v>1414</v>
      </c>
      <c r="G981" s="46" t="str">
        <f>VLOOKUP(F981,[4]在职!$A:$B,2,0)</f>
        <v>01046</v>
      </c>
      <c r="H981" s="46" t="str">
        <f>VLOOKUP(F981,[4]在职!$A:$I,9,0)</f>
        <v>三星销售顾问</v>
      </c>
      <c r="I981" s="46" t="s">
        <v>915</v>
      </c>
      <c r="J981" s="83">
        <v>46098</v>
      </c>
      <c r="K981" s="46" t="s">
        <v>1505</v>
      </c>
      <c r="L981" s="46" t="s">
        <v>30</v>
      </c>
    </row>
    <row r="982" ht="16.5" spans="1:12">
      <c r="A982" s="46">
        <v>980</v>
      </c>
      <c r="B982" s="46" t="s">
        <v>45</v>
      </c>
      <c r="C982" s="46" t="str">
        <f>VLOOKUP(F982,[4]在职!$A:$E,5,0)</f>
        <v>湖南</v>
      </c>
      <c r="D982" s="46" t="str">
        <f>VLOOKUP(F982,[4]在职!$A:$G,7,0)</f>
        <v>湖南销售部</v>
      </c>
      <c r="E982" s="46" t="str">
        <f>VLOOKUP(F982,[4]在职!$A:$M,13,0)</f>
        <v>黄勇刚</v>
      </c>
      <c r="F982" s="7" t="s">
        <v>1428</v>
      </c>
      <c r="G982" s="46" t="str">
        <f>VLOOKUP(F982,[4]在职!$A:$B,2,0)</f>
        <v>00840</v>
      </c>
      <c r="H982" s="46" t="str">
        <f>VLOOKUP(F982,[4]在职!$A:$I,9,0)</f>
        <v>B岗经理</v>
      </c>
      <c r="I982" s="46" t="s">
        <v>915</v>
      </c>
      <c r="J982" s="83">
        <v>46098</v>
      </c>
      <c r="K982" s="46" t="s">
        <v>1505</v>
      </c>
      <c r="L982" s="46" t="s">
        <v>30</v>
      </c>
    </row>
    <row r="983" ht="16.5" spans="1:12">
      <c r="A983" s="46">
        <v>981</v>
      </c>
      <c r="B983" s="46" t="s">
        <v>45</v>
      </c>
      <c r="C983" s="46" t="str">
        <f>VLOOKUP(F983,[4]在职!$A:$E,5,0)</f>
        <v>湖北</v>
      </c>
      <c r="D983" s="46" t="str">
        <f>VLOOKUP(F983,[4]在职!$A:$G,7,0)</f>
        <v>湖北2部</v>
      </c>
      <c r="E983" s="46" t="str">
        <f>VLOOKUP(F983,[4]在职!$A:$M,13,0)</f>
        <v>陈晓辉</v>
      </c>
      <c r="F983" s="7" t="s">
        <v>1390</v>
      </c>
      <c r="G983" s="46" t="str">
        <f>VLOOKUP(F983,[4]在职!$A:$B,2,0)</f>
        <v>01320</v>
      </c>
      <c r="H983" s="46" t="str">
        <f>VLOOKUP(F983,[4]在职!$A:$I,9,0)</f>
        <v>三星销售顾问</v>
      </c>
      <c r="I983" s="46" t="s">
        <v>915</v>
      </c>
      <c r="J983" s="83">
        <v>46098</v>
      </c>
      <c r="K983" s="46" t="s">
        <v>1505</v>
      </c>
      <c r="L983" s="46" t="s">
        <v>30</v>
      </c>
    </row>
    <row r="984" ht="16.5" spans="1:12">
      <c r="A984" s="46">
        <v>982</v>
      </c>
      <c r="B984" s="46" t="s">
        <v>45</v>
      </c>
      <c r="C984" s="46" t="str">
        <f>VLOOKUP(F984,[4]在职!$A:$E,5,0)</f>
        <v>河南</v>
      </c>
      <c r="D984" s="46" t="str">
        <f>VLOOKUP(F984,[4]在职!$A:$G,7,0)</f>
        <v>河南销售部</v>
      </c>
      <c r="E984" s="46" t="str">
        <f>VLOOKUP(F984,[4]在职!$A:$M,13,0)</f>
        <v>余金梅</v>
      </c>
      <c r="F984" s="7" t="s">
        <v>1402</v>
      </c>
      <c r="G984" s="46" t="str">
        <f>VLOOKUP(F984,[4]在职!$A:$B,2,0)</f>
        <v>01421</v>
      </c>
      <c r="H984" s="46" t="str">
        <f>VLOOKUP(F984,[4]在职!$A:$I,9,0)</f>
        <v>二星销售顾问</v>
      </c>
      <c r="I984" s="46" t="s">
        <v>915</v>
      </c>
      <c r="J984" s="83">
        <v>46098</v>
      </c>
      <c r="K984" s="46" t="s">
        <v>1505</v>
      </c>
      <c r="L984" s="46" t="s">
        <v>30</v>
      </c>
    </row>
    <row r="985" ht="16.5" spans="1:12">
      <c r="A985" s="46">
        <v>983</v>
      </c>
      <c r="B985" s="46" t="s">
        <v>45</v>
      </c>
      <c r="C985" s="46" t="str">
        <f>VLOOKUP(F985,[4]在职!$A:$E,5,0)</f>
        <v>河北</v>
      </c>
      <c r="D985" s="46" t="str">
        <f>VLOOKUP(F985,[4]在职!$A:$G,7,0)</f>
        <v>河北销售部</v>
      </c>
      <c r="E985" s="46" t="str">
        <f>VLOOKUP(F985,[4]在职!$A:$M,13,0)</f>
        <v>李港一</v>
      </c>
      <c r="F985" s="7" t="s">
        <v>1420</v>
      </c>
      <c r="G985" s="46" t="str">
        <f>VLOOKUP(F985,[4]在职!$A:$B,2,0)</f>
        <v>01476</v>
      </c>
      <c r="H985" s="46" t="str">
        <f>VLOOKUP(F985,[4]在职!$A:$I,9,0)</f>
        <v>二星销售顾问</v>
      </c>
      <c r="I985" s="46" t="s">
        <v>915</v>
      </c>
      <c r="J985" s="83">
        <v>46098</v>
      </c>
      <c r="K985" s="46" t="s">
        <v>1505</v>
      </c>
      <c r="L985" s="46" t="s">
        <v>30</v>
      </c>
    </row>
    <row r="986" ht="16.5" spans="1:12">
      <c r="A986" s="46">
        <v>984</v>
      </c>
      <c r="B986" s="46" t="s">
        <v>45</v>
      </c>
      <c r="C986" s="46" t="str">
        <f>VLOOKUP(F986,[4]在职!$A:$E,5,0)</f>
        <v>山西</v>
      </c>
      <c r="D986" s="46" t="str">
        <f>VLOOKUP(F986,[4]在职!$A:$G,7,0)</f>
        <v>山西销售部</v>
      </c>
      <c r="E986" s="46" t="str">
        <f>VLOOKUP(F986,[4]在职!$A:$M,13,0)</f>
        <v>艾林</v>
      </c>
      <c r="F986" s="46" t="s">
        <v>1434</v>
      </c>
      <c r="G986" s="46" t="str">
        <f>VLOOKUP(F986,[4]在职!$A:$B,2,0)</f>
        <v>01680</v>
      </c>
      <c r="H986" s="46" t="str">
        <f>VLOOKUP(F986,[4]在职!$A:$I,9,0)</f>
        <v>一星销售顾问</v>
      </c>
      <c r="I986" s="46" t="s">
        <v>915</v>
      </c>
      <c r="J986" s="83">
        <v>46093</v>
      </c>
      <c r="K986" s="46" t="s">
        <v>902</v>
      </c>
      <c r="L986" s="83" t="s">
        <v>27</v>
      </c>
    </row>
    <row r="987" ht="16.5" spans="1:12">
      <c r="A987" s="46">
        <v>985</v>
      </c>
      <c r="B987" s="46" t="s">
        <v>45</v>
      </c>
      <c r="C987" s="46" t="str">
        <f>VLOOKUP(F987,[4]在职!$A:$E,5,0)</f>
        <v>山西</v>
      </c>
      <c r="D987" s="46" t="str">
        <f>VLOOKUP(F987,[4]在职!$A:$G,7,0)</f>
        <v>山西销售部</v>
      </c>
      <c r="E987" s="46" t="str">
        <f>VLOOKUP(F987,[4]在职!$A:$M,13,0)</f>
        <v>艾林</v>
      </c>
      <c r="F987" s="46" t="s">
        <v>1435</v>
      </c>
      <c r="G987" s="46" t="str">
        <f>VLOOKUP(F987,[4]在职!$A:$B,2,0)</f>
        <v>01531</v>
      </c>
      <c r="H987" s="46" t="str">
        <f>VLOOKUP(F987,[4]在职!$A:$I,9,0)</f>
        <v>一星销售顾问</v>
      </c>
      <c r="I987" s="46" t="s">
        <v>915</v>
      </c>
      <c r="J987" s="83">
        <v>46093</v>
      </c>
      <c r="K987" s="46" t="s">
        <v>902</v>
      </c>
      <c r="L987" s="83" t="s">
        <v>27</v>
      </c>
    </row>
    <row r="988" ht="16.5" spans="1:12">
      <c r="A988" s="46">
        <v>986</v>
      </c>
      <c r="B988" s="46" t="s">
        <v>45</v>
      </c>
      <c r="C988" s="46" t="str">
        <f>VLOOKUP(F988,[4]在职!$A:$E,5,0)</f>
        <v>内蒙古</v>
      </c>
      <c r="D988" s="46" t="str">
        <f>VLOOKUP(F988,[4]在职!$A:$G,7,0)</f>
        <v>内蒙古销售部</v>
      </c>
      <c r="E988" s="46" t="str">
        <f>VLOOKUP(F988,[4]在职!$A:$M,13,0)</f>
        <v>安芮</v>
      </c>
      <c r="F988" s="46" t="s">
        <v>906</v>
      </c>
      <c r="G988" s="46" t="str">
        <f>VLOOKUP(F988,[4]在职!$A:$B,2,0)</f>
        <v>01011</v>
      </c>
      <c r="H988" s="46" t="str">
        <f>VLOOKUP(F988,[4]在职!$A:$I,9,0)</f>
        <v>一星销售顾问</v>
      </c>
      <c r="I988" s="46" t="s">
        <v>915</v>
      </c>
      <c r="J988" s="83">
        <v>46093</v>
      </c>
      <c r="K988" s="46" t="s">
        <v>902</v>
      </c>
      <c r="L988" s="83" t="s">
        <v>27</v>
      </c>
    </row>
    <row r="989" ht="16.5" spans="1:12">
      <c r="A989" s="46">
        <v>987</v>
      </c>
      <c r="B989" s="46" t="s">
        <v>45</v>
      </c>
      <c r="C989" s="46" t="str">
        <f>VLOOKUP(F989,[4]在职!$A:$E,5,0)</f>
        <v>内蒙古</v>
      </c>
      <c r="D989" s="46" t="str">
        <f>VLOOKUP(F989,[4]在职!$A:$G,7,0)</f>
        <v>内蒙古销售部</v>
      </c>
      <c r="E989" s="46" t="str">
        <f>VLOOKUP(F989,[4]在职!$A:$M,13,0)</f>
        <v>安芮</v>
      </c>
      <c r="F989" s="46" t="s">
        <v>910</v>
      </c>
      <c r="G989" s="46" t="str">
        <f>VLOOKUP(F989,[4]在职!$A:$B,2,0)</f>
        <v>01423</v>
      </c>
      <c r="H989" s="46" t="str">
        <f>VLOOKUP(F989,[4]在职!$A:$I,9,0)</f>
        <v>二星销售顾问</v>
      </c>
      <c r="I989" s="46" t="s">
        <v>915</v>
      </c>
      <c r="J989" s="83">
        <v>46093</v>
      </c>
      <c r="K989" s="46" t="s">
        <v>902</v>
      </c>
      <c r="L989" s="83" t="s">
        <v>27</v>
      </c>
    </row>
    <row r="990" ht="16.5" spans="1:12">
      <c r="A990" s="46">
        <v>988</v>
      </c>
      <c r="B990" s="46" t="s">
        <v>45</v>
      </c>
      <c r="C990" s="46" t="str">
        <f>VLOOKUP(F990,[4]在职!$A:$E,5,0)</f>
        <v>内蒙古</v>
      </c>
      <c r="D990" s="46" t="str">
        <f>VLOOKUP(F990,[4]在职!$A:$G,7,0)</f>
        <v>内蒙古销售部</v>
      </c>
      <c r="E990" s="46" t="str">
        <f>VLOOKUP(F990,[4]在职!$A:$M,13,0)</f>
        <v>安芮</v>
      </c>
      <c r="F990" s="46" t="s">
        <v>912</v>
      </c>
      <c r="G990" s="46" t="str">
        <f>VLOOKUP(F990,[4]在职!$A:$B,2,0)</f>
        <v>01412</v>
      </c>
      <c r="H990" s="46" t="str">
        <f>VLOOKUP(F990,[4]在职!$A:$I,9,0)</f>
        <v>一星销售顾问</v>
      </c>
      <c r="I990" s="46" t="s">
        <v>915</v>
      </c>
      <c r="J990" s="83">
        <v>46093</v>
      </c>
      <c r="K990" s="46" t="s">
        <v>902</v>
      </c>
      <c r="L990" s="83" t="s">
        <v>27</v>
      </c>
    </row>
    <row r="991" ht="16.5" spans="1:12">
      <c r="A991" s="46">
        <v>989</v>
      </c>
      <c r="B991" s="46" t="s">
        <v>45</v>
      </c>
      <c r="C991" s="46" t="str">
        <f>VLOOKUP(F991,[4]在职!$A:$E,5,0)</f>
        <v>西南总部</v>
      </c>
      <c r="D991" s="46" t="str">
        <f>VLOOKUP(F991,[4]在职!$A:$G,7,0)</f>
        <v>营业一部</v>
      </c>
      <c r="E991" s="46" t="str">
        <f>VLOOKUP(F991,[4]在职!$A:$M,13,0)</f>
        <v>白世根</v>
      </c>
      <c r="F991" s="46" t="s">
        <v>1436</v>
      </c>
      <c r="G991" s="46" t="str">
        <f>VLOOKUP(F991,[4]在职!$A:$B,2,0)</f>
        <v>01763</v>
      </c>
      <c r="H991" s="46" t="str">
        <f>VLOOKUP(F991,[4]在职!$A:$I,9,0)</f>
        <v>一星销售顾问</v>
      </c>
      <c r="I991" s="46" t="s">
        <v>915</v>
      </c>
      <c r="J991" s="83">
        <v>46093</v>
      </c>
      <c r="K991" s="46" t="s">
        <v>902</v>
      </c>
      <c r="L991" s="83" t="s">
        <v>27</v>
      </c>
    </row>
    <row r="992" ht="16.5" spans="1:12">
      <c r="A992" s="46">
        <v>990</v>
      </c>
      <c r="B992" s="46" t="s">
        <v>45</v>
      </c>
      <c r="C992" s="46" t="str">
        <f>VLOOKUP(F992,[4]在职!$A:$E,5,0)</f>
        <v>西南总部</v>
      </c>
      <c r="D992" s="46" t="str">
        <f>VLOOKUP(F992,[4]在职!$A:$G,7,0)</f>
        <v>营业一部</v>
      </c>
      <c r="E992" s="46" t="str">
        <f>VLOOKUP(F992,[4]在职!$A:$M,13,0)</f>
        <v>白世根</v>
      </c>
      <c r="F992" s="46" t="s">
        <v>1437</v>
      </c>
      <c r="G992" s="46" t="str">
        <f>VLOOKUP(F992,[4]在职!$A:$B,2,0)</f>
        <v>01753</v>
      </c>
      <c r="H992" s="46" t="str">
        <f>VLOOKUP(F992,[4]在职!$A:$I,9,0)</f>
        <v>一星销售顾问</v>
      </c>
      <c r="I992" s="46" t="s">
        <v>915</v>
      </c>
      <c r="J992" s="83">
        <v>46093</v>
      </c>
      <c r="K992" s="46" t="s">
        <v>902</v>
      </c>
      <c r="L992" s="83" t="s">
        <v>27</v>
      </c>
    </row>
    <row r="993" ht="16.5" spans="1:12">
      <c r="A993" s="46">
        <v>991</v>
      </c>
      <c r="B993" s="46" t="s">
        <v>45</v>
      </c>
      <c r="C993" s="46" t="str">
        <f>VLOOKUP(F993,[4]在职!$A:$E,5,0)</f>
        <v>西南总部</v>
      </c>
      <c r="D993" s="46" t="str">
        <f>VLOOKUP(F993,[4]在职!$A:$G,7,0)</f>
        <v>营业一部</v>
      </c>
      <c r="E993" s="46" t="str">
        <f>VLOOKUP(F993,[4]在职!$A:$M,13,0)</f>
        <v>白世根</v>
      </c>
      <c r="F993" s="46" t="s">
        <v>919</v>
      </c>
      <c r="G993" s="46" t="str">
        <f>VLOOKUP(F993,[4]在职!$A:$B,2,0)</f>
        <v>01512</v>
      </c>
      <c r="H993" s="46" t="str">
        <f>VLOOKUP(F993,[4]在职!$A:$I,9,0)</f>
        <v>二星销售顾问</v>
      </c>
      <c r="I993" s="46" t="s">
        <v>915</v>
      </c>
      <c r="J993" s="83">
        <v>46093</v>
      </c>
      <c r="K993" s="46" t="s">
        <v>902</v>
      </c>
      <c r="L993" s="83" t="s">
        <v>27</v>
      </c>
    </row>
    <row r="994" ht="16.5" spans="1:12">
      <c r="A994" s="46">
        <v>992</v>
      </c>
      <c r="B994" s="46" t="s">
        <v>45</v>
      </c>
      <c r="C994" s="46" t="str">
        <f>VLOOKUP(F994,[4]在职!$A:$E,5,0)</f>
        <v>西南总部</v>
      </c>
      <c r="D994" s="46" t="str">
        <f>VLOOKUP(F994,[4]在职!$A:$G,7,0)</f>
        <v>营业七部</v>
      </c>
      <c r="E994" s="46" t="str">
        <f>VLOOKUP(F994,[4]在职!$A:$M,13,0)</f>
        <v>陈彪</v>
      </c>
      <c r="F994" s="46" t="s">
        <v>1438</v>
      </c>
      <c r="G994" s="46" t="str">
        <f>VLOOKUP(F994,[4]在职!$A:$B,2,0)</f>
        <v>01732</v>
      </c>
      <c r="H994" s="46" t="str">
        <f>VLOOKUP(F994,[4]在职!$A:$I,9,0)</f>
        <v>一星销售顾问</v>
      </c>
      <c r="I994" s="46" t="s">
        <v>915</v>
      </c>
      <c r="J994" s="83">
        <v>46093</v>
      </c>
      <c r="K994" s="46" t="s">
        <v>902</v>
      </c>
      <c r="L994" s="83" t="s">
        <v>27</v>
      </c>
    </row>
    <row r="995" ht="16.5" spans="1:12">
      <c r="A995" s="46">
        <v>993</v>
      </c>
      <c r="B995" s="46" t="s">
        <v>45</v>
      </c>
      <c r="C995" s="46" t="str">
        <f>VLOOKUP(F995,[4]在职!$A:$E,5,0)</f>
        <v>西南总部</v>
      </c>
      <c r="D995" s="46" t="str">
        <f>VLOOKUP(F995,[4]在职!$A:$G,7,0)</f>
        <v>营业七部</v>
      </c>
      <c r="E995" s="46" t="str">
        <f>VLOOKUP(F995,[4]在职!$A:$M,13,0)</f>
        <v>陈彪</v>
      </c>
      <c r="F995" s="46" t="s">
        <v>922</v>
      </c>
      <c r="G995" s="46" t="str">
        <f>VLOOKUP(F995,[4]在职!$A:$B,2,0)</f>
        <v>01500</v>
      </c>
      <c r="H995" s="46" t="str">
        <f>VLOOKUP(F995,[4]在职!$A:$I,9,0)</f>
        <v>一星销售顾问</v>
      </c>
      <c r="I995" s="46" t="s">
        <v>915</v>
      </c>
      <c r="J995" s="83">
        <v>46093</v>
      </c>
      <c r="K995" s="46" t="s">
        <v>902</v>
      </c>
      <c r="L995" s="83" t="s">
        <v>27</v>
      </c>
    </row>
    <row r="996" ht="16.5" spans="1:12">
      <c r="A996" s="46">
        <v>994</v>
      </c>
      <c r="B996" s="46" t="s">
        <v>45</v>
      </c>
      <c r="C996" s="46" t="str">
        <f>VLOOKUP(F996,[4]在职!$A:$E,5,0)</f>
        <v>西南总部</v>
      </c>
      <c r="D996" s="46" t="str">
        <f>VLOOKUP(F996,[4]在职!$A:$G,7,0)</f>
        <v>营业四部</v>
      </c>
      <c r="E996" s="46" t="str">
        <f>VLOOKUP(F996,[4]在职!$A:$M,13,0)</f>
        <v>陈嘉文</v>
      </c>
      <c r="F996" s="46" t="s">
        <v>928</v>
      </c>
      <c r="G996" s="46" t="str">
        <f>VLOOKUP(F996,[4]在职!$A:$B,2,0)</f>
        <v>01634</v>
      </c>
      <c r="H996" s="46" t="str">
        <f>VLOOKUP(F996,[4]在职!$A:$I,9,0)</f>
        <v>一星销售顾问</v>
      </c>
      <c r="I996" s="46" t="s">
        <v>915</v>
      </c>
      <c r="J996" s="83">
        <v>46093</v>
      </c>
      <c r="K996" s="46" t="s">
        <v>902</v>
      </c>
      <c r="L996" s="83" t="s">
        <v>27</v>
      </c>
    </row>
    <row r="997" ht="16.5" spans="1:12">
      <c r="A997" s="46">
        <v>995</v>
      </c>
      <c r="B997" s="46" t="s">
        <v>45</v>
      </c>
      <c r="C997" s="46" t="str">
        <f>VLOOKUP(F997,[4]在职!$A:$E,5,0)</f>
        <v>西南总部</v>
      </c>
      <c r="D997" s="46" t="str">
        <f>VLOOKUP(F997,[4]在职!$A:$G,7,0)</f>
        <v>营业四部</v>
      </c>
      <c r="E997" s="46" t="str">
        <f>VLOOKUP(F997,[4]在职!$A:$M,13,0)</f>
        <v>陈嘉文</v>
      </c>
      <c r="F997" s="46" t="s">
        <v>930</v>
      </c>
      <c r="G997" s="46" t="str">
        <f>VLOOKUP(F997,[4]在职!$A:$B,2,0)</f>
        <v>01488</v>
      </c>
      <c r="H997" s="46" t="str">
        <f>VLOOKUP(F997,[4]在职!$A:$I,9,0)</f>
        <v>二星销售顾问</v>
      </c>
      <c r="I997" s="46" t="s">
        <v>915</v>
      </c>
      <c r="J997" s="83">
        <v>46093</v>
      </c>
      <c r="K997" s="46" t="s">
        <v>902</v>
      </c>
      <c r="L997" s="83" t="s">
        <v>27</v>
      </c>
    </row>
    <row r="998" ht="16.5" spans="1:12">
      <c r="A998" s="46">
        <v>996</v>
      </c>
      <c r="B998" s="46" t="s">
        <v>45</v>
      </c>
      <c r="C998" s="46" t="str">
        <f>VLOOKUP(F998,[4]在职!$A:$E,5,0)</f>
        <v>西南总部</v>
      </c>
      <c r="D998" s="46" t="str">
        <f>VLOOKUP(F998,[4]在职!$A:$G,7,0)</f>
        <v>营业四部</v>
      </c>
      <c r="E998" s="46" t="str">
        <f>VLOOKUP(F998,[4]在职!$A:$M,13,0)</f>
        <v>陈帅</v>
      </c>
      <c r="F998" s="46" t="s">
        <v>934</v>
      </c>
      <c r="G998" s="46" t="str">
        <f>VLOOKUP(F998,[4]在职!$A:$B,2,0)</f>
        <v>01547</v>
      </c>
      <c r="H998" s="46" t="str">
        <f>VLOOKUP(F998,[4]在职!$A:$I,9,0)</f>
        <v>一星销售顾问</v>
      </c>
      <c r="I998" s="46" t="s">
        <v>915</v>
      </c>
      <c r="J998" s="83">
        <v>46093</v>
      </c>
      <c r="K998" s="46" t="s">
        <v>902</v>
      </c>
      <c r="L998" s="83" t="s">
        <v>27</v>
      </c>
    </row>
    <row r="999" ht="16.5" spans="1:12">
      <c r="A999" s="46">
        <v>997</v>
      </c>
      <c r="B999" s="46" t="s">
        <v>45</v>
      </c>
      <c r="C999" s="46" t="str">
        <f>VLOOKUP(F999,[4]在职!$A:$E,5,0)</f>
        <v>西南总部</v>
      </c>
      <c r="D999" s="46" t="str">
        <f>VLOOKUP(F999,[4]在职!$A:$G,7,0)</f>
        <v>营业六部</v>
      </c>
      <c r="E999" s="46" t="str">
        <f>VLOOKUP(F999,[4]在职!$A:$M,13,0)</f>
        <v>党虹</v>
      </c>
      <c r="F999" s="46" t="s">
        <v>1439</v>
      </c>
      <c r="G999" s="46" t="str">
        <f>VLOOKUP(F999,[4]在职!$A:$B,2,0)</f>
        <v>01646</v>
      </c>
      <c r="H999" s="46" t="str">
        <f>VLOOKUP(F999,[4]在职!$A:$I,9,0)</f>
        <v>一星销售顾问</v>
      </c>
      <c r="I999" s="46" t="s">
        <v>915</v>
      </c>
      <c r="J999" s="83">
        <v>46093</v>
      </c>
      <c r="K999" s="46" t="s">
        <v>902</v>
      </c>
      <c r="L999" s="83" t="s">
        <v>27</v>
      </c>
    </row>
    <row r="1000" ht="16.5" spans="1:12">
      <c r="A1000" s="46">
        <v>998</v>
      </c>
      <c r="B1000" s="46" t="s">
        <v>45</v>
      </c>
      <c r="C1000" s="46" t="str">
        <f>VLOOKUP(F1000,[4]在职!$A:$E,5,0)</f>
        <v>山西</v>
      </c>
      <c r="D1000" s="46" t="str">
        <f>VLOOKUP(F1000,[4]在职!$A:$G,7,0)</f>
        <v>山西销售部</v>
      </c>
      <c r="E1000" s="46" t="str">
        <f>VLOOKUP(F1000,[4]在职!$A:$M,13,0)</f>
        <v>邓富</v>
      </c>
      <c r="F1000" s="46" t="s">
        <v>1440</v>
      </c>
      <c r="G1000" s="46" t="str">
        <f>VLOOKUP(F1000,[4]在职!$A:$B,2,0)</f>
        <v>01824</v>
      </c>
      <c r="H1000" s="46" t="str">
        <f>VLOOKUP(F1000,[4]在职!$A:$I,9,0)</f>
        <v>一星销售顾问</v>
      </c>
      <c r="I1000" s="46" t="s">
        <v>915</v>
      </c>
      <c r="J1000" s="83">
        <v>46093</v>
      </c>
      <c r="K1000" s="46" t="s">
        <v>902</v>
      </c>
      <c r="L1000" s="83" t="s">
        <v>27</v>
      </c>
    </row>
    <row r="1001" ht="16.5" spans="1:12">
      <c r="A1001" s="46">
        <v>999</v>
      </c>
      <c r="B1001" s="46" t="s">
        <v>45</v>
      </c>
      <c r="C1001" s="46" t="str">
        <f>VLOOKUP(F1001,[4]在职!$A:$E,5,0)</f>
        <v>山西</v>
      </c>
      <c r="D1001" s="46" t="str">
        <f>VLOOKUP(F1001,[4]在职!$A:$G,7,0)</f>
        <v>山西销售部</v>
      </c>
      <c r="E1001" s="46" t="str">
        <f>VLOOKUP(F1001,[4]在职!$A:$M,13,0)</f>
        <v>邓富</v>
      </c>
      <c r="F1001" s="46" t="s">
        <v>1441</v>
      </c>
      <c r="G1001" s="46" t="str">
        <f>VLOOKUP(F1001,[4]在职!$A:$B,2,0)</f>
        <v>01814</v>
      </c>
      <c r="H1001" s="46" t="str">
        <f>VLOOKUP(F1001,[4]在职!$A:$I,9,0)</f>
        <v>一星销售顾问</v>
      </c>
      <c r="I1001" s="46" t="s">
        <v>915</v>
      </c>
      <c r="J1001" s="83">
        <v>46093</v>
      </c>
      <c r="K1001" s="46" t="s">
        <v>902</v>
      </c>
      <c r="L1001" s="83" t="s">
        <v>27</v>
      </c>
    </row>
    <row r="1002" ht="16.5" spans="1:12">
      <c r="A1002" s="46">
        <v>1000</v>
      </c>
      <c r="B1002" s="46" t="s">
        <v>45</v>
      </c>
      <c r="C1002" s="46" t="str">
        <f>VLOOKUP(F1002,[4]在职!$A:$E,5,0)</f>
        <v>河南</v>
      </c>
      <c r="D1002" s="46" t="str">
        <f>VLOOKUP(F1002,[4]在职!$A:$G,7,0)</f>
        <v>河南销售部</v>
      </c>
      <c r="E1002" s="46" t="str">
        <f>VLOOKUP(F1002,[4]在职!$A:$M,13,0)</f>
        <v>杜雄</v>
      </c>
      <c r="F1002" s="46" t="s">
        <v>1442</v>
      </c>
      <c r="G1002" s="46" t="str">
        <f>VLOOKUP(F1002,[4]在职!$A:$B,2,0)</f>
        <v>01620</v>
      </c>
      <c r="H1002" s="46" t="str">
        <f>VLOOKUP(F1002,[4]在职!$A:$I,9,0)</f>
        <v>一星销售顾问</v>
      </c>
      <c r="I1002" s="46" t="s">
        <v>915</v>
      </c>
      <c r="J1002" s="83">
        <v>46093</v>
      </c>
      <c r="K1002" s="46" t="s">
        <v>902</v>
      </c>
      <c r="L1002" s="83" t="s">
        <v>27</v>
      </c>
    </row>
    <row r="1003" ht="16.5" spans="1:12">
      <c r="A1003" s="46">
        <v>1001</v>
      </c>
      <c r="B1003" s="46" t="s">
        <v>45</v>
      </c>
      <c r="C1003" s="46" t="str">
        <f>VLOOKUP(F1003,[4]在职!$A:$E,5,0)</f>
        <v>陕西</v>
      </c>
      <c r="D1003" s="46" t="str">
        <f>VLOOKUP(F1003,[4]在职!$A:$G,7,0)</f>
        <v>陕西2部</v>
      </c>
      <c r="E1003" s="46" t="str">
        <f>VLOOKUP(F1003,[4]在职!$A:$M,13,0)</f>
        <v>冀敏</v>
      </c>
      <c r="F1003" s="46" t="s">
        <v>932</v>
      </c>
      <c r="G1003" s="46" t="str">
        <f>VLOOKUP(F1003,[4]在职!$A:$B,2,0)</f>
        <v>01654</v>
      </c>
      <c r="H1003" s="46" t="str">
        <f>VLOOKUP(F1003,[4]在职!$A:$I,9,0)</f>
        <v>一星销售顾问</v>
      </c>
      <c r="I1003" s="46" t="s">
        <v>915</v>
      </c>
      <c r="J1003" s="83">
        <v>46093</v>
      </c>
      <c r="K1003" s="46" t="s">
        <v>902</v>
      </c>
      <c r="L1003" s="83" t="s">
        <v>27</v>
      </c>
    </row>
    <row r="1004" ht="16.5" spans="1:12">
      <c r="A1004" s="46">
        <v>1002</v>
      </c>
      <c r="B1004" s="46" t="s">
        <v>45</v>
      </c>
      <c r="C1004" s="46" t="str">
        <f>VLOOKUP(F1004,[4]在职!$A:$E,5,0)</f>
        <v>河南</v>
      </c>
      <c r="D1004" s="46" t="str">
        <f>VLOOKUP(F1004,[4]在职!$A:$G,7,0)</f>
        <v>河南销售部</v>
      </c>
      <c r="E1004" s="46" t="str">
        <f>VLOOKUP(F1004,[4]在职!$A:$M,13,0)</f>
        <v>蒋吉勇</v>
      </c>
      <c r="F1004" s="46" t="s">
        <v>962</v>
      </c>
      <c r="G1004" s="46" t="str">
        <f>VLOOKUP(F1004,[4]在职!$A:$B,2,0)</f>
        <v>01597</v>
      </c>
      <c r="H1004" s="46" t="str">
        <f>VLOOKUP(F1004,[4]在职!$A:$I,9,0)</f>
        <v>二星销售顾问</v>
      </c>
      <c r="I1004" s="46" t="s">
        <v>915</v>
      </c>
      <c r="J1004" s="83">
        <v>46093</v>
      </c>
      <c r="K1004" s="46" t="s">
        <v>902</v>
      </c>
      <c r="L1004" s="83" t="s">
        <v>27</v>
      </c>
    </row>
    <row r="1005" ht="16.5" spans="1:12">
      <c r="A1005" s="46">
        <v>1003</v>
      </c>
      <c r="B1005" s="46" t="s">
        <v>45</v>
      </c>
      <c r="C1005" s="46" t="str">
        <f>VLOOKUP(F1005,[4]在职!$A:$E,5,0)</f>
        <v>河南</v>
      </c>
      <c r="D1005" s="46" t="str">
        <f>VLOOKUP(F1005,[4]在职!$A:$G,7,0)</f>
        <v>河南销售部</v>
      </c>
      <c r="E1005" s="46" t="str">
        <f>VLOOKUP(F1005,[4]在职!$A:$M,13,0)</f>
        <v>蒋吉勇</v>
      </c>
      <c r="F1005" s="46" t="s">
        <v>1443</v>
      </c>
      <c r="G1005" s="46" t="str">
        <f>VLOOKUP(F1005,[4]在职!$A:$B,2,0)</f>
        <v>01541</v>
      </c>
      <c r="H1005" s="46" t="str">
        <f>VLOOKUP(F1005,[4]在职!$A:$I,9,0)</f>
        <v>一星销售顾问</v>
      </c>
      <c r="I1005" s="46" t="s">
        <v>915</v>
      </c>
      <c r="J1005" s="83">
        <v>46093</v>
      </c>
      <c r="K1005" s="46" t="s">
        <v>902</v>
      </c>
      <c r="L1005" s="83" t="s">
        <v>27</v>
      </c>
    </row>
    <row r="1006" ht="16.5" spans="1:12">
      <c r="A1006" s="46">
        <v>1004</v>
      </c>
      <c r="B1006" s="46" t="s">
        <v>45</v>
      </c>
      <c r="C1006" s="46" t="str">
        <f>VLOOKUP(F1006,[4]在职!$A:$E,5,0)</f>
        <v>河北</v>
      </c>
      <c r="D1006" s="46" t="str">
        <f>VLOOKUP(F1006,[4]在职!$A:$G,7,0)</f>
        <v>河北销售部</v>
      </c>
      <c r="E1006" s="46" t="str">
        <f>VLOOKUP(F1006,[4]在职!$A:$M,13,0)</f>
        <v>李港一</v>
      </c>
      <c r="F1006" s="46" t="s">
        <v>1444</v>
      </c>
      <c r="G1006" s="46" t="str">
        <f>VLOOKUP(F1006,[4]在职!$A:$B,2,0)</f>
        <v>01850</v>
      </c>
      <c r="H1006" s="46" t="str">
        <f>VLOOKUP(F1006,[4]在职!$A:$I,9,0)</f>
        <v>一星销售顾问</v>
      </c>
      <c r="I1006" s="46" t="s">
        <v>915</v>
      </c>
      <c r="J1006" s="83">
        <v>46093</v>
      </c>
      <c r="K1006" s="46" t="s">
        <v>902</v>
      </c>
      <c r="L1006" s="83" t="s">
        <v>27</v>
      </c>
    </row>
    <row r="1007" ht="16.5" spans="1:12">
      <c r="A1007" s="46">
        <v>1005</v>
      </c>
      <c r="B1007" s="46" t="s">
        <v>45</v>
      </c>
      <c r="C1007" s="46" t="str">
        <f>VLOOKUP(F1007,[4]在职!$A:$E,5,0)</f>
        <v>河北</v>
      </c>
      <c r="D1007" s="46" t="str">
        <f>VLOOKUP(F1007,[4]在职!$A:$G,7,0)</f>
        <v>河北销售部</v>
      </c>
      <c r="E1007" s="46" t="str">
        <f>VLOOKUP(F1007,[4]在职!$A:$M,13,0)</f>
        <v>李港一</v>
      </c>
      <c r="F1007" s="46" t="s">
        <v>1445</v>
      </c>
      <c r="G1007" s="46" t="str">
        <f>VLOOKUP(F1007,[4]在职!$A:$B,2,0)</f>
        <v>01702</v>
      </c>
      <c r="H1007" s="46" t="str">
        <f>VLOOKUP(F1007,[4]在职!$A:$I,9,0)</f>
        <v>一星销售顾问</v>
      </c>
      <c r="I1007" s="46" t="s">
        <v>915</v>
      </c>
      <c r="J1007" s="83">
        <v>46093</v>
      </c>
      <c r="K1007" s="46" t="s">
        <v>902</v>
      </c>
      <c r="L1007" s="83" t="s">
        <v>27</v>
      </c>
    </row>
    <row r="1008" ht="16.5" spans="1:12">
      <c r="A1008" s="46">
        <v>1006</v>
      </c>
      <c r="B1008" s="46" t="s">
        <v>45</v>
      </c>
      <c r="C1008" s="46" t="str">
        <f>VLOOKUP(F1008,[4]在职!$A:$E,5,0)</f>
        <v>西南总部</v>
      </c>
      <c r="D1008" s="46" t="str">
        <f>VLOOKUP(F1008,[4]在职!$A:$G,7,0)</f>
        <v>营业三部</v>
      </c>
      <c r="E1008" s="46" t="str">
        <f>VLOOKUP(F1008,[4]在职!$A:$M,13,0)</f>
        <v>李海艳</v>
      </c>
      <c r="F1008" s="46" t="s">
        <v>1446</v>
      </c>
      <c r="G1008" s="46" t="str">
        <f>VLOOKUP(F1008,[4]在职!$A:$B,2,0)</f>
        <v>01631</v>
      </c>
      <c r="H1008" s="46" t="str">
        <f>VLOOKUP(F1008,[4]在职!$A:$I,9,0)</f>
        <v>一星销售顾问</v>
      </c>
      <c r="I1008" s="46" t="s">
        <v>915</v>
      </c>
      <c r="J1008" s="83">
        <v>46093</v>
      </c>
      <c r="K1008" s="46" t="s">
        <v>902</v>
      </c>
      <c r="L1008" s="83" t="s">
        <v>27</v>
      </c>
    </row>
    <row r="1009" ht="16.5" spans="1:12">
      <c r="A1009" s="46">
        <v>1007</v>
      </c>
      <c r="B1009" s="46" t="s">
        <v>45</v>
      </c>
      <c r="C1009" s="46" t="str">
        <f>VLOOKUP(F1009,[4]在职!$A:$E,5,0)</f>
        <v>西南总部</v>
      </c>
      <c r="D1009" s="46" t="str">
        <f>VLOOKUP(F1009,[4]在职!$A:$G,7,0)</f>
        <v>营业四部</v>
      </c>
      <c r="E1009" s="46" t="str">
        <f>VLOOKUP(F1009,[4]在职!$A:$M,13,0)</f>
        <v>李培金</v>
      </c>
      <c r="F1009" s="46" t="s">
        <v>1271</v>
      </c>
      <c r="G1009" s="46" t="str">
        <f>VLOOKUP(F1009,[4]在职!$A:$B,2,0)</f>
        <v>01790</v>
      </c>
      <c r="H1009" s="46" t="str">
        <f>VLOOKUP(F1009,[4]在职!$A:$I,9,0)</f>
        <v>一星销售顾问</v>
      </c>
      <c r="I1009" s="46" t="s">
        <v>915</v>
      </c>
      <c r="J1009" s="83">
        <v>46093</v>
      </c>
      <c r="K1009" s="46" t="s">
        <v>902</v>
      </c>
      <c r="L1009" s="83" t="s">
        <v>27</v>
      </c>
    </row>
    <row r="1010" ht="16.5" spans="1:12">
      <c r="A1010" s="46">
        <v>1008</v>
      </c>
      <c r="B1010" s="46" t="s">
        <v>45</v>
      </c>
      <c r="C1010" s="46" t="str">
        <f>VLOOKUP(F1010,[4]在职!$A:$E,5,0)</f>
        <v>西南总部</v>
      </c>
      <c r="D1010" s="46" t="str">
        <f>VLOOKUP(F1010,[4]在职!$A:$G,7,0)</f>
        <v>营业四部</v>
      </c>
      <c r="E1010" s="46" t="str">
        <f>VLOOKUP(F1010,[4]在职!$A:$M,13,0)</f>
        <v>李培金</v>
      </c>
      <c r="F1010" s="46" t="s">
        <v>1273</v>
      </c>
      <c r="G1010" s="46" t="str">
        <f>VLOOKUP(F1010,[4]在职!$A:$B,2,0)</f>
        <v>01767</v>
      </c>
      <c r="H1010" s="46" t="str">
        <f>VLOOKUP(F1010,[4]在职!$A:$I,9,0)</f>
        <v>一星销售顾问</v>
      </c>
      <c r="I1010" s="46" t="s">
        <v>915</v>
      </c>
      <c r="J1010" s="83">
        <v>46093</v>
      </c>
      <c r="K1010" s="46" t="s">
        <v>902</v>
      </c>
      <c r="L1010" s="83" t="s">
        <v>27</v>
      </c>
    </row>
    <row r="1011" ht="16.5" spans="1:12">
      <c r="A1011" s="46">
        <v>1009</v>
      </c>
      <c r="B1011" s="46" t="s">
        <v>45</v>
      </c>
      <c r="C1011" s="46" t="str">
        <f>VLOOKUP(F1011,[4]在职!$A:$E,5,0)</f>
        <v>西南总部</v>
      </c>
      <c r="D1011" s="46" t="str">
        <f>VLOOKUP(F1011,[4]在职!$A:$G,7,0)</f>
        <v>营业四部</v>
      </c>
      <c r="E1011" s="46" t="str">
        <f>VLOOKUP(F1011,[4]在职!$A:$M,13,0)</f>
        <v>李培金</v>
      </c>
      <c r="F1011" s="46" t="s">
        <v>1447</v>
      </c>
      <c r="G1011" s="46" t="str">
        <f>VLOOKUP(F1011,[4]在职!$A:$B,2,0)</f>
        <v>01735</v>
      </c>
      <c r="H1011" s="46" t="str">
        <f>VLOOKUP(F1011,[4]在职!$A:$I,9,0)</f>
        <v>一星销售顾问</v>
      </c>
      <c r="I1011" s="46" t="s">
        <v>915</v>
      </c>
      <c r="J1011" s="83">
        <v>46093</v>
      </c>
      <c r="K1011" s="46" t="s">
        <v>902</v>
      </c>
      <c r="L1011" s="83" t="s">
        <v>27</v>
      </c>
    </row>
    <row r="1012" ht="16.5" spans="1:12">
      <c r="A1012" s="46">
        <v>1010</v>
      </c>
      <c r="B1012" s="46" t="s">
        <v>45</v>
      </c>
      <c r="C1012" s="46" t="str">
        <f>VLOOKUP(F1012,[4]在职!$A:$E,5,0)</f>
        <v>山西</v>
      </c>
      <c r="D1012" s="46" t="str">
        <f>VLOOKUP(F1012,[4]在职!$A:$G,7,0)</f>
        <v>山西销售部</v>
      </c>
      <c r="E1012" s="46" t="str">
        <f>VLOOKUP(F1012,[4]在职!$A:$M,13,0)</f>
        <v>李权益</v>
      </c>
      <c r="F1012" s="46" t="s">
        <v>1448</v>
      </c>
      <c r="G1012" s="46" t="str">
        <f>VLOOKUP(F1012,[4]在职!$A:$B,2,0)</f>
        <v>01650</v>
      </c>
      <c r="H1012" s="46" t="str">
        <f>VLOOKUP(F1012,[4]在职!$A:$I,9,0)</f>
        <v>一星销售顾问</v>
      </c>
      <c r="I1012" s="46" t="s">
        <v>915</v>
      </c>
      <c r="J1012" s="83">
        <v>46093</v>
      </c>
      <c r="K1012" s="46" t="s">
        <v>902</v>
      </c>
      <c r="L1012" s="83" t="s">
        <v>27</v>
      </c>
    </row>
    <row r="1013" ht="16.5" spans="1:12">
      <c r="A1013" s="46">
        <v>1011</v>
      </c>
      <c r="B1013" s="46" t="s">
        <v>45</v>
      </c>
      <c r="C1013" s="46" t="str">
        <f>VLOOKUP(F1013,[4]在职!$A:$E,5,0)</f>
        <v>陕西</v>
      </c>
      <c r="D1013" s="46" t="str">
        <f>VLOOKUP(F1013,[4]在职!$A:$G,7,0)</f>
        <v>陕西2部</v>
      </c>
      <c r="E1013" s="46" t="str">
        <f>VLOOKUP(F1013,[4]在职!$A:$M,13,0)</f>
        <v>李耀</v>
      </c>
      <c r="F1013" s="46" t="s">
        <v>1449</v>
      </c>
      <c r="G1013" s="46" t="str">
        <f>VLOOKUP(F1013,[4]在职!$A:$B,2,0)</f>
        <v>00583</v>
      </c>
      <c r="H1013" s="46" t="str">
        <f>VLOOKUP(F1013,[4]在职!$A:$I,9,0)</f>
        <v>一星销售顾问</v>
      </c>
      <c r="I1013" s="46" t="s">
        <v>915</v>
      </c>
      <c r="J1013" s="83">
        <v>46093</v>
      </c>
      <c r="K1013" s="46" t="s">
        <v>902</v>
      </c>
      <c r="L1013" s="83" t="s">
        <v>27</v>
      </c>
    </row>
    <row r="1014" ht="16.5" spans="1:12">
      <c r="A1014" s="46">
        <v>1012</v>
      </c>
      <c r="B1014" s="46" t="s">
        <v>45</v>
      </c>
      <c r="C1014" s="46" t="str">
        <f>VLOOKUP(F1014,[4]在职!$A:$E,5,0)</f>
        <v>湖北</v>
      </c>
      <c r="D1014" s="46" t="str">
        <f>VLOOKUP(F1014,[4]在职!$A:$G,7,0)</f>
        <v>湖北1部</v>
      </c>
      <c r="E1014" s="46" t="str">
        <f>VLOOKUP(F1014,[4]在职!$A:$M,13,0)</f>
        <v>秦娅玲</v>
      </c>
      <c r="F1014" s="46" t="s">
        <v>1450</v>
      </c>
      <c r="G1014" s="46" t="str">
        <f>VLOOKUP(F1014,[4]在职!$A:$B,2,0)</f>
        <v>01629</v>
      </c>
      <c r="H1014" s="46" t="str">
        <f>VLOOKUP(F1014,[4]在职!$A:$I,9,0)</f>
        <v>一星销售顾问</v>
      </c>
      <c r="I1014" s="46" t="s">
        <v>915</v>
      </c>
      <c r="J1014" s="83">
        <v>46093</v>
      </c>
      <c r="K1014" s="46" t="s">
        <v>902</v>
      </c>
      <c r="L1014" s="83" t="s">
        <v>27</v>
      </c>
    </row>
    <row r="1015" ht="16.5" spans="1:12">
      <c r="A1015" s="46">
        <v>1013</v>
      </c>
      <c r="B1015" s="46" t="s">
        <v>45</v>
      </c>
      <c r="C1015" s="46" t="str">
        <f>VLOOKUP(F1015,[4]在职!$A:$E,5,0)</f>
        <v>湖北</v>
      </c>
      <c r="D1015" s="46" t="str">
        <f>VLOOKUP(F1015,[4]在职!$A:$G,7,0)</f>
        <v>湖北1部</v>
      </c>
      <c r="E1015" s="46" t="str">
        <f>VLOOKUP(F1015,[4]在职!$A:$M,13,0)</f>
        <v>蔺小燕</v>
      </c>
      <c r="F1015" s="46" t="s">
        <v>1006</v>
      </c>
      <c r="G1015" s="46" t="str">
        <f>VLOOKUP(F1015,[4]在职!$A:$B,2,0)</f>
        <v>01537</v>
      </c>
      <c r="H1015" s="46" t="str">
        <f>VLOOKUP(F1015,[4]在职!$A:$I,9,0)</f>
        <v>一星销售顾问</v>
      </c>
      <c r="I1015" s="46" t="s">
        <v>915</v>
      </c>
      <c r="J1015" s="83">
        <v>46093</v>
      </c>
      <c r="K1015" s="46" t="s">
        <v>902</v>
      </c>
      <c r="L1015" s="83" t="s">
        <v>27</v>
      </c>
    </row>
    <row r="1016" ht="16.5" spans="1:12">
      <c r="A1016" s="46">
        <v>1014</v>
      </c>
      <c r="B1016" s="46" t="s">
        <v>45</v>
      </c>
      <c r="C1016" s="46" t="str">
        <f>VLOOKUP(F1016,[4]在职!$A:$E,5,0)</f>
        <v>湖北</v>
      </c>
      <c r="D1016" s="46" t="str">
        <f>VLOOKUP(F1016,[4]在职!$A:$G,7,0)</f>
        <v>湖北1部</v>
      </c>
      <c r="E1016" s="46" t="str">
        <f>VLOOKUP(F1016,[4]在职!$A:$M,13,0)</f>
        <v>蔺小燕</v>
      </c>
      <c r="F1016" s="46" t="s">
        <v>1068</v>
      </c>
      <c r="G1016" s="46" t="str">
        <f>VLOOKUP(F1016,[4]在职!$A:$B,2,0)</f>
        <v>01404</v>
      </c>
      <c r="H1016" s="46" t="str">
        <f>VLOOKUP(F1016,[4]在职!$A:$I,9,0)</f>
        <v>二星销售顾问</v>
      </c>
      <c r="I1016" s="46" t="s">
        <v>915</v>
      </c>
      <c r="J1016" s="83">
        <v>46093</v>
      </c>
      <c r="K1016" s="46" t="s">
        <v>902</v>
      </c>
      <c r="L1016" s="83" t="s">
        <v>27</v>
      </c>
    </row>
    <row r="1017" ht="16.5" spans="1:12">
      <c r="A1017" s="46">
        <v>1015</v>
      </c>
      <c r="B1017" s="46" t="s">
        <v>45</v>
      </c>
      <c r="C1017" s="46" t="str">
        <f>VLOOKUP(F1017,[4]在职!$A:$E,5,0)</f>
        <v>山西</v>
      </c>
      <c r="D1017" s="46" t="str">
        <f>VLOOKUP(F1017,[4]在职!$A:$G,7,0)</f>
        <v>山西销售部</v>
      </c>
      <c r="E1017" s="46" t="str">
        <f>VLOOKUP(F1017,[4]在职!$A:$M,13,0)</f>
        <v>刘辉</v>
      </c>
      <c r="F1017" s="46" t="s">
        <v>1451</v>
      </c>
      <c r="G1017" s="46" t="str">
        <f>VLOOKUP(F1017,[4]在职!$A:$B,2,0)</f>
        <v>01726</v>
      </c>
      <c r="H1017" s="46" t="str">
        <f>VLOOKUP(F1017,[4]在职!$A:$I,9,0)</f>
        <v>一星销售顾问</v>
      </c>
      <c r="I1017" s="46" t="s">
        <v>915</v>
      </c>
      <c r="J1017" s="83">
        <v>46093</v>
      </c>
      <c r="K1017" s="46" t="s">
        <v>902</v>
      </c>
      <c r="L1017" s="83" t="s">
        <v>27</v>
      </c>
    </row>
    <row r="1018" ht="16.5" spans="1:12">
      <c r="A1018" s="46">
        <v>1016</v>
      </c>
      <c r="B1018" s="46" t="s">
        <v>45</v>
      </c>
      <c r="C1018" s="46" t="str">
        <f>VLOOKUP(F1018,[4]在职!$A:$E,5,0)</f>
        <v>西南总部</v>
      </c>
      <c r="D1018" s="46" t="str">
        <f>VLOOKUP(F1018,[4]在职!$A:$G,7,0)</f>
        <v>营业七部</v>
      </c>
      <c r="E1018" s="46" t="str">
        <f>VLOOKUP(F1018,[4]在职!$A:$M,13,0)</f>
        <v>刘鹏</v>
      </c>
      <c r="F1018" s="46" t="s">
        <v>1263</v>
      </c>
      <c r="G1018" s="46" t="str">
        <f>VLOOKUP(F1018,[4]在职!$A:$B,2,0)</f>
        <v>01723</v>
      </c>
      <c r="H1018" s="46" t="str">
        <f>VLOOKUP(F1018,[4]在职!$A:$I,9,0)</f>
        <v>一星销售顾问</v>
      </c>
      <c r="I1018" s="46" t="s">
        <v>915</v>
      </c>
      <c r="J1018" s="83">
        <v>46093</v>
      </c>
      <c r="K1018" s="46" t="s">
        <v>902</v>
      </c>
      <c r="L1018" s="83" t="s">
        <v>27</v>
      </c>
    </row>
    <row r="1019" ht="16.5" spans="1:12">
      <c r="A1019" s="46">
        <v>1017</v>
      </c>
      <c r="B1019" s="46" t="s">
        <v>45</v>
      </c>
      <c r="C1019" s="46" t="str">
        <f>VLOOKUP(F1019,[4]在职!$A:$E,5,0)</f>
        <v>西南总部</v>
      </c>
      <c r="D1019" s="46" t="str">
        <f>VLOOKUP(F1019,[4]在职!$A:$G,7,0)</f>
        <v>营业七部</v>
      </c>
      <c r="E1019" s="46" t="str">
        <f>VLOOKUP(F1019,[4]在职!$A:$M,13,0)</f>
        <v>刘鹏</v>
      </c>
      <c r="F1019" s="46" t="s">
        <v>972</v>
      </c>
      <c r="G1019" s="46" t="str">
        <f>VLOOKUP(F1019,[4]在职!$A:$B,2,0)</f>
        <v>01599</v>
      </c>
      <c r="H1019" s="46" t="str">
        <f>VLOOKUP(F1019,[4]在职!$A:$I,9,0)</f>
        <v>二星销售顾问</v>
      </c>
      <c r="I1019" s="46" t="s">
        <v>915</v>
      </c>
      <c r="J1019" s="83">
        <v>46093</v>
      </c>
      <c r="K1019" s="46" t="s">
        <v>902</v>
      </c>
      <c r="L1019" s="83" t="s">
        <v>27</v>
      </c>
    </row>
    <row r="1020" ht="16.5" spans="1:12">
      <c r="A1020" s="46">
        <v>1018</v>
      </c>
      <c r="B1020" s="46" t="s">
        <v>45</v>
      </c>
      <c r="C1020" s="46" t="str">
        <f>VLOOKUP(F1020,[4]在职!$A:$E,5,0)</f>
        <v>西南总部</v>
      </c>
      <c r="D1020" s="46" t="str">
        <f>VLOOKUP(F1020,[4]在职!$A:$G,7,0)</f>
        <v>营业七部</v>
      </c>
      <c r="E1020" s="46" t="str">
        <f>VLOOKUP(F1020,[4]在职!$A:$M,13,0)</f>
        <v>刘鹏</v>
      </c>
      <c r="F1020" s="46" t="s">
        <v>974</v>
      </c>
      <c r="G1020" s="46" t="str">
        <f>VLOOKUP(F1020,[4]在职!$A:$B,2,0)</f>
        <v>01465</v>
      </c>
      <c r="H1020" s="46" t="str">
        <f>VLOOKUP(F1020,[4]在职!$A:$I,9,0)</f>
        <v>二星销售顾问</v>
      </c>
      <c r="I1020" s="46" t="s">
        <v>915</v>
      </c>
      <c r="J1020" s="83">
        <v>46093</v>
      </c>
      <c r="K1020" s="46" t="s">
        <v>902</v>
      </c>
      <c r="L1020" s="83" t="s">
        <v>27</v>
      </c>
    </row>
    <row r="1021" ht="16.5" spans="1:12">
      <c r="A1021" s="46">
        <v>1019</v>
      </c>
      <c r="B1021" s="46" t="s">
        <v>45</v>
      </c>
      <c r="C1021" s="46" t="str">
        <f>VLOOKUP(F1021,[4]在职!$A:$E,5,0)</f>
        <v>陕西</v>
      </c>
      <c r="D1021" s="46" t="str">
        <f>VLOOKUP(F1021,[4]在职!$A:$G,7,0)</f>
        <v>陕西2部</v>
      </c>
      <c r="E1021" s="46" t="str">
        <f>VLOOKUP(F1021,[4]在职!$A:$M,13,0)</f>
        <v>罗小花</v>
      </c>
      <c r="F1021" s="46" t="s">
        <v>1452</v>
      </c>
      <c r="G1021" s="46" t="str">
        <f>VLOOKUP(F1021,[4]在职!$A:$B,2,0)</f>
        <v>01720</v>
      </c>
      <c r="H1021" s="46" t="str">
        <f>VLOOKUP(F1021,[4]在职!$A:$I,9,0)</f>
        <v>一星销售顾问</v>
      </c>
      <c r="I1021" s="46" t="s">
        <v>915</v>
      </c>
      <c r="J1021" s="83">
        <v>46093</v>
      </c>
      <c r="K1021" s="46" t="s">
        <v>902</v>
      </c>
      <c r="L1021" s="83" t="s">
        <v>27</v>
      </c>
    </row>
    <row r="1022" ht="16.5" spans="1:12">
      <c r="A1022" s="46">
        <v>1020</v>
      </c>
      <c r="B1022" s="46" t="s">
        <v>45</v>
      </c>
      <c r="C1022" s="46" t="str">
        <f>VLOOKUP(F1022,[4]在职!$A:$E,5,0)</f>
        <v>湖北</v>
      </c>
      <c r="D1022" s="46" t="str">
        <f>VLOOKUP(F1022,[4]在职!$A:$G,7,0)</f>
        <v>湖北1部</v>
      </c>
      <c r="E1022" s="46" t="str">
        <f>VLOOKUP(F1022,[4]在职!$A:$M,13,0)</f>
        <v>骆志红</v>
      </c>
      <c r="F1022" s="46" t="s">
        <v>1453</v>
      </c>
      <c r="G1022" s="46" t="str">
        <f>VLOOKUP(F1022,[4]在职!$A:$B,2,0)</f>
        <v>01632</v>
      </c>
      <c r="H1022" s="46" t="str">
        <f>VLOOKUP(F1022,[4]在职!$A:$I,9,0)</f>
        <v>一星销售顾问</v>
      </c>
      <c r="I1022" s="46" t="s">
        <v>915</v>
      </c>
      <c r="J1022" s="83">
        <v>46093</v>
      </c>
      <c r="K1022" s="46" t="s">
        <v>902</v>
      </c>
      <c r="L1022" s="83" t="s">
        <v>27</v>
      </c>
    </row>
    <row r="1023" ht="16.5" spans="1:12">
      <c r="A1023" s="46">
        <v>1021</v>
      </c>
      <c r="B1023" s="46" t="s">
        <v>45</v>
      </c>
      <c r="C1023" s="46" t="str">
        <f>VLOOKUP(F1023,[4]在职!$A:$E,5,0)</f>
        <v>河南</v>
      </c>
      <c r="D1023" s="46" t="str">
        <f>VLOOKUP(F1023,[4]在职!$A:$G,7,0)</f>
        <v>河南销售部</v>
      </c>
      <c r="E1023" s="46" t="str">
        <f>VLOOKUP(F1023,[4]在职!$A:$M,13,0)</f>
        <v>吕涛</v>
      </c>
      <c r="F1023" s="46" t="s">
        <v>1253</v>
      </c>
      <c r="G1023" s="46" t="str">
        <f>VLOOKUP(F1023,[4]在职!$A:$B,2,0)</f>
        <v>01762</v>
      </c>
      <c r="H1023" s="46" t="str">
        <f>VLOOKUP(F1023,[4]在职!$A:$I,9,0)</f>
        <v>一星销售顾问</v>
      </c>
      <c r="I1023" s="46" t="s">
        <v>915</v>
      </c>
      <c r="J1023" s="83">
        <v>46093</v>
      </c>
      <c r="K1023" s="46" t="s">
        <v>902</v>
      </c>
      <c r="L1023" s="83" t="s">
        <v>27</v>
      </c>
    </row>
    <row r="1024" ht="16.5" spans="1:12">
      <c r="A1024" s="46">
        <v>1022</v>
      </c>
      <c r="B1024" s="46" t="s">
        <v>45</v>
      </c>
      <c r="C1024" s="46" t="str">
        <f>VLOOKUP(F1024,[4]在职!$A:$E,5,0)</f>
        <v>河南</v>
      </c>
      <c r="D1024" s="46" t="str">
        <f>VLOOKUP(F1024,[4]在职!$A:$G,7,0)</f>
        <v>河南销售部</v>
      </c>
      <c r="E1024" s="46" t="str">
        <f>VLOOKUP(F1024,[4]在职!$A:$M,13,0)</f>
        <v>吕涛</v>
      </c>
      <c r="F1024" s="46" t="s">
        <v>1255</v>
      </c>
      <c r="G1024" s="46" t="str">
        <f>VLOOKUP(F1024,[4]在职!$A:$B,2,0)</f>
        <v>01766</v>
      </c>
      <c r="H1024" s="46" t="str">
        <f>VLOOKUP(F1024,[4]在职!$A:$I,9,0)</f>
        <v>一星销售顾问</v>
      </c>
      <c r="I1024" s="46" t="s">
        <v>915</v>
      </c>
      <c r="J1024" s="83">
        <v>46093</v>
      </c>
      <c r="K1024" s="46" t="s">
        <v>902</v>
      </c>
      <c r="L1024" s="83" t="s">
        <v>27</v>
      </c>
    </row>
    <row r="1025" ht="16.5" spans="1:12">
      <c r="A1025" s="46">
        <v>1023</v>
      </c>
      <c r="B1025" s="46" t="s">
        <v>45</v>
      </c>
      <c r="C1025" s="46" t="str">
        <f>VLOOKUP(F1025,[4]在职!$A:$E,5,0)</f>
        <v>西南总部</v>
      </c>
      <c r="D1025" s="46" t="str">
        <f>VLOOKUP(F1025,[4]在职!$A:$G,7,0)</f>
        <v>营业七部</v>
      </c>
      <c r="E1025" s="46" t="str">
        <f>VLOOKUP(F1025,[4]在职!$A:$M,13,0)</f>
        <v>彭小琴</v>
      </c>
      <c r="F1025" s="46" t="s">
        <v>1454</v>
      </c>
      <c r="G1025" s="46" t="str">
        <f>VLOOKUP(F1025,[4]在职!$A:$B,2,0)</f>
        <v>01693</v>
      </c>
      <c r="H1025" s="46" t="str">
        <f>VLOOKUP(F1025,[4]在职!$A:$I,9,0)</f>
        <v>一星销售顾问</v>
      </c>
      <c r="I1025" s="46" t="s">
        <v>915</v>
      </c>
      <c r="J1025" s="83">
        <v>46093</v>
      </c>
      <c r="K1025" s="46" t="s">
        <v>902</v>
      </c>
      <c r="L1025" s="83" t="s">
        <v>27</v>
      </c>
    </row>
    <row r="1026" ht="16.5" spans="1:12">
      <c r="A1026" s="46">
        <v>1024</v>
      </c>
      <c r="B1026" s="46" t="s">
        <v>45</v>
      </c>
      <c r="C1026" s="46" t="str">
        <f>VLOOKUP(F1026,[4]在职!$A:$E,5,0)</f>
        <v>西南总部</v>
      </c>
      <c r="D1026" s="46" t="str">
        <f>VLOOKUP(F1026,[4]在职!$A:$G,7,0)</f>
        <v>营业七部</v>
      </c>
      <c r="E1026" s="46" t="str">
        <f>VLOOKUP(F1026,[4]在职!$A:$M,13,0)</f>
        <v>彭小琴</v>
      </c>
      <c r="F1026" s="46" t="s">
        <v>1455</v>
      </c>
      <c r="G1026" s="46" t="str">
        <f>VLOOKUP(F1026,[4]在职!$A:$B,2,0)</f>
        <v>01675</v>
      </c>
      <c r="H1026" s="46" t="str">
        <f>VLOOKUP(F1026,[4]在职!$A:$I,9,0)</f>
        <v>一星销售顾问</v>
      </c>
      <c r="I1026" s="46" t="s">
        <v>915</v>
      </c>
      <c r="J1026" s="83">
        <v>46093</v>
      </c>
      <c r="K1026" s="46" t="s">
        <v>902</v>
      </c>
      <c r="L1026" s="83" t="s">
        <v>27</v>
      </c>
    </row>
    <row r="1027" ht="16.5" spans="1:12">
      <c r="A1027" s="46">
        <v>1025</v>
      </c>
      <c r="B1027" s="46" t="s">
        <v>45</v>
      </c>
      <c r="C1027" s="46" t="str">
        <f>VLOOKUP(F1027,[4]在职!$A:$E,5,0)</f>
        <v>湖北</v>
      </c>
      <c r="D1027" s="46" t="str">
        <f>VLOOKUP(F1027,[4]在职!$A:$G,7,0)</f>
        <v>湖北1部</v>
      </c>
      <c r="E1027" s="46" t="str">
        <f>VLOOKUP(F1027,[4]在职!$A:$M,13,0)</f>
        <v>秦娅玲</v>
      </c>
      <c r="F1027" s="46" t="s">
        <v>1456</v>
      </c>
      <c r="G1027" s="46" t="str">
        <f>VLOOKUP(F1027,[4]在职!$A:$B,2,0)</f>
        <v>01480</v>
      </c>
      <c r="H1027" s="46" t="str">
        <f>VLOOKUP(F1027,[4]在职!$A:$I,9,0)</f>
        <v>一星销售顾问</v>
      </c>
      <c r="I1027" s="46" t="s">
        <v>915</v>
      </c>
      <c r="J1027" s="83">
        <v>46093</v>
      </c>
      <c r="K1027" s="46" t="s">
        <v>902</v>
      </c>
      <c r="L1027" s="83" t="s">
        <v>27</v>
      </c>
    </row>
    <row r="1028" ht="16.5" spans="1:12">
      <c r="A1028" s="46">
        <v>1026</v>
      </c>
      <c r="B1028" s="46" t="s">
        <v>45</v>
      </c>
      <c r="C1028" s="46" t="str">
        <f>VLOOKUP(F1028,[4]在职!$A:$E,5,0)</f>
        <v>湖北</v>
      </c>
      <c r="D1028" s="46" t="str">
        <f>VLOOKUP(F1028,[4]在职!$A:$G,7,0)</f>
        <v>湖北1部</v>
      </c>
      <c r="E1028" s="46" t="str">
        <f>VLOOKUP(F1028,[4]在职!$A:$M,13,0)</f>
        <v>秦娅玲</v>
      </c>
      <c r="F1028" s="46" t="s">
        <v>1030</v>
      </c>
      <c r="G1028" s="46" t="str">
        <f>VLOOKUP(F1028,[4]在职!$A:$B,2,0)</f>
        <v>01187</v>
      </c>
      <c r="H1028" s="46" t="str">
        <f>VLOOKUP(F1028,[4]在职!$A:$I,9,0)</f>
        <v>二星销售顾问</v>
      </c>
      <c r="I1028" s="46" t="s">
        <v>915</v>
      </c>
      <c r="J1028" s="83">
        <v>46093</v>
      </c>
      <c r="K1028" s="46" t="s">
        <v>902</v>
      </c>
      <c r="L1028" s="83" t="s">
        <v>27</v>
      </c>
    </row>
    <row r="1029" ht="16.5" spans="1:12">
      <c r="A1029" s="46">
        <v>1027</v>
      </c>
      <c r="B1029" s="46" t="s">
        <v>45</v>
      </c>
      <c r="C1029" s="46" t="str">
        <f>VLOOKUP(F1029,[4]在职!$A:$E,5,0)</f>
        <v>河南</v>
      </c>
      <c r="D1029" s="46" t="str">
        <f>VLOOKUP(F1029,[4]在职!$A:$G,7,0)</f>
        <v>河南销售部</v>
      </c>
      <c r="E1029" s="46" t="str">
        <f>VLOOKUP(F1029,[4]在职!$A:$M,13,0)</f>
        <v>任枭月</v>
      </c>
      <c r="F1029" s="46" t="s">
        <v>1457</v>
      </c>
      <c r="G1029" s="46" t="str">
        <f>VLOOKUP(F1029,[4]在职!$A:$B,2,0)</f>
        <v>01626</v>
      </c>
      <c r="H1029" s="46" t="str">
        <f>VLOOKUP(F1029,[4]在职!$A:$I,9,0)</f>
        <v>一星销售顾问</v>
      </c>
      <c r="I1029" s="46" t="s">
        <v>915</v>
      </c>
      <c r="J1029" s="83">
        <v>46093</v>
      </c>
      <c r="K1029" s="46" t="s">
        <v>902</v>
      </c>
      <c r="L1029" s="83" t="s">
        <v>27</v>
      </c>
    </row>
    <row r="1030" ht="16.5" spans="1:12">
      <c r="A1030" s="46">
        <v>1028</v>
      </c>
      <c r="B1030" s="46" t="s">
        <v>45</v>
      </c>
      <c r="C1030" s="46" t="str">
        <f>VLOOKUP(F1030,[4]在职!$A:$E,5,0)</f>
        <v>湖北</v>
      </c>
      <c r="D1030" s="46" t="str">
        <f>VLOOKUP(F1030,[4]在职!$A:$G,7,0)</f>
        <v>湖北1部</v>
      </c>
      <c r="E1030" s="46" t="str">
        <f>VLOOKUP(F1030,[4]在职!$A:$M,13,0)</f>
        <v>阮阳</v>
      </c>
      <c r="F1030" s="46" t="s">
        <v>946</v>
      </c>
      <c r="G1030" s="46" t="str">
        <f>VLOOKUP(F1030,[4]在职!$A:$B,2,0)</f>
        <v>01636</v>
      </c>
      <c r="H1030" s="46" t="str">
        <f>VLOOKUP(F1030,[4]在职!$A:$I,9,0)</f>
        <v>一星销售顾问</v>
      </c>
      <c r="I1030" s="46" t="s">
        <v>915</v>
      </c>
      <c r="J1030" s="83">
        <v>46093</v>
      </c>
      <c r="K1030" s="46" t="s">
        <v>902</v>
      </c>
      <c r="L1030" s="83" t="s">
        <v>27</v>
      </c>
    </row>
    <row r="1031" ht="16.5" spans="1:12">
      <c r="A1031" s="46">
        <v>1029</v>
      </c>
      <c r="B1031" s="46" t="s">
        <v>45</v>
      </c>
      <c r="C1031" s="46" t="str">
        <f>VLOOKUP(F1031,[4]在职!$A:$E,5,0)</f>
        <v>西南总部</v>
      </c>
      <c r="D1031" s="46" t="str">
        <f>VLOOKUP(F1031,[4]在职!$A:$G,7,0)</f>
        <v>营业六部</v>
      </c>
      <c r="E1031" s="46" t="str">
        <f>VLOOKUP(F1031,[4]在职!$A:$M,13,0)</f>
        <v>税锐</v>
      </c>
      <c r="F1031" s="46" t="s">
        <v>992</v>
      </c>
      <c r="G1031" s="46" t="str">
        <f>VLOOKUP(F1031,[4]在职!$A:$B,2,0)</f>
        <v>01398</v>
      </c>
      <c r="H1031" s="46" t="str">
        <f>VLOOKUP(F1031,[4]在职!$A:$I,9,0)</f>
        <v>二星销售顾问</v>
      </c>
      <c r="I1031" s="46" t="s">
        <v>915</v>
      </c>
      <c r="J1031" s="83">
        <v>46093</v>
      </c>
      <c r="K1031" s="46" t="s">
        <v>902</v>
      </c>
      <c r="L1031" s="83" t="s">
        <v>27</v>
      </c>
    </row>
    <row r="1032" ht="16.5" spans="1:12">
      <c r="A1032" s="46">
        <v>1030</v>
      </c>
      <c r="B1032" s="46" t="s">
        <v>45</v>
      </c>
      <c r="C1032" s="46" t="str">
        <f>VLOOKUP(F1032,[4]在职!$A:$E,5,0)</f>
        <v>山东</v>
      </c>
      <c r="D1032" s="46" t="str">
        <f>VLOOKUP(F1032,[4]在职!$A:$G,7,0)</f>
        <v>山东销售部</v>
      </c>
      <c r="E1032" s="46" t="str">
        <f>VLOOKUP(F1032,[4]在职!$A:$M,13,0)</f>
        <v>苏晓青</v>
      </c>
      <c r="F1032" s="46" t="s">
        <v>1458</v>
      </c>
      <c r="G1032" s="46" t="str">
        <f>VLOOKUP(F1032,[4]在职!$A:$B,2,0)</f>
        <v>01692</v>
      </c>
      <c r="H1032" s="46" t="str">
        <f>VLOOKUP(F1032,[4]在职!$A:$I,9,0)</f>
        <v>一星销售顾问</v>
      </c>
      <c r="I1032" s="46" t="s">
        <v>915</v>
      </c>
      <c r="J1032" s="83">
        <v>46093</v>
      </c>
      <c r="K1032" s="46" t="s">
        <v>902</v>
      </c>
      <c r="L1032" s="83" t="s">
        <v>27</v>
      </c>
    </row>
    <row r="1033" ht="16.5" spans="1:12">
      <c r="A1033" s="46">
        <v>1031</v>
      </c>
      <c r="B1033" s="46" t="s">
        <v>45</v>
      </c>
      <c r="C1033" s="46" t="str">
        <f>VLOOKUP(F1033,[4]在职!$A:$E,5,0)</f>
        <v>辽宁</v>
      </c>
      <c r="D1033" s="46" t="str">
        <f>VLOOKUP(F1033,[4]在职!$A:$G,7,0)</f>
        <v>辽宁销售部</v>
      </c>
      <c r="E1033" s="46" t="str">
        <f>VLOOKUP(F1033,[4]在职!$A:$M,13,0)</f>
        <v>孙科</v>
      </c>
      <c r="F1033" s="46" t="s">
        <v>998</v>
      </c>
      <c r="G1033" s="46" t="str">
        <f>VLOOKUP(F1033,[4]在职!$A:$B,2,0)</f>
        <v>01542</v>
      </c>
      <c r="H1033" s="46" t="str">
        <f>VLOOKUP(F1033,[4]在职!$A:$I,9,0)</f>
        <v>一星销售顾问</v>
      </c>
      <c r="I1033" s="46" t="s">
        <v>915</v>
      </c>
      <c r="J1033" s="83">
        <v>46093</v>
      </c>
      <c r="K1033" s="46" t="s">
        <v>902</v>
      </c>
      <c r="L1033" s="83" t="s">
        <v>27</v>
      </c>
    </row>
    <row r="1034" ht="16.5" spans="1:12">
      <c r="A1034" s="46">
        <v>1032</v>
      </c>
      <c r="B1034" s="46" t="s">
        <v>45</v>
      </c>
      <c r="C1034" s="46" t="str">
        <f>VLOOKUP(F1034,[4]在职!$A:$E,5,0)</f>
        <v>辽宁</v>
      </c>
      <c r="D1034" s="46" t="str">
        <f>VLOOKUP(F1034,[4]在职!$A:$G,7,0)</f>
        <v>辽宁销售部</v>
      </c>
      <c r="E1034" s="46" t="str">
        <f>VLOOKUP(F1034,[4]在职!$A:$M,13,0)</f>
        <v>孙科</v>
      </c>
      <c r="F1034" s="46" t="s">
        <v>990</v>
      </c>
      <c r="G1034" s="46" t="str">
        <f>VLOOKUP(F1034,[4]在职!$A:$B,2,0)</f>
        <v>01426</v>
      </c>
      <c r="H1034" s="46" t="str">
        <f>VLOOKUP(F1034,[4]在职!$A:$I,9,0)</f>
        <v>二星销售顾问</v>
      </c>
      <c r="I1034" s="46" t="s">
        <v>915</v>
      </c>
      <c r="J1034" s="83">
        <v>46093</v>
      </c>
      <c r="K1034" s="46" t="s">
        <v>902</v>
      </c>
      <c r="L1034" s="83" t="s">
        <v>27</v>
      </c>
    </row>
    <row r="1035" ht="16.5" spans="1:12">
      <c r="A1035" s="46">
        <v>1033</v>
      </c>
      <c r="B1035" s="46" t="s">
        <v>45</v>
      </c>
      <c r="C1035" s="46" t="str">
        <f>VLOOKUP(F1035,[4]在职!$A:$E,5,0)</f>
        <v>山东</v>
      </c>
      <c r="D1035" s="46" t="str">
        <f>VLOOKUP(F1035,[4]在职!$A:$G,7,0)</f>
        <v>山东销售部</v>
      </c>
      <c r="E1035" s="46" t="str">
        <f>VLOOKUP(F1035,[4]在职!$A:$M,13,0)</f>
        <v>王杰</v>
      </c>
      <c r="F1035" s="46" t="s">
        <v>1459</v>
      </c>
      <c r="G1035" s="46" t="str">
        <f>VLOOKUP(F1035,[4]在职!$A:$B,2,0)</f>
        <v>01664</v>
      </c>
      <c r="H1035" s="46" t="str">
        <f>VLOOKUP(F1035,[4]在职!$A:$I,9,0)</f>
        <v>一星销售顾问</v>
      </c>
      <c r="I1035" s="46" t="s">
        <v>915</v>
      </c>
      <c r="J1035" s="83">
        <v>46093</v>
      </c>
      <c r="K1035" s="46" t="s">
        <v>902</v>
      </c>
      <c r="L1035" s="83" t="s">
        <v>27</v>
      </c>
    </row>
    <row r="1036" ht="16.5" spans="1:12">
      <c r="A1036" s="46">
        <v>1034</v>
      </c>
      <c r="B1036" s="46" t="s">
        <v>45</v>
      </c>
      <c r="C1036" s="46" t="str">
        <f>VLOOKUP(F1036,[4]在职!$A:$E,5,0)</f>
        <v>陕西</v>
      </c>
      <c r="D1036" s="46" t="str">
        <f>VLOOKUP(F1036,[4]在职!$A:$G,7,0)</f>
        <v>陕西2部</v>
      </c>
      <c r="E1036" s="46" t="str">
        <f>VLOOKUP(F1036,[4]在职!$A:$M,13,0)</f>
        <v>王天成</v>
      </c>
      <c r="F1036" s="46" t="s">
        <v>1460</v>
      </c>
      <c r="G1036" s="46" t="str">
        <f>VLOOKUP(F1036,[4]在职!$A:$B,2,0)</f>
        <v>01566</v>
      </c>
      <c r="H1036" s="46" t="str">
        <f>VLOOKUP(F1036,[4]在职!$A:$I,9,0)</f>
        <v>一星销售顾问</v>
      </c>
      <c r="I1036" s="46" t="s">
        <v>915</v>
      </c>
      <c r="J1036" s="83">
        <v>46093</v>
      </c>
      <c r="K1036" s="46" t="s">
        <v>902</v>
      </c>
      <c r="L1036" s="83" t="s">
        <v>27</v>
      </c>
    </row>
    <row r="1037" ht="16.5" spans="1:12">
      <c r="A1037" s="46">
        <v>1035</v>
      </c>
      <c r="B1037" s="46" t="s">
        <v>45</v>
      </c>
      <c r="C1037" s="46" t="str">
        <f>VLOOKUP(F1037,[4]在职!$A:$E,5,0)</f>
        <v>西南总部</v>
      </c>
      <c r="D1037" s="46" t="str">
        <f>VLOOKUP(F1037,[4]在职!$A:$G,7,0)</f>
        <v>营业二部</v>
      </c>
      <c r="E1037" s="46" t="str">
        <f>VLOOKUP(F1037,[4]在职!$A:$M,13,0)</f>
        <v>文鹏羽</v>
      </c>
      <c r="F1037" s="46" t="s">
        <v>1227</v>
      </c>
      <c r="G1037" s="46" t="str">
        <f>VLOOKUP(F1037,[4]在职!$A:$B,2,0)</f>
        <v>01764</v>
      </c>
      <c r="H1037" s="46" t="str">
        <f>VLOOKUP(F1037,[4]在职!$A:$I,9,0)</f>
        <v>一星销售顾问</v>
      </c>
      <c r="I1037" s="46" t="s">
        <v>915</v>
      </c>
      <c r="J1037" s="83">
        <v>46093</v>
      </c>
      <c r="K1037" s="46" t="s">
        <v>902</v>
      </c>
      <c r="L1037" s="83" t="s">
        <v>27</v>
      </c>
    </row>
    <row r="1038" ht="16.5" spans="1:12">
      <c r="A1038" s="46">
        <v>1036</v>
      </c>
      <c r="B1038" s="46" t="s">
        <v>45</v>
      </c>
      <c r="C1038" s="46" t="str">
        <f>VLOOKUP(F1038,[4]在职!$A:$E,5,0)</f>
        <v>湖南</v>
      </c>
      <c r="D1038" s="46" t="str">
        <f>VLOOKUP(F1038,[4]在职!$A:$G,7,0)</f>
        <v>湖南销售部</v>
      </c>
      <c r="E1038" s="46" t="str">
        <f>VLOOKUP(F1038,[4]在职!$A:$M,13,0)</f>
        <v>孙小龙</v>
      </c>
      <c r="F1038" s="46" t="s">
        <v>1461</v>
      </c>
      <c r="G1038" s="46" t="str">
        <f>VLOOKUP(F1038,[4]在职!$A:$B,2,0)</f>
        <v>01731</v>
      </c>
      <c r="H1038" s="46" t="str">
        <f>VLOOKUP(F1038,[4]在职!$A:$I,9,0)</f>
        <v>一星销售顾问</v>
      </c>
      <c r="I1038" s="46" t="s">
        <v>915</v>
      </c>
      <c r="J1038" s="83">
        <v>46093</v>
      </c>
      <c r="K1038" s="46" t="s">
        <v>902</v>
      </c>
      <c r="L1038" s="83" t="s">
        <v>27</v>
      </c>
    </row>
    <row r="1039" ht="16.5" spans="1:12">
      <c r="A1039" s="46">
        <v>1037</v>
      </c>
      <c r="B1039" s="46" t="s">
        <v>45</v>
      </c>
      <c r="C1039" s="46" t="str">
        <f>VLOOKUP(F1039,[4]在职!$A:$E,5,0)</f>
        <v>山东</v>
      </c>
      <c r="D1039" s="46" t="str">
        <f>VLOOKUP(F1039,[4]在职!$A:$G,7,0)</f>
        <v>山东销售部</v>
      </c>
      <c r="E1039" s="46" t="str">
        <f>VLOOKUP(F1039,[4]在职!$A:$M,13,0)</f>
        <v>吴江平</v>
      </c>
      <c r="F1039" s="46" t="s">
        <v>1462</v>
      </c>
      <c r="G1039" s="46" t="str">
        <f>VLOOKUP(F1039,[4]在职!$A:$B,2,0)</f>
        <v>01561</v>
      </c>
      <c r="H1039" s="46" t="str">
        <f>VLOOKUP(F1039,[4]在职!$A:$I,9,0)</f>
        <v>一星销售顾问</v>
      </c>
      <c r="I1039" s="46" t="s">
        <v>915</v>
      </c>
      <c r="J1039" s="83">
        <v>46093</v>
      </c>
      <c r="K1039" s="46" t="s">
        <v>902</v>
      </c>
      <c r="L1039" s="83" t="s">
        <v>27</v>
      </c>
    </row>
    <row r="1040" ht="16.5" spans="1:12">
      <c r="A1040" s="46">
        <v>1038</v>
      </c>
      <c r="B1040" s="46" t="s">
        <v>45</v>
      </c>
      <c r="C1040" s="46" t="str">
        <f>VLOOKUP(F1040,[4]在职!$A:$E,5,0)</f>
        <v>西南总部</v>
      </c>
      <c r="D1040" s="46" t="str">
        <f>VLOOKUP(F1040,[4]在职!$A:$G,7,0)</f>
        <v>营业七部</v>
      </c>
      <c r="E1040" s="46" t="str">
        <f>VLOOKUP(F1040,[4]在职!$A:$M,13,0)</f>
        <v>谢沁霜</v>
      </c>
      <c r="F1040" s="46" t="s">
        <v>1463</v>
      </c>
      <c r="G1040" s="46" t="str">
        <f>VLOOKUP(F1040,[4]在职!$A:$B,2,0)</f>
        <v>01455</v>
      </c>
      <c r="H1040" s="46" t="str">
        <f>VLOOKUP(F1040,[4]在职!$A:$I,9,0)</f>
        <v>一星销售顾问</v>
      </c>
      <c r="I1040" s="46" t="s">
        <v>915</v>
      </c>
      <c r="J1040" s="83">
        <v>46093</v>
      </c>
      <c r="K1040" s="46" t="s">
        <v>902</v>
      </c>
      <c r="L1040" s="83" t="s">
        <v>27</v>
      </c>
    </row>
    <row r="1041" ht="16.5" spans="1:12">
      <c r="A1041" s="46">
        <v>1039</v>
      </c>
      <c r="B1041" s="46" t="s">
        <v>45</v>
      </c>
      <c r="C1041" s="46" t="str">
        <f>VLOOKUP(F1041,[4]在职!$A:$E,5,0)</f>
        <v>湖南</v>
      </c>
      <c r="D1041" s="46" t="str">
        <f>VLOOKUP(F1041,[4]在职!$A:$G,7,0)</f>
        <v>湖南销售部</v>
      </c>
      <c r="E1041" s="46" t="str">
        <f>VLOOKUP(F1041,[4]在职!$A:$M,13,0)</f>
        <v>闫柏年</v>
      </c>
      <c r="F1041" s="46" t="s">
        <v>1464</v>
      </c>
      <c r="G1041" s="46" t="str">
        <f>VLOOKUP(F1041,[4]在职!$A:$B,2,0)</f>
        <v>01683</v>
      </c>
      <c r="H1041" s="46" t="str">
        <f>VLOOKUP(F1041,[4]在职!$A:$I,9,0)</f>
        <v>一星销售顾问</v>
      </c>
      <c r="I1041" s="46" t="s">
        <v>915</v>
      </c>
      <c r="J1041" s="83">
        <v>46093</v>
      </c>
      <c r="K1041" s="46" t="s">
        <v>902</v>
      </c>
      <c r="L1041" s="83" t="s">
        <v>27</v>
      </c>
    </row>
    <row r="1042" ht="16.5" spans="1:12">
      <c r="A1042" s="46">
        <v>1040</v>
      </c>
      <c r="B1042" s="46" t="s">
        <v>45</v>
      </c>
      <c r="C1042" s="46" t="str">
        <f>VLOOKUP(F1042,[4]在职!$A:$E,5,0)</f>
        <v>西南总部</v>
      </c>
      <c r="D1042" s="46" t="str">
        <f>VLOOKUP(F1042,[4]在职!$A:$G,7,0)</f>
        <v>营业五部</v>
      </c>
      <c r="E1042" s="46" t="str">
        <f>VLOOKUP(F1042,[4]在职!$A:$M,13,0)</f>
        <v>杨科</v>
      </c>
      <c r="F1042" s="46" t="s">
        <v>1026</v>
      </c>
      <c r="G1042" s="46" t="str">
        <f>VLOOKUP(F1042,[4]在职!$A:$B,2,0)</f>
        <v>01587</v>
      </c>
      <c r="H1042" s="46" t="str">
        <f>VLOOKUP(F1042,[4]在职!$A:$I,9,0)</f>
        <v>二星销售顾问</v>
      </c>
      <c r="I1042" s="46" t="s">
        <v>915</v>
      </c>
      <c r="J1042" s="83">
        <v>46093</v>
      </c>
      <c r="K1042" s="46" t="s">
        <v>902</v>
      </c>
      <c r="L1042" s="83" t="s">
        <v>27</v>
      </c>
    </row>
    <row r="1043" ht="16.5" spans="1:12">
      <c r="A1043" s="46">
        <v>1041</v>
      </c>
      <c r="B1043" s="46" t="s">
        <v>45</v>
      </c>
      <c r="C1043" s="46" t="str">
        <f>VLOOKUP(F1043,[4]在职!$A:$E,5,0)</f>
        <v>西南总部</v>
      </c>
      <c r="D1043" s="46" t="str">
        <f>VLOOKUP(F1043,[4]在职!$A:$G,7,0)</f>
        <v>营业五部</v>
      </c>
      <c r="E1043" s="46" t="str">
        <f>VLOOKUP(F1043,[4]在职!$A:$M,13,0)</f>
        <v>杨科</v>
      </c>
      <c r="F1043" s="46" t="s">
        <v>1032</v>
      </c>
      <c r="G1043" s="46" t="str">
        <f>VLOOKUP(F1043,[4]在职!$A:$B,2,0)</f>
        <v>01514</v>
      </c>
      <c r="H1043" s="46" t="str">
        <f>VLOOKUP(F1043,[4]在职!$A:$I,9,0)</f>
        <v>一星销售顾问</v>
      </c>
      <c r="I1043" s="46" t="s">
        <v>915</v>
      </c>
      <c r="J1043" s="83">
        <v>46093</v>
      </c>
      <c r="K1043" s="46" t="s">
        <v>902</v>
      </c>
      <c r="L1043" s="83" t="s">
        <v>27</v>
      </c>
    </row>
    <row r="1044" ht="16.5" spans="1:12">
      <c r="A1044" s="46">
        <v>1042</v>
      </c>
      <c r="B1044" s="46" t="s">
        <v>45</v>
      </c>
      <c r="C1044" s="46" t="str">
        <f>VLOOKUP(F1044,[4]在职!$A:$E,5,0)</f>
        <v>西南总部</v>
      </c>
      <c r="D1044" s="46" t="str">
        <f>VLOOKUP(F1044,[4]在职!$A:$G,7,0)</f>
        <v>营业二部</v>
      </c>
      <c r="E1044" s="46" t="str">
        <f>VLOOKUP(F1044,[4]在职!$A:$M,13,0)</f>
        <v>杨芊</v>
      </c>
      <c r="F1044" s="46" t="s">
        <v>1036</v>
      </c>
      <c r="G1044" s="46" t="str">
        <f>VLOOKUP(F1044,[4]在职!$A:$B,2,0)</f>
        <v>01562</v>
      </c>
      <c r="H1044" s="46" t="str">
        <f>VLOOKUP(F1044,[4]在职!$A:$I,9,0)</f>
        <v>二星销售顾问</v>
      </c>
      <c r="I1044" s="46" t="s">
        <v>915</v>
      </c>
      <c r="J1044" s="83">
        <v>46093</v>
      </c>
      <c r="K1044" s="46" t="s">
        <v>902</v>
      </c>
      <c r="L1044" s="83" t="s">
        <v>27</v>
      </c>
    </row>
    <row r="1045" ht="16.5" spans="1:12">
      <c r="A1045" s="46">
        <v>1043</v>
      </c>
      <c r="B1045" s="46" t="s">
        <v>45</v>
      </c>
      <c r="C1045" s="46" t="str">
        <f>VLOOKUP(F1045,[4]在职!$A:$E,5,0)</f>
        <v>陕西</v>
      </c>
      <c r="D1045" s="46" t="str">
        <f>VLOOKUP(F1045,[4]在职!$A:$G,7,0)</f>
        <v>陕西2部</v>
      </c>
      <c r="E1045" s="46" t="str">
        <f>VLOOKUP(F1045,[4]在职!$A:$M,13,0)</f>
        <v>王超2</v>
      </c>
      <c r="F1045" s="46" t="s">
        <v>1465</v>
      </c>
      <c r="G1045" s="46" t="str">
        <f>VLOOKUP(F1045,[4]在职!$A:$B,2,0)</f>
        <v>01627</v>
      </c>
      <c r="H1045" s="46" t="str">
        <f>VLOOKUP(F1045,[4]在职!$A:$I,9,0)</f>
        <v>一星销售顾问</v>
      </c>
      <c r="I1045" s="46" t="s">
        <v>915</v>
      </c>
      <c r="J1045" s="83">
        <v>46093</v>
      </c>
      <c r="K1045" s="46" t="s">
        <v>902</v>
      </c>
      <c r="L1045" s="83" t="s">
        <v>27</v>
      </c>
    </row>
    <row r="1046" ht="16.5" spans="1:12">
      <c r="A1046" s="46">
        <v>1044</v>
      </c>
      <c r="B1046" s="46" t="s">
        <v>45</v>
      </c>
      <c r="C1046" s="46" t="str">
        <f>VLOOKUP(F1046,[4]在职!$A:$E,5,0)</f>
        <v>陕西</v>
      </c>
      <c r="D1046" s="46" t="str">
        <f>VLOOKUP(F1046,[4]在职!$A:$G,7,0)</f>
        <v>陕西1部</v>
      </c>
      <c r="E1046" s="46" t="str">
        <f>VLOOKUP(F1046,[4]在职!$A:$M,13,0)</f>
        <v>杨应</v>
      </c>
      <c r="F1046" s="46" t="s">
        <v>1466</v>
      </c>
      <c r="G1046" s="46" t="str">
        <f>VLOOKUP(F1046,[4]在职!$A:$B,2,0)</f>
        <v>01617</v>
      </c>
      <c r="H1046" s="46" t="str">
        <f>VLOOKUP(F1046,[4]在职!$A:$I,9,0)</f>
        <v>一星销售顾问</v>
      </c>
      <c r="I1046" s="46" t="s">
        <v>915</v>
      </c>
      <c r="J1046" s="83">
        <v>46093</v>
      </c>
      <c r="K1046" s="46" t="s">
        <v>902</v>
      </c>
      <c r="L1046" s="83" t="s">
        <v>27</v>
      </c>
    </row>
    <row r="1047" ht="16.5" spans="1:12">
      <c r="A1047" s="46">
        <v>1045</v>
      </c>
      <c r="B1047" s="46" t="s">
        <v>45</v>
      </c>
      <c r="C1047" s="46" t="str">
        <f>VLOOKUP(F1047,[4]在职!$A:$E,5,0)</f>
        <v>陕西</v>
      </c>
      <c r="D1047" s="46" t="str">
        <f>VLOOKUP(F1047,[4]在职!$A:$G,7,0)</f>
        <v>陕西1部</v>
      </c>
      <c r="E1047" s="46" t="str">
        <f>VLOOKUP(F1047,[4]在职!$A:$M,13,0)</f>
        <v>杨应</v>
      </c>
      <c r="F1047" s="46" t="s">
        <v>1467</v>
      </c>
      <c r="G1047" s="46" t="str">
        <f>VLOOKUP(F1047,[4]在职!$A:$B,2,0)</f>
        <v>01489</v>
      </c>
      <c r="H1047" s="46" t="str">
        <f>VLOOKUP(F1047,[4]在职!$A:$I,9,0)</f>
        <v>一星销售顾问</v>
      </c>
      <c r="I1047" s="46" t="s">
        <v>915</v>
      </c>
      <c r="J1047" s="83">
        <v>46093</v>
      </c>
      <c r="K1047" s="46" t="s">
        <v>902</v>
      </c>
      <c r="L1047" s="83" t="s">
        <v>27</v>
      </c>
    </row>
    <row r="1048" ht="16.5" spans="1:12">
      <c r="A1048" s="46">
        <v>1046</v>
      </c>
      <c r="B1048" s="46" t="s">
        <v>45</v>
      </c>
      <c r="C1048" s="46" t="str">
        <f>VLOOKUP(F1048,[4]在职!$A:$E,5,0)</f>
        <v>西南总部</v>
      </c>
      <c r="D1048" s="46" t="str">
        <f>VLOOKUP(F1048,[4]在职!$A:$G,7,0)</f>
        <v>营业三部</v>
      </c>
      <c r="E1048" s="46" t="str">
        <f>VLOOKUP(F1048,[4]在职!$A:$M,13,0)</f>
        <v>姚瑶</v>
      </c>
      <c r="F1048" s="46" t="s">
        <v>1044</v>
      </c>
      <c r="G1048" s="46" t="str">
        <f>VLOOKUP(F1048,[4]在职!$A:$B,2,0)</f>
        <v>01658</v>
      </c>
      <c r="H1048" s="46" t="str">
        <f>VLOOKUP(F1048,[4]在职!$A:$I,9,0)</f>
        <v>一星销售顾问</v>
      </c>
      <c r="I1048" s="46" t="s">
        <v>915</v>
      </c>
      <c r="J1048" s="83">
        <v>46093</v>
      </c>
      <c r="K1048" s="46" t="s">
        <v>902</v>
      </c>
      <c r="L1048" s="83" t="s">
        <v>27</v>
      </c>
    </row>
    <row r="1049" ht="16.5" spans="1:12">
      <c r="A1049" s="46">
        <v>1047</v>
      </c>
      <c r="B1049" s="46" t="s">
        <v>45</v>
      </c>
      <c r="C1049" s="46" t="str">
        <f>VLOOKUP(F1049,[4]在职!$A:$E,5,0)</f>
        <v>西南总部</v>
      </c>
      <c r="D1049" s="46" t="str">
        <f>VLOOKUP(F1049,[4]在职!$A:$G,7,0)</f>
        <v>营业三部</v>
      </c>
      <c r="E1049" s="46" t="str">
        <f>VLOOKUP(F1049,[4]在职!$A:$M,13,0)</f>
        <v>姚瑶</v>
      </c>
      <c r="F1049" s="46" t="s">
        <v>1046</v>
      </c>
      <c r="G1049" s="46" t="str">
        <f>VLOOKUP(F1049,[4]在职!$A:$B,2,0)</f>
        <v>01525</v>
      </c>
      <c r="H1049" s="46" t="str">
        <f>VLOOKUP(F1049,[4]在职!$A:$I,9,0)</f>
        <v>一星销售顾问</v>
      </c>
      <c r="I1049" s="46" t="s">
        <v>915</v>
      </c>
      <c r="J1049" s="83">
        <v>46093</v>
      </c>
      <c r="K1049" s="46" t="s">
        <v>902</v>
      </c>
      <c r="L1049" s="83" t="s">
        <v>27</v>
      </c>
    </row>
    <row r="1050" ht="16.5" spans="1:12">
      <c r="A1050" s="46">
        <v>1048</v>
      </c>
      <c r="B1050" s="46" t="s">
        <v>45</v>
      </c>
      <c r="C1050" s="46" t="str">
        <f>VLOOKUP(F1050,[4]在职!$A:$E,5,0)</f>
        <v>西南总部</v>
      </c>
      <c r="D1050" s="46" t="str">
        <f>VLOOKUP(F1050,[4]在职!$A:$G,7,0)</f>
        <v>营业五部</v>
      </c>
      <c r="E1050" s="46" t="str">
        <f>VLOOKUP(F1050,[4]在职!$A:$M,13,0)</f>
        <v>尹稳</v>
      </c>
      <c r="F1050" s="46" t="s">
        <v>1468</v>
      </c>
      <c r="G1050" s="46" t="str">
        <f>VLOOKUP(F1050,[4]在职!$A:$B,2,0)</f>
        <v>01709</v>
      </c>
      <c r="H1050" s="46" t="str">
        <f>VLOOKUP(F1050,[4]在职!$A:$I,9,0)</f>
        <v>一星销售顾问</v>
      </c>
      <c r="I1050" s="46" t="s">
        <v>915</v>
      </c>
      <c r="J1050" s="83">
        <v>46093</v>
      </c>
      <c r="K1050" s="46" t="s">
        <v>902</v>
      </c>
      <c r="L1050" s="83" t="s">
        <v>27</v>
      </c>
    </row>
    <row r="1051" ht="16.5" spans="1:12">
      <c r="A1051" s="46">
        <v>1049</v>
      </c>
      <c r="B1051" s="46" t="s">
        <v>45</v>
      </c>
      <c r="C1051" s="46" t="str">
        <f>VLOOKUP(F1051,[4]在职!$A:$E,5,0)</f>
        <v>西南总部</v>
      </c>
      <c r="D1051" s="46" t="str">
        <f>VLOOKUP(F1051,[4]在职!$A:$G,7,0)</f>
        <v>营业五部</v>
      </c>
      <c r="E1051" s="46" t="str">
        <f>VLOOKUP(F1051,[4]在职!$A:$M,13,0)</f>
        <v>尹稳</v>
      </c>
      <c r="F1051" s="46" t="s">
        <v>1469</v>
      </c>
      <c r="G1051" s="46" t="str">
        <f>VLOOKUP(F1051,[4]在职!$A:$B,2,0)</f>
        <v>01703</v>
      </c>
      <c r="H1051" s="46" t="str">
        <f>VLOOKUP(F1051,[4]在职!$A:$I,9,0)</f>
        <v>一星销售顾问</v>
      </c>
      <c r="I1051" s="46" t="s">
        <v>915</v>
      </c>
      <c r="J1051" s="83">
        <v>46093</v>
      </c>
      <c r="K1051" s="46" t="s">
        <v>902</v>
      </c>
      <c r="L1051" s="83" t="s">
        <v>27</v>
      </c>
    </row>
    <row r="1052" ht="16.5" spans="1:12">
      <c r="A1052" s="46">
        <v>1050</v>
      </c>
      <c r="B1052" s="46" t="s">
        <v>45</v>
      </c>
      <c r="C1052" s="46" t="str">
        <f>VLOOKUP(F1052,[4]在职!$A:$E,5,0)</f>
        <v>西南总部</v>
      </c>
      <c r="D1052" s="46" t="str">
        <f>VLOOKUP(F1052,[4]在职!$A:$G,7,0)</f>
        <v>营业三部</v>
      </c>
      <c r="E1052" s="46" t="str">
        <f>VLOOKUP(F1052,[4]在职!$A:$M,13,0)</f>
        <v>陶再阳</v>
      </c>
      <c r="F1052" s="46" t="s">
        <v>1470</v>
      </c>
      <c r="G1052" s="46" t="str">
        <f>VLOOKUP(F1052,[4]在职!$A:$B,2,0)</f>
        <v>01667</v>
      </c>
      <c r="H1052" s="46" t="str">
        <f>VLOOKUP(F1052,[4]在职!$A:$I,9,0)</f>
        <v>一星销售顾问</v>
      </c>
      <c r="I1052" s="46" t="s">
        <v>915</v>
      </c>
      <c r="J1052" s="83">
        <v>46093</v>
      </c>
      <c r="K1052" s="46" t="s">
        <v>902</v>
      </c>
      <c r="L1052" s="83" t="s">
        <v>27</v>
      </c>
    </row>
    <row r="1053" ht="16.5" spans="1:12">
      <c r="A1053" s="46">
        <v>1051</v>
      </c>
      <c r="B1053" s="46" t="s">
        <v>45</v>
      </c>
      <c r="C1053" s="46" t="str">
        <f>VLOOKUP(F1053,[4]在职!$A:$E,5,0)</f>
        <v>西南总部</v>
      </c>
      <c r="D1053" s="46" t="str">
        <f>VLOOKUP(F1053,[4]在职!$A:$G,7,0)</f>
        <v>营业五部</v>
      </c>
      <c r="E1053" s="46" t="str">
        <f>VLOOKUP(F1053,[4]在职!$A:$M,13,0)</f>
        <v>尹稳</v>
      </c>
      <c r="F1053" s="46" t="s">
        <v>1048</v>
      </c>
      <c r="G1053" s="46" t="str">
        <f>VLOOKUP(F1053,[4]在职!$A:$B,2,0)</f>
        <v>01669</v>
      </c>
      <c r="H1053" s="46" t="str">
        <f>VLOOKUP(F1053,[4]在职!$A:$I,9,0)</f>
        <v>一星销售顾问</v>
      </c>
      <c r="I1053" s="46" t="s">
        <v>915</v>
      </c>
      <c r="J1053" s="83">
        <v>46093</v>
      </c>
      <c r="K1053" s="46" t="s">
        <v>902</v>
      </c>
      <c r="L1053" s="83" t="s">
        <v>27</v>
      </c>
    </row>
    <row r="1054" ht="16.5" spans="1:12">
      <c r="A1054" s="46">
        <v>1052</v>
      </c>
      <c r="B1054" s="46" t="s">
        <v>45</v>
      </c>
      <c r="C1054" s="46" t="str">
        <f>VLOOKUP(F1054,[4]在职!$A:$E,5,0)</f>
        <v>西南总部</v>
      </c>
      <c r="D1054" s="46" t="str">
        <f>VLOOKUP(F1054,[4]在职!$A:$G,7,0)</f>
        <v>营业五部</v>
      </c>
      <c r="E1054" s="46" t="str">
        <f>VLOOKUP(F1054,[4]在职!$A:$M,13,0)</f>
        <v>尹稳</v>
      </c>
      <c r="F1054" s="46" t="s">
        <v>1052</v>
      </c>
      <c r="G1054" s="46" t="str">
        <f>VLOOKUP(F1054,[4]在职!$A:$B,2,0)</f>
        <v>01600</v>
      </c>
      <c r="H1054" s="46" t="str">
        <f>VLOOKUP(F1054,[4]在职!$A:$I,9,0)</f>
        <v>二星销售顾问</v>
      </c>
      <c r="I1054" s="46" t="s">
        <v>915</v>
      </c>
      <c r="J1054" s="83">
        <v>46093</v>
      </c>
      <c r="K1054" s="46" t="s">
        <v>902</v>
      </c>
      <c r="L1054" s="83" t="s">
        <v>27</v>
      </c>
    </row>
    <row r="1055" ht="16.5" spans="1:12">
      <c r="A1055" s="46">
        <v>1053</v>
      </c>
      <c r="B1055" s="46" t="s">
        <v>45</v>
      </c>
      <c r="C1055" s="46" t="str">
        <f>VLOOKUP(F1055,[4]在职!$A:$E,5,0)</f>
        <v>河南</v>
      </c>
      <c r="D1055" s="46" t="str">
        <f>VLOOKUP(F1055,[4]在职!$A:$G,7,0)</f>
        <v>河南销售部</v>
      </c>
      <c r="E1055" s="46" t="str">
        <f>VLOOKUP(F1055,[4]在职!$A:$M,13,0)</f>
        <v>余金梅</v>
      </c>
      <c r="F1055" s="46" t="s">
        <v>1471</v>
      </c>
      <c r="G1055" s="46" t="str">
        <f>VLOOKUP(F1055,[4]在职!$A:$B,2,0)</f>
        <v>01545</v>
      </c>
      <c r="H1055" s="46" t="str">
        <f>VLOOKUP(F1055,[4]在职!$A:$I,9,0)</f>
        <v>一星销售顾问</v>
      </c>
      <c r="I1055" s="46" t="s">
        <v>915</v>
      </c>
      <c r="J1055" s="83">
        <v>46093</v>
      </c>
      <c r="K1055" s="46" t="s">
        <v>902</v>
      </c>
      <c r="L1055" s="83" t="s">
        <v>27</v>
      </c>
    </row>
    <row r="1056" ht="16.5" spans="1:12">
      <c r="A1056" s="46">
        <v>1054</v>
      </c>
      <c r="B1056" s="46" t="s">
        <v>45</v>
      </c>
      <c r="C1056" s="46" t="str">
        <f>VLOOKUP(F1056,[4]在职!$A:$E,5,0)</f>
        <v>西南总部</v>
      </c>
      <c r="D1056" s="46" t="str">
        <f>VLOOKUP(F1056,[4]在职!$A:$G,7,0)</f>
        <v>营业七部</v>
      </c>
      <c r="E1056" s="46" t="str">
        <f>VLOOKUP(F1056,[4]在职!$A:$M,13,0)</f>
        <v>张家涛</v>
      </c>
      <c r="F1056" s="46" t="s">
        <v>1058</v>
      </c>
      <c r="G1056" s="46" t="str">
        <f>VLOOKUP(F1056,[4]在职!$A:$B,2,0)</f>
        <v>01581</v>
      </c>
      <c r="H1056" s="46" t="str">
        <f>VLOOKUP(F1056,[4]在职!$A:$I,9,0)</f>
        <v>一星销售顾问</v>
      </c>
      <c r="I1056" s="46" t="s">
        <v>915</v>
      </c>
      <c r="J1056" s="83">
        <v>46093</v>
      </c>
      <c r="K1056" s="46" t="s">
        <v>902</v>
      </c>
      <c r="L1056" s="83" t="s">
        <v>27</v>
      </c>
    </row>
    <row r="1057" ht="16.5" spans="1:12">
      <c r="A1057" s="46">
        <v>1055</v>
      </c>
      <c r="B1057" s="46" t="s">
        <v>45</v>
      </c>
      <c r="C1057" s="46" t="str">
        <f>VLOOKUP(F1057,[4]在职!$A:$E,5,0)</f>
        <v>西南总部</v>
      </c>
      <c r="D1057" s="46" t="str">
        <f>VLOOKUP(F1057,[4]在职!$A:$G,7,0)</f>
        <v>营业三部</v>
      </c>
      <c r="E1057" s="46" t="str">
        <f>VLOOKUP(F1057,[4]在职!$A:$M,13,0)</f>
        <v>张萍</v>
      </c>
      <c r="F1057" s="46" t="s">
        <v>1472</v>
      </c>
      <c r="G1057" s="46" t="str">
        <f>VLOOKUP(F1057,[4]在职!$A:$B,2,0)</f>
        <v>01736</v>
      </c>
      <c r="H1057" s="46" t="str">
        <f>VLOOKUP(F1057,[4]在职!$A:$I,9,0)</f>
        <v>一星销售顾问</v>
      </c>
      <c r="I1057" s="46" t="s">
        <v>915</v>
      </c>
      <c r="J1057" s="83">
        <v>46093</v>
      </c>
      <c r="K1057" s="46" t="s">
        <v>902</v>
      </c>
      <c r="L1057" s="83" t="s">
        <v>27</v>
      </c>
    </row>
    <row r="1058" ht="16.5" spans="1:12">
      <c r="A1058" s="46">
        <v>1056</v>
      </c>
      <c r="B1058" s="46" t="s">
        <v>45</v>
      </c>
      <c r="C1058" s="46" t="str">
        <f>VLOOKUP(F1058,[4]在职!$A:$E,5,0)</f>
        <v>西南总部</v>
      </c>
      <c r="D1058" s="46" t="str">
        <f>VLOOKUP(F1058,[4]在职!$A:$G,7,0)</f>
        <v>营业一部</v>
      </c>
      <c r="E1058" s="46" t="str">
        <f>VLOOKUP(F1058,[4]在职!$A:$M,13,0)</f>
        <v>张圣梁</v>
      </c>
      <c r="F1058" s="46" t="s">
        <v>1473</v>
      </c>
      <c r="G1058" s="46" t="str">
        <f>VLOOKUP(F1058,[4]在职!$A:$B,2,0)</f>
        <v>01369</v>
      </c>
      <c r="H1058" s="46" t="str">
        <f>VLOOKUP(F1058,[4]在职!$A:$I,9,0)</f>
        <v>一星销售顾问</v>
      </c>
      <c r="I1058" s="46" t="s">
        <v>915</v>
      </c>
      <c r="J1058" s="83">
        <v>46093</v>
      </c>
      <c r="K1058" s="46" t="s">
        <v>902</v>
      </c>
      <c r="L1058" s="83" t="s">
        <v>27</v>
      </c>
    </row>
    <row r="1059" ht="16.5" spans="1:12">
      <c r="A1059" s="46">
        <v>1057</v>
      </c>
      <c r="B1059" s="46" t="s">
        <v>45</v>
      </c>
      <c r="C1059" s="46" t="str">
        <f>VLOOKUP(F1059,[4]在职!$A:$E,5,0)</f>
        <v>湖北</v>
      </c>
      <c r="D1059" s="46" t="str">
        <f>VLOOKUP(F1059,[4]在职!$A:$G,7,0)</f>
        <v>湖北1部</v>
      </c>
      <c r="E1059" s="46" t="str">
        <f>VLOOKUP(F1059,[4]在职!$A:$M,13,0)</f>
        <v>张宗铭</v>
      </c>
      <c r="F1059" s="46" t="s">
        <v>926</v>
      </c>
      <c r="G1059" s="46" t="str">
        <f>VLOOKUP(F1059,[4]在职!$A:$B,2,0)</f>
        <v>01657</v>
      </c>
      <c r="H1059" s="46" t="str">
        <f>VLOOKUP(F1059,[4]在职!$A:$I,9,0)</f>
        <v>二星销售顾问</v>
      </c>
      <c r="I1059" s="46" t="s">
        <v>915</v>
      </c>
      <c r="J1059" s="83">
        <v>46093</v>
      </c>
      <c r="K1059" s="46" t="s">
        <v>902</v>
      </c>
      <c r="L1059" s="83" t="s">
        <v>27</v>
      </c>
    </row>
    <row r="1060" ht="16.5" spans="1:12">
      <c r="A1060" s="46">
        <v>1058</v>
      </c>
      <c r="B1060" s="46" t="s">
        <v>45</v>
      </c>
      <c r="C1060" s="46" t="str">
        <f>VLOOKUP(F1060,[4]在职!$A:$E,5,0)</f>
        <v>湖北</v>
      </c>
      <c r="D1060" s="46" t="str">
        <f>VLOOKUP(F1060,[4]在职!$A:$G,7,0)</f>
        <v>湖北1部</v>
      </c>
      <c r="E1060" s="46" t="str">
        <f>VLOOKUP(F1060,[4]在职!$A:$M,13,0)</f>
        <v>张宗铭</v>
      </c>
      <c r="F1060" s="46" t="s">
        <v>1474</v>
      </c>
      <c r="G1060" s="46" t="str">
        <f>VLOOKUP(F1060,[4]在职!$A:$B,2,0)</f>
        <v>01595</v>
      </c>
      <c r="H1060" s="46" t="str">
        <f>VLOOKUP(F1060,[4]在职!$A:$I,9,0)</f>
        <v>一星销售顾问</v>
      </c>
      <c r="I1060" s="46" t="s">
        <v>915</v>
      </c>
      <c r="J1060" s="83">
        <v>46093</v>
      </c>
      <c r="K1060" s="46" t="s">
        <v>902</v>
      </c>
      <c r="L1060" s="83" t="s">
        <v>27</v>
      </c>
    </row>
    <row r="1061" ht="16.5" spans="1:12">
      <c r="A1061" s="46">
        <v>1059</v>
      </c>
      <c r="B1061" s="46" t="s">
        <v>45</v>
      </c>
      <c r="C1061" s="46" t="str">
        <f>VLOOKUP(F1061,[4]在职!$A:$E,5,0)</f>
        <v>山西</v>
      </c>
      <c r="D1061" s="46" t="str">
        <f>VLOOKUP(F1061,[4]在职!$A:$G,7,0)</f>
        <v>山西销售部</v>
      </c>
      <c r="E1061" s="46" t="str">
        <f>VLOOKUP(F1061,[4]在职!$A:$M,13,0)</f>
        <v>赵龙</v>
      </c>
      <c r="F1061" s="46" t="s">
        <v>1475</v>
      </c>
      <c r="G1061" s="46" t="str">
        <f>VLOOKUP(F1061,[4]在职!$A:$B,2,0)</f>
        <v>01573</v>
      </c>
      <c r="H1061" s="46" t="str">
        <f>VLOOKUP(F1061,[4]在职!$A:$I,9,0)</f>
        <v>一星销售顾问</v>
      </c>
      <c r="I1061" s="46" t="s">
        <v>915</v>
      </c>
      <c r="J1061" s="83">
        <v>46093</v>
      </c>
      <c r="K1061" s="46" t="s">
        <v>902</v>
      </c>
      <c r="L1061" s="83" t="s">
        <v>27</v>
      </c>
    </row>
    <row r="1062" ht="16.5" spans="1:12">
      <c r="A1062" s="46">
        <v>1060</v>
      </c>
      <c r="B1062" s="46" t="s">
        <v>45</v>
      </c>
      <c r="C1062" s="46" t="str">
        <f>VLOOKUP(F1062,[4]在职!$A:$E,5,0)</f>
        <v>西南总部</v>
      </c>
      <c r="D1062" s="46" t="str">
        <f>VLOOKUP(F1062,[4]在职!$A:$G,7,0)</f>
        <v>营业六部</v>
      </c>
      <c r="E1062" s="46" t="str">
        <f>VLOOKUP(F1062,[4]在职!$A:$M,13,0)</f>
        <v>郑雄</v>
      </c>
      <c r="F1062" s="46" t="s">
        <v>1016</v>
      </c>
      <c r="G1062" s="46" t="str">
        <f>VLOOKUP(F1062,[4]在职!$A:$B,2,0)</f>
        <v>01324</v>
      </c>
      <c r="H1062" s="46" t="str">
        <f>VLOOKUP(F1062,[4]在职!$A:$I,9,0)</f>
        <v>二星销售顾问</v>
      </c>
      <c r="I1062" s="46" t="s">
        <v>915</v>
      </c>
      <c r="J1062" s="83">
        <v>46093</v>
      </c>
      <c r="K1062" s="46" t="s">
        <v>902</v>
      </c>
      <c r="L1062" s="83" t="s">
        <v>27</v>
      </c>
    </row>
    <row r="1063" ht="16.5" spans="1:12">
      <c r="A1063" s="46">
        <v>1061</v>
      </c>
      <c r="B1063" s="46" t="s">
        <v>45</v>
      </c>
      <c r="C1063" s="46" t="str">
        <f>VLOOKUP(F1063,[4]在职!$A:$E,5,0)</f>
        <v>西南总部</v>
      </c>
      <c r="D1063" s="46" t="str">
        <f>VLOOKUP(F1063,[4]在职!$A:$G,7,0)</f>
        <v>营业一部</v>
      </c>
      <c r="E1063" s="46" t="str">
        <f>VLOOKUP(F1063,[4]在职!$A:$M,13,0)</f>
        <v>朱家艳</v>
      </c>
      <c r="F1063" s="46" t="s">
        <v>1476</v>
      </c>
      <c r="G1063" s="46" t="str">
        <f>VLOOKUP(F1063,[4]在职!$A:$B,2,0)</f>
        <v>01682</v>
      </c>
      <c r="H1063" s="46" t="str">
        <f>VLOOKUP(F1063,[4]在职!$A:$I,9,0)</f>
        <v>一星销售顾问</v>
      </c>
      <c r="I1063" s="46" t="s">
        <v>915</v>
      </c>
      <c r="J1063" s="83">
        <v>46093</v>
      </c>
      <c r="K1063" s="46" t="s">
        <v>902</v>
      </c>
      <c r="L1063" s="83" t="s">
        <v>27</v>
      </c>
    </row>
    <row r="1064" ht="16.5" spans="1:12">
      <c r="A1064" s="46">
        <v>1062</v>
      </c>
      <c r="B1064" s="46" t="s">
        <v>45</v>
      </c>
      <c r="C1064" s="46" t="str">
        <f>VLOOKUP(F1064,[4]在职!$A:$E,5,0)</f>
        <v>山西</v>
      </c>
      <c r="D1064" s="46" t="str">
        <f>VLOOKUP(F1064,[4]在职!$A:$G,7,0)</f>
        <v>山西销售部</v>
      </c>
      <c r="E1064" s="46" t="str">
        <f>VLOOKUP(F1064,[4]在职!$A:$M,13,0)</f>
        <v>艾林</v>
      </c>
      <c r="F1064" s="46" t="s">
        <v>1435</v>
      </c>
      <c r="G1064" s="46" t="str">
        <f>VLOOKUP(F1064,[4]在职!$A:$B,2,0)</f>
        <v>01531</v>
      </c>
      <c r="H1064" s="46" t="str">
        <f>VLOOKUP(F1064,[4]在职!$A:$I,9,0)</f>
        <v>一星销售顾问</v>
      </c>
      <c r="I1064" s="46" t="s">
        <v>915</v>
      </c>
      <c r="J1064" s="83">
        <v>46093</v>
      </c>
      <c r="K1064" s="46" t="s">
        <v>1080</v>
      </c>
      <c r="L1064" s="83" t="s">
        <v>27</v>
      </c>
    </row>
    <row r="1065" ht="16.5" spans="1:12">
      <c r="A1065" s="46">
        <v>1063</v>
      </c>
      <c r="B1065" s="46" t="s">
        <v>45</v>
      </c>
      <c r="C1065" s="46" t="str">
        <f>VLOOKUP(F1065,[4]在职!$A:$E,5,0)</f>
        <v>内蒙古</v>
      </c>
      <c r="D1065" s="46" t="str">
        <f>VLOOKUP(F1065,[4]在职!$A:$G,7,0)</f>
        <v>内蒙古销售部</v>
      </c>
      <c r="E1065" s="46" t="str">
        <f>VLOOKUP(F1065,[4]在职!$A:$M,13,0)</f>
        <v>安芮</v>
      </c>
      <c r="F1065" s="46" t="s">
        <v>906</v>
      </c>
      <c r="G1065" s="46" t="str">
        <f>VLOOKUP(F1065,[4]在职!$A:$B,2,0)</f>
        <v>01011</v>
      </c>
      <c r="H1065" s="46" t="str">
        <f>VLOOKUP(F1065,[4]在职!$A:$I,9,0)</f>
        <v>一星销售顾问</v>
      </c>
      <c r="I1065" s="46" t="s">
        <v>915</v>
      </c>
      <c r="J1065" s="83">
        <v>46093</v>
      </c>
      <c r="K1065" s="46" t="s">
        <v>1080</v>
      </c>
      <c r="L1065" s="83" t="s">
        <v>27</v>
      </c>
    </row>
    <row r="1066" ht="16.5" spans="1:12">
      <c r="A1066" s="46">
        <v>1064</v>
      </c>
      <c r="B1066" s="46" t="s">
        <v>45</v>
      </c>
      <c r="C1066" s="46" t="str">
        <f>VLOOKUP(F1066,[4]在职!$A:$E,5,0)</f>
        <v>内蒙古</v>
      </c>
      <c r="D1066" s="46" t="str">
        <f>VLOOKUP(F1066,[4]在职!$A:$G,7,0)</f>
        <v>内蒙古销售部</v>
      </c>
      <c r="E1066" s="46" t="str">
        <f>VLOOKUP(F1066,[4]在职!$A:$M,13,0)</f>
        <v>安芮</v>
      </c>
      <c r="F1066" s="46" t="s">
        <v>910</v>
      </c>
      <c r="G1066" s="46" t="str">
        <f>VLOOKUP(F1066,[4]在职!$A:$B,2,0)</f>
        <v>01423</v>
      </c>
      <c r="H1066" s="46" t="str">
        <f>VLOOKUP(F1066,[4]在职!$A:$I,9,0)</f>
        <v>二星销售顾问</v>
      </c>
      <c r="I1066" s="46" t="s">
        <v>915</v>
      </c>
      <c r="J1066" s="83">
        <v>46093</v>
      </c>
      <c r="K1066" s="46" t="s">
        <v>1080</v>
      </c>
      <c r="L1066" s="83" t="s">
        <v>27</v>
      </c>
    </row>
    <row r="1067" ht="16.5" spans="1:12">
      <c r="A1067" s="46">
        <v>1065</v>
      </c>
      <c r="B1067" s="46" t="s">
        <v>45</v>
      </c>
      <c r="C1067" s="46" t="str">
        <f>VLOOKUP(F1067,[4]在职!$A:$E,5,0)</f>
        <v>内蒙古</v>
      </c>
      <c r="D1067" s="46" t="str">
        <f>VLOOKUP(F1067,[4]在职!$A:$G,7,0)</f>
        <v>内蒙古销售部</v>
      </c>
      <c r="E1067" s="46" t="str">
        <f>VLOOKUP(F1067,[4]在职!$A:$M,13,0)</f>
        <v>安芮</v>
      </c>
      <c r="F1067" s="46" t="s">
        <v>912</v>
      </c>
      <c r="G1067" s="46" t="str">
        <f>VLOOKUP(F1067,[4]在职!$A:$B,2,0)</f>
        <v>01412</v>
      </c>
      <c r="H1067" s="46" t="str">
        <f>VLOOKUP(F1067,[4]在职!$A:$I,9,0)</f>
        <v>一星销售顾问</v>
      </c>
      <c r="I1067" s="46" t="s">
        <v>915</v>
      </c>
      <c r="J1067" s="83">
        <v>46093</v>
      </c>
      <c r="K1067" s="46" t="s">
        <v>1080</v>
      </c>
      <c r="L1067" s="83" t="s">
        <v>27</v>
      </c>
    </row>
    <row r="1068" ht="16.5" spans="1:12">
      <c r="A1068" s="46">
        <v>1066</v>
      </c>
      <c r="B1068" s="46" t="s">
        <v>45</v>
      </c>
      <c r="C1068" s="46" t="str">
        <f>VLOOKUP(F1068,[4]在职!$A:$E,5,0)</f>
        <v>西南总部</v>
      </c>
      <c r="D1068" s="46" t="str">
        <f>VLOOKUP(F1068,[4]在职!$A:$G,7,0)</f>
        <v>营业一部</v>
      </c>
      <c r="E1068" s="46" t="str">
        <f>VLOOKUP(F1068,[4]在职!$A:$M,13,0)</f>
        <v>白世根</v>
      </c>
      <c r="F1068" s="46" t="s">
        <v>1436</v>
      </c>
      <c r="G1068" s="46" t="str">
        <f>VLOOKUP(F1068,[4]在职!$A:$B,2,0)</f>
        <v>01763</v>
      </c>
      <c r="H1068" s="46" t="str">
        <f>VLOOKUP(F1068,[4]在职!$A:$I,9,0)</f>
        <v>一星销售顾问</v>
      </c>
      <c r="I1068" s="46" t="s">
        <v>915</v>
      </c>
      <c r="J1068" s="83">
        <v>46093</v>
      </c>
      <c r="K1068" s="46" t="s">
        <v>1080</v>
      </c>
      <c r="L1068" s="83" t="s">
        <v>27</v>
      </c>
    </row>
    <row r="1069" ht="16.5" spans="1:12">
      <c r="A1069" s="46">
        <v>1067</v>
      </c>
      <c r="B1069" s="46" t="s">
        <v>45</v>
      </c>
      <c r="C1069" s="46" t="str">
        <f>VLOOKUP(F1069,[4]在职!$A:$E,5,0)</f>
        <v>西南总部</v>
      </c>
      <c r="D1069" s="46" t="str">
        <f>VLOOKUP(F1069,[4]在职!$A:$G,7,0)</f>
        <v>营业一部</v>
      </c>
      <c r="E1069" s="46" t="str">
        <f>VLOOKUP(F1069,[4]在职!$A:$M,13,0)</f>
        <v>白世根</v>
      </c>
      <c r="F1069" s="46" t="s">
        <v>1437</v>
      </c>
      <c r="G1069" s="46" t="str">
        <f>VLOOKUP(F1069,[4]在职!$A:$B,2,0)</f>
        <v>01753</v>
      </c>
      <c r="H1069" s="46" t="str">
        <f>VLOOKUP(F1069,[4]在职!$A:$I,9,0)</f>
        <v>一星销售顾问</v>
      </c>
      <c r="I1069" s="46" t="s">
        <v>915</v>
      </c>
      <c r="J1069" s="83">
        <v>46093</v>
      </c>
      <c r="K1069" s="46" t="s">
        <v>1080</v>
      </c>
      <c r="L1069" s="83" t="s">
        <v>27</v>
      </c>
    </row>
    <row r="1070" ht="16.5" spans="1:12">
      <c r="A1070" s="46">
        <v>1068</v>
      </c>
      <c r="B1070" s="46" t="s">
        <v>45</v>
      </c>
      <c r="C1070" s="46" t="str">
        <f>VLOOKUP(F1070,[4]在职!$A:$E,5,0)</f>
        <v>西南总部</v>
      </c>
      <c r="D1070" s="46" t="str">
        <f>VLOOKUP(F1070,[4]在职!$A:$G,7,0)</f>
        <v>营业一部</v>
      </c>
      <c r="E1070" s="46" t="str">
        <f>VLOOKUP(F1070,[4]在职!$A:$M,13,0)</f>
        <v>白世根</v>
      </c>
      <c r="F1070" s="46" t="s">
        <v>919</v>
      </c>
      <c r="G1070" s="46" t="str">
        <f>VLOOKUP(F1070,[4]在职!$A:$B,2,0)</f>
        <v>01512</v>
      </c>
      <c r="H1070" s="46" t="str">
        <f>VLOOKUP(F1070,[4]在职!$A:$I,9,0)</f>
        <v>二星销售顾问</v>
      </c>
      <c r="I1070" s="46" t="s">
        <v>915</v>
      </c>
      <c r="J1070" s="83">
        <v>46093</v>
      </c>
      <c r="K1070" s="46" t="s">
        <v>1080</v>
      </c>
      <c r="L1070" s="83" t="s">
        <v>27</v>
      </c>
    </row>
    <row r="1071" ht="16.5" spans="1:12">
      <c r="A1071" s="46">
        <v>1069</v>
      </c>
      <c r="B1071" s="46" t="s">
        <v>45</v>
      </c>
      <c r="C1071" s="46" t="str">
        <f>VLOOKUP(F1071,[4]在职!$A:$E,5,0)</f>
        <v>西南总部</v>
      </c>
      <c r="D1071" s="46" t="str">
        <f>VLOOKUP(F1071,[4]在职!$A:$G,7,0)</f>
        <v>营业七部</v>
      </c>
      <c r="E1071" s="46" t="str">
        <f>VLOOKUP(F1071,[4]在职!$A:$M,13,0)</f>
        <v>陈彪</v>
      </c>
      <c r="F1071" s="46" t="s">
        <v>1438</v>
      </c>
      <c r="G1071" s="46" t="str">
        <f>VLOOKUP(F1071,[4]在职!$A:$B,2,0)</f>
        <v>01732</v>
      </c>
      <c r="H1071" s="46" t="str">
        <f>VLOOKUP(F1071,[4]在职!$A:$I,9,0)</f>
        <v>一星销售顾问</v>
      </c>
      <c r="I1071" s="46" t="s">
        <v>915</v>
      </c>
      <c r="J1071" s="83">
        <v>46093</v>
      </c>
      <c r="K1071" s="46" t="s">
        <v>1080</v>
      </c>
      <c r="L1071" s="83" t="s">
        <v>27</v>
      </c>
    </row>
    <row r="1072" ht="16.5" spans="1:12">
      <c r="A1072" s="46">
        <v>1070</v>
      </c>
      <c r="B1072" s="46" t="s">
        <v>45</v>
      </c>
      <c r="C1072" s="46" t="str">
        <f>VLOOKUP(F1072,[4]在职!$A:$E,5,0)</f>
        <v>西南总部</v>
      </c>
      <c r="D1072" s="46" t="str">
        <f>VLOOKUP(F1072,[4]在职!$A:$G,7,0)</f>
        <v>营业七部</v>
      </c>
      <c r="E1072" s="46" t="str">
        <f>VLOOKUP(F1072,[4]在职!$A:$M,13,0)</f>
        <v>陈彪</v>
      </c>
      <c r="F1072" s="46" t="s">
        <v>922</v>
      </c>
      <c r="G1072" s="46" t="str">
        <f>VLOOKUP(F1072,[4]在职!$A:$B,2,0)</f>
        <v>01500</v>
      </c>
      <c r="H1072" s="46" t="str">
        <f>VLOOKUP(F1072,[4]在职!$A:$I,9,0)</f>
        <v>一星销售顾问</v>
      </c>
      <c r="I1072" s="46" t="s">
        <v>915</v>
      </c>
      <c r="J1072" s="83">
        <v>46093</v>
      </c>
      <c r="K1072" s="46" t="s">
        <v>1080</v>
      </c>
      <c r="L1072" s="83" t="s">
        <v>27</v>
      </c>
    </row>
    <row r="1073" ht="16.5" spans="1:12">
      <c r="A1073" s="46">
        <v>1071</v>
      </c>
      <c r="B1073" s="46" t="s">
        <v>45</v>
      </c>
      <c r="C1073" s="46" t="str">
        <f>VLOOKUP(F1073,[4]在职!$A:$E,5,0)</f>
        <v>西南总部</v>
      </c>
      <c r="D1073" s="46" t="str">
        <f>VLOOKUP(F1073,[4]在职!$A:$G,7,0)</f>
        <v>营业四部</v>
      </c>
      <c r="E1073" s="46" t="str">
        <f>VLOOKUP(F1073,[4]在职!$A:$M,13,0)</f>
        <v>陈嘉文</v>
      </c>
      <c r="F1073" s="46" t="s">
        <v>928</v>
      </c>
      <c r="G1073" s="46" t="str">
        <f>VLOOKUP(F1073,[4]在职!$A:$B,2,0)</f>
        <v>01634</v>
      </c>
      <c r="H1073" s="46" t="str">
        <f>VLOOKUP(F1073,[4]在职!$A:$I,9,0)</f>
        <v>一星销售顾问</v>
      </c>
      <c r="I1073" s="46" t="s">
        <v>915</v>
      </c>
      <c r="J1073" s="83">
        <v>46093</v>
      </c>
      <c r="K1073" s="46" t="s">
        <v>1080</v>
      </c>
      <c r="L1073" s="83" t="s">
        <v>27</v>
      </c>
    </row>
    <row r="1074" ht="16.5" spans="1:12">
      <c r="A1074" s="46">
        <v>1072</v>
      </c>
      <c r="B1074" s="46" t="s">
        <v>45</v>
      </c>
      <c r="C1074" s="46" t="str">
        <f>VLOOKUP(F1074,[4]在职!$A:$E,5,0)</f>
        <v>西南总部</v>
      </c>
      <c r="D1074" s="46" t="str">
        <f>VLOOKUP(F1074,[4]在职!$A:$G,7,0)</f>
        <v>营业四部</v>
      </c>
      <c r="E1074" s="46" t="str">
        <f>VLOOKUP(F1074,[4]在职!$A:$M,13,0)</f>
        <v>陈嘉文</v>
      </c>
      <c r="F1074" s="46" t="s">
        <v>930</v>
      </c>
      <c r="G1074" s="46" t="str">
        <f>VLOOKUP(F1074,[4]在职!$A:$B,2,0)</f>
        <v>01488</v>
      </c>
      <c r="H1074" s="46" t="str">
        <f>VLOOKUP(F1074,[4]在职!$A:$I,9,0)</f>
        <v>二星销售顾问</v>
      </c>
      <c r="I1074" s="46" t="s">
        <v>915</v>
      </c>
      <c r="J1074" s="83">
        <v>46093</v>
      </c>
      <c r="K1074" s="46" t="s">
        <v>1080</v>
      </c>
      <c r="L1074" s="83" t="s">
        <v>27</v>
      </c>
    </row>
    <row r="1075" ht="16.5" spans="1:12">
      <c r="A1075" s="46">
        <v>1073</v>
      </c>
      <c r="B1075" s="46" t="s">
        <v>45</v>
      </c>
      <c r="C1075" s="46" t="str">
        <f>VLOOKUP(F1075,[4]在职!$A:$E,5,0)</f>
        <v>西南总部</v>
      </c>
      <c r="D1075" s="46" t="str">
        <f>VLOOKUP(F1075,[4]在职!$A:$G,7,0)</f>
        <v>营业四部</v>
      </c>
      <c r="E1075" s="46" t="str">
        <f>VLOOKUP(F1075,[4]在职!$A:$M,13,0)</f>
        <v>陈帅</v>
      </c>
      <c r="F1075" s="46" t="s">
        <v>934</v>
      </c>
      <c r="G1075" s="46" t="str">
        <f>VLOOKUP(F1075,[4]在职!$A:$B,2,0)</f>
        <v>01547</v>
      </c>
      <c r="H1075" s="46" t="str">
        <f>VLOOKUP(F1075,[4]在职!$A:$I,9,0)</f>
        <v>一星销售顾问</v>
      </c>
      <c r="I1075" s="46" t="s">
        <v>915</v>
      </c>
      <c r="J1075" s="83">
        <v>46093</v>
      </c>
      <c r="K1075" s="46" t="s">
        <v>1080</v>
      </c>
      <c r="L1075" s="83" t="s">
        <v>27</v>
      </c>
    </row>
    <row r="1076" ht="16.5" spans="1:12">
      <c r="A1076" s="46">
        <v>1074</v>
      </c>
      <c r="B1076" s="46" t="s">
        <v>45</v>
      </c>
      <c r="C1076" s="46" t="str">
        <f>VLOOKUP(F1076,[4]在职!$A:$E,5,0)</f>
        <v>西南总部</v>
      </c>
      <c r="D1076" s="46" t="str">
        <f>VLOOKUP(F1076,[4]在职!$A:$G,7,0)</f>
        <v>营业六部</v>
      </c>
      <c r="E1076" s="46" t="str">
        <f>VLOOKUP(F1076,[4]在职!$A:$M,13,0)</f>
        <v>党虹</v>
      </c>
      <c r="F1076" s="46" t="s">
        <v>1439</v>
      </c>
      <c r="G1076" s="46" t="str">
        <f>VLOOKUP(F1076,[4]在职!$A:$B,2,0)</f>
        <v>01646</v>
      </c>
      <c r="H1076" s="46" t="str">
        <f>VLOOKUP(F1076,[4]在职!$A:$I,9,0)</f>
        <v>一星销售顾问</v>
      </c>
      <c r="I1076" s="46" t="s">
        <v>915</v>
      </c>
      <c r="J1076" s="83">
        <v>46093</v>
      </c>
      <c r="K1076" s="46" t="s">
        <v>1080</v>
      </c>
      <c r="L1076" s="83" t="s">
        <v>27</v>
      </c>
    </row>
    <row r="1077" ht="16.5" spans="1:12">
      <c r="A1077" s="46">
        <v>1075</v>
      </c>
      <c r="B1077" s="46" t="s">
        <v>45</v>
      </c>
      <c r="C1077" s="46" t="str">
        <f>VLOOKUP(F1077,[4]在职!$A:$E,5,0)</f>
        <v>山西</v>
      </c>
      <c r="D1077" s="46" t="str">
        <f>VLOOKUP(F1077,[4]在职!$A:$G,7,0)</f>
        <v>山西销售部</v>
      </c>
      <c r="E1077" s="46" t="str">
        <f>VLOOKUP(F1077,[4]在职!$A:$M,13,0)</f>
        <v>邓富</v>
      </c>
      <c r="F1077" s="46" t="s">
        <v>1440</v>
      </c>
      <c r="G1077" s="46" t="str">
        <f>VLOOKUP(F1077,[4]在职!$A:$B,2,0)</f>
        <v>01824</v>
      </c>
      <c r="H1077" s="46" t="str">
        <f>VLOOKUP(F1077,[4]在职!$A:$I,9,0)</f>
        <v>一星销售顾问</v>
      </c>
      <c r="I1077" s="46" t="s">
        <v>915</v>
      </c>
      <c r="J1077" s="83">
        <v>46093</v>
      </c>
      <c r="K1077" s="46" t="s">
        <v>1080</v>
      </c>
      <c r="L1077" s="83" t="s">
        <v>27</v>
      </c>
    </row>
    <row r="1078" ht="16.5" spans="1:12">
      <c r="A1078" s="46">
        <v>1076</v>
      </c>
      <c r="B1078" s="46" t="s">
        <v>45</v>
      </c>
      <c r="C1078" s="46" t="str">
        <f>VLOOKUP(F1078,[4]在职!$A:$E,5,0)</f>
        <v>山西</v>
      </c>
      <c r="D1078" s="46" t="str">
        <f>VLOOKUP(F1078,[4]在职!$A:$G,7,0)</f>
        <v>山西销售部</v>
      </c>
      <c r="E1078" s="46" t="str">
        <f>VLOOKUP(F1078,[4]在职!$A:$M,13,0)</f>
        <v>邓富</v>
      </c>
      <c r="F1078" s="46" t="s">
        <v>1441</v>
      </c>
      <c r="G1078" s="46" t="str">
        <f>VLOOKUP(F1078,[4]在职!$A:$B,2,0)</f>
        <v>01814</v>
      </c>
      <c r="H1078" s="46" t="str">
        <f>VLOOKUP(F1078,[4]在职!$A:$I,9,0)</f>
        <v>一星销售顾问</v>
      </c>
      <c r="I1078" s="46" t="s">
        <v>915</v>
      </c>
      <c r="J1078" s="83">
        <v>46093</v>
      </c>
      <c r="K1078" s="46" t="s">
        <v>1080</v>
      </c>
      <c r="L1078" s="83" t="s">
        <v>27</v>
      </c>
    </row>
    <row r="1079" ht="16.5" spans="1:12">
      <c r="A1079" s="46">
        <v>1077</v>
      </c>
      <c r="B1079" s="46" t="s">
        <v>45</v>
      </c>
      <c r="C1079" s="46" t="str">
        <f>VLOOKUP(F1079,[4]在职!$A:$E,5,0)</f>
        <v>河南</v>
      </c>
      <c r="D1079" s="46" t="str">
        <f>VLOOKUP(F1079,[4]在职!$A:$G,7,0)</f>
        <v>河南销售部</v>
      </c>
      <c r="E1079" s="46" t="str">
        <f>VLOOKUP(F1079,[4]在职!$A:$M,13,0)</f>
        <v>杜雄</v>
      </c>
      <c r="F1079" s="46" t="s">
        <v>1442</v>
      </c>
      <c r="G1079" s="46" t="str">
        <f>VLOOKUP(F1079,[4]在职!$A:$B,2,0)</f>
        <v>01620</v>
      </c>
      <c r="H1079" s="46" t="str">
        <f>VLOOKUP(F1079,[4]在职!$A:$I,9,0)</f>
        <v>一星销售顾问</v>
      </c>
      <c r="I1079" s="46" t="s">
        <v>915</v>
      </c>
      <c r="J1079" s="83">
        <v>46093</v>
      </c>
      <c r="K1079" s="46" t="s">
        <v>1080</v>
      </c>
      <c r="L1079" s="83" t="s">
        <v>27</v>
      </c>
    </row>
    <row r="1080" ht="16.5" spans="1:12">
      <c r="A1080" s="46">
        <v>1078</v>
      </c>
      <c r="B1080" s="46" t="s">
        <v>45</v>
      </c>
      <c r="C1080" s="46" t="str">
        <f>VLOOKUP(F1080,[4]在职!$A:$E,5,0)</f>
        <v>陕西</v>
      </c>
      <c r="D1080" s="46" t="str">
        <f>VLOOKUP(F1080,[4]在职!$A:$G,7,0)</f>
        <v>陕西2部</v>
      </c>
      <c r="E1080" s="46" t="str">
        <f>VLOOKUP(F1080,[4]在职!$A:$M,13,0)</f>
        <v>冀敏</v>
      </c>
      <c r="F1080" s="46" t="s">
        <v>932</v>
      </c>
      <c r="G1080" s="46" t="str">
        <f>VLOOKUP(F1080,[4]在职!$A:$B,2,0)</f>
        <v>01654</v>
      </c>
      <c r="H1080" s="46" t="str">
        <f>VLOOKUP(F1080,[4]在职!$A:$I,9,0)</f>
        <v>一星销售顾问</v>
      </c>
      <c r="I1080" s="46" t="s">
        <v>915</v>
      </c>
      <c r="J1080" s="83">
        <v>46093</v>
      </c>
      <c r="K1080" s="46" t="s">
        <v>1080</v>
      </c>
      <c r="L1080" s="83" t="s">
        <v>27</v>
      </c>
    </row>
    <row r="1081" ht="16.5" spans="1:12">
      <c r="A1081" s="46">
        <v>1079</v>
      </c>
      <c r="B1081" s="46" t="s">
        <v>45</v>
      </c>
      <c r="C1081" s="46" t="str">
        <f>VLOOKUP(F1081,[4]在职!$A:$E,5,0)</f>
        <v>河南</v>
      </c>
      <c r="D1081" s="46" t="str">
        <f>VLOOKUP(F1081,[4]在职!$A:$G,7,0)</f>
        <v>河南销售部</v>
      </c>
      <c r="E1081" s="46" t="str">
        <f>VLOOKUP(F1081,[4]在职!$A:$M,13,0)</f>
        <v>蒋吉勇</v>
      </c>
      <c r="F1081" s="46" t="s">
        <v>962</v>
      </c>
      <c r="G1081" s="46" t="str">
        <f>VLOOKUP(F1081,[4]在职!$A:$B,2,0)</f>
        <v>01597</v>
      </c>
      <c r="H1081" s="46" t="str">
        <f>VLOOKUP(F1081,[4]在职!$A:$I,9,0)</f>
        <v>二星销售顾问</v>
      </c>
      <c r="I1081" s="46" t="s">
        <v>915</v>
      </c>
      <c r="J1081" s="83">
        <v>46093</v>
      </c>
      <c r="K1081" s="46" t="s">
        <v>1080</v>
      </c>
      <c r="L1081" s="83" t="s">
        <v>27</v>
      </c>
    </row>
    <row r="1082" ht="16.5" spans="1:12">
      <c r="A1082" s="46">
        <v>1080</v>
      </c>
      <c r="B1082" s="46" t="s">
        <v>45</v>
      </c>
      <c r="C1082" s="46" t="str">
        <f>VLOOKUP(F1082,[4]在职!$A:$E,5,0)</f>
        <v>河南</v>
      </c>
      <c r="D1082" s="46" t="str">
        <f>VLOOKUP(F1082,[4]在职!$A:$G,7,0)</f>
        <v>河南销售部</v>
      </c>
      <c r="E1082" s="46" t="str">
        <f>VLOOKUP(F1082,[4]在职!$A:$M,13,0)</f>
        <v>蒋吉勇</v>
      </c>
      <c r="F1082" s="46" t="s">
        <v>1443</v>
      </c>
      <c r="G1082" s="46" t="str">
        <f>VLOOKUP(F1082,[4]在职!$A:$B,2,0)</f>
        <v>01541</v>
      </c>
      <c r="H1082" s="46" t="str">
        <f>VLOOKUP(F1082,[4]在职!$A:$I,9,0)</f>
        <v>一星销售顾问</v>
      </c>
      <c r="I1082" s="46" t="s">
        <v>915</v>
      </c>
      <c r="J1082" s="83">
        <v>46093</v>
      </c>
      <c r="K1082" s="46" t="s">
        <v>1080</v>
      </c>
      <c r="L1082" s="83" t="s">
        <v>27</v>
      </c>
    </row>
    <row r="1083" ht="16.5" spans="1:12">
      <c r="A1083" s="46">
        <v>1081</v>
      </c>
      <c r="B1083" s="46" t="s">
        <v>45</v>
      </c>
      <c r="C1083" s="46" t="str">
        <f>VLOOKUP(F1083,[4]在职!$A:$E,5,0)</f>
        <v>河北</v>
      </c>
      <c r="D1083" s="46" t="str">
        <f>VLOOKUP(F1083,[4]在职!$A:$G,7,0)</f>
        <v>河北销售部</v>
      </c>
      <c r="E1083" s="46" t="str">
        <f>VLOOKUP(F1083,[4]在职!$A:$M,13,0)</f>
        <v>李港一</v>
      </c>
      <c r="F1083" s="46" t="s">
        <v>1444</v>
      </c>
      <c r="G1083" s="46" t="str">
        <f>VLOOKUP(F1083,[4]在职!$A:$B,2,0)</f>
        <v>01850</v>
      </c>
      <c r="H1083" s="46" t="str">
        <f>VLOOKUP(F1083,[4]在职!$A:$I,9,0)</f>
        <v>一星销售顾问</v>
      </c>
      <c r="I1083" s="46" t="s">
        <v>915</v>
      </c>
      <c r="J1083" s="83">
        <v>46093</v>
      </c>
      <c r="K1083" s="46" t="s">
        <v>1080</v>
      </c>
      <c r="L1083" s="83" t="s">
        <v>27</v>
      </c>
    </row>
    <row r="1084" ht="16.5" spans="1:12">
      <c r="A1084" s="46">
        <v>1082</v>
      </c>
      <c r="B1084" s="46" t="s">
        <v>45</v>
      </c>
      <c r="C1084" s="46" t="str">
        <f>VLOOKUP(F1084,[4]在职!$A:$E,5,0)</f>
        <v>河北</v>
      </c>
      <c r="D1084" s="46" t="str">
        <f>VLOOKUP(F1084,[4]在职!$A:$G,7,0)</f>
        <v>河北销售部</v>
      </c>
      <c r="E1084" s="46" t="str">
        <f>VLOOKUP(F1084,[4]在职!$A:$M,13,0)</f>
        <v>李港一</v>
      </c>
      <c r="F1084" s="46" t="s">
        <v>1445</v>
      </c>
      <c r="G1084" s="46" t="str">
        <f>VLOOKUP(F1084,[4]在职!$A:$B,2,0)</f>
        <v>01702</v>
      </c>
      <c r="H1084" s="46" t="str">
        <f>VLOOKUP(F1084,[4]在职!$A:$I,9,0)</f>
        <v>一星销售顾问</v>
      </c>
      <c r="I1084" s="46" t="s">
        <v>915</v>
      </c>
      <c r="J1084" s="83">
        <v>46093</v>
      </c>
      <c r="K1084" s="46" t="s">
        <v>1080</v>
      </c>
      <c r="L1084" s="83" t="s">
        <v>27</v>
      </c>
    </row>
    <row r="1085" ht="16.5" spans="1:12">
      <c r="A1085" s="46">
        <v>1083</v>
      </c>
      <c r="B1085" s="46" t="s">
        <v>45</v>
      </c>
      <c r="C1085" s="46" t="str">
        <f>VLOOKUP(F1085,[4]在职!$A:$E,5,0)</f>
        <v>西南总部</v>
      </c>
      <c r="D1085" s="46" t="str">
        <f>VLOOKUP(F1085,[4]在职!$A:$G,7,0)</f>
        <v>营业三部</v>
      </c>
      <c r="E1085" s="46" t="str">
        <f>VLOOKUP(F1085,[4]在职!$A:$M,13,0)</f>
        <v>李海艳</v>
      </c>
      <c r="F1085" s="46" t="s">
        <v>1446</v>
      </c>
      <c r="G1085" s="46" t="str">
        <f>VLOOKUP(F1085,[4]在职!$A:$B,2,0)</f>
        <v>01631</v>
      </c>
      <c r="H1085" s="46" t="str">
        <f>VLOOKUP(F1085,[4]在职!$A:$I,9,0)</f>
        <v>一星销售顾问</v>
      </c>
      <c r="I1085" s="46" t="s">
        <v>915</v>
      </c>
      <c r="J1085" s="83">
        <v>46093</v>
      </c>
      <c r="K1085" s="46" t="s">
        <v>1080</v>
      </c>
      <c r="L1085" s="83" t="s">
        <v>27</v>
      </c>
    </row>
    <row r="1086" ht="16.5" spans="1:12">
      <c r="A1086" s="46">
        <v>1084</v>
      </c>
      <c r="B1086" s="46" t="s">
        <v>45</v>
      </c>
      <c r="C1086" s="46" t="str">
        <f>VLOOKUP(F1086,[4]在职!$A:$E,5,0)</f>
        <v>西南总部</v>
      </c>
      <c r="D1086" s="46" t="str">
        <f>VLOOKUP(F1086,[4]在职!$A:$G,7,0)</f>
        <v>营业四部</v>
      </c>
      <c r="E1086" s="46" t="str">
        <f>VLOOKUP(F1086,[4]在职!$A:$M,13,0)</f>
        <v>李培金</v>
      </c>
      <c r="F1086" s="46" t="s">
        <v>1271</v>
      </c>
      <c r="G1086" s="46" t="str">
        <f>VLOOKUP(F1086,[4]在职!$A:$B,2,0)</f>
        <v>01790</v>
      </c>
      <c r="H1086" s="46" t="str">
        <f>VLOOKUP(F1086,[4]在职!$A:$I,9,0)</f>
        <v>一星销售顾问</v>
      </c>
      <c r="I1086" s="46" t="s">
        <v>915</v>
      </c>
      <c r="J1086" s="83">
        <v>46093</v>
      </c>
      <c r="K1086" s="46" t="s">
        <v>1080</v>
      </c>
      <c r="L1086" s="83" t="s">
        <v>27</v>
      </c>
    </row>
    <row r="1087" ht="16.5" spans="1:12">
      <c r="A1087" s="46">
        <v>1085</v>
      </c>
      <c r="B1087" s="46" t="s">
        <v>45</v>
      </c>
      <c r="C1087" s="46" t="str">
        <f>VLOOKUP(F1087,[4]在职!$A:$E,5,0)</f>
        <v>西南总部</v>
      </c>
      <c r="D1087" s="46" t="str">
        <f>VLOOKUP(F1087,[4]在职!$A:$G,7,0)</f>
        <v>营业四部</v>
      </c>
      <c r="E1087" s="46" t="str">
        <f>VLOOKUP(F1087,[4]在职!$A:$M,13,0)</f>
        <v>李培金</v>
      </c>
      <c r="F1087" s="46" t="s">
        <v>1273</v>
      </c>
      <c r="G1087" s="46" t="str">
        <f>VLOOKUP(F1087,[4]在职!$A:$B,2,0)</f>
        <v>01767</v>
      </c>
      <c r="H1087" s="46" t="str">
        <f>VLOOKUP(F1087,[4]在职!$A:$I,9,0)</f>
        <v>一星销售顾问</v>
      </c>
      <c r="I1087" s="46" t="s">
        <v>915</v>
      </c>
      <c r="J1087" s="83">
        <v>46093</v>
      </c>
      <c r="K1087" s="46" t="s">
        <v>1080</v>
      </c>
      <c r="L1087" s="83" t="s">
        <v>27</v>
      </c>
    </row>
    <row r="1088" ht="16.5" spans="1:12">
      <c r="A1088" s="46">
        <v>1086</v>
      </c>
      <c r="B1088" s="46" t="s">
        <v>45</v>
      </c>
      <c r="C1088" s="46" t="str">
        <f>VLOOKUP(F1088,[4]在职!$A:$E,5,0)</f>
        <v>西南总部</v>
      </c>
      <c r="D1088" s="46" t="str">
        <f>VLOOKUP(F1088,[4]在职!$A:$G,7,0)</f>
        <v>营业四部</v>
      </c>
      <c r="E1088" s="46" t="str">
        <f>VLOOKUP(F1088,[4]在职!$A:$M,13,0)</f>
        <v>李培金</v>
      </c>
      <c r="F1088" s="46" t="s">
        <v>1447</v>
      </c>
      <c r="G1088" s="46" t="str">
        <f>VLOOKUP(F1088,[4]在职!$A:$B,2,0)</f>
        <v>01735</v>
      </c>
      <c r="H1088" s="46" t="str">
        <f>VLOOKUP(F1088,[4]在职!$A:$I,9,0)</f>
        <v>一星销售顾问</v>
      </c>
      <c r="I1088" s="46" t="s">
        <v>915</v>
      </c>
      <c r="J1088" s="83">
        <v>46093</v>
      </c>
      <c r="K1088" s="46" t="s">
        <v>1080</v>
      </c>
      <c r="L1088" s="83" t="s">
        <v>27</v>
      </c>
    </row>
    <row r="1089" ht="16.5" spans="1:12">
      <c r="A1089" s="46">
        <v>1087</v>
      </c>
      <c r="B1089" s="46" t="s">
        <v>45</v>
      </c>
      <c r="C1089" s="46" t="str">
        <f>VLOOKUP(F1089,[4]在职!$A:$E,5,0)</f>
        <v>山西</v>
      </c>
      <c r="D1089" s="46" t="str">
        <f>VLOOKUP(F1089,[4]在职!$A:$G,7,0)</f>
        <v>山西销售部</v>
      </c>
      <c r="E1089" s="46" t="str">
        <f>VLOOKUP(F1089,[4]在职!$A:$M,13,0)</f>
        <v>李权益</v>
      </c>
      <c r="F1089" s="46" t="s">
        <v>1448</v>
      </c>
      <c r="G1089" s="46" t="str">
        <f>VLOOKUP(F1089,[4]在职!$A:$B,2,0)</f>
        <v>01650</v>
      </c>
      <c r="H1089" s="46" t="str">
        <f>VLOOKUP(F1089,[4]在职!$A:$I,9,0)</f>
        <v>一星销售顾问</v>
      </c>
      <c r="I1089" s="46" t="s">
        <v>915</v>
      </c>
      <c r="J1089" s="83">
        <v>46093</v>
      </c>
      <c r="K1089" s="46" t="s">
        <v>1080</v>
      </c>
      <c r="L1089" s="83" t="s">
        <v>27</v>
      </c>
    </row>
    <row r="1090" ht="16.5" spans="1:12">
      <c r="A1090" s="46">
        <v>1088</v>
      </c>
      <c r="B1090" s="46" t="s">
        <v>45</v>
      </c>
      <c r="C1090" s="46" t="str">
        <f>VLOOKUP(F1090,[4]在职!$A:$E,5,0)</f>
        <v>陕西</v>
      </c>
      <c r="D1090" s="46" t="str">
        <f>VLOOKUP(F1090,[4]在职!$A:$G,7,0)</f>
        <v>陕西2部</v>
      </c>
      <c r="E1090" s="46" t="str">
        <f>VLOOKUP(F1090,[4]在职!$A:$M,13,0)</f>
        <v>李耀</v>
      </c>
      <c r="F1090" s="46" t="s">
        <v>1449</v>
      </c>
      <c r="G1090" s="46" t="str">
        <f>VLOOKUP(F1090,[4]在职!$A:$B,2,0)</f>
        <v>00583</v>
      </c>
      <c r="H1090" s="46" t="str">
        <f>VLOOKUP(F1090,[4]在职!$A:$I,9,0)</f>
        <v>一星销售顾问</v>
      </c>
      <c r="I1090" s="46" t="s">
        <v>915</v>
      </c>
      <c r="J1090" s="83">
        <v>46093</v>
      </c>
      <c r="K1090" s="46" t="s">
        <v>1080</v>
      </c>
      <c r="L1090" s="83" t="s">
        <v>27</v>
      </c>
    </row>
    <row r="1091" ht="16.5" spans="1:12">
      <c r="A1091" s="46">
        <v>1089</v>
      </c>
      <c r="B1091" s="46" t="s">
        <v>45</v>
      </c>
      <c r="C1091" s="46" t="str">
        <f>VLOOKUP(F1091,[4]在职!$A:$E,5,0)</f>
        <v>湖北</v>
      </c>
      <c r="D1091" s="46" t="str">
        <f>VLOOKUP(F1091,[4]在职!$A:$G,7,0)</f>
        <v>湖北1部</v>
      </c>
      <c r="E1091" s="46" t="str">
        <f>VLOOKUP(F1091,[4]在职!$A:$M,13,0)</f>
        <v>秦娅玲</v>
      </c>
      <c r="F1091" s="46" t="s">
        <v>1450</v>
      </c>
      <c r="G1091" s="46" t="str">
        <f>VLOOKUP(F1091,[4]在职!$A:$B,2,0)</f>
        <v>01629</v>
      </c>
      <c r="H1091" s="46" t="str">
        <f>VLOOKUP(F1091,[4]在职!$A:$I,9,0)</f>
        <v>一星销售顾问</v>
      </c>
      <c r="I1091" s="46" t="s">
        <v>915</v>
      </c>
      <c r="J1091" s="83">
        <v>46093</v>
      </c>
      <c r="K1091" s="46" t="s">
        <v>1080</v>
      </c>
      <c r="L1091" s="83" t="s">
        <v>27</v>
      </c>
    </row>
    <row r="1092" ht="16.5" spans="1:12">
      <c r="A1092" s="46">
        <v>1090</v>
      </c>
      <c r="B1092" s="46" t="s">
        <v>45</v>
      </c>
      <c r="C1092" s="46" t="str">
        <f>VLOOKUP(F1092,[4]在职!$A:$E,5,0)</f>
        <v>湖北</v>
      </c>
      <c r="D1092" s="46" t="str">
        <f>VLOOKUP(F1092,[4]在职!$A:$G,7,0)</f>
        <v>湖北1部</v>
      </c>
      <c r="E1092" s="46" t="str">
        <f>VLOOKUP(F1092,[4]在职!$A:$M,13,0)</f>
        <v>蔺小燕</v>
      </c>
      <c r="F1092" s="46" t="s">
        <v>1006</v>
      </c>
      <c r="G1092" s="46" t="str">
        <f>VLOOKUP(F1092,[4]在职!$A:$B,2,0)</f>
        <v>01537</v>
      </c>
      <c r="H1092" s="46" t="str">
        <f>VLOOKUP(F1092,[4]在职!$A:$I,9,0)</f>
        <v>一星销售顾问</v>
      </c>
      <c r="I1092" s="46" t="s">
        <v>915</v>
      </c>
      <c r="J1092" s="83">
        <v>46093</v>
      </c>
      <c r="K1092" s="46" t="s">
        <v>1080</v>
      </c>
      <c r="L1092" s="83" t="s">
        <v>27</v>
      </c>
    </row>
    <row r="1093" ht="16.5" spans="1:12">
      <c r="A1093" s="46">
        <v>1091</v>
      </c>
      <c r="B1093" s="46" t="s">
        <v>45</v>
      </c>
      <c r="C1093" s="46" t="str">
        <f>VLOOKUP(F1093,[4]在职!$A:$E,5,0)</f>
        <v>山西</v>
      </c>
      <c r="D1093" s="46" t="str">
        <f>VLOOKUP(F1093,[4]在职!$A:$G,7,0)</f>
        <v>山西销售部</v>
      </c>
      <c r="E1093" s="46" t="str">
        <f>VLOOKUP(F1093,[4]在职!$A:$M,13,0)</f>
        <v>刘辉</v>
      </c>
      <c r="F1093" s="46" t="s">
        <v>1451</v>
      </c>
      <c r="G1093" s="46" t="str">
        <f>VLOOKUP(F1093,[4]在职!$A:$B,2,0)</f>
        <v>01726</v>
      </c>
      <c r="H1093" s="46" t="str">
        <f>VLOOKUP(F1093,[4]在职!$A:$I,9,0)</f>
        <v>一星销售顾问</v>
      </c>
      <c r="I1093" s="46" t="s">
        <v>915</v>
      </c>
      <c r="J1093" s="83">
        <v>46093</v>
      </c>
      <c r="K1093" s="46" t="s">
        <v>1080</v>
      </c>
      <c r="L1093" s="83" t="s">
        <v>27</v>
      </c>
    </row>
    <row r="1094" ht="16.5" spans="1:12">
      <c r="A1094" s="46">
        <v>1092</v>
      </c>
      <c r="B1094" s="46" t="s">
        <v>45</v>
      </c>
      <c r="C1094" s="46" t="str">
        <f>VLOOKUP(F1094,[4]在职!$A:$E,5,0)</f>
        <v>西南总部</v>
      </c>
      <c r="D1094" s="46" t="str">
        <f>VLOOKUP(F1094,[4]在职!$A:$G,7,0)</f>
        <v>营业七部</v>
      </c>
      <c r="E1094" s="46" t="str">
        <f>VLOOKUP(F1094,[4]在职!$A:$M,13,0)</f>
        <v>刘鹏</v>
      </c>
      <c r="F1094" s="46" t="s">
        <v>1263</v>
      </c>
      <c r="G1094" s="46" t="str">
        <f>VLOOKUP(F1094,[4]在职!$A:$B,2,0)</f>
        <v>01723</v>
      </c>
      <c r="H1094" s="46" t="str">
        <f>VLOOKUP(F1094,[4]在职!$A:$I,9,0)</f>
        <v>一星销售顾问</v>
      </c>
      <c r="I1094" s="46" t="s">
        <v>915</v>
      </c>
      <c r="J1094" s="83">
        <v>46093</v>
      </c>
      <c r="K1094" s="46" t="s">
        <v>1080</v>
      </c>
      <c r="L1094" s="83" t="s">
        <v>27</v>
      </c>
    </row>
    <row r="1095" ht="16.5" spans="1:12">
      <c r="A1095" s="46">
        <v>1093</v>
      </c>
      <c r="B1095" s="46" t="s">
        <v>45</v>
      </c>
      <c r="C1095" s="46" t="str">
        <f>VLOOKUP(F1095,[4]在职!$A:$E,5,0)</f>
        <v>西南总部</v>
      </c>
      <c r="D1095" s="46" t="str">
        <f>VLOOKUP(F1095,[4]在职!$A:$G,7,0)</f>
        <v>营业七部</v>
      </c>
      <c r="E1095" s="46" t="str">
        <f>VLOOKUP(F1095,[4]在职!$A:$M,13,0)</f>
        <v>刘鹏</v>
      </c>
      <c r="F1095" s="46" t="s">
        <v>972</v>
      </c>
      <c r="G1095" s="46" t="str">
        <f>VLOOKUP(F1095,[4]在职!$A:$B,2,0)</f>
        <v>01599</v>
      </c>
      <c r="H1095" s="46" t="str">
        <f>VLOOKUP(F1095,[4]在职!$A:$I,9,0)</f>
        <v>二星销售顾问</v>
      </c>
      <c r="I1095" s="46" t="s">
        <v>915</v>
      </c>
      <c r="J1095" s="83">
        <v>46093</v>
      </c>
      <c r="K1095" s="46" t="s">
        <v>1080</v>
      </c>
      <c r="L1095" s="83" t="s">
        <v>27</v>
      </c>
    </row>
    <row r="1096" ht="16.5" spans="1:12">
      <c r="A1096" s="46">
        <v>1094</v>
      </c>
      <c r="B1096" s="46" t="s">
        <v>45</v>
      </c>
      <c r="C1096" s="46" t="str">
        <f>VLOOKUP(F1096,[4]在职!$A:$E,5,0)</f>
        <v>陕西</v>
      </c>
      <c r="D1096" s="46" t="str">
        <f>VLOOKUP(F1096,[4]在职!$A:$G,7,0)</f>
        <v>陕西2部</v>
      </c>
      <c r="E1096" s="46" t="str">
        <f>VLOOKUP(F1096,[4]在职!$A:$M,13,0)</f>
        <v>罗小花</v>
      </c>
      <c r="F1096" s="46" t="s">
        <v>1452</v>
      </c>
      <c r="G1096" s="46" t="str">
        <f>VLOOKUP(F1096,[4]在职!$A:$B,2,0)</f>
        <v>01720</v>
      </c>
      <c r="H1096" s="46" t="str">
        <f>VLOOKUP(F1096,[4]在职!$A:$I,9,0)</f>
        <v>一星销售顾问</v>
      </c>
      <c r="I1096" s="46" t="s">
        <v>915</v>
      </c>
      <c r="J1096" s="83">
        <v>46093</v>
      </c>
      <c r="K1096" s="46" t="s">
        <v>1080</v>
      </c>
      <c r="L1096" s="83" t="s">
        <v>27</v>
      </c>
    </row>
    <row r="1097" ht="16.5" spans="1:12">
      <c r="A1097" s="46">
        <v>1095</v>
      </c>
      <c r="B1097" s="46" t="s">
        <v>45</v>
      </c>
      <c r="C1097" s="46" t="str">
        <f>VLOOKUP(F1097,[4]在职!$A:$E,5,0)</f>
        <v>湖北</v>
      </c>
      <c r="D1097" s="46" t="str">
        <f>VLOOKUP(F1097,[4]在职!$A:$G,7,0)</f>
        <v>湖北1部</v>
      </c>
      <c r="E1097" s="46" t="str">
        <f>VLOOKUP(F1097,[4]在职!$A:$M,13,0)</f>
        <v>骆志红</v>
      </c>
      <c r="F1097" s="46" t="s">
        <v>1453</v>
      </c>
      <c r="G1097" s="46" t="str">
        <f>VLOOKUP(F1097,[4]在职!$A:$B,2,0)</f>
        <v>01632</v>
      </c>
      <c r="H1097" s="46" t="str">
        <f>VLOOKUP(F1097,[4]在职!$A:$I,9,0)</f>
        <v>一星销售顾问</v>
      </c>
      <c r="I1097" s="46" t="s">
        <v>915</v>
      </c>
      <c r="J1097" s="83">
        <v>46093</v>
      </c>
      <c r="K1097" s="46" t="s">
        <v>1080</v>
      </c>
      <c r="L1097" s="83" t="s">
        <v>27</v>
      </c>
    </row>
    <row r="1098" ht="16.5" spans="1:12">
      <c r="A1098" s="46">
        <v>1096</v>
      </c>
      <c r="B1098" s="46" t="s">
        <v>45</v>
      </c>
      <c r="C1098" s="46" t="str">
        <f>VLOOKUP(F1098,[4]在职!$A:$E,5,0)</f>
        <v>河南</v>
      </c>
      <c r="D1098" s="46" t="str">
        <f>VLOOKUP(F1098,[4]在职!$A:$G,7,0)</f>
        <v>河南销售部</v>
      </c>
      <c r="E1098" s="46" t="str">
        <f>VLOOKUP(F1098,[4]在职!$A:$M,13,0)</f>
        <v>吕涛</v>
      </c>
      <c r="F1098" s="46" t="s">
        <v>1253</v>
      </c>
      <c r="G1098" s="46" t="str">
        <f>VLOOKUP(F1098,[4]在职!$A:$B,2,0)</f>
        <v>01762</v>
      </c>
      <c r="H1098" s="46" t="str">
        <f>VLOOKUP(F1098,[4]在职!$A:$I,9,0)</f>
        <v>一星销售顾问</v>
      </c>
      <c r="I1098" s="46" t="s">
        <v>915</v>
      </c>
      <c r="J1098" s="83">
        <v>46093</v>
      </c>
      <c r="K1098" s="46" t="s">
        <v>1080</v>
      </c>
      <c r="L1098" s="83" t="s">
        <v>27</v>
      </c>
    </row>
    <row r="1099" ht="16.5" spans="1:12">
      <c r="A1099" s="46">
        <v>1097</v>
      </c>
      <c r="B1099" s="46" t="s">
        <v>45</v>
      </c>
      <c r="C1099" s="46" t="str">
        <f>VLOOKUP(F1099,[4]在职!$A:$E,5,0)</f>
        <v>河南</v>
      </c>
      <c r="D1099" s="46" t="str">
        <f>VLOOKUP(F1099,[4]在职!$A:$G,7,0)</f>
        <v>河南销售部</v>
      </c>
      <c r="E1099" s="46" t="str">
        <f>VLOOKUP(F1099,[4]在职!$A:$M,13,0)</f>
        <v>吕涛</v>
      </c>
      <c r="F1099" s="46" t="s">
        <v>1255</v>
      </c>
      <c r="G1099" s="46" t="str">
        <f>VLOOKUP(F1099,[4]在职!$A:$B,2,0)</f>
        <v>01766</v>
      </c>
      <c r="H1099" s="46" t="str">
        <f>VLOOKUP(F1099,[4]在职!$A:$I,9,0)</f>
        <v>一星销售顾问</v>
      </c>
      <c r="I1099" s="46" t="s">
        <v>915</v>
      </c>
      <c r="J1099" s="83">
        <v>46093</v>
      </c>
      <c r="K1099" s="46" t="s">
        <v>1080</v>
      </c>
      <c r="L1099" s="83" t="s">
        <v>27</v>
      </c>
    </row>
    <row r="1100" ht="16.5" spans="1:12">
      <c r="A1100" s="46">
        <v>1098</v>
      </c>
      <c r="B1100" s="46" t="s">
        <v>45</v>
      </c>
      <c r="C1100" s="46" t="str">
        <f>VLOOKUP(F1100,[4]在职!$A:$E,5,0)</f>
        <v>西南总部</v>
      </c>
      <c r="D1100" s="46" t="str">
        <f>VLOOKUP(F1100,[4]在职!$A:$G,7,0)</f>
        <v>营业七部</v>
      </c>
      <c r="E1100" s="46" t="str">
        <f>VLOOKUP(F1100,[4]在职!$A:$M,13,0)</f>
        <v>彭小琴</v>
      </c>
      <c r="F1100" s="46" t="s">
        <v>1454</v>
      </c>
      <c r="G1100" s="46" t="str">
        <f>VLOOKUP(F1100,[4]在职!$A:$B,2,0)</f>
        <v>01693</v>
      </c>
      <c r="H1100" s="46" t="str">
        <f>VLOOKUP(F1100,[4]在职!$A:$I,9,0)</f>
        <v>一星销售顾问</v>
      </c>
      <c r="I1100" s="46" t="s">
        <v>915</v>
      </c>
      <c r="J1100" s="83">
        <v>46093</v>
      </c>
      <c r="K1100" s="46" t="s">
        <v>1080</v>
      </c>
      <c r="L1100" s="83" t="s">
        <v>27</v>
      </c>
    </row>
    <row r="1101" ht="16.5" spans="1:12">
      <c r="A1101" s="46">
        <v>1099</v>
      </c>
      <c r="B1101" s="46" t="s">
        <v>45</v>
      </c>
      <c r="C1101" s="46" t="str">
        <f>VLOOKUP(F1101,[4]在职!$A:$E,5,0)</f>
        <v>西南总部</v>
      </c>
      <c r="D1101" s="46" t="str">
        <f>VLOOKUP(F1101,[4]在职!$A:$G,7,0)</f>
        <v>营业七部</v>
      </c>
      <c r="E1101" s="46" t="str">
        <f>VLOOKUP(F1101,[4]在职!$A:$M,13,0)</f>
        <v>彭小琴</v>
      </c>
      <c r="F1101" s="46" t="s">
        <v>1455</v>
      </c>
      <c r="G1101" s="46" t="str">
        <f>VLOOKUP(F1101,[4]在职!$A:$B,2,0)</f>
        <v>01675</v>
      </c>
      <c r="H1101" s="46" t="str">
        <f>VLOOKUP(F1101,[4]在职!$A:$I,9,0)</f>
        <v>一星销售顾问</v>
      </c>
      <c r="I1101" s="46" t="s">
        <v>915</v>
      </c>
      <c r="J1101" s="83">
        <v>46093</v>
      </c>
      <c r="K1101" s="46" t="s">
        <v>1080</v>
      </c>
      <c r="L1101" s="83" t="s">
        <v>27</v>
      </c>
    </row>
    <row r="1102" ht="16.5" spans="1:12">
      <c r="A1102" s="46">
        <v>1100</v>
      </c>
      <c r="B1102" s="46" t="s">
        <v>45</v>
      </c>
      <c r="C1102" s="46" t="str">
        <f>VLOOKUP(F1102,[4]在职!$A:$E,5,0)</f>
        <v>湖北</v>
      </c>
      <c r="D1102" s="46" t="str">
        <f>VLOOKUP(F1102,[4]在职!$A:$G,7,0)</f>
        <v>湖北1部</v>
      </c>
      <c r="E1102" s="46" t="str">
        <f>VLOOKUP(F1102,[4]在职!$A:$M,13,0)</f>
        <v>秦娅玲</v>
      </c>
      <c r="F1102" s="46" t="s">
        <v>1456</v>
      </c>
      <c r="G1102" s="46" t="str">
        <f>VLOOKUP(F1102,[4]在职!$A:$B,2,0)</f>
        <v>01480</v>
      </c>
      <c r="H1102" s="46" t="str">
        <f>VLOOKUP(F1102,[4]在职!$A:$I,9,0)</f>
        <v>一星销售顾问</v>
      </c>
      <c r="I1102" s="46" t="s">
        <v>915</v>
      </c>
      <c r="J1102" s="83">
        <v>46093</v>
      </c>
      <c r="K1102" s="46" t="s">
        <v>1080</v>
      </c>
      <c r="L1102" s="83" t="s">
        <v>27</v>
      </c>
    </row>
    <row r="1103" ht="16.5" spans="1:12">
      <c r="A1103" s="46">
        <v>1101</v>
      </c>
      <c r="B1103" s="46" t="s">
        <v>45</v>
      </c>
      <c r="C1103" s="46" t="str">
        <f>VLOOKUP(F1103,[4]在职!$A:$E,5,0)</f>
        <v>湖北</v>
      </c>
      <c r="D1103" s="46" t="str">
        <f>VLOOKUP(F1103,[4]在职!$A:$G,7,0)</f>
        <v>湖北1部</v>
      </c>
      <c r="E1103" s="46" t="str">
        <f>VLOOKUP(F1103,[4]在职!$A:$M,13,0)</f>
        <v>秦娅玲</v>
      </c>
      <c r="F1103" s="46" t="s">
        <v>1030</v>
      </c>
      <c r="G1103" s="46" t="str">
        <f>VLOOKUP(F1103,[4]在职!$A:$B,2,0)</f>
        <v>01187</v>
      </c>
      <c r="H1103" s="46" t="str">
        <f>VLOOKUP(F1103,[4]在职!$A:$I,9,0)</f>
        <v>二星销售顾问</v>
      </c>
      <c r="I1103" s="46" t="s">
        <v>915</v>
      </c>
      <c r="J1103" s="83">
        <v>46093</v>
      </c>
      <c r="K1103" s="46" t="s">
        <v>1080</v>
      </c>
      <c r="L1103" s="83" t="s">
        <v>27</v>
      </c>
    </row>
    <row r="1104" ht="16.5" spans="1:12">
      <c r="A1104" s="46">
        <v>1102</v>
      </c>
      <c r="B1104" s="46" t="s">
        <v>45</v>
      </c>
      <c r="C1104" s="46" t="str">
        <f>VLOOKUP(F1104,[4]在职!$A:$E,5,0)</f>
        <v>河南</v>
      </c>
      <c r="D1104" s="46" t="str">
        <f>VLOOKUP(F1104,[4]在职!$A:$G,7,0)</f>
        <v>河南销售部</v>
      </c>
      <c r="E1104" s="46" t="str">
        <f>VLOOKUP(F1104,[4]在职!$A:$M,13,0)</f>
        <v>任枭月</v>
      </c>
      <c r="F1104" s="46" t="s">
        <v>1457</v>
      </c>
      <c r="G1104" s="46" t="str">
        <f>VLOOKUP(F1104,[4]在职!$A:$B,2,0)</f>
        <v>01626</v>
      </c>
      <c r="H1104" s="46" t="str">
        <f>VLOOKUP(F1104,[4]在职!$A:$I,9,0)</f>
        <v>一星销售顾问</v>
      </c>
      <c r="I1104" s="46" t="s">
        <v>915</v>
      </c>
      <c r="J1104" s="83">
        <v>46093</v>
      </c>
      <c r="K1104" s="46" t="s">
        <v>1080</v>
      </c>
      <c r="L1104" s="83" t="s">
        <v>27</v>
      </c>
    </row>
    <row r="1105" ht="16.5" spans="1:12">
      <c r="A1105" s="46">
        <v>1103</v>
      </c>
      <c r="B1105" s="46" t="s">
        <v>45</v>
      </c>
      <c r="C1105" s="46" t="str">
        <f>VLOOKUP(F1105,[4]在职!$A:$E,5,0)</f>
        <v>湖北</v>
      </c>
      <c r="D1105" s="46" t="str">
        <f>VLOOKUP(F1105,[4]在职!$A:$G,7,0)</f>
        <v>湖北1部</v>
      </c>
      <c r="E1105" s="46" t="str">
        <f>VLOOKUP(F1105,[4]在职!$A:$M,13,0)</f>
        <v>阮阳</v>
      </c>
      <c r="F1105" s="46" t="s">
        <v>946</v>
      </c>
      <c r="G1105" s="46" t="str">
        <f>VLOOKUP(F1105,[4]在职!$A:$B,2,0)</f>
        <v>01636</v>
      </c>
      <c r="H1105" s="46" t="str">
        <f>VLOOKUP(F1105,[4]在职!$A:$I,9,0)</f>
        <v>一星销售顾问</v>
      </c>
      <c r="I1105" s="46" t="s">
        <v>915</v>
      </c>
      <c r="J1105" s="83">
        <v>46093</v>
      </c>
      <c r="K1105" s="46" t="s">
        <v>1080</v>
      </c>
      <c r="L1105" s="83" t="s">
        <v>27</v>
      </c>
    </row>
    <row r="1106" ht="16.5" spans="1:12">
      <c r="A1106" s="46">
        <v>1104</v>
      </c>
      <c r="B1106" s="46" t="s">
        <v>45</v>
      </c>
      <c r="C1106" s="46" t="str">
        <f>VLOOKUP(F1106,[4]在职!$A:$E,5,0)</f>
        <v>西南总部</v>
      </c>
      <c r="D1106" s="46" t="str">
        <f>VLOOKUP(F1106,[4]在职!$A:$G,7,0)</f>
        <v>营业六部</v>
      </c>
      <c r="E1106" s="46" t="str">
        <f>VLOOKUP(F1106,[4]在职!$A:$M,13,0)</f>
        <v>税锐</v>
      </c>
      <c r="F1106" s="46" t="s">
        <v>992</v>
      </c>
      <c r="G1106" s="46" t="str">
        <f>VLOOKUP(F1106,[4]在职!$A:$B,2,0)</f>
        <v>01398</v>
      </c>
      <c r="H1106" s="46" t="str">
        <f>VLOOKUP(F1106,[4]在职!$A:$I,9,0)</f>
        <v>二星销售顾问</v>
      </c>
      <c r="I1106" s="46" t="s">
        <v>915</v>
      </c>
      <c r="J1106" s="83">
        <v>46093</v>
      </c>
      <c r="K1106" s="46" t="s">
        <v>1080</v>
      </c>
      <c r="L1106" s="83" t="s">
        <v>27</v>
      </c>
    </row>
    <row r="1107" ht="16.5" spans="1:12">
      <c r="A1107" s="46">
        <v>1105</v>
      </c>
      <c r="B1107" s="46" t="s">
        <v>45</v>
      </c>
      <c r="C1107" s="46" t="str">
        <f>VLOOKUP(F1107,[4]在职!$A:$E,5,0)</f>
        <v>山东</v>
      </c>
      <c r="D1107" s="46" t="str">
        <f>VLOOKUP(F1107,[4]在职!$A:$G,7,0)</f>
        <v>山东销售部</v>
      </c>
      <c r="E1107" s="46" t="str">
        <f>VLOOKUP(F1107,[4]在职!$A:$M,13,0)</f>
        <v>苏晓青</v>
      </c>
      <c r="F1107" s="46" t="s">
        <v>1458</v>
      </c>
      <c r="G1107" s="46" t="str">
        <f>VLOOKUP(F1107,[4]在职!$A:$B,2,0)</f>
        <v>01692</v>
      </c>
      <c r="H1107" s="46" t="str">
        <f>VLOOKUP(F1107,[4]在职!$A:$I,9,0)</f>
        <v>一星销售顾问</v>
      </c>
      <c r="I1107" s="46" t="s">
        <v>915</v>
      </c>
      <c r="J1107" s="83">
        <v>46093</v>
      </c>
      <c r="K1107" s="46" t="s">
        <v>1080</v>
      </c>
      <c r="L1107" s="83" t="s">
        <v>27</v>
      </c>
    </row>
    <row r="1108" ht="16.5" spans="1:12">
      <c r="A1108" s="46">
        <v>1106</v>
      </c>
      <c r="B1108" s="46" t="s">
        <v>45</v>
      </c>
      <c r="C1108" s="46" t="str">
        <f>VLOOKUP(F1108,[4]在职!$A:$E,5,0)</f>
        <v>辽宁</v>
      </c>
      <c r="D1108" s="46" t="str">
        <f>VLOOKUP(F1108,[4]在职!$A:$G,7,0)</f>
        <v>辽宁销售部</v>
      </c>
      <c r="E1108" s="46" t="str">
        <f>VLOOKUP(F1108,[4]在职!$A:$M,13,0)</f>
        <v>孙科</v>
      </c>
      <c r="F1108" s="46" t="s">
        <v>998</v>
      </c>
      <c r="G1108" s="46" t="str">
        <f>VLOOKUP(F1108,[4]在职!$A:$B,2,0)</f>
        <v>01542</v>
      </c>
      <c r="H1108" s="46" t="str">
        <f>VLOOKUP(F1108,[4]在职!$A:$I,9,0)</f>
        <v>一星销售顾问</v>
      </c>
      <c r="I1108" s="46" t="s">
        <v>915</v>
      </c>
      <c r="J1108" s="83">
        <v>46093</v>
      </c>
      <c r="K1108" s="46" t="s">
        <v>1080</v>
      </c>
      <c r="L1108" s="83" t="s">
        <v>27</v>
      </c>
    </row>
    <row r="1109" ht="16.5" spans="1:12">
      <c r="A1109" s="46">
        <v>1107</v>
      </c>
      <c r="B1109" s="46" t="s">
        <v>45</v>
      </c>
      <c r="C1109" s="46" t="str">
        <f>VLOOKUP(F1109,[4]在职!$A:$E,5,0)</f>
        <v>辽宁</v>
      </c>
      <c r="D1109" s="46" t="str">
        <f>VLOOKUP(F1109,[4]在职!$A:$G,7,0)</f>
        <v>辽宁销售部</v>
      </c>
      <c r="E1109" s="46" t="str">
        <f>VLOOKUP(F1109,[4]在职!$A:$M,13,0)</f>
        <v>孙科</v>
      </c>
      <c r="F1109" s="46" t="s">
        <v>990</v>
      </c>
      <c r="G1109" s="46" t="str">
        <f>VLOOKUP(F1109,[4]在职!$A:$B,2,0)</f>
        <v>01426</v>
      </c>
      <c r="H1109" s="46" t="str">
        <f>VLOOKUP(F1109,[4]在职!$A:$I,9,0)</f>
        <v>二星销售顾问</v>
      </c>
      <c r="I1109" s="46" t="s">
        <v>915</v>
      </c>
      <c r="J1109" s="83">
        <v>46093</v>
      </c>
      <c r="K1109" s="46" t="s">
        <v>1080</v>
      </c>
      <c r="L1109" s="83" t="s">
        <v>27</v>
      </c>
    </row>
    <row r="1110" ht="16.5" spans="1:12">
      <c r="A1110" s="46">
        <v>1108</v>
      </c>
      <c r="B1110" s="46" t="s">
        <v>45</v>
      </c>
      <c r="C1110" s="46" t="str">
        <f>VLOOKUP(F1110,[4]在职!$A:$E,5,0)</f>
        <v>山东</v>
      </c>
      <c r="D1110" s="46" t="str">
        <f>VLOOKUP(F1110,[4]在职!$A:$G,7,0)</f>
        <v>山东销售部</v>
      </c>
      <c r="E1110" s="46" t="str">
        <f>VLOOKUP(F1110,[4]在职!$A:$M,13,0)</f>
        <v>王杰</v>
      </c>
      <c r="F1110" s="46" t="s">
        <v>1459</v>
      </c>
      <c r="G1110" s="46" t="str">
        <f>VLOOKUP(F1110,[4]在职!$A:$B,2,0)</f>
        <v>01664</v>
      </c>
      <c r="H1110" s="46" t="str">
        <f>VLOOKUP(F1110,[4]在职!$A:$I,9,0)</f>
        <v>一星销售顾问</v>
      </c>
      <c r="I1110" s="46" t="s">
        <v>915</v>
      </c>
      <c r="J1110" s="83">
        <v>46093</v>
      </c>
      <c r="K1110" s="46" t="s">
        <v>1080</v>
      </c>
      <c r="L1110" s="83" t="s">
        <v>27</v>
      </c>
    </row>
    <row r="1111" ht="16.5" spans="1:12">
      <c r="A1111" s="46">
        <v>1109</v>
      </c>
      <c r="B1111" s="46" t="s">
        <v>45</v>
      </c>
      <c r="C1111" s="46" t="str">
        <f>VLOOKUP(F1111,[4]在职!$A:$E,5,0)</f>
        <v>陕西</v>
      </c>
      <c r="D1111" s="46" t="str">
        <f>VLOOKUP(F1111,[4]在职!$A:$G,7,0)</f>
        <v>陕西2部</v>
      </c>
      <c r="E1111" s="46" t="str">
        <f>VLOOKUP(F1111,[4]在职!$A:$M,13,0)</f>
        <v>王天成</v>
      </c>
      <c r="F1111" s="46" t="s">
        <v>1460</v>
      </c>
      <c r="G1111" s="46" t="str">
        <f>VLOOKUP(F1111,[4]在职!$A:$B,2,0)</f>
        <v>01566</v>
      </c>
      <c r="H1111" s="46" t="str">
        <f>VLOOKUP(F1111,[4]在职!$A:$I,9,0)</f>
        <v>一星销售顾问</v>
      </c>
      <c r="I1111" s="46" t="s">
        <v>915</v>
      </c>
      <c r="J1111" s="83">
        <v>46093</v>
      </c>
      <c r="K1111" s="46" t="s">
        <v>1080</v>
      </c>
      <c r="L1111" s="83" t="s">
        <v>27</v>
      </c>
    </row>
    <row r="1112" ht="16.5" spans="1:12">
      <c r="A1112" s="46">
        <v>1110</v>
      </c>
      <c r="B1112" s="46" t="s">
        <v>45</v>
      </c>
      <c r="C1112" s="46" t="str">
        <f>VLOOKUP(F1112,[4]在职!$A:$E,5,0)</f>
        <v>西南总部</v>
      </c>
      <c r="D1112" s="46" t="str">
        <f>VLOOKUP(F1112,[4]在职!$A:$G,7,0)</f>
        <v>营业二部</v>
      </c>
      <c r="E1112" s="46" t="str">
        <f>VLOOKUP(F1112,[4]在职!$A:$M,13,0)</f>
        <v>文鹏羽</v>
      </c>
      <c r="F1112" s="46" t="s">
        <v>1227</v>
      </c>
      <c r="G1112" s="46" t="str">
        <f>VLOOKUP(F1112,[4]在职!$A:$B,2,0)</f>
        <v>01764</v>
      </c>
      <c r="H1112" s="46" t="str">
        <f>VLOOKUP(F1112,[4]在职!$A:$I,9,0)</f>
        <v>一星销售顾问</v>
      </c>
      <c r="I1112" s="46" t="s">
        <v>915</v>
      </c>
      <c r="J1112" s="83">
        <v>46093</v>
      </c>
      <c r="K1112" s="46" t="s">
        <v>1080</v>
      </c>
      <c r="L1112" s="83" t="s">
        <v>27</v>
      </c>
    </row>
    <row r="1113" ht="16.5" spans="1:12">
      <c r="A1113" s="46">
        <v>1111</v>
      </c>
      <c r="B1113" s="46" t="s">
        <v>45</v>
      </c>
      <c r="C1113" s="46" t="str">
        <f>VLOOKUP(F1113,[4]在职!$A:$E,5,0)</f>
        <v>湖南</v>
      </c>
      <c r="D1113" s="46" t="str">
        <f>VLOOKUP(F1113,[4]在职!$A:$G,7,0)</f>
        <v>湖南销售部</v>
      </c>
      <c r="E1113" s="46" t="str">
        <f>VLOOKUP(F1113,[4]在职!$A:$M,13,0)</f>
        <v>孙小龙</v>
      </c>
      <c r="F1113" s="46" t="s">
        <v>1461</v>
      </c>
      <c r="G1113" s="46" t="str">
        <f>VLOOKUP(F1113,[4]在职!$A:$B,2,0)</f>
        <v>01731</v>
      </c>
      <c r="H1113" s="46" t="str">
        <f>VLOOKUP(F1113,[4]在职!$A:$I,9,0)</f>
        <v>一星销售顾问</v>
      </c>
      <c r="I1113" s="46" t="s">
        <v>915</v>
      </c>
      <c r="J1113" s="83">
        <v>46093</v>
      </c>
      <c r="K1113" s="46" t="s">
        <v>1080</v>
      </c>
      <c r="L1113" s="83" t="s">
        <v>27</v>
      </c>
    </row>
    <row r="1114" ht="16.5" spans="1:12">
      <c r="A1114" s="46">
        <v>1112</v>
      </c>
      <c r="B1114" s="46" t="s">
        <v>45</v>
      </c>
      <c r="C1114" s="46" t="str">
        <f>VLOOKUP(F1114,[4]在职!$A:$E,5,0)</f>
        <v>山东</v>
      </c>
      <c r="D1114" s="46" t="str">
        <f>VLOOKUP(F1114,[4]在职!$A:$G,7,0)</f>
        <v>山东销售部</v>
      </c>
      <c r="E1114" s="46" t="str">
        <f>VLOOKUP(F1114,[4]在职!$A:$M,13,0)</f>
        <v>吴江平</v>
      </c>
      <c r="F1114" s="46" t="s">
        <v>1462</v>
      </c>
      <c r="G1114" s="46" t="str">
        <f>VLOOKUP(F1114,[4]在职!$A:$B,2,0)</f>
        <v>01561</v>
      </c>
      <c r="H1114" s="46" t="str">
        <f>VLOOKUP(F1114,[4]在职!$A:$I,9,0)</f>
        <v>一星销售顾问</v>
      </c>
      <c r="I1114" s="46" t="s">
        <v>915</v>
      </c>
      <c r="J1114" s="83">
        <v>46093</v>
      </c>
      <c r="K1114" s="46" t="s">
        <v>1080</v>
      </c>
      <c r="L1114" s="83" t="s">
        <v>27</v>
      </c>
    </row>
    <row r="1115" ht="16.5" spans="1:12">
      <c r="A1115" s="46">
        <v>1113</v>
      </c>
      <c r="B1115" s="46" t="s">
        <v>45</v>
      </c>
      <c r="C1115" s="46" t="str">
        <f>VLOOKUP(F1115,[4]在职!$A:$E,5,0)</f>
        <v>西南总部</v>
      </c>
      <c r="D1115" s="46" t="str">
        <f>VLOOKUP(F1115,[4]在职!$A:$G,7,0)</f>
        <v>营业七部</v>
      </c>
      <c r="E1115" s="46" t="str">
        <f>VLOOKUP(F1115,[4]在职!$A:$M,13,0)</f>
        <v>谢沁霜</v>
      </c>
      <c r="F1115" s="46" t="s">
        <v>1463</v>
      </c>
      <c r="G1115" s="46" t="str">
        <f>VLOOKUP(F1115,[4]在职!$A:$B,2,0)</f>
        <v>01455</v>
      </c>
      <c r="H1115" s="46" t="str">
        <f>VLOOKUP(F1115,[4]在职!$A:$I,9,0)</f>
        <v>一星销售顾问</v>
      </c>
      <c r="I1115" s="46" t="s">
        <v>915</v>
      </c>
      <c r="J1115" s="83">
        <v>46093</v>
      </c>
      <c r="K1115" s="46" t="s">
        <v>1080</v>
      </c>
      <c r="L1115" s="83" t="s">
        <v>27</v>
      </c>
    </row>
    <row r="1116" ht="16.5" spans="1:12">
      <c r="A1116" s="46">
        <v>1114</v>
      </c>
      <c r="B1116" s="46" t="s">
        <v>45</v>
      </c>
      <c r="C1116" s="46" t="str">
        <f>VLOOKUP(F1116,[4]在职!$A:$E,5,0)</f>
        <v>湖南</v>
      </c>
      <c r="D1116" s="46" t="str">
        <f>VLOOKUP(F1116,[4]在职!$A:$G,7,0)</f>
        <v>湖南销售部</v>
      </c>
      <c r="E1116" s="46" t="str">
        <f>VLOOKUP(F1116,[4]在职!$A:$M,13,0)</f>
        <v>闫柏年</v>
      </c>
      <c r="F1116" s="46" t="s">
        <v>1464</v>
      </c>
      <c r="G1116" s="46" t="str">
        <f>VLOOKUP(F1116,[4]在职!$A:$B,2,0)</f>
        <v>01683</v>
      </c>
      <c r="H1116" s="46" t="str">
        <f>VLOOKUP(F1116,[4]在职!$A:$I,9,0)</f>
        <v>一星销售顾问</v>
      </c>
      <c r="I1116" s="46" t="s">
        <v>915</v>
      </c>
      <c r="J1116" s="83">
        <v>46093</v>
      </c>
      <c r="K1116" s="46" t="s">
        <v>1080</v>
      </c>
      <c r="L1116" s="83" t="s">
        <v>27</v>
      </c>
    </row>
    <row r="1117" ht="16.5" spans="1:12">
      <c r="A1117" s="46">
        <v>1115</v>
      </c>
      <c r="B1117" s="46" t="s">
        <v>45</v>
      </c>
      <c r="C1117" s="46" t="str">
        <f>VLOOKUP(F1117,[4]在职!$A:$E,5,0)</f>
        <v>西南总部</v>
      </c>
      <c r="D1117" s="46" t="str">
        <f>VLOOKUP(F1117,[4]在职!$A:$G,7,0)</f>
        <v>营业五部</v>
      </c>
      <c r="E1117" s="46" t="str">
        <f>VLOOKUP(F1117,[4]在职!$A:$M,13,0)</f>
        <v>杨科</v>
      </c>
      <c r="F1117" s="46" t="s">
        <v>1026</v>
      </c>
      <c r="G1117" s="46" t="str">
        <f>VLOOKUP(F1117,[4]在职!$A:$B,2,0)</f>
        <v>01587</v>
      </c>
      <c r="H1117" s="46" t="str">
        <f>VLOOKUP(F1117,[4]在职!$A:$I,9,0)</f>
        <v>二星销售顾问</v>
      </c>
      <c r="I1117" s="46" t="s">
        <v>915</v>
      </c>
      <c r="J1117" s="83">
        <v>46093</v>
      </c>
      <c r="K1117" s="46" t="s">
        <v>1080</v>
      </c>
      <c r="L1117" s="83" t="s">
        <v>27</v>
      </c>
    </row>
    <row r="1118" ht="16.5" spans="1:12">
      <c r="A1118" s="46">
        <v>1116</v>
      </c>
      <c r="B1118" s="46" t="s">
        <v>45</v>
      </c>
      <c r="C1118" s="46" t="str">
        <f>VLOOKUP(F1118,[4]在职!$A:$E,5,0)</f>
        <v>西南总部</v>
      </c>
      <c r="D1118" s="46" t="str">
        <f>VLOOKUP(F1118,[4]在职!$A:$G,7,0)</f>
        <v>营业五部</v>
      </c>
      <c r="E1118" s="46" t="str">
        <f>VLOOKUP(F1118,[4]在职!$A:$M,13,0)</f>
        <v>杨科</v>
      </c>
      <c r="F1118" s="46" t="s">
        <v>1032</v>
      </c>
      <c r="G1118" s="46" t="str">
        <f>VLOOKUP(F1118,[4]在职!$A:$B,2,0)</f>
        <v>01514</v>
      </c>
      <c r="H1118" s="46" t="str">
        <f>VLOOKUP(F1118,[4]在职!$A:$I,9,0)</f>
        <v>一星销售顾问</v>
      </c>
      <c r="I1118" s="46" t="s">
        <v>915</v>
      </c>
      <c r="J1118" s="83">
        <v>46093</v>
      </c>
      <c r="K1118" s="46" t="s">
        <v>1080</v>
      </c>
      <c r="L1118" s="83" t="s">
        <v>27</v>
      </c>
    </row>
    <row r="1119" ht="16.5" spans="1:12">
      <c r="A1119" s="46">
        <v>1117</v>
      </c>
      <c r="B1119" s="46" t="s">
        <v>45</v>
      </c>
      <c r="C1119" s="46" t="str">
        <f>VLOOKUP(F1119,[4]在职!$A:$E,5,0)</f>
        <v>西南总部</v>
      </c>
      <c r="D1119" s="46" t="str">
        <f>VLOOKUP(F1119,[4]在职!$A:$G,7,0)</f>
        <v>营业二部</v>
      </c>
      <c r="E1119" s="46" t="str">
        <f>VLOOKUP(F1119,[4]在职!$A:$M,13,0)</f>
        <v>杨芊</v>
      </c>
      <c r="F1119" s="46" t="s">
        <v>1036</v>
      </c>
      <c r="G1119" s="46" t="str">
        <f>VLOOKUP(F1119,[4]在职!$A:$B,2,0)</f>
        <v>01562</v>
      </c>
      <c r="H1119" s="46" t="str">
        <f>VLOOKUP(F1119,[4]在职!$A:$I,9,0)</f>
        <v>二星销售顾问</v>
      </c>
      <c r="I1119" s="46" t="s">
        <v>915</v>
      </c>
      <c r="J1119" s="83">
        <v>46093</v>
      </c>
      <c r="K1119" s="46" t="s">
        <v>1080</v>
      </c>
      <c r="L1119" s="83" t="s">
        <v>27</v>
      </c>
    </row>
    <row r="1120" ht="16.5" spans="1:12">
      <c r="A1120" s="46">
        <v>1118</v>
      </c>
      <c r="B1120" s="46" t="s">
        <v>45</v>
      </c>
      <c r="C1120" s="46" t="str">
        <f>VLOOKUP(F1120,[4]在职!$A:$E,5,0)</f>
        <v>陕西</v>
      </c>
      <c r="D1120" s="46" t="str">
        <f>VLOOKUP(F1120,[4]在职!$A:$G,7,0)</f>
        <v>陕西2部</v>
      </c>
      <c r="E1120" s="46" t="str">
        <f>VLOOKUP(F1120,[4]在职!$A:$M,13,0)</f>
        <v>王超2</v>
      </c>
      <c r="F1120" s="46" t="s">
        <v>1465</v>
      </c>
      <c r="G1120" s="46" t="str">
        <f>VLOOKUP(F1120,[4]在职!$A:$B,2,0)</f>
        <v>01627</v>
      </c>
      <c r="H1120" s="46" t="str">
        <f>VLOOKUP(F1120,[4]在职!$A:$I,9,0)</f>
        <v>一星销售顾问</v>
      </c>
      <c r="I1120" s="46" t="s">
        <v>915</v>
      </c>
      <c r="J1120" s="83">
        <v>46093</v>
      </c>
      <c r="K1120" s="46" t="s">
        <v>1080</v>
      </c>
      <c r="L1120" s="83" t="s">
        <v>27</v>
      </c>
    </row>
    <row r="1121" ht="16.5" spans="1:12">
      <c r="A1121" s="46">
        <v>1119</v>
      </c>
      <c r="B1121" s="46" t="s">
        <v>45</v>
      </c>
      <c r="C1121" s="46" t="str">
        <f>VLOOKUP(F1121,[4]在职!$A:$E,5,0)</f>
        <v>陕西</v>
      </c>
      <c r="D1121" s="46" t="str">
        <f>VLOOKUP(F1121,[4]在职!$A:$G,7,0)</f>
        <v>陕西1部</v>
      </c>
      <c r="E1121" s="46" t="str">
        <f>VLOOKUP(F1121,[4]在职!$A:$M,13,0)</f>
        <v>杨应</v>
      </c>
      <c r="F1121" s="46" t="s">
        <v>1466</v>
      </c>
      <c r="G1121" s="46" t="str">
        <f>VLOOKUP(F1121,[4]在职!$A:$B,2,0)</f>
        <v>01617</v>
      </c>
      <c r="H1121" s="46" t="str">
        <f>VLOOKUP(F1121,[4]在职!$A:$I,9,0)</f>
        <v>一星销售顾问</v>
      </c>
      <c r="I1121" s="46" t="s">
        <v>915</v>
      </c>
      <c r="J1121" s="83">
        <v>46093</v>
      </c>
      <c r="K1121" s="46" t="s">
        <v>1080</v>
      </c>
      <c r="L1121" s="83" t="s">
        <v>27</v>
      </c>
    </row>
    <row r="1122" ht="16.5" spans="1:12">
      <c r="A1122" s="46">
        <v>1120</v>
      </c>
      <c r="B1122" s="46" t="s">
        <v>45</v>
      </c>
      <c r="C1122" s="46" t="str">
        <f>VLOOKUP(F1122,[4]在职!$A:$E,5,0)</f>
        <v>陕西</v>
      </c>
      <c r="D1122" s="46" t="str">
        <f>VLOOKUP(F1122,[4]在职!$A:$G,7,0)</f>
        <v>陕西1部</v>
      </c>
      <c r="E1122" s="46" t="str">
        <f>VLOOKUP(F1122,[4]在职!$A:$M,13,0)</f>
        <v>杨应</v>
      </c>
      <c r="F1122" s="46" t="s">
        <v>1467</v>
      </c>
      <c r="G1122" s="46" t="str">
        <f>VLOOKUP(F1122,[4]在职!$A:$B,2,0)</f>
        <v>01489</v>
      </c>
      <c r="H1122" s="46" t="str">
        <f>VLOOKUP(F1122,[4]在职!$A:$I,9,0)</f>
        <v>一星销售顾问</v>
      </c>
      <c r="I1122" s="46" t="s">
        <v>915</v>
      </c>
      <c r="J1122" s="83">
        <v>46093</v>
      </c>
      <c r="K1122" s="46" t="s">
        <v>1080</v>
      </c>
      <c r="L1122" s="83" t="s">
        <v>27</v>
      </c>
    </row>
    <row r="1123" ht="16.5" spans="1:12">
      <c r="A1123" s="46">
        <v>1121</v>
      </c>
      <c r="B1123" s="46" t="s">
        <v>45</v>
      </c>
      <c r="C1123" s="46" t="str">
        <f>VLOOKUP(F1123,[4]在职!$A:$E,5,0)</f>
        <v>西南总部</v>
      </c>
      <c r="D1123" s="46" t="str">
        <f>VLOOKUP(F1123,[4]在职!$A:$G,7,0)</f>
        <v>营业三部</v>
      </c>
      <c r="E1123" s="46" t="str">
        <f>VLOOKUP(F1123,[4]在职!$A:$M,13,0)</f>
        <v>姚瑶</v>
      </c>
      <c r="F1123" s="46" t="s">
        <v>1044</v>
      </c>
      <c r="G1123" s="46" t="str">
        <f>VLOOKUP(F1123,[4]在职!$A:$B,2,0)</f>
        <v>01658</v>
      </c>
      <c r="H1123" s="46" t="str">
        <f>VLOOKUP(F1123,[4]在职!$A:$I,9,0)</f>
        <v>一星销售顾问</v>
      </c>
      <c r="I1123" s="46" t="s">
        <v>915</v>
      </c>
      <c r="J1123" s="83">
        <v>46093</v>
      </c>
      <c r="K1123" s="46" t="s">
        <v>1080</v>
      </c>
      <c r="L1123" s="83" t="s">
        <v>27</v>
      </c>
    </row>
    <row r="1124" ht="16.5" spans="1:12">
      <c r="A1124" s="46">
        <v>1122</v>
      </c>
      <c r="B1124" s="46" t="s">
        <v>45</v>
      </c>
      <c r="C1124" s="46" t="str">
        <f>VLOOKUP(F1124,[4]在职!$A:$E,5,0)</f>
        <v>西南总部</v>
      </c>
      <c r="D1124" s="46" t="str">
        <f>VLOOKUP(F1124,[4]在职!$A:$G,7,0)</f>
        <v>营业三部</v>
      </c>
      <c r="E1124" s="46" t="str">
        <f>VLOOKUP(F1124,[4]在职!$A:$M,13,0)</f>
        <v>姚瑶</v>
      </c>
      <c r="F1124" s="46" t="s">
        <v>1046</v>
      </c>
      <c r="G1124" s="46" t="str">
        <f>VLOOKUP(F1124,[4]在职!$A:$B,2,0)</f>
        <v>01525</v>
      </c>
      <c r="H1124" s="46" t="str">
        <f>VLOOKUP(F1124,[4]在职!$A:$I,9,0)</f>
        <v>一星销售顾问</v>
      </c>
      <c r="I1124" s="46" t="s">
        <v>915</v>
      </c>
      <c r="J1124" s="83">
        <v>46093</v>
      </c>
      <c r="K1124" s="46" t="s">
        <v>1080</v>
      </c>
      <c r="L1124" s="83" t="s">
        <v>27</v>
      </c>
    </row>
    <row r="1125" ht="16.5" spans="1:12">
      <c r="A1125" s="46">
        <v>1123</v>
      </c>
      <c r="B1125" s="46" t="s">
        <v>45</v>
      </c>
      <c r="C1125" s="46" t="str">
        <f>VLOOKUP(F1125,[4]在职!$A:$E,5,0)</f>
        <v>西南总部</v>
      </c>
      <c r="D1125" s="46" t="str">
        <f>VLOOKUP(F1125,[4]在职!$A:$G,7,0)</f>
        <v>营业五部</v>
      </c>
      <c r="E1125" s="46" t="str">
        <f>VLOOKUP(F1125,[4]在职!$A:$M,13,0)</f>
        <v>尹稳</v>
      </c>
      <c r="F1125" s="46" t="s">
        <v>1468</v>
      </c>
      <c r="G1125" s="46" t="str">
        <f>VLOOKUP(F1125,[4]在职!$A:$B,2,0)</f>
        <v>01709</v>
      </c>
      <c r="H1125" s="46" t="str">
        <f>VLOOKUP(F1125,[4]在职!$A:$I,9,0)</f>
        <v>一星销售顾问</v>
      </c>
      <c r="I1125" s="46" t="s">
        <v>915</v>
      </c>
      <c r="J1125" s="83">
        <v>46093</v>
      </c>
      <c r="K1125" s="46" t="s">
        <v>1080</v>
      </c>
      <c r="L1125" s="83" t="s">
        <v>27</v>
      </c>
    </row>
    <row r="1126" ht="16.5" spans="1:12">
      <c r="A1126" s="46">
        <v>1124</v>
      </c>
      <c r="B1126" s="46" t="s">
        <v>45</v>
      </c>
      <c r="C1126" s="46" t="str">
        <f>VLOOKUP(F1126,[4]在职!$A:$E,5,0)</f>
        <v>西南总部</v>
      </c>
      <c r="D1126" s="46" t="str">
        <f>VLOOKUP(F1126,[4]在职!$A:$G,7,0)</f>
        <v>营业五部</v>
      </c>
      <c r="E1126" s="46" t="str">
        <f>VLOOKUP(F1126,[4]在职!$A:$M,13,0)</f>
        <v>尹稳</v>
      </c>
      <c r="F1126" s="46" t="s">
        <v>1469</v>
      </c>
      <c r="G1126" s="46" t="str">
        <f>VLOOKUP(F1126,[4]在职!$A:$B,2,0)</f>
        <v>01703</v>
      </c>
      <c r="H1126" s="46" t="str">
        <f>VLOOKUP(F1126,[4]在职!$A:$I,9,0)</f>
        <v>一星销售顾问</v>
      </c>
      <c r="I1126" s="46" t="s">
        <v>915</v>
      </c>
      <c r="J1126" s="83">
        <v>46093</v>
      </c>
      <c r="K1126" s="46" t="s">
        <v>1080</v>
      </c>
      <c r="L1126" s="83" t="s">
        <v>27</v>
      </c>
    </row>
    <row r="1127" ht="16.5" spans="1:12">
      <c r="A1127" s="46">
        <v>1125</v>
      </c>
      <c r="B1127" s="46" t="s">
        <v>45</v>
      </c>
      <c r="C1127" s="46" t="str">
        <f>VLOOKUP(F1127,[4]在职!$A:$E,5,0)</f>
        <v>西南总部</v>
      </c>
      <c r="D1127" s="46" t="str">
        <f>VLOOKUP(F1127,[4]在职!$A:$G,7,0)</f>
        <v>营业三部</v>
      </c>
      <c r="E1127" s="46" t="str">
        <f>VLOOKUP(F1127,[4]在职!$A:$M,13,0)</f>
        <v>陶再阳</v>
      </c>
      <c r="F1127" s="46" t="s">
        <v>1470</v>
      </c>
      <c r="G1127" s="46" t="str">
        <f>VLOOKUP(F1127,[4]在职!$A:$B,2,0)</f>
        <v>01667</v>
      </c>
      <c r="H1127" s="46" t="str">
        <f>VLOOKUP(F1127,[4]在职!$A:$I,9,0)</f>
        <v>一星销售顾问</v>
      </c>
      <c r="I1127" s="46" t="s">
        <v>915</v>
      </c>
      <c r="J1127" s="83">
        <v>46093</v>
      </c>
      <c r="K1127" s="46" t="s">
        <v>1080</v>
      </c>
      <c r="L1127" s="83" t="s">
        <v>27</v>
      </c>
    </row>
    <row r="1128" ht="16.5" spans="1:12">
      <c r="A1128" s="46">
        <v>1126</v>
      </c>
      <c r="B1128" s="46" t="s">
        <v>45</v>
      </c>
      <c r="C1128" s="46" t="str">
        <f>VLOOKUP(F1128,[4]在职!$A:$E,5,0)</f>
        <v>西南总部</v>
      </c>
      <c r="D1128" s="46" t="str">
        <f>VLOOKUP(F1128,[4]在职!$A:$G,7,0)</f>
        <v>营业五部</v>
      </c>
      <c r="E1128" s="46" t="str">
        <f>VLOOKUP(F1128,[4]在职!$A:$M,13,0)</f>
        <v>尹稳</v>
      </c>
      <c r="F1128" s="46" t="s">
        <v>1048</v>
      </c>
      <c r="G1128" s="46" t="str">
        <f>VLOOKUP(F1128,[4]在职!$A:$B,2,0)</f>
        <v>01669</v>
      </c>
      <c r="H1128" s="46" t="str">
        <f>VLOOKUP(F1128,[4]在职!$A:$I,9,0)</f>
        <v>一星销售顾问</v>
      </c>
      <c r="I1128" s="46" t="s">
        <v>915</v>
      </c>
      <c r="J1128" s="83">
        <v>46093</v>
      </c>
      <c r="K1128" s="46" t="s">
        <v>1080</v>
      </c>
      <c r="L1128" s="83" t="s">
        <v>27</v>
      </c>
    </row>
    <row r="1129" ht="16.5" spans="1:12">
      <c r="A1129" s="46">
        <v>1127</v>
      </c>
      <c r="B1129" s="46" t="s">
        <v>45</v>
      </c>
      <c r="C1129" s="46" t="str">
        <f>VLOOKUP(F1129,[4]在职!$A:$E,5,0)</f>
        <v>西南总部</v>
      </c>
      <c r="D1129" s="46" t="str">
        <f>VLOOKUP(F1129,[4]在职!$A:$G,7,0)</f>
        <v>营业五部</v>
      </c>
      <c r="E1129" s="46" t="str">
        <f>VLOOKUP(F1129,[4]在职!$A:$M,13,0)</f>
        <v>尹稳</v>
      </c>
      <c r="F1129" s="46" t="s">
        <v>1052</v>
      </c>
      <c r="G1129" s="46" t="str">
        <f>VLOOKUP(F1129,[4]在职!$A:$B,2,0)</f>
        <v>01600</v>
      </c>
      <c r="H1129" s="46" t="str">
        <f>VLOOKUP(F1129,[4]在职!$A:$I,9,0)</f>
        <v>二星销售顾问</v>
      </c>
      <c r="I1129" s="46" t="s">
        <v>915</v>
      </c>
      <c r="J1129" s="83">
        <v>46093</v>
      </c>
      <c r="K1129" s="46" t="s">
        <v>1080</v>
      </c>
      <c r="L1129" s="83" t="s">
        <v>27</v>
      </c>
    </row>
    <row r="1130" ht="16.5" spans="1:12">
      <c r="A1130" s="46">
        <v>1128</v>
      </c>
      <c r="B1130" s="46" t="s">
        <v>45</v>
      </c>
      <c r="C1130" s="46" t="str">
        <f>VLOOKUP(F1130,[4]在职!$A:$E,5,0)</f>
        <v>河南</v>
      </c>
      <c r="D1130" s="46" t="str">
        <f>VLOOKUP(F1130,[4]在职!$A:$G,7,0)</f>
        <v>河南销售部</v>
      </c>
      <c r="E1130" s="46" t="str">
        <f>VLOOKUP(F1130,[4]在职!$A:$M,13,0)</f>
        <v>余金梅</v>
      </c>
      <c r="F1130" s="46" t="s">
        <v>1471</v>
      </c>
      <c r="G1130" s="46" t="str">
        <f>VLOOKUP(F1130,[4]在职!$A:$B,2,0)</f>
        <v>01545</v>
      </c>
      <c r="H1130" s="46" t="str">
        <f>VLOOKUP(F1130,[4]在职!$A:$I,9,0)</f>
        <v>一星销售顾问</v>
      </c>
      <c r="I1130" s="46" t="s">
        <v>915</v>
      </c>
      <c r="J1130" s="83">
        <v>46093</v>
      </c>
      <c r="K1130" s="46" t="s">
        <v>1080</v>
      </c>
      <c r="L1130" s="83" t="s">
        <v>27</v>
      </c>
    </row>
    <row r="1131" ht="16.5" spans="1:12">
      <c r="A1131" s="46">
        <v>1129</v>
      </c>
      <c r="B1131" s="46" t="s">
        <v>45</v>
      </c>
      <c r="C1131" s="46" t="str">
        <f>VLOOKUP(F1131,[4]在职!$A:$E,5,0)</f>
        <v>西南总部</v>
      </c>
      <c r="D1131" s="46" t="str">
        <f>VLOOKUP(F1131,[4]在职!$A:$G,7,0)</f>
        <v>营业七部</v>
      </c>
      <c r="E1131" s="46" t="str">
        <f>VLOOKUP(F1131,[4]在职!$A:$M,13,0)</f>
        <v>张家涛</v>
      </c>
      <c r="F1131" s="46" t="s">
        <v>1058</v>
      </c>
      <c r="G1131" s="46" t="str">
        <f>VLOOKUP(F1131,[4]在职!$A:$B,2,0)</f>
        <v>01581</v>
      </c>
      <c r="H1131" s="46" t="str">
        <f>VLOOKUP(F1131,[4]在职!$A:$I,9,0)</f>
        <v>一星销售顾问</v>
      </c>
      <c r="I1131" s="46" t="s">
        <v>915</v>
      </c>
      <c r="J1131" s="83">
        <v>46093</v>
      </c>
      <c r="K1131" s="46" t="s">
        <v>1080</v>
      </c>
      <c r="L1131" s="83" t="s">
        <v>27</v>
      </c>
    </row>
    <row r="1132" ht="16.5" spans="1:12">
      <c r="A1132" s="46">
        <v>1130</v>
      </c>
      <c r="B1132" s="46" t="s">
        <v>45</v>
      </c>
      <c r="C1132" s="46" t="str">
        <f>VLOOKUP(F1132,[4]在职!$A:$E,5,0)</f>
        <v>西南总部</v>
      </c>
      <c r="D1132" s="46" t="str">
        <f>VLOOKUP(F1132,[4]在职!$A:$G,7,0)</f>
        <v>营业三部</v>
      </c>
      <c r="E1132" s="46" t="str">
        <f>VLOOKUP(F1132,[4]在职!$A:$M,13,0)</f>
        <v>张萍</v>
      </c>
      <c r="F1132" s="46" t="s">
        <v>1472</v>
      </c>
      <c r="G1132" s="46" t="str">
        <f>VLOOKUP(F1132,[4]在职!$A:$B,2,0)</f>
        <v>01736</v>
      </c>
      <c r="H1132" s="46" t="str">
        <f>VLOOKUP(F1132,[4]在职!$A:$I,9,0)</f>
        <v>一星销售顾问</v>
      </c>
      <c r="I1132" s="46" t="s">
        <v>915</v>
      </c>
      <c r="J1132" s="83">
        <v>46093</v>
      </c>
      <c r="K1132" s="46" t="s">
        <v>1080</v>
      </c>
      <c r="L1132" s="83" t="s">
        <v>27</v>
      </c>
    </row>
    <row r="1133" ht="16.5" spans="1:12">
      <c r="A1133" s="46">
        <v>1131</v>
      </c>
      <c r="B1133" s="46" t="s">
        <v>45</v>
      </c>
      <c r="C1133" s="46" t="str">
        <f>VLOOKUP(F1133,[4]在职!$A:$E,5,0)</f>
        <v>西南总部</v>
      </c>
      <c r="D1133" s="46" t="str">
        <f>VLOOKUP(F1133,[4]在职!$A:$G,7,0)</f>
        <v>营业一部</v>
      </c>
      <c r="E1133" s="46" t="str">
        <f>VLOOKUP(F1133,[4]在职!$A:$M,13,0)</f>
        <v>张圣梁</v>
      </c>
      <c r="F1133" s="46" t="s">
        <v>1473</v>
      </c>
      <c r="G1133" s="46" t="str">
        <f>VLOOKUP(F1133,[4]在职!$A:$B,2,0)</f>
        <v>01369</v>
      </c>
      <c r="H1133" s="46" t="str">
        <f>VLOOKUP(F1133,[4]在职!$A:$I,9,0)</f>
        <v>一星销售顾问</v>
      </c>
      <c r="I1133" s="46" t="s">
        <v>915</v>
      </c>
      <c r="J1133" s="83">
        <v>46093</v>
      </c>
      <c r="K1133" s="46" t="s">
        <v>1080</v>
      </c>
      <c r="L1133" s="83" t="s">
        <v>27</v>
      </c>
    </row>
    <row r="1134" ht="16.5" spans="1:12">
      <c r="A1134" s="46">
        <v>1132</v>
      </c>
      <c r="B1134" s="46" t="s">
        <v>45</v>
      </c>
      <c r="C1134" s="46" t="str">
        <f>VLOOKUP(F1134,[4]在职!$A:$E,5,0)</f>
        <v>湖北</v>
      </c>
      <c r="D1134" s="46" t="str">
        <f>VLOOKUP(F1134,[4]在职!$A:$G,7,0)</f>
        <v>湖北1部</v>
      </c>
      <c r="E1134" s="46" t="str">
        <f>VLOOKUP(F1134,[4]在职!$A:$M,13,0)</f>
        <v>张宗铭</v>
      </c>
      <c r="F1134" s="46" t="s">
        <v>926</v>
      </c>
      <c r="G1134" s="46" t="str">
        <f>VLOOKUP(F1134,[4]在职!$A:$B,2,0)</f>
        <v>01657</v>
      </c>
      <c r="H1134" s="46" t="str">
        <f>VLOOKUP(F1134,[4]在职!$A:$I,9,0)</f>
        <v>二星销售顾问</v>
      </c>
      <c r="I1134" s="46" t="s">
        <v>915</v>
      </c>
      <c r="J1134" s="83">
        <v>46093</v>
      </c>
      <c r="K1134" s="46" t="s">
        <v>1080</v>
      </c>
      <c r="L1134" s="83" t="s">
        <v>27</v>
      </c>
    </row>
    <row r="1135" ht="16.5" spans="1:12">
      <c r="A1135" s="46">
        <v>1133</v>
      </c>
      <c r="B1135" s="46" t="s">
        <v>45</v>
      </c>
      <c r="C1135" s="46" t="str">
        <f>VLOOKUP(F1135,[4]在职!$A:$E,5,0)</f>
        <v>湖北</v>
      </c>
      <c r="D1135" s="46" t="str">
        <f>VLOOKUP(F1135,[4]在职!$A:$G,7,0)</f>
        <v>湖北1部</v>
      </c>
      <c r="E1135" s="46" t="str">
        <f>VLOOKUP(F1135,[4]在职!$A:$M,13,0)</f>
        <v>张宗铭</v>
      </c>
      <c r="F1135" s="46" t="s">
        <v>1474</v>
      </c>
      <c r="G1135" s="46" t="str">
        <f>VLOOKUP(F1135,[4]在职!$A:$B,2,0)</f>
        <v>01595</v>
      </c>
      <c r="H1135" s="46" t="str">
        <f>VLOOKUP(F1135,[4]在职!$A:$I,9,0)</f>
        <v>一星销售顾问</v>
      </c>
      <c r="I1135" s="46" t="s">
        <v>915</v>
      </c>
      <c r="J1135" s="83">
        <v>46093</v>
      </c>
      <c r="K1135" s="46" t="s">
        <v>1080</v>
      </c>
      <c r="L1135" s="83" t="s">
        <v>27</v>
      </c>
    </row>
    <row r="1136" ht="16.5" spans="1:12">
      <c r="A1136" s="46">
        <v>1134</v>
      </c>
      <c r="B1136" s="46" t="s">
        <v>45</v>
      </c>
      <c r="C1136" s="46" t="str">
        <f>VLOOKUP(F1136,[4]在职!$A:$E,5,0)</f>
        <v>山西</v>
      </c>
      <c r="D1136" s="46" t="str">
        <f>VLOOKUP(F1136,[4]在职!$A:$G,7,0)</f>
        <v>山西销售部</v>
      </c>
      <c r="E1136" s="46" t="str">
        <f>VLOOKUP(F1136,[4]在职!$A:$M,13,0)</f>
        <v>赵龙</v>
      </c>
      <c r="F1136" s="46" t="s">
        <v>1475</v>
      </c>
      <c r="G1136" s="46" t="str">
        <f>VLOOKUP(F1136,[4]在职!$A:$B,2,0)</f>
        <v>01573</v>
      </c>
      <c r="H1136" s="46" t="str">
        <f>VLOOKUP(F1136,[4]在职!$A:$I,9,0)</f>
        <v>一星销售顾问</v>
      </c>
      <c r="I1136" s="46" t="s">
        <v>915</v>
      </c>
      <c r="J1136" s="83">
        <v>46093</v>
      </c>
      <c r="K1136" s="46" t="s">
        <v>1080</v>
      </c>
      <c r="L1136" s="83" t="s">
        <v>27</v>
      </c>
    </row>
    <row r="1137" ht="16.5" spans="1:12">
      <c r="A1137" s="46">
        <v>1135</v>
      </c>
      <c r="B1137" s="46" t="s">
        <v>45</v>
      </c>
      <c r="C1137" s="46" t="str">
        <f>VLOOKUP(F1137,[4]在职!$A:$E,5,0)</f>
        <v>西南总部</v>
      </c>
      <c r="D1137" s="46" t="str">
        <f>VLOOKUP(F1137,[4]在职!$A:$G,7,0)</f>
        <v>营业六部</v>
      </c>
      <c r="E1137" s="46" t="str">
        <f>VLOOKUP(F1137,[4]在职!$A:$M,13,0)</f>
        <v>郑雄</v>
      </c>
      <c r="F1137" s="46" t="s">
        <v>1016</v>
      </c>
      <c r="G1137" s="46" t="str">
        <f>VLOOKUP(F1137,[4]在职!$A:$B,2,0)</f>
        <v>01324</v>
      </c>
      <c r="H1137" s="46" t="str">
        <f>VLOOKUP(F1137,[4]在职!$A:$I,9,0)</f>
        <v>二星销售顾问</v>
      </c>
      <c r="I1137" s="46" t="s">
        <v>915</v>
      </c>
      <c r="J1137" s="83">
        <v>46093</v>
      </c>
      <c r="K1137" s="46" t="s">
        <v>1080</v>
      </c>
      <c r="L1137" s="83" t="s">
        <v>27</v>
      </c>
    </row>
    <row r="1138" ht="16.5" spans="1:12">
      <c r="A1138" s="46">
        <v>1136</v>
      </c>
      <c r="B1138" s="46" t="s">
        <v>45</v>
      </c>
      <c r="C1138" s="46" t="str">
        <f>VLOOKUP(F1138,[4]在职!$A:$E,5,0)</f>
        <v>西南总部</v>
      </c>
      <c r="D1138" s="46" t="str">
        <f>VLOOKUP(F1138,[4]在职!$A:$G,7,0)</f>
        <v>营业一部</v>
      </c>
      <c r="E1138" s="46" t="str">
        <f>VLOOKUP(F1138,[4]在职!$A:$M,13,0)</f>
        <v>朱家艳</v>
      </c>
      <c r="F1138" s="46" t="s">
        <v>1476</v>
      </c>
      <c r="G1138" s="46" t="str">
        <f>VLOOKUP(F1138,[4]在职!$A:$B,2,0)</f>
        <v>01682</v>
      </c>
      <c r="H1138" s="46" t="str">
        <f>VLOOKUP(F1138,[4]在职!$A:$I,9,0)</f>
        <v>一星销售顾问</v>
      </c>
      <c r="I1138" s="46" t="s">
        <v>915</v>
      </c>
      <c r="J1138" s="83">
        <v>46093</v>
      </c>
      <c r="K1138" s="46" t="s">
        <v>1080</v>
      </c>
      <c r="L1138" s="83" t="s">
        <v>27</v>
      </c>
    </row>
    <row r="1139" ht="16.5" spans="1:12">
      <c r="A1139" s="46">
        <v>1137</v>
      </c>
      <c r="B1139" s="46" t="s">
        <v>45</v>
      </c>
      <c r="C1139" s="46" t="str">
        <f>VLOOKUP(F1139,[4]在职!$A:$E,5,0)</f>
        <v>山西</v>
      </c>
      <c r="D1139" s="46" t="str">
        <f>VLOOKUP(F1139,[4]在职!$A:$G,7,0)</f>
        <v>山西销售部</v>
      </c>
      <c r="E1139" s="46" t="str">
        <f>VLOOKUP(F1139,[4]在职!$A:$M,13,0)</f>
        <v>艾林</v>
      </c>
      <c r="F1139" s="46" t="s">
        <v>1434</v>
      </c>
      <c r="G1139" s="46" t="str">
        <f>VLOOKUP(F1139,[4]在职!$A:$B,2,0)</f>
        <v>01680</v>
      </c>
      <c r="H1139" s="46" t="str">
        <f>VLOOKUP(F1139,[4]在职!$A:$I,9,0)</f>
        <v>一星销售顾问</v>
      </c>
      <c r="I1139" s="46" t="s">
        <v>915</v>
      </c>
      <c r="J1139" s="83">
        <v>46093</v>
      </c>
      <c r="K1139" s="46" t="s">
        <v>1080</v>
      </c>
      <c r="L1139" s="83" t="s">
        <v>27</v>
      </c>
    </row>
    <row r="1140" ht="16.5" spans="1:12">
      <c r="A1140" s="46">
        <v>1138</v>
      </c>
      <c r="B1140" s="46" t="s">
        <v>45</v>
      </c>
      <c r="C1140" s="46" t="str">
        <f>VLOOKUP(F1140,[4]在职!$A:$E,5,0)</f>
        <v>山西</v>
      </c>
      <c r="D1140" s="46" t="str">
        <f>VLOOKUP(F1140,[4]在职!$A:$G,7,0)</f>
        <v>山西销售部</v>
      </c>
      <c r="E1140" s="46" t="str">
        <f>VLOOKUP(F1140,[4]在职!$A:$M,13,0)</f>
        <v>艾林</v>
      </c>
      <c r="F1140" s="46" t="s">
        <v>1434</v>
      </c>
      <c r="G1140" s="46" t="str">
        <f>VLOOKUP(F1140,[4]在职!$A:$B,2,0)</f>
        <v>01680</v>
      </c>
      <c r="H1140" s="46" t="str">
        <f>VLOOKUP(F1140,[4]在职!$A:$I,9,0)</f>
        <v>一星销售顾问</v>
      </c>
      <c r="I1140" s="46" t="s">
        <v>915</v>
      </c>
      <c r="J1140" s="83">
        <v>46093</v>
      </c>
      <c r="K1140" s="46" t="s">
        <v>1076</v>
      </c>
      <c r="L1140" s="83" t="s">
        <v>27</v>
      </c>
    </row>
    <row r="1141" ht="16.5" spans="1:12">
      <c r="A1141" s="46">
        <v>1139</v>
      </c>
      <c r="B1141" s="46" t="s">
        <v>45</v>
      </c>
      <c r="C1141" s="46" t="str">
        <f>VLOOKUP(F1141,[4]在职!$A:$E,5,0)</f>
        <v>山西</v>
      </c>
      <c r="D1141" s="46" t="str">
        <f>VLOOKUP(F1141,[4]在职!$A:$G,7,0)</f>
        <v>山西销售部</v>
      </c>
      <c r="E1141" s="46" t="str">
        <f>VLOOKUP(F1141,[4]在职!$A:$M,13,0)</f>
        <v>艾林</v>
      </c>
      <c r="F1141" s="46" t="s">
        <v>1435</v>
      </c>
      <c r="G1141" s="46" t="str">
        <f>VLOOKUP(F1141,[4]在职!$A:$B,2,0)</f>
        <v>01531</v>
      </c>
      <c r="H1141" s="46" t="str">
        <f>VLOOKUP(F1141,[4]在职!$A:$I,9,0)</f>
        <v>一星销售顾问</v>
      </c>
      <c r="I1141" s="46" t="s">
        <v>915</v>
      </c>
      <c r="J1141" s="83">
        <v>46093</v>
      </c>
      <c r="K1141" s="46" t="s">
        <v>1076</v>
      </c>
      <c r="L1141" s="83" t="s">
        <v>27</v>
      </c>
    </row>
    <row r="1142" ht="16.5" spans="1:12">
      <c r="A1142" s="46">
        <v>1140</v>
      </c>
      <c r="B1142" s="46" t="s">
        <v>45</v>
      </c>
      <c r="C1142" s="46" t="str">
        <f>VLOOKUP(F1142,[4]在职!$A:$E,5,0)</f>
        <v>内蒙古</v>
      </c>
      <c r="D1142" s="46" t="str">
        <f>VLOOKUP(F1142,[4]在职!$A:$G,7,0)</f>
        <v>内蒙古销售部</v>
      </c>
      <c r="E1142" s="46" t="str">
        <f>VLOOKUP(F1142,[4]在职!$A:$M,13,0)</f>
        <v>安芮</v>
      </c>
      <c r="F1142" s="46" t="s">
        <v>906</v>
      </c>
      <c r="G1142" s="46" t="str">
        <f>VLOOKUP(F1142,[4]在职!$A:$B,2,0)</f>
        <v>01011</v>
      </c>
      <c r="H1142" s="46" t="str">
        <f>VLOOKUP(F1142,[4]在职!$A:$I,9,0)</f>
        <v>一星销售顾问</v>
      </c>
      <c r="I1142" s="46" t="s">
        <v>915</v>
      </c>
      <c r="J1142" s="83">
        <v>46093</v>
      </c>
      <c r="K1142" s="46" t="s">
        <v>1076</v>
      </c>
      <c r="L1142" s="83" t="s">
        <v>27</v>
      </c>
    </row>
    <row r="1143" ht="16.5" spans="1:12">
      <c r="A1143" s="46">
        <v>1141</v>
      </c>
      <c r="B1143" s="46" t="s">
        <v>45</v>
      </c>
      <c r="C1143" s="46" t="str">
        <f>VLOOKUP(F1143,[4]在职!$A:$E,5,0)</f>
        <v>内蒙古</v>
      </c>
      <c r="D1143" s="46" t="str">
        <f>VLOOKUP(F1143,[4]在职!$A:$G,7,0)</f>
        <v>内蒙古销售部</v>
      </c>
      <c r="E1143" s="46" t="str">
        <f>VLOOKUP(F1143,[4]在职!$A:$M,13,0)</f>
        <v>安芮</v>
      </c>
      <c r="F1143" s="46" t="s">
        <v>910</v>
      </c>
      <c r="G1143" s="46" t="str">
        <f>VLOOKUP(F1143,[4]在职!$A:$B,2,0)</f>
        <v>01423</v>
      </c>
      <c r="H1143" s="46" t="str">
        <f>VLOOKUP(F1143,[4]在职!$A:$I,9,0)</f>
        <v>二星销售顾问</v>
      </c>
      <c r="I1143" s="46" t="s">
        <v>915</v>
      </c>
      <c r="J1143" s="83">
        <v>46093</v>
      </c>
      <c r="K1143" s="46" t="s">
        <v>1076</v>
      </c>
      <c r="L1143" s="83" t="s">
        <v>27</v>
      </c>
    </row>
    <row r="1144" ht="16.5" spans="1:12">
      <c r="A1144" s="46">
        <v>1142</v>
      </c>
      <c r="B1144" s="46" t="s">
        <v>45</v>
      </c>
      <c r="C1144" s="46" t="str">
        <f>VLOOKUP(F1144,[4]在职!$A:$E,5,0)</f>
        <v>内蒙古</v>
      </c>
      <c r="D1144" s="46" t="str">
        <f>VLOOKUP(F1144,[4]在职!$A:$G,7,0)</f>
        <v>内蒙古销售部</v>
      </c>
      <c r="E1144" s="46" t="str">
        <f>VLOOKUP(F1144,[4]在职!$A:$M,13,0)</f>
        <v>安芮</v>
      </c>
      <c r="F1144" s="46" t="s">
        <v>912</v>
      </c>
      <c r="G1144" s="46" t="str">
        <f>VLOOKUP(F1144,[4]在职!$A:$B,2,0)</f>
        <v>01412</v>
      </c>
      <c r="H1144" s="46" t="str">
        <f>VLOOKUP(F1144,[4]在职!$A:$I,9,0)</f>
        <v>一星销售顾问</v>
      </c>
      <c r="I1144" s="46" t="s">
        <v>915</v>
      </c>
      <c r="J1144" s="83">
        <v>46093</v>
      </c>
      <c r="K1144" s="46" t="s">
        <v>1076</v>
      </c>
      <c r="L1144" s="83" t="s">
        <v>27</v>
      </c>
    </row>
    <row r="1145" ht="16.5" spans="1:12">
      <c r="A1145" s="46">
        <v>1143</v>
      </c>
      <c r="B1145" s="46" t="s">
        <v>45</v>
      </c>
      <c r="C1145" s="46" t="str">
        <f>VLOOKUP(F1145,[4]在职!$A:$E,5,0)</f>
        <v>西南总部</v>
      </c>
      <c r="D1145" s="46" t="str">
        <f>VLOOKUP(F1145,[4]在职!$A:$G,7,0)</f>
        <v>营业一部</v>
      </c>
      <c r="E1145" s="46" t="str">
        <f>VLOOKUP(F1145,[4]在职!$A:$M,13,0)</f>
        <v>白世根</v>
      </c>
      <c r="F1145" s="46" t="s">
        <v>1436</v>
      </c>
      <c r="G1145" s="46" t="str">
        <f>VLOOKUP(F1145,[4]在职!$A:$B,2,0)</f>
        <v>01763</v>
      </c>
      <c r="H1145" s="46" t="str">
        <f>VLOOKUP(F1145,[4]在职!$A:$I,9,0)</f>
        <v>一星销售顾问</v>
      </c>
      <c r="I1145" s="46" t="s">
        <v>915</v>
      </c>
      <c r="J1145" s="83">
        <v>46093</v>
      </c>
      <c r="K1145" s="46" t="s">
        <v>1076</v>
      </c>
      <c r="L1145" s="83" t="s">
        <v>27</v>
      </c>
    </row>
    <row r="1146" ht="16.5" spans="1:12">
      <c r="A1146" s="46">
        <v>1144</v>
      </c>
      <c r="B1146" s="46" t="s">
        <v>45</v>
      </c>
      <c r="C1146" s="46" t="str">
        <f>VLOOKUP(F1146,[4]在职!$A:$E,5,0)</f>
        <v>西南总部</v>
      </c>
      <c r="D1146" s="46" t="str">
        <f>VLOOKUP(F1146,[4]在职!$A:$G,7,0)</f>
        <v>营业一部</v>
      </c>
      <c r="E1146" s="46" t="str">
        <f>VLOOKUP(F1146,[4]在职!$A:$M,13,0)</f>
        <v>白世根</v>
      </c>
      <c r="F1146" s="46" t="s">
        <v>1437</v>
      </c>
      <c r="G1146" s="46" t="str">
        <f>VLOOKUP(F1146,[4]在职!$A:$B,2,0)</f>
        <v>01753</v>
      </c>
      <c r="H1146" s="46" t="str">
        <f>VLOOKUP(F1146,[4]在职!$A:$I,9,0)</f>
        <v>一星销售顾问</v>
      </c>
      <c r="I1146" s="46" t="s">
        <v>915</v>
      </c>
      <c r="J1146" s="83">
        <v>46093</v>
      </c>
      <c r="K1146" s="46" t="s">
        <v>1076</v>
      </c>
      <c r="L1146" s="83" t="s">
        <v>27</v>
      </c>
    </row>
    <row r="1147" ht="16.5" spans="1:12">
      <c r="A1147" s="46">
        <v>1145</v>
      </c>
      <c r="B1147" s="46" t="s">
        <v>45</v>
      </c>
      <c r="C1147" s="46" t="str">
        <f>VLOOKUP(F1147,[4]在职!$A:$E,5,0)</f>
        <v>西南总部</v>
      </c>
      <c r="D1147" s="46" t="str">
        <f>VLOOKUP(F1147,[4]在职!$A:$G,7,0)</f>
        <v>营业一部</v>
      </c>
      <c r="E1147" s="46" t="str">
        <f>VLOOKUP(F1147,[4]在职!$A:$M,13,0)</f>
        <v>白世根</v>
      </c>
      <c r="F1147" s="46" t="s">
        <v>919</v>
      </c>
      <c r="G1147" s="46" t="str">
        <f>VLOOKUP(F1147,[4]在职!$A:$B,2,0)</f>
        <v>01512</v>
      </c>
      <c r="H1147" s="46" t="str">
        <f>VLOOKUP(F1147,[4]在职!$A:$I,9,0)</f>
        <v>二星销售顾问</v>
      </c>
      <c r="I1147" s="46" t="s">
        <v>915</v>
      </c>
      <c r="J1147" s="83">
        <v>46093</v>
      </c>
      <c r="K1147" s="46" t="s">
        <v>1076</v>
      </c>
      <c r="L1147" s="83" t="s">
        <v>27</v>
      </c>
    </row>
    <row r="1148" ht="16.5" spans="1:12">
      <c r="A1148" s="46">
        <v>1146</v>
      </c>
      <c r="B1148" s="46" t="s">
        <v>45</v>
      </c>
      <c r="C1148" s="46" t="str">
        <f>VLOOKUP(F1148,[4]在职!$A:$E,5,0)</f>
        <v>西南总部</v>
      </c>
      <c r="D1148" s="46" t="str">
        <f>VLOOKUP(F1148,[4]在职!$A:$G,7,0)</f>
        <v>营业七部</v>
      </c>
      <c r="E1148" s="46" t="str">
        <f>VLOOKUP(F1148,[4]在职!$A:$M,13,0)</f>
        <v>陈彪</v>
      </c>
      <c r="F1148" s="46" t="s">
        <v>1438</v>
      </c>
      <c r="G1148" s="46" t="str">
        <f>VLOOKUP(F1148,[4]在职!$A:$B,2,0)</f>
        <v>01732</v>
      </c>
      <c r="H1148" s="46" t="str">
        <f>VLOOKUP(F1148,[4]在职!$A:$I,9,0)</f>
        <v>一星销售顾问</v>
      </c>
      <c r="I1148" s="46" t="s">
        <v>915</v>
      </c>
      <c r="J1148" s="83">
        <v>46093</v>
      </c>
      <c r="K1148" s="46" t="s">
        <v>1076</v>
      </c>
      <c r="L1148" s="83" t="s">
        <v>27</v>
      </c>
    </row>
    <row r="1149" ht="16.5" spans="1:12">
      <c r="A1149" s="46">
        <v>1147</v>
      </c>
      <c r="B1149" s="46" t="s">
        <v>45</v>
      </c>
      <c r="C1149" s="46" t="str">
        <f>VLOOKUP(F1149,[4]在职!$A:$E,5,0)</f>
        <v>西南总部</v>
      </c>
      <c r="D1149" s="46" t="str">
        <f>VLOOKUP(F1149,[4]在职!$A:$G,7,0)</f>
        <v>营业七部</v>
      </c>
      <c r="E1149" s="46" t="str">
        <f>VLOOKUP(F1149,[4]在职!$A:$M,13,0)</f>
        <v>陈彪</v>
      </c>
      <c r="F1149" s="46" t="s">
        <v>922</v>
      </c>
      <c r="G1149" s="46" t="str">
        <f>VLOOKUP(F1149,[4]在职!$A:$B,2,0)</f>
        <v>01500</v>
      </c>
      <c r="H1149" s="46" t="str">
        <f>VLOOKUP(F1149,[4]在职!$A:$I,9,0)</f>
        <v>一星销售顾问</v>
      </c>
      <c r="I1149" s="46" t="s">
        <v>915</v>
      </c>
      <c r="J1149" s="83">
        <v>46093</v>
      </c>
      <c r="K1149" s="46" t="s">
        <v>1076</v>
      </c>
      <c r="L1149" s="83" t="s">
        <v>27</v>
      </c>
    </row>
    <row r="1150" ht="16.5" spans="1:12">
      <c r="A1150" s="46">
        <v>1148</v>
      </c>
      <c r="B1150" s="46" t="s">
        <v>45</v>
      </c>
      <c r="C1150" s="46" t="str">
        <f>VLOOKUP(F1150,[4]在职!$A:$E,5,0)</f>
        <v>西南总部</v>
      </c>
      <c r="D1150" s="46" t="str">
        <f>VLOOKUP(F1150,[4]在职!$A:$G,7,0)</f>
        <v>营业四部</v>
      </c>
      <c r="E1150" s="46" t="str">
        <f>VLOOKUP(F1150,[4]在职!$A:$M,13,0)</f>
        <v>陈嘉文</v>
      </c>
      <c r="F1150" s="46" t="s">
        <v>928</v>
      </c>
      <c r="G1150" s="46" t="str">
        <f>VLOOKUP(F1150,[4]在职!$A:$B,2,0)</f>
        <v>01634</v>
      </c>
      <c r="H1150" s="46" t="str">
        <f>VLOOKUP(F1150,[4]在职!$A:$I,9,0)</f>
        <v>一星销售顾问</v>
      </c>
      <c r="I1150" s="46" t="s">
        <v>915</v>
      </c>
      <c r="J1150" s="83">
        <v>46093</v>
      </c>
      <c r="K1150" s="46" t="s">
        <v>1076</v>
      </c>
      <c r="L1150" s="83" t="s">
        <v>27</v>
      </c>
    </row>
    <row r="1151" ht="16.5" spans="1:12">
      <c r="A1151" s="46">
        <v>1149</v>
      </c>
      <c r="B1151" s="46" t="s">
        <v>45</v>
      </c>
      <c r="C1151" s="46" t="str">
        <f>VLOOKUP(F1151,[4]在职!$A:$E,5,0)</f>
        <v>西南总部</v>
      </c>
      <c r="D1151" s="46" t="str">
        <f>VLOOKUP(F1151,[4]在职!$A:$G,7,0)</f>
        <v>营业四部</v>
      </c>
      <c r="E1151" s="46" t="str">
        <f>VLOOKUP(F1151,[4]在职!$A:$M,13,0)</f>
        <v>陈嘉文</v>
      </c>
      <c r="F1151" s="46" t="s">
        <v>930</v>
      </c>
      <c r="G1151" s="46" t="str">
        <f>VLOOKUP(F1151,[4]在职!$A:$B,2,0)</f>
        <v>01488</v>
      </c>
      <c r="H1151" s="46" t="str">
        <f>VLOOKUP(F1151,[4]在职!$A:$I,9,0)</f>
        <v>二星销售顾问</v>
      </c>
      <c r="I1151" s="46" t="s">
        <v>915</v>
      </c>
      <c r="J1151" s="83">
        <v>46093</v>
      </c>
      <c r="K1151" s="46" t="s">
        <v>1076</v>
      </c>
      <c r="L1151" s="83" t="s">
        <v>27</v>
      </c>
    </row>
    <row r="1152" ht="16.5" spans="1:12">
      <c r="A1152" s="46">
        <v>1150</v>
      </c>
      <c r="B1152" s="46" t="s">
        <v>45</v>
      </c>
      <c r="C1152" s="46" t="str">
        <f>VLOOKUP(F1152,[4]在职!$A:$E,5,0)</f>
        <v>西南总部</v>
      </c>
      <c r="D1152" s="46" t="str">
        <f>VLOOKUP(F1152,[4]在职!$A:$G,7,0)</f>
        <v>营业四部</v>
      </c>
      <c r="E1152" s="46" t="str">
        <f>VLOOKUP(F1152,[4]在职!$A:$M,13,0)</f>
        <v>陈帅</v>
      </c>
      <c r="F1152" s="46" t="s">
        <v>934</v>
      </c>
      <c r="G1152" s="46" t="str">
        <f>VLOOKUP(F1152,[4]在职!$A:$B,2,0)</f>
        <v>01547</v>
      </c>
      <c r="H1152" s="46" t="str">
        <f>VLOOKUP(F1152,[4]在职!$A:$I,9,0)</f>
        <v>一星销售顾问</v>
      </c>
      <c r="I1152" s="46" t="s">
        <v>915</v>
      </c>
      <c r="J1152" s="83">
        <v>46093</v>
      </c>
      <c r="K1152" s="46" t="s">
        <v>1076</v>
      </c>
      <c r="L1152" s="83" t="s">
        <v>27</v>
      </c>
    </row>
    <row r="1153" ht="16.5" spans="1:12">
      <c r="A1153" s="46">
        <v>1151</v>
      </c>
      <c r="B1153" s="46" t="s">
        <v>45</v>
      </c>
      <c r="C1153" s="46" t="str">
        <f>VLOOKUP(F1153,[4]在职!$A:$E,5,0)</f>
        <v>西南总部</v>
      </c>
      <c r="D1153" s="46" t="str">
        <f>VLOOKUP(F1153,[4]在职!$A:$G,7,0)</f>
        <v>营业六部</v>
      </c>
      <c r="E1153" s="46" t="str">
        <f>VLOOKUP(F1153,[4]在职!$A:$M,13,0)</f>
        <v>党虹</v>
      </c>
      <c r="F1153" s="46" t="s">
        <v>1439</v>
      </c>
      <c r="G1153" s="46" t="str">
        <f>VLOOKUP(F1153,[4]在职!$A:$B,2,0)</f>
        <v>01646</v>
      </c>
      <c r="H1153" s="46" t="str">
        <f>VLOOKUP(F1153,[4]在职!$A:$I,9,0)</f>
        <v>一星销售顾问</v>
      </c>
      <c r="I1153" s="46" t="s">
        <v>915</v>
      </c>
      <c r="J1153" s="83">
        <v>46093</v>
      </c>
      <c r="K1153" s="46" t="s">
        <v>1076</v>
      </c>
      <c r="L1153" s="83" t="s">
        <v>27</v>
      </c>
    </row>
    <row r="1154" ht="16.5" spans="1:12">
      <c r="A1154" s="46">
        <v>1152</v>
      </c>
      <c r="B1154" s="46" t="s">
        <v>45</v>
      </c>
      <c r="C1154" s="46" t="str">
        <f>VLOOKUP(F1154,[4]在职!$A:$E,5,0)</f>
        <v>山西</v>
      </c>
      <c r="D1154" s="46" t="str">
        <f>VLOOKUP(F1154,[4]在职!$A:$G,7,0)</f>
        <v>山西销售部</v>
      </c>
      <c r="E1154" s="46" t="str">
        <f>VLOOKUP(F1154,[4]在职!$A:$M,13,0)</f>
        <v>邓富</v>
      </c>
      <c r="F1154" s="46" t="s">
        <v>1440</v>
      </c>
      <c r="G1154" s="46" t="str">
        <f>VLOOKUP(F1154,[4]在职!$A:$B,2,0)</f>
        <v>01824</v>
      </c>
      <c r="H1154" s="46" t="str">
        <f>VLOOKUP(F1154,[4]在职!$A:$I,9,0)</f>
        <v>一星销售顾问</v>
      </c>
      <c r="I1154" s="46" t="s">
        <v>915</v>
      </c>
      <c r="J1154" s="83">
        <v>46093</v>
      </c>
      <c r="K1154" s="46" t="s">
        <v>1076</v>
      </c>
      <c r="L1154" s="83" t="s">
        <v>27</v>
      </c>
    </row>
    <row r="1155" ht="16.5" spans="1:12">
      <c r="A1155" s="46">
        <v>1153</v>
      </c>
      <c r="B1155" s="46" t="s">
        <v>45</v>
      </c>
      <c r="C1155" s="46" t="str">
        <f>VLOOKUP(F1155,[4]在职!$A:$E,5,0)</f>
        <v>山西</v>
      </c>
      <c r="D1155" s="46" t="str">
        <f>VLOOKUP(F1155,[4]在职!$A:$G,7,0)</f>
        <v>山西销售部</v>
      </c>
      <c r="E1155" s="46" t="str">
        <f>VLOOKUP(F1155,[4]在职!$A:$M,13,0)</f>
        <v>邓富</v>
      </c>
      <c r="F1155" s="46" t="s">
        <v>1441</v>
      </c>
      <c r="G1155" s="46" t="str">
        <f>VLOOKUP(F1155,[4]在职!$A:$B,2,0)</f>
        <v>01814</v>
      </c>
      <c r="H1155" s="46" t="str">
        <f>VLOOKUP(F1155,[4]在职!$A:$I,9,0)</f>
        <v>一星销售顾问</v>
      </c>
      <c r="I1155" s="46" t="s">
        <v>915</v>
      </c>
      <c r="J1155" s="83">
        <v>46093</v>
      </c>
      <c r="K1155" s="46" t="s">
        <v>1076</v>
      </c>
      <c r="L1155" s="83" t="s">
        <v>27</v>
      </c>
    </row>
    <row r="1156" ht="16.5" spans="1:12">
      <c r="A1156" s="46">
        <v>1154</v>
      </c>
      <c r="B1156" s="46" t="s">
        <v>45</v>
      </c>
      <c r="C1156" s="46" t="str">
        <f>VLOOKUP(F1156,[4]在职!$A:$E,5,0)</f>
        <v>河南</v>
      </c>
      <c r="D1156" s="46" t="str">
        <f>VLOOKUP(F1156,[4]在职!$A:$G,7,0)</f>
        <v>河南销售部</v>
      </c>
      <c r="E1156" s="46" t="str">
        <f>VLOOKUP(F1156,[4]在职!$A:$M,13,0)</f>
        <v>杜雄</v>
      </c>
      <c r="F1156" s="46" t="s">
        <v>1442</v>
      </c>
      <c r="G1156" s="46" t="str">
        <f>VLOOKUP(F1156,[4]在职!$A:$B,2,0)</f>
        <v>01620</v>
      </c>
      <c r="H1156" s="46" t="str">
        <f>VLOOKUP(F1156,[4]在职!$A:$I,9,0)</f>
        <v>一星销售顾问</v>
      </c>
      <c r="I1156" s="46" t="s">
        <v>915</v>
      </c>
      <c r="J1156" s="83">
        <v>46093</v>
      </c>
      <c r="K1156" s="46" t="s">
        <v>1076</v>
      </c>
      <c r="L1156" s="83" t="s">
        <v>27</v>
      </c>
    </row>
    <row r="1157" ht="16.5" spans="1:12">
      <c r="A1157" s="46">
        <v>1155</v>
      </c>
      <c r="B1157" s="46" t="s">
        <v>45</v>
      </c>
      <c r="C1157" s="46" t="str">
        <f>VLOOKUP(F1157,[4]在职!$A:$E,5,0)</f>
        <v>陕西</v>
      </c>
      <c r="D1157" s="46" t="str">
        <f>VLOOKUP(F1157,[4]在职!$A:$G,7,0)</f>
        <v>陕西2部</v>
      </c>
      <c r="E1157" s="46" t="str">
        <f>VLOOKUP(F1157,[4]在职!$A:$M,13,0)</f>
        <v>冀敏</v>
      </c>
      <c r="F1157" s="46" t="s">
        <v>932</v>
      </c>
      <c r="G1157" s="46" t="str">
        <f>VLOOKUP(F1157,[4]在职!$A:$B,2,0)</f>
        <v>01654</v>
      </c>
      <c r="H1157" s="46" t="str">
        <f>VLOOKUP(F1157,[4]在职!$A:$I,9,0)</f>
        <v>一星销售顾问</v>
      </c>
      <c r="I1157" s="46" t="s">
        <v>915</v>
      </c>
      <c r="J1157" s="83">
        <v>46093</v>
      </c>
      <c r="K1157" s="46" t="s">
        <v>1076</v>
      </c>
      <c r="L1157" s="83" t="s">
        <v>27</v>
      </c>
    </row>
    <row r="1158" ht="16.5" spans="1:12">
      <c r="A1158" s="46">
        <v>1156</v>
      </c>
      <c r="B1158" s="46" t="s">
        <v>45</v>
      </c>
      <c r="C1158" s="46" t="str">
        <f>VLOOKUP(F1158,[4]在职!$A:$E,5,0)</f>
        <v>河南</v>
      </c>
      <c r="D1158" s="46" t="str">
        <f>VLOOKUP(F1158,[4]在职!$A:$G,7,0)</f>
        <v>河南销售部</v>
      </c>
      <c r="E1158" s="46" t="str">
        <f>VLOOKUP(F1158,[4]在职!$A:$M,13,0)</f>
        <v>蒋吉勇</v>
      </c>
      <c r="F1158" s="46" t="s">
        <v>962</v>
      </c>
      <c r="G1158" s="46" t="str">
        <f>VLOOKUP(F1158,[4]在职!$A:$B,2,0)</f>
        <v>01597</v>
      </c>
      <c r="H1158" s="46" t="str">
        <f>VLOOKUP(F1158,[4]在职!$A:$I,9,0)</f>
        <v>二星销售顾问</v>
      </c>
      <c r="I1158" s="46" t="s">
        <v>915</v>
      </c>
      <c r="J1158" s="83">
        <v>46093</v>
      </c>
      <c r="K1158" s="46" t="s">
        <v>1076</v>
      </c>
      <c r="L1158" s="83" t="s">
        <v>27</v>
      </c>
    </row>
    <row r="1159" ht="16.5" spans="1:12">
      <c r="A1159" s="46">
        <v>1157</v>
      </c>
      <c r="B1159" s="46" t="s">
        <v>45</v>
      </c>
      <c r="C1159" s="46" t="str">
        <f>VLOOKUP(F1159,[4]在职!$A:$E,5,0)</f>
        <v>河南</v>
      </c>
      <c r="D1159" s="46" t="str">
        <f>VLOOKUP(F1159,[4]在职!$A:$G,7,0)</f>
        <v>河南销售部</v>
      </c>
      <c r="E1159" s="46" t="str">
        <f>VLOOKUP(F1159,[4]在职!$A:$M,13,0)</f>
        <v>蒋吉勇</v>
      </c>
      <c r="F1159" s="46" t="s">
        <v>1443</v>
      </c>
      <c r="G1159" s="46" t="str">
        <f>VLOOKUP(F1159,[4]在职!$A:$B,2,0)</f>
        <v>01541</v>
      </c>
      <c r="H1159" s="46" t="str">
        <f>VLOOKUP(F1159,[4]在职!$A:$I,9,0)</f>
        <v>一星销售顾问</v>
      </c>
      <c r="I1159" s="46" t="s">
        <v>915</v>
      </c>
      <c r="J1159" s="83">
        <v>46093</v>
      </c>
      <c r="K1159" s="46" t="s">
        <v>1076</v>
      </c>
      <c r="L1159" s="83" t="s">
        <v>27</v>
      </c>
    </row>
    <row r="1160" ht="16.5" spans="1:12">
      <c r="A1160" s="46">
        <v>1158</v>
      </c>
      <c r="B1160" s="46" t="s">
        <v>45</v>
      </c>
      <c r="C1160" s="46" t="str">
        <f>VLOOKUP(F1160,[4]在职!$A:$E,5,0)</f>
        <v>河北</v>
      </c>
      <c r="D1160" s="46" t="str">
        <f>VLOOKUP(F1160,[4]在职!$A:$G,7,0)</f>
        <v>河北销售部</v>
      </c>
      <c r="E1160" s="46" t="str">
        <f>VLOOKUP(F1160,[4]在职!$A:$M,13,0)</f>
        <v>李港一</v>
      </c>
      <c r="F1160" s="46" t="s">
        <v>1444</v>
      </c>
      <c r="G1160" s="46" t="str">
        <f>VLOOKUP(F1160,[4]在职!$A:$B,2,0)</f>
        <v>01850</v>
      </c>
      <c r="H1160" s="46" t="str">
        <f>VLOOKUP(F1160,[4]在职!$A:$I,9,0)</f>
        <v>一星销售顾问</v>
      </c>
      <c r="I1160" s="46" t="s">
        <v>915</v>
      </c>
      <c r="J1160" s="83">
        <v>46093</v>
      </c>
      <c r="K1160" s="46" t="s">
        <v>1076</v>
      </c>
      <c r="L1160" s="83" t="s">
        <v>27</v>
      </c>
    </row>
    <row r="1161" ht="16.5" spans="1:12">
      <c r="A1161" s="46">
        <v>1159</v>
      </c>
      <c r="B1161" s="46" t="s">
        <v>45</v>
      </c>
      <c r="C1161" s="46" t="str">
        <f>VLOOKUP(F1161,[4]在职!$A:$E,5,0)</f>
        <v>河北</v>
      </c>
      <c r="D1161" s="46" t="str">
        <f>VLOOKUP(F1161,[4]在职!$A:$G,7,0)</f>
        <v>河北销售部</v>
      </c>
      <c r="E1161" s="46" t="str">
        <f>VLOOKUP(F1161,[4]在职!$A:$M,13,0)</f>
        <v>李港一</v>
      </c>
      <c r="F1161" s="46" t="s">
        <v>1445</v>
      </c>
      <c r="G1161" s="46" t="str">
        <f>VLOOKUP(F1161,[4]在职!$A:$B,2,0)</f>
        <v>01702</v>
      </c>
      <c r="H1161" s="46" t="str">
        <f>VLOOKUP(F1161,[4]在职!$A:$I,9,0)</f>
        <v>一星销售顾问</v>
      </c>
      <c r="I1161" s="46" t="s">
        <v>915</v>
      </c>
      <c r="J1161" s="83">
        <v>46093</v>
      </c>
      <c r="K1161" s="46" t="s">
        <v>1076</v>
      </c>
      <c r="L1161" s="83" t="s">
        <v>27</v>
      </c>
    </row>
    <row r="1162" ht="16.5" spans="1:12">
      <c r="A1162" s="46">
        <v>1160</v>
      </c>
      <c r="B1162" s="46" t="s">
        <v>45</v>
      </c>
      <c r="C1162" s="46" t="str">
        <f>VLOOKUP(F1162,[4]在职!$A:$E,5,0)</f>
        <v>西南总部</v>
      </c>
      <c r="D1162" s="46" t="str">
        <f>VLOOKUP(F1162,[4]在职!$A:$G,7,0)</f>
        <v>营业三部</v>
      </c>
      <c r="E1162" s="46" t="str">
        <f>VLOOKUP(F1162,[4]在职!$A:$M,13,0)</f>
        <v>李海艳</v>
      </c>
      <c r="F1162" s="46" t="s">
        <v>1446</v>
      </c>
      <c r="G1162" s="46" t="str">
        <f>VLOOKUP(F1162,[4]在职!$A:$B,2,0)</f>
        <v>01631</v>
      </c>
      <c r="H1162" s="46" t="str">
        <f>VLOOKUP(F1162,[4]在职!$A:$I,9,0)</f>
        <v>一星销售顾问</v>
      </c>
      <c r="I1162" s="46" t="s">
        <v>915</v>
      </c>
      <c r="J1162" s="83">
        <v>46093</v>
      </c>
      <c r="K1162" s="46" t="s">
        <v>1076</v>
      </c>
      <c r="L1162" s="83" t="s">
        <v>27</v>
      </c>
    </row>
    <row r="1163" ht="16.5" spans="1:12">
      <c r="A1163" s="46">
        <v>1161</v>
      </c>
      <c r="B1163" s="46" t="s">
        <v>45</v>
      </c>
      <c r="C1163" s="46" t="str">
        <f>VLOOKUP(F1163,[4]在职!$A:$E,5,0)</f>
        <v>西南总部</v>
      </c>
      <c r="D1163" s="46" t="str">
        <f>VLOOKUP(F1163,[4]在职!$A:$G,7,0)</f>
        <v>营业四部</v>
      </c>
      <c r="E1163" s="46" t="str">
        <f>VLOOKUP(F1163,[4]在职!$A:$M,13,0)</f>
        <v>李培金</v>
      </c>
      <c r="F1163" s="46" t="s">
        <v>1271</v>
      </c>
      <c r="G1163" s="46" t="str">
        <f>VLOOKUP(F1163,[4]在职!$A:$B,2,0)</f>
        <v>01790</v>
      </c>
      <c r="H1163" s="46" t="str">
        <f>VLOOKUP(F1163,[4]在职!$A:$I,9,0)</f>
        <v>一星销售顾问</v>
      </c>
      <c r="I1163" s="46" t="s">
        <v>915</v>
      </c>
      <c r="J1163" s="83">
        <v>46093</v>
      </c>
      <c r="K1163" s="46" t="s">
        <v>1076</v>
      </c>
      <c r="L1163" s="83" t="s">
        <v>27</v>
      </c>
    </row>
    <row r="1164" ht="16.5" spans="1:12">
      <c r="A1164" s="46">
        <v>1162</v>
      </c>
      <c r="B1164" s="46" t="s">
        <v>45</v>
      </c>
      <c r="C1164" s="46" t="str">
        <f>VLOOKUP(F1164,[4]在职!$A:$E,5,0)</f>
        <v>西南总部</v>
      </c>
      <c r="D1164" s="46" t="str">
        <f>VLOOKUP(F1164,[4]在职!$A:$G,7,0)</f>
        <v>营业四部</v>
      </c>
      <c r="E1164" s="46" t="str">
        <f>VLOOKUP(F1164,[4]在职!$A:$M,13,0)</f>
        <v>李培金</v>
      </c>
      <c r="F1164" s="46" t="s">
        <v>1273</v>
      </c>
      <c r="G1164" s="46" t="str">
        <f>VLOOKUP(F1164,[4]在职!$A:$B,2,0)</f>
        <v>01767</v>
      </c>
      <c r="H1164" s="46" t="str">
        <f>VLOOKUP(F1164,[4]在职!$A:$I,9,0)</f>
        <v>一星销售顾问</v>
      </c>
      <c r="I1164" s="46" t="s">
        <v>915</v>
      </c>
      <c r="J1164" s="83">
        <v>46093</v>
      </c>
      <c r="K1164" s="46" t="s">
        <v>1076</v>
      </c>
      <c r="L1164" s="83" t="s">
        <v>27</v>
      </c>
    </row>
    <row r="1165" ht="16.5" spans="1:12">
      <c r="A1165" s="46">
        <v>1163</v>
      </c>
      <c r="B1165" s="46" t="s">
        <v>45</v>
      </c>
      <c r="C1165" s="46" t="str">
        <f>VLOOKUP(F1165,[4]在职!$A:$E,5,0)</f>
        <v>西南总部</v>
      </c>
      <c r="D1165" s="46" t="str">
        <f>VLOOKUP(F1165,[4]在职!$A:$G,7,0)</f>
        <v>营业四部</v>
      </c>
      <c r="E1165" s="46" t="str">
        <f>VLOOKUP(F1165,[4]在职!$A:$M,13,0)</f>
        <v>李培金</v>
      </c>
      <c r="F1165" s="46" t="s">
        <v>1447</v>
      </c>
      <c r="G1165" s="46" t="str">
        <f>VLOOKUP(F1165,[4]在职!$A:$B,2,0)</f>
        <v>01735</v>
      </c>
      <c r="H1165" s="46" t="str">
        <f>VLOOKUP(F1165,[4]在职!$A:$I,9,0)</f>
        <v>一星销售顾问</v>
      </c>
      <c r="I1165" s="46" t="s">
        <v>915</v>
      </c>
      <c r="J1165" s="83">
        <v>46093</v>
      </c>
      <c r="K1165" s="46" t="s">
        <v>1076</v>
      </c>
      <c r="L1165" s="83" t="s">
        <v>27</v>
      </c>
    </row>
    <row r="1166" ht="16.5" spans="1:12">
      <c r="A1166" s="46">
        <v>1164</v>
      </c>
      <c r="B1166" s="46" t="s">
        <v>45</v>
      </c>
      <c r="C1166" s="46" t="str">
        <f>VLOOKUP(F1166,[4]在职!$A:$E,5,0)</f>
        <v>山西</v>
      </c>
      <c r="D1166" s="46" t="str">
        <f>VLOOKUP(F1166,[4]在职!$A:$G,7,0)</f>
        <v>山西销售部</v>
      </c>
      <c r="E1166" s="46" t="str">
        <f>VLOOKUP(F1166,[4]在职!$A:$M,13,0)</f>
        <v>李权益</v>
      </c>
      <c r="F1166" s="46" t="s">
        <v>1448</v>
      </c>
      <c r="G1166" s="46" t="str">
        <f>VLOOKUP(F1166,[4]在职!$A:$B,2,0)</f>
        <v>01650</v>
      </c>
      <c r="H1166" s="46" t="str">
        <f>VLOOKUP(F1166,[4]在职!$A:$I,9,0)</f>
        <v>一星销售顾问</v>
      </c>
      <c r="I1166" s="46" t="s">
        <v>915</v>
      </c>
      <c r="J1166" s="83">
        <v>46093</v>
      </c>
      <c r="K1166" s="46" t="s">
        <v>1076</v>
      </c>
      <c r="L1166" s="83" t="s">
        <v>27</v>
      </c>
    </row>
    <row r="1167" ht="16.5" spans="1:12">
      <c r="A1167" s="46">
        <v>1165</v>
      </c>
      <c r="B1167" s="46" t="s">
        <v>45</v>
      </c>
      <c r="C1167" s="46" t="str">
        <f>VLOOKUP(F1167,[4]在职!$A:$E,5,0)</f>
        <v>陕西</v>
      </c>
      <c r="D1167" s="46" t="str">
        <f>VLOOKUP(F1167,[4]在职!$A:$G,7,0)</f>
        <v>陕西2部</v>
      </c>
      <c r="E1167" s="46" t="str">
        <f>VLOOKUP(F1167,[4]在职!$A:$M,13,0)</f>
        <v>李耀</v>
      </c>
      <c r="F1167" s="46" t="s">
        <v>1449</v>
      </c>
      <c r="G1167" s="46" t="str">
        <f>VLOOKUP(F1167,[4]在职!$A:$B,2,0)</f>
        <v>00583</v>
      </c>
      <c r="H1167" s="46" t="str">
        <f>VLOOKUP(F1167,[4]在职!$A:$I,9,0)</f>
        <v>一星销售顾问</v>
      </c>
      <c r="I1167" s="46" t="s">
        <v>915</v>
      </c>
      <c r="J1167" s="83">
        <v>46093</v>
      </c>
      <c r="K1167" s="46" t="s">
        <v>1076</v>
      </c>
      <c r="L1167" s="83" t="s">
        <v>27</v>
      </c>
    </row>
    <row r="1168" ht="16.5" spans="1:12">
      <c r="A1168" s="46">
        <v>1166</v>
      </c>
      <c r="B1168" s="46" t="s">
        <v>45</v>
      </c>
      <c r="C1168" s="46" t="str">
        <f>VLOOKUP(F1168,[4]在职!$A:$E,5,0)</f>
        <v>湖北</v>
      </c>
      <c r="D1168" s="46" t="str">
        <f>VLOOKUP(F1168,[4]在职!$A:$G,7,0)</f>
        <v>湖北1部</v>
      </c>
      <c r="E1168" s="46" t="str">
        <f>VLOOKUP(F1168,[4]在职!$A:$M,13,0)</f>
        <v>秦娅玲</v>
      </c>
      <c r="F1168" s="46" t="s">
        <v>1450</v>
      </c>
      <c r="G1168" s="46" t="str">
        <f>VLOOKUP(F1168,[4]在职!$A:$B,2,0)</f>
        <v>01629</v>
      </c>
      <c r="H1168" s="46" t="str">
        <f>VLOOKUP(F1168,[4]在职!$A:$I,9,0)</f>
        <v>一星销售顾问</v>
      </c>
      <c r="I1168" s="46" t="s">
        <v>915</v>
      </c>
      <c r="J1168" s="83">
        <v>46093</v>
      </c>
      <c r="K1168" s="46" t="s">
        <v>1076</v>
      </c>
      <c r="L1168" s="83" t="s">
        <v>27</v>
      </c>
    </row>
    <row r="1169" ht="16.5" spans="1:12">
      <c r="A1169" s="46">
        <v>1167</v>
      </c>
      <c r="B1169" s="46" t="s">
        <v>45</v>
      </c>
      <c r="C1169" s="46" t="str">
        <f>VLOOKUP(F1169,[4]在职!$A:$E,5,0)</f>
        <v>湖北</v>
      </c>
      <c r="D1169" s="46" t="str">
        <f>VLOOKUP(F1169,[4]在职!$A:$G,7,0)</f>
        <v>湖北1部</v>
      </c>
      <c r="E1169" s="46" t="str">
        <f>VLOOKUP(F1169,[4]在职!$A:$M,13,0)</f>
        <v>蔺小燕</v>
      </c>
      <c r="F1169" s="46" t="s">
        <v>1006</v>
      </c>
      <c r="G1169" s="46" t="str">
        <f>VLOOKUP(F1169,[4]在职!$A:$B,2,0)</f>
        <v>01537</v>
      </c>
      <c r="H1169" s="46" t="str">
        <f>VLOOKUP(F1169,[4]在职!$A:$I,9,0)</f>
        <v>一星销售顾问</v>
      </c>
      <c r="I1169" s="46" t="s">
        <v>915</v>
      </c>
      <c r="J1169" s="83">
        <v>46093</v>
      </c>
      <c r="K1169" s="46" t="s">
        <v>1076</v>
      </c>
      <c r="L1169" s="83" t="s">
        <v>27</v>
      </c>
    </row>
    <row r="1170" ht="16.5" spans="1:12">
      <c r="A1170" s="46">
        <v>1168</v>
      </c>
      <c r="B1170" s="46" t="s">
        <v>45</v>
      </c>
      <c r="C1170" s="46" t="str">
        <f>VLOOKUP(F1170,[4]在职!$A:$E,5,0)</f>
        <v>湖北</v>
      </c>
      <c r="D1170" s="46" t="str">
        <f>VLOOKUP(F1170,[4]在职!$A:$G,7,0)</f>
        <v>湖北1部</v>
      </c>
      <c r="E1170" s="46" t="str">
        <f>VLOOKUP(F1170,[4]在职!$A:$M,13,0)</f>
        <v>蔺小燕</v>
      </c>
      <c r="F1170" s="46" t="s">
        <v>1068</v>
      </c>
      <c r="G1170" s="46" t="str">
        <f>VLOOKUP(F1170,[4]在职!$A:$B,2,0)</f>
        <v>01404</v>
      </c>
      <c r="H1170" s="46" t="str">
        <f>VLOOKUP(F1170,[4]在职!$A:$I,9,0)</f>
        <v>二星销售顾问</v>
      </c>
      <c r="I1170" s="46" t="s">
        <v>915</v>
      </c>
      <c r="J1170" s="83">
        <v>46093</v>
      </c>
      <c r="K1170" s="46" t="s">
        <v>1076</v>
      </c>
      <c r="L1170" s="83" t="s">
        <v>27</v>
      </c>
    </row>
    <row r="1171" ht="16.5" spans="1:12">
      <c r="A1171" s="46">
        <v>1169</v>
      </c>
      <c r="B1171" s="46" t="s">
        <v>45</v>
      </c>
      <c r="C1171" s="46" t="str">
        <f>VLOOKUP(F1171,[4]在职!$A:$E,5,0)</f>
        <v>山西</v>
      </c>
      <c r="D1171" s="46" t="str">
        <f>VLOOKUP(F1171,[4]在职!$A:$G,7,0)</f>
        <v>山西销售部</v>
      </c>
      <c r="E1171" s="46" t="str">
        <f>VLOOKUP(F1171,[4]在职!$A:$M,13,0)</f>
        <v>刘辉</v>
      </c>
      <c r="F1171" s="46" t="s">
        <v>1451</v>
      </c>
      <c r="G1171" s="46" t="str">
        <f>VLOOKUP(F1171,[4]在职!$A:$B,2,0)</f>
        <v>01726</v>
      </c>
      <c r="H1171" s="46" t="str">
        <f>VLOOKUP(F1171,[4]在职!$A:$I,9,0)</f>
        <v>一星销售顾问</v>
      </c>
      <c r="I1171" s="46" t="s">
        <v>915</v>
      </c>
      <c r="J1171" s="83">
        <v>46093</v>
      </c>
      <c r="K1171" s="46" t="s">
        <v>1076</v>
      </c>
      <c r="L1171" s="83" t="s">
        <v>27</v>
      </c>
    </row>
    <row r="1172" ht="16.5" spans="1:12">
      <c r="A1172" s="46">
        <v>1170</v>
      </c>
      <c r="B1172" s="46" t="s">
        <v>45</v>
      </c>
      <c r="C1172" s="46" t="str">
        <f>VLOOKUP(F1172,[4]在职!$A:$E,5,0)</f>
        <v>西南总部</v>
      </c>
      <c r="D1172" s="46" t="str">
        <f>VLOOKUP(F1172,[4]在职!$A:$G,7,0)</f>
        <v>营业七部</v>
      </c>
      <c r="E1172" s="46" t="str">
        <f>VLOOKUP(F1172,[4]在职!$A:$M,13,0)</f>
        <v>刘鹏</v>
      </c>
      <c r="F1172" s="46" t="s">
        <v>1263</v>
      </c>
      <c r="G1172" s="46" t="str">
        <f>VLOOKUP(F1172,[4]在职!$A:$B,2,0)</f>
        <v>01723</v>
      </c>
      <c r="H1172" s="46" t="str">
        <f>VLOOKUP(F1172,[4]在职!$A:$I,9,0)</f>
        <v>一星销售顾问</v>
      </c>
      <c r="I1172" s="46" t="s">
        <v>915</v>
      </c>
      <c r="J1172" s="83">
        <v>46093</v>
      </c>
      <c r="K1172" s="46" t="s">
        <v>1076</v>
      </c>
      <c r="L1172" s="83" t="s">
        <v>27</v>
      </c>
    </row>
    <row r="1173" ht="16.5" spans="1:12">
      <c r="A1173" s="46">
        <v>1171</v>
      </c>
      <c r="B1173" s="46" t="s">
        <v>45</v>
      </c>
      <c r="C1173" s="46" t="str">
        <f>VLOOKUP(F1173,[4]在职!$A:$E,5,0)</f>
        <v>西南总部</v>
      </c>
      <c r="D1173" s="46" t="str">
        <f>VLOOKUP(F1173,[4]在职!$A:$G,7,0)</f>
        <v>营业七部</v>
      </c>
      <c r="E1173" s="46" t="str">
        <f>VLOOKUP(F1173,[4]在职!$A:$M,13,0)</f>
        <v>刘鹏</v>
      </c>
      <c r="F1173" s="46" t="s">
        <v>972</v>
      </c>
      <c r="G1173" s="46" t="str">
        <f>VLOOKUP(F1173,[4]在职!$A:$B,2,0)</f>
        <v>01599</v>
      </c>
      <c r="H1173" s="46" t="str">
        <f>VLOOKUP(F1173,[4]在职!$A:$I,9,0)</f>
        <v>二星销售顾问</v>
      </c>
      <c r="I1173" s="46" t="s">
        <v>915</v>
      </c>
      <c r="J1173" s="83">
        <v>46093</v>
      </c>
      <c r="K1173" s="46" t="s">
        <v>1076</v>
      </c>
      <c r="L1173" s="83" t="s">
        <v>27</v>
      </c>
    </row>
    <row r="1174" ht="16.5" spans="1:12">
      <c r="A1174" s="46">
        <v>1172</v>
      </c>
      <c r="B1174" s="46" t="s">
        <v>45</v>
      </c>
      <c r="C1174" s="46" t="str">
        <f>VLOOKUP(F1174,[4]在职!$A:$E,5,0)</f>
        <v>西南总部</v>
      </c>
      <c r="D1174" s="46" t="str">
        <f>VLOOKUP(F1174,[4]在职!$A:$G,7,0)</f>
        <v>营业七部</v>
      </c>
      <c r="E1174" s="46" t="str">
        <f>VLOOKUP(F1174,[4]在职!$A:$M,13,0)</f>
        <v>刘鹏</v>
      </c>
      <c r="F1174" s="46" t="s">
        <v>974</v>
      </c>
      <c r="G1174" s="46" t="str">
        <f>VLOOKUP(F1174,[4]在职!$A:$B,2,0)</f>
        <v>01465</v>
      </c>
      <c r="H1174" s="46" t="str">
        <f>VLOOKUP(F1174,[4]在职!$A:$I,9,0)</f>
        <v>二星销售顾问</v>
      </c>
      <c r="I1174" s="46" t="s">
        <v>915</v>
      </c>
      <c r="J1174" s="83">
        <v>46093</v>
      </c>
      <c r="K1174" s="46" t="s">
        <v>1076</v>
      </c>
      <c r="L1174" s="83" t="s">
        <v>27</v>
      </c>
    </row>
    <row r="1175" ht="16.5" spans="1:12">
      <c r="A1175" s="46">
        <v>1173</v>
      </c>
      <c r="B1175" s="46" t="s">
        <v>45</v>
      </c>
      <c r="C1175" s="46" t="str">
        <f>VLOOKUP(F1175,[4]在职!$A:$E,5,0)</f>
        <v>陕西</v>
      </c>
      <c r="D1175" s="46" t="str">
        <f>VLOOKUP(F1175,[4]在职!$A:$G,7,0)</f>
        <v>陕西2部</v>
      </c>
      <c r="E1175" s="46" t="str">
        <f>VLOOKUP(F1175,[4]在职!$A:$M,13,0)</f>
        <v>罗小花</v>
      </c>
      <c r="F1175" s="46" t="s">
        <v>1452</v>
      </c>
      <c r="G1175" s="46" t="str">
        <f>VLOOKUP(F1175,[4]在职!$A:$B,2,0)</f>
        <v>01720</v>
      </c>
      <c r="H1175" s="46" t="str">
        <f>VLOOKUP(F1175,[4]在职!$A:$I,9,0)</f>
        <v>一星销售顾问</v>
      </c>
      <c r="I1175" s="46" t="s">
        <v>915</v>
      </c>
      <c r="J1175" s="83">
        <v>46093</v>
      </c>
      <c r="K1175" s="46" t="s">
        <v>1076</v>
      </c>
      <c r="L1175" s="83" t="s">
        <v>27</v>
      </c>
    </row>
    <row r="1176" ht="16.5" spans="1:12">
      <c r="A1176" s="46">
        <v>1174</v>
      </c>
      <c r="B1176" s="46" t="s">
        <v>45</v>
      </c>
      <c r="C1176" s="46" t="str">
        <f>VLOOKUP(F1176,[4]在职!$A:$E,5,0)</f>
        <v>湖北</v>
      </c>
      <c r="D1176" s="46" t="str">
        <f>VLOOKUP(F1176,[4]在职!$A:$G,7,0)</f>
        <v>湖北1部</v>
      </c>
      <c r="E1176" s="46" t="str">
        <f>VLOOKUP(F1176,[4]在职!$A:$M,13,0)</f>
        <v>骆志红</v>
      </c>
      <c r="F1176" s="46" t="s">
        <v>1453</v>
      </c>
      <c r="G1176" s="46" t="str">
        <f>VLOOKUP(F1176,[4]在职!$A:$B,2,0)</f>
        <v>01632</v>
      </c>
      <c r="H1176" s="46" t="str">
        <f>VLOOKUP(F1176,[4]在职!$A:$I,9,0)</f>
        <v>一星销售顾问</v>
      </c>
      <c r="I1176" s="46" t="s">
        <v>915</v>
      </c>
      <c r="J1176" s="83">
        <v>46093</v>
      </c>
      <c r="K1176" s="46" t="s">
        <v>1076</v>
      </c>
      <c r="L1176" s="83" t="s">
        <v>27</v>
      </c>
    </row>
    <row r="1177" ht="16.5" spans="1:12">
      <c r="A1177" s="46">
        <v>1175</v>
      </c>
      <c r="B1177" s="46" t="s">
        <v>45</v>
      </c>
      <c r="C1177" s="46" t="str">
        <f>VLOOKUP(F1177,[4]在职!$A:$E,5,0)</f>
        <v>河南</v>
      </c>
      <c r="D1177" s="46" t="str">
        <f>VLOOKUP(F1177,[4]在职!$A:$G,7,0)</f>
        <v>河南销售部</v>
      </c>
      <c r="E1177" s="46" t="str">
        <f>VLOOKUP(F1177,[4]在职!$A:$M,13,0)</f>
        <v>吕涛</v>
      </c>
      <c r="F1177" s="46" t="s">
        <v>1253</v>
      </c>
      <c r="G1177" s="46" t="str">
        <f>VLOOKUP(F1177,[4]在职!$A:$B,2,0)</f>
        <v>01762</v>
      </c>
      <c r="H1177" s="46" t="str">
        <f>VLOOKUP(F1177,[4]在职!$A:$I,9,0)</f>
        <v>一星销售顾问</v>
      </c>
      <c r="I1177" s="46" t="s">
        <v>915</v>
      </c>
      <c r="J1177" s="83">
        <v>46093</v>
      </c>
      <c r="K1177" s="46" t="s">
        <v>1076</v>
      </c>
      <c r="L1177" s="83" t="s">
        <v>27</v>
      </c>
    </row>
    <row r="1178" ht="16.5" spans="1:12">
      <c r="A1178" s="46">
        <v>1176</v>
      </c>
      <c r="B1178" s="46" t="s">
        <v>45</v>
      </c>
      <c r="C1178" s="46" t="str">
        <f>VLOOKUP(F1178,[4]在职!$A:$E,5,0)</f>
        <v>河南</v>
      </c>
      <c r="D1178" s="46" t="str">
        <f>VLOOKUP(F1178,[4]在职!$A:$G,7,0)</f>
        <v>河南销售部</v>
      </c>
      <c r="E1178" s="46" t="str">
        <f>VLOOKUP(F1178,[4]在职!$A:$M,13,0)</f>
        <v>吕涛</v>
      </c>
      <c r="F1178" s="46" t="s">
        <v>1255</v>
      </c>
      <c r="G1178" s="46" t="str">
        <f>VLOOKUP(F1178,[4]在职!$A:$B,2,0)</f>
        <v>01766</v>
      </c>
      <c r="H1178" s="46" t="str">
        <f>VLOOKUP(F1178,[4]在职!$A:$I,9,0)</f>
        <v>一星销售顾问</v>
      </c>
      <c r="I1178" s="46" t="s">
        <v>915</v>
      </c>
      <c r="J1178" s="83">
        <v>46093</v>
      </c>
      <c r="K1178" s="46" t="s">
        <v>1076</v>
      </c>
      <c r="L1178" s="83" t="s">
        <v>27</v>
      </c>
    </row>
    <row r="1179" ht="16.5" spans="1:12">
      <c r="A1179" s="46">
        <v>1177</v>
      </c>
      <c r="B1179" s="46" t="s">
        <v>45</v>
      </c>
      <c r="C1179" s="46" t="str">
        <f>VLOOKUP(F1179,[4]在职!$A:$E,5,0)</f>
        <v>西南总部</v>
      </c>
      <c r="D1179" s="46" t="str">
        <f>VLOOKUP(F1179,[4]在职!$A:$G,7,0)</f>
        <v>营业七部</v>
      </c>
      <c r="E1179" s="46" t="str">
        <f>VLOOKUP(F1179,[4]在职!$A:$M,13,0)</f>
        <v>彭小琴</v>
      </c>
      <c r="F1179" s="46" t="s">
        <v>1454</v>
      </c>
      <c r="G1179" s="46" t="str">
        <f>VLOOKUP(F1179,[4]在职!$A:$B,2,0)</f>
        <v>01693</v>
      </c>
      <c r="H1179" s="46" t="str">
        <f>VLOOKUP(F1179,[4]在职!$A:$I,9,0)</f>
        <v>一星销售顾问</v>
      </c>
      <c r="I1179" s="46" t="s">
        <v>915</v>
      </c>
      <c r="J1179" s="83">
        <v>46093</v>
      </c>
      <c r="K1179" s="46" t="s">
        <v>1076</v>
      </c>
      <c r="L1179" s="83" t="s">
        <v>27</v>
      </c>
    </row>
    <row r="1180" ht="16.5" spans="1:12">
      <c r="A1180" s="46">
        <v>1178</v>
      </c>
      <c r="B1180" s="46" t="s">
        <v>45</v>
      </c>
      <c r="C1180" s="46" t="str">
        <f>VLOOKUP(F1180,[4]在职!$A:$E,5,0)</f>
        <v>西南总部</v>
      </c>
      <c r="D1180" s="46" t="str">
        <f>VLOOKUP(F1180,[4]在职!$A:$G,7,0)</f>
        <v>营业七部</v>
      </c>
      <c r="E1180" s="46" t="str">
        <f>VLOOKUP(F1180,[4]在职!$A:$M,13,0)</f>
        <v>彭小琴</v>
      </c>
      <c r="F1180" s="46" t="s">
        <v>1455</v>
      </c>
      <c r="G1180" s="46" t="str">
        <f>VLOOKUP(F1180,[4]在职!$A:$B,2,0)</f>
        <v>01675</v>
      </c>
      <c r="H1180" s="46" t="str">
        <f>VLOOKUP(F1180,[4]在职!$A:$I,9,0)</f>
        <v>一星销售顾问</v>
      </c>
      <c r="I1180" s="46" t="s">
        <v>915</v>
      </c>
      <c r="J1180" s="83">
        <v>46093</v>
      </c>
      <c r="K1180" s="46" t="s">
        <v>1076</v>
      </c>
      <c r="L1180" s="83" t="s">
        <v>27</v>
      </c>
    </row>
    <row r="1181" ht="16.5" spans="1:12">
      <c r="A1181" s="46">
        <v>1179</v>
      </c>
      <c r="B1181" s="46" t="s">
        <v>45</v>
      </c>
      <c r="C1181" s="46" t="str">
        <f>VLOOKUP(F1181,[4]在职!$A:$E,5,0)</f>
        <v>湖北</v>
      </c>
      <c r="D1181" s="46" t="str">
        <f>VLOOKUP(F1181,[4]在职!$A:$G,7,0)</f>
        <v>湖北1部</v>
      </c>
      <c r="E1181" s="46" t="str">
        <f>VLOOKUP(F1181,[4]在职!$A:$M,13,0)</f>
        <v>秦娅玲</v>
      </c>
      <c r="F1181" s="46" t="s">
        <v>1456</v>
      </c>
      <c r="G1181" s="46" t="str">
        <f>VLOOKUP(F1181,[4]在职!$A:$B,2,0)</f>
        <v>01480</v>
      </c>
      <c r="H1181" s="46" t="str">
        <f>VLOOKUP(F1181,[4]在职!$A:$I,9,0)</f>
        <v>一星销售顾问</v>
      </c>
      <c r="I1181" s="46" t="s">
        <v>915</v>
      </c>
      <c r="J1181" s="83">
        <v>46093</v>
      </c>
      <c r="K1181" s="46" t="s">
        <v>1076</v>
      </c>
      <c r="L1181" s="83" t="s">
        <v>27</v>
      </c>
    </row>
    <row r="1182" ht="16.5" spans="1:12">
      <c r="A1182" s="46">
        <v>1180</v>
      </c>
      <c r="B1182" s="46" t="s">
        <v>45</v>
      </c>
      <c r="C1182" s="46" t="str">
        <f>VLOOKUP(F1182,[4]在职!$A:$E,5,0)</f>
        <v>湖北</v>
      </c>
      <c r="D1182" s="46" t="str">
        <f>VLOOKUP(F1182,[4]在职!$A:$G,7,0)</f>
        <v>湖北1部</v>
      </c>
      <c r="E1182" s="46" t="str">
        <f>VLOOKUP(F1182,[4]在职!$A:$M,13,0)</f>
        <v>秦娅玲</v>
      </c>
      <c r="F1182" s="46" t="s">
        <v>1030</v>
      </c>
      <c r="G1182" s="46" t="str">
        <f>VLOOKUP(F1182,[4]在职!$A:$B,2,0)</f>
        <v>01187</v>
      </c>
      <c r="H1182" s="46" t="str">
        <f>VLOOKUP(F1182,[4]在职!$A:$I,9,0)</f>
        <v>二星销售顾问</v>
      </c>
      <c r="I1182" s="46" t="s">
        <v>915</v>
      </c>
      <c r="J1182" s="83">
        <v>46093</v>
      </c>
      <c r="K1182" s="46" t="s">
        <v>1076</v>
      </c>
      <c r="L1182" s="83" t="s">
        <v>27</v>
      </c>
    </row>
    <row r="1183" ht="16.5" spans="1:12">
      <c r="A1183" s="46">
        <v>1181</v>
      </c>
      <c r="B1183" s="46" t="s">
        <v>45</v>
      </c>
      <c r="C1183" s="46" t="str">
        <f>VLOOKUP(F1183,[4]在职!$A:$E,5,0)</f>
        <v>河南</v>
      </c>
      <c r="D1183" s="46" t="str">
        <f>VLOOKUP(F1183,[4]在职!$A:$G,7,0)</f>
        <v>河南销售部</v>
      </c>
      <c r="E1183" s="46" t="str">
        <f>VLOOKUP(F1183,[4]在职!$A:$M,13,0)</f>
        <v>任枭月</v>
      </c>
      <c r="F1183" s="46" t="s">
        <v>1457</v>
      </c>
      <c r="G1183" s="46" t="str">
        <f>VLOOKUP(F1183,[4]在职!$A:$B,2,0)</f>
        <v>01626</v>
      </c>
      <c r="H1183" s="46" t="str">
        <f>VLOOKUP(F1183,[4]在职!$A:$I,9,0)</f>
        <v>一星销售顾问</v>
      </c>
      <c r="I1183" s="46" t="s">
        <v>915</v>
      </c>
      <c r="J1183" s="83">
        <v>46093</v>
      </c>
      <c r="K1183" s="46" t="s">
        <v>1076</v>
      </c>
      <c r="L1183" s="83" t="s">
        <v>27</v>
      </c>
    </row>
    <row r="1184" ht="16.5" spans="1:12">
      <c r="A1184" s="46">
        <v>1182</v>
      </c>
      <c r="B1184" s="46" t="s">
        <v>45</v>
      </c>
      <c r="C1184" s="46" t="str">
        <f>VLOOKUP(F1184,[4]在职!$A:$E,5,0)</f>
        <v>湖北</v>
      </c>
      <c r="D1184" s="46" t="str">
        <f>VLOOKUP(F1184,[4]在职!$A:$G,7,0)</f>
        <v>湖北1部</v>
      </c>
      <c r="E1184" s="46" t="str">
        <f>VLOOKUP(F1184,[4]在职!$A:$M,13,0)</f>
        <v>阮阳</v>
      </c>
      <c r="F1184" s="46" t="s">
        <v>946</v>
      </c>
      <c r="G1184" s="46" t="str">
        <f>VLOOKUP(F1184,[4]在职!$A:$B,2,0)</f>
        <v>01636</v>
      </c>
      <c r="H1184" s="46" t="str">
        <f>VLOOKUP(F1184,[4]在职!$A:$I,9,0)</f>
        <v>一星销售顾问</v>
      </c>
      <c r="I1184" s="46" t="s">
        <v>915</v>
      </c>
      <c r="J1184" s="83">
        <v>46093</v>
      </c>
      <c r="K1184" s="46" t="s">
        <v>1076</v>
      </c>
      <c r="L1184" s="83" t="s">
        <v>27</v>
      </c>
    </row>
    <row r="1185" ht="16.5" spans="1:12">
      <c r="A1185" s="46">
        <v>1183</v>
      </c>
      <c r="B1185" s="46" t="s">
        <v>45</v>
      </c>
      <c r="C1185" s="46" t="str">
        <f>VLOOKUP(F1185,[4]在职!$A:$E,5,0)</f>
        <v>西南总部</v>
      </c>
      <c r="D1185" s="46" t="str">
        <f>VLOOKUP(F1185,[4]在职!$A:$G,7,0)</f>
        <v>营业六部</v>
      </c>
      <c r="E1185" s="46" t="str">
        <f>VLOOKUP(F1185,[4]在职!$A:$M,13,0)</f>
        <v>税锐</v>
      </c>
      <c r="F1185" s="46" t="s">
        <v>992</v>
      </c>
      <c r="G1185" s="46" t="str">
        <f>VLOOKUP(F1185,[4]在职!$A:$B,2,0)</f>
        <v>01398</v>
      </c>
      <c r="H1185" s="46" t="str">
        <f>VLOOKUP(F1185,[4]在职!$A:$I,9,0)</f>
        <v>二星销售顾问</v>
      </c>
      <c r="I1185" s="46" t="s">
        <v>915</v>
      </c>
      <c r="J1185" s="83">
        <v>46093</v>
      </c>
      <c r="K1185" s="46" t="s">
        <v>1076</v>
      </c>
      <c r="L1185" s="83" t="s">
        <v>27</v>
      </c>
    </row>
    <row r="1186" ht="16.5" spans="1:12">
      <c r="A1186" s="46">
        <v>1184</v>
      </c>
      <c r="B1186" s="46" t="s">
        <v>45</v>
      </c>
      <c r="C1186" s="46" t="str">
        <f>VLOOKUP(F1186,[4]在职!$A:$E,5,0)</f>
        <v>山东</v>
      </c>
      <c r="D1186" s="46" t="str">
        <f>VLOOKUP(F1186,[4]在职!$A:$G,7,0)</f>
        <v>山东销售部</v>
      </c>
      <c r="E1186" s="46" t="str">
        <f>VLOOKUP(F1186,[4]在职!$A:$M,13,0)</f>
        <v>苏晓青</v>
      </c>
      <c r="F1186" s="46" t="s">
        <v>1458</v>
      </c>
      <c r="G1186" s="46" t="str">
        <f>VLOOKUP(F1186,[4]在职!$A:$B,2,0)</f>
        <v>01692</v>
      </c>
      <c r="H1186" s="46" t="str">
        <f>VLOOKUP(F1186,[4]在职!$A:$I,9,0)</f>
        <v>一星销售顾问</v>
      </c>
      <c r="I1186" s="46" t="s">
        <v>915</v>
      </c>
      <c r="J1186" s="83">
        <v>46093</v>
      </c>
      <c r="K1186" s="46" t="s">
        <v>1076</v>
      </c>
      <c r="L1186" s="83" t="s">
        <v>27</v>
      </c>
    </row>
    <row r="1187" ht="16.5" spans="1:12">
      <c r="A1187" s="46">
        <v>1185</v>
      </c>
      <c r="B1187" s="46" t="s">
        <v>45</v>
      </c>
      <c r="C1187" s="46" t="str">
        <f>VLOOKUP(F1187,[4]在职!$A:$E,5,0)</f>
        <v>辽宁</v>
      </c>
      <c r="D1187" s="46" t="str">
        <f>VLOOKUP(F1187,[4]在职!$A:$G,7,0)</f>
        <v>辽宁销售部</v>
      </c>
      <c r="E1187" s="46" t="str">
        <f>VLOOKUP(F1187,[4]在职!$A:$M,13,0)</f>
        <v>孙科</v>
      </c>
      <c r="F1187" s="46" t="s">
        <v>998</v>
      </c>
      <c r="G1187" s="46" t="str">
        <f>VLOOKUP(F1187,[4]在职!$A:$B,2,0)</f>
        <v>01542</v>
      </c>
      <c r="H1187" s="46" t="str">
        <f>VLOOKUP(F1187,[4]在职!$A:$I,9,0)</f>
        <v>一星销售顾问</v>
      </c>
      <c r="I1187" s="46" t="s">
        <v>915</v>
      </c>
      <c r="J1187" s="83">
        <v>46093</v>
      </c>
      <c r="K1187" s="46" t="s">
        <v>1076</v>
      </c>
      <c r="L1187" s="83" t="s">
        <v>27</v>
      </c>
    </row>
    <row r="1188" ht="16.5" spans="1:12">
      <c r="A1188" s="46">
        <v>1186</v>
      </c>
      <c r="B1188" s="46" t="s">
        <v>45</v>
      </c>
      <c r="C1188" s="46" t="str">
        <f>VLOOKUP(F1188,[4]在职!$A:$E,5,0)</f>
        <v>辽宁</v>
      </c>
      <c r="D1188" s="46" t="str">
        <f>VLOOKUP(F1188,[4]在职!$A:$G,7,0)</f>
        <v>辽宁销售部</v>
      </c>
      <c r="E1188" s="46" t="str">
        <f>VLOOKUP(F1188,[4]在职!$A:$M,13,0)</f>
        <v>孙科</v>
      </c>
      <c r="F1188" s="46" t="s">
        <v>990</v>
      </c>
      <c r="G1188" s="46" t="str">
        <f>VLOOKUP(F1188,[4]在职!$A:$B,2,0)</f>
        <v>01426</v>
      </c>
      <c r="H1188" s="46" t="str">
        <f>VLOOKUP(F1188,[4]在职!$A:$I,9,0)</f>
        <v>二星销售顾问</v>
      </c>
      <c r="I1188" s="46" t="s">
        <v>915</v>
      </c>
      <c r="J1188" s="83">
        <v>46093</v>
      </c>
      <c r="K1188" s="46" t="s">
        <v>1076</v>
      </c>
      <c r="L1188" s="83" t="s">
        <v>27</v>
      </c>
    </row>
    <row r="1189" ht="16.5" spans="1:12">
      <c r="A1189" s="46">
        <v>1187</v>
      </c>
      <c r="B1189" s="46" t="s">
        <v>45</v>
      </c>
      <c r="C1189" s="46" t="str">
        <f>VLOOKUP(F1189,[4]在职!$A:$E,5,0)</f>
        <v>山东</v>
      </c>
      <c r="D1189" s="46" t="str">
        <f>VLOOKUP(F1189,[4]在职!$A:$G,7,0)</f>
        <v>山东销售部</v>
      </c>
      <c r="E1189" s="46" t="str">
        <f>VLOOKUP(F1189,[4]在职!$A:$M,13,0)</f>
        <v>王杰</v>
      </c>
      <c r="F1189" s="46" t="s">
        <v>1459</v>
      </c>
      <c r="G1189" s="46" t="str">
        <f>VLOOKUP(F1189,[4]在职!$A:$B,2,0)</f>
        <v>01664</v>
      </c>
      <c r="H1189" s="46" t="str">
        <f>VLOOKUP(F1189,[4]在职!$A:$I,9,0)</f>
        <v>一星销售顾问</v>
      </c>
      <c r="I1189" s="46" t="s">
        <v>915</v>
      </c>
      <c r="J1189" s="83">
        <v>46093</v>
      </c>
      <c r="K1189" s="46" t="s">
        <v>1076</v>
      </c>
      <c r="L1189" s="83" t="s">
        <v>27</v>
      </c>
    </row>
    <row r="1190" ht="16.5" spans="1:12">
      <c r="A1190" s="46">
        <v>1188</v>
      </c>
      <c r="B1190" s="46" t="s">
        <v>45</v>
      </c>
      <c r="C1190" s="46" t="str">
        <f>VLOOKUP(F1190,[4]在职!$A:$E,5,0)</f>
        <v>陕西</v>
      </c>
      <c r="D1190" s="46" t="str">
        <f>VLOOKUP(F1190,[4]在职!$A:$G,7,0)</f>
        <v>陕西2部</v>
      </c>
      <c r="E1190" s="46" t="str">
        <f>VLOOKUP(F1190,[4]在职!$A:$M,13,0)</f>
        <v>王天成</v>
      </c>
      <c r="F1190" s="46" t="s">
        <v>1460</v>
      </c>
      <c r="G1190" s="46" t="str">
        <f>VLOOKUP(F1190,[4]在职!$A:$B,2,0)</f>
        <v>01566</v>
      </c>
      <c r="H1190" s="46" t="str">
        <f>VLOOKUP(F1190,[4]在职!$A:$I,9,0)</f>
        <v>一星销售顾问</v>
      </c>
      <c r="I1190" s="46" t="s">
        <v>915</v>
      </c>
      <c r="J1190" s="83">
        <v>46093</v>
      </c>
      <c r="K1190" s="46" t="s">
        <v>1076</v>
      </c>
      <c r="L1190" s="83" t="s">
        <v>27</v>
      </c>
    </row>
    <row r="1191" ht="16.5" spans="1:12">
      <c r="A1191" s="46">
        <v>1189</v>
      </c>
      <c r="B1191" s="46" t="s">
        <v>45</v>
      </c>
      <c r="C1191" s="46" t="str">
        <f>VLOOKUP(F1191,[4]在职!$A:$E,5,0)</f>
        <v>西南总部</v>
      </c>
      <c r="D1191" s="46" t="str">
        <f>VLOOKUP(F1191,[4]在职!$A:$G,7,0)</f>
        <v>营业二部</v>
      </c>
      <c r="E1191" s="46" t="str">
        <f>VLOOKUP(F1191,[4]在职!$A:$M,13,0)</f>
        <v>文鹏羽</v>
      </c>
      <c r="F1191" s="46" t="s">
        <v>1227</v>
      </c>
      <c r="G1191" s="46" t="str">
        <f>VLOOKUP(F1191,[4]在职!$A:$B,2,0)</f>
        <v>01764</v>
      </c>
      <c r="H1191" s="46" t="str">
        <f>VLOOKUP(F1191,[4]在职!$A:$I,9,0)</f>
        <v>一星销售顾问</v>
      </c>
      <c r="I1191" s="46" t="s">
        <v>915</v>
      </c>
      <c r="J1191" s="83">
        <v>46093</v>
      </c>
      <c r="K1191" s="46" t="s">
        <v>1076</v>
      </c>
      <c r="L1191" s="83" t="s">
        <v>27</v>
      </c>
    </row>
    <row r="1192" ht="16.5" spans="1:12">
      <c r="A1192" s="46">
        <v>1190</v>
      </c>
      <c r="B1192" s="46" t="s">
        <v>45</v>
      </c>
      <c r="C1192" s="46" t="str">
        <f>VLOOKUP(F1192,[4]在职!$A:$E,5,0)</f>
        <v>湖南</v>
      </c>
      <c r="D1192" s="46" t="str">
        <f>VLOOKUP(F1192,[4]在职!$A:$G,7,0)</f>
        <v>湖南销售部</v>
      </c>
      <c r="E1192" s="46" t="str">
        <f>VLOOKUP(F1192,[4]在职!$A:$M,13,0)</f>
        <v>孙小龙</v>
      </c>
      <c r="F1192" s="46" t="s">
        <v>1461</v>
      </c>
      <c r="G1192" s="46" t="str">
        <f>VLOOKUP(F1192,[4]在职!$A:$B,2,0)</f>
        <v>01731</v>
      </c>
      <c r="H1192" s="46" t="str">
        <f>VLOOKUP(F1192,[4]在职!$A:$I,9,0)</f>
        <v>一星销售顾问</v>
      </c>
      <c r="I1192" s="46" t="s">
        <v>915</v>
      </c>
      <c r="J1192" s="83">
        <v>46093</v>
      </c>
      <c r="K1192" s="46" t="s">
        <v>1076</v>
      </c>
      <c r="L1192" s="83" t="s">
        <v>27</v>
      </c>
    </row>
    <row r="1193" ht="16.5" spans="1:12">
      <c r="A1193" s="46">
        <v>1191</v>
      </c>
      <c r="B1193" s="46" t="s">
        <v>45</v>
      </c>
      <c r="C1193" s="46" t="str">
        <f>VLOOKUP(F1193,[4]在职!$A:$E,5,0)</f>
        <v>山东</v>
      </c>
      <c r="D1193" s="46" t="str">
        <f>VLOOKUP(F1193,[4]在职!$A:$G,7,0)</f>
        <v>山东销售部</v>
      </c>
      <c r="E1193" s="46" t="str">
        <f>VLOOKUP(F1193,[4]在职!$A:$M,13,0)</f>
        <v>吴江平</v>
      </c>
      <c r="F1193" s="46" t="s">
        <v>1462</v>
      </c>
      <c r="G1193" s="46" t="str">
        <f>VLOOKUP(F1193,[4]在职!$A:$B,2,0)</f>
        <v>01561</v>
      </c>
      <c r="H1193" s="46" t="str">
        <f>VLOOKUP(F1193,[4]在职!$A:$I,9,0)</f>
        <v>一星销售顾问</v>
      </c>
      <c r="I1193" s="46" t="s">
        <v>915</v>
      </c>
      <c r="J1193" s="83">
        <v>46093</v>
      </c>
      <c r="K1193" s="46" t="s">
        <v>1076</v>
      </c>
      <c r="L1193" s="83" t="s">
        <v>27</v>
      </c>
    </row>
    <row r="1194" ht="16.5" spans="1:12">
      <c r="A1194" s="46">
        <v>1192</v>
      </c>
      <c r="B1194" s="46" t="s">
        <v>45</v>
      </c>
      <c r="C1194" s="46" t="str">
        <f>VLOOKUP(F1194,[4]在职!$A:$E,5,0)</f>
        <v>西南总部</v>
      </c>
      <c r="D1194" s="46" t="str">
        <f>VLOOKUP(F1194,[4]在职!$A:$G,7,0)</f>
        <v>营业七部</v>
      </c>
      <c r="E1194" s="46" t="str">
        <f>VLOOKUP(F1194,[4]在职!$A:$M,13,0)</f>
        <v>谢沁霜</v>
      </c>
      <c r="F1194" s="46" t="s">
        <v>1463</v>
      </c>
      <c r="G1194" s="46" t="str">
        <f>VLOOKUP(F1194,[4]在职!$A:$B,2,0)</f>
        <v>01455</v>
      </c>
      <c r="H1194" s="46" t="str">
        <f>VLOOKUP(F1194,[4]在职!$A:$I,9,0)</f>
        <v>一星销售顾问</v>
      </c>
      <c r="I1194" s="46" t="s">
        <v>915</v>
      </c>
      <c r="J1194" s="83">
        <v>46093</v>
      </c>
      <c r="K1194" s="46" t="s">
        <v>1076</v>
      </c>
      <c r="L1194" s="83" t="s">
        <v>27</v>
      </c>
    </row>
    <row r="1195" ht="16.5" spans="1:12">
      <c r="A1195" s="46">
        <v>1193</v>
      </c>
      <c r="B1195" s="46" t="s">
        <v>45</v>
      </c>
      <c r="C1195" s="46" t="str">
        <f>VLOOKUP(F1195,[4]在职!$A:$E,5,0)</f>
        <v>湖南</v>
      </c>
      <c r="D1195" s="46" t="str">
        <f>VLOOKUP(F1195,[4]在职!$A:$G,7,0)</f>
        <v>湖南销售部</v>
      </c>
      <c r="E1195" s="46" t="str">
        <f>VLOOKUP(F1195,[4]在职!$A:$M,13,0)</f>
        <v>闫柏年</v>
      </c>
      <c r="F1195" s="46" t="s">
        <v>1464</v>
      </c>
      <c r="G1195" s="46" t="str">
        <f>VLOOKUP(F1195,[4]在职!$A:$B,2,0)</f>
        <v>01683</v>
      </c>
      <c r="H1195" s="46" t="str">
        <f>VLOOKUP(F1195,[4]在职!$A:$I,9,0)</f>
        <v>一星销售顾问</v>
      </c>
      <c r="I1195" s="46" t="s">
        <v>915</v>
      </c>
      <c r="J1195" s="83">
        <v>46093</v>
      </c>
      <c r="K1195" s="46" t="s">
        <v>1076</v>
      </c>
      <c r="L1195" s="83" t="s">
        <v>27</v>
      </c>
    </row>
    <row r="1196" ht="16.5" spans="1:12">
      <c r="A1196" s="46">
        <v>1194</v>
      </c>
      <c r="B1196" s="46" t="s">
        <v>45</v>
      </c>
      <c r="C1196" s="46" t="str">
        <f>VLOOKUP(F1196,[4]在职!$A:$E,5,0)</f>
        <v>西南总部</v>
      </c>
      <c r="D1196" s="46" t="str">
        <f>VLOOKUP(F1196,[4]在职!$A:$G,7,0)</f>
        <v>营业五部</v>
      </c>
      <c r="E1196" s="46" t="str">
        <f>VLOOKUP(F1196,[4]在职!$A:$M,13,0)</f>
        <v>杨科</v>
      </c>
      <c r="F1196" s="46" t="s">
        <v>1026</v>
      </c>
      <c r="G1196" s="46" t="str">
        <f>VLOOKUP(F1196,[4]在职!$A:$B,2,0)</f>
        <v>01587</v>
      </c>
      <c r="H1196" s="46" t="str">
        <f>VLOOKUP(F1196,[4]在职!$A:$I,9,0)</f>
        <v>二星销售顾问</v>
      </c>
      <c r="I1196" s="46" t="s">
        <v>915</v>
      </c>
      <c r="J1196" s="83">
        <v>46093</v>
      </c>
      <c r="K1196" s="46" t="s">
        <v>1076</v>
      </c>
      <c r="L1196" s="83" t="s">
        <v>27</v>
      </c>
    </row>
    <row r="1197" ht="16.5" spans="1:12">
      <c r="A1197" s="46">
        <v>1195</v>
      </c>
      <c r="B1197" s="46" t="s">
        <v>45</v>
      </c>
      <c r="C1197" s="46" t="str">
        <f>VLOOKUP(F1197,[4]在职!$A:$E,5,0)</f>
        <v>西南总部</v>
      </c>
      <c r="D1197" s="46" t="str">
        <f>VLOOKUP(F1197,[4]在职!$A:$G,7,0)</f>
        <v>营业五部</v>
      </c>
      <c r="E1197" s="46" t="str">
        <f>VLOOKUP(F1197,[4]在职!$A:$M,13,0)</f>
        <v>杨科</v>
      </c>
      <c r="F1197" s="46" t="s">
        <v>1032</v>
      </c>
      <c r="G1197" s="46" t="str">
        <f>VLOOKUP(F1197,[4]在职!$A:$B,2,0)</f>
        <v>01514</v>
      </c>
      <c r="H1197" s="46" t="str">
        <f>VLOOKUP(F1197,[4]在职!$A:$I,9,0)</f>
        <v>一星销售顾问</v>
      </c>
      <c r="I1197" s="46" t="s">
        <v>915</v>
      </c>
      <c r="J1197" s="83">
        <v>46093</v>
      </c>
      <c r="K1197" s="46" t="s">
        <v>1076</v>
      </c>
      <c r="L1197" s="83" t="s">
        <v>27</v>
      </c>
    </row>
    <row r="1198" ht="16.5" spans="1:12">
      <c r="A1198" s="46">
        <v>1196</v>
      </c>
      <c r="B1198" s="46" t="s">
        <v>45</v>
      </c>
      <c r="C1198" s="46" t="str">
        <f>VLOOKUP(F1198,[4]在职!$A:$E,5,0)</f>
        <v>西南总部</v>
      </c>
      <c r="D1198" s="46" t="str">
        <f>VLOOKUP(F1198,[4]在职!$A:$G,7,0)</f>
        <v>营业二部</v>
      </c>
      <c r="E1198" s="46" t="str">
        <f>VLOOKUP(F1198,[4]在职!$A:$M,13,0)</f>
        <v>杨芊</v>
      </c>
      <c r="F1198" s="46" t="s">
        <v>1036</v>
      </c>
      <c r="G1198" s="46" t="str">
        <f>VLOOKUP(F1198,[4]在职!$A:$B,2,0)</f>
        <v>01562</v>
      </c>
      <c r="H1198" s="46" t="str">
        <f>VLOOKUP(F1198,[4]在职!$A:$I,9,0)</f>
        <v>二星销售顾问</v>
      </c>
      <c r="I1198" s="46" t="s">
        <v>915</v>
      </c>
      <c r="J1198" s="83">
        <v>46093</v>
      </c>
      <c r="K1198" s="46" t="s">
        <v>1076</v>
      </c>
      <c r="L1198" s="83" t="s">
        <v>27</v>
      </c>
    </row>
    <row r="1199" ht="16.5" spans="1:12">
      <c r="A1199" s="46">
        <v>1197</v>
      </c>
      <c r="B1199" s="46" t="s">
        <v>45</v>
      </c>
      <c r="C1199" s="46" t="str">
        <f>VLOOKUP(F1199,[4]在职!$A:$E,5,0)</f>
        <v>陕西</v>
      </c>
      <c r="D1199" s="46" t="str">
        <f>VLOOKUP(F1199,[4]在职!$A:$G,7,0)</f>
        <v>陕西2部</v>
      </c>
      <c r="E1199" s="46" t="str">
        <f>VLOOKUP(F1199,[4]在职!$A:$M,13,0)</f>
        <v>王超2</v>
      </c>
      <c r="F1199" s="46" t="s">
        <v>1465</v>
      </c>
      <c r="G1199" s="46" t="str">
        <f>VLOOKUP(F1199,[4]在职!$A:$B,2,0)</f>
        <v>01627</v>
      </c>
      <c r="H1199" s="46" t="str">
        <f>VLOOKUP(F1199,[4]在职!$A:$I,9,0)</f>
        <v>一星销售顾问</v>
      </c>
      <c r="I1199" s="46" t="s">
        <v>915</v>
      </c>
      <c r="J1199" s="83">
        <v>46093</v>
      </c>
      <c r="K1199" s="46" t="s">
        <v>1076</v>
      </c>
      <c r="L1199" s="83" t="s">
        <v>27</v>
      </c>
    </row>
    <row r="1200" ht="16.5" spans="1:12">
      <c r="A1200" s="46">
        <v>1198</v>
      </c>
      <c r="B1200" s="46" t="s">
        <v>45</v>
      </c>
      <c r="C1200" s="46" t="str">
        <f>VLOOKUP(F1200,[4]在职!$A:$E,5,0)</f>
        <v>陕西</v>
      </c>
      <c r="D1200" s="46" t="str">
        <f>VLOOKUP(F1200,[4]在职!$A:$G,7,0)</f>
        <v>陕西1部</v>
      </c>
      <c r="E1200" s="46" t="str">
        <f>VLOOKUP(F1200,[4]在职!$A:$M,13,0)</f>
        <v>杨应</v>
      </c>
      <c r="F1200" s="46" t="s">
        <v>1466</v>
      </c>
      <c r="G1200" s="46" t="str">
        <f>VLOOKUP(F1200,[4]在职!$A:$B,2,0)</f>
        <v>01617</v>
      </c>
      <c r="H1200" s="46" t="str">
        <f>VLOOKUP(F1200,[4]在职!$A:$I,9,0)</f>
        <v>一星销售顾问</v>
      </c>
      <c r="I1200" s="46" t="s">
        <v>915</v>
      </c>
      <c r="J1200" s="83">
        <v>46093</v>
      </c>
      <c r="K1200" s="46" t="s">
        <v>1076</v>
      </c>
      <c r="L1200" s="83" t="s">
        <v>27</v>
      </c>
    </row>
    <row r="1201" ht="16.5" spans="1:12">
      <c r="A1201" s="46">
        <v>1199</v>
      </c>
      <c r="B1201" s="46" t="s">
        <v>45</v>
      </c>
      <c r="C1201" s="46" t="str">
        <f>VLOOKUP(F1201,[4]在职!$A:$E,5,0)</f>
        <v>陕西</v>
      </c>
      <c r="D1201" s="46" t="str">
        <f>VLOOKUP(F1201,[4]在职!$A:$G,7,0)</f>
        <v>陕西1部</v>
      </c>
      <c r="E1201" s="46" t="str">
        <f>VLOOKUP(F1201,[4]在职!$A:$M,13,0)</f>
        <v>杨应</v>
      </c>
      <c r="F1201" s="46" t="s">
        <v>1467</v>
      </c>
      <c r="G1201" s="46" t="str">
        <f>VLOOKUP(F1201,[4]在职!$A:$B,2,0)</f>
        <v>01489</v>
      </c>
      <c r="H1201" s="46" t="str">
        <f>VLOOKUP(F1201,[4]在职!$A:$I,9,0)</f>
        <v>一星销售顾问</v>
      </c>
      <c r="I1201" s="46" t="s">
        <v>915</v>
      </c>
      <c r="J1201" s="83">
        <v>46093</v>
      </c>
      <c r="K1201" s="46" t="s">
        <v>1076</v>
      </c>
      <c r="L1201" s="83" t="s">
        <v>27</v>
      </c>
    </row>
    <row r="1202" ht="16.5" spans="1:12">
      <c r="A1202" s="46">
        <v>1200</v>
      </c>
      <c r="B1202" s="46" t="s">
        <v>45</v>
      </c>
      <c r="C1202" s="46" t="str">
        <f>VLOOKUP(F1202,[4]在职!$A:$E,5,0)</f>
        <v>西南总部</v>
      </c>
      <c r="D1202" s="46" t="str">
        <f>VLOOKUP(F1202,[4]在职!$A:$G,7,0)</f>
        <v>营业三部</v>
      </c>
      <c r="E1202" s="46" t="str">
        <f>VLOOKUP(F1202,[4]在职!$A:$M,13,0)</f>
        <v>姚瑶</v>
      </c>
      <c r="F1202" s="46" t="s">
        <v>1044</v>
      </c>
      <c r="G1202" s="46" t="str">
        <f>VLOOKUP(F1202,[4]在职!$A:$B,2,0)</f>
        <v>01658</v>
      </c>
      <c r="H1202" s="46" t="str">
        <f>VLOOKUP(F1202,[4]在职!$A:$I,9,0)</f>
        <v>一星销售顾问</v>
      </c>
      <c r="I1202" s="46" t="s">
        <v>915</v>
      </c>
      <c r="J1202" s="83">
        <v>46093</v>
      </c>
      <c r="K1202" s="46" t="s">
        <v>1076</v>
      </c>
      <c r="L1202" s="83" t="s">
        <v>27</v>
      </c>
    </row>
    <row r="1203" ht="16.5" spans="1:12">
      <c r="A1203" s="46">
        <v>1201</v>
      </c>
      <c r="B1203" s="46" t="s">
        <v>45</v>
      </c>
      <c r="C1203" s="46" t="str">
        <f>VLOOKUP(F1203,[4]在职!$A:$E,5,0)</f>
        <v>西南总部</v>
      </c>
      <c r="D1203" s="46" t="str">
        <f>VLOOKUP(F1203,[4]在职!$A:$G,7,0)</f>
        <v>营业三部</v>
      </c>
      <c r="E1203" s="46" t="str">
        <f>VLOOKUP(F1203,[4]在职!$A:$M,13,0)</f>
        <v>姚瑶</v>
      </c>
      <c r="F1203" s="46" t="s">
        <v>1046</v>
      </c>
      <c r="G1203" s="46" t="str">
        <f>VLOOKUP(F1203,[4]在职!$A:$B,2,0)</f>
        <v>01525</v>
      </c>
      <c r="H1203" s="46" t="str">
        <f>VLOOKUP(F1203,[4]在职!$A:$I,9,0)</f>
        <v>一星销售顾问</v>
      </c>
      <c r="I1203" s="46" t="s">
        <v>915</v>
      </c>
      <c r="J1203" s="83">
        <v>46093</v>
      </c>
      <c r="K1203" s="46" t="s">
        <v>1076</v>
      </c>
      <c r="L1203" s="83" t="s">
        <v>27</v>
      </c>
    </row>
    <row r="1204" ht="16.5" spans="1:12">
      <c r="A1204" s="46">
        <v>1202</v>
      </c>
      <c r="B1204" s="46" t="s">
        <v>45</v>
      </c>
      <c r="C1204" s="46" t="str">
        <f>VLOOKUP(F1204,[4]在职!$A:$E,5,0)</f>
        <v>西南总部</v>
      </c>
      <c r="D1204" s="46" t="str">
        <f>VLOOKUP(F1204,[4]在职!$A:$G,7,0)</f>
        <v>营业五部</v>
      </c>
      <c r="E1204" s="46" t="str">
        <f>VLOOKUP(F1204,[4]在职!$A:$M,13,0)</f>
        <v>尹稳</v>
      </c>
      <c r="F1204" s="46" t="s">
        <v>1468</v>
      </c>
      <c r="G1204" s="46" t="str">
        <f>VLOOKUP(F1204,[4]在职!$A:$B,2,0)</f>
        <v>01709</v>
      </c>
      <c r="H1204" s="46" t="str">
        <f>VLOOKUP(F1204,[4]在职!$A:$I,9,0)</f>
        <v>一星销售顾问</v>
      </c>
      <c r="I1204" s="46" t="s">
        <v>915</v>
      </c>
      <c r="J1204" s="83">
        <v>46093</v>
      </c>
      <c r="K1204" s="46" t="s">
        <v>1076</v>
      </c>
      <c r="L1204" s="83" t="s">
        <v>27</v>
      </c>
    </row>
    <row r="1205" ht="16.5" spans="1:12">
      <c r="A1205" s="46">
        <v>1203</v>
      </c>
      <c r="B1205" s="46" t="s">
        <v>45</v>
      </c>
      <c r="C1205" s="46" t="str">
        <f>VLOOKUP(F1205,[4]在职!$A:$E,5,0)</f>
        <v>西南总部</v>
      </c>
      <c r="D1205" s="46" t="str">
        <f>VLOOKUP(F1205,[4]在职!$A:$G,7,0)</f>
        <v>营业五部</v>
      </c>
      <c r="E1205" s="46" t="str">
        <f>VLOOKUP(F1205,[4]在职!$A:$M,13,0)</f>
        <v>尹稳</v>
      </c>
      <c r="F1205" s="46" t="s">
        <v>1469</v>
      </c>
      <c r="G1205" s="46" t="str">
        <f>VLOOKUP(F1205,[4]在职!$A:$B,2,0)</f>
        <v>01703</v>
      </c>
      <c r="H1205" s="46" t="str">
        <f>VLOOKUP(F1205,[4]在职!$A:$I,9,0)</f>
        <v>一星销售顾问</v>
      </c>
      <c r="I1205" s="46" t="s">
        <v>915</v>
      </c>
      <c r="J1205" s="83">
        <v>46093</v>
      </c>
      <c r="K1205" s="46" t="s">
        <v>1076</v>
      </c>
      <c r="L1205" s="83" t="s">
        <v>27</v>
      </c>
    </row>
    <row r="1206" ht="16.5" spans="1:12">
      <c r="A1206" s="46">
        <v>1204</v>
      </c>
      <c r="B1206" s="46" t="s">
        <v>45</v>
      </c>
      <c r="C1206" s="46" t="str">
        <f>VLOOKUP(F1206,[4]在职!$A:$E,5,0)</f>
        <v>西南总部</v>
      </c>
      <c r="D1206" s="46" t="str">
        <f>VLOOKUP(F1206,[4]在职!$A:$G,7,0)</f>
        <v>营业三部</v>
      </c>
      <c r="E1206" s="46" t="str">
        <f>VLOOKUP(F1206,[4]在职!$A:$M,13,0)</f>
        <v>陶再阳</v>
      </c>
      <c r="F1206" s="46" t="s">
        <v>1470</v>
      </c>
      <c r="G1206" s="46" t="str">
        <f>VLOOKUP(F1206,[4]在职!$A:$B,2,0)</f>
        <v>01667</v>
      </c>
      <c r="H1206" s="46" t="str">
        <f>VLOOKUP(F1206,[4]在职!$A:$I,9,0)</f>
        <v>一星销售顾问</v>
      </c>
      <c r="I1206" s="46" t="s">
        <v>915</v>
      </c>
      <c r="J1206" s="83">
        <v>46093</v>
      </c>
      <c r="K1206" s="46" t="s">
        <v>1076</v>
      </c>
      <c r="L1206" s="83" t="s">
        <v>27</v>
      </c>
    </row>
    <row r="1207" ht="16.5" spans="1:12">
      <c r="A1207" s="46">
        <v>1205</v>
      </c>
      <c r="B1207" s="46" t="s">
        <v>45</v>
      </c>
      <c r="C1207" s="46" t="str">
        <f>VLOOKUP(F1207,[4]在职!$A:$E,5,0)</f>
        <v>西南总部</v>
      </c>
      <c r="D1207" s="46" t="str">
        <f>VLOOKUP(F1207,[4]在职!$A:$G,7,0)</f>
        <v>营业五部</v>
      </c>
      <c r="E1207" s="46" t="str">
        <f>VLOOKUP(F1207,[4]在职!$A:$M,13,0)</f>
        <v>尹稳</v>
      </c>
      <c r="F1207" s="46" t="s">
        <v>1048</v>
      </c>
      <c r="G1207" s="46" t="str">
        <f>VLOOKUP(F1207,[4]在职!$A:$B,2,0)</f>
        <v>01669</v>
      </c>
      <c r="H1207" s="46" t="str">
        <f>VLOOKUP(F1207,[4]在职!$A:$I,9,0)</f>
        <v>一星销售顾问</v>
      </c>
      <c r="I1207" s="46" t="s">
        <v>915</v>
      </c>
      <c r="J1207" s="83">
        <v>46093</v>
      </c>
      <c r="K1207" s="46" t="s">
        <v>1076</v>
      </c>
      <c r="L1207" s="83" t="s">
        <v>27</v>
      </c>
    </row>
    <row r="1208" ht="16.5" spans="1:12">
      <c r="A1208" s="46">
        <v>1206</v>
      </c>
      <c r="B1208" s="46" t="s">
        <v>45</v>
      </c>
      <c r="C1208" s="46" t="str">
        <f>VLOOKUP(F1208,[4]在职!$A:$E,5,0)</f>
        <v>西南总部</v>
      </c>
      <c r="D1208" s="46" t="str">
        <f>VLOOKUP(F1208,[4]在职!$A:$G,7,0)</f>
        <v>营业五部</v>
      </c>
      <c r="E1208" s="46" t="str">
        <f>VLOOKUP(F1208,[4]在职!$A:$M,13,0)</f>
        <v>尹稳</v>
      </c>
      <c r="F1208" s="46" t="s">
        <v>1052</v>
      </c>
      <c r="G1208" s="46" t="str">
        <f>VLOOKUP(F1208,[4]在职!$A:$B,2,0)</f>
        <v>01600</v>
      </c>
      <c r="H1208" s="46" t="str">
        <f>VLOOKUP(F1208,[4]在职!$A:$I,9,0)</f>
        <v>二星销售顾问</v>
      </c>
      <c r="I1208" s="46" t="s">
        <v>915</v>
      </c>
      <c r="J1208" s="83">
        <v>46093</v>
      </c>
      <c r="K1208" s="46" t="s">
        <v>1076</v>
      </c>
      <c r="L1208" s="83" t="s">
        <v>27</v>
      </c>
    </row>
    <row r="1209" ht="16.5" spans="1:12">
      <c r="A1209" s="46">
        <v>1207</v>
      </c>
      <c r="B1209" s="46" t="s">
        <v>45</v>
      </c>
      <c r="C1209" s="46" t="str">
        <f>VLOOKUP(F1209,[4]在职!$A:$E,5,0)</f>
        <v>河南</v>
      </c>
      <c r="D1209" s="46" t="str">
        <f>VLOOKUP(F1209,[4]在职!$A:$G,7,0)</f>
        <v>河南销售部</v>
      </c>
      <c r="E1209" s="46" t="str">
        <f>VLOOKUP(F1209,[4]在职!$A:$M,13,0)</f>
        <v>余金梅</v>
      </c>
      <c r="F1209" s="46" t="s">
        <v>1471</v>
      </c>
      <c r="G1209" s="46" t="str">
        <f>VLOOKUP(F1209,[4]在职!$A:$B,2,0)</f>
        <v>01545</v>
      </c>
      <c r="H1209" s="46" t="str">
        <f>VLOOKUP(F1209,[4]在职!$A:$I,9,0)</f>
        <v>一星销售顾问</v>
      </c>
      <c r="I1209" s="46" t="s">
        <v>915</v>
      </c>
      <c r="J1209" s="83">
        <v>46093</v>
      </c>
      <c r="K1209" s="46" t="s">
        <v>1076</v>
      </c>
      <c r="L1209" s="83" t="s">
        <v>27</v>
      </c>
    </row>
    <row r="1210" ht="16.5" spans="1:12">
      <c r="A1210" s="46">
        <v>1208</v>
      </c>
      <c r="B1210" s="46" t="s">
        <v>45</v>
      </c>
      <c r="C1210" s="46" t="str">
        <f>VLOOKUP(F1210,[4]在职!$A:$E,5,0)</f>
        <v>西南总部</v>
      </c>
      <c r="D1210" s="46" t="str">
        <f>VLOOKUP(F1210,[4]在职!$A:$G,7,0)</f>
        <v>营业七部</v>
      </c>
      <c r="E1210" s="46" t="str">
        <f>VLOOKUP(F1210,[4]在职!$A:$M,13,0)</f>
        <v>张家涛</v>
      </c>
      <c r="F1210" s="46" t="s">
        <v>1058</v>
      </c>
      <c r="G1210" s="46" t="str">
        <f>VLOOKUP(F1210,[4]在职!$A:$B,2,0)</f>
        <v>01581</v>
      </c>
      <c r="H1210" s="46" t="str">
        <f>VLOOKUP(F1210,[4]在职!$A:$I,9,0)</f>
        <v>一星销售顾问</v>
      </c>
      <c r="I1210" s="46" t="s">
        <v>915</v>
      </c>
      <c r="J1210" s="83">
        <v>46093</v>
      </c>
      <c r="K1210" s="46" t="s">
        <v>1076</v>
      </c>
      <c r="L1210" s="83" t="s">
        <v>27</v>
      </c>
    </row>
    <row r="1211" ht="16.5" spans="1:12">
      <c r="A1211" s="46">
        <v>1209</v>
      </c>
      <c r="B1211" s="46" t="s">
        <v>45</v>
      </c>
      <c r="C1211" s="46" t="str">
        <f>VLOOKUP(F1211,[4]在职!$A:$E,5,0)</f>
        <v>西南总部</v>
      </c>
      <c r="D1211" s="46" t="str">
        <f>VLOOKUP(F1211,[4]在职!$A:$G,7,0)</f>
        <v>营业三部</v>
      </c>
      <c r="E1211" s="46" t="str">
        <f>VLOOKUP(F1211,[4]在职!$A:$M,13,0)</f>
        <v>张萍</v>
      </c>
      <c r="F1211" s="46" t="s">
        <v>1472</v>
      </c>
      <c r="G1211" s="46" t="str">
        <f>VLOOKUP(F1211,[4]在职!$A:$B,2,0)</f>
        <v>01736</v>
      </c>
      <c r="H1211" s="46" t="str">
        <f>VLOOKUP(F1211,[4]在职!$A:$I,9,0)</f>
        <v>一星销售顾问</v>
      </c>
      <c r="I1211" s="46" t="s">
        <v>915</v>
      </c>
      <c r="J1211" s="83">
        <v>46093</v>
      </c>
      <c r="K1211" s="46" t="s">
        <v>1076</v>
      </c>
      <c r="L1211" s="83" t="s">
        <v>27</v>
      </c>
    </row>
    <row r="1212" ht="16.5" spans="1:12">
      <c r="A1212" s="46">
        <v>1210</v>
      </c>
      <c r="B1212" s="46" t="s">
        <v>45</v>
      </c>
      <c r="C1212" s="46" t="str">
        <f>VLOOKUP(F1212,[4]在职!$A:$E,5,0)</f>
        <v>西南总部</v>
      </c>
      <c r="D1212" s="46" t="str">
        <f>VLOOKUP(F1212,[4]在职!$A:$G,7,0)</f>
        <v>营业一部</v>
      </c>
      <c r="E1212" s="46" t="str">
        <f>VLOOKUP(F1212,[4]在职!$A:$M,13,0)</f>
        <v>张圣梁</v>
      </c>
      <c r="F1212" s="46" t="s">
        <v>1473</v>
      </c>
      <c r="G1212" s="46" t="str">
        <f>VLOOKUP(F1212,[4]在职!$A:$B,2,0)</f>
        <v>01369</v>
      </c>
      <c r="H1212" s="46" t="str">
        <f>VLOOKUP(F1212,[4]在职!$A:$I,9,0)</f>
        <v>一星销售顾问</v>
      </c>
      <c r="I1212" s="46" t="s">
        <v>915</v>
      </c>
      <c r="J1212" s="83">
        <v>46093</v>
      </c>
      <c r="K1212" s="46" t="s">
        <v>1076</v>
      </c>
      <c r="L1212" s="83" t="s">
        <v>27</v>
      </c>
    </row>
    <row r="1213" ht="16.5" spans="1:12">
      <c r="A1213" s="46">
        <v>1211</v>
      </c>
      <c r="B1213" s="46" t="s">
        <v>45</v>
      </c>
      <c r="C1213" s="46" t="str">
        <f>VLOOKUP(F1213,[4]在职!$A:$E,5,0)</f>
        <v>湖北</v>
      </c>
      <c r="D1213" s="46" t="str">
        <f>VLOOKUP(F1213,[4]在职!$A:$G,7,0)</f>
        <v>湖北1部</v>
      </c>
      <c r="E1213" s="46" t="str">
        <f>VLOOKUP(F1213,[4]在职!$A:$M,13,0)</f>
        <v>张宗铭</v>
      </c>
      <c r="F1213" s="46" t="s">
        <v>926</v>
      </c>
      <c r="G1213" s="46" t="str">
        <f>VLOOKUP(F1213,[4]在职!$A:$B,2,0)</f>
        <v>01657</v>
      </c>
      <c r="H1213" s="46" t="str">
        <f>VLOOKUP(F1213,[4]在职!$A:$I,9,0)</f>
        <v>二星销售顾问</v>
      </c>
      <c r="I1213" s="46" t="s">
        <v>915</v>
      </c>
      <c r="J1213" s="83">
        <v>46093</v>
      </c>
      <c r="K1213" s="46" t="s">
        <v>1076</v>
      </c>
      <c r="L1213" s="83" t="s">
        <v>27</v>
      </c>
    </row>
    <row r="1214" ht="16.5" spans="1:12">
      <c r="A1214" s="46">
        <v>1212</v>
      </c>
      <c r="B1214" s="46" t="s">
        <v>45</v>
      </c>
      <c r="C1214" s="46" t="str">
        <f>VLOOKUP(F1214,[4]在职!$A:$E,5,0)</f>
        <v>湖北</v>
      </c>
      <c r="D1214" s="46" t="str">
        <f>VLOOKUP(F1214,[4]在职!$A:$G,7,0)</f>
        <v>湖北1部</v>
      </c>
      <c r="E1214" s="46" t="str">
        <f>VLOOKUP(F1214,[4]在职!$A:$M,13,0)</f>
        <v>张宗铭</v>
      </c>
      <c r="F1214" s="46" t="s">
        <v>1474</v>
      </c>
      <c r="G1214" s="46" t="str">
        <f>VLOOKUP(F1214,[4]在职!$A:$B,2,0)</f>
        <v>01595</v>
      </c>
      <c r="H1214" s="46" t="str">
        <f>VLOOKUP(F1214,[4]在职!$A:$I,9,0)</f>
        <v>一星销售顾问</v>
      </c>
      <c r="I1214" s="46" t="s">
        <v>915</v>
      </c>
      <c r="J1214" s="83">
        <v>46093</v>
      </c>
      <c r="K1214" s="46" t="s">
        <v>1076</v>
      </c>
      <c r="L1214" s="83" t="s">
        <v>27</v>
      </c>
    </row>
    <row r="1215" ht="16.5" spans="1:12">
      <c r="A1215" s="46">
        <v>1213</v>
      </c>
      <c r="B1215" s="46" t="s">
        <v>45</v>
      </c>
      <c r="C1215" s="46" t="str">
        <f>VLOOKUP(F1215,[4]在职!$A:$E,5,0)</f>
        <v>山西</v>
      </c>
      <c r="D1215" s="46" t="str">
        <f>VLOOKUP(F1215,[4]在职!$A:$G,7,0)</f>
        <v>山西销售部</v>
      </c>
      <c r="E1215" s="46" t="str">
        <f>VLOOKUP(F1215,[4]在职!$A:$M,13,0)</f>
        <v>赵龙</v>
      </c>
      <c r="F1215" s="46" t="s">
        <v>1475</v>
      </c>
      <c r="G1215" s="46" t="str">
        <f>VLOOKUP(F1215,[4]在职!$A:$B,2,0)</f>
        <v>01573</v>
      </c>
      <c r="H1215" s="46" t="str">
        <f>VLOOKUP(F1215,[4]在职!$A:$I,9,0)</f>
        <v>一星销售顾问</v>
      </c>
      <c r="I1215" s="46" t="s">
        <v>915</v>
      </c>
      <c r="J1215" s="83">
        <v>46093</v>
      </c>
      <c r="K1215" s="46" t="s">
        <v>1076</v>
      </c>
      <c r="L1215" s="83" t="s">
        <v>27</v>
      </c>
    </row>
    <row r="1216" ht="16.5" spans="1:12">
      <c r="A1216" s="46">
        <v>1214</v>
      </c>
      <c r="B1216" s="46" t="s">
        <v>45</v>
      </c>
      <c r="C1216" s="46" t="str">
        <f>VLOOKUP(F1216,[4]在职!$A:$E,5,0)</f>
        <v>西南总部</v>
      </c>
      <c r="D1216" s="46" t="str">
        <f>VLOOKUP(F1216,[4]在职!$A:$G,7,0)</f>
        <v>营业六部</v>
      </c>
      <c r="E1216" s="46" t="str">
        <f>VLOOKUP(F1216,[4]在职!$A:$M,13,0)</f>
        <v>郑雄</v>
      </c>
      <c r="F1216" s="46" t="s">
        <v>1016</v>
      </c>
      <c r="G1216" s="46" t="str">
        <f>VLOOKUP(F1216,[4]在职!$A:$B,2,0)</f>
        <v>01324</v>
      </c>
      <c r="H1216" s="46" t="str">
        <f>VLOOKUP(F1216,[4]在职!$A:$I,9,0)</f>
        <v>二星销售顾问</v>
      </c>
      <c r="I1216" s="46" t="s">
        <v>915</v>
      </c>
      <c r="J1216" s="83">
        <v>46093</v>
      </c>
      <c r="K1216" s="46" t="s">
        <v>1076</v>
      </c>
      <c r="L1216" s="83" t="s">
        <v>27</v>
      </c>
    </row>
    <row r="1217" ht="16.5" spans="1:12">
      <c r="A1217" s="46">
        <v>1215</v>
      </c>
      <c r="B1217" s="46" t="s">
        <v>45</v>
      </c>
      <c r="C1217" s="46" t="str">
        <f>VLOOKUP(F1217,[4]在职!$A:$E,5,0)</f>
        <v>西南总部</v>
      </c>
      <c r="D1217" s="46" t="str">
        <f>VLOOKUP(F1217,[4]在职!$A:$G,7,0)</f>
        <v>营业一部</v>
      </c>
      <c r="E1217" s="46" t="str">
        <f>VLOOKUP(F1217,[4]在职!$A:$M,13,0)</f>
        <v>朱家艳</v>
      </c>
      <c r="F1217" s="83" t="s">
        <v>1476</v>
      </c>
      <c r="G1217" s="46" t="str">
        <f>VLOOKUP(F1217,[4]在职!$A:$B,2,0)</f>
        <v>01682</v>
      </c>
      <c r="H1217" s="46" t="str">
        <f>VLOOKUP(F1217,[4]在职!$A:$I,9,0)</f>
        <v>一星销售顾问</v>
      </c>
      <c r="I1217" s="83" t="s">
        <v>915</v>
      </c>
      <c r="J1217" s="83">
        <v>46093</v>
      </c>
      <c r="K1217" s="83" t="s">
        <v>1076</v>
      </c>
      <c r="L1217" s="83" t="s">
        <v>27</v>
      </c>
    </row>
    <row r="1218" ht="16.5" spans="1:12">
      <c r="A1218" s="46">
        <v>1216</v>
      </c>
      <c r="B1218" s="46" t="s">
        <v>45</v>
      </c>
      <c r="C1218" s="46" t="str">
        <f>VLOOKUP(F1218,[4]在职!$A:$E,5,0)</f>
        <v>西南总部</v>
      </c>
      <c r="D1218" s="46" t="str">
        <f>VLOOKUP(F1218,[4]在职!$A:$G,7,0)</f>
        <v>营业一部</v>
      </c>
      <c r="E1218" s="46" t="str">
        <f>VLOOKUP(F1218,[4]在职!$A:$M,13,0)</f>
        <v>白世根</v>
      </c>
      <c r="F1218" s="5" t="s">
        <v>1321</v>
      </c>
      <c r="G1218" s="46" t="str">
        <f>VLOOKUP(F1218,[4]在职!$A:$B,2,0)</f>
        <v>01821</v>
      </c>
      <c r="H1218" s="46" t="str">
        <f>VLOOKUP(F1218,[4]在职!$A:$I,9,0)</f>
        <v>一星销售顾问</v>
      </c>
      <c r="I1218" s="84" t="s">
        <v>907</v>
      </c>
      <c r="J1218" s="83">
        <v>46093</v>
      </c>
      <c r="K1218" s="83" t="s">
        <v>1076</v>
      </c>
      <c r="L1218" s="83" t="s">
        <v>27</v>
      </c>
    </row>
    <row r="1219" ht="16.5" spans="1:12">
      <c r="A1219" s="46">
        <v>1217</v>
      </c>
      <c r="B1219" s="46" t="s">
        <v>45</v>
      </c>
      <c r="C1219" s="46" t="str">
        <f>VLOOKUP(F1219,[4]在职!$A:$E,5,0)</f>
        <v>河北</v>
      </c>
      <c r="D1219" s="46" t="str">
        <f>VLOOKUP(F1219,[4]在职!$A:$G,7,0)</f>
        <v>河北销售部</v>
      </c>
      <c r="E1219" s="46" t="str">
        <f>VLOOKUP(F1219,[4]在职!$A:$M,13,0)</f>
        <v>陈东2</v>
      </c>
      <c r="F1219" s="5" t="s">
        <v>1313</v>
      </c>
      <c r="G1219" s="46" t="str">
        <f>VLOOKUP(F1219,[4]在职!$A:$B,2,0)</f>
        <v>01671</v>
      </c>
      <c r="H1219" s="46" t="str">
        <f>VLOOKUP(F1219,[4]在职!$A:$I,9,0)</f>
        <v>一星销售顾问</v>
      </c>
      <c r="I1219" s="84" t="s">
        <v>907</v>
      </c>
      <c r="J1219" s="83">
        <v>46093</v>
      </c>
      <c r="K1219" s="83" t="s">
        <v>1076</v>
      </c>
      <c r="L1219" s="83" t="s">
        <v>27</v>
      </c>
    </row>
    <row r="1220" ht="16.5" spans="1:12">
      <c r="A1220" s="46">
        <v>1218</v>
      </c>
      <c r="B1220" s="46" t="s">
        <v>45</v>
      </c>
      <c r="C1220" s="46" t="str">
        <f>VLOOKUP(F1220,[4]在职!$A:$E,5,0)</f>
        <v>河北</v>
      </c>
      <c r="D1220" s="46" t="str">
        <f>VLOOKUP(F1220,[4]在职!$A:$G,7,0)</f>
        <v>河北销售部</v>
      </c>
      <c r="E1220" s="46" t="str">
        <f>VLOOKUP(F1220,[4]在职!$A:$M,13,0)</f>
        <v>陈东2</v>
      </c>
      <c r="F1220" s="5" t="s">
        <v>1477</v>
      </c>
      <c r="G1220" s="46" t="str">
        <f>VLOOKUP(F1220,[4]在职!$A:$B,2,0)</f>
        <v>01530</v>
      </c>
      <c r="H1220" s="46" t="str">
        <f>VLOOKUP(F1220,[4]在职!$A:$I,9,0)</f>
        <v>一星销售顾问</v>
      </c>
      <c r="I1220" s="84" t="s">
        <v>907</v>
      </c>
      <c r="J1220" s="83">
        <v>46093</v>
      </c>
      <c r="K1220" s="83" t="s">
        <v>1076</v>
      </c>
      <c r="L1220" s="83" t="s">
        <v>27</v>
      </c>
    </row>
    <row r="1221" ht="16.5" spans="1:12">
      <c r="A1221" s="46">
        <v>1219</v>
      </c>
      <c r="B1221" s="46" t="s">
        <v>45</v>
      </c>
      <c r="C1221" s="46" t="str">
        <f>VLOOKUP(F1221,[4]在职!$A:$E,5,0)</f>
        <v>湖北</v>
      </c>
      <c r="D1221" s="46" t="str">
        <f>VLOOKUP(F1221,[4]在职!$A:$G,7,0)</f>
        <v>湖北2部</v>
      </c>
      <c r="E1221" s="46" t="str">
        <f>VLOOKUP(F1221,[4]在职!$A:$M,13,0)</f>
        <v>陈竺</v>
      </c>
      <c r="F1221" s="5" t="s">
        <v>1478</v>
      </c>
      <c r="G1221" s="46" t="str">
        <f>VLOOKUP(F1221,[4]在职!$A:$B,2,0)</f>
        <v>01685</v>
      </c>
      <c r="H1221" s="46" t="str">
        <f>VLOOKUP(F1221,[4]在职!$A:$I,9,0)</f>
        <v>一星销售顾问</v>
      </c>
      <c r="I1221" s="84" t="s">
        <v>907</v>
      </c>
      <c r="J1221" s="83">
        <v>46093</v>
      </c>
      <c r="K1221" s="83" t="s">
        <v>1076</v>
      </c>
      <c r="L1221" s="83" t="s">
        <v>27</v>
      </c>
    </row>
    <row r="1222" ht="16.5" spans="1:12">
      <c r="A1222" s="46">
        <v>1220</v>
      </c>
      <c r="B1222" s="46" t="s">
        <v>45</v>
      </c>
      <c r="C1222" s="46" t="str">
        <f>VLOOKUP(F1222,[4]在职!$A:$E,5,0)</f>
        <v>西南总部</v>
      </c>
      <c r="D1222" s="46" t="str">
        <f>VLOOKUP(F1222,[4]在职!$A:$G,7,0)</f>
        <v>营业一部</v>
      </c>
      <c r="E1222" s="46" t="str">
        <f>VLOOKUP(F1222,[4]在职!$A:$M,13,0)</f>
        <v>胡雪梅</v>
      </c>
      <c r="F1222" s="5" t="s">
        <v>952</v>
      </c>
      <c r="G1222" s="46" t="str">
        <f>VLOOKUP(F1222,[4]在职!$A:$B,2,0)</f>
        <v>01690</v>
      </c>
      <c r="H1222" s="46" t="str">
        <f>VLOOKUP(F1222,[4]在职!$A:$I,9,0)</f>
        <v>一星销售顾问</v>
      </c>
      <c r="I1222" s="84" t="s">
        <v>907</v>
      </c>
      <c r="J1222" s="83">
        <v>46093</v>
      </c>
      <c r="K1222" s="83" t="s">
        <v>1076</v>
      </c>
      <c r="L1222" s="83" t="s">
        <v>27</v>
      </c>
    </row>
    <row r="1223" ht="16.5" spans="1:12">
      <c r="A1223" s="46">
        <v>1221</v>
      </c>
      <c r="B1223" s="46" t="s">
        <v>45</v>
      </c>
      <c r="C1223" s="46" t="str">
        <f>VLOOKUP(F1223,[4]在职!$A:$E,5,0)</f>
        <v>西南总部</v>
      </c>
      <c r="D1223" s="46" t="str">
        <f>VLOOKUP(F1223,[4]在职!$A:$G,7,0)</f>
        <v>营业一部</v>
      </c>
      <c r="E1223" s="46" t="str">
        <f>VLOOKUP(F1223,[4]在职!$A:$M,13,0)</f>
        <v>胡雪梅</v>
      </c>
      <c r="F1223" s="5" t="s">
        <v>954</v>
      </c>
      <c r="G1223" s="46" t="str">
        <f>VLOOKUP(F1223,[4]在职!$A:$B,2,0)</f>
        <v>01307</v>
      </c>
      <c r="H1223" s="46" t="str">
        <f>VLOOKUP(F1223,[4]在职!$A:$I,9,0)</f>
        <v>二星销售顾问</v>
      </c>
      <c r="I1223" s="84" t="s">
        <v>907</v>
      </c>
      <c r="J1223" s="83">
        <v>46093</v>
      </c>
      <c r="K1223" s="83" t="s">
        <v>1076</v>
      </c>
      <c r="L1223" s="83" t="s">
        <v>27</v>
      </c>
    </row>
    <row r="1224" ht="16.5" spans="1:12">
      <c r="A1224" s="46">
        <v>1222</v>
      </c>
      <c r="B1224" s="46" t="s">
        <v>45</v>
      </c>
      <c r="C1224" s="46" t="str">
        <f>VLOOKUP(F1224,[4]在职!$A:$E,5,0)</f>
        <v>西南总部</v>
      </c>
      <c r="D1224" s="46" t="str">
        <f>VLOOKUP(F1224,[4]在职!$A:$G,7,0)</f>
        <v>营业三部</v>
      </c>
      <c r="E1224" s="46" t="str">
        <f>VLOOKUP(F1224,[4]在职!$A:$M,13,0)</f>
        <v>扈岭楠</v>
      </c>
      <c r="F1224" s="5" t="s">
        <v>1479</v>
      </c>
      <c r="G1224" s="46" t="str">
        <f>VLOOKUP(F1224,[4]在职!$A:$B,2,0)</f>
        <v>01440</v>
      </c>
      <c r="H1224" s="46" t="str">
        <f>VLOOKUP(F1224,[4]在职!$A:$I,9,0)</f>
        <v>一星销售顾问</v>
      </c>
      <c r="I1224" s="84" t="s">
        <v>907</v>
      </c>
      <c r="J1224" s="83">
        <v>46093</v>
      </c>
      <c r="K1224" s="83" t="s">
        <v>1076</v>
      </c>
      <c r="L1224" s="83" t="s">
        <v>27</v>
      </c>
    </row>
    <row r="1225" ht="16.5" spans="1:12">
      <c r="A1225" s="46">
        <v>1223</v>
      </c>
      <c r="B1225" s="46" t="s">
        <v>45</v>
      </c>
      <c r="C1225" s="46" t="str">
        <f>VLOOKUP(F1225,[4]在职!$A:$E,5,0)</f>
        <v>西南总部</v>
      </c>
      <c r="D1225" s="46" t="str">
        <f>VLOOKUP(F1225,[4]在职!$A:$G,7,0)</f>
        <v>营业七部</v>
      </c>
      <c r="E1225" s="46" t="str">
        <f>VLOOKUP(F1225,[4]在职!$A:$M,13,0)</f>
        <v>蒋杨</v>
      </c>
      <c r="F1225" s="5" t="s">
        <v>964</v>
      </c>
      <c r="G1225" s="46" t="str">
        <f>VLOOKUP(F1225,[4]在职!$A:$B,2,0)</f>
        <v>01405</v>
      </c>
      <c r="H1225" s="46" t="str">
        <f>VLOOKUP(F1225,[4]在职!$A:$I,9,0)</f>
        <v>一星销售顾问</v>
      </c>
      <c r="I1225" s="84" t="s">
        <v>907</v>
      </c>
      <c r="J1225" s="83">
        <v>46093</v>
      </c>
      <c r="K1225" s="83" t="s">
        <v>1076</v>
      </c>
      <c r="L1225" s="83" t="s">
        <v>27</v>
      </c>
    </row>
    <row r="1226" ht="16.5" spans="1:12">
      <c r="A1226" s="46">
        <v>1224</v>
      </c>
      <c r="B1226" s="46" t="s">
        <v>45</v>
      </c>
      <c r="C1226" s="46" t="str">
        <f>VLOOKUP(F1226,[4]在职!$A:$E,5,0)</f>
        <v>西南总部</v>
      </c>
      <c r="D1226" s="46" t="str">
        <f>VLOOKUP(F1226,[4]在职!$A:$G,7,0)</f>
        <v>营业五部</v>
      </c>
      <c r="E1226" s="46" t="str">
        <f>VLOOKUP(F1226,[4]在职!$A:$M,13,0)</f>
        <v>李敏</v>
      </c>
      <c r="F1226" s="5" t="s">
        <v>1480</v>
      </c>
      <c r="G1226" s="46" t="str">
        <f>VLOOKUP(F1226,[4]在职!$A:$B,2,0)</f>
        <v>01724</v>
      </c>
      <c r="H1226" s="46" t="str">
        <f>VLOOKUP(F1226,[4]在职!$A:$I,9,0)</f>
        <v>一星销售顾问</v>
      </c>
      <c r="I1226" s="84" t="s">
        <v>907</v>
      </c>
      <c r="J1226" s="83">
        <v>46093</v>
      </c>
      <c r="K1226" s="83" t="s">
        <v>1076</v>
      </c>
      <c r="L1226" s="83" t="s">
        <v>27</v>
      </c>
    </row>
    <row r="1227" ht="16.5" spans="1:12">
      <c r="A1227" s="46">
        <v>1225</v>
      </c>
      <c r="B1227" s="46" t="s">
        <v>45</v>
      </c>
      <c r="C1227" s="46" t="str">
        <f>VLOOKUP(F1227,[4]在职!$A:$E,5,0)</f>
        <v>西南总部</v>
      </c>
      <c r="D1227" s="46" t="str">
        <f>VLOOKUP(F1227,[4]在职!$A:$G,7,0)</f>
        <v>营业五部</v>
      </c>
      <c r="E1227" s="46" t="str">
        <f>VLOOKUP(F1227,[4]在职!$A:$M,13,0)</f>
        <v>李敏</v>
      </c>
      <c r="F1227" s="5" t="s">
        <v>1481</v>
      </c>
      <c r="G1227" s="46" t="str">
        <f>VLOOKUP(F1227,[4]在职!$A:$B,2,0)</f>
        <v>01710</v>
      </c>
      <c r="H1227" s="46" t="str">
        <f>VLOOKUP(F1227,[4]在职!$A:$I,9,0)</f>
        <v>一星销售顾问</v>
      </c>
      <c r="I1227" s="84" t="s">
        <v>907</v>
      </c>
      <c r="J1227" s="83">
        <v>46093</v>
      </c>
      <c r="K1227" s="83" t="s">
        <v>1076</v>
      </c>
      <c r="L1227" s="83" t="s">
        <v>27</v>
      </c>
    </row>
    <row r="1228" ht="16.5" spans="1:12">
      <c r="A1228" s="46">
        <v>1226</v>
      </c>
      <c r="B1228" s="46" t="s">
        <v>45</v>
      </c>
      <c r="C1228" s="46" t="str">
        <f>VLOOKUP(F1228,[4]在职!$A:$E,5,0)</f>
        <v>陕西</v>
      </c>
      <c r="D1228" s="46" t="str">
        <f>VLOOKUP(F1228,[4]在职!$A:$G,7,0)</f>
        <v>陕西1部</v>
      </c>
      <c r="E1228" s="46" t="str">
        <f>VLOOKUP(F1228,[4]在职!$A:$M,13,0)</f>
        <v>刘聪</v>
      </c>
      <c r="F1228" s="5" t="s">
        <v>1482</v>
      </c>
      <c r="G1228" s="46" t="str">
        <f>VLOOKUP(F1228,[4]在职!$A:$B,2,0)</f>
        <v>01665</v>
      </c>
      <c r="H1228" s="46" t="str">
        <f>VLOOKUP(F1228,[4]在职!$A:$I,9,0)</f>
        <v>一星销售顾问</v>
      </c>
      <c r="I1228" s="84" t="s">
        <v>907</v>
      </c>
      <c r="J1228" s="83">
        <v>46093</v>
      </c>
      <c r="K1228" s="83" t="s">
        <v>1076</v>
      </c>
      <c r="L1228" s="83" t="s">
        <v>27</v>
      </c>
    </row>
    <row r="1229" ht="16.5" spans="1:12">
      <c r="A1229" s="46">
        <v>1227</v>
      </c>
      <c r="B1229" s="46" t="s">
        <v>45</v>
      </c>
      <c r="C1229" s="46" t="str">
        <f>VLOOKUP(F1229,[4]在职!$A:$E,5,0)</f>
        <v>陕西</v>
      </c>
      <c r="D1229" s="46" t="str">
        <f>VLOOKUP(F1229,[4]在职!$A:$G,7,0)</f>
        <v>陕西1部</v>
      </c>
      <c r="E1229" s="46" t="str">
        <f>VLOOKUP(F1229,[4]在职!$A:$M,13,0)</f>
        <v>刘聪</v>
      </c>
      <c r="F1229" s="5" t="s">
        <v>1483</v>
      </c>
      <c r="G1229" s="46" t="str">
        <f>VLOOKUP(F1229,[4]在职!$A:$B,2,0)</f>
        <v>01656</v>
      </c>
      <c r="H1229" s="46" t="str">
        <f>VLOOKUP(F1229,[4]在职!$A:$I,9,0)</f>
        <v>一星销售顾问</v>
      </c>
      <c r="I1229" s="84" t="s">
        <v>907</v>
      </c>
      <c r="J1229" s="83">
        <v>46093</v>
      </c>
      <c r="K1229" s="83" t="s">
        <v>1076</v>
      </c>
      <c r="L1229" s="83" t="s">
        <v>27</v>
      </c>
    </row>
    <row r="1230" ht="16.5" spans="1:12">
      <c r="A1230" s="46">
        <v>1228</v>
      </c>
      <c r="B1230" s="46" t="s">
        <v>45</v>
      </c>
      <c r="C1230" s="46" t="str">
        <f>VLOOKUP(F1230,[4]在职!$A:$E,5,0)</f>
        <v>陕西</v>
      </c>
      <c r="D1230" s="46" t="str">
        <f>VLOOKUP(F1230,[4]在职!$A:$G,7,0)</f>
        <v>陕西1部</v>
      </c>
      <c r="E1230" s="46" t="str">
        <f>VLOOKUP(F1230,[4]在职!$A:$M,13,0)</f>
        <v>刘聪</v>
      </c>
      <c r="F1230" s="5" t="s">
        <v>1484</v>
      </c>
      <c r="G1230" s="46" t="str">
        <f>VLOOKUP(F1230,[4]在职!$A:$B,2,0)</f>
        <v>01653</v>
      </c>
      <c r="H1230" s="46" t="str">
        <f>VLOOKUP(F1230,[4]在职!$A:$I,9,0)</f>
        <v>一星销售顾问</v>
      </c>
      <c r="I1230" s="84" t="s">
        <v>907</v>
      </c>
      <c r="J1230" s="83">
        <v>46093</v>
      </c>
      <c r="K1230" s="83" t="s">
        <v>1076</v>
      </c>
      <c r="L1230" s="83" t="s">
        <v>27</v>
      </c>
    </row>
    <row r="1231" ht="16.5" spans="1:12">
      <c r="A1231" s="46">
        <v>1229</v>
      </c>
      <c r="B1231" s="46" t="s">
        <v>45</v>
      </c>
      <c r="C1231" s="46" t="str">
        <f>VLOOKUP(F1231,[4]在职!$A:$E,5,0)</f>
        <v>西南总部</v>
      </c>
      <c r="D1231" s="46" t="str">
        <f>VLOOKUP(F1231,[4]在职!$A:$G,7,0)</f>
        <v>营业三部</v>
      </c>
      <c r="E1231" s="46" t="str">
        <f>VLOOKUP(F1231,[4]在职!$A:$M,13,0)</f>
        <v>刘佳</v>
      </c>
      <c r="F1231" s="5" t="s">
        <v>1485</v>
      </c>
      <c r="G1231" s="46" t="str">
        <f>VLOOKUP(F1231,[4]在职!$A:$B,2,0)</f>
        <v>01740</v>
      </c>
      <c r="H1231" s="46" t="str">
        <f>VLOOKUP(F1231,[4]在职!$A:$I,9,0)</f>
        <v>一星销售顾问</v>
      </c>
      <c r="I1231" s="84" t="s">
        <v>907</v>
      </c>
      <c r="J1231" s="83">
        <v>46093</v>
      </c>
      <c r="K1231" s="83" t="s">
        <v>1076</v>
      </c>
      <c r="L1231" s="83" t="s">
        <v>27</v>
      </c>
    </row>
    <row r="1232" ht="16.5" spans="1:12">
      <c r="A1232" s="46">
        <v>1230</v>
      </c>
      <c r="B1232" s="46" t="s">
        <v>45</v>
      </c>
      <c r="C1232" s="46" t="str">
        <f>VLOOKUP(F1232,[4]在职!$A:$E,5,0)</f>
        <v>西南总部</v>
      </c>
      <c r="D1232" s="46" t="str">
        <f>VLOOKUP(F1232,[4]在职!$A:$G,7,0)</f>
        <v>营业三部</v>
      </c>
      <c r="E1232" s="46" t="str">
        <f>VLOOKUP(F1232,[4]在职!$A:$M,13,0)</f>
        <v>刘佳</v>
      </c>
      <c r="F1232" s="5" t="s">
        <v>1486</v>
      </c>
      <c r="G1232" s="46" t="str">
        <f>VLOOKUP(F1232,[4]在职!$A:$B,2,0)</f>
        <v>01729</v>
      </c>
      <c r="H1232" s="46" t="str">
        <f>VLOOKUP(F1232,[4]在职!$A:$I,9,0)</f>
        <v>一星销售顾问</v>
      </c>
      <c r="I1232" s="84" t="s">
        <v>907</v>
      </c>
      <c r="J1232" s="83">
        <v>46093</v>
      </c>
      <c r="K1232" s="83" t="s">
        <v>1076</v>
      </c>
      <c r="L1232" s="83" t="s">
        <v>27</v>
      </c>
    </row>
    <row r="1233" ht="16.5" spans="1:12">
      <c r="A1233" s="46">
        <v>1231</v>
      </c>
      <c r="B1233" s="46" t="s">
        <v>45</v>
      </c>
      <c r="C1233" s="46" t="str">
        <f>VLOOKUP(F1233,[4]在职!$A:$E,5,0)</f>
        <v>西南总部</v>
      </c>
      <c r="D1233" s="46" t="str">
        <f>VLOOKUP(F1233,[4]在职!$A:$G,7,0)</f>
        <v>营业三部</v>
      </c>
      <c r="E1233" s="46" t="str">
        <f>VLOOKUP(F1233,[4]在职!$A:$M,13,0)</f>
        <v>刘佳</v>
      </c>
      <c r="F1233" s="5" t="s">
        <v>970</v>
      </c>
      <c r="G1233" s="46" t="str">
        <f>VLOOKUP(F1233,[4]在职!$A:$B,2,0)</f>
        <v>01498</v>
      </c>
      <c r="H1233" s="46" t="str">
        <f>VLOOKUP(F1233,[4]在职!$A:$I,9,0)</f>
        <v>一星销售顾问</v>
      </c>
      <c r="I1233" s="84" t="s">
        <v>907</v>
      </c>
      <c r="J1233" s="83">
        <v>46093</v>
      </c>
      <c r="K1233" s="83" t="s">
        <v>1076</v>
      </c>
      <c r="L1233" s="83" t="s">
        <v>27</v>
      </c>
    </row>
    <row r="1234" ht="16.5" spans="1:12">
      <c r="A1234" s="46">
        <v>1232</v>
      </c>
      <c r="B1234" s="46" t="s">
        <v>45</v>
      </c>
      <c r="C1234" s="46" t="str">
        <f>VLOOKUP(F1234,[4]在职!$A:$E,5,0)</f>
        <v>陕西</v>
      </c>
      <c r="D1234" s="46" t="str">
        <f>VLOOKUP(F1234,[4]在职!$A:$G,7,0)</f>
        <v>陕西2部</v>
      </c>
      <c r="E1234" s="46" t="str">
        <f>VLOOKUP(F1234,[4]在职!$A:$M,13,0)</f>
        <v>乔磊</v>
      </c>
      <c r="F1234" s="5" t="s">
        <v>1487</v>
      </c>
      <c r="G1234" s="46" t="str">
        <f>VLOOKUP(F1234,[4]在职!$A:$B,2,0)</f>
        <v>01770</v>
      </c>
      <c r="H1234" s="46" t="str">
        <f>VLOOKUP(F1234,[4]在职!$A:$I,9,0)</f>
        <v>一星销售顾问</v>
      </c>
      <c r="I1234" s="84" t="s">
        <v>907</v>
      </c>
      <c r="J1234" s="83">
        <v>46093</v>
      </c>
      <c r="K1234" s="83" t="s">
        <v>1076</v>
      </c>
      <c r="L1234" s="83" t="s">
        <v>27</v>
      </c>
    </row>
    <row r="1235" ht="16.5" spans="1:12">
      <c r="A1235" s="46">
        <v>1233</v>
      </c>
      <c r="B1235" s="46" t="s">
        <v>45</v>
      </c>
      <c r="C1235" s="46" t="str">
        <f>VLOOKUP(F1235,[4]在职!$A:$E,5,0)</f>
        <v>陕西</v>
      </c>
      <c r="D1235" s="46" t="str">
        <f>VLOOKUP(F1235,[4]在职!$A:$G,7,0)</f>
        <v>陕西2部</v>
      </c>
      <c r="E1235" s="46" t="str">
        <f>VLOOKUP(F1235,[4]在职!$A:$M,13,0)</f>
        <v>乔磊</v>
      </c>
      <c r="F1235" s="5" t="s">
        <v>1488</v>
      </c>
      <c r="G1235" s="46" t="str">
        <f>VLOOKUP(F1235,[4]在职!$A:$B,2,0)</f>
        <v>01526</v>
      </c>
      <c r="H1235" s="46" t="str">
        <f>VLOOKUP(F1235,[4]在职!$A:$I,9,0)</f>
        <v>一星销售顾问</v>
      </c>
      <c r="I1235" s="84" t="s">
        <v>907</v>
      </c>
      <c r="J1235" s="83">
        <v>46093</v>
      </c>
      <c r="K1235" s="83" t="s">
        <v>1076</v>
      </c>
      <c r="L1235" s="83" t="s">
        <v>27</v>
      </c>
    </row>
    <row r="1236" ht="16.5" spans="1:12">
      <c r="A1236" s="46">
        <v>1234</v>
      </c>
      <c r="B1236" s="46" t="s">
        <v>45</v>
      </c>
      <c r="C1236" s="46" t="str">
        <f>VLOOKUP(F1236,[4]在职!$A:$E,5,0)</f>
        <v>西南总部</v>
      </c>
      <c r="D1236" s="46" t="str">
        <f>VLOOKUP(F1236,[4]在职!$A:$G,7,0)</f>
        <v>营业六部</v>
      </c>
      <c r="E1236" s="46" t="str">
        <f>VLOOKUP(F1236,[4]在职!$A:$M,13,0)</f>
        <v>税锐</v>
      </c>
      <c r="F1236" s="5" t="s">
        <v>1489</v>
      </c>
      <c r="G1236" s="46" t="str">
        <f>VLOOKUP(F1236,[4]在职!$A:$B,2,0)</f>
        <v>01704</v>
      </c>
      <c r="H1236" s="46" t="str">
        <f>VLOOKUP(F1236,[4]在职!$A:$I,9,0)</f>
        <v>一星销售顾问</v>
      </c>
      <c r="I1236" s="84" t="s">
        <v>907</v>
      </c>
      <c r="J1236" s="83">
        <v>46093</v>
      </c>
      <c r="K1236" s="83" t="s">
        <v>1076</v>
      </c>
      <c r="L1236" s="83" t="s">
        <v>27</v>
      </c>
    </row>
    <row r="1237" ht="16.5" spans="1:12">
      <c r="A1237" s="46">
        <v>1235</v>
      </c>
      <c r="B1237" s="46" t="s">
        <v>45</v>
      </c>
      <c r="C1237" s="46" t="str">
        <f>VLOOKUP(F1237,[4]在职!$A:$E,5,0)</f>
        <v>西南总部</v>
      </c>
      <c r="D1237" s="46" t="str">
        <f>VLOOKUP(F1237,[4]在职!$A:$G,7,0)</f>
        <v>营业六部</v>
      </c>
      <c r="E1237" s="46" t="str">
        <f>VLOOKUP(F1237,[4]在职!$A:$M,13,0)</f>
        <v>税锐</v>
      </c>
      <c r="F1237" s="5" t="s">
        <v>1490</v>
      </c>
      <c r="G1237" s="46" t="str">
        <f>VLOOKUP(F1237,[4]在职!$A:$B,2,0)</f>
        <v>01699</v>
      </c>
      <c r="H1237" s="46" t="str">
        <f>VLOOKUP(F1237,[4]在职!$A:$I,9,0)</f>
        <v>一星销售顾问</v>
      </c>
      <c r="I1237" s="84" t="s">
        <v>907</v>
      </c>
      <c r="J1237" s="83">
        <v>46093</v>
      </c>
      <c r="K1237" s="83" t="s">
        <v>1076</v>
      </c>
      <c r="L1237" s="83" t="s">
        <v>27</v>
      </c>
    </row>
    <row r="1238" ht="16.5" spans="1:12">
      <c r="A1238" s="46">
        <v>1236</v>
      </c>
      <c r="B1238" s="46" t="s">
        <v>45</v>
      </c>
      <c r="C1238" s="46" t="str">
        <f>VLOOKUP(F1238,[4]在职!$A:$E,5,0)</f>
        <v>湖南</v>
      </c>
      <c r="D1238" s="46" t="str">
        <f>VLOOKUP(F1238,[4]在职!$A:$G,7,0)</f>
        <v>湖南销售部</v>
      </c>
      <c r="E1238" s="46" t="str">
        <f>VLOOKUP(F1238,[4]在职!$A:$M,13,0)</f>
        <v>孙小龙</v>
      </c>
      <c r="F1238" s="5" t="s">
        <v>994</v>
      </c>
      <c r="G1238" s="46" t="str">
        <f>VLOOKUP(F1238,[4]在职!$A:$B,2,0)</f>
        <v>01477</v>
      </c>
      <c r="H1238" s="46" t="str">
        <f>VLOOKUP(F1238,[4]在职!$A:$I,9,0)</f>
        <v>二星销售顾问</v>
      </c>
      <c r="I1238" s="84" t="s">
        <v>907</v>
      </c>
      <c r="J1238" s="83">
        <v>46093</v>
      </c>
      <c r="K1238" s="83" t="s">
        <v>1076</v>
      </c>
      <c r="L1238" s="83" t="s">
        <v>27</v>
      </c>
    </row>
    <row r="1239" ht="16.5" spans="1:12">
      <c r="A1239" s="46">
        <v>1237</v>
      </c>
      <c r="B1239" s="46" t="s">
        <v>45</v>
      </c>
      <c r="C1239" s="46" t="str">
        <f>VLOOKUP(F1239,[4]在职!$A:$E,5,0)</f>
        <v>西南总部</v>
      </c>
      <c r="D1239" s="46" t="str">
        <f>VLOOKUP(F1239,[4]在职!$A:$G,7,0)</f>
        <v>营业三部</v>
      </c>
      <c r="E1239" s="46" t="str">
        <f>VLOOKUP(F1239,[4]在职!$A:$M,13,0)</f>
        <v>陶再阳</v>
      </c>
      <c r="F1239" s="5" t="s">
        <v>1491</v>
      </c>
      <c r="G1239" s="46" t="str">
        <f>VLOOKUP(F1239,[4]在职!$A:$B,2,0)</f>
        <v>01719</v>
      </c>
      <c r="H1239" s="46" t="str">
        <f>VLOOKUP(F1239,[4]在职!$A:$I,9,0)</f>
        <v>一星销售顾问</v>
      </c>
      <c r="I1239" s="84" t="s">
        <v>907</v>
      </c>
      <c r="J1239" s="83">
        <v>46093</v>
      </c>
      <c r="K1239" s="83" t="s">
        <v>1076</v>
      </c>
      <c r="L1239" s="83" t="s">
        <v>27</v>
      </c>
    </row>
    <row r="1240" ht="16.5" spans="1:12">
      <c r="A1240" s="46">
        <v>1238</v>
      </c>
      <c r="B1240" s="46" t="s">
        <v>45</v>
      </c>
      <c r="C1240" s="46" t="str">
        <f>VLOOKUP(F1240,[4]在职!$A:$E,5,0)</f>
        <v>西南总部</v>
      </c>
      <c r="D1240" s="46" t="str">
        <f>VLOOKUP(F1240,[4]在职!$A:$G,7,0)</f>
        <v>营业三部</v>
      </c>
      <c r="E1240" s="46" t="str">
        <f>VLOOKUP(F1240,[4]在职!$A:$M,13,0)</f>
        <v>吴建鑫</v>
      </c>
      <c r="F1240" s="5" t="s">
        <v>1020</v>
      </c>
      <c r="G1240" s="46" t="str">
        <f>VLOOKUP(F1240,[4]在职!$A:$B,2,0)</f>
        <v>01575</v>
      </c>
      <c r="H1240" s="46" t="str">
        <f>VLOOKUP(F1240,[4]在职!$A:$I,9,0)</f>
        <v>一星销售顾问</v>
      </c>
      <c r="I1240" s="84" t="s">
        <v>907</v>
      </c>
      <c r="J1240" s="83">
        <v>46093</v>
      </c>
      <c r="K1240" s="83" t="s">
        <v>1076</v>
      </c>
      <c r="L1240" s="83" t="s">
        <v>27</v>
      </c>
    </row>
    <row r="1241" ht="16.5" spans="1:12">
      <c r="A1241" s="46">
        <v>1239</v>
      </c>
      <c r="B1241" s="46" t="s">
        <v>45</v>
      </c>
      <c r="C1241" s="46" t="str">
        <f>VLOOKUP(F1241,[4]在职!$A:$E,5,0)</f>
        <v>山东</v>
      </c>
      <c r="D1241" s="46" t="str">
        <f>VLOOKUP(F1241,[4]在职!$A:$G,7,0)</f>
        <v>山东销售部</v>
      </c>
      <c r="E1241" s="46" t="str">
        <f>VLOOKUP(F1241,[4]在职!$A:$M,13,0)</f>
        <v>肖佳</v>
      </c>
      <c r="F1241" s="5" t="s">
        <v>1492</v>
      </c>
      <c r="G1241" s="46" t="str">
        <f>VLOOKUP(F1241,[4]在职!$A:$B,2,0)</f>
        <v>01849</v>
      </c>
      <c r="H1241" s="46" t="str">
        <f>VLOOKUP(F1241,[4]在职!$A:$I,9,0)</f>
        <v>一星销售顾问</v>
      </c>
      <c r="I1241" s="84" t="s">
        <v>907</v>
      </c>
      <c r="J1241" s="83">
        <v>46093</v>
      </c>
      <c r="K1241" s="83" t="s">
        <v>1076</v>
      </c>
      <c r="L1241" s="83" t="s">
        <v>27</v>
      </c>
    </row>
    <row r="1242" ht="16.5" spans="1:12">
      <c r="A1242" s="46">
        <v>1240</v>
      </c>
      <c r="B1242" s="46" t="s">
        <v>45</v>
      </c>
      <c r="C1242" s="46" t="str">
        <f>VLOOKUP(F1242,[4]在职!$A:$E,5,0)</f>
        <v>山东</v>
      </c>
      <c r="D1242" s="46" t="str">
        <f>VLOOKUP(F1242,[4]在职!$A:$G,7,0)</f>
        <v>山东销售部</v>
      </c>
      <c r="E1242" s="46" t="str">
        <f>VLOOKUP(F1242,[4]在职!$A:$M,13,0)</f>
        <v>肖佳</v>
      </c>
      <c r="F1242" s="5" t="s">
        <v>1493</v>
      </c>
      <c r="G1242" s="46" t="str">
        <f>VLOOKUP(F1242,[4]在职!$A:$B,2,0)</f>
        <v>01705</v>
      </c>
      <c r="H1242" s="46" t="str">
        <f>VLOOKUP(F1242,[4]在职!$A:$I,9,0)</f>
        <v>一星销售顾问</v>
      </c>
      <c r="I1242" s="84" t="s">
        <v>907</v>
      </c>
      <c r="J1242" s="83">
        <v>46093</v>
      </c>
      <c r="K1242" s="83" t="s">
        <v>1076</v>
      </c>
      <c r="L1242" s="83" t="s">
        <v>27</v>
      </c>
    </row>
    <row r="1243" ht="16.5" spans="1:12">
      <c r="A1243" s="46">
        <v>1241</v>
      </c>
      <c r="B1243" s="46" t="s">
        <v>45</v>
      </c>
      <c r="C1243" s="46" t="str">
        <f>VLOOKUP(F1243,[4]在职!$A:$E,5,0)</f>
        <v>山东</v>
      </c>
      <c r="D1243" s="46" t="str">
        <f>VLOOKUP(F1243,[4]在职!$A:$G,7,0)</f>
        <v>山东销售部</v>
      </c>
      <c r="E1243" s="46" t="str">
        <f>VLOOKUP(F1243,[4]在职!$A:$M,13,0)</f>
        <v>肖佳</v>
      </c>
      <c r="F1243" s="5" t="s">
        <v>1494</v>
      </c>
      <c r="G1243" s="46" t="str">
        <f>VLOOKUP(F1243,[4]在职!$A:$B,2,0)</f>
        <v>01679</v>
      </c>
      <c r="H1243" s="46" t="str">
        <f>VLOOKUP(F1243,[4]在职!$A:$I,9,0)</f>
        <v>一星销售顾问</v>
      </c>
      <c r="I1243" s="84" t="s">
        <v>907</v>
      </c>
      <c r="J1243" s="83">
        <v>46093</v>
      </c>
      <c r="K1243" s="83" t="s">
        <v>1076</v>
      </c>
      <c r="L1243" s="83" t="s">
        <v>27</v>
      </c>
    </row>
    <row r="1244" ht="16.5" spans="1:12">
      <c r="A1244" s="46">
        <v>1242</v>
      </c>
      <c r="B1244" s="46" t="s">
        <v>45</v>
      </c>
      <c r="C1244" s="46" t="str">
        <f>VLOOKUP(F1244,[4]在职!$A:$E,5,0)</f>
        <v>西南总部</v>
      </c>
      <c r="D1244" s="46" t="str">
        <f>VLOOKUP(F1244,[4]在职!$A:$G,7,0)</f>
        <v>营业五部</v>
      </c>
      <c r="E1244" s="46" t="str">
        <f>VLOOKUP(F1244,[4]在职!$A:$M,13,0)</f>
        <v>谢敏</v>
      </c>
      <c r="F1244" s="5" t="s">
        <v>1495</v>
      </c>
      <c r="G1244" s="46" t="str">
        <f>VLOOKUP(F1244,[4]在职!$A:$B,2,0)</f>
        <v>01652</v>
      </c>
      <c r="H1244" s="46" t="str">
        <f>VLOOKUP(F1244,[4]在职!$A:$I,9,0)</f>
        <v>一星销售顾问</v>
      </c>
      <c r="I1244" s="84" t="s">
        <v>907</v>
      </c>
      <c r="J1244" s="83">
        <v>46093</v>
      </c>
      <c r="K1244" s="83" t="s">
        <v>1076</v>
      </c>
      <c r="L1244" s="83" t="s">
        <v>27</v>
      </c>
    </row>
    <row r="1245" ht="16.5" spans="1:12">
      <c r="A1245" s="46">
        <v>1243</v>
      </c>
      <c r="B1245" s="46" t="s">
        <v>45</v>
      </c>
      <c r="C1245" s="46" t="str">
        <f>VLOOKUP(F1245,[4]在职!$A:$E,5,0)</f>
        <v>西南总部</v>
      </c>
      <c r="D1245" s="46" t="str">
        <f>VLOOKUP(F1245,[4]在职!$A:$G,7,0)</f>
        <v>营业五部</v>
      </c>
      <c r="E1245" s="46" t="str">
        <f>VLOOKUP(F1245,[4]在职!$A:$M,13,0)</f>
        <v>谢敏</v>
      </c>
      <c r="F1245" s="5" t="s">
        <v>1496</v>
      </c>
      <c r="G1245" s="46" t="str">
        <f>VLOOKUP(F1245,[4]在职!$A:$B,2,0)</f>
        <v>01557</v>
      </c>
      <c r="H1245" s="46" t="str">
        <f>VLOOKUP(F1245,[4]在职!$A:$I,9,0)</f>
        <v>一星销售顾问</v>
      </c>
      <c r="I1245" s="84" t="s">
        <v>907</v>
      </c>
      <c r="J1245" s="83">
        <v>46093</v>
      </c>
      <c r="K1245" s="83" t="s">
        <v>1076</v>
      </c>
      <c r="L1245" s="83" t="s">
        <v>27</v>
      </c>
    </row>
    <row r="1246" ht="16.5" spans="1:12">
      <c r="A1246" s="46">
        <v>1244</v>
      </c>
      <c r="B1246" s="46" t="s">
        <v>45</v>
      </c>
      <c r="C1246" s="46" t="str">
        <f>VLOOKUP(F1246,[4]在职!$A:$E,5,0)</f>
        <v>西南总部</v>
      </c>
      <c r="D1246" s="46" t="str">
        <f>VLOOKUP(F1246,[4]在职!$A:$G,7,0)</f>
        <v>营业六部</v>
      </c>
      <c r="E1246" s="46" t="str">
        <f>VLOOKUP(F1246,[4]在职!$A:$M,13,0)</f>
        <v>杨翠茹</v>
      </c>
      <c r="F1246" s="5" t="s">
        <v>1497</v>
      </c>
      <c r="G1246" s="46" t="str">
        <f>VLOOKUP(F1246,[4]在职!$A:$B,2,0)</f>
        <v>01739</v>
      </c>
      <c r="H1246" s="46" t="str">
        <f>VLOOKUP(F1246,[4]在职!$A:$I,9,0)</f>
        <v>一星销售顾问</v>
      </c>
      <c r="I1246" s="84" t="s">
        <v>907</v>
      </c>
      <c r="J1246" s="83">
        <v>46093</v>
      </c>
      <c r="K1246" s="83" t="s">
        <v>1076</v>
      </c>
      <c r="L1246" s="83" t="s">
        <v>27</v>
      </c>
    </row>
    <row r="1247" ht="16.5" spans="1:12">
      <c r="A1247" s="46">
        <v>1245</v>
      </c>
      <c r="B1247" s="46" t="s">
        <v>45</v>
      </c>
      <c r="C1247" s="46" t="str">
        <f>VLOOKUP(F1247,[4]在职!$A:$E,5,0)</f>
        <v>西南总部</v>
      </c>
      <c r="D1247" s="46" t="str">
        <f>VLOOKUP(F1247,[4]在职!$A:$G,7,0)</f>
        <v>营业六部</v>
      </c>
      <c r="E1247" s="46" t="str">
        <f>VLOOKUP(F1247,[4]在职!$A:$M,13,0)</f>
        <v>杨翠茹</v>
      </c>
      <c r="F1247" s="5" t="s">
        <v>1022</v>
      </c>
      <c r="G1247" s="46" t="str">
        <f>VLOOKUP(F1247,[4]在职!$A:$B,2,0)</f>
        <v>01579</v>
      </c>
      <c r="H1247" s="46" t="str">
        <f>VLOOKUP(F1247,[4]在职!$A:$I,9,0)</f>
        <v>二星销售顾问</v>
      </c>
      <c r="I1247" s="84" t="s">
        <v>907</v>
      </c>
      <c r="J1247" s="83">
        <v>46093</v>
      </c>
      <c r="K1247" s="83" t="s">
        <v>1076</v>
      </c>
      <c r="L1247" s="83" t="s">
        <v>27</v>
      </c>
    </row>
    <row r="1248" ht="16.5" spans="1:12">
      <c r="A1248" s="46">
        <v>1246</v>
      </c>
      <c r="B1248" s="46" t="s">
        <v>45</v>
      </c>
      <c r="C1248" s="46" t="str">
        <f>VLOOKUP(F1248,[4]在职!$A:$E,5,0)</f>
        <v>西南总部</v>
      </c>
      <c r="D1248" s="46" t="str">
        <f>VLOOKUP(F1248,[4]在职!$A:$G,7,0)</f>
        <v>营业六部</v>
      </c>
      <c r="E1248" s="46" t="str">
        <f>VLOOKUP(F1248,[4]在职!$A:$M,13,0)</f>
        <v>杨威</v>
      </c>
      <c r="F1248" s="5" t="s">
        <v>1498</v>
      </c>
      <c r="G1248" s="46" t="str">
        <f>VLOOKUP(F1248,[4]在职!$A:$B,2,0)</f>
        <v>01274</v>
      </c>
      <c r="H1248" s="46" t="str">
        <f>VLOOKUP(F1248,[4]在职!$A:$I,9,0)</f>
        <v>一星销售顾问</v>
      </c>
      <c r="I1248" s="84" t="s">
        <v>907</v>
      </c>
      <c r="J1248" s="83">
        <v>46093</v>
      </c>
      <c r="K1248" s="83" t="s">
        <v>1076</v>
      </c>
      <c r="L1248" s="83" t="s">
        <v>27</v>
      </c>
    </row>
    <row r="1249" ht="16.5" spans="1:12">
      <c r="A1249" s="46">
        <v>1247</v>
      </c>
      <c r="B1249" s="46" t="s">
        <v>45</v>
      </c>
      <c r="C1249" s="46" t="str">
        <f>VLOOKUP(F1249,[4]在职!$A:$E,5,0)</f>
        <v>西南总部</v>
      </c>
      <c r="D1249" s="46" t="str">
        <f>VLOOKUP(F1249,[4]在职!$A:$G,7,0)</f>
        <v>营业六部</v>
      </c>
      <c r="E1249" s="46" t="str">
        <f>VLOOKUP(F1249,[4]在职!$A:$M,13,0)</f>
        <v>杨威</v>
      </c>
      <c r="F1249" s="5" t="s">
        <v>1040</v>
      </c>
      <c r="G1249" s="46" t="str">
        <f>VLOOKUP(F1249,[4]在职!$A:$B,2,0)</f>
        <v>01660</v>
      </c>
      <c r="H1249" s="46" t="str">
        <f>VLOOKUP(F1249,[4]在职!$A:$I,9,0)</f>
        <v>一星销售顾问</v>
      </c>
      <c r="I1249" s="84" t="s">
        <v>907</v>
      </c>
      <c r="J1249" s="83">
        <v>46093</v>
      </c>
      <c r="K1249" s="83" t="s">
        <v>1076</v>
      </c>
      <c r="L1249" s="83" t="s">
        <v>27</v>
      </c>
    </row>
    <row r="1250" ht="16.5" spans="1:12">
      <c r="A1250" s="46">
        <v>1248</v>
      </c>
      <c r="B1250" s="46" t="s">
        <v>45</v>
      </c>
      <c r="C1250" s="46" t="str">
        <f>VLOOKUP(F1250,[4]在职!$A:$E,5,0)</f>
        <v>西南总部</v>
      </c>
      <c r="D1250" s="46" t="str">
        <f>VLOOKUP(F1250,[4]在职!$A:$G,7,0)</f>
        <v>营业六部</v>
      </c>
      <c r="E1250" s="46" t="str">
        <f>VLOOKUP(F1250,[4]在职!$A:$M,13,0)</f>
        <v>杨威</v>
      </c>
      <c r="F1250" s="5" t="s">
        <v>1042</v>
      </c>
      <c r="G1250" s="46" t="str">
        <f>VLOOKUP(F1250,[4]在职!$A:$B,2,0)</f>
        <v>01615</v>
      </c>
      <c r="H1250" s="46" t="str">
        <f>VLOOKUP(F1250,[4]在职!$A:$I,9,0)</f>
        <v>一星销售顾问</v>
      </c>
      <c r="I1250" s="84" t="s">
        <v>907</v>
      </c>
      <c r="J1250" s="83">
        <v>46093</v>
      </c>
      <c r="K1250" s="83" t="s">
        <v>1076</v>
      </c>
      <c r="L1250" s="83" t="s">
        <v>27</v>
      </c>
    </row>
    <row r="1251" ht="16.5" spans="1:12">
      <c r="A1251" s="46">
        <v>1249</v>
      </c>
      <c r="B1251" s="46" t="s">
        <v>45</v>
      </c>
      <c r="C1251" s="46" t="str">
        <f>VLOOKUP(F1251,[4]在职!$A:$E,5,0)</f>
        <v>陕西</v>
      </c>
      <c r="D1251" s="46" t="str">
        <f>VLOOKUP(F1251,[4]在职!$A:$G,7,0)</f>
        <v>陕西1部</v>
      </c>
      <c r="E1251" s="46" t="str">
        <f>VLOOKUP(F1251,[4]在职!$A:$M,13,0)</f>
        <v>杨永梅</v>
      </c>
      <c r="F1251" s="5" t="s">
        <v>1499</v>
      </c>
      <c r="G1251" s="46" t="str">
        <f>VLOOKUP(F1251,[4]在职!$A:$B,2,0)</f>
        <v>01589</v>
      </c>
      <c r="H1251" s="46" t="str">
        <f>VLOOKUP(F1251,[4]在职!$A:$I,9,0)</f>
        <v>一星销售顾问</v>
      </c>
      <c r="I1251" s="84" t="s">
        <v>907</v>
      </c>
      <c r="J1251" s="83">
        <v>46093</v>
      </c>
      <c r="K1251" s="83" t="s">
        <v>1076</v>
      </c>
      <c r="L1251" s="83" t="s">
        <v>27</v>
      </c>
    </row>
    <row r="1252" ht="16.5" spans="1:12">
      <c r="A1252" s="46">
        <v>1250</v>
      </c>
      <c r="B1252" s="46" t="s">
        <v>45</v>
      </c>
      <c r="C1252" s="46" t="str">
        <f>VLOOKUP(F1252,[4]在职!$A:$E,5,0)</f>
        <v>西南总部</v>
      </c>
      <c r="D1252" s="46" t="str">
        <f>VLOOKUP(F1252,[4]在职!$A:$G,7,0)</f>
        <v>营业二部</v>
      </c>
      <c r="E1252" s="46" t="str">
        <f>VLOOKUP(F1252,[4]在职!$A:$M,13,0)</f>
        <v>张佩瑶</v>
      </c>
      <c r="F1252" s="5" t="s">
        <v>1500</v>
      </c>
      <c r="G1252" s="46" t="str">
        <f>VLOOKUP(F1252,[4]在职!$A:$B,2,0)</f>
        <v>01785</v>
      </c>
      <c r="H1252" s="46" t="str">
        <f>VLOOKUP(F1252,[4]在职!$A:$I,9,0)</f>
        <v>一星销售顾问</v>
      </c>
      <c r="I1252" s="84" t="s">
        <v>907</v>
      </c>
      <c r="J1252" s="83">
        <v>46093</v>
      </c>
      <c r="K1252" s="83" t="s">
        <v>1076</v>
      </c>
      <c r="L1252" s="83" t="s">
        <v>27</v>
      </c>
    </row>
    <row r="1253" ht="16.5" spans="1:12">
      <c r="A1253" s="46">
        <v>1251</v>
      </c>
      <c r="B1253" s="46" t="s">
        <v>45</v>
      </c>
      <c r="C1253" s="46" t="str">
        <f>VLOOKUP(F1253,[4]在职!$A:$E,5,0)</f>
        <v>西南总部</v>
      </c>
      <c r="D1253" s="46" t="str">
        <f>VLOOKUP(F1253,[4]在职!$A:$G,7,0)</f>
        <v>营业二部</v>
      </c>
      <c r="E1253" s="46" t="str">
        <f>VLOOKUP(F1253,[4]在职!$A:$M,13,0)</f>
        <v>张佩瑶</v>
      </c>
      <c r="F1253" s="5" t="s">
        <v>1064</v>
      </c>
      <c r="G1253" s="46" t="str">
        <f>VLOOKUP(F1253,[4]在职!$A:$B,2,0)</f>
        <v>00569</v>
      </c>
      <c r="H1253" s="46" t="str">
        <f>VLOOKUP(F1253,[4]在职!$A:$I,9,0)</f>
        <v>二星销售顾问</v>
      </c>
      <c r="I1253" s="84" t="s">
        <v>907</v>
      </c>
      <c r="J1253" s="83">
        <v>46093</v>
      </c>
      <c r="K1253" s="83" t="s">
        <v>1076</v>
      </c>
      <c r="L1253" s="83" t="s">
        <v>27</v>
      </c>
    </row>
    <row r="1254" ht="16.5" spans="1:12">
      <c r="A1254" s="46">
        <v>1252</v>
      </c>
      <c r="B1254" s="46" t="s">
        <v>45</v>
      </c>
      <c r="C1254" s="46" t="str">
        <f>VLOOKUP(F1254,[4]在职!$A:$E,5,0)</f>
        <v>西南总部</v>
      </c>
      <c r="D1254" s="46" t="str">
        <f>VLOOKUP(F1254,[4]在职!$A:$G,7,0)</f>
        <v>营业三部</v>
      </c>
      <c r="E1254" s="46" t="str">
        <f>VLOOKUP(F1254,[4]在职!$A:$M,13,0)</f>
        <v>郑景慕</v>
      </c>
      <c r="F1254" s="5" t="s">
        <v>1501</v>
      </c>
      <c r="G1254" s="46" t="str">
        <f>VLOOKUP(F1254,[4]在职!$A:$B,2,0)</f>
        <v>01540</v>
      </c>
      <c r="H1254" s="46" t="str">
        <f>VLOOKUP(F1254,[4]在职!$A:$I,9,0)</f>
        <v>一星销售顾问</v>
      </c>
      <c r="I1254" s="84" t="s">
        <v>907</v>
      </c>
      <c r="J1254" s="83">
        <v>46093</v>
      </c>
      <c r="K1254" s="83" t="s">
        <v>1076</v>
      </c>
      <c r="L1254" s="83" t="s">
        <v>27</v>
      </c>
    </row>
    <row r="1255" ht="16.5" spans="1:12">
      <c r="A1255" s="46">
        <v>1253</v>
      </c>
      <c r="B1255" s="46" t="s">
        <v>45</v>
      </c>
      <c r="C1255" s="46" t="str">
        <f>VLOOKUP(F1255,[4]在职!$A:$E,5,0)</f>
        <v>河南</v>
      </c>
      <c r="D1255" s="46" t="str">
        <f>VLOOKUP(F1255,[4]在职!$A:$G,7,0)</f>
        <v>河南销售部</v>
      </c>
      <c r="E1255" s="46" t="str">
        <f>VLOOKUP(F1255,[4]在职!$A:$M,13,0)</f>
        <v>周吉双</v>
      </c>
      <c r="F1255" s="5" t="s">
        <v>1502</v>
      </c>
      <c r="G1255" s="46" t="str">
        <f>VLOOKUP(F1255,[4]在职!$A:$B,2,0)</f>
        <v>01529</v>
      </c>
      <c r="H1255" s="46" t="str">
        <f>VLOOKUP(F1255,[4]在职!$A:$I,9,0)</f>
        <v>一星销售顾问</v>
      </c>
      <c r="I1255" s="84" t="s">
        <v>907</v>
      </c>
      <c r="J1255" s="83">
        <v>46093</v>
      </c>
      <c r="K1255" s="83" t="s">
        <v>1076</v>
      </c>
      <c r="L1255" s="83" t="s">
        <v>27</v>
      </c>
    </row>
    <row r="1256" ht="16.5" spans="1:12">
      <c r="A1256" s="46">
        <v>1254</v>
      </c>
      <c r="B1256" s="46" t="s">
        <v>45</v>
      </c>
      <c r="C1256" s="46" t="str">
        <f>VLOOKUP(F1256,[4]在职!$A:$E,5,0)</f>
        <v>西南总部</v>
      </c>
      <c r="D1256" s="46" t="str">
        <f>VLOOKUP(F1256,[4]在职!$A:$G,7,0)</f>
        <v>营业五部</v>
      </c>
      <c r="E1256" s="46" t="str">
        <f>VLOOKUP(F1256,[4]在职!$A:$M,13,0)</f>
        <v>周远芮</v>
      </c>
      <c r="F1256" s="5" t="s">
        <v>1503</v>
      </c>
      <c r="G1256" s="46" t="str">
        <f>VLOOKUP(F1256,[4]在职!$A:$B,2,0)</f>
        <v>01560</v>
      </c>
      <c r="H1256" s="46" t="str">
        <f>VLOOKUP(F1256,[4]在职!$A:$I,9,0)</f>
        <v>一星销售顾问</v>
      </c>
      <c r="I1256" s="84" t="s">
        <v>907</v>
      </c>
      <c r="J1256" s="83">
        <v>46093</v>
      </c>
      <c r="K1256" s="83" t="s">
        <v>1076</v>
      </c>
      <c r="L1256" s="83" t="s">
        <v>27</v>
      </c>
    </row>
    <row r="1257" ht="16.5" spans="1:12">
      <c r="A1257" s="46">
        <v>1255</v>
      </c>
      <c r="B1257" s="46" t="s">
        <v>45</v>
      </c>
      <c r="C1257" s="46" t="str">
        <f>VLOOKUP(F1257,[4]在职!$A:$E,5,0)</f>
        <v>西南总部</v>
      </c>
      <c r="D1257" s="46" t="str">
        <f>VLOOKUP(F1257,[4]在职!$A:$G,7,0)</f>
        <v>营业一部</v>
      </c>
      <c r="E1257" s="46" t="str">
        <f>VLOOKUP(F1257,[4]在职!$A:$M,13,0)</f>
        <v>白世根</v>
      </c>
      <c r="F1257" s="5" t="s">
        <v>1321</v>
      </c>
      <c r="G1257" s="46" t="str">
        <f>VLOOKUP(F1257,[4]在职!$A:$B,2,0)</f>
        <v>01821</v>
      </c>
      <c r="H1257" s="46" t="str">
        <f>VLOOKUP(F1257,[4]在职!$A:$I,9,0)</f>
        <v>一星销售顾问</v>
      </c>
      <c r="I1257" s="84" t="s">
        <v>907</v>
      </c>
      <c r="J1257" s="83">
        <v>46093</v>
      </c>
      <c r="K1257" s="46" t="s">
        <v>1080</v>
      </c>
      <c r="L1257" s="83" t="s">
        <v>27</v>
      </c>
    </row>
    <row r="1258" ht="16.5" spans="1:12">
      <c r="A1258" s="46">
        <v>1256</v>
      </c>
      <c r="B1258" s="46" t="s">
        <v>45</v>
      </c>
      <c r="C1258" s="46" t="str">
        <f>VLOOKUP(F1258,[4]在职!$A:$E,5,0)</f>
        <v>河北</v>
      </c>
      <c r="D1258" s="46" t="str">
        <f>VLOOKUP(F1258,[4]在职!$A:$G,7,0)</f>
        <v>河北销售部</v>
      </c>
      <c r="E1258" s="46" t="str">
        <f>VLOOKUP(F1258,[4]在职!$A:$M,13,0)</f>
        <v>陈东2</v>
      </c>
      <c r="F1258" s="5" t="s">
        <v>1313</v>
      </c>
      <c r="G1258" s="46" t="str">
        <f>VLOOKUP(F1258,[4]在职!$A:$B,2,0)</f>
        <v>01671</v>
      </c>
      <c r="H1258" s="46" t="str">
        <f>VLOOKUP(F1258,[4]在职!$A:$I,9,0)</f>
        <v>一星销售顾问</v>
      </c>
      <c r="I1258" s="84" t="s">
        <v>907</v>
      </c>
      <c r="J1258" s="83">
        <v>46093</v>
      </c>
      <c r="K1258" s="46" t="s">
        <v>1080</v>
      </c>
      <c r="L1258" s="83" t="s">
        <v>27</v>
      </c>
    </row>
    <row r="1259" ht="16.5" spans="1:12">
      <c r="A1259" s="46">
        <v>1257</v>
      </c>
      <c r="B1259" s="46" t="s">
        <v>45</v>
      </c>
      <c r="C1259" s="46" t="str">
        <f>VLOOKUP(F1259,[4]在职!$A:$E,5,0)</f>
        <v>河北</v>
      </c>
      <c r="D1259" s="46" t="str">
        <f>VLOOKUP(F1259,[4]在职!$A:$G,7,0)</f>
        <v>河北销售部</v>
      </c>
      <c r="E1259" s="46" t="str">
        <f>VLOOKUP(F1259,[4]在职!$A:$M,13,0)</f>
        <v>陈东2</v>
      </c>
      <c r="F1259" s="5" t="s">
        <v>1477</v>
      </c>
      <c r="G1259" s="46" t="str">
        <f>VLOOKUP(F1259,[4]在职!$A:$B,2,0)</f>
        <v>01530</v>
      </c>
      <c r="H1259" s="46" t="str">
        <f>VLOOKUP(F1259,[4]在职!$A:$I,9,0)</f>
        <v>一星销售顾问</v>
      </c>
      <c r="I1259" s="84" t="s">
        <v>907</v>
      </c>
      <c r="J1259" s="83">
        <v>46093</v>
      </c>
      <c r="K1259" s="46" t="s">
        <v>1080</v>
      </c>
      <c r="L1259" s="83" t="s">
        <v>27</v>
      </c>
    </row>
    <row r="1260" ht="16.5" spans="1:12">
      <c r="A1260" s="46">
        <v>1258</v>
      </c>
      <c r="B1260" s="46" t="s">
        <v>45</v>
      </c>
      <c r="C1260" s="46" t="str">
        <f>VLOOKUP(F1260,[4]在职!$A:$E,5,0)</f>
        <v>湖北</v>
      </c>
      <c r="D1260" s="46" t="str">
        <f>VLOOKUP(F1260,[4]在职!$A:$G,7,0)</f>
        <v>湖北2部</v>
      </c>
      <c r="E1260" s="46" t="str">
        <f>VLOOKUP(F1260,[4]在职!$A:$M,13,0)</f>
        <v>陈竺</v>
      </c>
      <c r="F1260" s="5" t="s">
        <v>1478</v>
      </c>
      <c r="G1260" s="46" t="str">
        <f>VLOOKUP(F1260,[4]在职!$A:$B,2,0)</f>
        <v>01685</v>
      </c>
      <c r="H1260" s="46" t="str">
        <f>VLOOKUP(F1260,[4]在职!$A:$I,9,0)</f>
        <v>一星销售顾问</v>
      </c>
      <c r="I1260" s="84" t="s">
        <v>907</v>
      </c>
      <c r="J1260" s="83">
        <v>46093</v>
      </c>
      <c r="K1260" s="46" t="s">
        <v>1080</v>
      </c>
      <c r="L1260" s="83" t="s">
        <v>27</v>
      </c>
    </row>
    <row r="1261" ht="16.5" spans="1:12">
      <c r="A1261" s="46">
        <v>1259</v>
      </c>
      <c r="B1261" s="46" t="s">
        <v>45</v>
      </c>
      <c r="C1261" s="46" t="str">
        <f>VLOOKUP(F1261,[4]在职!$A:$E,5,0)</f>
        <v>西南总部</v>
      </c>
      <c r="D1261" s="46" t="str">
        <f>VLOOKUP(F1261,[4]在职!$A:$G,7,0)</f>
        <v>营业一部</v>
      </c>
      <c r="E1261" s="46" t="str">
        <f>VLOOKUP(F1261,[4]在职!$A:$M,13,0)</f>
        <v>胡雪梅</v>
      </c>
      <c r="F1261" s="5" t="s">
        <v>952</v>
      </c>
      <c r="G1261" s="46" t="str">
        <f>VLOOKUP(F1261,[4]在职!$A:$B,2,0)</f>
        <v>01690</v>
      </c>
      <c r="H1261" s="46" t="str">
        <f>VLOOKUP(F1261,[4]在职!$A:$I,9,0)</f>
        <v>一星销售顾问</v>
      </c>
      <c r="I1261" s="84" t="s">
        <v>907</v>
      </c>
      <c r="J1261" s="83">
        <v>46093</v>
      </c>
      <c r="K1261" s="46" t="s">
        <v>1080</v>
      </c>
      <c r="L1261" s="83" t="s">
        <v>27</v>
      </c>
    </row>
    <row r="1262" ht="16.5" spans="1:12">
      <c r="A1262" s="46">
        <v>1260</v>
      </c>
      <c r="B1262" s="46" t="s">
        <v>45</v>
      </c>
      <c r="C1262" s="46" t="str">
        <f>VLOOKUP(F1262,[4]在职!$A:$E,5,0)</f>
        <v>西南总部</v>
      </c>
      <c r="D1262" s="46" t="str">
        <f>VLOOKUP(F1262,[4]在职!$A:$G,7,0)</f>
        <v>营业一部</v>
      </c>
      <c r="E1262" s="46" t="str">
        <f>VLOOKUP(F1262,[4]在职!$A:$M,13,0)</f>
        <v>胡雪梅</v>
      </c>
      <c r="F1262" s="5" t="s">
        <v>954</v>
      </c>
      <c r="G1262" s="46" t="str">
        <f>VLOOKUP(F1262,[4]在职!$A:$B,2,0)</f>
        <v>01307</v>
      </c>
      <c r="H1262" s="46" t="str">
        <f>VLOOKUP(F1262,[4]在职!$A:$I,9,0)</f>
        <v>二星销售顾问</v>
      </c>
      <c r="I1262" s="84" t="s">
        <v>907</v>
      </c>
      <c r="J1262" s="83">
        <v>46093</v>
      </c>
      <c r="K1262" s="46" t="s">
        <v>1080</v>
      </c>
      <c r="L1262" s="83" t="s">
        <v>27</v>
      </c>
    </row>
    <row r="1263" ht="16.5" spans="1:12">
      <c r="A1263" s="46">
        <v>1261</v>
      </c>
      <c r="B1263" s="46" t="s">
        <v>45</v>
      </c>
      <c r="C1263" s="46" t="str">
        <f>VLOOKUP(F1263,[4]在职!$A:$E,5,0)</f>
        <v>西南总部</v>
      </c>
      <c r="D1263" s="46" t="str">
        <f>VLOOKUP(F1263,[4]在职!$A:$G,7,0)</f>
        <v>营业三部</v>
      </c>
      <c r="E1263" s="46" t="str">
        <f>VLOOKUP(F1263,[4]在职!$A:$M,13,0)</f>
        <v>扈岭楠</v>
      </c>
      <c r="F1263" s="5" t="s">
        <v>1479</v>
      </c>
      <c r="G1263" s="46" t="str">
        <f>VLOOKUP(F1263,[4]在职!$A:$B,2,0)</f>
        <v>01440</v>
      </c>
      <c r="H1263" s="46" t="str">
        <f>VLOOKUP(F1263,[4]在职!$A:$I,9,0)</f>
        <v>一星销售顾问</v>
      </c>
      <c r="I1263" s="84" t="s">
        <v>907</v>
      </c>
      <c r="J1263" s="83">
        <v>46093</v>
      </c>
      <c r="K1263" s="46" t="s">
        <v>1080</v>
      </c>
      <c r="L1263" s="83" t="s">
        <v>27</v>
      </c>
    </row>
    <row r="1264" ht="16.5" spans="1:12">
      <c r="A1264" s="46">
        <v>1262</v>
      </c>
      <c r="B1264" s="46" t="s">
        <v>45</v>
      </c>
      <c r="C1264" s="46" t="str">
        <f>VLOOKUP(F1264,[4]在职!$A:$E,5,0)</f>
        <v>西南总部</v>
      </c>
      <c r="D1264" s="46" t="str">
        <f>VLOOKUP(F1264,[4]在职!$A:$G,7,0)</f>
        <v>营业七部</v>
      </c>
      <c r="E1264" s="46" t="str">
        <f>VLOOKUP(F1264,[4]在职!$A:$M,13,0)</f>
        <v>蒋杨</v>
      </c>
      <c r="F1264" s="5" t="s">
        <v>964</v>
      </c>
      <c r="G1264" s="46" t="str">
        <f>VLOOKUP(F1264,[4]在职!$A:$B,2,0)</f>
        <v>01405</v>
      </c>
      <c r="H1264" s="46" t="str">
        <f>VLOOKUP(F1264,[4]在职!$A:$I,9,0)</f>
        <v>一星销售顾问</v>
      </c>
      <c r="I1264" s="84" t="s">
        <v>907</v>
      </c>
      <c r="J1264" s="83">
        <v>46093</v>
      </c>
      <c r="K1264" s="46" t="s">
        <v>1080</v>
      </c>
      <c r="L1264" s="83" t="s">
        <v>27</v>
      </c>
    </row>
    <row r="1265" ht="16.5" spans="1:12">
      <c r="A1265" s="46">
        <v>1263</v>
      </c>
      <c r="B1265" s="46" t="s">
        <v>45</v>
      </c>
      <c r="C1265" s="46" t="str">
        <f>VLOOKUP(F1265,[4]在职!$A:$E,5,0)</f>
        <v>西南总部</v>
      </c>
      <c r="D1265" s="46" t="str">
        <f>VLOOKUP(F1265,[4]在职!$A:$G,7,0)</f>
        <v>营业五部</v>
      </c>
      <c r="E1265" s="46" t="str">
        <f>VLOOKUP(F1265,[4]在职!$A:$M,13,0)</f>
        <v>李敏</v>
      </c>
      <c r="F1265" s="5" t="s">
        <v>1480</v>
      </c>
      <c r="G1265" s="46" t="str">
        <f>VLOOKUP(F1265,[4]在职!$A:$B,2,0)</f>
        <v>01724</v>
      </c>
      <c r="H1265" s="46" t="str">
        <f>VLOOKUP(F1265,[4]在职!$A:$I,9,0)</f>
        <v>一星销售顾问</v>
      </c>
      <c r="I1265" s="84" t="s">
        <v>907</v>
      </c>
      <c r="J1265" s="83">
        <v>46093</v>
      </c>
      <c r="K1265" s="46" t="s">
        <v>1080</v>
      </c>
      <c r="L1265" s="83" t="s">
        <v>27</v>
      </c>
    </row>
    <row r="1266" ht="16.5" spans="1:12">
      <c r="A1266" s="46">
        <v>1264</v>
      </c>
      <c r="B1266" s="46" t="s">
        <v>45</v>
      </c>
      <c r="C1266" s="46" t="str">
        <f>VLOOKUP(F1266,[4]在职!$A:$E,5,0)</f>
        <v>西南总部</v>
      </c>
      <c r="D1266" s="46" t="str">
        <f>VLOOKUP(F1266,[4]在职!$A:$G,7,0)</f>
        <v>营业五部</v>
      </c>
      <c r="E1266" s="46" t="str">
        <f>VLOOKUP(F1266,[4]在职!$A:$M,13,0)</f>
        <v>李敏</v>
      </c>
      <c r="F1266" s="5" t="s">
        <v>1481</v>
      </c>
      <c r="G1266" s="46" t="str">
        <f>VLOOKUP(F1266,[4]在职!$A:$B,2,0)</f>
        <v>01710</v>
      </c>
      <c r="H1266" s="46" t="str">
        <f>VLOOKUP(F1266,[4]在职!$A:$I,9,0)</f>
        <v>一星销售顾问</v>
      </c>
      <c r="I1266" s="84" t="s">
        <v>907</v>
      </c>
      <c r="J1266" s="83">
        <v>46093</v>
      </c>
      <c r="K1266" s="46" t="s">
        <v>1080</v>
      </c>
      <c r="L1266" s="83" t="s">
        <v>27</v>
      </c>
    </row>
    <row r="1267" ht="16.5" spans="1:12">
      <c r="A1267" s="46">
        <v>1265</v>
      </c>
      <c r="B1267" s="46" t="s">
        <v>45</v>
      </c>
      <c r="C1267" s="46" t="str">
        <f>VLOOKUP(F1267,[4]在职!$A:$E,5,0)</f>
        <v>陕西</v>
      </c>
      <c r="D1267" s="46" t="str">
        <f>VLOOKUP(F1267,[4]在职!$A:$G,7,0)</f>
        <v>陕西1部</v>
      </c>
      <c r="E1267" s="46" t="str">
        <f>VLOOKUP(F1267,[4]在职!$A:$M,13,0)</f>
        <v>刘聪</v>
      </c>
      <c r="F1267" s="5" t="s">
        <v>1482</v>
      </c>
      <c r="G1267" s="46" t="str">
        <f>VLOOKUP(F1267,[4]在职!$A:$B,2,0)</f>
        <v>01665</v>
      </c>
      <c r="H1267" s="46" t="str">
        <f>VLOOKUP(F1267,[4]在职!$A:$I,9,0)</f>
        <v>一星销售顾问</v>
      </c>
      <c r="I1267" s="84" t="s">
        <v>907</v>
      </c>
      <c r="J1267" s="83">
        <v>46093</v>
      </c>
      <c r="K1267" s="46" t="s">
        <v>1080</v>
      </c>
      <c r="L1267" s="83" t="s">
        <v>27</v>
      </c>
    </row>
    <row r="1268" ht="16.5" spans="1:12">
      <c r="A1268" s="46">
        <v>1266</v>
      </c>
      <c r="B1268" s="46" t="s">
        <v>45</v>
      </c>
      <c r="C1268" s="46" t="str">
        <f>VLOOKUP(F1268,[4]在职!$A:$E,5,0)</f>
        <v>陕西</v>
      </c>
      <c r="D1268" s="46" t="str">
        <f>VLOOKUP(F1268,[4]在职!$A:$G,7,0)</f>
        <v>陕西1部</v>
      </c>
      <c r="E1268" s="46" t="str">
        <f>VLOOKUP(F1268,[4]在职!$A:$M,13,0)</f>
        <v>刘聪</v>
      </c>
      <c r="F1268" s="5" t="s">
        <v>1483</v>
      </c>
      <c r="G1268" s="46" t="str">
        <f>VLOOKUP(F1268,[4]在职!$A:$B,2,0)</f>
        <v>01656</v>
      </c>
      <c r="H1268" s="46" t="str">
        <f>VLOOKUP(F1268,[4]在职!$A:$I,9,0)</f>
        <v>一星销售顾问</v>
      </c>
      <c r="I1268" s="84" t="s">
        <v>907</v>
      </c>
      <c r="J1268" s="83">
        <v>46093</v>
      </c>
      <c r="K1268" s="46" t="s">
        <v>1080</v>
      </c>
      <c r="L1268" s="83" t="s">
        <v>27</v>
      </c>
    </row>
    <row r="1269" ht="16.5" spans="1:12">
      <c r="A1269" s="46">
        <v>1267</v>
      </c>
      <c r="B1269" s="46" t="s">
        <v>45</v>
      </c>
      <c r="C1269" s="46" t="str">
        <f>VLOOKUP(F1269,[4]在职!$A:$E,5,0)</f>
        <v>陕西</v>
      </c>
      <c r="D1269" s="46" t="str">
        <f>VLOOKUP(F1269,[4]在职!$A:$G,7,0)</f>
        <v>陕西1部</v>
      </c>
      <c r="E1269" s="46" t="str">
        <f>VLOOKUP(F1269,[4]在职!$A:$M,13,0)</f>
        <v>刘聪</v>
      </c>
      <c r="F1269" s="5" t="s">
        <v>1484</v>
      </c>
      <c r="G1269" s="46" t="str">
        <f>VLOOKUP(F1269,[4]在职!$A:$B,2,0)</f>
        <v>01653</v>
      </c>
      <c r="H1269" s="46" t="str">
        <f>VLOOKUP(F1269,[4]在职!$A:$I,9,0)</f>
        <v>一星销售顾问</v>
      </c>
      <c r="I1269" s="84" t="s">
        <v>907</v>
      </c>
      <c r="J1269" s="83">
        <v>46093</v>
      </c>
      <c r="K1269" s="46" t="s">
        <v>1080</v>
      </c>
      <c r="L1269" s="83" t="s">
        <v>27</v>
      </c>
    </row>
    <row r="1270" ht="16.5" spans="1:12">
      <c r="A1270" s="46">
        <v>1268</v>
      </c>
      <c r="B1270" s="46" t="s">
        <v>45</v>
      </c>
      <c r="C1270" s="46" t="str">
        <f>VLOOKUP(F1270,[4]在职!$A:$E,5,0)</f>
        <v>西南总部</v>
      </c>
      <c r="D1270" s="46" t="str">
        <f>VLOOKUP(F1270,[4]在职!$A:$G,7,0)</f>
        <v>营业三部</v>
      </c>
      <c r="E1270" s="46" t="str">
        <f>VLOOKUP(F1270,[4]在职!$A:$M,13,0)</f>
        <v>刘佳</v>
      </c>
      <c r="F1270" s="5" t="s">
        <v>1485</v>
      </c>
      <c r="G1270" s="46" t="str">
        <f>VLOOKUP(F1270,[4]在职!$A:$B,2,0)</f>
        <v>01740</v>
      </c>
      <c r="H1270" s="46" t="str">
        <f>VLOOKUP(F1270,[4]在职!$A:$I,9,0)</f>
        <v>一星销售顾问</v>
      </c>
      <c r="I1270" s="84" t="s">
        <v>907</v>
      </c>
      <c r="J1270" s="83">
        <v>46093</v>
      </c>
      <c r="K1270" s="46" t="s">
        <v>1080</v>
      </c>
      <c r="L1270" s="83" t="s">
        <v>27</v>
      </c>
    </row>
    <row r="1271" ht="16.5" spans="1:12">
      <c r="A1271" s="46">
        <v>1269</v>
      </c>
      <c r="B1271" s="46" t="s">
        <v>45</v>
      </c>
      <c r="C1271" s="46" t="str">
        <f>VLOOKUP(F1271,[4]在职!$A:$E,5,0)</f>
        <v>西南总部</v>
      </c>
      <c r="D1271" s="46" t="str">
        <f>VLOOKUP(F1271,[4]在职!$A:$G,7,0)</f>
        <v>营业三部</v>
      </c>
      <c r="E1271" s="46" t="str">
        <f>VLOOKUP(F1271,[4]在职!$A:$M,13,0)</f>
        <v>刘佳</v>
      </c>
      <c r="F1271" s="5" t="s">
        <v>1486</v>
      </c>
      <c r="G1271" s="46" t="str">
        <f>VLOOKUP(F1271,[4]在职!$A:$B,2,0)</f>
        <v>01729</v>
      </c>
      <c r="H1271" s="46" t="str">
        <f>VLOOKUP(F1271,[4]在职!$A:$I,9,0)</f>
        <v>一星销售顾问</v>
      </c>
      <c r="I1271" s="84" t="s">
        <v>907</v>
      </c>
      <c r="J1271" s="83">
        <v>46093</v>
      </c>
      <c r="K1271" s="46" t="s">
        <v>1080</v>
      </c>
      <c r="L1271" s="83" t="s">
        <v>27</v>
      </c>
    </row>
    <row r="1272" ht="16.5" spans="1:12">
      <c r="A1272" s="46">
        <v>1270</v>
      </c>
      <c r="B1272" s="46" t="s">
        <v>45</v>
      </c>
      <c r="C1272" s="46" t="str">
        <f>VLOOKUP(F1272,[4]在职!$A:$E,5,0)</f>
        <v>陕西</v>
      </c>
      <c r="D1272" s="46" t="str">
        <f>VLOOKUP(F1272,[4]在职!$A:$G,7,0)</f>
        <v>陕西2部</v>
      </c>
      <c r="E1272" s="46" t="str">
        <f>VLOOKUP(F1272,[4]在职!$A:$M,13,0)</f>
        <v>乔磊</v>
      </c>
      <c r="F1272" s="5" t="s">
        <v>1487</v>
      </c>
      <c r="G1272" s="46" t="str">
        <f>VLOOKUP(F1272,[4]在职!$A:$B,2,0)</f>
        <v>01770</v>
      </c>
      <c r="H1272" s="46" t="str">
        <f>VLOOKUP(F1272,[4]在职!$A:$I,9,0)</f>
        <v>一星销售顾问</v>
      </c>
      <c r="I1272" s="84" t="s">
        <v>907</v>
      </c>
      <c r="J1272" s="83">
        <v>46093</v>
      </c>
      <c r="K1272" s="46" t="s">
        <v>1080</v>
      </c>
      <c r="L1272" s="83" t="s">
        <v>27</v>
      </c>
    </row>
    <row r="1273" ht="16.5" spans="1:12">
      <c r="A1273" s="46">
        <v>1271</v>
      </c>
      <c r="B1273" s="46" t="s">
        <v>45</v>
      </c>
      <c r="C1273" s="46" t="str">
        <f>VLOOKUP(F1273,[4]在职!$A:$E,5,0)</f>
        <v>陕西</v>
      </c>
      <c r="D1273" s="46" t="str">
        <f>VLOOKUP(F1273,[4]在职!$A:$G,7,0)</f>
        <v>陕西2部</v>
      </c>
      <c r="E1273" s="46" t="str">
        <f>VLOOKUP(F1273,[4]在职!$A:$M,13,0)</f>
        <v>乔磊</v>
      </c>
      <c r="F1273" s="5" t="s">
        <v>1488</v>
      </c>
      <c r="G1273" s="46" t="str">
        <f>VLOOKUP(F1273,[4]在职!$A:$B,2,0)</f>
        <v>01526</v>
      </c>
      <c r="H1273" s="46" t="str">
        <f>VLOOKUP(F1273,[4]在职!$A:$I,9,0)</f>
        <v>一星销售顾问</v>
      </c>
      <c r="I1273" s="84" t="s">
        <v>907</v>
      </c>
      <c r="J1273" s="83">
        <v>46093</v>
      </c>
      <c r="K1273" s="46" t="s">
        <v>1080</v>
      </c>
      <c r="L1273" s="83" t="s">
        <v>27</v>
      </c>
    </row>
    <row r="1274" ht="16.5" spans="1:12">
      <c r="A1274" s="46">
        <v>1272</v>
      </c>
      <c r="B1274" s="46" t="s">
        <v>45</v>
      </c>
      <c r="C1274" s="46" t="str">
        <f>VLOOKUP(F1274,[4]在职!$A:$E,5,0)</f>
        <v>西南总部</v>
      </c>
      <c r="D1274" s="46" t="str">
        <f>VLOOKUP(F1274,[4]在职!$A:$G,7,0)</f>
        <v>营业六部</v>
      </c>
      <c r="E1274" s="46" t="str">
        <f>VLOOKUP(F1274,[4]在职!$A:$M,13,0)</f>
        <v>税锐</v>
      </c>
      <c r="F1274" s="5" t="s">
        <v>1489</v>
      </c>
      <c r="G1274" s="46" t="str">
        <f>VLOOKUP(F1274,[4]在职!$A:$B,2,0)</f>
        <v>01704</v>
      </c>
      <c r="H1274" s="46" t="str">
        <f>VLOOKUP(F1274,[4]在职!$A:$I,9,0)</f>
        <v>一星销售顾问</v>
      </c>
      <c r="I1274" s="84" t="s">
        <v>907</v>
      </c>
      <c r="J1274" s="83">
        <v>46093</v>
      </c>
      <c r="K1274" s="46" t="s">
        <v>1080</v>
      </c>
      <c r="L1274" s="83" t="s">
        <v>27</v>
      </c>
    </row>
    <row r="1275" ht="16.5" spans="1:12">
      <c r="A1275" s="46">
        <v>1273</v>
      </c>
      <c r="B1275" s="46" t="s">
        <v>45</v>
      </c>
      <c r="C1275" s="46" t="str">
        <f>VLOOKUP(F1275,[4]在职!$A:$E,5,0)</f>
        <v>西南总部</v>
      </c>
      <c r="D1275" s="46" t="str">
        <f>VLOOKUP(F1275,[4]在职!$A:$G,7,0)</f>
        <v>营业六部</v>
      </c>
      <c r="E1275" s="46" t="str">
        <f>VLOOKUP(F1275,[4]在职!$A:$M,13,0)</f>
        <v>税锐</v>
      </c>
      <c r="F1275" s="5" t="s">
        <v>1490</v>
      </c>
      <c r="G1275" s="46" t="str">
        <f>VLOOKUP(F1275,[4]在职!$A:$B,2,0)</f>
        <v>01699</v>
      </c>
      <c r="H1275" s="46" t="str">
        <f>VLOOKUP(F1275,[4]在职!$A:$I,9,0)</f>
        <v>一星销售顾问</v>
      </c>
      <c r="I1275" s="84" t="s">
        <v>907</v>
      </c>
      <c r="J1275" s="83">
        <v>46093</v>
      </c>
      <c r="K1275" s="46" t="s">
        <v>1080</v>
      </c>
      <c r="L1275" s="83" t="s">
        <v>27</v>
      </c>
    </row>
    <row r="1276" ht="16.5" spans="1:12">
      <c r="A1276" s="46">
        <v>1274</v>
      </c>
      <c r="B1276" s="46" t="s">
        <v>45</v>
      </c>
      <c r="C1276" s="46" t="str">
        <f>VLOOKUP(F1276,[4]在职!$A:$E,5,0)</f>
        <v>湖南</v>
      </c>
      <c r="D1276" s="46" t="str">
        <f>VLOOKUP(F1276,[4]在职!$A:$G,7,0)</f>
        <v>湖南销售部</v>
      </c>
      <c r="E1276" s="46" t="str">
        <f>VLOOKUP(F1276,[4]在职!$A:$M,13,0)</f>
        <v>孙小龙</v>
      </c>
      <c r="F1276" s="5" t="s">
        <v>994</v>
      </c>
      <c r="G1276" s="46" t="str">
        <f>VLOOKUP(F1276,[4]在职!$A:$B,2,0)</f>
        <v>01477</v>
      </c>
      <c r="H1276" s="46" t="str">
        <f>VLOOKUP(F1276,[4]在职!$A:$I,9,0)</f>
        <v>二星销售顾问</v>
      </c>
      <c r="I1276" s="84" t="s">
        <v>907</v>
      </c>
      <c r="J1276" s="83">
        <v>46093</v>
      </c>
      <c r="K1276" s="46" t="s">
        <v>1080</v>
      </c>
      <c r="L1276" s="83" t="s">
        <v>27</v>
      </c>
    </row>
    <row r="1277" ht="16.5" spans="1:12">
      <c r="A1277" s="46">
        <v>1275</v>
      </c>
      <c r="B1277" s="46" t="s">
        <v>45</v>
      </c>
      <c r="C1277" s="46" t="str">
        <f>VLOOKUP(F1277,[4]在职!$A:$E,5,0)</f>
        <v>西南总部</v>
      </c>
      <c r="D1277" s="46" t="str">
        <f>VLOOKUP(F1277,[4]在职!$A:$G,7,0)</f>
        <v>营业三部</v>
      </c>
      <c r="E1277" s="46" t="str">
        <f>VLOOKUP(F1277,[4]在职!$A:$M,13,0)</f>
        <v>陶再阳</v>
      </c>
      <c r="F1277" s="5" t="s">
        <v>1491</v>
      </c>
      <c r="G1277" s="46" t="str">
        <f>VLOOKUP(F1277,[4]在职!$A:$B,2,0)</f>
        <v>01719</v>
      </c>
      <c r="H1277" s="46" t="str">
        <f>VLOOKUP(F1277,[4]在职!$A:$I,9,0)</f>
        <v>一星销售顾问</v>
      </c>
      <c r="I1277" s="84" t="s">
        <v>907</v>
      </c>
      <c r="J1277" s="83">
        <v>46093</v>
      </c>
      <c r="K1277" s="46" t="s">
        <v>1080</v>
      </c>
      <c r="L1277" s="83" t="s">
        <v>27</v>
      </c>
    </row>
    <row r="1278" ht="16.5" spans="1:12">
      <c r="A1278" s="46">
        <v>1276</v>
      </c>
      <c r="B1278" s="46" t="s">
        <v>45</v>
      </c>
      <c r="C1278" s="46" t="str">
        <f>VLOOKUP(F1278,[4]在职!$A:$E,5,0)</f>
        <v>西南总部</v>
      </c>
      <c r="D1278" s="46" t="str">
        <f>VLOOKUP(F1278,[4]在职!$A:$G,7,0)</f>
        <v>营业三部</v>
      </c>
      <c r="E1278" s="46" t="str">
        <f>VLOOKUP(F1278,[4]在职!$A:$M,13,0)</f>
        <v>吴建鑫</v>
      </c>
      <c r="F1278" s="5" t="s">
        <v>1020</v>
      </c>
      <c r="G1278" s="46" t="str">
        <f>VLOOKUP(F1278,[4]在职!$A:$B,2,0)</f>
        <v>01575</v>
      </c>
      <c r="H1278" s="46" t="str">
        <f>VLOOKUP(F1278,[4]在职!$A:$I,9,0)</f>
        <v>一星销售顾问</v>
      </c>
      <c r="I1278" s="84" t="s">
        <v>907</v>
      </c>
      <c r="J1278" s="83">
        <v>46093</v>
      </c>
      <c r="K1278" s="46" t="s">
        <v>1080</v>
      </c>
      <c r="L1278" s="83" t="s">
        <v>27</v>
      </c>
    </row>
    <row r="1279" ht="16.5" spans="1:12">
      <c r="A1279" s="46">
        <v>1277</v>
      </c>
      <c r="B1279" s="46" t="s">
        <v>45</v>
      </c>
      <c r="C1279" s="46" t="str">
        <f>VLOOKUP(F1279,[4]在职!$A:$E,5,0)</f>
        <v>山东</v>
      </c>
      <c r="D1279" s="46" t="str">
        <f>VLOOKUP(F1279,[4]在职!$A:$G,7,0)</f>
        <v>山东销售部</v>
      </c>
      <c r="E1279" s="46" t="str">
        <f>VLOOKUP(F1279,[4]在职!$A:$M,13,0)</f>
        <v>肖佳</v>
      </c>
      <c r="F1279" s="5" t="s">
        <v>1492</v>
      </c>
      <c r="G1279" s="46" t="str">
        <f>VLOOKUP(F1279,[4]在职!$A:$B,2,0)</f>
        <v>01849</v>
      </c>
      <c r="H1279" s="46" t="str">
        <f>VLOOKUP(F1279,[4]在职!$A:$I,9,0)</f>
        <v>一星销售顾问</v>
      </c>
      <c r="I1279" s="84" t="s">
        <v>907</v>
      </c>
      <c r="J1279" s="83">
        <v>46093</v>
      </c>
      <c r="K1279" s="46" t="s">
        <v>1080</v>
      </c>
      <c r="L1279" s="83" t="s">
        <v>27</v>
      </c>
    </row>
    <row r="1280" ht="16.5" spans="1:12">
      <c r="A1280" s="46">
        <v>1278</v>
      </c>
      <c r="B1280" s="46" t="s">
        <v>45</v>
      </c>
      <c r="C1280" s="46" t="str">
        <f>VLOOKUP(F1280,[4]在职!$A:$E,5,0)</f>
        <v>山东</v>
      </c>
      <c r="D1280" s="46" t="str">
        <f>VLOOKUP(F1280,[4]在职!$A:$G,7,0)</f>
        <v>山东销售部</v>
      </c>
      <c r="E1280" s="46" t="str">
        <f>VLOOKUP(F1280,[4]在职!$A:$M,13,0)</f>
        <v>肖佳</v>
      </c>
      <c r="F1280" s="5" t="s">
        <v>1493</v>
      </c>
      <c r="G1280" s="46" t="str">
        <f>VLOOKUP(F1280,[4]在职!$A:$B,2,0)</f>
        <v>01705</v>
      </c>
      <c r="H1280" s="46" t="str">
        <f>VLOOKUP(F1280,[4]在职!$A:$I,9,0)</f>
        <v>一星销售顾问</v>
      </c>
      <c r="I1280" s="84" t="s">
        <v>907</v>
      </c>
      <c r="J1280" s="83">
        <v>46093</v>
      </c>
      <c r="K1280" s="46" t="s">
        <v>1080</v>
      </c>
      <c r="L1280" s="83" t="s">
        <v>27</v>
      </c>
    </row>
    <row r="1281" ht="16.5" spans="1:12">
      <c r="A1281" s="46">
        <v>1279</v>
      </c>
      <c r="B1281" s="46" t="s">
        <v>45</v>
      </c>
      <c r="C1281" s="46" t="str">
        <f>VLOOKUP(F1281,[4]在职!$A:$E,5,0)</f>
        <v>山东</v>
      </c>
      <c r="D1281" s="46" t="str">
        <f>VLOOKUP(F1281,[4]在职!$A:$G,7,0)</f>
        <v>山东销售部</v>
      </c>
      <c r="E1281" s="46" t="str">
        <f>VLOOKUP(F1281,[4]在职!$A:$M,13,0)</f>
        <v>肖佳</v>
      </c>
      <c r="F1281" s="5" t="s">
        <v>1494</v>
      </c>
      <c r="G1281" s="46" t="str">
        <f>VLOOKUP(F1281,[4]在职!$A:$B,2,0)</f>
        <v>01679</v>
      </c>
      <c r="H1281" s="46" t="str">
        <f>VLOOKUP(F1281,[4]在职!$A:$I,9,0)</f>
        <v>一星销售顾问</v>
      </c>
      <c r="I1281" s="84" t="s">
        <v>907</v>
      </c>
      <c r="J1281" s="83">
        <v>46093</v>
      </c>
      <c r="K1281" s="46" t="s">
        <v>1080</v>
      </c>
      <c r="L1281" s="83" t="s">
        <v>27</v>
      </c>
    </row>
    <row r="1282" ht="16.5" spans="1:12">
      <c r="A1282" s="46">
        <v>1280</v>
      </c>
      <c r="B1282" s="46" t="s">
        <v>45</v>
      </c>
      <c r="C1282" s="46" t="str">
        <f>VLOOKUP(F1282,[4]在职!$A:$E,5,0)</f>
        <v>西南总部</v>
      </c>
      <c r="D1282" s="46" t="str">
        <f>VLOOKUP(F1282,[4]在职!$A:$G,7,0)</f>
        <v>营业五部</v>
      </c>
      <c r="E1282" s="46" t="str">
        <f>VLOOKUP(F1282,[4]在职!$A:$M,13,0)</f>
        <v>谢敏</v>
      </c>
      <c r="F1282" s="5" t="s">
        <v>1495</v>
      </c>
      <c r="G1282" s="46" t="str">
        <f>VLOOKUP(F1282,[4]在职!$A:$B,2,0)</f>
        <v>01652</v>
      </c>
      <c r="H1282" s="46" t="str">
        <f>VLOOKUP(F1282,[4]在职!$A:$I,9,0)</f>
        <v>一星销售顾问</v>
      </c>
      <c r="I1282" s="84" t="s">
        <v>907</v>
      </c>
      <c r="J1282" s="83">
        <v>46093</v>
      </c>
      <c r="K1282" s="46" t="s">
        <v>1080</v>
      </c>
      <c r="L1282" s="83" t="s">
        <v>27</v>
      </c>
    </row>
    <row r="1283" ht="16.5" spans="1:12">
      <c r="A1283" s="46">
        <v>1281</v>
      </c>
      <c r="B1283" s="46" t="s">
        <v>45</v>
      </c>
      <c r="C1283" s="46" t="str">
        <f>VLOOKUP(F1283,[4]在职!$A:$E,5,0)</f>
        <v>西南总部</v>
      </c>
      <c r="D1283" s="46" t="str">
        <f>VLOOKUP(F1283,[4]在职!$A:$G,7,0)</f>
        <v>营业五部</v>
      </c>
      <c r="E1283" s="46" t="str">
        <f>VLOOKUP(F1283,[4]在职!$A:$M,13,0)</f>
        <v>谢敏</v>
      </c>
      <c r="F1283" s="5" t="s">
        <v>1496</v>
      </c>
      <c r="G1283" s="46" t="str">
        <f>VLOOKUP(F1283,[4]在职!$A:$B,2,0)</f>
        <v>01557</v>
      </c>
      <c r="H1283" s="46" t="str">
        <f>VLOOKUP(F1283,[4]在职!$A:$I,9,0)</f>
        <v>一星销售顾问</v>
      </c>
      <c r="I1283" s="84" t="s">
        <v>907</v>
      </c>
      <c r="J1283" s="83">
        <v>46093</v>
      </c>
      <c r="K1283" s="46" t="s">
        <v>1080</v>
      </c>
      <c r="L1283" s="83" t="s">
        <v>27</v>
      </c>
    </row>
    <row r="1284" ht="16.5" spans="1:12">
      <c r="A1284" s="46">
        <v>1282</v>
      </c>
      <c r="B1284" s="46" t="s">
        <v>45</v>
      </c>
      <c r="C1284" s="46" t="str">
        <f>VLOOKUP(F1284,[4]在职!$A:$E,5,0)</f>
        <v>西南总部</v>
      </c>
      <c r="D1284" s="46" t="str">
        <f>VLOOKUP(F1284,[4]在职!$A:$G,7,0)</f>
        <v>营业六部</v>
      </c>
      <c r="E1284" s="46" t="str">
        <f>VLOOKUP(F1284,[4]在职!$A:$M,13,0)</f>
        <v>杨翠茹</v>
      </c>
      <c r="F1284" s="5" t="s">
        <v>1497</v>
      </c>
      <c r="G1284" s="46" t="str">
        <f>VLOOKUP(F1284,[4]在职!$A:$B,2,0)</f>
        <v>01739</v>
      </c>
      <c r="H1284" s="46" t="str">
        <f>VLOOKUP(F1284,[4]在职!$A:$I,9,0)</f>
        <v>一星销售顾问</v>
      </c>
      <c r="I1284" s="84" t="s">
        <v>907</v>
      </c>
      <c r="J1284" s="83">
        <v>46093</v>
      </c>
      <c r="K1284" s="46" t="s">
        <v>1080</v>
      </c>
      <c r="L1284" s="83" t="s">
        <v>27</v>
      </c>
    </row>
    <row r="1285" ht="16.5" spans="1:12">
      <c r="A1285" s="46">
        <v>1283</v>
      </c>
      <c r="B1285" s="46" t="s">
        <v>45</v>
      </c>
      <c r="C1285" s="46" t="str">
        <f>VLOOKUP(F1285,[4]在职!$A:$E,5,0)</f>
        <v>西南总部</v>
      </c>
      <c r="D1285" s="46" t="str">
        <f>VLOOKUP(F1285,[4]在职!$A:$G,7,0)</f>
        <v>营业六部</v>
      </c>
      <c r="E1285" s="46" t="str">
        <f>VLOOKUP(F1285,[4]在职!$A:$M,13,0)</f>
        <v>杨翠茹</v>
      </c>
      <c r="F1285" s="5" t="s">
        <v>1022</v>
      </c>
      <c r="G1285" s="46" t="str">
        <f>VLOOKUP(F1285,[4]在职!$A:$B,2,0)</f>
        <v>01579</v>
      </c>
      <c r="H1285" s="46" t="str">
        <f>VLOOKUP(F1285,[4]在职!$A:$I,9,0)</f>
        <v>二星销售顾问</v>
      </c>
      <c r="I1285" s="84" t="s">
        <v>907</v>
      </c>
      <c r="J1285" s="83">
        <v>46093</v>
      </c>
      <c r="K1285" s="46" t="s">
        <v>1080</v>
      </c>
      <c r="L1285" s="83" t="s">
        <v>27</v>
      </c>
    </row>
    <row r="1286" ht="16.5" spans="1:12">
      <c r="A1286" s="46">
        <v>1284</v>
      </c>
      <c r="B1286" s="46" t="s">
        <v>45</v>
      </c>
      <c r="C1286" s="46" t="str">
        <f>VLOOKUP(F1286,[4]在职!$A:$E,5,0)</f>
        <v>西南总部</v>
      </c>
      <c r="D1286" s="46" t="str">
        <f>VLOOKUP(F1286,[4]在职!$A:$G,7,0)</f>
        <v>营业六部</v>
      </c>
      <c r="E1286" s="46" t="str">
        <f>VLOOKUP(F1286,[4]在职!$A:$M,13,0)</f>
        <v>杨威</v>
      </c>
      <c r="F1286" s="5" t="s">
        <v>1498</v>
      </c>
      <c r="G1286" s="46" t="str">
        <f>VLOOKUP(F1286,[4]在职!$A:$B,2,0)</f>
        <v>01274</v>
      </c>
      <c r="H1286" s="46" t="str">
        <f>VLOOKUP(F1286,[4]在职!$A:$I,9,0)</f>
        <v>一星销售顾问</v>
      </c>
      <c r="I1286" s="84" t="s">
        <v>907</v>
      </c>
      <c r="J1286" s="83">
        <v>46093</v>
      </c>
      <c r="K1286" s="46" t="s">
        <v>1080</v>
      </c>
      <c r="L1286" s="83" t="s">
        <v>27</v>
      </c>
    </row>
    <row r="1287" ht="16.5" spans="1:12">
      <c r="A1287" s="46">
        <v>1285</v>
      </c>
      <c r="B1287" s="46" t="s">
        <v>45</v>
      </c>
      <c r="C1287" s="46" t="str">
        <f>VLOOKUP(F1287,[4]在职!$A:$E,5,0)</f>
        <v>西南总部</v>
      </c>
      <c r="D1287" s="46" t="str">
        <f>VLOOKUP(F1287,[4]在职!$A:$G,7,0)</f>
        <v>营业六部</v>
      </c>
      <c r="E1287" s="46" t="str">
        <f>VLOOKUP(F1287,[4]在职!$A:$M,13,0)</f>
        <v>杨威</v>
      </c>
      <c r="F1287" s="5" t="s">
        <v>1040</v>
      </c>
      <c r="G1287" s="46" t="str">
        <f>VLOOKUP(F1287,[4]在职!$A:$B,2,0)</f>
        <v>01660</v>
      </c>
      <c r="H1287" s="46" t="str">
        <f>VLOOKUP(F1287,[4]在职!$A:$I,9,0)</f>
        <v>一星销售顾问</v>
      </c>
      <c r="I1287" s="84" t="s">
        <v>907</v>
      </c>
      <c r="J1287" s="83">
        <v>46093</v>
      </c>
      <c r="K1287" s="46" t="s">
        <v>1080</v>
      </c>
      <c r="L1287" s="83" t="s">
        <v>27</v>
      </c>
    </row>
    <row r="1288" ht="16.5" spans="1:12">
      <c r="A1288" s="46">
        <v>1286</v>
      </c>
      <c r="B1288" s="46" t="s">
        <v>45</v>
      </c>
      <c r="C1288" s="46" t="str">
        <f>VLOOKUP(F1288,[4]在职!$A:$E,5,0)</f>
        <v>西南总部</v>
      </c>
      <c r="D1288" s="46" t="str">
        <f>VLOOKUP(F1288,[4]在职!$A:$G,7,0)</f>
        <v>营业六部</v>
      </c>
      <c r="E1288" s="46" t="str">
        <f>VLOOKUP(F1288,[4]在职!$A:$M,13,0)</f>
        <v>杨威</v>
      </c>
      <c r="F1288" s="5" t="s">
        <v>1042</v>
      </c>
      <c r="G1288" s="46" t="str">
        <f>VLOOKUP(F1288,[4]在职!$A:$B,2,0)</f>
        <v>01615</v>
      </c>
      <c r="H1288" s="46" t="str">
        <f>VLOOKUP(F1288,[4]在职!$A:$I,9,0)</f>
        <v>一星销售顾问</v>
      </c>
      <c r="I1288" s="84" t="s">
        <v>907</v>
      </c>
      <c r="J1288" s="83">
        <v>46093</v>
      </c>
      <c r="K1288" s="46" t="s">
        <v>1080</v>
      </c>
      <c r="L1288" s="83" t="s">
        <v>27</v>
      </c>
    </row>
    <row r="1289" ht="16.5" spans="1:12">
      <c r="A1289" s="46">
        <v>1287</v>
      </c>
      <c r="B1289" s="46" t="s">
        <v>45</v>
      </c>
      <c r="C1289" s="46" t="str">
        <f>VLOOKUP(F1289,[4]在职!$A:$E,5,0)</f>
        <v>陕西</v>
      </c>
      <c r="D1289" s="46" t="str">
        <f>VLOOKUP(F1289,[4]在职!$A:$G,7,0)</f>
        <v>陕西1部</v>
      </c>
      <c r="E1289" s="46" t="str">
        <f>VLOOKUP(F1289,[4]在职!$A:$M,13,0)</f>
        <v>杨永梅</v>
      </c>
      <c r="F1289" s="5" t="s">
        <v>1499</v>
      </c>
      <c r="G1289" s="46" t="str">
        <f>VLOOKUP(F1289,[4]在职!$A:$B,2,0)</f>
        <v>01589</v>
      </c>
      <c r="H1289" s="46" t="str">
        <f>VLOOKUP(F1289,[4]在职!$A:$I,9,0)</f>
        <v>一星销售顾问</v>
      </c>
      <c r="I1289" s="84" t="s">
        <v>907</v>
      </c>
      <c r="J1289" s="83">
        <v>46093</v>
      </c>
      <c r="K1289" s="46" t="s">
        <v>1080</v>
      </c>
      <c r="L1289" s="83" t="s">
        <v>27</v>
      </c>
    </row>
    <row r="1290" ht="16.5" spans="1:12">
      <c r="A1290" s="46">
        <v>1288</v>
      </c>
      <c r="B1290" s="46" t="s">
        <v>45</v>
      </c>
      <c r="C1290" s="46" t="str">
        <f>VLOOKUP(F1290,[4]在职!$A:$E,5,0)</f>
        <v>西南总部</v>
      </c>
      <c r="D1290" s="46" t="str">
        <f>VLOOKUP(F1290,[4]在职!$A:$G,7,0)</f>
        <v>营业二部</v>
      </c>
      <c r="E1290" s="46" t="str">
        <f>VLOOKUP(F1290,[4]在职!$A:$M,13,0)</f>
        <v>张佩瑶</v>
      </c>
      <c r="F1290" s="5" t="s">
        <v>1500</v>
      </c>
      <c r="G1290" s="46" t="str">
        <f>VLOOKUP(F1290,[4]在职!$A:$B,2,0)</f>
        <v>01785</v>
      </c>
      <c r="H1290" s="46" t="str">
        <f>VLOOKUP(F1290,[4]在职!$A:$I,9,0)</f>
        <v>一星销售顾问</v>
      </c>
      <c r="I1290" s="84" t="s">
        <v>907</v>
      </c>
      <c r="J1290" s="83">
        <v>46093</v>
      </c>
      <c r="K1290" s="46" t="s">
        <v>1080</v>
      </c>
      <c r="L1290" s="83" t="s">
        <v>27</v>
      </c>
    </row>
    <row r="1291" ht="16.5" spans="1:12">
      <c r="A1291" s="46">
        <v>1289</v>
      </c>
      <c r="B1291" s="46" t="s">
        <v>45</v>
      </c>
      <c r="C1291" s="46" t="str">
        <f>VLOOKUP(F1291,[4]在职!$A:$E,5,0)</f>
        <v>西南总部</v>
      </c>
      <c r="D1291" s="46" t="str">
        <f>VLOOKUP(F1291,[4]在职!$A:$G,7,0)</f>
        <v>营业二部</v>
      </c>
      <c r="E1291" s="46" t="str">
        <f>VLOOKUP(F1291,[4]在职!$A:$M,13,0)</f>
        <v>张佩瑶</v>
      </c>
      <c r="F1291" s="5" t="s">
        <v>1064</v>
      </c>
      <c r="G1291" s="46" t="str">
        <f>VLOOKUP(F1291,[4]在职!$A:$B,2,0)</f>
        <v>00569</v>
      </c>
      <c r="H1291" s="46" t="str">
        <f>VLOOKUP(F1291,[4]在职!$A:$I,9,0)</f>
        <v>二星销售顾问</v>
      </c>
      <c r="I1291" s="84" t="s">
        <v>907</v>
      </c>
      <c r="J1291" s="83">
        <v>46093</v>
      </c>
      <c r="K1291" s="46" t="s">
        <v>1080</v>
      </c>
      <c r="L1291" s="83" t="s">
        <v>27</v>
      </c>
    </row>
    <row r="1292" ht="16.5" spans="1:12">
      <c r="A1292" s="46">
        <v>1290</v>
      </c>
      <c r="B1292" s="46" t="s">
        <v>45</v>
      </c>
      <c r="C1292" s="46" t="str">
        <f>VLOOKUP(F1292,[4]在职!$A:$E,5,0)</f>
        <v>西南总部</v>
      </c>
      <c r="D1292" s="46" t="str">
        <f>VLOOKUP(F1292,[4]在职!$A:$G,7,0)</f>
        <v>营业三部</v>
      </c>
      <c r="E1292" s="46" t="str">
        <f>VLOOKUP(F1292,[4]在职!$A:$M,13,0)</f>
        <v>郑景慕</v>
      </c>
      <c r="F1292" s="5" t="s">
        <v>1501</v>
      </c>
      <c r="G1292" s="46" t="str">
        <f>VLOOKUP(F1292,[4]在职!$A:$B,2,0)</f>
        <v>01540</v>
      </c>
      <c r="H1292" s="46" t="str">
        <f>VLOOKUP(F1292,[4]在职!$A:$I,9,0)</f>
        <v>一星销售顾问</v>
      </c>
      <c r="I1292" s="84" t="s">
        <v>907</v>
      </c>
      <c r="J1292" s="83">
        <v>46093</v>
      </c>
      <c r="K1292" s="46" t="s">
        <v>1080</v>
      </c>
      <c r="L1292" s="83" t="s">
        <v>27</v>
      </c>
    </row>
    <row r="1293" ht="16.5" spans="1:12">
      <c r="A1293" s="46">
        <v>1291</v>
      </c>
      <c r="B1293" s="46" t="s">
        <v>45</v>
      </c>
      <c r="C1293" s="46" t="str">
        <f>VLOOKUP(F1293,[4]在职!$A:$E,5,0)</f>
        <v>河南</v>
      </c>
      <c r="D1293" s="46" t="str">
        <f>VLOOKUP(F1293,[4]在职!$A:$G,7,0)</f>
        <v>河南销售部</v>
      </c>
      <c r="E1293" s="46" t="str">
        <f>VLOOKUP(F1293,[4]在职!$A:$M,13,0)</f>
        <v>周吉双</v>
      </c>
      <c r="F1293" s="5" t="s">
        <v>1502</v>
      </c>
      <c r="G1293" s="46" t="str">
        <f>VLOOKUP(F1293,[4]在职!$A:$B,2,0)</f>
        <v>01529</v>
      </c>
      <c r="H1293" s="46" t="str">
        <f>VLOOKUP(F1293,[4]在职!$A:$I,9,0)</f>
        <v>一星销售顾问</v>
      </c>
      <c r="I1293" s="84" t="s">
        <v>907</v>
      </c>
      <c r="J1293" s="83">
        <v>46093</v>
      </c>
      <c r="K1293" s="46" t="s">
        <v>1080</v>
      </c>
      <c r="L1293" s="83" t="s">
        <v>27</v>
      </c>
    </row>
    <row r="1294" ht="16.5" spans="1:12">
      <c r="A1294" s="46">
        <v>1292</v>
      </c>
      <c r="B1294" s="46" t="s">
        <v>45</v>
      </c>
      <c r="C1294" s="46" t="str">
        <f>VLOOKUP(F1294,[4]在职!$A:$E,5,0)</f>
        <v>西南总部</v>
      </c>
      <c r="D1294" s="46" t="str">
        <f>VLOOKUP(F1294,[4]在职!$A:$G,7,0)</f>
        <v>营业五部</v>
      </c>
      <c r="E1294" s="46" t="str">
        <f>VLOOKUP(F1294,[4]在职!$A:$M,13,0)</f>
        <v>周远芮</v>
      </c>
      <c r="F1294" s="5" t="s">
        <v>1503</v>
      </c>
      <c r="G1294" s="46" t="str">
        <f>VLOOKUP(F1294,[4]在职!$A:$B,2,0)</f>
        <v>01560</v>
      </c>
      <c r="H1294" s="46" t="str">
        <f>VLOOKUP(F1294,[4]在职!$A:$I,9,0)</f>
        <v>一星销售顾问</v>
      </c>
      <c r="I1294" s="84" t="s">
        <v>907</v>
      </c>
      <c r="J1294" s="83">
        <v>46093</v>
      </c>
      <c r="K1294" s="46" t="s">
        <v>1080</v>
      </c>
      <c r="L1294" s="83" t="s">
        <v>27</v>
      </c>
    </row>
    <row r="1295" ht="16.5" spans="1:12">
      <c r="A1295" s="46">
        <v>1293</v>
      </c>
      <c r="B1295" s="46" t="s">
        <v>45</v>
      </c>
      <c r="C1295" s="46" t="str">
        <f>VLOOKUP(F1295,[4]在职!$A:$E,5,0)</f>
        <v>西南总部</v>
      </c>
      <c r="D1295" s="46" t="str">
        <f>VLOOKUP(F1295,[4]在职!$A:$G,7,0)</f>
        <v>营业一部</v>
      </c>
      <c r="E1295" s="46" t="str">
        <f>VLOOKUP(F1295,[4]在职!$A:$M,13,0)</f>
        <v>白世根</v>
      </c>
      <c r="F1295" s="5" t="s">
        <v>1321</v>
      </c>
      <c r="G1295" s="46" t="str">
        <f>VLOOKUP(F1295,[4]在职!$A:$B,2,0)</f>
        <v>01821</v>
      </c>
      <c r="H1295" s="46" t="str">
        <f>VLOOKUP(F1295,[4]在职!$A:$I,9,0)</f>
        <v>一星销售顾问</v>
      </c>
      <c r="I1295" s="84" t="s">
        <v>907</v>
      </c>
      <c r="J1295" s="83">
        <v>46093</v>
      </c>
      <c r="K1295" s="46" t="s">
        <v>902</v>
      </c>
      <c r="L1295" s="83" t="s">
        <v>27</v>
      </c>
    </row>
    <row r="1296" ht="16.5" spans="1:12">
      <c r="A1296" s="46">
        <v>1294</v>
      </c>
      <c r="B1296" s="46" t="s">
        <v>45</v>
      </c>
      <c r="C1296" s="46" t="str">
        <f>VLOOKUP(F1296,[4]在职!$A:$E,5,0)</f>
        <v>河北</v>
      </c>
      <c r="D1296" s="46" t="str">
        <f>VLOOKUP(F1296,[4]在职!$A:$G,7,0)</f>
        <v>河北销售部</v>
      </c>
      <c r="E1296" s="46" t="str">
        <f>VLOOKUP(F1296,[4]在职!$A:$M,13,0)</f>
        <v>陈东2</v>
      </c>
      <c r="F1296" s="5" t="s">
        <v>1313</v>
      </c>
      <c r="G1296" s="46" t="str">
        <f>VLOOKUP(F1296,[4]在职!$A:$B,2,0)</f>
        <v>01671</v>
      </c>
      <c r="H1296" s="46" t="str">
        <f>VLOOKUP(F1296,[4]在职!$A:$I,9,0)</f>
        <v>一星销售顾问</v>
      </c>
      <c r="I1296" s="84" t="s">
        <v>907</v>
      </c>
      <c r="J1296" s="83">
        <v>46093</v>
      </c>
      <c r="K1296" s="46" t="s">
        <v>902</v>
      </c>
      <c r="L1296" s="83" t="s">
        <v>27</v>
      </c>
    </row>
    <row r="1297" ht="16.5" spans="1:12">
      <c r="A1297" s="46">
        <v>1295</v>
      </c>
      <c r="B1297" s="46" t="s">
        <v>45</v>
      </c>
      <c r="C1297" s="46" t="str">
        <f>VLOOKUP(F1297,[4]在职!$A:$E,5,0)</f>
        <v>河北</v>
      </c>
      <c r="D1297" s="46" t="str">
        <f>VLOOKUP(F1297,[4]在职!$A:$G,7,0)</f>
        <v>河北销售部</v>
      </c>
      <c r="E1297" s="46" t="str">
        <f>VLOOKUP(F1297,[4]在职!$A:$M,13,0)</f>
        <v>陈东2</v>
      </c>
      <c r="F1297" s="5" t="s">
        <v>1477</v>
      </c>
      <c r="G1297" s="46" t="str">
        <f>VLOOKUP(F1297,[4]在职!$A:$B,2,0)</f>
        <v>01530</v>
      </c>
      <c r="H1297" s="46" t="str">
        <f>VLOOKUP(F1297,[4]在职!$A:$I,9,0)</f>
        <v>一星销售顾问</v>
      </c>
      <c r="I1297" s="84" t="s">
        <v>907</v>
      </c>
      <c r="J1297" s="83">
        <v>46093</v>
      </c>
      <c r="K1297" s="46" t="s">
        <v>902</v>
      </c>
      <c r="L1297" s="83" t="s">
        <v>27</v>
      </c>
    </row>
    <row r="1298" ht="16.5" spans="1:12">
      <c r="A1298" s="46">
        <v>1296</v>
      </c>
      <c r="B1298" s="46" t="s">
        <v>45</v>
      </c>
      <c r="C1298" s="46" t="str">
        <f>VLOOKUP(F1298,[4]在职!$A:$E,5,0)</f>
        <v>湖北</v>
      </c>
      <c r="D1298" s="46" t="str">
        <f>VLOOKUP(F1298,[4]在职!$A:$G,7,0)</f>
        <v>湖北2部</v>
      </c>
      <c r="E1298" s="46" t="str">
        <f>VLOOKUP(F1298,[4]在职!$A:$M,13,0)</f>
        <v>陈竺</v>
      </c>
      <c r="F1298" s="5" t="s">
        <v>1478</v>
      </c>
      <c r="G1298" s="46" t="str">
        <f>VLOOKUP(F1298,[4]在职!$A:$B,2,0)</f>
        <v>01685</v>
      </c>
      <c r="H1298" s="46" t="str">
        <f>VLOOKUP(F1298,[4]在职!$A:$I,9,0)</f>
        <v>一星销售顾问</v>
      </c>
      <c r="I1298" s="84" t="s">
        <v>907</v>
      </c>
      <c r="J1298" s="83">
        <v>46093</v>
      </c>
      <c r="K1298" s="46" t="s">
        <v>902</v>
      </c>
      <c r="L1298" s="83" t="s">
        <v>27</v>
      </c>
    </row>
    <row r="1299" ht="16.5" spans="1:12">
      <c r="A1299" s="46">
        <v>1297</v>
      </c>
      <c r="B1299" s="46" t="s">
        <v>45</v>
      </c>
      <c r="C1299" s="46" t="str">
        <f>VLOOKUP(F1299,[4]在职!$A:$E,5,0)</f>
        <v>西南总部</v>
      </c>
      <c r="D1299" s="46" t="str">
        <f>VLOOKUP(F1299,[4]在职!$A:$G,7,0)</f>
        <v>营业一部</v>
      </c>
      <c r="E1299" s="46" t="str">
        <f>VLOOKUP(F1299,[4]在职!$A:$M,13,0)</f>
        <v>胡雪梅</v>
      </c>
      <c r="F1299" s="5" t="s">
        <v>952</v>
      </c>
      <c r="G1299" s="46" t="str">
        <f>VLOOKUP(F1299,[4]在职!$A:$B,2,0)</f>
        <v>01690</v>
      </c>
      <c r="H1299" s="46" t="str">
        <f>VLOOKUP(F1299,[4]在职!$A:$I,9,0)</f>
        <v>一星销售顾问</v>
      </c>
      <c r="I1299" s="84" t="s">
        <v>907</v>
      </c>
      <c r="J1299" s="83">
        <v>46093</v>
      </c>
      <c r="K1299" s="46" t="s">
        <v>902</v>
      </c>
      <c r="L1299" s="83" t="s">
        <v>27</v>
      </c>
    </row>
    <row r="1300" ht="16.5" spans="1:12">
      <c r="A1300" s="46">
        <v>1298</v>
      </c>
      <c r="B1300" s="46" t="s">
        <v>45</v>
      </c>
      <c r="C1300" s="46" t="str">
        <f>VLOOKUP(F1300,[4]在职!$A:$E,5,0)</f>
        <v>西南总部</v>
      </c>
      <c r="D1300" s="46" t="str">
        <f>VLOOKUP(F1300,[4]在职!$A:$G,7,0)</f>
        <v>营业一部</v>
      </c>
      <c r="E1300" s="46" t="str">
        <f>VLOOKUP(F1300,[4]在职!$A:$M,13,0)</f>
        <v>胡雪梅</v>
      </c>
      <c r="F1300" s="5" t="s">
        <v>954</v>
      </c>
      <c r="G1300" s="46" t="str">
        <f>VLOOKUP(F1300,[4]在职!$A:$B,2,0)</f>
        <v>01307</v>
      </c>
      <c r="H1300" s="46" t="str">
        <f>VLOOKUP(F1300,[4]在职!$A:$I,9,0)</f>
        <v>二星销售顾问</v>
      </c>
      <c r="I1300" s="84" t="s">
        <v>907</v>
      </c>
      <c r="J1300" s="83">
        <v>46093</v>
      </c>
      <c r="K1300" s="46" t="s">
        <v>902</v>
      </c>
      <c r="L1300" s="83" t="s">
        <v>27</v>
      </c>
    </row>
    <row r="1301" ht="16.5" spans="1:12">
      <c r="A1301" s="46">
        <v>1299</v>
      </c>
      <c r="B1301" s="46" t="s">
        <v>45</v>
      </c>
      <c r="C1301" s="46" t="str">
        <f>VLOOKUP(F1301,[4]在职!$A:$E,5,0)</f>
        <v>西南总部</v>
      </c>
      <c r="D1301" s="46" t="str">
        <f>VLOOKUP(F1301,[4]在职!$A:$G,7,0)</f>
        <v>营业三部</v>
      </c>
      <c r="E1301" s="46" t="str">
        <f>VLOOKUP(F1301,[4]在职!$A:$M,13,0)</f>
        <v>扈岭楠</v>
      </c>
      <c r="F1301" s="5" t="s">
        <v>1479</v>
      </c>
      <c r="G1301" s="46" t="str">
        <f>VLOOKUP(F1301,[4]在职!$A:$B,2,0)</f>
        <v>01440</v>
      </c>
      <c r="H1301" s="46" t="str">
        <f>VLOOKUP(F1301,[4]在职!$A:$I,9,0)</f>
        <v>一星销售顾问</v>
      </c>
      <c r="I1301" s="84" t="s">
        <v>907</v>
      </c>
      <c r="J1301" s="83">
        <v>46093</v>
      </c>
      <c r="K1301" s="46" t="s">
        <v>902</v>
      </c>
      <c r="L1301" s="83" t="s">
        <v>27</v>
      </c>
    </row>
    <row r="1302" ht="16.5" spans="1:12">
      <c r="A1302" s="46">
        <v>1300</v>
      </c>
      <c r="B1302" s="46" t="s">
        <v>45</v>
      </c>
      <c r="C1302" s="46" t="str">
        <f>VLOOKUP(F1302,[4]在职!$A:$E,5,0)</f>
        <v>西南总部</v>
      </c>
      <c r="D1302" s="46" t="str">
        <f>VLOOKUP(F1302,[4]在职!$A:$G,7,0)</f>
        <v>营业七部</v>
      </c>
      <c r="E1302" s="46" t="str">
        <f>VLOOKUP(F1302,[4]在职!$A:$M,13,0)</f>
        <v>蒋杨</v>
      </c>
      <c r="F1302" s="5" t="s">
        <v>964</v>
      </c>
      <c r="G1302" s="46" t="str">
        <f>VLOOKUP(F1302,[4]在职!$A:$B,2,0)</f>
        <v>01405</v>
      </c>
      <c r="H1302" s="46" t="str">
        <f>VLOOKUP(F1302,[4]在职!$A:$I,9,0)</f>
        <v>一星销售顾问</v>
      </c>
      <c r="I1302" s="84" t="s">
        <v>907</v>
      </c>
      <c r="J1302" s="83">
        <v>46093</v>
      </c>
      <c r="K1302" s="46" t="s">
        <v>902</v>
      </c>
      <c r="L1302" s="83" t="s">
        <v>27</v>
      </c>
    </row>
    <row r="1303" ht="16.5" spans="1:12">
      <c r="A1303" s="46">
        <v>1301</v>
      </c>
      <c r="B1303" s="46" t="s">
        <v>45</v>
      </c>
      <c r="C1303" s="46" t="str">
        <f>VLOOKUP(F1303,[4]在职!$A:$E,5,0)</f>
        <v>西南总部</v>
      </c>
      <c r="D1303" s="46" t="str">
        <f>VLOOKUP(F1303,[4]在职!$A:$G,7,0)</f>
        <v>营业五部</v>
      </c>
      <c r="E1303" s="46" t="str">
        <f>VLOOKUP(F1303,[4]在职!$A:$M,13,0)</f>
        <v>李敏</v>
      </c>
      <c r="F1303" s="5" t="s">
        <v>1480</v>
      </c>
      <c r="G1303" s="46" t="str">
        <f>VLOOKUP(F1303,[4]在职!$A:$B,2,0)</f>
        <v>01724</v>
      </c>
      <c r="H1303" s="46" t="str">
        <f>VLOOKUP(F1303,[4]在职!$A:$I,9,0)</f>
        <v>一星销售顾问</v>
      </c>
      <c r="I1303" s="84" t="s">
        <v>907</v>
      </c>
      <c r="J1303" s="83">
        <v>46093</v>
      </c>
      <c r="K1303" s="46" t="s">
        <v>902</v>
      </c>
      <c r="L1303" s="83" t="s">
        <v>27</v>
      </c>
    </row>
    <row r="1304" ht="16.5" spans="1:12">
      <c r="A1304" s="46">
        <v>1302</v>
      </c>
      <c r="B1304" s="46" t="s">
        <v>45</v>
      </c>
      <c r="C1304" s="46" t="str">
        <f>VLOOKUP(F1304,[4]在职!$A:$E,5,0)</f>
        <v>陕西</v>
      </c>
      <c r="D1304" s="46" t="str">
        <f>VLOOKUP(F1304,[4]在职!$A:$G,7,0)</f>
        <v>陕西1部</v>
      </c>
      <c r="E1304" s="46" t="str">
        <f>VLOOKUP(F1304,[4]在职!$A:$M,13,0)</f>
        <v>刘聪</v>
      </c>
      <c r="F1304" s="5" t="s">
        <v>1482</v>
      </c>
      <c r="G1304" s="46" t="str">
        <f>VLOOKUP(F1304,[4]在职!$A:$B,2,0)</f>
        <v>01665</v>
      </c>
      <c r="H1304" s="46" t="str">
        <f>VLOOKUP(F1304,[4]在职!$A:$I,9,0)</f>
        <v>一星销售顾问</v>
      </c>
      <c r="I1304" s="84" t="s">
        <v>907</v>
      </c>
      <c r="J1304" s="83">
        <v>46093</v>
      </c>
      <c r="K1304" s="46" t="s">
        <v>902</v>
      </c>
      <c r="L1304" s="83" t="s">
        <v>27</v>
      </c>
    </row>
    <row r="1305" ht="16.5" spans="1:12">
      <c r="A1305" s="46">
        <v>1303</v>
      </c>
      <c r="B1305" s="46" t="s">
        <v>45</v>
      </c>
      <c r="C1305" s="46" t="str">
        <f>VLOOKUP(F1305,[4]在职!$A:$E,5,0)</f>
        <v>陕西</v>
      </c>
      <c r="D1305" s="46" t="str">
        <f>VLOOKUP(F1305,[4]在职!$A:$G,7,0)</f>
        <v>陕西1部</v>
      </c>
      <c r="E1305" s="46" t="str">
        <f>VLOOKUP(F1305,[4]在职!$A:$M,13,0)</f>
        <v>刘聪</v>
      </c>
      <c r="F1305" s="5" t="s">
        <v>1483</v>
      </c>
      <c r="G1305" s="46" t="str">
        <f>VLOOKUP(F1305,[4]在职!$A:$B,2,0)</f>
        <v>01656</v>
      </c>
      <c r="H1305" s="46" t="str">
        <f>VLOOKUP(F1305,[4]在职!$A:$I,9,0)</f>
        <v>一星销售顾问</v>
      </c>
      <c r="I1305" s="84" t="s">
        <v>907</v>
      </c>
      <c r="J1305" s="83">
        <v>46093</v>
      </c>
      <c r="K1305" s="46" t="s">
        <v>902</v>
      </c>
      <c r="L1305" s="83" t="s">
        <v>27</v>
      </c>
    </row>
    <row r="1306" ht="16.5" spans="1:12">
      <c r="A1306" s="46">
        <v>1304</v>
      </c>
      <c r="B1306" s="46" t="s">
        <v>45</v>
      </c>
      <c r="C1306" s="46" t="str">
        <f>VLOOKUP(F1306,[4]在职!$A:$E,5,0)</f>
        <v>陕西</v>
      </c>
      <c r="D1306" s="46" t="str">
        <f>VLOOKUP(F1306,[4]在职!$A:$G,7,0)</f>
        <v>陕西1部</v>
      </c>
      <c r="E1306" s="46" t="str">
        <f>VLOOKUP(F1306,[4]在职!$A:$M,13,0)</f>
        <v>刘聪</v>
      </c>
      <c r="F1306" s="5" t="s">
        <v>1484</v>
      </c>
      <c r="G1306" s="46" t="str">
        <f>VLOOKUP(F1306,[4]在职!$A:$B,2,0)</f>
        <v>01653</v>
      </c>
      <c r="H1306" s="46" t="str">
        <f>VLOOKUP(F1306,[4]在职!$A:$I,9,0)</f>
        <v>一星销售顾问</v>
      </c>
      <c r="I1306" s="84" t="s">
        <v>907</v>
      </c>
      <c r="J1306" s="83">
        <v>46093</v>
      </c>
      <c r="K1306" s="46" t="s">
        <v>902</v>
      </c>
      <c r="L1306" s="83" t="s">
        <v>27</v>
      </c>
    </row>
    <row r="1307" ht="16.5" spans="1:12">
      <c r="A1307" s="46">
        <v>1305</v>
      </c>
      <c r="B1307" s="46" t="s">
        <v>45</v>
      </c>
      <c r="C1307" s="46" t="str">
        <f>VLOOKUP(F1307,[4]在职!$A:$E,5,0)</f>
        <v>西南总部</v>
      </c>
      <c r="D1307" s="46" t="str">
        <f>VLOOKUP(F1307,[4]在职!$A:$G,7,0)</f>
        <v>营业三部</v>
      </c>
      <c r="E1307" s="46" t="str">
        <f>VLOOKUP(F1307,[4]在职!$A:$M,13,0)</f>
        <v>刘佳</v>
      </c>
      <c r="F1307" s="5" t="s">
        <v>1485</v>
      </c>
      <c r="G1307" s="46" t="str">
        <f>VLOOKUP(F1307,[4]在职!$A:$B,2,0)</f>
        <v>01740</v>
      </c>
      <c r="H1307" s="46" t="str">
        <f>VLOOKUP(F1307,[4]在职!$A:$I,9,0)</f>
        <v>一星销售顾问</v>
      </c>
      <c r="I1307" s="84" t="s">
        <v>907</v>
      </c>
      <c r="J1307" s="83">
        <v>46093</v>
      </c>
      <c r="K1307" s="46" t="s">
        <v>902</v>
      </c>
      <c r="L1307" s="83" t="s">
        <v>27</v>
      </c>
    </row>
    <row r="1308" ht="16.5" spans="1:12">
      <c r="A1308" s="46">
        <v>1306</v>
      </c>
      <c r="B1308" s="46" t="s">
        <v>45</v>
      </c>
      <c r="C1308" s="46" t="str">
        <f>VLOOKUP(F1308,[4]在职!$A:$E,5,0)</f>
        <v>西南总部</v>
      </c>
      <c r="D1308" s="46" t="str">
        <f>VLOOKUP(F1308,[4]在职!$A:$G,7,0)</f>
        <v>营业三部</v>
      </c>
      <c r="E1308" s="46" t="str">
        <f>VLOOKUP(F1308,[4]在职!$A:$M,13,0)</f>
        <v>刘佳</v>
      </c>
      <c r="F1308" s="5" t="s">
        <v>1486</v>
      </c>
      <c r="G1308" s="46" t="str">
        <f>VLOOKUP(F1308,[4]在职!$A:$B,2,0)</f>
        <v>01729</v>
      </c>
      <c r="H1308" s="46" t="str">
        <f>VLOOKUP(F1308,[4]在职!$A:$I,9,0)</f>
        <v>一星销售顾问</v>
      </c>
      <c r="I1308" s="84" t="s">
        <v>907</v>
      </c>
      <c r="J1308" s="83">
        <v>46093</v>
      </c>
      <c r="K1308" s="46" t="s">
        <v>902</v>
      </c>
      <c r="L1308" s="83" t="s">
        <v>27</v>
      </c>
    </row>
    <row r="1309" ht="16.5" spans="1:12">
      <c r="A1309" s="46">
        <v>1307</v>
      </c>
      <c r="B1309" s="46" t="s">
        <v>45</v>
      </c>
      <c r="C1309" s="46" t="str">
        <f>VLOOKUP(F1309,[4]在职!$A:$E,5,0)</f>
        <v>西南总部</v>
      </c>
      <c r="D1309" s="46" t="str">
        <f>VLOOKUP(F1309,[4]在职!$A:$G,7,0)</f>
        <v>营业三部</v>
      </c>
      <c r="E1309" s="46" t="str">
        <f>VLOOKUP(F1309,[4]在职!$A:$M,13,0)</f>
        <v>刘佳</v>
      </c>
      <c r="F1309" s="5" t="s">
        <v>970</v>
      </c>
      <c r="G1309" s="46" t="str">
        <f>VLOOKUP(F1309,[4]在职!$A:$B,2,0)</f>
        <v>01498</v>
      </c>
      <c r="H1309" s="46" t="str">
        <f>VLOOKUP(F1309,[4]在职!$A:$I,9,0)</f>
        <v>一星销售顾问</v>
      </c>
      <c r="I1309" s="84" t="s">
        <v>907</v>
      </c>
      <c r="J1309" s="83">
        <v>46093</v>
      </c>
      <c r="K1309" s="46" t="s">
        <v>902</v>
      </c>
      <c r="L1309" s="83" t="s">
        <v>27</v>
      </c>
    </row>
    <row r="1310" ht="16.5" spans="1:12">
      <c r="A1310" s="46">
        <v>1308</v>
      </c>
      <c r="B1310" s="46" t="s">
        <v>45</v>
      </c>
      <c r="C1310" s="46" t="str">
        <f>VLOOKUP(F1310,[4]在职!$A:$E,5,0)</f>
        <v>陕西</v>
      </c>
      <c r="D1310" s="46" t="str">
        <f>VLOOKUP(F1310,[4]在职!$A:$G,7,0)</f>
        <v>陕西2部</v>
      </c>
      <c r="E1310" s="46" t="str">
        <f>VLOOKUP(F1310,[4]在职!$A:$M,13,0)</f>
        <v>乔磊</v>
      </c>
      <c r="F1310" s="5" t="s">
        <v>1487</v>
      </c>
      <c r="G1310" s="46" t="str">
        <f>VLOOKUP(F1310,[4]在职!$A:$B,2,0)</f>
        <v>01770</v>
      </c>
      <c r="H1310" s="46" t="str">
        <f>VLOOKUP(F1310,[4]在职!$A:$I,9,0)</f>
        <v>一星销售顾问</v>
      </c>
      <c r="I1310" s="84" t="s">
        <v>907</v>
      </c>
      <c r="J1310" s="83">
        <v>46093</v>
      </c>
      <c r="K1310" s="46" t="s">
        <v>902</v>
      </c>
      <c r="L1310" s="83" t="s">
        <v>27</v>
      </c>
    </row>
    <row r="1311" ht="16.5" spans="1:12">
      <c r="A1311" s="46">
        <v>1309</v>
      </c>
      <c r="B1311" s="46" t="s">
        <v>45</v>
      </c>
      <c r="C1311" s="46" t="str">
        <f>VLOOKUP(F1311,[4]在职!$A:$E,5,0)</f>
        <v>陕西</v>
      </c>
      <c r="D1311" s="46" t="str">
        <f>VLOOKUP(F1311,[4]在职!$A:$G,7,0)</f>
        <v>陕西2部</v>
      </c>
      <c r="E1311" s="46" t="str">
        <f>VLOOKUP(F1311,[4]在职!$A:$M,13,0)</f>
        <v>乔磊</v>
      </c>
      <c r="F1311" s="5" t="s">
        <v>1488</v>
      </c>
      <c r="G1311" s="46" t="str">
        <f>VLOOKUP(F1311,[4]在职!$A:$B,2,0)</f>
        <v>01526</v>
      </c>
      <c r="H1311" s="46" t="str">
        <f>VLOOKUP(F1311,[4]在职!$A:$I,9,0)</f>
        <v>一星销售顾问</v>
      </c>
      <c r="I1311" s="84" t="s">
        <v>907</v>
      </c>
      <c r="J1311" s="83">
        <v>46093</v>
      </c>
      <c r="K1311" s="46" t="s">
        <v>902</v>
      </c>
      <c r="L1311" s="83" t="s">
        <v>27</v>
      </c>
    </row>
    <row r="1312" ht="16.5" spans="1:12">
      <c r="A1312" s="46">
        <v>1310</v>
      </c>
      <c r="B1312" s="46" t="s">
        <v>45</v>
      </c>
      <c r="C1312" s="46" t="str">
        <f>VLOOKUP(F1312,[4]在职!$A:$E,5,0)</f>
        <v>西南总部</v>
      </c>
      <c r="D1312" s="46" t="str">
        <f>VLOOKUP(F1312,[4]在职!$A:$G,7,0)</f>
        <v>营业六部</v>
      </c>
      <c r="E1312" s="46" t="str">
        <f>VLOOKUP(F1312,[4]在职!$A:$M,13,0)</f>
        <v>税锐</v>
      </c>
      <c r="F1312" s="5" t="s">
        <v>1489</v>
      </c>
      <c r="G1312" s="46" t="str">
        <f>VLOOKUP(F1312,[4]在职!$A:$B,2,0)</f>
        <v>01704</v>
      </c>
      <c r="H1312" s="46" t="str">
        <f>VLOOKUP(F1312,[4]在职!$A:$I,9,0)</f>
        <v>一星销售顾问</v>
      </c>
      <c r="I1312" s="84" t="s">
        <v>907</v>
      </c>
      <c r="J1312" s="83">
        <v>46093</v>
      </c>
      <c r="K1312" s="46" t="s">
        <v>902</v>
      </c>
      <c r="L1312" s="83" t="s">
        <v>27</v>
      </c>
    </row>
    <row r="1313" ht="16.5" spans="1:12">
      <c r="A1313" s="46">
        <v>1311</v>
      </c>
      <c r="B1313" s="46" t="s">
        <v>45</v>
      </c>
      <c r="C1313" s="46" t="str">
        <f>VLOOKUP(F1313,[4]在职!$A:$E,5,0)</f>
        <v>西南总部</v>
      </c>
      <c r="D1313" s="46" t="str">
        <f>VLOOKUP(F1313,[4]在职!$A:$G,7,0)</f>
        <v>营业六部</v>
      </c>
      <c r="E1313" s="46" t="str">
        <f>VLOOKUP(F1313,[4]在职!$A:$M,13,0)</f>
        <v>税锐</v>
      </c>
      <c r="F1313" s="5" t="s">
        <v>1490</v>
      </c>
      <c r="G1313" s="46" t="str">
        <f>VLOOKUP(F1313,[4]在职!$A:$B,2,0)</f>
        <v>01699</v>
      </c>
      <c r="H1313" s="46" t="str">
        <f>VLOOKUP(F1313,[4]在职!$A:$I,9,0)</f>
        <v>一星销售顾问</v>
      </c>
      <c r="I1313" s="84" t="s">
        <v>907</v>
      </c>
      <c r="J1313" s="83">
        <v>46093</v>
      </c>
      <c r="K1313" s="46" t="s">
        <v>902</v>
      </c>
      <c r="L1313" s="83" t="s">
        <v>27</v>
      </c>
    </row>
    <row r="1314" ht="16.5" spans="1:12">
      <c r="A1314" s="46">
        <v>1312</v>
      </c>
      <c r="B1314" s="46" t="s">
        <v>45</v>
      </c>
      <c r="C1314" s="46" t="str">
        <f>VLOOKUP(F1314,[4]在职!$A:$E,5,0)</f>
        <v>湖南</v>
      </c>
      <c r="D1314" s="46" t="str">
        <f>VLOOKUP(F1314,[4]在职!$A:$G,7,0)</f>
        <v>湖南销售部</v>
      </c>
      <c r="E1314" s="46" t="str">
        <f>VLOOKUP(F1314,[4]在职!$A:$M,13,0)</f>
        <v>孙小龙</v>
      </c>
      <c r="F1314" s="5" t="s">
        <v>994</v>
      </c>
      <c r="G1314" s="46" t="str">
        <f>VLOOKUP(F1314,[4]在职!$A:$B,2,0)</f>
        <v>01477</v>
      </c>
      <c r="H1314" s="46" t="str">
        <f>VLOOKUP(F1314,[4]在职!$A:$I,9,0)</f>
        <v>二星销售顾问</v>
      </c>
      <c r="I1314" s="84" t="s">
        <v>907</v>
      </c>
      <c r="J1314" s="83">
        <v>46093</v>
      </c>
      <c r="K1314" s="46" t="s">
        <v>902</v>
      </c>
      <c r="L1314" s="83" t="s">
        <v>27</v>
      </c>
    </row>
    <row r="1315" ht="16.5" spans="1:12">
      <c r="A1315" s="46">
        <v>1313</v>
      </c>
      <c r="B1315" s="46" t="s">
        <v>45</v>
      </c>
      <c r="C1315" s="46" t="str">
        <f>VLOOKUP(F1315,[4]在职!$A:$E,5,0)</f>
        <v>西南总部</v>
      </c>
      <c r="D1315" s="46" t="str">
        <f>VLOOKUP(F1315,[4]在职!$A:$G,7,0)</f>
        <v>营业三部</v>
      </c>
      <c r="E1315" s="46" t="str">
        <f>VLOOKUP(F1315,[4]在职!$A:$M,13,0)</f>
        <v>陶再阳</v>
      </c>
      <c r="F1315" s="5" t="s">
        <v>1491</v>
      </c>
      <c r="G1315" s="46" t="str">
        <f>VLOOKUP(F1315,[4]在职!$A:$B,2,0)</f>
        <v>01719</v>
      </c>
      <c r="H1315" s="46" t="str">
        <f>VLOOKUP(F1315,[4]在职!$A:$I,9,0)</f>
        <v>一星销售顾问</v>
      </c>
      <c r="I1315" s="84" t="s">
        <v>907</v>
      </c>
      <c r="J1315" s="83">
        <v>46093</v>
      </c>
      <c r="K1315" s="46" t="s">
        <v>902</v>
      </c>
      <c r="L1315" s="83" t="s">
        <v>27</v>
      </c>
    </row>
    <row r="1316" ht="16.5" spans="1:12">
      <c r="A1316" s="46">
        <v>1314</v>
      </c>
      <c r="B1316" s="46" t="s">
        <v>45</v>
      </c>
      <c r="C1316" s="46" t="str">
        <f>VLOOKUP(F1316,[4]在职!$A:$E,5,0)</f>
        <v>西南总部</v>
      </c>
      <c r="D1316" s="46" t="str">
        <f>VLOOKUP(F1316,[4]在职!$A:$G,7,0)</f>
        <v>营业三部</v>
      </c>
      <c r="E1316" s="46" t="str">
        <f>VLOOKUP(F1316,[4]在职!$A:$M,13,0)</f>
        <v>吴建鑫</v>
      </c>
      <c r="F1316" s="5" t="s">
        <v>1020</v>
      </c>
      <c r="G1316" s="46" t="str">
        <f>VLOOKUP(F1316,[4]在职!$A:$B,2,0)</f>
        <v>01575</v>
      </c>
      <c r="H1316" s="46" t="str">
        <f>VLOOKUP(F1316,[4]在职!$A:$I,9,0)</f>
        <v>一星销售顾问</v>
      </c>
      <c r="I1316" s="84" t="s">
        <v>907</v>
      </c>
      <c r="J1316" s="83">
        <v>46093</v>
      </c>
      <c r="K1316" s="46" t="s">
        <v>902</v>
      </c>
      <c r="L1316" s="83" t="s">
        <v>27</v>
      </c>
    </row>
    <row r="1317" ht="16.5" spans="1:12">
      <c r="A1317" s="46">
        <v>1315</v>
      </c>
      <c r="B1317" s="46" t="s">
        <v>45</v>
      </c>
      <c r="C1317" s="46" t="str">
        <f>VLOOKUP(F1317,[4]在职!$A:$E,5,0)</f>
        <v>山东</v>
      </c>
      <c r="D1317" s="46" t="str">
        <f>VLOOKUP(F1317,[4]在职!$A:$G,7,0)</f>
        <v>山东销售部</v>
      </c>
      <c r="E1317" s="46" t="str">
        <f>VLOOKUP(F1317,[4]在职!$A:$M,13,0)</f>
        <v>肖佳</v>
      </c>
      <c r="F1317" s="5" t="s">
        <v>1492</v>
      </c>
      <c r="G1317" s="46" t="str">
        <f>VLOOKUP(F1317,[4]在职!$A:$B,2,0)</f>
        <v>01849</v>
      </c>
      <c r="H1317" s="46" t="str">
        <f>VLOOKUP(F1317,[4]在职!$A:$I,9,0)</f>
        <v>一星销售顾问</v>
      </c>
      <c r="I1317" s="84" t="s">
        <v>907</v>
      </c>
      <c r="J1317" s="83">
        <v>46093</v>
      </c>
      <c r="K1317" s="46" t="s">
        <v>902</v>
      </c>
      <c r="L1317" s="83" t="s">
        <v>27</v>
      </c>
    </row>
    <row r="1318" ht="16.5" spans="1:12">
      <c r="A1318" s="46">
        <v>1316</v>
      </c>
      <c r="B1318" s="46" t="s">
        <v>45</v>
      </c>
      <c r="C1318" s="46" t="str">
        <f>VLOOKUP(F1318,[4]在职!$A:$E,5,0)</f>
        <v>山东</v>
      </c>
      <c r="D1318" s="46" t="str">
        <f>VLOOKUP(F1318,[4]在职!$A:$G,7,0)</f>
        <v>山东销售部</v>
      </c>
      <c r="E1318" s="46" t="str">
        <f>VLOOKUP(F1318,[4]在职!$A:$M,13,0)</f>
        <v>肖佳</v>
      </c>
      <c r="F1318" s="5" t="s">
        <v>1493</v>
      </c>
      <c r="G1318" s="46" t="str">
        <f>VLOOKUP(F1318,[4]在职!$A:$B,2,0)</f>
        <v>01705</v>
      </c>
      <c r="H1318" s="46" t="str">
        <f>VLOOKUP(F1318,[4]在职!$A:$I,9,0)</f>
        <v>一星销售顾问</v>
      </c>
      <c r="I1318" s="84" t="s">
        <v>907</v>
      </c>
      <c r="J1318" s="83">
        <v>46093</v>
      </c>
      <c r="K1318" s="46" t="s">
        <v>902</v>
      </c>
      <c r="L1318" s="83" t="s">
        <v>27</v>
      </c>
    </row>
    <row r="1319" ht="16.5" spans="1:12">
      <c r="A1319" s="46">
        <v>1317</v>
      </c>
      <c r="B1319" s="46" t="s">
        <v>45</v>
      </c>
      <c r="C1319" s="46" t="str">
        <f>VLOOKUP(F1319,[4]在职!$A:$E,5,0)</f>
        <v>山东</v>
      </c>
      <c r="D1319" s="46" t="str">
        <f>VLOOKUP(F1319,[4]在职!$A:$G,7,0)</f>
        <v>山东销售部</v>
      </c>
      <c r="E1319" s="46" t="str">
        <f>VLOOKUP(F1319,[4]在职!$A:$M,13,0)</f>
        <v>肖佳</v>
      </c>
      <c r="F1319" s="5" t="s">
        <v>1494</v>
      </c>
      <c r="G1319" s="46" t="str">
        <f>VLOOKUP(F1319,[4]在职!$A:$B,2,0)</f>
        <v>01679</v>
      </c>
      <c r="H1319" s="46" t="str">
        <f>VLOOKUP(F1319,[4]在职!$A:$I,9,0)</f>
        <v>一星销售顾问</v>
      </c>
      <c r="I1319" s="84" t="s">
        <v>907</v>
      </c>
      <c r="J1319" s="83">
        <v>46093</v>
      </c>
      <c r="K1319" s="46" t="s">
        <v>902</v>
      </c>
      <c r="L1319" s="83" t="s">
        <v>27</v>
      </c>
    </row>
    <row r="1320" ht="16.5" spans="1:12">
      <c r="A1320" s="46">
        <v>1318</v>
      </c>
      <c r="B1320" s="46" t="s">
        <v>45</v>
      </c>
      <c r="C1320" s="46" t="str">
        <f>VLOOKUP(F1320,[4]在职!$A:$E,5,0)</f>
        <v>西南总部</v>
      </c>
      <c r="D1320" s="46" t="str">
        <f>VLOOKUP(F1320,[4]在职!$A:$G,7,0)</f>
        <v>营业五部</v>
      </c>
      <c r="E1320" s="46" t="str">
        <f>VLOOKUP(F1320,[4]在职!$A:$M,13,0)</f>
        <v>谢敏</v>
      </c>
      <c r="F1320" s="5" t="s">
        <v>1495</v>
      </c>
      <c r="G1320" s="46" t="str">
        <f>VLOOKUP(F1320,[4]在职!$A:$B,2,0)</f>
        <v>01652</v>
      </c>
      <c r="H1320" s="46" t="str">
        <f>VLOOKUP(F1320,[4]在职!$A:$I,9,0)</f>
        <v>一星销售顾问</v>
      </c>
      <c r="I1320" s="84" t="s">
        <v>907</v>
      </c>
      <c r="J1320" s="83">
        <v>46093</v>
      </c>
      <c r="K1320" s="46" t="s">
        <v>902</v>
      </c>
      <c r="L1320" s="83" t="s">
        <v>27</v>
      </c>
    </row>
    <row r="1321" ht="16.5" spans="1:12">
      <c r="A1321" s="46">
        <v>1319</v>
      </c>
      <c r="B1321" s="46" t="s">
        <v>45</v>
      </c>
      <c r="C1321" s="46" t="str">
        <f>VLOOKUP(F1321,[4]在职!$A:$E,5,0)</f>
        <v>西南总部</v>
      </c>
      <c r="D1321" s="46" t="str">
        <f>VLOOKUP(F1321,[4]在职!$A:$G,7,0)</f>
        <v>营业五部</v>
      </c>
      <c r="E1321" s="46" t="str">
        <f>VLOOKUP(F1321,[4]在职!$A:$M,13,0)</f>
        <v>谢敏</v>
      </c>
      <c r="F1321" s="5" t="s">
        <v>1496</v>
      </c>
      <c r="G1321" s="46" t="str">
        <f>VLOOKUP(F1321,[4]在职!$A:$B,2,0)</f>
        <v>01557</v>
      </c>
      <c r="H1321" s="46" t="str">
        <f>VLOOKUP(F1321,[4]在职!$A:$I,9,0)</f>
        <v>一星销售顾问</v>
      </c>
      <c r="I1321" s="84" t="s">
        <v>907</v>
      </c>
      <c r="J1321" s="83">
        <v>46093</v>
      </c>
      <c r="K1321" s="46" t="s">
        <v>902</v>
      </c>
      <c r="L1321" s="83" t="s">
        <v>27</v>
      </c>
    </row>
    <row r="1322" ht="16.5" spans="1:12">
      <c r="A1322" s="46">
        <v>1320</v>
      </c>
      <c r="B1322" s="46" t="s">
        <v>45</v>
      </c>
      <c r="C1322" s="46" t="str">
        <f>VLOOKUP(F1322,[4]在职!$A:$E,5,0)</f>
        <v>西南总部</v>
      </c>
      <c r="D1322" s="46" t="str">
        <f>VLOOKUP(F1322,[4]在职!$A:$G,7,0)</f>
        <v>营业六部</v>
      </c>
      <c r="E1322" s="46" t="str">
        <f>VLOOKUP(F1322,[4]在职!$A:$M,13,0)</f>
        <v>杨翠茹</v>
      </c>
      <c r="F1322" s="5" t="s">
        <v>1497</v>
      </c>
      <c r="G1322" s="46" t="str">
        <f>VLOOKUP(F1322,[4]在职!$A:$B,2,0)</f>
        <v>01739</v>
      </c>
      <c r="H1322" s="46" t="str">
        <f>VLOOKUP(F1322,[4]在职!$A:$I,9,0)</f>
        <v>一星销售顾问</v>
      </c>
      <c r="I1322" s="84" t="s">
        <v>907</v>
      </c>
      <c r="J1322" s="83">
        <v>46093</v>
      </c>
      <c r="K1322" s="46" t="s">
        <v>902</v>
      </c>
      <c r="L1322" s="83" t="s">
        <v>27</v>
      </c>
    </row>
    <row r="1323" ht="16.5" spans="1:12">
      <c r="A1323" s="46">
        <v>1321</v>
      </c>
      <c r="B1323" s="46" t="s">
        <v>45</v>
      </c>
      <c r="C1323" s="46" t="str">
        <f>VLOOKUP(F1323,[4]在职!$A:$E,5,0)</f>
        <v>西南总部</v>
      </c>
      <c r="D1323" s="46" t="str">
        <f>VLOOKUP(F1323,[4]在职!$A:$G,7,0)</f>
        <v>营业六部</v>
      </c>
      <c r="E1323" s="46" t="str">
        <f>VLOOKUP(F1323,[4]在职!$A:$M,13,0)</f>
        <v>杨翠茹</v>
      </c>
      <c r="F1323" s="5" t="s">
        <v>1022</v>
      </c>
      <c r="G1323" s="46" t="str">
        <f>VLOOKUP(F1323,[4]在职!$A:$B,2,0)</f>
        <v>01579</v>
      </c>
      <c r="H1323" s="46" t="str">
        <f>VLOOKUP(F1323,[4]在职!$A:$I,9,0)</f>
        <v>二星销售顾问</v>
      </c>
      <c r="I1323" s="84" t="s">
        <v>907</v>
      </c>
      <c r="J1323" s="83">
        <v>46093</v>
      </c>
      <c r="K1323" s="46" t="s">
        <v>902</v>
      </c>
      <c r="L1323" s="83" t="s">
        <v>27</v>
      </c>
    </row>
    <row r="1324" ht="16.5" spans="1:12">
      <c r="A1324" s="46">
        <v>1322</v>
      </c>
      <c r="B1324" s="46" t="s">
        <v>45</v>
      </c>
      <c r="C1324" s="46" t="str">
        <f>VLOOKUP(F1324,[4]在职!$A:$E,5,0)</f>
        <v>西南总部</v>
      </c>
      <c r="D1324" s="46" t="str">
        <f>VLOOKUP(F1324,[4]在职!$A:$G,7,0)</f>
        <v>营业六部</v>
      </c>
      <c r="E1324" s="46" t="str">
        <f>VLOOKUP(F1324,[4]在职!$A:$M,13,0)</f>
        <v>杨威</v>
      </c>
      <c r="F1324" s="5" t="s">
        <v>1498</v>
      </c>
      <c r="G1324" s="46" t="str">
        <f>VLOOKUP(F1324,[4]在职!$A:$B,2,0)</f>
        <v>01274</v>
      </c>
      <c r="H1324" s="46" t="str">
        <f>VLOOKUP(F1324,[4]在职!$A:$I,9,0)</f>
        <v>一星销售顾问</v>
      </c>
      <c r="I1324" s="84" t="s">
        <v>907</v>
      </c>
      <c r="J1324" s="83">
        <v>46093</v>
      </c>
      <c r="K1324" s="46" t="s">
        <v>902</v>
      </c>
      <c r="L1324" s="83" t="s">
        <v>27</v>
      </c>
    </row>
    <row r="1325" ht="16.5" spans="1:12">
      <c r="A1325" s="46">
        <v>1323</v>
      </c>
      <c r="B1325" s="46" t="s">
        <v>45</v>
      </c>
      <c r="C1325" s="46" t="str">
        <f>VLOOKUP(F1325,[4]在职!$A:$E,5,0)</f>
        <v>西南总部</v>
      </c>
      <c r="D1325" s="46" t="str">
        <f>VLOOKUP(F1325,[4]在职!$A:$G,7,0)</f>
        <v>营业六部</v>
      </c>
      <c r="E1325" s="46" t="str">
        <f>VLOOKUP(F1325,[4]在职!$A:$M,13,0)</f>
        <v>杨威</v>
      </c>
      <c r="F1325" s="5" t="s">
        <v>1040</v>
      </c>
      <c r="G1325" s="46" t="str">
        <f>VLOOKUP(F1325,[4]在职!$A:$B,2,0)</f>
        <v>01660</v>
      </c>
      <c r="H1325" s="46" t="str">
        <f>VLOOKUP(F1325,[4]在职!$A:$I,9,0)</f>
        <v>一星销售顾问</v>
      </c>
      <c r="I1325" s="84" t="s">
        <v>907</v>
      </c>
      <c r="J1325" s="83">
        <v>46093</v>
      </c>
      <c r="K1325" s="46" t="s">
        <v>902</v>
      </c>
      <c r="L1325" s="83" t="s">
        <v>27</v>
      </c>
    </row>
    <row r="1326" ht="16.5" spans="1:12">
      <c r="A1326" s="46">
        <v>1324</v>
      </c>
      <c r="B1326" s="46" t="s">
        <v>45</v>
      </c>
      <c r="C1326" s="46" t="str">
        <f>VLOOKUP(F1326,[4]在职!$A:$E,5,0)</f>
        <v>西南总部</v>
      </c>
      <c r="D1326" s="46" t="str">
        <f>VLOOKUP(F1326,[4]在职!$A:$G,7,0)</f>
        <v>营业六部</v>
      </c>
      <c r="E1326" s="46" t="str">
        <f>VLOOKUP(F1326,[4]在职!$A:$M,13,0)</f>
        <v>杨威</v>
      </c>
      <c r="F1326" s="5" t="s">
        <v>1042</v>
      </c>
      <c r="G1326" s="46" t="str">
        <f>VLOOKUP(F1326,[4]在职!$A:$B,2,0)</f>
        <v>01615</v>
      </c>
      <c r="H1326" s="46" t="str">
        <f>VLOOKUP(F1326,[4]在职!$A:$I,9,0)</f>
        <v>一星销售顾问</v>
      </c>
      <c r="I1326" s="84" t="s">
        <v>907</v>
      </c>
      <c r="J1326" s="83">
        <v>46093</v>
      </c>
      <c r="K1326" s="46" t="s">
        <v>902</v>
      </c>
      <c r="L1326" s="83" t="s">
        <v>27</v>
      </c>
    </row>
    <row r="1327" ht="16.5" spans="1:12">
      <c r="A1327" s="46">
        <v>1325</v>
      </c>
      <c r="B1327" s="46" t="s">
        <v>45</v>
      </c>
      <c r="C1327" s="46" t="str">
        <f>VLOOKUP(F1327,[4]在职!$A:$E,5,0)</f>
        <v>陕西</v>
      </c>
      <c r="D1327" s="46" t="str">
        <f>VLOOKUP(F1327,[4]在职!$A:$G,7,0)</f>
        <v>陕西1部</v>
      </c>
      <c r="E1327" s="46" t="str">
        <f>VLOOKUP(F1327,[4]在职!$A:$M,13,0)</f>
        <v>杨永梅</v>
      </c>
      <c r="F1327" s="5" t="s">
        <v>1499</v>
      </c>
      <c r="G1327" s="46" t="str">
        <f>VLOOKUP(F1327,[4]在职!$A:$B,2,0)</f>
        <v>01589</v>
      </c>
      <c r="H1327" s="46" t="str">
        <f>VLOOKUP(F1327,[4]在职!$A:$I,9,0)</f>
        <v>一星销售顾问</v>
      </c>
      <c r="I1327" s="84" t="s">
        <v>907</v>
      </c>
      <c r="J1327" s="83">
        <v>46093</v>
      </c>
      <c r="K1327" s="46" t="s">
        <v>902</v>
      </c>
      <c r="L1327" s="83" t="s">
        <v>27</v>
      </c>
    </row>
    <row r="1328" ht="16.5" spans="1:12">
      <c r="A1328" s="46">
        <v>1326</v>
      </c>
      <c r="B1328" s="46" t="s">
        <v>45</v>
      </c>
      <c r="C1328" s="46" t="str">
        <f>VLOOKUP(F1328,[4]在职!$A:$E,5,0)</f>
        <v>西南总部</v>
      </c>
      <c r="D1328" s="46" t="str">
        <f>VLOOKUP(F1328,[4]在职!$A:$G,7,0)</f>
        <v>营业二部</v>
      </c>
      <c r="E1328" s="46" t="str">
        <f>VLOOKUP(F1328,[4]在职!$A:$M,13,0)</f>
        <v>张佩瑶</v>
      </c>
      <c r="F1328" s="5" t="s">
        <v>1500</v>
      </c>
      <c r="G1328" s="46" t="str">
        <f>VLOOKUP(F1328,[4]在职!$A:$B,2,0)</f>
        <v>01785</v>
      </c>
      <c r="H1328" s="46" t="str">
        <f>VLOOKUP(F1328,[4]在职!$A:$I,9,0)</f>
        <v>一星销售顾问</v>
      </c>
      <c r="I1328" s="84" t="s">
        <v>907</v>
      </c>
      <c r="J1328" s="83">
        <v>46093</v>
      </c>
      <c r="K1328" s="46" t="s">
        <v>902</v>
      </c>
      <c r="L1328" s="83" t="s">
        <v>27</v>
      </c>
    </row>
    <row r="1329" ht="16.5" spans="1:12">
      <c r="A1329" s="46">
        <v>1327</v>
      </c>
      <c r="B1329" s="46" t="s">
        <v>45</v>
      </c>
      <c r="C1329" s="46" t="str">
        <f>VLOOKUP(F1329,[4]在职!$A:$E,5,0)</f>
        <v>西南总部</v>
      </c>
      <c r="D1329" s="46" t="str">
        <f>VLOOKUP(F1329,[4]在职!$A:$G,7,0)</f>
        <v>营业二部</v>
      </c>
      <c r="E1329" s="46" t="str">
        <f>VLOOKUP(F1329,[4]在职!$A:$M,13,0)</f>
        <v>张佩瑶</v>
      </c>
      <c r="F1329" s="5" t="s">
        <v>1064</v>
      </c>
      <c r="G1329" s="46" t="str">
        <f>VLOOKUP(F1329,[4]在职!$A:$B,2,0)</f>
        <v>00569</v>
      </c>
      <c r="H1329" s="46" t="str">
        <f>VLOOKUP(F1329,[4]在职!$A:$I,9,0)</f>
        <v>二星销售顾问</v>
      </c>
      <c r="I1329" s="84" t="s">
        <v>907</v>
      </c>
      <c r="J1329" s="83">
        <v>46093</v>
      </c>
      <c r="K1329" s="46" t="s">
        <v>902</v>
      </c>
      <c r="L1329" s="83" t="s">
        <v>27</v>
      </c>
    </row>
    <row r="1330" ht="16.5" spans="1:12">
      <c r="A1330" s="46">
        <v>1328</v>
      </c>
      <c r="B1330" s="46" t="s">
        <v>45</v>
      </c>
      <c r="C1330" s="46" t="str">
        <f>VLOOKUP(F1330,[4]在职!$A:$E,5,0)</f>
        <v>西南总部</v>
      </c>
      <c r="D1330" s="46" t="str">
        <f>VLOOKUP(F1330,[4]在职!$A:$G,7,0)</f>
        <v>营业三部</v>
      </c>
      <c r="E1330" s="46" t="str">
        <f>VLOOKUP(F1330,[4]在职!$A:$M,13,0)</f>
        <v>郑景慕</v>
      </c>
      <c r="F1330" s="5" t="s">
        <v>1501</v>
      </c>
      <c r="G1330" s="46" t="str">
        <f>VLOOKUP(F1330,[4]在职!$A:$B,2,0)</f>
        <v>01540</v>
      </c>
      <c r="H1330" s="46" t="str">
        <f>VLOOKUP(F1330,[4]在职!$A:$I,9,0)</f>
        <v>一星销售顾问</v>
      </c>
      <c r="I1330" s="84" t="s">
        <v>907</v>
      </c>
      <c r="J1330" s="83">
        <v>46093</v>
      </c>
      <c r="K1330" s="46" t="s">
        <v>902</v>
      </c>
      <c r="L1330" s="83" t="s">
        <v>27</v>
      </c>
    </row>
    <row r="1331" ht="16.5" spans="1:12">
      <c r="A1331" s="46">
        <v>1329</v>
      </c>
      <c r="B1331" s="46" t="s">
        <v>45</v>
      </c>
      <c r="C1331" s="46" t="str">
        <f>VLOOKUP(F1331,[4]在职!$A:$E,5,0)</f>
        <v>河南</v>
      </c>
      <c r="D1331" s="46" t="str">
        <f>VLOOKUP(F1331,[4]在职!$A:$G,7,0)</f>
        <v>河南销售部</v>
      </c>
      <c r="E1331" s="46" t="str">
        <f>VLOOKUP(F1331,[4]在职!$A:$M,13,0)</f>
        <v>周吉双</v>
      </c>
      <c r="F1331" s="5" t="s">
        <v>1502</v>
      </c>
      <c r="G1331" s="46" t="str">
        <f>VLOOKUP(F1331,[4]在职!$A:$B,2,0)</f>
        <v>01529</v>
      </c>
      <c r="H1331" s="46" t="str">
        <f>VLOOKUP(F1331,[4]在职!$A:$I,9,0)</f>
        <v>一星销售顾问</v>
      </c>
      <c r="I1331" s="84" t="s">
        <v>907</v>
      </c>
      <c r="J1331" s="83">
        <v>46093</v>
      </c>
      <c r="K1331" s="46" t="s">
        <v>902</v>
      </c>
      <c r="L1331" s="83" t="s">
        <v>27</v>
      </c>
    </row>
    <row r="1332" ht="16.5" spans="1:12">
      <c r="A1332" s="46">
        <v>1330</v>
      </c>
      <c r="B1332" s="46" t="s">
        <v>45</v>
      </c>
      <c r="C1332" s="46" t="str">
        <f>VLOOKUP(F1332,[4]在职!$A:$E,5,0)</f>
        <v>西南总部</v>
      </c>
      <c r="D1332" s="46" t="str">
        <f>VLOOKUP(F1332,[4]在职!$A:$G,7,0)</f>
        <v>营业五部</v>
      </c>
      <c r="E1332" s="46" t="str">
        <f>VLOOKUP(F1332,[4]在职!$A:$M,13,0)</f>
        <v>周远芮</v>
      </c>
      <c r="F1332" s="5" t="s">
        <v>1503</v>
      </c>
      <c r="G1332" s="46" t="str">
        <f>VLOOKUP(F1332,[4]在职!$A:$B,2,0)</f>
        <v>01560</v>
      </c>
      <c r="H1332" s="46" t="str">
        <f>VLOOKUP(F1332,[4]在职!$A:$I,9,0)</f>
        <v>一星销售顾问</v>
      </c>
      <c r="I1332" s="84" t="s">
        <v>907</v>
      </c>
      <c r="J1332" s="83">
        <v>46093</v>
      </c>
      <c r="K1332" s="46" t="s">
        <v>902</v>
      </c>
      <c r="L1332" s="83" t="s">
        <v>27</v>
      </c>
    </row>
    <row r="1333" ht="16.5" spans="1:12">
      <c r="A1333" s="46">
        <v>1331</v>
      </c>
      <c r="B1333" s="46" t="s">
        <v>45</v>
      </c>
      <c r="C1333" s="46" t="str">
        <f>VLOOKUP(F1333,[4]在职!$A:$E,5,0)</f>
        <v>河南</v>
      </c>
      <c r="D1333" s="46" t="str">
        <f>VLOOKUP(F1333,[4]在职!$A:$G,7,0)</f>
        <v>河南销售部</v>
      </c>
      <c r="E1333" s="46" t="str">
        <f>VLOOKUP(F1333,[4]在职!$A:$M,13,0)</f>
        <v>杜雄</v>
      </c>
      <c r="F1333" s="46" t="s">
        <v>1506</v>
      </c>
      <c r="G1333" s="46" t="str">
        <f>VLOOKUP(F1333,[4]在职!$A:$B,2,0)</f>
        <v>00866</v>
      </c>
      <c r="H1333" s="46" t="str">
        <f>VLOOKUP(F1333,[4]在职!$A:$I,9,0)</f>
        <v>实习销售</v>
      </c>
      <c r="I1333" s="46" t="s">
        <v>915</v>
      </c>
      <c r="J1333" s="83">
        <v>46106</v>
      </c>
      <c r="K1333" s="46" t="s">
        <v>1170</v>
      </c>
      <c r="L1333" s="83" t="s">
        <v>25</v>
      </c>
    </row>
    <row r="1334" ht="16.5" spans="1:12">
      <c r="A1334" s="46">
        <v>1332</v>
      </c>
      <c r="B1334" s="46" t="s">
        <v>45</v>
      </c>
      <c r="C1334" s="46" t="str">
        <f>VLOOKUP(F1334,[4]在职!$A:$E,5,0)</f>
        <v>河南</v>
      </c>
      <c r="D1334" s="46" t="str">
        <f>VLOOKUP(F1334,[4]在职!$A:$G,7,0)</f>
        <v>河南销售部</v>
      </c>
      <c r="E1334" s="46" t="str">
        <f>VLOOKUP(F1334,[4]在职!$A:$M,13,0)</f>
        <v>蒋吉勇</v>
      </c>
      <c r="F1334" s="46" t="s">
        <v>1279</v>
      </c>
      <c r="G1334" s="46" t="str">
        <f>VLOOKUP(F1334,[4]在职!$A:$B,2,0)</f>
        <v>01610</v>
      </c>
      <c r="H1334" s="46" t="str">
        <f>VLOOKUP(F1334,[4]在职!$A:$I,9,0)</f>
        <v>实习销售</v>
      </c>
      <c r="I1334" s="46" t="s">
        <v>907</v>
      </c>
      <c r="J1334" s="83">
        <v>46106</v>
      </c>
      <c r="K1334" s="46" t="s">
        <v>1170</v>
      </c>
      <c r="L1334" s="83" t="s">
        <v>25</v>
      </c>
    </row>
    <row r="1335" ht="16.5" spans="1:12">
      <c r="A1335" s="46">
        <v>1333</v>
      </c>
      <c r="B1335" s="46" t="s">
        <v>45</v>
      </c>
      <c r="C1335" s="46" t="str">
        <f>VLOOKUP(F1335,[4]在职!$A:$E,5,0)</f>
        <v>河南</v>
      </c>
      <c r="D1335" s="46" t="str">
        <f>VLOOKUP(F1335,[4]在职!$A:$G,7,0)</f>
        <v>河南销售部</v>
      </c>
      <c r="E1335" s="46" t="str">
        <f>VLOOKUP(F1335,[4]在职!$A:$M,13,0)</f>
        <v>余金梅</v>
      </c>
      <c r="F1335" s="46" t="s">
        <v>1205</v>
      </c>
      <c r="G1335" s="46" t="str">
        <f>VLOOKUP(F1335,[4]在职!$A:$B,2,0)</f>
        <v>01870</v>
      </c>
      <c r="H1335" s="46" t="str">
        <f>VLOOKUP(F1335,[4]在职!$A:$I,9,0)</f>
        <v>实习销售</v>
      </c>
      <c r="I1335" s="46" t="s">
        <v>915</v>
      </c>
      <c r="J1335" s="83">
        <v>46106</v>
      </c>
      <c r="K1335" s="46" t="s">
        <v>1170</v>
      </c>
      <c r="L1335" s="83" t="s">
        <v>25</v>
      </c>
    </row>
    <row r="1336" ht="16.5" spans="1:12">
      <c r="A1336" s="46">
        <v>1334</v>
      </c>
      <c r="B1336" s="46" t="s">
        <v>45</v>
      </c>
      <c r="C1336" s="46" t="str">
        <f>VLOOKUP(F1336,[4]在职!$A:$E,5,0)</f>
        <v>湖北</v>
      </c>
      <c r="D1336" s="46" t="str">
        <f>VLOOKUP(F1336,[4]在职!$A:$G,7,0)</f>
        <v>湖北1部</v>
      </c>
      <c r="E1336" s="46" t="str">
        <f>VLOOKUP(F1336,[4]在职!$A:$M,13,0)</f>
        <v>黄俊</v>
      </c>
      <c r="F1336" s="46" t="s">
        <v>1507</v>
      </c>
      <c r="G1336" s="46" t="str">
        <f>VLOOKUP(F1336,[4]在职!$A:$B,2,0)</f>
        <v>01944</v>
      </c>
      <c r="H1336" s="46" t="str">
        <f>VLOOKUP(F1336,[4]在职!$A:$I,9,0)</f>
        <v>实习销售</v>
      </c>
      <c r="I1336" s="46" t="s">
        <v>907</v>
      </c>
      <c r="J1336" s="83">
        <v>46106</v>
      </c>
      <c r="K1336" s="46" t="s">
        <v>1170</v>
      </c>
      <c r="L1336" s="83" t="s">
        <v>25</v>
      </c>
    </row>
    <row r="1337" ht="16.5" spans="1:12">
      <c r="A1337" s="46">
        <v>1335</v>
      </c>
      <c r="B1337" s="46" t="s">
        <v>45</v>
      </c>
      <c r="C1337" s="46" t="str">
        <f>VLOOKUP(F1337,[4]在职!$A:$E,5,0)</f>
        <v>湖北</v>
      </c>
      <c r="D1337" s="46" t="str">
        <f>VLOOKUP(F1337,[4]在职!$A:$G,7,0)</f>
        <v>湖北2部</v>
      </c>
      <c r="E1337" s="46" t="str">
        <f>VLOOKUP(F1337,[4]在职!$A:$M,13,0)</f>
        <v>马超</v>
      </c>
      <c r="F1337" s="46" t="s">
        <v>1508</v>
      </c>
      <c r="G1337" s="46" t="str">
        <f>VLOOKUP(F1337,[4]在职!$A:$B,2,0)</f>
        <v>01942</v>
      </c>
      <c r="H1337" s="46" t="str">
        <f>VLOOKUP(F1337,[4]在职!$A:$I,9,0)</f>
        <v>实习销售</v>
      </c>
      <c r="I1337" s="46" t="s">
        <v>915</v>
      </c>
      <c r="J1337" s="83">
        <v>46106</v>
      </c>
      <c r="K1337" s="46" t="s">
        <v>1170</v>
      </c>
      <c r="L1337" s="83" t="s">
        <v>25</v>
      </c>
    </row>
    <row r="1338" ht="16.5" spans="1:12">
      <c r="A1338" s="46">
        <v>1336</v>
      </c>
      <c r="B1338" s="46" t="s">
        <v>45</v>
      </c>
      <c r="C1338" s="46" t="str">
        <f>VLOOKUP(F1338,[4]在职!$A:$E,5,0)</f>
        <v>湖北</v>
      </c>
      <c r="D1338" s="46" t="str">
        <f>VLOOKUP(F1338,[4]在职!$A:$G,7,0)</f>
        <v>湖北1部</v>
      </c>
      <c r="E1338" s="46" t="str">
        <f>VLOOKUP(F1338,[4]在职!$A:$M,13,0)</f>
        <v>秦娅玲</v>
      </c>
      <c r="F1338" s="46" t="s">
        <v>1509</v>
      </c>
      <c r="G1338" s="46" t="str">
        <f>VLOOKUP(F1338,[4]在职!$A:$B,2,0)</f>
        <v>01946</v>
      </c>
      <c r="H1338" s="46" t="str">
        <f>VLOOKUP(F1338,[4]在职!$A:$I,9,0)</f>
        <v>实习销售</v>
      </c>
      <c r="I1338" s="46" t="s">
        <v>915</v>
      </c>
      <c r="J1338" s="83">
        <v>46106</v>
      </c>
      <c r="K1338" s="46" t="s">
        <v>1170</v>
      </c>
      <c r="L1338" s="83" t="s">
        <v>25</v>
      </c>
    </row>
    <row r="1339" ht="16.5" spans="1:12">
      <c r="A1339" s="46">
        <v>1337</v>
      </c>
      <c r="B1339" s="46" t="s">
        <v>45</v>
      </c>
      <c r="C1339" s="46" t="str">
        <f>VLOOKUP(F1339,[4]在职!$A:$E,5,0)</f>
        <v>湖北</v>
      </c>
      <c r="D1339" s="46" t="str">
        <f>VLOOKUP(F1339,[4]在职!$A:$G,7,0)</f>
        <v>湖北1部</v>
      </c>
      <c r="E1339" s="46" t="str">
        <f>VLOOKUP(F1339,[4]在职!$A:$M,13,0)</f>
        <v>张宗铭</v>
      </c>
      <c r="F1339" s="46" t="s">
        <v>1510</v>
      </c>
      <c r="G1339" s="46" t="str">
        <f>VLOOKUP(F1339,[4]在职!$A:$B,2,0)</f>
        <v>01977</v>
      </c>
      <c r="H1339" s="46" t="str">
        <f>VLOOKUP(F1339,[4]在职!$A:$I,9,0)</f>
        <v>实习销售</v>
      </c>
      <c r="I1339" s="46" t="s">
        <v>915</v>
      </c>
      <c r="J1339" s="83">
        <v>46106</v>
      </c>
      <c r="K1339" s="46" t="s">
        <v>1170</v>
      </c>
      <c r="L1339" s="83" t="s">
        <v>25</v>
      </c>
    </row>
    <row r="1340" ht="16.5" spans="1:12">
      <c r="A1340" s="46">
        <v>1338</v>
      </c>
      <c r="B1340" s="46" t="s">
        <v>45</v>
      </c>
      <c r="C1340" s="46" t="str">
        <f>VLOOKUP(F1340,[4]在职!$A:$E,5,0)</f>
        <v>湖南</v>
      </c>
      <c r="D1340" s="46" t="str">
        <f>VLOOKUP(F1340,[4]在职!$A:$G,7,0)</f>
        <v>湖南销售部</v>
      </c>
      <c r="E1340" s="46" t="str">
        <f>VLOOKUP(F1340,[4]在职!$A:$M,13,0)</f>
        <v>扈岭楠</v>
      </c>
      <c r="F1340" s="46" t="s">
        <v>1511</v>
      </c>
      <c r="G1340" s="46" t="str">
        <f>VLOOKUP(F1340,[4]在职!$A:$B,2,0)</f>
        <v>01926</v>
      </c>
      <c r="H1340" s="46" t="str">
        <f>VLOOKUP(F1340,[4]在职!$A:$I,9,0)</f>
        <v>实习销售</v>
      </c>
      <c r="I1340" s="46" t="s">
        <v>915</v>
      </c>
      <c r="J1340" s="83">
        <v>46106</v>
      </c>
      <c r="K1340" s="46" t="s">
        <v>1170</v>
      </c>
      <c r="L1340" s="83" t="s">
        <v>25</v>
      </c>
    </row>
    <row r="1341" ht="16.5" spans="1:12">
      <c r="A1341" s="46">
        <v>1339</v>
      </c>
      <c r="B1341" s="46" t="s">
        <v>45</v>
      </c>
      <c r="C1341" s="46" t="str">
        <f>VLOOKUP(F1341,[4]在职!$A:$E,5,0)</f>
        <v>湖南</v>
      </c>
      <c r="D1341" s="46" t="str">
        <f>VLOOKUP(F1341,[4]在职!$A:$G,7,0)</f>
        <v>湖南销售部</v>
      </c>
      <c r="E1341" s="46" t="str">
        <f>VLOOKUP(F1341,[4]在职!$A:$M,13,0)</f>
        <v>刘元发</v>
      </c>
      <c r="F1341" s="46" t="s">
        <v>1261</v>
      </c>
      <c r="G1341" s="46" t="str">
        <f>VLOOKUP(F1341,[4]在职!$A:$B,2,0)</f>
        <v>01907</v>
      </c>
      <c r="H1341" s="46" t="str">
        <f>VLOOKUP(F1341,[4]在职!$A:$I,9,0)</f>
        <v>实习销售</v>
      </c>
      <c r="I1341" s="46" t="s">
        <v>915</v>
      </c>
      <c r="J1341" s="83">
        <v>46106</v>
      </c>
      <c r="K1341" s="46" t="s">
        <v>1170</v>
      </c>
      <c r="L1341" s="83" t="s">
        <v>25</v>
      </c>
    </row>
    <row r="1342" ht="16.5" spans="1:12">
      <c r="A1342" s="46">
        <v>1340</v>
      </c>
      <c r="B1342" s="46" t="s">
        <v>45</v>
      </c>
      <c r="C1342" s="46" t="str">
        <f>VLOOKUP(F1342,[4]在职!$A:$E,5,0)</f>
        <v>湖南</v>
      </c>
      <c r="D1342" s="46" t="str">
        <f>VLOOKUP(F1342,[4]在职!$A:$G,7,0)</f>
        <v>湖南销售部</v>
      </c>
      <c r="E1342" s="46" t="str">
        <f>VLOOKUP(F1342,[4]在职!$A:$M,13,0)</f>
        <v>杨超群</v>
      </c>
      <c r="F1342" s="46" t="s">
        <v>1259</v>
      </c>
      <c r="G1342" s="46" t="str">
        <f>VLOOKUP(F1342,[4]在职!$A:$B,2,0)</f>
        <v>01873</v>
      </c>
      <c r="H1342" s="46" t="str">
        <f>VLOOKUP(F1342,[4]在职!$A:$I,9,0)</f>
        <v>实习销售</v>
      </c>
      <c r="I1342" s="46" t="s">
        <v>915</v>
      </c>
      <c r="J1342" s="83">
        <v>46106</v>
      </c>
      <c r="K1342" s="46" t="s">
        <v>1170</v>
      </c>
      <c r="L1342" s="83" t="s">
        <v>25</v>
      </c>
    </row>
    <row r="1343" ht="16.5" spans="1:12">
      <c r="A1343" s="46">
        <v>1341</v>
      </c>
      <c r="B1343" s="46" t="s">
        <v>45</v>
      </c>
      <c r="C1343" s="46" t="str">
        <f>VLOOKUP(F1343,[4]在职!$A:$E,5,0)</f>
        <v>湖南</v>
      </c>
      <c r="D1343" s="46" t="str">
        <f>VLOOKUP(F1343,[4]在职!$A:$G,7,0)</f>
        <v>湖南销售部</v>
      </c>
      <c r="E1343" s="46" t="str">
        <f>VLOOKUP(F1343,[4]在职!$A:$M,13,0)</f>
        <v>庄素芳</v>
      </c>
      <c r="F1343" s="46" t="s">
        <v>1512</v>
      </c>
      <c r="G1343" s="46" t="str">
        <f>VLOOKUP(F1343,[4]在职!$A:$B,2,0)</f>
        <v>01920</v>
      </c>
      <c r="H1343" s="46" t="str">
        <f>VLOOKUP(F1343,[4]在职!$A:$I,9,0)</f>
        <v>实习销售</v>
      </c>
      <c r="I1343" s="46" t="s">
        <v>915</v>
      </c>
      <c r="J1343" s="83">
        <v>46106</v>
      </c>
      <c r="K1343" s="46" t="s">
        <v>1170</v>
      </c>
      <c r="L1343" s="83" t="s">
        <v>25</v>
      </c>
    </row>
    <row r="1344" ht="16.5" spans="1:12">
      <c r="A1344" s="46">
        <v>1342</v>
      </c>
      <c r="B1344" s="46" t="s">
        <v>45</v>
      </c>
      <c r="C1344" s="46" t="str">
        <f>VLOOKUP(F1344,[4]在职!$A:$E,5,0)</f>
        <v>辽宁</v>
      </c>
      <c r="D1344" s="46" t="str">
        <f>VLOOKUP(F1344,[4]在职!$A:$G,7,0)</f>
        <v>辽宁销售部</v>
      </c>
      <c r="E1344" s="46" t="str">
        <f>VLOOKUP(F1344,[4]在职!$A:$M,13,0)</f>
        <v>孙科</v>
      </c>
      <c r="F1344" s="46" t="s">
        <v>1513</v>
      </c>
      <c r="G1344" s="46" t="str">
        <f>VLOOKUP(F1344,[4]在职!$A:$B,2,0)</f>
        <v>01961</v>
      </c>
      <c r="H1344" s="46" t="str">
        <f>VLOOKUP(F1344,[4]在职!$A:$I,9,0)</f>
        <v>实习销售</v>
      </c>
      <c r="I1344" s="46" t="s">
        <v>915</v>
      </c>
      <c r="J1344" s="83">
        <v>46106</v>
      </c>
      <c r="K1344" s="46" t="s">
        <v>1170</v>
      </c>
      <c r="L1344" s="83" t="s">
        <v>25</v>
      </c>
    </row>
    <row r="1345" ht="16.5" spans="1:12">
      <c r="A1345" s="46">
        <v>1343</v>
      </c>
      <c r="B1345" s="46" t="s">
        <v>45</v>
      </c>
      <c r="C1345" s="46" t="str">
        <f>VLOOKUP(F1345,[4]在职!$A:$E,5,0)</f>
        <v>辽宁</v>
      </c>
      <c r="D1345" s="46" t="str">
        <f>VLOOKUP(F1345,[4]在职!$A:$G,7,0)</f>
        <v>辽宁销售部</v>
      </c>
      <c r="E1345" s="46" t="str">
        <f>VLOOKUP(F1345,[4]在职!$A:$M,13,0)</f>
        <v>孙科</v>
      </c>
      <c r="F1345" s="46" t="s">
        <v>1514</v>
      </c>
      <c r="G1345" s="46" t="str">
        <f>VLOOKUP(F1345,[4]在职!$A:$B,2,0)</f>
        <v>01925</v>
      </c>
      <c r="H1345" s="46" t="str">
        <f>VLOOKUP(F1345,[4]在职!$A:$I,9,0)</f>
        <v>实习销售</v>
      </c>
      <c r="I1345" s="46" t="s">
        <v>915</v>
      </c>
      <c r="J1345" s="83">
        <v>46106</v>
      </c>
      <c r="K1345" s="46" t="s">
        <v>1170</v>
      </c>
      <c r="L1345" s="83" t="s">
        <v>25</v>
      </c>
    </row>
    <row r="1346" ht="16.5" spans="1:12">
      <c r="A1346" s="46">
        <v>1344</v>
      </c>
      <c r="B1346" s="46" t="s">
        <v>45</v>
      </c>
      <c r="C1346" s="46" t="str">
        <f>VLOOKUP(F1346,[4]在职!$A:$E,5,0)</f>
        <v>山东</v>
      </c>
      <c r="D1346" s="46" t="str">
        <f>VLOOKUP(F1346,[4]在职!$A:$G,7,0)</f>
        <v>山东销售部</v>
      </c>
      <c r="E1346" s="46" t="str">
        <f>VLOOKUP(F1346,[4]在职!$A:$M,13,0)</f>
        <v>赵文涛</v>
      </c>
      <c r="F1346" s="46" t="s">
        <v>1515</v>
      </c>
      <c r="G1346" s="46" t="str">
        <f>VLOOKUP(F1346,[4]在职!$A:$B,2,0)</f>
        <v>01936</v>
      </c>
      <c r="H1346" s="46" t="str">
        <f>VLOOKUP(F1346,[4]在职!$A:$I,9,0)</f>
        <v>实习销售</v>
      </c>
      <c r="I1346" s="46" t="s">
        <v>915</v>
      </c>
      <c r="J1346" s="83">
        <v>46106</v>
      </c>
      <c r="K1346" s="46" t="s">
        <v>1170</v>
      </c>
      <c r="L1346" s="83" t="s">
        <v>25</v>
      </c>
    </row>
    <row r="1347" ht="16.5" spans="1:12">
      <c r="A1347" s="46">
        <v>1345</v>
      </c>
      <c r="B1347" s="46" t="s">
        <v>45</v>
      </c>
      <c r="C1347" s="46" t="str">
        <f>VLOOKUP(F1347,[4]在职!$A:$E,5,0)</f>
        <v>山东</v>
      </c>
      <c r="D1347" s="46" t="str">
        <f>VLOOKUP(F1347,[4]在职!$A:$G,7,0)</f>
        <v>山东销售部</v>
      </c>
      <c r="E1347" s="46" t="str">
        <f>VLOOKUP(F1347,[4]在职!$A:$M,13,0)</f>
        <v>周涛</v>
      </c>
      <c r="F1347" s="46" t="s">
        <v>1516</v>
      </c>
      <c r="G1347" s="46" t="str">
        <f>VLOOKUP(F1347,[4]在职!$A:$B,2,0)</f>
        <v>01947</v>
      </c>
      <c r="H1347" s="46" t="str">
        <f>VLOOKUP(F1347,[4]在职!$A:$I,9,0)</f>
        <v>实习销售</v>
      </c>
      <c r="I1347" s="46" t="s">
        <v>915</v>
      </c>
      <c r="J1347" s="83">
        <v>46106</v>
      </c>
      <c r="K1347" s="46" t="s">
        <v>1170</v>
      </c>
      <c r="L1347" s="83" t="s">
        <v>25</v>
      </c>
    </row>
    <row r="1348" ht="16.5" spans="1:12">
      <c r="A1348" s="46">
        <v>1346</v>
      </c>
      <c r="B1348" s="46" t="s">
        <v>45</v>
      </c>
      <c r="C1348" s="46" t="str">
        <f>VLOOKUP(F1348,[4]在职!$A:$E,5,0)</f>
        <v>陕西</v>
      </c>
      <c r="D1348" s="46" t="str">
        <f>VLOOKUP(F1348,[4]在职!$A:$G,7,0)</f>
        <v>陕西1部</v>
      </c>
      <c r="E1348" s="46" t="str">
        <f>VLOOKUP(F1348,[4]在职!$A:$M,13,0)</f>
        <v>吕瑞仙</v>
      </c>
      <c r="F1348" s="46" t="s">
        <v>1517</v>
      </c>
      <c r="G1348" s="46" t="str">
        <f>VLOOKUP(F1348,[4]在职!$A:$B,2,0)</f>
        <v>01973</v>
      </c>
      <c r="H1348" s="46" t="str">
        <f>VLOOKUP(F1348,[4]在职!$A:$I,9,0)</f>
        <v>实习销售</v>
      </c>
      <c r="I1348" s="46" t="s">
        <v>915</v>
      </c>
      <c r="J1348" s="83">
        <v>46106</v>
      </c>
      <c r="K1348" s="46" t="s">
        <v>1170</v>
      </c>
      <c r="L1348" s="83" t="s">
        <v>25</v>
      </c>
    </row>
    <row r="1349" ht="16.5" spans="1:12">
      <c r="A1349" s="46">
        <v>1347</v>
      </c>
      <c r="B1349" s="46" t="s">
        <v>45</v>
      </c>
      <c r="C1349" s="46" t="str">
        <f>VLOOKUP(F1349,[4]在职!$A:$E,5,0)</f>
        <v>陕西</v>
      </c>
      <c r="D1349" s="46" t="str">
        <f>VLOOKUP(F1349,[4]在职!$A:$G,7,0)</f>
        <v>陕西2部</v>
      </c>
      <c r="E1349" s="46" t="str">
        <f>VLOOKUP(F1349,[4]在职!$A:$M,13,0)</f>
        <v>乔磊</v>
      </c>
      <c r="F1349" s="46" t="s">
        <v>1518</v>
      </c>
      <c r="G1349" s="46" t="str">
        <f>VLOOKUP(F1349,[4]在职!$A:$B,2,0)</f>
        <v>01930</v>
      </c>
      <c r="H1349" s="46" t="str">
        <f>VLOOKUP(F1349,[4]在职!$A:$I,9,0)</f>
        <v>实习销售</v>
      </c>
      <c r="I1349" s="46" t="s">
        <v>915</v>
      </c>
      <c r="J1349" s="83">
        <v>46106</v>
      </c>
      <c r="K1349" s="46" t="s">
        <v>1170</v>
      </c>
      <c r="L1349" s="83" t="s">
        <v>25</v>
      </c>
    </row>
    <row r="1350" ht="16.5" spans="1:12">
      <c r="A1350" s="46">
        <v>1348</v>
      </c>
      <c r="B1350" s="46" t="s">
        <v>45</v>
      </c>
      <c r="C1350" s="46" t="str">
        <f>VLOOKUP(F1350,[4]在职!$A:$E,5,0)</f>
        <v>陕西</v>
      </c>
      <c r="D1350" s="46" t="str">
        <f>VLOOKUP(F1350,[4]在职!$A:$G,7,0)</f>
        <v>陕西2部</v>
      </c>
      <c r="E1350" s="46" t="str">
        <f>VLOOKUP(F1350,[4]在职!$A:$M,13,0)</f>
        <v>王超2</v>
      </c>
      <c r="F1350" s="46" t="s">
        <v>1519</v>
      </c>
      <c r="G1350" s="46" t="str">
        <f>VLOOKUP(F1350,[4]在职!$A:$B,2,0)</f>
        <v>01943</v>
      </c>
      <c r="H1350" s="46" t="str">
        <f>VLOOKUP(F1350,[4]在职!$A:$I,9,0)</f>
        <v>实习销售</v>
      </c>
      <c r="I1350" s="46" t="s">
        <v>915</v>
      </c>
      <c r="J1350" s="83">
        <v>46106</v>
      </c>
      <c r="K1350" s="46" t="s">
        <v>1170</v>
      </c>
      <c r="L1350" s="83" t="s">
        <v>25</v>
      </c>
    </row>
    <row r="1351" ht="16.5" spans="1:12">
      <c r="A1351" s="46">
        <v>1349</v>
      </c>
      <c r="B1351" s="46" t="s">
        <v>45</v>
      </c>
      <c r="C1351" s="46" t="str">
        <f>VLOOKUP(F1351,[4]在职!$A:$E,5,0)</f>
        <v>陕西</v>
      </c>
      <c r="D1351" s="46" t="str">
        <f>VLOOKUP(F1351,[4]在职!$A:$G,7,0)</f>
        <v>陕西1部</v>
      </c>
      <c r="E1351" s="46" t="str">
        <f>VLOOKUP(F1351,[4]在职!$A:$M,13,0)</f>
        <v>叶湑</v>
      </c>
      <c r="F1351" s="46" t="s">
        <v>1520</v>
      </c>
      <c r="G1351" s="46" t="str">
        <f>VLOOKUP(F1351,[4]在职!$A:$B,2,0)</f>
        <v>01955</v>
      </c>
      <c r="H1351" s="46" t="str">
        <f>VLOOKUP(F1351,[4]在职!$A:$I,9,0)</f>
        <v>实习销售</v>
      </c>
      <c r="I1351" s="46" t="s">
        <v>915</v>
      </c>
      <c r="J1351" s="83">
        <v>46106</v>
      </c>
      <c r="K1351" s="46" t="s">
        <v>1170</v>
      </c>
      <c r="L1351" s="83" t="s">
        <v>25</v>
      </c>
    </row>
    <row r="1352" ht="16.5" spans="1:12">
      <c r="A1352" s="46">
        <v>1350</v>
      </c>
      <c r="B1352" s="46" t="s">
        <v>45</v>
      </c>
      <c r="C1352" s="46" t="str">
        <f>VLOOKUP(F1352,[4]在职!$A:$E,5,0)</f>
        <v>陕西</v>
      </c>
      <c r="D1352" s="46" t="str">
        <f>VLOOKUP(F1352,[4]在职!$A:$G,7,0)</f>
        <v>陕西2部</v>
      </c>
      <c r="E1352" s="46" t="str">
        <f>VLOOKUP(F1352,[4]在职!$A:$M,13,0)</f>
        <v>朱全兰</v>
      </c>
      <c r="F1352" s="46" t="s">
        <v>1521</v>
      </c>
      <c r="G1352" s="46" t="str">
        <f>VLOOKUP(F1352,[4]在职!$A:$B,2,0)</f>
        <v>01932</v>
      </c>
      <c r="H1352" s="46" t="str">
        <f>VLOOKUP(F1352,[4]在职!$A:$I,9,0)</f>
        <v>实习销售</v>
      </c>
      <c r="I1352" s="46" t="s">
        <v>915</v>
      </c>
      <c r="J1352" s="83">
        <v>46106</v>
      </c>
      <c r="K1352" s="46" t="s">
        <v>1170</v>
      </c>
      <c r="L1352" s="83" t="s">
        <v>25</v>
      </c>
    </row>
    <row r="1353" ht="16.5" spans="1:12">
      <c r="A1353" s="46">
        <v>1351</v>
      </c>
      <c r="B1353" s="46" t="s">
        <v>45</v>
      </c>
      <c r="C1353" s="46" t="str">
        <f>VLOOKUP(F1353,[4]在职!$A:$E,5,0)</f>
        <v>西南总部</v>
      </c>
      <c r="D1353" s="46" t="str">
        <f>VLOOKUP(F1353,[4]在职!$A:$G,7,0)</f>
        <v>营业一部</v>
      </c>
      <c r="E1353" s="46" t="str">
        <f>VLOOKUP(F1353,[4]在职!$A:$M,13,0)</f>
        <v>白世根</v>
      </c>
      <c r="F1353" s="46" t="s">
        <v>1522</v>
      </c>
      <c r="G1353" s="46" t="str">
        <f>VLOOKUP(F1353,[4]在职!$A:$B,2,0)</f>
        <v>01978</v>
      </c>
      <c r="H1353" s="46" t="str">
        <f>VLOOKUP(F1353,[4]在职!$A:$I,9,0)</f>
        <v>实习销售</v>
      </c>
      <c r="I1353" s="46" t="s">
        <v>915</v>
      </c>
      <c r="J1353" s="83">
        <v>46106</v>
      </c>
      <c r="K1353" s="46" t="s">
        <v>1170</v>
      </c>
      <c r="L1353" s="83" t="s">
        <v>25</v>
      </c>
    </row>
    <row r="1354" ht="16.5" spans="1:12">
      <c r="A1354" s="46">
        <v>1352</v>
      </c>
      <c r="B1354" s="46" t="s">
        <v>45</v>
      </c>
      <c r="C1354" s="46" t="str">
        <f>VLOOKUP(F1354,[4]在职!$A:$E,5,0)</f>
        <v>西南总部</v>
      </c>
      <c r="D1354" s="46" t="str">
        <f>VLOOKUP(F1354,[4]在职!$A:$G,7,0)</f>
        <v>营业一部</v>
      </c>
      <c r="E1354" s="46" t="str">
        <f>VLOOKUP(F1354,[4]在职!$A:$M,13,0)</f>
        <v>白世根</v>
      </c>
      <c r="F1354" s="46" t="s">
        <v>1523</v>
      </c>
      <c r="G1354" s="46" t="str">
        <f>VLOOKUP(F1354,[4]在职!$A:$B,2,0)</f>
        <v>01963</v>
      </c>
      <c r="H1354" s="46" t="str">
        <f>VLOOKUP(F1354,[4]在职!$A:$I,9,0)</f>
        <v>实习销售</v>
      </c>
      <c r="I1354" s="46" t="s">
        <v>915</v>
      </c>
      <c r="J1354" s="83">
        <v>46106</v>
      </c>
      <c r="K1354" s="46" t="s">
        <v>1170</v>
      </c>
      <c r="L1354" s="83" t="s">
        <v>25</v>
      </c>
    </row>
    <row r="1355" ht="16.5" spans="1:12">
      <c r="A1355" s="46">
        <v>1353</v>
      </c>
      <c r="B1355" s="46" t="s">
        <v>45</v>
      </c>
      <c r="C1355" s="46" t="str">
        <f>VLOOKUP(F1355,[4]在职!$A:$E,5,0)</f>
        <v>西南总部</v>
      </c>
      <c r="D1355" s="46" t="str">
        <f>VLOOKUP(F1355,[4]在职!$A:$G,7,0)</f>
        <v>营业一部</v>
      </c>
      <c r="E1355" s="46" t="str">
        <f>VLOOKUP(F1355,[4]在职!$A:$M,13,0)</f>
        <v>白世根</v>
      </c>
      <c r="F1355" s="46" t="s">
        <v>1524</v>
      </c>
      <c r="G1355" s="46" t="str">
        <f>VLOOKUP(F1355,[4]在职!$A:$B,2,0)</f>
        <v>01964</v>
      </c>
      <c r="H1355" s="46" t="str">
        <f>VLOOKUP(F1355,[4]在职!$A:$I,9,0)</f>
        <v>实习销售</v>
      </c>
      <c r="I1355" s="46" t="s">
        <v>915</v>
      </c>
      <c r="J1355" s="83">
        <v>46106</v>
      </c>
      <c r="K1355" s="46" t="s">
        <v>1170</v>
      </c>
      <c r="L1355" s="83" t="s">
        <v>25</v>
      </c>
    </row>
    <row r="1356" ht="16.5" spans="1:12">
      <c r="A1356" s="46">
        <v>1354</v>
      </c>
      <c r="B1356" s="46" t="s">
        <v>45</v>
      </c>
      <c r="C1356" s="46" t="str">
        <f>VLOOKUP(F1356,[4]在职!$A:$E,5,0)</f>
        <v>西南总部</v>
      </c>
      <c r="D1356" s="46" t="str">
        <f>VLOOKUP(F1356,[4]在职!$A:$G,7,0)</f>
        <v>营业一部</v>
      </c>
      <c r="E1356" s="46" t="str">
        <f>VLOOKUP(F1356,[4]在职!$A:$M,13,0)</f>
        <v>白世根</v>
      </c>
      <c r="F1356" s="46" t="s">
        <v>1525</v>
      </c>
      <c r="G1356" s="46" t="str">
        <f>VLOOKUP(F1356,[4]在职!$A:$B,2,0)</f>
        <v>01929</v>
      </c>
      <c r="H1356" s="46" t="str">
        <f>VLOOKUP(F1356,[4]在职!$A:$I,9,0)</f>
        <v>实习销售</v>
      </c>
      <c r="I1356" s="46" t="s">
        <v>915</v>
      </c>
      <c r="J1356" s="83">
        <v>46106</v>
      </c>
      <c r="K1356" s="46" t="s">
        <v>1170</v>
      </c>
      <c r="L1356" s="83" t="s">
        <v>25</v>
      </c>
    </row>
    <row r="1357" ht="16.5" spans="1:12">
      <c r="A1357" s="46">
        <v>1355</v>
      </c>
      <c r="B1357" s="46" t="s">
        <v>45</v>
      </c>
      <c r="C1357" s="46" t="str">
        <f>VLOOKUP(F1357,[4]在职!$A:$E,5,0)</f>
        <v>西南总部</v>
      </c>
      <c r="D1357" s="46" t="str">
        <f>VLOOKUP(F1357,[4]在职!$A:$G,7,0)</f>
        <v>营业一部</v>
      </c>
      <c r="E1357" s="46" t="str">
        <f>VLOOKUP(F1357,[4]在职!$A:$M,13,0)</f>
        <v>白世根</v>
      </c>
      <c r="F1357" s="46" t="s">
        <v>1437</v>
      </c>
      <c r="G1357" s="46" t="str">
        <f>VLOOKUP(F1357,[4]在职!$A:$B,2,0)</f>
        <v>01753</v>
      </c>
      <c r="H1357" s="46" t="str">
        <f>VLOOKUP(F1357,[4]在职!$A:$I,9,0)</f>
        <v>一星销售顾问</v>
      </c>
      <c r="I1357" s="46" t="s">
        <v>915</v>
      </c>
      <c r="J1357" s="83">
        <v>46106</v>
      </c>
      <c r="K1357" s="46" t="s">
        <v>1170</v>
      </c>
      <c r="L1357" s="83" t="s">
        <v>25</v>
      </c>
    </row>
    <row r="1358" ht="16.5" spans="1:12">
      <c r="A1358" s="46">
        <v>1356</v>
      </c>
      <c r="B1358" s="46" t="s">
        <v>45</v>
      </c>
      <c r="C1358" s="46" t="str">
        <f>VLOOKUP(F1358,[4]在职!$A:$E,5,0)</f>
        <v>西南总部</v>
      </c>
      <c r="D1358" s="46" t="str">
        <f>VLOOKUP(F1358,[4]在职!$A:$G,7,0)</f>
        <v>营业一部</v>
      </c>
      <c r="E1358" s="46" t="str">
        <f>VLOOKUP(F1358,[4]在职!$A:$M,13,0)</f>
        <v>白世根</v>
      </c>
      <c r="F1358" s="46" t="s">
        <v>1321</v>
      </c>
      <c r="G1358" s="46" t="str">
        <f>VLOOKUP(F1358,[4]在职!$A:$B,2,0)</f>
        <v>01821</v>
      </c>
      <c r="H1358" s="46" t="str">
        <f>VLOOKUP(F1358,[4]在职!$A:$I,9,0)</f>
        <v>一星销售顾问</v>
      </c>
      <c r="I1358" s="46" t="s">
        <v>915</v>
      </c>
      <c r="J1358" s="83">
        <v>46106</v>
      </c>
      <c r="K1358" s="46" t="s">
        <v>1170</v>
      </c>
      <c r="L1358" s="83" t="s">
        <v>25</v>
      </c>
    </row>
    <row r="1359" ht="16.5" spans="1:12">
      <c r="A1359" s="46">
        <v>1357</v>
      </c>
      <c r="B1359" s="46" t="s">
        <v>45</v>
      </c>
      <c r="C1359" s="46" t="str">
        <f>VLOOKUP(F1359,[4]在职!$A:$E,5,0)</f>
        <v>西南总部</v>
      </c>
      <c r="D1359" s="46" t="str">
        <f>VLOOKUP(F1359,[4]在职!$A:$G,7,0)</f>
        <v>营业一部</v>
      </c>
      <c r="E1359" s="46" t="str">
        <f>VLOOKUP(F1359,[4]在职!$A:$M,13,0)</f>
        <v>白世根</v>
      </c>
      <c r="F1359" s="46" t="s">
        <v>1436</v>
      </c>
      <c r="G1359" s="46" t="str">
        <f>VLOOKUP(F1359,[4]在职!$A:$B,2,0)</f>
        <v>01763</v>
      </c>
      <c r="H1359" s="46" t="str">
        <f>VLOOKUP(F1359,[4]在职!$A:$I,9,0)</f>
        <v>一星销售顾问</v>
      </c>
      <c r="I1359" s="46" t="s">
        <v>915</v>
      </c>
      <c r="J1359" s="83">
        <v>46106</v>
      </c>
      <c r="K1359" s="46" t="s">
        <v>1170</v>
      </c>
      <c r="L1359" s="83" t="s">
        <v>25</v>
      </c>
    </row>
    <row r="1360" ht="16.5" spans="1:12">
      <c r="A1360" s="46">
        <v>1358</v>
      </c>
      <c r="B1360" s="46" t="s">
        <v>45</v>
      </c>
      <c r="C1360" s="46" t="str">
        <f>VLOOKUP(F1360,[4]在职!$A:$E,5,0)</f>
        <v>西南总部</v>
      </c>
      <c r="D1360" s="46" t="str">
        <f>VLOOKUP(F1360,[4]在职!$A:$G,7,0)</f>
        <v>营业六部</v>
      </c>
      <c r="E1360" s="46" t="str">
        <f>VLOOKUP(F1360,[4]在职!$A:$M,13,0)</f>
        <v>韩颖</v>
      </c>
      <c r="F1360" s="46" t="s">
        <v>1293</v>
      </c>
      <c r="G1360" s="46" t="str">
        <f>VLOOKUP(F1360,[4]在职!$A:$B,2,0)</f>
        <v>01901</v>
      </c>
      <c r="H1360" s="46" t="str">
        <f>VLOOKUP(F1360,[4]在职!$A:$I,9,0)</f>
        <v>实习销售</v>
      </c>
      <c r="I1360" s="46" t="s">
        <v>915</v>
      </c>
      <c r="J1360" s="83">
        <v>46106</v>
      </c>
      <c r="K1360" s="46" t="s">
        <v>1170</v>
      </c>
      <c r="L1360" s="83" t="s">
        <v>25</v>
      </c>
    </row>
    <row r="1361" ht="16.5" spans="1:12">
      <c r="A1361" s="46">
        <v>1359</v>
      </c>
      <c r="B1361" s="46" t="s">
        <v>45</v>
      </c>
      <c r="C1361" s="46" t="str">
        <f>VLOOKUP(F1361,[4]在职!$A:$E,5,0)</f>
        <v>西南总部</v>
      </c>
      <c r="D1361" s="46" t="str">
        <f>VLOOKUP(F1361,[4]在职!$A:$G,7,0)</f>
        <v>营业六部</v>
      </c>
      <c r="E1361" s="46" t="str">
        <f>VLOOKUP(F1361,[4]在职!$A:$M,13,0)</f>
        <v>韩颖</v>
      </c>
      <c r="F1361" s="46" t="s">
        <v>1295</v>
      </c>
      <c r="G1361" s="46" t="str">
        <f>VLOOKUP(F1361,[4]在职!$A:$B,2,0)</f>
        <v>01792</v>
      </c>
      <c r="H1361" s="46" t="str">
        <f>VLOOKUP(F1361,[4]在职!$A:$I,9,0)</f>
        <v>实习销售</v>
      </c>
      <c r="I1361" s="46" t="s">
        <v>915</v>
      </c>
      <c r="J1361" s="83">
        <v>46106</v>
      </c>
      <c r="K1361" s="46" t="s">
        <v>1170</v>
      </c>
      <c r="L1361" s="83" t="s">
        <v>25</v>
      </c>
    </row>
    <row r="1362" ht="16.5" spans="1:12">
      <c r="A1362" s="46">
        <v>1360</v>
      </c>
      <c r="B1362" s="46" t="s">
        <v>45</v>
      </c>
      <c r="C1362" s="46" t="str">
        <f>VLOOKUP(F1362,[4]在职!$A:$E,5,0)</f>
        <v>西南总部</v>
      </c>
      <c r="D1362" s="46" t="str">
        <f>VLOOKUP(F1362,[4]在职!$A:$G,7,0)</f>
        <v>营业一部</v>
      </c>
      <c r="E1362" s="46" t="str">
        <f>VLOOKUP(F1362,[4]在职!$A:$M,13,0)</f>
        <v>胡雪梅</v>
      </c>
      <c r="F1362" s="46" t="s">
        <v>1526</v>
      </c>
      <c r="G1362" s="46" t="str">
        <f>VLOOKUP(F1362,[4]在职!$A:$B,2,0)</f>
        <v>01966</v>
      </c>
      <c r="H1362" s="46" t="str">
        <f>VLOOKUP(F1362,[4]在职!$A:$I,9,0)</f>
        <v>实习销售</v>
      </c>
      <c r="I1362" s="46" t="s">
        <v>915</v>
      </c>
      <c r="J1362" s="83">
        <v>46106</v>
      </c>
      <c r="K1362" s="46" t="s">
        <v>1170</v>
      </c>
      <c r="L1362" s="83" t="s">
        <v>25</v>
      </c>
    </row>
    <row r="1363" ht="16.5" spans="1:12">
      <c r="A1363" s="46">
        <v>1361</v>
      </c>
      <c r="B1363" s="46" t="s">
        <v>45</v>
      </c>
      <c r="C1363" s="46" t="str">
        <f>VLOOKUP(F1363,[4]在职!$A:$E,5,0)</f>
        <v>河北</v>
      </c>
      <c r="D1363" s="46" t="str">
        <f>VLOOKUP(F1363,[4]在职!$A:$G,7,0)</f>
        <v>河北销售部</v>
      </c>
      <c r="E1363" s="46" t="str">
        <f>VLOOKUP(F1363,[4]在职!$A:$M,13,0)</f>
        <v>扈岭楠</v>
      </c>
      <c r="F1363" s="46" t="s">
        <v>1283</v>
      </c>
      <c r="G1363" s="46" t="str">
        <f>VLOOKUP(F1363,[4]在职!$A:$B,2,0)</f>
        <v>01880</v>
      </c>
      <c r="H1363" s="46" t="str">
        <f>VLOOKUP(F1363,[4]在职!$A:$I,9,0)</f>
        <v>实习销售</v>
      </c>
      <c r="I1363" s="46" t="s">
        <v>915</v>
      </c>
      <c r="J1363" s="83">
        <v>46106</v>
      </c>
      <c r="K1363" s="46" t="s">
        <v>1170</v>
      </c>
      <c r="L1363" s="83" t="s">
        <v>25</v>
      </c>
    </row>
    <row r="1364" ht="16.5" spans="1:12">
      <c r="A1364" s="46">
        <v>1362</v>
      </c>
      <c r="B1364" s="46" t="s">
        <v>45</v>
      </c>
      <c r="C1364" s="46" t="str">
        <f>VLOOKUP(F1364,[4]在职!$A:$E,5,0)</f>
        <v>河北</v>
      </c>
      <c r="D1364" s="46" t="str">
        <f>VLOOKUP(F1364,[4]在职!$A:$G,7,0)</f>
        <v>河北销售部</v>
      </c>
      <c r="E1364" s="46" t="str">
        <f>VLOOKUP(F1364,[4]在职!$A:$M,13,0)</f>
        <v>扈岭楠</v>
      </c>
      <c r="F1364" s="46" t="s">
        <v>1285</v>
      </c>
      <c r="G1364" s="46" t="str">
        <f>VLOOKUP(F1364,[4]在职!$A:$B,2,0)</f>
        <v>01817</v>
      </c>
      <c r="H1364" s="46" t="str">
        <f>VLOOKUP(F1364,[4]在职!$A:$I,9,0)</f>
        <v>实习销售</v>
      </c>
      <c r="I1364" s="46" t="s">
        <v>915</v>
      </c>
      <c r="J1364" s="83">
        <v>46106</v>
      </c>
      <c r="K1364" s="46" t="s">
        <v>1170</v>
      </c>
      <c r="L1364" s="83" t="s">
        <v>25</v>
      </c>
    </row>
    <row r="1365" ht="16.5" spans="1:12">
      <c r="A1365" s="46">
        <v>1363</v>
      </c>
      <c r="B1365" s="46" t="s">
        <v>45</v>
      </c>
      <c r="C1365" s="46" t="str">
        <f>VLOOKUP(F1365,[4]在职!$A:$E,5,0)</f>
        <v>西南总部</v>
      </c>
      <c r="D1365" s="46" t="str">
        <f>VLOOKUP(F1365,[4]在职!$A:$G,7,0)</f>
        <v>营业七部</v>
      </c>
      <c r="E1365" s="46" t="str">
        <f>VLOOKUP(F1365,[4]在职!$A:$M,13,0)</f>
        <v>刘鹏</v>
      </c>
      <c r="F1365" s="46" t="s">
        <v>1263</v>
      </c>
      <c r="G1365" s="46" t="str">
        <f>VLOOKUP(F1365,[4]在职!$A:$B,2,0)</f>
        <v>01723</v>
      </c>
      <c r="H1365" s="46" t="str">
        <f>VLOOKUP(F1365,[4]在职!$A:$I,9,0)</f>
        <v>一星销售顾问</v>
      </c>
      <c r="I1365" s="46" t="s">
        <v>907</v>
      </c>
      <c r="J1365" s="83">
        <v>46106</v>
      </c>
      <c r="K1365" s="46" t="s">
        <v>1170</v>
      </c>
      <c r="L1365" s="83" t="s">
        <v>25</v>
      </c>
    </row>
    <row r="1366" ht="16.5" spans="1:12">
      <c r="A1366" s="46">
        <v>1364</v>
      </c>
      <c r="B1366" s="46" t="s">
        <v>45</v>
      </c>
      <c r="C1366" s="46" t="str">
        <f>VLOOKUP(F1366,[4]在职!$A:$E,5,0)</f>
        <v>西南总部</v>
      </c>
      <c r="D1366" s="46" t="str">
        <f>VLOOKUP(F1366,[4]在职!$A:$G,7,0)</f>
        <v>营业七部</v>
      </c>
      <c r="E1366" s="46" t="str">
        <f>VLOOKUP(F1366,[4]在职!$A:$M,13,0)</f>
        <v>刘鹏</v>
      </c>
      <c r="F1366" s="46" t="s">
        <v>1197</v>
      </c>
      <c r="G1366" s="46" t="str">
        <f>VLOOKUP(F1366,[4]在职!$A:$B,2,0)</f>
        <v>01900</v>
      </c>
      <c r="H1366" s="46" t="str">
        <f>VLOOKUP(F1366,[4]在职!$A:$I,9,0)</f>
        <v>实习销售</v>
      </c>
      <c r="I1366" s="46" t="s">
        <v>907</v>
      </c>
      <c r="J1366" s="83">
        <v>46106</v>
      </c>
      <c r="K1366" s="46" t="s">
        <v>1170</v>
      </c>
      <c r="L1366" s="83" t="s">
        <v>25</v>
      </c>
    </row>
    <row r="1367" ht="16.5" spans="1:12">
      <c r="A1367" s="46">
        <v>1365</v>
      </c>
      <c r="B1367" s="46" t="s">
        <v>45</v>
      </c>
      <c r="C1367" s="46" t="str">
        <f>VLOOKUP(F1367,[4]在职!$A:$E,5,0)</f>
        <v>西南总部</v>
      </c>
      <c r="D1367" s="46" t="str">
        <f>VLOOKUP(F1367,[4]在职!$A:$G,7,0)</f>
        <v>营业六部</v>
      </c>
      <c r="E1367" s="46" t="str">
        <f>VLOOKUP(F1367,[4]在职!$A:$M,13,0)</f>
        <v>毛富林</v>
      </c>
      <c r="F1367" s="46" t="s">
        <v>1527</v>
      </c>
      <c r="G1367" s="46" t="str">
        <f>VLOOKUP(F1367,[4]在职!$A:$B,2,0)</f>
        <v>01969</v>
      </c>
      <c r="H1367" s="46" t="str">
        <f>VLOOKUP(F1367,[4]在职!$A:$I,9,0)</f>
        <v>实习销售</v>
      </c>
      <c r="I1367" s="46" t="s">
        <v>915</v>
      </c>
      <c r="J1367" s="83">
        <v>46106</v>
      </c>
      <c r="K1367" s="46" t="s">
        <v>1170</v>
      </c>
      <c r="L1367" s="83" t="s">
        <v>25</v>
      </c>
    </row>
    <row r="1368" ht="16.5" spans="1:12">
      <c r="A1368" s="46">
        <v>1366</v>
      </c>
      <c r="B1368" s="46" t="s">
        <v>45</v>
      </c>
      <c r="C1368" s="46" t="str">
        <f>VLOOKUP(F1368,[4]在职!$A:$E,5,0)</f>
        <v>西南总部</v>
      </c>
      <c r="D1368" s="46" t="str">
        <f>VLOOKUP(F1368,[4]在职!$A:$G,7,0)</f>
        <v>营业七部</v>
      </c>
      <c r="E1368" s="46" t="str">
        <f>VLOOKUP(F1368,[4]在职!$A:$M,13,0)</f>
        <v>彭小琴</v>
      </c>
      <c r="F1368" s="46" t="s">
        <v>1528</v>
      </c>
      <c r="G1368" s="46" t="str">
        <f>VLOOKUP(F1368,[4]在职!$A:$B,2,0)</f>
        <v>01959</v>
      </c>
      <c r="H1368" s="46" t="str">
        <f>VLOOKUP(F1368,[4]在职!$A:$I,9,0)</f>
        <v>实习销售</v>
      </c>
      <c r="I1368" s="46" t="s">
        <v>915</v>
      </c>
      <c r="J1368" s="83">
        <v>46106</v>
      </c>
      <c r="K1368" s="46" t="s">
        <v>1170</v>
      </c>
      <c r="L1368" s="83" t="s">
        <v>25</v>
      </c>
    </row>
    <row r="1369" ht="16.5" spans="1:12">
      <c r="A1369" s="46">
        <v>1367</v>
      </c>
      <c r="B1369" s="46" t="s">
        <v>45</v>
      </c>
      <c r="C1369" s="46" t="str">
        <f>VLOOKUP(F1369,[4]在职!$A:$E,5,0)</f>
        <v>西南总部</v>
      </c>
      <c r="D1369" s="46" t="str">
        <f>VLOOKUP(F1369,[4]在职!$A:$G,7,0)</f>
        <v>营业七部</v>
      </c>
      <c r="E1369" s="46" t="str">
        <f>VLOOKUP(F1369,[4]在职!$A:$M,13,0)</f>
        <v>彭小琴</v>
      </c>
      <c r="F1369" s="46" t="s">
        <v>1529</v>
      </c>
      <c r="G1369" s="46" t="str">
        <f>VLOOKUP(F1369,[4]在职!$A:$B,2,0)</f>
        <v>01958</v>
      </c>
      <c r="H1369" s="46" t="str">
        <f>VLOOKUP(F1369,[4]在职!$A:$I,9,0)</f>
        <v>实习销售</v>
      </c>
      <c r="I1369" s="46" t="s">
        <v>915</v>
      </c>
      <c r="J1369" s="83">
        <v>46106</v>
      </c>
      <c r="K1369" s="46" t="s">
        <v>1170</v>
      </c>
      <c r="L1369" s="83" t="s">
        <v>25</v>
      </c>
    </row>
    <row r="1370" ht="16.5" spans="1:12">
      <c r="A1370" s="46">
        <v>1368</v>
      </c>
      <c r="B1370" s="46" t="s">
        <v>45</v>
      </c>
      <c r="C1370" s="46" t="str">
        <f>VLOOKUP(F1370,[4]在职!$A:$E,5,0)</f>
        <v>西南总部</v>
      </c>
      <c r="D1370" s="46" t="str">
        <f>VLOOKUP(F1370,[4]在职!$A:$G,7,0)</f>
        <v>营业三部</v>
      </c>
      <c r="E1370" s="46" t="str">
        <f>VLOOKUP(F1370,[4]在职!$A:$M,13,0)</f>
        <v>吴建鑫</v>
      </c>
      <c r="F1370" s="46" t="s">
        <v>1530</v>
      </c>
      <c r="G1370" s="46" t="str">
        <f>VLOOKUP(F1370,[4]在职!$A:$B,2,0)</f>
        <v>01970</v>
      </c>
      <c r="H1370" s="46" t="str">
        <f>VLOOKUP(F1370,[4]在职!$A:$I,9,0)</f>
        <v>实习销售</v>
      </c>
      <c r="I1370" s="46" t="s">
        <v>915</v>
      </c>
      <c r="J1370" s="83">
        <v>46106</v>
      </c>
      <c r="K1370" s="46" t="s">
        <v>1170</v>
      </c>
      <c r="L1370" s="83" t="s">
        <v>25</v>
      </c>
    </row>
    <row r="1371" ht="16.5" spans="1:12">
      <c r="A1371" s="46">
        <v>1369</v>
      </c>
      <c r="B1371" s="46" t="s">
        <v>45</v>
      </c>
      <c r="C1371" s="46" t="str">
        <f>VLOOKUP(F1371,[4]在职!$A:$E,5,0)</f>
        <v>西南总部</v>
      </c>
      <c r="D1371" s="46" t="str">
        <f>VLOOKUP(F1371,[4]在职!$A:$G,7,0)</f>
        <v>营业六部</v>
      </c>
      <c r="E1371" s="46" t="str">
        <f>VLOOKUP(F1371,[4]在职!$A:$M,13,0)</f>
        <v>杨翠茹</v>
      </c>
      <c r="F1371" s="46" t="s">
        <v>1215</v>
      </c>
      <c r="G1371" s="46" t="str">
        <f>VLOOKUP(F1371,[4]在职!$A:$B,2,0)</f>
        <v>01854</v>
      </c>
      <c r="H1371" s="46" t="str">
        <f>VLOOKUP(F1371,[4]在职!$A:$I,9,0)</f>
        <v>实习销售</v>
      </c>
      <c r="I1371" s="46" t="s">
        <v>907</v>
      </c>
      <c r="J1371" s="83">
        <v>46106</v>
      </c>
      <c r="K1371" s="46" t="s">
        <v>1170</v>
      </c>
      <c r="L1371" s="83" t="s">
        <v>25</v>
      </c>
    </row>
    <row r="1372" ht="16.5" spans="1:12">
      <c r="A1372" s="46">
        <v>1370</v>
      </c>
      <c r="B1372" s="46" t="s">
        <v>45</v>
      </c>
      <c r="C1372" s="46" t="str">
        <f>VLOOKUP(F1372,[4]在职!$A:$E,5,0)</f>
        <v>西南总部</v>
      </c>
      <c r="D1372" s="46" t="str">
        <f>VLOOKUP(F1372,[4]在职!$A:$G,7,0)</f>
        <v>杨薇</v>
      </c>
      <c r="E1372" s="46" t="str">
        <f>VLOOKUP(F1372,[4]在职!$A:$M,13,0)</f>
        <v>杨薇</v>
      </c>
      <c r="F1372" s="46" t="s">
        <v>1531</v>
      </c>
      <c r="G1372" s="46" t="str">
        <f>VLOOKUP(F1372,[4]在职!$A:$B,2,0)</f>
        <v>01938</v>
      </c>
      <c r="H1372" s="46" t="str">
        <f>VLOOKUP(F1372,[4]在职!$A:$I,9,0)</f>
        <v>实习销售</v>
      </c>
      <c r="I1372" s="46" t="s">
        <v>915</v>
      </c>
      <c r="J1372" s="83">
        <v>46106</v>
      </c>
      <c r="K1372" s="46" t="s">
        <v>1170</v>
      </c>
      <c r="L1372" s="83" t="s">
        <v>25</v>
      </c>
    </row>
    <row r="1373" ht="16.5" spans="1:12">
      <c r="A1373" s="46">
        <v>1371</v>
      </c>
      <c r="B1373" s="46" t="s">
        <v>45</v>
      </c>
      <c r="C1373" s="46" t="str">
        <f>VLOOKUP(F1373,[4]在职!$A:$E,5,0)</f>
        <v>西南总部</v>
      </c>
      <c r="D1373" s="46" t="str">
        <f>VLOOKUP(F1373,[4]在职!$A:$G,7,0)</f>
        <v>营业五部</v>
      </c>
      <c r="E1373" s="46" t="str">
        <f>VLOOKUP(F1373,[4]在职!$A:$M,13,0)</f>
        <v>张萍2</v>
      </c>
      <c r="F1373" s="46" t="s">
        <v>1171</v>
      </c>
      <c r="G1373" s="46" t="str">
        <f>VLOOKUP(F1373,[4]在职!$A:$B,2,0)</f>
        <v>01876</v>
      </c>
      <c r="H1373" s="46" t="str">
        <f>VLOOKUP(F1373,[4]在职!$A:$I,9,0)</f>
        <v>实习销售</v>
      </c>
      <c r="I1373" s="46" t="s">
        <v>915</v>
      </c>
      <c r="J1373" s="83">
        <v>46106</v>
      </c>
      <c r="K1373" s="46" t="s">
        <v>1170</v>
      </c>
      <c r="L1373" s="83" t="s">
        <v>25</v>
      </c>
    </row>
    <row r="1374" ht="16.5" spans="1:12">
      <c r="A1374" s="46">
        <v>1372</v>
      </c>
      <c r="B1374" s="46" t="s">
        <v>45</v>
      </c>
      <c r="C1374" s="46" t="str">
        <f>VLOOKUP(F1374,[4]在职!$A:$E,5,0)</f>
        <v>西南总部</v>
      </c>
      <c r="D1374" s="46" t="str">
        <f>VLOOKUP(F1374,[4]在职!$A:$G,7,0)</f>
        <v>营业五部</v>
      </c>
      <c r="E1374" s="46" t="str">
        <f>VLOOKUP(F1374,[4]在职!$A:$M,13,0)</f>
        <v>张萍2</v>
      </c>
      <c r="F1374" s="46" t="s">
        <v>1195</v>
      </c>
      <c r="G1374" s="46" t="str">
        <f>VLOOKUP(F1374,[4]在职!$A:$B,2,0)</f>
        <v>01765</v>
      </c>
      <c r="H1374" s="46" t="str">
        <f>VLOOKUP(F1374,[4]在职!$A:$I,9,0)</f>
        <v>实习销售</v>
      </c>
      <c r="I1374" s="46" t="s">
        <v>907</v>
      </c>
      <c r="J1374" s="83">
        <v>46106</v>
      </c>
      <c r="K1374" s="46" t="s">
        <v>1170</v>
      </c>
      <c r="L1374" s="83" t="s">
        <v>25</v>
      </c>
    </row>
    <row r="1375" ht="16.5" spans="1:12">
      <c r="A1375" s="46">
        <v>1373</v>
      </c>
      <c r="B1375" s="46" t="s">
        <v>45</v>
      </c>
      <c r="C1375" s="46" t="str">
        <f>VLOOKUP(F1375,[4]在职!$A:$E,5,0)</f>
        <v>西南总部</v>
      </c>
      <c r="D1375" s="46" t="str">
        <f>VLOOKUP(F1375,[4]在职!$A:$G,7,0)</f>
        <v>营业五部</v>
      </c>
      <c r="E1375" s="46" t="str">
        <f>VLOOKUP(F1375,[4]在职!$A:$M,13,0)</f>
        <v>张萍2</v>
      </c>
      <c r="F1375" s="46" t="s">
        <v>1193</v>
      </c>
      <c r="G1375" s="46" t="str">
        <f>VLOOKUP(F1375,[4]在职!$A:$B,2,0)</f>
        <v>01881</v>
      </c>
      <c r="H1375" s="46" t="str">
        <f>VLOOKUP(F1375,[4]在职!$A:$I,9,0)</f>
        <v>实习销售</v>
      </c>
      <c r="I1375" s="46" t="s">
        <v>907</v>
      </c>
      <c r="J1375" s="83">
        <v>46106</v>
      </c>
      <c r="K1375" s="46" t="s">
        <v>1170</v>
      </c>
      <c r="L1375" s="83" t="s">
        <v>25</v>
      </c>
    </row>
    <row r="1376" ht="16.5" spans="1:12">
      <c r="A1376" s="46">
        <v>1374</v>
      </c>
      <c r="B1376" s="46" t="s">
        <v>45</v>
      </c>
      <c r="C1376" s="46" t="str">
        <f>VLOOKUP(F1376,[4]在职!$A:$E,5,0)</f>
        <v>西南总部</v>
      </c>
      <c r="D1376" s="46" t="str">
        <f>VLOOKUP(F1376,[4]在职!$A:$G,7,0)</f>
        <v>营业一部</v>
      </c>
      <c r="E1376" s="46" t="str">
        <f>VLOOKUP(F1376,[4]在职!$A:$M,13,0)</f>
        <v>张圣梁</v>
      </c>
      <c r="F1376" s="46" t="s">
        <v>1532</v>
      </c>
      <c r="G1376" s="46" t="str">
        <f>VLOOKUP(F1376,[4]在职!$A:$B,2,0)</f>
        <v>01924</v>
      </c>
      <c r="H1376" s="46" t="str">
        <f>VLOOKUP(F1376,[4]在职!$A:$I,9,0)</f>
        <v>实习销售</v>
      </c>
      <c r="I1376" s="46" t="s">
        <v>915</v>
      </c>
      <c r="J1376" s="83">
        <v>46106</v>
      </c>
      <c r="K1376" s="46" t="s">
        <v>1170</v>
      </c>
      <c r="L1376" s="83" t="s">
        <v>25</v>
      </c>
    </row>
    <row r="1377" ht="16.5" spans="1:12">
      <c r="A1377" s="46">
        <v>1375</v>
      </c>
      <c r="B1377" s="46" t="s">
        <v>45</v>
      </c>
      <c r="C1377" s="46" t="str">
        <f>VLOOKUP(F1377,[4]在职!$A:$E,5,0)</f>
        <v>西南总部</v>
      </c>
      <c r="D1377" s="46" t="str">
        <f>VLOOKUP(F1377,[4]在职!$A:$G,7,0)</f>
        <v>营业三部</v>
      </c>
      <c r="E1377" s="46" t="str">
        <f>VLOOKUP(F1377,[4]在职!$A:$M,13,0)</f>
        <v>郑景慕</v>
      </c>
      <c r="F1377" s="46" t="s">
        <v>1184</v>
      </c>
      <c r="G1377" s="46" t="str">
        <f>VLOOKUP(F1377,[4]在职!$A:$B,2,0)</f>
        <v>01893</v>
      </c>
      <c r="H1377" s="46" t="str">
        <f>VLOOKUP(F1377,[4]在职!$A:$I,9,0)</f>
        <v>实习销售</v>
      </c>
      <c r="I1377" s="46" t="s">
        <v>915</v>
      </c>
      <c r="J1377" s="83">
        <v>46106</v>
      </c>
      <c r="K1377" s="46" t="s">
        <v>1170</v>
      </c>
      <c r="L1377" s="83" t="s">
        <v>25</v>
      </c>
    </row>
    <row r="1378" ht="16.5" spans="1:12">
      <c r="A1378" s="46">
        <v>1376</v>
      </c>
      <c r="B1378" s="46" t="s">
        <v>45</v>
      </c>
      <c r="C1378" s="46" t="str">
        <f>VLOOKUP(F1378,[4]在职!$A:$E,5,0)</f>
        <v>西南总部</v>
      </c>
      <c r="D1378" s="46" t="str">
        <f>VLOOKUP(F1378,[4]在职!$A:$G,7,0)</f>
        <v>营业一部</v>
      </c>
      <c r="E1378" s="46" t="str">
        <f>VLOOKUP(F1378,[4]在职!$A:$M,13,0)</f>
        <v>朱家艳</v>
      </c>
      <c r="F1378" s="46" t="s">
        <v>1533</v>
      </c>
      <c r="G1378" s="46" t="str">
        <f>VLOOKUP(F1378,[4]在职!$A:$B,2,0)</f>
        <v>01939</v>
      </c>
      <c r="H1378" s="46" t="str">
        <f>VLOOKUP(F1378,[4]在职!$A:$I,9,0)</f>
        <v>实习销售</v>
      </c>
      <c r="I1378" s="46" t="s">
        <v>907</v>
      </c>
      <c r="J1378" s="83">
        <v>46106</v>
      </c>
      <c r="K1378" s="46" t="s">
        <v>1170</v>
      </c>
      <c r="L1378" s="83" t="s">
        <v>25</v>
      </c>
    </row>
    <row r="1379" ht="16.5" spans="1:12">
      <c r="A1379" s="46">
        <v>1377</v>
      </c>
      <c r="B1379" s="46" t="s">
        <v>45</v>
      </c>
      <c r="C1379" s="46" t="str">
        <f>VLOOKUP(F1379,[4]在职!$A:$E,5,0)</f>
        <v>西南总部</v>
      </c>
      <c r="D1379" s="46" t="str">
        <f>VLOOKUP(F1379,[4]在职!$A:$G,7,0)</f>
        <v>营业一部</v>
      </c>
      <c r="E1379" s="46" t="str">
        <f>VLOOKUP(F1379,[4]在职!$A:$M,13,0)</f>
        <v>朱家艳</v>
      </c>
      <c r="F1379" s="46" t="s">
        <v>1534</v>
      </c>
      <c r="G1379" s="46" t="str">
        <f>VLOOKUP(F1379,[4]在职!$A:$B,2,0)</f>
        <v>01921</v>
      </c>
      <c r="H1379" s="46" t="str">
        <f>VLOOKUP(F1379,[4]在职!$A:$I,9,0)</f>
        <v>实习销售</v>
      </c>
      <c r="I1379" s="46" t="s">
        <v>907</v>
      </c>
      <c r="J1379" s="83">
        <v>46106</v>
      </c>
      <c r="K1379" s="46" t="s">
        <v>1170</v>
      </c>
      <c r="L1379" s="83" t="s">
        <v>25</v>
      </c>
    </row>
    <row r="1380" ht="16.5" spans="1:12">
      <c r="A1380" s="46">
        <v>1378</v>
      </c>
      <c r="B1380" s="46" t="s">
        <v>45</v>
      </c>
      <c r="C1380" s="46" t="str">
        <f>VLOOKUP(F1380,[4]在职!$A:$E,5,0)</f>
        <v>西南总部</v>
      </c>
      <c r="D1380" s="46" t="str">
        <f>VLOOKUP(F1380,[4]在职!$A:$G,7,0)</f>
        <v>营业一部</v>
      </c>
      <c r="E1380" s="46" t="str">
        <f>VLOOKUP(F1380,[4]在职!$A:$M,13,0)</f>
        <v>朱家艳</v>
      </c>
      <c r="F1380" s="46" t="s">
        <v>1476</v>
      </c>
      <c r="G1380" s="46" t="str">
        <f>VLOOKUP(F1380,[4]在职!$A:$B,2,0)</f>
        <v>01682</v>
      </c>
      <c r="H1380" s="46" t="str">
        <f>VLOOKUP(F1380,[4]在职!$A:$I,9,0)</f>
        <v>一星销售顾问</v>
      </c>
      <c r="I1380" s="46" t="s">
        <v>907</v>
      </c>
      <c r="J1380" s="83">
        <v>46106</v>
      </c>
      <c r="K1380" s="46" t="s">
        <v>1170</v>
      </c>
      <c r="L1380" s="83" t="s">
        <v>25</v>
      </c>
    </row>
    <row r="1381" ht="16.5" spans="1:12">
      <c r="A1381" s="46">
        <v>1379</v>
      </c>
      <c r="B1381" s="46" t="s">
        <v>45</v>
      </c>
      <c r="C1381" s="46" t="str">
        <f>VLOOKUP(F1381,[4]在职!$A:$E,5,0)</f>
        <v>山东</v>
      </c>
      <c r="D1381" s="46" t="str">
        <f>VLOOKUP(F1381,[4]在职!$A:$G,7,0)</f>
        <v>山东销售部</v>
      </c>
      <c r="E1381" s="46" t="str">
        <f>VLOOKUP(F1381,[4]在职!$A:$M,13,0)</f>
        <v>肖佳</v>
      </c>
      <c r="F1381" s="46" t="s">
        <v>1535</v>
      </c>
      <c r="G1381" s="46" t="str">
        <f>VLOOKUP(F1381,[4]在职!$A:$B,2,0)</f>
        <v>01956</v>
      </c>
      <c r="H1381" s="46" t="str">
        <f>VLOOKUP(F1381,[4]在职!$A:$I,9,0)</f>
        <v>实习销售</v>
      </c>
      <c r="I1381" s="46" t="s">
        <v>915</v>
      </c>
      <c r="J1381" s="83">
        <v>46106</v>
      </c>
      <c r="K1381" s="46" t="s">
        <v>1170</v>
      </c>
      <c r="L1381" s="83" t="s">
        <v>25</v>
      </c>
    </row>
    <row r="1382" ht="16.5" spans="1:12">
      <c r="A1382" s="46">
        <v>1380</v>
      </c>
      <c r="B1382" s="46" t="s">
        <v>45</v>
      </c>
      <c r="C1382" s="46" t="str">
        <f>VLOOKUP(F1382,[4]在职!$A:$E,5,0)</f>
        <v>河南</v>
      </c>
      <c r="D1382" s="46" t="str">
        <f>VLOOKUP(F1382,[4]在职!$A:$G,7,0)</f>
        <v>河南销售部</v>
      </c>
      <c r="E1382" s="46" t="str">
        <f>VLOOKUP(F1382,[4]在职!$A:$M,13,0)</f>
        <v>杜雄</v>
      </c>
      <c r="F1382" s="46" t="s">
        <v>1506</v>
      </c>
      <c r="G1382" s="46" t="str">
        <f>VLOOKUP(F1382,[4]在职!$A:$B,2,0)</f>
        <v>00866</v>
      </c>
      <c r="H1382" s="46" t="str">
        <f>VLOOKUP(F1382,[4]在职!$A:$I,9,0)</f>
        <v>实习销售</v>
      </c>
      <c r="I1382" s="46" t="s">
        <v>915</v>
      </c>
      <c r="J1382" s="83">
        <v>46106</v>
      </c>
      <c r="K1382" s="46" t="s">
        <v>1536</v>
      </c>
      <c r="L1382" s="83" t="s">
        <v>25</v>
      </c>
    </row>
    <row r="1383" ht="16.5" spans="1:12">
      <c r="A1383" s="46">
        <v>1381</v>
      </c>
      <c r="B1383" s="46" t="s">
        <v>45</v>
      </c>
      <c r="C1383" s="46" t="str">
        <f>VLOOKUP(F1383,[4]在职!$A:$E,5,0)</f>
        <v>河南</v>
      </c>
      <c r="D1383" s="46" t="str">
        <f>VLOOKUP(F1383,[4]在职!$A:$G,7,0)</f>
        <v>河南销售部</v>
      </c>
      <c r="E1383" s="46" t="str">
        <f>VLOOKUP(F1383,[4]在职!$A:$M,13,0)</f>
        <v>蒋吉勇</v>
      </c>
      <c r="F1383" s="46" t="s">
        <v>1279</v>
      </c>
      <c r="G1383" s="46" t="str">
        <f>VLOOKUP(F1383,[4]在职!$A:$B,2,0)</f>
        <v>01610</v>
      </c>
      <c r="H1383" s="46" t="str">
        <f>VLOOKUP(F1383,[4]在职!$A:$I,9,0)</f>
        <v>实习销售</v>
      </c>
      <c r="I1383" s="46" t="s">
        <v>907</v>
      </c>
      <c r="J1383" s="83">
        <v>46106</v>
      </c>
      <c r="K1383" s="46" t="s">
        <v>1536</v>
      </c>
      <c r="L1383" s="83" t="s">
        <v>25</v>
      </c>
    </row>
    <row r="1384" ht="16.5" spans="1:12">
      <c r="A1384" s="46">
        <v>1382</v>
      </c>
      <c r="B1384" s="46" t="s">
        <v>45</v>
      </c>
      <c r="C1384" s="46" t="str">
        <f>VLOOKUP(F1384,[4]在职!$A:$E,5,0)</f>
        <v>河南</v>
      </c>
      <c r="D1384" s="46" t="str">
        <f>VLOOKUP(F1384,[4]在职!$A:$G,7,0)</f>
        <v>河南销售部</v>
      </c>
      <c r="E1384" s="46" t="str">
        <f>VLOOKUP(F1384,[4]在职!$A:$M,13,0)</f>
        <v>余金梅</v>
      </c>
      <c r="F1384" s="46" t="s">
        <v>1205</v>
      </c>
      <c r="G1384" s="46" t="str">
        <f>VLOOKUP(F1384,[4]在职!$A:$B,2,0)</f>
        <v>01870</v>
      </c>
      <c r="H1384" s="46" t="str">
        <f>VLOOKUP(F1384,[4]在职!$A:$I,9,0)</f>
        <v>实习销售</v>
      </c>
      <c r="I1384" s="46" t="s">
        <v>915</v>
      </c>
      <c r="J1384" s="83">
        <v>46106</v>
      </c>
      <c r="K1384" s="46" t="s">
        <v>1536</v>
      </c>
      <c r="L1384" s="83" t="s">
        <v>25</v>
      </c>
    </row>
    <row r="1385" ht="16.5" spans="1:12">
      <c r="A1385" s="46">
        <v>1383</v>
      </c>
      <c r="B1385" s="46" t="s">
        <v>45</v>
      </c>
      <c r="C1385" s="46" t="str">
        <f>VLOOKUP(F1385,[4]在职!$A:$E,5,0)</f>
        <v>湖北</v>
      </c>
      <c r="D1385" s="46" t="str">
        <f>VLOOKUP(F1385,[4]在职!$A:$G,7,0)</f>
        <v>湖北1部</v>
      </c>
      <c r="E1385" s="46" t="str">
        <f>VLOOKUP(F1385,[4]在职!$A:$M,13,0)</f>
        <v>黄俊</v>
      </c>
      <c r="F1385" s="46" t="s">
        <v>1507</v>
      </c>
      <c r="G1385" s="46" t="str">
        <f>VLOOKUP(F1385,[4]在职!$A:$B,2,0)</f>
        <v>01944</v>
      </c>
      <c r="H1385" s="46" t="str">
        <f>VLOOKUP(F1385,[4]在职!$A:$I,9,0)</f>
        <v>实习销售</v>
      </c>
      <c r="I1385" s="46" t="s">
        <v>907</v>
      </c>
      <c r="J1385" s="83">
        <v>46106</v>
      </c>
      <c r="K1385" s="46" t="s">
        <v>1536</v>
      </c>
      <c r="L1385" s="83" t="s">
        <v>25</v>
      </c>
    </row>
    <row r="1386" ht="16.5" spans="1:12">
      <c r="A1386" s="46">
        <v>1384</v>
      </c>
      <c r="B1386" s="46" t="s">
        <v>45</v>
      </c>
      <c r="C1386" s="46" t="str">
        <f>VLOOKUP(F1386,[4]在职!$A:$E,5,0)</f>
        <v>湖北</v>
      </c>
      <c r="D1386" s="46" t="str">
        <f>VLOOKUP(F1386,[4]在职!$A:$G,7,0)</f>
        <v>湖北2部</v>
      </c>
      <c r="E1386" s="46" t="str">
        <f>VLOOKUP(F1386,[4]在职!$A:$M,13,0)</f>
        <v>马超</v>
      </c>
      <c r="F1386" s="46" t="s">
        <v>1508</v>
      </c>
      <c r="G1386" s="46" t="str">
        <f>VLOOKUP(F1386,[4]在职!$A:$B,2,0)</f>
        <v>01942</v>
      </c>
      <c r="H1386" s="46" t="str">
        <f>VLOOKUP(F1386,[4]在职!$A:$I,9,0)</f>
        <v>实习销售</v>
      </c>
      <c r="I1386" s="46" t="s">
        <v>915</v>
      </c>
      <c r="J1386" s="83">
        <v>46106</v>
      </c>
      <c r="K1386" s="46" t="s">
        <v>1536</v>
      </c>
      <c r="L1386" s="83" t="s">
        <v>25</v>
      </c>
    </row>
    <row r="1387" ht="16.5" spans="1:12">
      <c r="A1387" s="46">
        <v>1385</v>
      </c>
      <c r="B1387" s="46" t="s">
        <v>45</v>
      </c>
      <c r="C1387" s="46" t="str">
        <f>VLOOKUP(F1387,[4]在职!$A:$E,5,0)</f>
        <v>湖北</v>
      </c>
      <c r="D1387" s="46" t="str">
        <f>VLOOKUP(F1387,[4]在职!$A:$G,7,0)</f>
        <v>湖北1部</v>
      </c>
      <c r="E1387" s="46" t="str">
        <f>VLOOKUP(F1387,[4]在职!$A:$M,13,0)</f>
        <v>秦娅玲</v>
      </c>
      <c r="F1387" s="46" t="s">
        <v>1509</v>
      </c>
      <c r="G1387" s="46" t="str">
        <f>VLOOKUP(F1387,[4]在职!$A:$B,2,0)</f>
        <v>01946</v>
      </c>
      <c r="H1387" s="46" t="str">
        <f>VLOOKUP(F1387,[4]在职!$A:$I,9,0)</f>
        <v>实习销售</v>
      </c>
      <c r="I1387" s="46" t="s">
        <v>915</v>
      </c>
      <c r="J1387" s="83">
        <v>46106</v>
      </c>
      <c r="K1387" s="46" t="s">
        <v>1536</v>
      </c>
      <c r="L1387" s="83" t="s">
        <v>25</v>
      </c>
    </row>
    <row r="1388" ht="16.5" spans="1:12">
      <c r="A1388" s="46">
        <v>1386</v>
      </c>
      <c r="B1388" s="46" t="s">
        <v>45</v>
      </c>
      <c r="C1388" s="46" t="str">
        <f>VLOOKUP(F1388,[4]在职!$A:$E,5,0)</f>
        <v>湖北</v>
      </c>
      <c r="D1388" s="46" t="str">
        <f>VLOOKUP(F1388,[4]在职!$A:$G,7,0)</f>
        <v>湖北1部</v>
      </c>
      <c r="E1388" s="46" t="str">
        <f>VLOOKUP(F1388,[4]在职!$A:$M,13,0)</f>
        <v>张宗铭</v>
      </c>
      <c r="F1388" s="46" t="s">
        <v>1510</v>
      </c>
      <c r="G1388" s="46" t="str">
        <f>VLOOKUP(F1388,[4]在职!$A:$B,2,0)</f>
        <v>01977</v>
      </c>
      <c r="H1388" s="46" t="str">
        <f>VLOOKUP(F1388,[4]在职!$A:$I,9,0)</f>
        <v>实习销售</v>
      </c>
      <c r="I1388" s="46" t="s">
        <v>915</v>
      </c>
      <c r="J1388" s="83">
        <v>46106</v>
      </c>
      <c r="K1388" s="46" t="s">
        <v>1536</v>
      </c>
      <c r="L1388" s="83" t="s">
        <v>25</v>
      </c>
    </row>
    <row r="1389" ht="16.5" spans="1:12">
      <c r="A1389" s="46">
        <v>1387</v>
      </c>
      <c r="B1389" s="46" t="s">
        <v>45</v>
      </c>
      <c r="C1389" s="46" t="str">
        <f>VLOOKUP(F1389,[4]在职!$A:$E,5,0)</f>
        <v>湖南</v>
      </c>
      <c r="D1389" s="46" t="str">
        <f>VLOOKUP(F1389,[4]在职!$A:$G,7,0)</f>
        <v>湖南销售部</v>
      </c>
      <c r="E1389" s="46" t="str">
        <f>VLOOKUP(F1389,[4]在职!$A:$M,13,0)</f>
        <v>扈岭楠</v>
      </c>
      <c r="F1389" s="46" t="s">
        <v>1511</v>
      </c>
      <c r="G1389" s="46" t="str">
        <f>VLOOKUP(F1389,[4]在职!$A:$B,2,0)</f>
        <v>01926</v>
      </c>
      <c r="H1389" s="46" t="str">
        <f>VLOOKUP(F1389,[4]在职!$A:$I,9,0)</f>
        <v>实习销售</v>
      </c>
      <c r="I1389" s="46" t="s">
        <v>915</v>
      </c>
      <c r="J1389" s="83">
        <v>46106</v>
      </c>
      <c r="K1389" s="46" t="s">
        <v>1536</v>
      </c>
      <c r="L1389" s="83" t="s">
        <v>25</v>
      </c>
    </row>
    <row r="1390" ht="16.5" spans="1:12">
      <c r="A1390" s="46">
        <v>1388</v>
      </c>
      <c r="B1390" s="46" t="s">
        <v>45</v>
      </c>
      <c r="C1390" s="46" t="str">
        <f>VLOOKUP(F1390,[4]在职!$A:$E,5,0)</f>
        <v>湖南</v>
      </c>
      <c r="D1390" s="46" t="str">
        <f>VLOOKUP(F1390,[4]在职!$A:$G,7,0)</f>
        <v>湖南销售部</v>
      </c>
      <c r="E1390" s="46" t="str">
        <f>VLOOKUP(F1390,[4]在职!$A:$M,13,0)</f>
        <v>刘元发</v>
      </c>
      <c r="F1390" s="46" t="s">
        <v>1261</v>
      </c>
      <c r="G1390" s="46" t="str">
        <f>VLOOKUP(F1390,[4]在职!$A:$B,2,0)</f>
        <v>01907</v>
      </c>
      <c r="H1390" s="46" t="str">
        <f>VLOOKUP(F1390,[4]在职!$A:$I,9,0)</f>
        <v>实习销售</v>
      </c>
      <c r="I1390" s="46" t="s">
        <v>915</v>
      </c>
      <c r="J1390" s="83">
        <v>46106</v>
      </c>
      <c r="K1390" s="46" t="s">
        <v>1536</v>
      </c>
      <c r="L1390" s="83" t="s">
        <v>25</v>
      </c>
    </row>
    <row r="1391" ht="16.5" spans="1:12">
      <c r="A1391" s="46">
        <v>1389</v>
      </c>
      <c r="B1391" s="46" t="s">
        <v>45</v>
      </c>
      <c r="C1391" s="46" t="str">
        <f>VLOOKUP(F1391,[4]在职!$A:$E,5,0)</f>
        <v>湖南</v>
      </c>
      <c r="D1391" s="46" t="str">
        <f>VLOOKUP(F1391,[4]在职!$A:$G,7,0)</f>
        <v>湖南销售部</v>
      </c>
      <c r="E1391" s="46" t="str">
        <f>VLOOKUP(F1391,[4]在职!$A:$M,13,0)</f>
        <v>杨超群</v>
      </c>
      <c r="F1391" s="46" t="s">
        <v>1259</v>
      </c>
      <c r="G1391" s="46" t="str">
        <f>VLOOKUP(F1391,[4]在职!$A:$B,2,0)</f>
        <v>01873</v>
      </c>
      <c r="H1391" s="46" t="str">
        <f>VLOOKUP(F1391,[4]在职!$A:$I,9,0)</f>
        <v>实习销售</v>
      </c>
      <c r="I1391" s="46" t="s">
        <v>915</v>
      </c>
      <c r="J1391" s="83">
        <v>46106</v>
      </c>
      <c r="K1391" s="46" t="s">
        <v>1536</v>
      </c>
      <c r="L1391" s="83" t="s">
        <v>25</v>
      </c>
    </row>
    <row r="1392" ht="16.5" spans="1:12">
      <c r="A1392" s="46">
        <v>1390</v>
      </c>
      <c r="B1392" s="46" t="s">
        <v>45</v>
      </c>
      <c r="C1392" s="46" t="str">
        <f>VLOOKUP(F1392,[4]在职!$A:$E,5,0)</f>
        <v>湖南</v>
      </c>
      <c r="D1392" s="46" t="str">
        <f>VLOOKUP(F1392,[4]在职!$A:$G,7,0)</f>
        <v>湖南销售部</v>
      </c>
      <c r="E1392" s="46" t="str">
        <f>VLOOKUP(F1392,[4]在职!$A:$M,13,0)</f>
        <v>庄素芳</v>
      </c>
      <c r="F1392" s="46" t="s">
        <v>1512</v>
      </c>
      <c r="G1392" s="46" t="str">
        <f>VLOOKUP(F1392,[4]在职!$A:$B,2,0)</f>
        <v>01920</v>
      </c>
      <c r="H1392" s="46" t="str">
        <f>VLOOKUP(F1392,[4]在职!$A:$I,9,0)</f>
        <v>实习销售</v>
      </c>
      <c r="I1392" s="46" t="s">
        <v>915</v>
      </c>
      <c r="J1392" s="83">
        <v>46106</v>
      </c>
      <c r="K1392" s="46" t="s">
        <v>1536</v>
      </c>
      <c r="L1392" s="83" t="s">
        <v>25</v>
      </c>
    </row>
    <row r="1393" ht="16.5" spans="1:12">
      <c r="A1393" s="46">
        <v>1391</v>
      </c>
      <c r="B1393" s="46" t="s">
        <v>45</v>
      </c>
      <c r="C1393" s="46" t="str">
        <f>VLOOKUP(F1393,[4]在职!$A:$E,5,0)</f>
        <v>辽宁</v>
      </c>
      <c r="D1393" s="46" t="str">
        <f>VLOOKUP(F1393,[4]在职!$A:$G,7,0)</f>
        <v>辽宁销售部</v>
      </c>
      <c r="E1393" s="46" t="str">
        <f>VLOOKUP(F1393,[4]在职!$A:$M,13,0)</f>
        <v>孙科</v>
      </c>
      <c r="F1393" s="46" t="s">
        <v>1513</v>
      </c>
      <c r="G1393" s="46" t="str">
        <f>VLOOKUP(F1393,[4]在职!$A:$B,2,0)</f>
        <v>01961</v>
      </c>
      <c r="H1393" s="46" t="str">
        <f>VLOOKUP(F1393,[4]在职!$A:$I,9,0)</f>
        <v>实习销售</v>
      </c>
      <c r="I1393" s="46" t="s">
        <v>915</v>
      </c>
      <c r="J1393" s="83">
        <v>46106</v>
      </c>
      <c r="K1393" s="46" t="s">
        <v>1536</v>
      </c>
      <c r="L1393" s="83" t="s">
        <v>25</v>
      </c>
    </row>
    <row r="1394" ht="16.5" spans="1:12">
      <c r="A1394" s="46">
        <v>1392</v>
      </c>
      <c r="B1394" s="46" t="s">
        <v>45</v>
      </c>
      <c r="C1394" s="46" t="str">
        <f>VLOOKUP(F1394,[4]在职!$A:$E,5,0)</f>
        <v>辽宁</v>
      </c>
      <c r="D1394" s="46" t="str">
        <f>VLOOKUP(F1394,[4]在职!$A:$G,7,0)</f>
        <v>辽宁销售部</v>
      </c>
      <c r="E1394" s="46" t="str">
        <f>VLOOKUP(F1394,[4]在职!$A:$M,13,0)</f>
        <v>孙科</v>
      </c>
      <c r="F1394" s="46" t="s">
        <v>1514</v>
      </c>
      <c r="G1394" s="46" t="str">
        <f>VLOOKUP(F1394,[4]在职!$A:$B,2,0)</f>
        <v>01925</v>
      </c>
      <c r="H1394" s="46" t="str">
        <f>VLOOKUP(F1394,[4]在职!$A:$I,9,0)</f>
        <v>实习销售</v>
      </c>
      <c r="I1394" s="46" t="s">
        <v>915</v>
      </c>
      <c r="J1394" s="83">
        <v>46106</v>
      </c>
      <c r="K1394" s="46" t="s">
        <v>1536</v>
      </c>
      <c r="L1394" s="83" t="s">
        <v>25</v>
      </c>
    </row>
    <row r="1395" ht="16.5" spans="1:12">
      <c r="A1395" s="46">
        <v>1393</v>
      </c>
      <c r="B1395" s="46" t="s">
        <v>45</v>
      </c>
      <c r="C1395" s="46" t="str">
        <f>VLOOKUP(F1395,[4]在职!$A:$E,5,0)</f>
        <v>山东</v>
      </c>
      <c r="D1395" s="46" t="str">
        <f>VLOOKUP(F1395,[4]在职!$A:$G,7,0)</f>
        <v>山东销售部</v>
      </c>
      <c r="E1395" s="46" t="str">
        <f>VLOOKUP(F1395,[4]在职!$A:$M,13,0)</f>
        <v>赵文涛</v>
      </c>
      <c r="F1395" s="46" t="s">
        <v>1515</v>
      </c>
      <c r="G1395" s="46" t="str">
        <f>VLOOKUP(F1395,[4]在职!$A:$B,2,0)</f>
        <v>01936</v>
      </c>
      <c r="H1395" s="46" t="str">
        <f>VLOOKUP(F1395,[4]在职!$A:$I,9,0)</f>
        <v>实习销售</v>
      </c>
      <c r="I1395" s="46" t="s">
        <v>915</v>
      </c>
      <c r="J1395" s="83">
        <v>46106</v>
      </c>
      <c r="K1395" s="46" t="s">
        <v>1536</v>
      </c>
      <c r="L1395" s="83" t="s">
        <v>25</v>
      </c>
    </row>
    <row r="1396" ht="16.5" spans="1:12">
      <c r="A1396" s="46">
        <v>1394</v>
      </c>
      <c r="B1396" s="46" t="s">
        <v>45</v>
      </c>
      <c r="C1396" s="46" t="str">
        <f>VLOOKUP(F1396,[4]在职!$A:$E,5,0)</f>
        <v>山东</v>
      </c>
      <c r="D1396" s="46" t="str">
        <f>VLOOKUP(F1396,[4]在职!$A:$G,7,0)</f>
        <v>山东销售部</v>
      </c>
      <c r="E1396" s="46" t="str">
        <f>VLOOKUP(F1396,[4]在职!$A:$M,13,0)</f>
        <v>周涛</v>
      </c>
      <c r="F1396" s="46" t="s">
        <v>1516</v>
      </c>
      <c r="G1396" s="46" t="str">
        <f>VLOOKUP(F1396,[4]在职!$A:$B,2,0)</f>
        <v>01947</v>
      </c>
      <c r="H1396" s="46" t="str">
        <f>VLOOKUP(F1396,[4]在职!$A:$I,9,0)</f>
        <v>实习销售</v>
      </c>
      <c r="I1396" s="46" t="s">
        <v>915</v>
      </c>
      <c r="J1396" s="83">
        <v>46106</v>
      </c>
      <c r="K1396" s="46" t="s">
        <v>1536</v>
      </c>
      <c r="L1396" s="83" t="s">
        <v>25</v>
      </c>
    </row>
    <row r="1397" ht="16.5" spans="1:12">
      <c r="A1397" s="46">
        <v>1395</v>
      </c>
      <c r="B1397" s="46" t="s">
        <v>45</v>
      </c>
      <c r="C1397" s="46" t="str">
        <f>VLOOKUP(F1397,[4]在职!$A:$E,5,0)</f>
        <v>陕西</v>
      </c>
      <c r="D1397" s="46" t="str">
        <f>VLOOKUP(F1397,[4]在职!$A:$G,7,0)</f>
        <v>陕西1部</v>
      </c>
      <c r="E1397" s="46" t="str">
        <f>VLOOKUP(F1397,[4]在职!$A:$M,13,0)</f>
        <v>吕瑞仙</v>
      </c>
      <c r="F1397" s="46" t="s">
        <v>1517</v>
      </c>
      <c r="G1397" s="46" t="str">
        <f>VLOOKUP(F1397,[4]在职!$A:$B,2,0)</f>
        <v>01973</v>
      </c>
      <c r="H1397" s="46" t="str">
        <f>VLOOKUP(F1397,[4]在职!$A:$I,9,0)</f>
        <v>实习销售</v>
      </c>
      <c r="I1397" s="46" t="s">
        <v>915</v>
      </c>
      <c r="J1397" s="83">
        <v>46106</v>
      </c>
      <c r="K1397" s="46" t="s">
        <v>1536</v>
      </c>
      <c r="L1397" s="83" t="s">
        <v>25</v>
      </c>
    </row>
    <row r="1398" ht="16.5" spans="1:12">
      <c r="A1398" s="46">
        <v>1396</v>
      </c>
      <c r="B1398" s="46" t="s">
        <v>45</v>
      </c>
      <c r="C1398" s="46" t="str">
        <f>VLOOKUP(F1398,[4]在职!$A:$E,5,0)</f>
        <v>陕西</v>
      </c>
      <c r="D1398" s="46" t="str">
        <f>VLOOKUP(F1398,[4]在职!$A:$G,7,0)</f>
        <v>陕西2部</v>
      </c>
      <c r="E1398" s="46" t="str">
        <f>VLOOKUP(F1398,[4]在职!$A:$M,13,0)</f>
        <v>乔磊</v>
      </c>
      <c r="F1398" s="46" t="s">
        <v>1518</v>
      </c>
      <c r="G1398" s="46" t="str">
        <f>VLOOKUP(F1398,[4]在职!$A:$B,2,0)</f>
        <v>01930</v>
      </c>
      <c r="H1398" s="46" t="str">
        <f>VLOOKUP(F1398,[4]在职!$A:$I,9,0)</f>
        <v>实习销售</v>
      </c>
      <c r="I1398" s="46" t="s">
        <v>915</v>
      </c>
      <c r="J1398" s="83">
        <v>46106</v>
      </c>
      <c r="K1398" s="46" t="s">
        <v>1536</v>
      </c>
      <c r="L1398" s="83" t="s">
        <v>25</v>
      </c>
    </row>
    <row r="1399" ht="16.5" spans="1:12">
      <c r="A1399" s="46">
        <v>1397</v>
      </c>
      <c r="B1399" s="46" t="s">
        <v>45</v>
      </c>
      <c r="C1399" s="46" t="str">
        <f>VLOOKUP(F1399,[4]在职!$A:$E,5,0)</f>
        <v>陕西</v>
      </c>
      <c r="D1399" s="46" t="str">
        <f>VLOOKUP(F1399,[4]在职!$A:$G,7,0)</f>
        <v>陕西2部</v>
      </c>
      <c r="E1399" s="46" t="str">
        <f>VLOOKUP(F1399,[4]在职!$A:$M,13,0)</f>
        <v>王超2</v>
      </c>
      <c r="F1399" s="46" t="s">
        <v>1519</v>
      </c>
      <c r="G1399" s="46" t="str">
        <f>VLOOKUP(F1399,[4]在职!$A:$B,2,0)</f>
        <v>01943</v>
      </c>
      <c r="H1399" s="46" t="str">
        <f>VLOOKUP(F1399,[4]在职!$A:$I,9,0)</f>
        <v>实习销售</v>
      </c>
      <c r="I1399" s="46" t="s">
        <v>915</v>
      </c>
      <c r="J1399" s="83">
        <v>46106</v>
      </c>
      <c r="K1399" s="46" t="s">
        <v>1536</v>
      </c>
      <c r="L1399" s="83" t="s">
        <v>25</v>
      </c>
    </row>
    <row r="1400" ht="16.5" spans="1:12">
      <c r="A1400" s="46">
        <v>1398</v>
      </c>
      <c r="B1400" s="46" t="s">
        <v>45</v>
      </c>
      <c r="C1400" s="46" t="str">
        <f>VLOOKUP(F1400,[4]在职!$A:$E,5,0)</f>
        <v>陕西</v>
      </c>
      <c r="D1400" s="46" t="str">
        <f>VLOOKUP(F1400,[4]在职!$A:$G,7,0)</f>
        <v>陕西1部</v>
      </c>
      <c r="E1400" s="46" t="str">
        <f>VLOOKUP(F1400,[4]在职!$A:$M,13,0)</f>
        <v>叶湑</v>
      </c>
      <c r="F1400" s="46" t="s">
        <v>1520</v>
      </c>
      <c r="G1400" s="46" t="str">
        <f>VLOOKUP(F1400,[4]在职!$A:$B,2,0)</f>
        <v>01955</v>
      </c>
      <c r="H1400" s="46" t="str">
        <f>VLOOKUP(F1400,[4]在职!$A:$I,9,0)</f>
        <v>实习销售</v>
      </c>
      <c r="I1400" s="46" t="s">
        <v>915</v>
      </c>
      <c r="J1400" s="83">
        <v>46106</v>
      </c>
      <c r="K1400" s="46" t="s">
        <v>1536</v>
      </c>
      <c r="L1400" s="83" t="s">
        <v>25</v>
      </c>
    </row>
    <row r="1401" ht="16.5" spans="1:12">
      <c r="A1401" s="46">
        <v>1399</v>
      </c>
      <c r="B1401" s="46" t="s">
        <v>45</v>
      </c>
      <c r="C1401" s="46" t="str">
        <f>VLOOKUP(F1401,[4]在职!$A:$E,5,0)</f>
        <v>陕西</v>
      </c>
      <c r="D1401" s="46" t="str">
        <f>VLOOKUP(F1401,[4]在职!$A:$G,7,0)</f>
        <v>陕西2部</v>
      </c>
      <c r="E1401" s="46" t="str">
        <f>VLOOKUP(F1401,[4]在职!$A:$M,13,0)</f>
        <v>朱全兰</v>
      </c>
      <c r="F1401" s="46" t="s">
        <v>1521</v>
      </c>
      <c r="G1401" s="46" t="str">
        <f>VLOOKUP(F1401,[4]在职!$A:$B,2,0)</f>
        <v>01932</v>
      </c>
      <c r="H1401" s="46" t="str">
        <f>VLOOKUP(F1401,[4]在职!$A:$I,9,0)</f>
        <v>实习销售</v>
      </c>
      <c r="I1401" s="46" t="s">
        <v>915</v>
      </c>
      <c r="J1401" s="83">
        <v>46106</v>
      </c>
      <c r="K1401" s="46" t="s">
        <v>1536</v>
      </c>
      <c r="L1401" s="83" t="s">
        <v>25</v>
      </c>
    </row>
    <row r="1402" ht="16.5" spans="1:12">
      <c r="A1402" s="46">
        <v>1400</v>
      </c>
      <c r="B1402" s="46" t="s">
        <v>45</v>
      </c>
      <c r="C1402" s="46" t="str">
        <f>VLOOKUP(F1402,[4]在职!$A:$E,5,0)</f>
        <v>西南总部</v>
      </c>
      <c r="D1402" s="46" t="str">
        <f>VLOOKUP(F1402,[4]在职!$A:$G,7,0)</f>
        <v>营业一部</v>
      </c>
      <c r="E1402" s="46" t="str">
        <f>VLOOKUP(F1402,[4]在职!$A:$M,13,0)</f>
        <v>白世根</v>
      </c>
      <c r="F1402" s="46" t="s">
        <v>1522</v>
      </c>
      <c r="G1402" s="46" t="str">
        <f>VLOOKUP(F1402,[4]在职!$A:$B,2,0)</f>
        <v>01978</v>
      </c>
      <c r="H1402" s="46" t="str">
        <f>VLOOKUP(F1402,[4]在职!$A:$I,9,0)</f>
        <v>实习销售</v>
      </c>
      <c r="I1402" s="46" t="s">
        <v>915</v>
      </c>
      <c r="J1402" s="83">
        <v>46106</v>
      </c>
      <c r="K1402" s="46" t="s">
        <v>1536</v>
      </c>
      <c r="L1402" s="83" t="s">
        <v>25</v>
      </c>
    </row>
    <row r="1403" ht="16.5" spans="1:12">
      <c r="A1403" s="46">
        <v>1401</v>
      </c>
      <c r="B1403" s="46" t="s">
        <v>45</v>
      </c>
      <c r="C1403" s="46" t="str">
        <f>VLOOKUP(F1403,[4]在职!$A:$E,5,0)</f>
        <v>西南总部</v>
      </c>
      <c r="D1403" s="46" t="str">
        <f>VLOOKUP(F1403,[4]在职!$A:$G,7,0)</f>
        <v>营业一部</v>
      </c>
      <c r="E1403" s="46" t="str">
        <f>VLOOKUP(F1403,[4]在职!$A:$M,13,0)</f>
        <v>白世根</v>
      </c>
      <c r="F1403" s="46" t="s">
        <v>1523</v>
      </c>
      <c r="G1403" s="46" t="str">
        <f>VLOOKUP(F1403,[4]在职!$A:$B,2,0)</f>
        <v>01963</v>
      </c>
      <c r="H1403" s="46" t="str">
        <f>VLOOKUP(F1403,[4]在职!$A:$I,9,0)</f>
        <v>实习销售</v>
      </c>
      <c r="I1403" s="46" t="s">
        <v>915</v>
      </c>
      <c r="J1403" s="83">
        <v>46106</v>
      </c>
      <c r="K1403" s="46" t="s">
        <v>1536</v>
      </c>
      <c r="L1403" s="83" t="s">
        <v>25</v>
      </c>
    </row>
    <row r="1404" ht="16.5" spans="1:12">
      <c r="A1404" s="46">
        <v>1402</v>
      </c>
      <c r="B1404" s="46" t="s">
        <v>45</v>
      </c>
      <c r="C1404" s="46" t="str">
        <f>VLOOKUP(F1404,[4]在职!$A:$E,5,0)</f>
        <v>西南总部</v>
      </c>
      <c r="D1404" s="46" t="str">
        <f>VLOOKUP(F1404,[4]在职!$A:$G,7,0)</f>
        <v>营业一部</v>
      </c>
      <c r="E1404" s="46" t="str">
        <f>VLOOKUP(F1404,[4]在职!$A:$M,13,0)</f>
        <v>白世根</v>
      </c>
      <c r="F1404" s="46" t="s">
        <v>1524</v>
      </c>
      <c r="G1404" s="46" t="str">
        <f>VLOOKUP(F1404,[4]在职!$A:$B,2,0)</f>
        <v>01964</v>
      </c>
      <c r="H1404" s="46" t="str">
        <f>VLOOKUP(F1404,[4]在职!$A:$I,9,0)</f>
        <v>实习销售</v>
      </c>
      <c r="I1404" s="46" t="s">
        <v>915</v>
      </c>
      <c r="J1404" s="83">
        <v>46106</v>
      </c>
      <c r="K1404" s="46" t="s">
        <v>1536</v>
      </c>
      <c r="L1404" s="83" t="s">
        <v>25</v>
      </c>
    </row>
    <row r="1405" ht="16.5" spans="1:12">
      <c r="A1405" s="46">
        <v>1403</v>
      </c>
      <c r="B1405" s="46" t="s">
        <v>45</v>
      </c>
      <c r="C1405" s="46" t="str">
        <f>VLOOKUP(F1405,[4]在职!$A:$E,5,0)</f>
        <v>西南总部</v>
      </c>
      <c r="D1405" s="46" t="str">
        <f>VLOOKUP(F1405,[4]在职!$A:$G,7,0)</f>
        <v>营业一部</v>
      </c>
      <c r="E1405" s="46" t="str">
        <f>VLOOKUP(F1405,[4]在职!$A:$M,13,0)</f>
        <v>白世根</v>
      </c>
      <c r="F1405" s="46" t="s">
        <v>1525</v>
      </c>
      <c r="G1405" s="46" t="str">
        <f>VLOOKUP(F1405,[4]在职!$A:$B,2,0)</f>
        <v>01929</v>
      </c>
      <c r="H1405" s="46" t="str">
        <f>VLOOKUP(F1405,[4]在职!$A:$I,9,0)</f>
        <v>实习销售</v>
      </c>
      <c r="I1405" s="46" t="s">
        <v>915</v>
      </c>
      <c r="J1405" s="83">
        <v>46106</v>
      </c>
      <c r="K1405" s="46" t="s">
        <v>1536</v>
      </c>
      <c r="L1405" s="83" t="s">
        <v>25</v>
      </c>
    </row>
    <row r="1406" ht="16.5" spans="1:12">
      <c r="A1406" s="46">
        <v>1404</v>
      </c>
      <c r="B1406" s="46" t="s">
        <v>45</v>
      </c>
      <c r="C1406" s="46" t="str">
        <f>VLOOKUP(F1406,[4]在职!$A:$E,5,0)</f>
        <v>西南总部</v>
      </c>
      <c r="D1406" s="46" t="str">
        <f>VLOOKUP(F1406,[4]在职!$A:$G,7,0)</f>
        <v>营业一部</v>
      </c>
      <c r="E1406" s="46" t="str">
        <f>VLOOKUP(F1406,[4]在职!$A:$M,13,0)</f>
        <v>白世根</v>
      </c>
      <c r="F1406" s="46" t="s">
        <v>1437</v>
      </c>
      <c r="G1406" s="46" t="str">
        <f>VLOOKUP(F1406,[4]在职!$A:$B,2,0)</f>
        <v>01753</v>
      </c>
      <c r="H1406" s="46" t="str">
        <f>VLOOKUP(F1406,[4]在职!$A:$I,9,0)</f>
        <v>一星销售顾问</v>
      </c>
      <c r="I1406" s="46" t="s">
        <v>915</v>
      </c>
      <c r="J1406" s="83">
        <v>46106</v>
      </c>
      <c r="K1406" s="46" t="s">
        <v>1536</v>
      </c>
      <c r="L1406" s="83" t="s">
        <v>25</v>
      </c>
    </row>
    <row r="1407" ht="16.5" spans="1:12">
      <c r="A1407" s="46">
        <v>1405</v>
      </c>
      <c r="B1407" s="46" t="s">
        <v>45</v>
      </c>
      <c r="C1407" s="46" t="str">
        <f>VLOOKUP(F1407,[4]在职!$A:$E,5,0)</f>
        <v>西南总部</v>
      </c>
      <c r="D1407" s="46" t="str">
        <f>VLOOKUP(F1407,[4]在职!$A:$G,7,0)</f>
        <v>营业一部</v>
      </c>
      <c r="E1407" s="46" t="str">
        <f>VLOOKUP(F1407,[4]在职!$A:$M,13,0)</f>
        <v>白世根</v>
      </c>
      <c r="F1407" s="46" t="s">
        <v>1321</v>
      </c>
      <c r="G1407" s="46" t="str">
        <f>VLOOKUP(F1407,[4]在职!$A:$B,2,0)</f>
        <v>01821</v>
      </c>
      <c r="H1407" s="46" t="str">
        <f>VLOOKUP(F1407,[4]在职!$A:$I,9,0)</f>
        <v>一星销售顾问</v>
      </c>
      <c r="I1407" s="46" t="s">
        <v>915</v>
      </c>
      <c r="J1407" s="83">
        <v>46106</v>
      </c>
      <c r="K1407" s="46" t="s">
        <v>1536</v>
      </c>
      <c r="L1407" s="83" t="s">
        <v>25</v>
      </c>
    </row>
    <row r="1408" ht="16.5" spans="1:12">
      <c r="A1408" s="46">
        <v>1406</v>
      </c>
      <c r="B1408" s="46" t="s">
        <v>45</v>
      </c>
      <c r="C1408" s="46" t="str">
        <f>VLOOKUP(F1408,[4]在职!$A:$E,5,0)</f>
        <v>西南总部</v>
      </c>
      <c r="D1408" s="46" t="str">
        <f>VLOOKUP(F1408,[4]在职!$A:$G,7,0)</f>
        <v>营业一部</v>
      </c>
      <c r="E1408" s="46" t="str">
        <f>VLOOKUP(F1408,[4]在职!$A:$M,13,0)</f>
        <v>白世根</v>
      </c>
      <c r="F1408" s="46" t="s">
        <v>1436</v>
      </c>
      <c r="G1408" s="46" t="str">
        <f>VLOOKUP(F1408,[4]在职!$A:$B,2,0)</f>
        <v>01763</v>
      </c>
      <c r="H1408" s="46" t="str">
        <f>VLOOKUP(F1408,[4]在职!$A:$I,9,0)</f>
        <v>一星销售顾问</v>
      </c>
      <c r="I1408" s="46" t="s">
        <v>915</v>
      </c>
      <c r="J1408" s="83">
        <v>46106</v>
      </c>
      <c r="K1408" s="46" t="s">
        <v>1536</v>
      </c>
      <c r="L1408" s="83" t="s">
        <v>25</v>
      </c>
    </row>
    <row r="1409" ht="16.5" spans="1:12">
      <c r="A1409" s="46">
        <v>1407</v>
      </c>
      <c r="B1409" s="46" t="s">
        <v>45</v>
      </c>
      <c r="C1409" s="46" t="str">
        <f>VLOOKUP(F1409,[4]在职!$A:$E,5,0)</f>
        <v>西南总部</v>
      </c>
      <c r="D1409" s="46" t="str">
        <f>VLOOKUP(F1409,[4]在职!$A:$G,7,0)</f>
        <v>营业六部</v>
      </c>
      <c r="E1409" s="46" t="str">
        <f>VLOOKUP(F1409,[4]在职!$A:$M,13,0)</f>
        <v>韩颖</v>
      </c>
      <c r="F1409" s="46" t="s">
        <v>1293</v>
      </c>
      <c r="G1409" s="46" t="str">
        <f>VLOOKUP(F1409,[4]在职!$A:$B,2,0)</f>
        <v>01901</v>
      </c>
      <c r="H1409" s="46" t="str">
        <f>VLOOKUP(F1409,[4]在职!$A:$I,9,0)</f>
        <v>实习销售</v>
      </c>
      <c r="I1409" s="46" t="s">
        <v>915</v>
      </c>
      <c r="J1409" s="83">
        <v>46106</v>
      </c>
      <c r="K1409" s="46" t="s">
        <v>1536</v>
      </c>
      <c r="L1409" s="83" t="s">
        <v>25</v>
      </c>
    </row>
    <row r="1410" ht="16.5" spans="1:12">
      <c r="A1410" s="46">
        <v>1408</v>
      </c>
      <c r="B1410" s="46" t="s">
        <v>45</v>
      </c>
      <c r="C1410" s="46" t="str">
        <f>VLOOKUP(F1410,[4]在职!$A:$E,5,0)</f>
        <v>西南总部</v>
      </c>
      <c r="D1410" s="46" t="str">
        <f>VLOOKUP(F1410,[4]在职!$A:$G,7,0)</f>
        <v>营业六部</v>
      </c>
      <c r="E1410" s="46" t="str">
        <f>VLOOKUP(F1410,[4]在职!$A:$M,13,0)</f>
        <v>韩颖</v>
      </c>
      <c r="F1410" s="46" t="s">
        <v>1295</v>
      </c>
      <c r="G1410" s="46" t="str">
        <f>VLOOKUP(F1410,[4]在职!$A:$B,2,0)</f>
        <v>01792</v>
      </c>
      <c r="H1410" s="46" t="str">
        <f>VLOOKUP(F1410,[4]在职!$A:$I,9,0)</f>
        <v>实习销售</v>
      </c>
      <c r="I1410" s="46" t="s">
        <v>915</v>
      </c>
      <c r="J1410" s="83">
        <v>46106</v>
      </c>
      <c r="K1410" s="46" t="s">
        <v>1536</v>
      </c>
      <c r="L1410" s="83" t="s">
        <v>25</v>
      </c>
    </row>
    <row r="1411" ht="16.5" spans="1:12">
      <c r="A1411" s="46">
        <v>1409</v>
      </c>
      <c r="B1411" s="46" t="s">
        <v>45</v>
      </c>
      <c r="C1411" s="46" t="str">
        <f>VLOOKUP(F1411,[4]在职!$A:$E,5,0)</f>
        <v>西南总部</v>
      </c>
      <c r="D1411" s="46" t="str">
        <f>VLOOKUP(F1411,[4]在职!$A:$G,7,0)</f>
        <v>营业一部</v>
      </c>
      <c r="E1411" s="46" t="str">
        <f>VLOOKUP(F1411,[4]在职!$A:$M,13,0)</f>
        <v>胡雪梅</v>
      </c>
      <c r="F1411" s="46" t="s">
        <v>1526</v>
      </c>
      <c r="G1411" s="46" t="str">
        <f>VLOOKUP(F1411,[4]在职!$A:$B,2,0)</f>
        <v>01966</v>
      </c>
      <c r="H1411" s="46" t="str">
        <f>VLOOKUP(F1411,[4]在职!$A:$I,9,0)</f>
        <v>实习销售</v>
      </c>
      <c r="I1411" s="46" t="s">
        <v>915</v>
      </c>
      <c r="J1411" s="83">
        <v>46106</v>
      </c>
      <c r="K1411" s="46" t="s">
        <v>1536</v>
      </c>
      <c r="L1411" s="83" t="s">
        <v>25</v>
      </c>
    </row>
    <row r="1412" ht="16.5" spans="1:12">
      <c r="A1412" s="46">
        <v>1410</v>
      </c>
      <c r="B1412" s="46" t="s">
        <v>45</v>
      </c>
      <c r="C1412" s="46" t="str">
        <f>VLOOKUP(F1412,[4]在职!$A:$E,5,0)</f>
        <v>河北</v>
      </c>
      <c r="D1412" s="46" t="str">
        <f>VLOOKUP(F1412,[4]在职!$A:$G,7,0)</f>
        <v>河北销售部</v>
      </c>
      <c r="E1412" s="46" t="str">
        <f>VLOOKUP(F1412,[4]在职!$A:$M,13,0)</f>
        <v>扈岭楠</v>
      </c>
      <c r="F1412" s="46" t="s">
        <v>1283</v>
      </c>
      <c r="G1412" s="46" t="str">
        <f>VLOOKUP(F1412,[4]在职!$A:$B,2,0)</f>
        <v>01880</v>
      </c>
      <c r="H1412" s="46" t="str">
        <f>VLOOKUP(F1412,[4]在职!$A:$I,9,0)</f>
        <v>实习销售</v>
      </c>
      <c r="I1412" s="46" t="s">
        <v>915</v>
      </c>
      <c r="J1412" s="83">
        <v>46106</v>
      </c>
      <c r="K1412" s="46" t="s">
        <v>1536</v>
      </c>
      <c r="L1412" s="83" t="s">
        <v>25</v>
      </c>
    </row>
    <row r="1413" ht="16.5" spans="1:12">
      <c r="A1413" s="46">
        <v>1411</v>
      </c>
      <c r="B1413" s="46" t="s">
        <v>45</v>
      </c>
      <c r="C1413" s="46" t="str">
        <f>VLOOKUP(F1413,[4]在职!$A:$E,5,0)</f>
        <v>河北</v>
      </c>
      <c r="D1413" s="46" t="str">
        <f>VLOOKUP(F1413,[4]在职!$A:$G,7,0)</f>
        <v>河北销售部</v>
      </c>
      <c r="E1413" s="46" t="str">
        <f>VLOOKUP(F1413,[4]在职!$A:$M,13,0)</f>
        <v>扈岭楠</v>
      </c>
      <c r="F1413" s="46" t="s">
        <v>1285</v>
      </c>
      <c r="G1413" s="46" t="str">
        <f>VLOOKUP(F1413,[4]在职!$A:$B,2,0)</f>
        <v>01817</v>
      </c>
      <c r="H1413" s="46" t="str">
        <f>VLOOKUP(F1413,[4]在职!$A:$I,9,0)</f>
        <v>实习销售</v>
      </c>
      <c r="I1413" s="46" t="s">
        <v>915</v>
      </c>
      <c r="J1413" s="83">
        <v>46106</v>
      </c>
      <c r="K1413" s="46" t="s">
        <v>1536</v>
      </c>
      <c r="L1413" s="83" t="s">
        <v>25</v>
      </c>
    </row>
    <row r="1414" ht="16.5" spans="1:12">
      <c r="A1414" s="46">
        <v>1412</v>
      </c>
      <c r="B1414" s="46" t="s">
        <v>45</v>
      </c>
      <c r="C1414" s="46" t="str">
        <f>VLOOKUP(F1414,[4]在职!$A:$E,5,0)</f>
        <v>西南总部</v>
      </c>
      <c r="D1414" s="46" t="str">
        <f>VLOOKUP(F1414,[4]在职!$A:$G,7,0)</f>
        <v>营业七部</v>
      </c>
      <c r="E1414" s="46" t="str">
        <f>VLOOKUP(F1414,[4]在职!$A:$M,13,0)</f>
        <v>刘鹏</v>
      </c>
      <c r="F1414" s="46" t="s">
        <v>1263</v>
      </c>
      <c r="G1414" s="46" t="str">
        <f>VLOOKUP(F1414,[4]在职!$A:$B,2,0)</f>
        <v>01723</v>
      </c>
      <c r="H1414" s="46" t="str">
        <f>VLOOKUP(F1414,[4]在职!$A:$I,9,0)</f>
        <v>一星销售顾问</v>
      </c>
      <c r="I1414" s="46" t="s">
        <v>907</v>
      </c>
      <c r="J1414" s="83">
        <v>46106</v>
      </c>
      <c r="K1414" s="46" t="s">
        <v>1536</v>
      </c>
      <c r="L1414" s="83" t="s">
        <v>25</v>
      </c>
    </row>
    <row r="1415" ht="16.5" spans="1:12">
      <c r="A1415" s="46">
        <v>1413</v>
      </c>
      <c r="B1415" s="46" t="s">
        <v>45</v>
      </c>
      <c r="C1415" s="46" t="str">
        <f>VLOOKUP(F1415,[4]在职!$A:$E,5,0)</f>
        <v>西南总部</v>
      </c>
      <c r="D1415" s="46" t="str">
        <f>VLOOKUP(F1415,[4]在职!$A:$G,7,0)</f>
        <v>营业七部</v>
      </c>
      <c r="E1415" s="46" t="str">
        <f>VLOOKUP(F1415,[4]在职!$A:$M,13,0)</f>
        <v>刘鹏</v>
      </c>
      <c r="F1415" s="46" t="s">
        <v>1197</v>
      </c>
      <c r="G1415" s="46" t="str">
        <f>VLOOKUP(F1415,[4]在职!$A:$B,2,0)</f>
        <v>01900</v>
      </c>
      <c r="H1415" s="46" t="str">
        <f>VLOOKUP(F1415,[4]在职!$A:$I,9,0)</f>
        <v>实习销售</v>
      </c>
      <c r="I1415" s="46" t="s">
        <v>907</v>
      </c>
      <c r="J1415" s="83">
        <v>46106</v>
      </c>
      <c r="K1415" s="46" t="s">
        <v>1536</v>
      </c>
      <c r="L1415" s="83" t="s">
        <v>25</v>
      </c>
    </row>
    <row r="1416" ht="16.5" spans="1:12">
      <c r="A1416" s="46">
        <v>1414</v>
      </c>
      <c r="B1416" s="46" t="s">
        <v>45</v>
      </c>
      <c r="C1416" s="46" t="str">
        <f>VLOOKUP(F1416,[4]在职!$A:$E,5,0)</f>
        <v>西南总部</v>
      </c>
      <c r="D1416" s="46" t="str">
        <f>VLOOKUP(F1416,[4]在职!$A:$G,7,0)</f>
        <v>营业六部</v>
      </c>
      <c r="E1416" s="46" t="str">
        <f>VLOOKUP(F1416,[4]在职!$A:$M,13,0)</f>
        <v>毛富林</v>
      </c>
      <c r="F1416" s="46" t="s">
        <v>1527</v>
      </c>
      <c r="G1416" s="46" t="str">
        <f>VLOOKUP(F1416,[4]在职!$A:$B,2,0)</f>
        <v>01969</v>
      </c>
      <c r="H1416" s="46" t="str">
        <f>VLOOKUP(F1416,[4]在职!$A:$I,9,0)</f>
        <v>实习销售</v>
      </c>
      <c r="I1416" s="46" t="s">
        <v>915</v>
      </c>
      <c r="J1416" s="83">
        <v>46106</v>
      </c>
      <c r="K1416" s="46" t="s">
        <v>1536</v>
      </c>
      <c r="L1416" s="83" t="s">
        <v>25</v>
      </c>
    </row>
    <row r="1417" ht="16.5" spans="1:12">
      <c r="A1417" s="46">
        <v>1415</v>
      </c>
      <c r="B1417" s="46" t="s">
        <v>45</v>
      </c>
      <c r="C1417" s="46" t="str">
        <f>VLOOKUP(F1417,[4]在职!$A:$E,5,0)</f>
        <v>西南总部</v>
      </c>
      <c r="D1417" s="46" t="str">
        <f>VLOOKUP(F1417,[4]在职!$A:$G,7,0)</f>
        <v>营业七部</v>
      </c>
      <c r="E1417" s="46" t="str">
        <f>VLOOKUP(F1417,[4]在职!$A:$M,13,0)</f>
        <v>彭小琴</v>
      </c>
      <c r="F1417" s="46" t="s">
        <v>1528</v>
      </c>
      <c r="G1417" s="46" t="str">
        <f>VLOOKUP(F1417,[4]在职!$A:$B,2,0)</f>
        <v>01959</v>
      </c>
      <c r="H1417" s="46" t="str">
        <f>VLOOKUP(F1417,[4]在职!$A:$I,9,0)</f>
        <v>实习销售</v>
      </c>
      <c r="I1417" s="46" t="s">
        <v>915</v>
      </c>
      <c r="J1417" s="83">
        <v>46106</v>
      </c>
      <c r="K1417" s="46" t="s">
        <v>1536</v>
      </c>
      <c r="L1417" s="83" t="s">
        <v>25</v>
      </c>
    </row>
    <row r="1418" ht="16.5" spans="1:12">
      <c r="A1418" s="46">
        <v>1416</v>
      </c>
      <c r="B1418" s="46" t="s">
        <v>45</v>
      </c>
      <c r="C1418" s="46" t="str">
        <f>VLOOKUP(F1418,[4]在职!$A:$E,5,0)</f>
        <v>西南总部</v>
      </c>
      <c r="D1418" s="46" t="str">
        <f>VLOOKUP(F1418,[4]在职!$A:$G,7,0)</f>
        <v>营业七部</v>
      </c>
      <c r="E1418" s="46" t="str">
        <f>VLOOKUP(F1418,[4]在职!$A:$M,13,0)</f>
        <v>彭小琴</v>
      </c>
      <c r="F1418" s="46" t="s">
        <v>1529</v>
      </c>
      <c r="G1418" s="46" t="str">
        <f>VLOOKUP(F1418,[4]在职!$A:$B,2,0)</f>
        <v>01958</v>
      </c>
      <c r="H1418" s="46" t="str">
        <f>VLOOKUP(F1418,[4]在职!$A:$I,9,0)</f>
        <v>实习销售</v>
      </c>
      <c r="I1418" s="46" t="s">
        <v>915</v>
      </c>
      <c r="J1418" s="83">
        <v>46106</v>
      </c>
      <c r="K1418" s="46" t="s">
        <v>1536</v>
      </c>
      <c r="L1418" s="83" t="s">
        <v>25</v>
      </c>
    </row>
    <row r="1419" ht="16.5" spans="1:12">
      <c r="A1419" s="46">
        <v>1417</v>
      </c>
      <c r="B1419" s="46" t="s">
        <v>45</v>
      </c>
      <c r="C1419" s="46" t="str">
        <f>VLOOKUP(F1419,[4]在职!$A:$E,5,0)</f>
        <v>西南总部</v>
      </c>
      <c r="D1419" s="46" t="str">
        <f>VLOOKUP(F1419,[4]在职!$A:$G,7,0)</f>
        <v>营业三部</v>
      </c>
      <c r="E1419" s="46" t="str">
        <f>VLOOKUP(F1419,[4]在职!$A:$M,13,0)</f>
        <v>吴建鑫</v>
      </c>
      <c r="F1419" s="46" t="s">
        <v>1530</v>
      </c>
      <c r="G1419" s="46" t="str">
        <f>VLOOKUP(F1419,[4]在职!$A:$B,2,0)</f>
        <v>01970</v>
      </c>
      <c r="H1419" s="46" t="str">
        <f>VLOOKUP(F1419,[4]在职!$A:$I,9,0)</f>
        <v>实习销售</v>
      </c>
      <c r="I1419" s="46" t="s">
        <v>915</v>
      </c>
      <c r="J1419" s="83">
        <v>46106</v>
      </c>
      <c r="K1419" s="46" t="s">
        <v>1536</v>
      </c>
      <c r="L1419" s="83" t="s">
        <v>25</v>
      </c>
    </row>
    <row r="1420" ht="16.5" spans="1:12">
      <c r="A1420" s="46">
        <v>1418</v>
      </c>
      <c r="B1420" s="46" t="s">
        <v>45</v>
      </c>
      <c r="C1420" s="46" t="str">
        <f>VLOOKUP(F1420,[4]在职!$A:$E,5,0)</f>
        <v>西南总部</v>
      </c>
      <c r="D1420" s="46" t="str">
        <f>VLOOKUP(F1420,[4]在职!$A:$G,7,0)</f>
        <v>营业六部</v>
      </c>
      <c r="E1420" s="46" t="str">
        <f>VLOOKUP(F1420,[4]在职!$A:$M,13,0)</f>
        <v>杨翠茹</v>
      </c>
      <c r="F1420" s="46" t="s">
        <v>1215</v>
      </c>
      <c r="G1420" s="46" t="str">
        <f>VLOOKUP(F1420,[4]在职!$A:$B,2,0)</f>
        <v>01854</v>
      </c>
      <c r="H1420" s="46" t="str">
        <f>VLOOKUP(F1420,[4]在职!$A:$I,9,0)</f>
        <v>实习销售</v>
      </c>
      <c r="I1420" s="46" t="s">
        <v>907</v>
      </c>
      <c r="J1420" s="83">
        <v>46106</v>
      </c>
      <c r="K1420" s="46" t="s">
        <v>1536</v>
      </c>
      <c r="L1420" s="83" t="s">
        <v>25</v>
      </c>
    </row>
    <row r="1421" ht="16.5" spans="1:12">
      <c r="A1421" s="46">
        <v>1419</v>
      </c>
      <c r="B1421" s="46" t="s">
        <v>45</v>
      </c>
      <c r="C1421" s="46" t="str">
        <f>VLOOKUP(F1421,[4]在职!$A:$E,5,0)</f>
        <v>西南总部</v>
      </c>
      <c r="D1421" s="46" t="str">
        <f>VLOOKUP(F1421,[4]在职!$A:$G,7,0)</f>
        <v>杨薇</v>
      </c>
      <c r="E1421" s="46" t="str">
        <f>VLOOKUP(F1421,[4]在职!$A:$M,13,0)</f>
        <v>杨薇</v>
      </c>
      <c r="F1421" s="46" t="s">
        <v>1531</v>
      </c>
      <c r="G1421" s="46" t="str">
        <f>VLOOKUP(F1421,[4]在职!$A:$B,2,0)</f>
        <v>01938</v>
      </c>
      <c r="H1421" s="46" t="str">
        <f>VLOOKUP(F1421,[4]在职!$A:$I,9,0)</f>
        <v>实习销售</v>
      </c>
      <c r="I1421" s="46" t="s">
        <v>915</v>
      </c>
      <c r="J1421" s="83">
        <v>46106</v>
      </c>
      <c r="K1421" s="46" t="s">
        <v>1536</v>
      </c>
      <c r="L1421" s="83" t="s">
        <v>25</v>
      </c>
    </row>
    <row r="1422" ht="16.5" spans="1:12">
      <c r="A1422" s="46">
        <v>1420</v>
      </c>
      <c r="B1422" s="46" t="s">
        <v>45</v>
      </c>
      <c r="C1422" s="46" t="str">
        <f>VLOOKUP(F1422,[4]在职!$A:$E,5,0)</f>
        <v>西南总部</v>
      </c>
      <c r="D1422" s="46" t="str">
        <f>VLOOKUP(F1422,[4]在职!$A:$G,7,0)</f>
        <v>营业七部</v>
      </c>
      <c r="E1422" s="46" t="str">
        <f>VLOOKUP(F1422,[4]在职!$A:$M,13,0)</f>
        <v>张家涛</v>
      </c>
      <c r="F1422" s="46" t="s">
        <v>1201</v>
      </c>
      <c r="G1422" s="46" t="str">
        <f>VLOOKUP(F1422,[4]在职!$A:$B,2,0)</f>
        <v>01905</v>
      </c>
      <c r="H1422" s="46" t="str">
        <f>VLOOKUP(F1422,[4]在职!$A:$I,9,0)</f>
        <v>实习销售</v>
      </c>
      <c r="I1422" s="46" t="s">
        <v>907</v>
      </c>
      <c r="J1422" s="83">
        <v>46106</v>
      </c>
      <c r="K1422" s="46" t="s">
        <v>1536</v>
      </c>
      <c r="L1422" s="83" t="s">
        <v>25</v>
      </c>
    </row>
    <row r="1423" ht="16.5" spans="1:12">
      <c r="A1423" s="46">
        <v>1421</v>
      </c>
      <c r="B1423" s="46" t="s">
        <v>45</v>
      </c>
      <c r="C1423" s="46" t="str">
        <f>VLOOKUP(F1423,[4]在职!$A:$E,5,0)</f>
        <v>西南总部</v>
      </c>
      <c r="D1423" s="46" t="str">
        <f>VLOOKUP(F1423,[4]在职!$A:$G,7,0)</f>
        <v>营业五部</v>
      </c>
      <c r="E1423" s="46" t="str">
        <f>VLOOKUP(F1423,[4]在职!$A:$M,13,0)</f>
        <v>张萍2</v>
      </c>
      <c r="F1423" s="46" t="s">
        <v>1171</v>
      </c>
      <c r="G1423" s="46" t="str">
        <f>VLOOKUP(F1423,[4]在职!$A:$B,2,0)</f>
        <v>01876</v>
      </c>
      <c r="H1423" s="46" t="str">
        <f>VLOOKUP(F1423,[4]在职!$A:$I,9,0)</f>
        <v>实习销售</v>
      </c>
      <c r="I1423" s="46" t="s">
        <v>915</v>
      </c>
      <c r="J1423" s="83">
        <v>46106</v>
      </c>
      <c r="K1423" s="46" t="s">
        <v>1536</v>
      </c>
      <c r="L1423" s="83" t="s">
        <v>25</v>
      </c>
    </row>
    <row r="1424" ht="16.5" spans="1:12">
      <c r="A1424" s="46">
        <v>1422</v>
      </c>
      <c r="B1424" s="46" t="s">
        <v>45</v>
      </c>
      <c r="C1424" s="46" t="str">
        <f>VLOOKUP(F1424,[4]在职!$A:$E,5,0)</f>
        <v>西南总部</v>
      </c>
      <c r="D1424" s="46" t="str">
        <f>VLOOKUP(F1424,[4]在职!$A:$G,7,0)</f>
        <v>营业五部</v>
      </c>
      <c r="E1424" s="46" t="str">
        <f>VLOOKUP(F1424,[4]在职!$A:$M,13,0)</f>
        <v>张萍2</v>
      </c>
      <c r="F1424" s="46" t="s">
        <v>1195</v>
      </c>
      <c r="G1424" s="46" t="str">
        <f>VLOOKUP(F1424,[4]在职!$A:$B,2,0)</f>
        <v>01765</v>
      </c>
      <c r="H1424" s="46" t="str">
        <f>VLOOKUP(F1424,[4]在职!$A:$I,9,0)</f>
        <v>实习销售</v>
      </c>
      <c r="I1424" s="46" t="s">
        <v>907</v>
      </c>
      <c r="J1424" s="83">
        <v>46106</v>
      </c>
      <c r="K1424" s="46" t="s">
        <v>1536</v>
      </c>
      <c r="L1424" s="83" t="s">
        <v>25</v>
      </c>
    </row>
    <row r="1425" ht="16.5" spans="1:12">
      <c r="A1425" s="46">
        <v>1423</v>
      </c>
      <c r="B1425" s="46" t="s">
        <v>45</v>
      </c>
      <c r="C1425" s="46" t="str">
        <f>VLOOKUP(F1425,[4]在职!$A:$E,5,0)</f>
        <v>西南总部</v>
      </c>
      <c r="D1425" s="46" t="str">
        <f>VLOOKUP(F1425,[4]在职!$A:$G,7,0)</f>
        <v>营业五部</v>
      </c>
      <c r="E1425" s="46" t="str">
        <f>VLOOKUP(F1425,[4]在职!$A:$M,13,0)</f>
        <v>张萍2</v>
      </c>
      <c r="F1425" s="46" t="s">
        <v>1193</v>
      </c>
      <c r="G1425" s="46" t="str">
        <f>VLOOKUP(F1425,[4]在职!$A:$B,2,0)</f>
        <v>01881</v>
      </c>
      <c r="H1425" s="46" t="str">
        <f>VLOOKUP(F1425,[4]在职!$A:$I,9,0)</f>
        <v>实习销售</v>
      </c>
      <c r="I1425" s="46" t="s">
        <v>907</v>
      </c>
      <c r="J1425" s="83">
        <v>46106</v>
      </c>
      <c r="K1425" s="46" t="s">
        <v>1536</v>
      </c>
      <c r="L1425" s="83" t="s">
        <v>25</v>
      </c>
    </row>
    <row r="1426" ht="16.5" spans="1:12">
      <c r="A1426" s="46">
        <v>1424</v>
      </c>
      <c r="B1426" s="46" t="s">
        <v>45</v>
      </c>
      <c r="C1426" s="46" t="str">
        <f>VLOOKUP(F1426,[4]在职!$A:$E,5,0)</f>
        <v>西南总部</v>
      </c>
      <c r="D1426" s="46" t="str">
        <f>VLOOKUP(F1426,[4]在职!$A:$G,7,0)</f>
        <v>营业一部</v>
      </c>
      <c r="E1426" s="46" t="str">
        <f>VLOOKUP(F1426,[4]在职!$A:$M,13,0)</f>
        <v>张圣梁</v>
      </c>
      <c r="F1426" s="46" t="s">
        <v>1532</v>
      </c>
      <c r="G1426" s="46" t="str">
        <f>VLOOKUP(F1426,[4]在职!$A:$B,2,0)</f>
        <v>01924</v>
      </c>
      <c r="H1426" s="46" t="str">
        <f>VLOOKUP(F1426,[4]在职!$A:$I,9,0)</f>
        <v>实习销售</v>
      </c>
      <c r="I1426" s="46" t="s">
        <v>915</v>
      </c>
      <c r="J1426" s="83">
        <v>46106</v>
      </c>
      <c r="K1426" s="46" t="s">
        <v>1536</v>
      </c>
      <c r="L1426" s="83" t="s">
        <v>25</v>
      </c>
    </row>
    <row r="1427" ht="16.5" spans="1:12">
      <c r="A1427" s="46">
        <v>1425</v>
      </c>
      <c r="B1427" s="46" t="s">
        <v>45</v>
      </c>
      <c r="C1427" s="46" t="str">
        <f>VLOOKUP(F1427,[4]在职!$A:$E,5,0)</f>
        <v>西南总部</v>
      </c>
      <c r="D1427" s="46" t="str">
        <f>VLOOKUP(F1427,[4]在职!$A:$G,7,0)</f>
        <v>营业三部</v>
      </c>
      <c r="E1427" s="46" t="str">
        <f>VLOOKUP(F1427,[4]在职!$A:$M,13,0)</f>
        <v>郑景慕</v>
      </c>
      <c r="F1427" s="46" t="s">
        <v>1184</v>
      </c>
      <c r="G1427" s="46" t="str">
        <f>VLOOKUP(F1427,[4]在职!$A:$B,2,0)</f>
        <v>01893</v>
      </c>
      <c r="H1427" s="46" t="str">
        <f>VLOOKUP(F1427,[4]在职!$A:$I,9,0)</f>
        <v>实习销售</v>
      </c>
      <c r="I1427" s="46" t="s">
        <v>915</v>
      </c>
      <c r="J1427" s="83">
        <v>46106</v>
      </c>
      <c r="K1427" s="46" t="s">
        <v>1536</v>
      </c>
      <c r="L1427" s="83" t="s">
        <v>25</v>
      </c>
    </row>
    <row r="1428" ht="16.5" spans="1:12">
      <c r="A1428" s="46">
        <v>1426</v>
      </c>
      <c r="B1428" s="46" t="s">
        <v>45</v>
      </c>
      <c r="C1428" s="46" t="str">
        <f>VLOOKUP(F1428,[4]在职!$A:$E,5,0)</f>
        <v>西南总部</v>
      </c>
      <c r="D1428" s="46" t="str">
        <f>VLOOKUP(F1428,[4]在职!$A:$G,7,0)</f>
        <v>营业一部</v>
      </c>
      <c r="E1428" s="46" t="str">
        <f>VLOOKUP(F1428,[4]在职!$A:$M,13,0)</f>
        <v>朱家艳</v>
      </c>
      <c r="F1428" s="46" t="s">
        <v>1533</v>
      </c>
      <c r="G1428" s="46" t="str">
        <f>VLOOKUP(F1428,[4]在职!$A:$B,2,0)</f>
        <v>01939</v>
      </c>
      <c r="H1428" s="46" t="str">
        <f>VLOOKUP(F1428,[4]在职!$A:$I,9,0)</f>
        <v>实习销售</v>
      </c>
      <c r="I1428" s="46" t="s">
        <v>907</v>
      </c>
      <c r="J1428" s="83">
        <v>46106</v>
      </c>
      <c r="K1428" s="46" t="s">
        <v>1536</v>
      </c>
      <c r="L1428" s="83" t="s">
        <v>25</v>
      </c>
    </row>
    <row r="1429" ht="16.5" spans="1:12">
      <c r="A1429" s="46">
        <v>1427</v>
      </c>
      <c r="B1429" s="46" t="s">
        <v>45</v>
      </c>
      <c r="C1429" s="46" t="str">
        <f>VLOOKUP(F1429,[4]在职!$A:$E,5,0)</f>
        <v>西南总部</v>
      </c>
      <c r="D1429" s="46" t="str">
        <f>VLOOKUP(F1429,[4]在职!$A:$G,7,0)</f>
        <v>营业一部</v>
      </c>
      <c r="E1429" s="46" t="str">
        <f>VLOOKUP(F1429,[4]在职!$A:$M,13,0)</f>
        <v>朱家艳</v>
      </c>
      <c r="F1429" s="46" t="s">
        <v>1534</v>
      </c>
      <c r="G1429" s="46" t="str">
        <f>VLOOKUP(F1429,[4]在职!$A:$B,2,0)</f>
        <v>01921</v>
      </c>
      <c r="H1429" s="46" t="str">
        <f>VLOOKUP(F1429,[4]在职!$A:$I,9,0)</f>
        <v>实习销售</v>
      </c>
      <c r="I1429" s="46" t="s">
        <v>907</v>
      </c>
      <c r="J1429" s="83">
        <v>46106</v>
      </c>
      <c r="K1429" s="46" t="s">
        <v>1536</v>
      </c>
      <c r="L1429" s="83" t="s">
        <v>25</v>
      </c>
    </row>
    <row r="1430" ht="16.5" spans="1:12">
      <c r="A1430" s="46">
        <v>1428</v>
      </c>
      <c r="B1430" s="46" t="s">
        <v>45</v>
      </c>
      <c r="C1430" s="46" t="str">
        <f>VLOOKUP(F1430,[4]在职!$A:$E,5,0)</f>
        <v>西南总部</v>
      </c>
      <c r="D1430" s="46" t="str">
        <f>VLOOKUP(F1430,[4]在职!$A:$G,7,0)</f>
        <v>营业一部</v>
      </c>
      <c r="E1430" s="46" t="str">
        <f>VLOOKUP(F1430,[4]在职!$A:$M,13,0)</f>
        <v>朱家艳</v>
      </c>
      <c r="F1430" s="46" t="s">
        <v>1476</v>
      </c>
      <c r="G1430" s="46" t="str">
        <f>VLOOKUP(F1430,[4]在职!$A:$B,2,0)</f>
        <v>01682</v>
      </c>
      <c r="H1430" s="46" t="str">
        <f>VLOOKUP(F1430,[4]在职!$A:$I,9,0)</f>
        <v>一星销售顾问</v>
      </c>
      <c r="I1430" s="46" t="s">
        <v>907</v>
      </c>
      <c r="J1430" s="83">
        <v>46106</v>
      </c>
      <c r="K1430" s="46" t="s">
        <v>1536</v>
      </c>
      <c r="L1430" s="83" t="s">
        <v>25</v>
      </c>
    </row>
    <row r="1431" ht="16.5" spans="1:12">
      <c r="A1431" s="46">
        <v>1429</v>
      </c>
      <c r="B1431" s="46" t="s">
        <v>45</v>
      </c>
      <c r="C1431" s="46" t="str">
        <f>VLOOKUP(F1431,[4]在职!$A:$E,5,0)</f>
        <v>山东</v>
      </c>
      <c r="D1431" s="46" t="str">
        <f>VLOOKUP(F1431,[4]在职!$A:$G,7,0)</f>
        <v>山东销售部</v>
      </c>
      <c r="E1431" s="46" t="str">
        <f>VLOOKUP(F1431,[4]在职!$A:$M,13,0)</f>
        <v>肖佳</v>
      </c>
      <c r="F1431" s="46" t="s">
        <v>1535</v>
      </c>
      <c r="G1431" s="46" t="str">
        <f>VLOOKUP(F1431,[4]在职!$A:$B,2,0)</f>
        <v>01956</v>
      </c>
      <c r="H1431" s="46" t="str">
        <f>VLOOKUP(F1431,[4]在职!$A:$I,9,0)</f>
        <v>实习销售</v>
      </c>
      <c r="I1431" s="46" t="s">
        <v>915</v>
      </c>
      <c r="J1431" s="83">
        <v>46106</v>
      </c>
      <c r="K1431" s="46" t="s">
        <v>1536</v>
      </c>
      <c r="L1431" s="83" t="s">
        <v>25</v>
      </c>
    </row>
    <row r="1432" ht="16.5" spans="1:12">
      <c r="A1432" s="46">
        <v>1430</v>
      </c>
      <c r="B1432" s="46" t="s">
        <v>45</v>
      </c>
      <c r="C1432" s="46" t="str">
        <f>VLOOKUP(F1432,[4]在职!$A:$E,5,0)</f>
        <v>河南</v>
      </c>
      <c r="D1432" s="46" t="str">
        <f>VLOOKUP(F1432,[4]在职!$A:$G,7,0)</f>
        <v>河南销售部</v>
      </c>
      <c r="E1432" s="46" t="str">
        <f>VLOOKUP(F1432,[4]在职!$A:$M,13,0)</f>
        <v>杜雄</v>
      </c>
      <c r="F1432" s="46" t="s">
        <v>1506</v>
      </c>
      <c r="G1432" s="46" t="str">
        <f>VLOOKUP(F1432,[4]在职!$A:$B,2,0)</f>
        <v>00866</v>
      </c>
      <c r="H1432" s="46" t="str">
        <f>VLOOKUP(F1432,[4]在职!$A:$I,9,0)</f>
        <v>实习销售</v>
      </c>
      <c r="I1432" s="46" t="s">
        <v>915</v>
      </c>
      <c r="J1432" s="83">
        <v>46106</v>
      </c>
      <c r="K1432" s="46" t="s">
        <v>1324</v>
      </c>
      <c r="L1432" s="83" t="s">
        <v>25</v>
      </c>
    </row>
    <row r="1433" ht="16.5" spans="1:12">
      <c r="A1433" s="46">
        <v>1431</v>
      </c>
      <c r="B1433" s="46" t="s">
        <v>45</v>
      </c>
      <c r="C1433" s="46" t="str">
        <f>VLOOKUP(F1433,[4]在职!$A:$E,5,0)</f>
        <v>河南</v>
      </c>
      <c r="D1433" s="46" t="str">
        <f>VLOOKUP(F1433,[4]在职!$A:$G,7,0)</f>
        <v>河南销售部</v>
      </c>
      <c r="E1433" s="46" t="str">
        <f>VLOOKUP(F1433,[4]在职!$A:$M,13,0)</f>
        <v>蒋吉勇</v>
      </c>
      <c r="F1433" s="46" t="s">
        <v>1279</v>
      </c>
      <c r="G1433" s="46" t="str">
        <f>VLOOKUP(F1433,[4]在职!$A:$B,2,0)</f>
        <v>01610</v>
      </c>
      <c r="H1433" s="46" t="str">
        <f>VLOOKUP(F1433,[4]在职!$A:$I,9,0)</f>
        <v>实习销售</v>
      </c>
      <c r="I1433" s="46" t="s">
        <v>907</v>
      </c>
      <c r="J1433" s="83">
        <v>46106</v>
      </c>
      <c r="K1433" s="46" t="s">
        <v>1324</v>
      </c>
      <c r="L1433" s="83" t="s">
        <v>25</v>
      </c>
    </row>
    <row r="1434" ht="16.5" spans="1:12">
      <c r="A1434" s="46">
        <v>1432</v>
      </c>
      <c r="B1434" s="46" t="s">
        <v>45</v>
      </c>
      <c r="C1434" s="46" t="str">
        <f>VLOOKUP(F1434,[4]在职!$A:$E,5,0)</f>
        <v>河南</v>
      </c>
      <c r="D1434" s="46" t="str">
        <f>VLOOKUP(F1434,[4]在职!$A:$G,7,0)</f>
        <v>河南销售部</v>
      </c>
      <c r="E1434" s="46" t="str">
        <f>VLOOKUP(F1434,[4]在职!$A:$M,13,0)</f>
        <v>余金梅</v>
      </c>
      <c r="F1434" s="46" t="s">
        <v>1205</v>
      </c>
      <c r="G1434" s="46" t="str">
        <f>VLOOKUP(F1434,[4]在职!$A:$B,2,0)</f>
        <v>01870</v>
      </c>
      <c r="H1434" s="46" t="str">
        <f>VLOOKUP(F1434,[4]在职!$A:$I,9,0)</f>
        <v>实习销售</v>
      </c>
      <c r="I1434" s="46" t="s">
        <v>915</v>
      </c>
      <c r="J1434" s="83">
        <v>46106</v>
      </c>
      <c r="K1434" s="46" t="s">
        <v>1324</v>
      </c>
      <c r="L1434" s="83" t="s">
        <v>25</v>
      </c>
    </row>
    <row r="1435" ht="16.5" spans="1:12">
      <c r="A1435" s="46">
        <v>1433</v>
      </c>
      <c r="B1435" s="46" t="s">
        <v>45</v>
      </c>
      <c r="C1435" s="46" t="str">
        <f>VLOOKUP(F1435,[4]在职!$A:$E,5,0)</f>
        <v>湖北</v>
      </c>
      <c r="D1435" s="46" t="str">
        <f>VLOOKUP(F1435,[4]在职!$A:$G,7,0)</f>
        <v>湖北1部</v>
      </c>
      <c r="E1435" s="46" t="str">
        <f>VLOOKUP(F1435,[4]在职!$A:$M,13,0)</f>
        <v>黄俊</v>
      </c>
      <c r="F1435" s="46" t="s">
        <v>1507</v>
      </c>
      <c r="G1435" s="46" t="str">
        <f>VLOOKUP(F1435,[4]在职!$A:$B,2,0)</f>
        <v>01944</v>
      </c>
      <c r="H1435" s="46" t="str">
        <f>VLOOKUP(F1435,[4]在职!$A:$I,9,0)</f>
        <v>实习销售</v>
      </c>
      <c r="I1435" s="46" t="s">
        <v>907</v>
      </c>
      <c r="J1435" s="83">
        <v>46106</v>
      </c>
      <c r="K1435" s="46" t="s">
        <v>1324</v>
      </c>
      <c r="L1435" s="83" t="s">
        <v>25</v>
      </c>
    </row>
    <row r="1436" ht="16.5" spans="1:12">
      <c r="A1436" s="46">
        <v>1434</v>
      </c>
      <c r="B1436" s="46" t="s">
        <v>45</v>
      </c>
      <c r="C1436" s="46" t="str">
        <f>VLOOKUP(F1436,[4]在职!$A:$E,5,0)</f>
        <v>湖北</v>
      </c>
      <c r="D1436" s="46" t="str">
        <f>VLOOKUP(F1436,[4]在职!$A:$G,7,0)</f>
        <v>湖北2部</v>
      </c>
      <c r="E1436" s="46" t="str">
        <f>VLOOKUP(F1436,[4]在职!$A:$M,13,0)</f>
        <v>马超</v>
      </c>
      <c r="F1436" s="46" t="s">
        <v>1508</v>
      </c>
      <c r="G1436" s="46" t="str">
        <f>VLOOKUP(F1436,[4]在职!$A:$B,2,0)</f>
        <v>01942</v>
      </c>
      <c r="H1436" s="46" t="str">
        <f>VLOOKUP(F1436,[4]在职!$A:$I,9,0)</f>
        <v>实习销售</v>
      </c>
      <c r="I1436" s="46" t="s">
        <v>915</v>
      </c>
      <c r="J1436" s="83">
        <v>46106</v>
      </c>
      <c r="K1436" s="46" t="s">
        <v>1324</v>
      </c>
      <c r="L1436" s="83" t="s">
        <v>25</v>
      </c>
    </row>
    <row r="1437" ht="16.5" spans="1:12">
      <c r="A1437" s="46">
        <v>1435</v>
      </c>
      <c r="B1437" s="46" t="s">
        <v>45</v>
      </c>
      <c r="C1437" s="46" t="str">
        <f>VLOOKUP(F1437,[4]在职!$A:$E,5,0)</f>
        <v>湖北</v>
      </c>
      <c r="D1437" s="46" t="str">
        <f>VLOOKUP(F1437,[4]在职!$A:$G,7,0)</f>
        <v>湖北1部</v>
      </c>
      <c r="E1437" s="46" t="str">
        <f>VLOOKUP(F1437,[4]在职!$A:$M,13,0)</f>
        <v>秦娅玲</v>
      </c>
      <c r="F1437" s="46" t="s">
        <v>1509</v>
      </c>
      <c r="G1437" s="46" t="str">
        <f>VLOOKUP(F1437,[4]在职!$A:$B,2,0)</f>
        <v>01946</v>
      </c>
      <c r="H1437" s="46" t="str">
        <f>VLOOKUP(F1437,[4]在职!$A:$I,9,0)</f>
        <v>实习销售</v>
      </c>
      <c r="I1437" s="46" t="s">
        <v>915</v>
      </c>
      <c r="J1437" s="83">
        <v>46106</v>
      </c>
      <c r="K1437" s="46" t="s">
        <v>1324</v>
      </c>
      <c r="L1437" s="83" t="s">
        <v>25</v>
      </c>
    </row>
    <row r="1438" ht="16.5" spans="1:12">
      <c r="A1438" s="46">
        <v>1436</v>
      </c>
      <c r="B1438" s="46" t="s">
        <v>45</v>
      </c>
      <c r="C1438" s="46" t="str">
        <f>VLOOKUP(F1438,[4]在职!$A:$E,5,0)</f>
        <v>湖北</v>
      </c>
      <c r="D1438" s="46" t="str">
        <f>VLOOKUP(F1438,[4]在职!$A:$G,7,0)</f>
        <v>湖北1部</v>
      </c>
      <c r="E1438" s="46" t="str">
        <f>VLOOKUP(F1438,[4]在职!$A:$M,13,0)</f>
        <v>张宗铭</v>
      </c>
      <c r="F1438" s="46" t="s">
        <v>1510</v>
      </c>
      <c r="G1438" s="46" t="str">
        <f>VLOOKUP(F1438,[4]在职!$A:$B,2,0)</f>
        <v>01977</v>
      </c>
      <c r="H1438" s="46" t="str">
        <f>VLOOKUP(F1438,[4]在职!$A:$I,9,0)</f>
        <v>实习销售</v>
      </c>
      <c r="I1438" s="46" t="s">
        <v>915</v>
      </c>
      <c r="J1438" s="83">
        <v>46106</v>
      </c>
      <c r="K1438" s="46" t="s">
        <v>1324</v>
      </c>
      <c r="L1438" s="83" t="s">
        <v>25</v>
      </c>
    </row>
    <row r="1439" ht="16.5" spans="1:12">
      <c r="A1439" s="46">
        <v>1437</v>
      </c>
      <c r="B1439" s="46" t="s">
        <v>45</v>
      </c>
      <c r="C1439" s="46" t="str">
        <f>VLOOKUP(F1439,[4]在职!$A:$E,5,0)</f>
        <v>湖南</v>
      </c>
      <c r="D1439" s="46" t="str">
        <f>VLOOKUP(F1439,[4]在职!$A:$G,7,0)</f>
        <v>湖南销售部</v>
      </c>
      <c r="E1439" s="46" t="str">
        <f>VLOOKUP(F1439,[4]在职!$A:$M,13,0)</f>
        <v>扈岭楠</v>
      </c>
      <c r="F1439" s="46" t="s">
        <v>1511</v>
      </c>
      <c r="G1439" s="46" t="str">
        <f>VLOOKUP(F1439,[4]在职!$A:$B,2,0)</f>
        <v>01926</v>
      </c>
      <c r="H1439" s="46" t="str">
        <f>VLOOKUP(F1439,[4]在职!$A:$I,9,0)</f>
        <v>实习销售</v>
      </c>
      <c r="I1439" s="46" t="s">
        <v>915</v>
      </c>
      <c r="J1439" s="83">
        <v>46106</v>
      </c>
      <c r="K1439" s="46" t="s">
        <v>1324</v>
      </c>
      <c r="L1439" s="83" t="s">
        <v>25</v>
      </c>
    </row>
    <row r="1440" ht="16.5" spans="1:12">
      <c r="A1440" s="46">
        <v>1438</v>
      </c>
      <c r="B1440" s="46" t="s">
        <v>45</v>
      </c>
      <c r="C1440" s="46" t="str">
        <f>VLOOKUP(F1440,[4]在职!$A:$E,5,0)</f>
        <v>湖南</v>
      </c>
      <c r="D1440" s="46" t="str">
        <f>VLOOKUP(F1440,[4]在职!$A:$G,7,0)</f>
        <v>湖南销售部</v>
      </c>
      <c r="E1440" s="46" t="str">
        <f>VLOOKUP(F1440,[4]在职!$A:$M,13,0)</f>
        <v>刘元发</v>
      </c>
      <c r="F1440" s="46" t="s">
        <v>1261</v>
      </c>
      <c r="G1440" s="46" t="str">
        <f>VLOOKUP(F1440,[4]在职!$A:$B,2,0)</f>
        <v>01907</v>
      </c>
      <c r="H1440" s="46" t="str">
        <f>VLOOKUP(F1440,[4]在职!$A:$I,9,0)</f>
        <v>实习销售</v>
      </c>
      <c r="I1440" s="46" t="s">
        <v>915</v>
      </c>
      <c r="J1440" s="83">
        <v>46106</v>
      </c>
      <c r="K1440" s="46" t="s">
        <v>1324</v>
      </c>
      <c r="L1440" s="83" t="s">
        <v>25</v>
      </c>
    </row>
    <row r="1441" ht="16.5" spans="1:12">
      <c r="A1441" s="46">
        <v>1439</v>
      </c>
      <c r="B1441" s="46" t="s">
        <v>45</v>
      </c>
      <c r="C1441" s="46" t="str">
        <f>VLOOKUP(F1441,[4]在职!$A:$E,5,0)</f>
        <v>湖南</v>
      </c>
      <c r="D1441" s="46" t="str">
        <f>VLOOKUP(F1441,[4]在职!$A:$G,7,0)</f>
        <v>湖南销售部</v>
      </c>
      <c r="E1441" s="46" t="str">
        <f>VLOOKUP(F1441,[4]在职!$A:$M,13,0)</f>
        <v>杨超群</v>
      </c>
      <c r="F1441" s="46" t="s">
        <v>1259</v>
      </c>
      <c r="G1441" s="46" t="str">
        <f>VLOOKUP(F1441,[4]在职!$A:$B,2,0)</f>
        <v>01873</v>
      </c>
      <c r="H1441" s="46" t="str">
        <f>VLOOKUP(F1441,[4]在职!$A:$I,9,0)</f>
        <v>实习销售</v>
      </c>
      <c r="I1441" s="46" t="s">
        <v>915</v>
      </c>
      <c r="J1441" s="83">
        <v>46106</v>
      </c>
      <c r="K1441" s="46" t="s">
        <v>1324</v>
      </c>
      <c r="L1441" s="83" t="s">
        <v>25</v>
      </c>
    </row>
    <row r="1442" ht="16.5" spans="1:12">
      <c r="A1442" s="46">
        <v>1440</v>
      </c>
      <c r="B1442" s="46" t="s">
        <v>45</v>
      </c>
      <c r="C1442" s="46" t="str">
        <f>VLOOKUP(F1442,[4]在职!$A:$E,5,0)</f>
        <v>湖南</v>
      </c>
      <c r="D1442" s="46" t="str">
        <f>VLOOKUP(F1442,[4]在职!$A:$G,7,0)</f>
        <v>湖南销售部</v>
      </c>
      <c r="E1442" s="46" t="str">
        <f>VLOOKUP(F1442,[4]在职!$A:$M,13,0)</f>
        <v>庄素芳</v>
      </c>
      <c r="F1442" s="46" t="s">
        <v>1512</v>
      </c>
      <c r="G1442" s="46" t="str">
        <f>VLOOKUP(F1442,[4]在职!$A:$B,2,0)</f>
        <v>01920</v>
      </c>
      <c r="H1442" s="46" t="str">
        <f>VLOOKUP(F1442,[4]在职!$A:$I,9,0)</f>
        <v>实习销售</v>
      </c>
      <c r="I1442" s="46" t="s">
        <v>915</v>
      </c>
      <c r="J1442" s="83">
        <v>46106</v>
      </c>
      <c r="K1442" s="46" t="s">
        <v>1324</v>
      </c>
      <c r="L1442" s="83" t="s">
        <v>25</v>
      </c>
    </row>
    <row r="1443" ht="16.5" spans="1:12">
      <c r="A1443" s="46">
        <v>1441</v>
      </c>
      <c r="B1443" s="46" t="s">
        <v>45</v>
      </c>
      <c r="C1443" s="46" t="str">
        <f>VLOOKUP(F1443,[4]在职!$A:$E,5,0)</f>
        <v>辽宁</v>
      </c>
      <c r="D1443" s="46" t="str">
        <f>VLOOKUP(F1443,[4]在职!$A:$G,7,0)</f>
        <v>辽宁销售部</v>
      </c>
      <c r="E1443" s="46" t="str">
        <f>VLOOKUP(F1443,[4]在职!$A:$M,13,0)</f>
        <v>孙科</v>
      </c>
      <c r="F1443" s="46" t="s">
        <v>1513</v>
      </c>
      <c r="G1443" s="46" t="str">
        <f>VLOOKUP(F1443,[4]在职!$A:$B,2,0)</f>
        <v>01961</v>
      </c>
      <c r="H1443" s="46" t="str">
        <f>VLOOKUP(F1443,[4]在职!$A:$I,9,0)</f>
        <v>实习销售</v>
      </c>
      <c r="I1443" s="46" t="s">
        <v>915</v>
      </c>
      <c r="J1443" s="83">
        <v>46106</v>
      </c>
      <c r="K1443" s="46" t="s">
        <v>1324</v>
      </c>
      <c r="L1443" s="83" t="s">
        <v>25</v>
      </c>
    </row>
    <row r="1444" ht="16.5" spans="1:12">
      <c r="A1444" s="46">
        <v>1442</v>
      </c>
      <c r="B1444" s="46" t="s">
        <v>45</v>
      </c>
      <c r="C1444" s="46" t="str">
        <f>VLOOKUP(F1444,[4]在职!$A:$E,5,0)</f>
        <v>辽宁</v>
      </c>
      <c r="D1444" s="46" t="str">
        <f>VLOOKUP(F1444,[4]在职!$A:$G,7,0)</f>
        <v>辽宁销售部</v>
      </c>
      <c r="E1444" s="46" t="str">
        <f>VLOOKUP(F1444,[4]在职!$A:$M,13,0)</f>
        <v>孙科</v>
      </c>
      <c r="F1444" s="46" t="s">
        <v>1514</v>
      </c>
      <c r="G1444" s="46" t="str">
        <f>VLOOKUP(F1444,[4]在职!$A:$B,2,0)</f>
        <v>01925</v>
      </c>
      <c r="H1444" s="46" t="str">
        <f>VLOOKUP(F1444,[4]在职!$A:$I,9,0)</f>
        <v>实习销售</v>
      </c>
      <c r="I1444" s="46" t="s">
        <v>915</v>
      </c>
      <c r="J1444" s="83">
        <v>46106</v>
      </c>
      <c r="K1444" s="46" t="s">
        <v>1324</v>
      </c>
      <c r="L1444" s="83" t="s">
        <v>25</v>
      </c>
    </row>
    <row r="1445" ht="16.5" spans="1:12">
      <c r="A1445" s="46">
        <v>1443</v>
      </c>
      <c r="B1445" s="46" t="s">
        <v>45</v>
      </c>
      <c r="C1445" s="46" t="str">
        <f>VLOOKUP(F1445,[4]在职!$A:$E,5,0)</f>
        <v>山东</v>
      </c>
      <c r="D1445" s="46" t="str">
        <f>VLOOKUP(F1445,[4]在职!$A:$G,7,0)</f>
        <v>山东销售部</v>
      </c>
      <c r="E1445" s="46" t="str">
        <f>VLOOKUP(F1445,[4]在职!$A:$M,13,0)</f>
        <v>赵文涛</v>
      </c>
      <c r="F1445" s="46" t="s">
        <v>1515</v>
      </c>
      <c r="G1445" s="46" t="str">
        <f>VLOOKUP(F1445,[4]在职!$A:$B,2,0)</f>
        <v>01936</v>
      </c>
      <c r="H1445" s="46" t="str">
        <f>VLOOKUP(F1445,[4]在职!$A:$I,9,0)</f>
        <v>实习销售</v>
      </c>
      <c r="I1445" s="46" t="s">
        <v>915</v>
      </c>
      <c r="J1445" s="83">
        <v>46106</v>
      </c>
      <c r="K1445" s="46" t="s">
        <v>1324</v>
      </c>
      <c r="L1445" s="83" t="s">
        <v>25</v>
      </c>
    </row>
    <row r="1446" ht="16.5" spans="1:12">
      <c r="A1446" s="46">
        <v>1444</v>
      </c>
      <c r="B1446" s="46" t="s">
        <v>45</v>
      </c>
      <c r="C1446" s="46" t="str">
        <f>VLOOKUP(F1446,[4]在职!$A:$E,5,0)</f>
        <v>山东</v>
      </c>
      <c r="D1446" s="46" t="str">
        <f>VLOOKUP(F1446,[4]在职!$A:$G,7,0)</f>
        <v>山东销售部</v>
      </c>
      <c r="E1446" s="46" t="str">
        <f>VLOOKUP(F1446,[4]在职!$A:$M,13,0)</f>
        <v>周涛</v>
      </c>
      <c r="F1446" s="46" t="s">
        <v>1516</v>
      </c>
      <c r="G1446" s="46" t="str">
        <f>VLOOKUP(F1446,[4]在职!$A:$B,2,0)</f>
        <v>01947</v>
      </c>
      <c r="H1446" s="46" t="str">
        <f>VLOOKUP(F1446,[4]在职!$A:$I,9,0)</f>
        <v>实习销售</v>
      </c>
      <c r="I1446" s="46" t="s">
        <v>915</v>
      </c>
      <c r="J1446" s="83">
        <v>46106</v>
      </c>
      <c r="K1446" s="46" t="s">
        <v>1324</v>
      </c>
      <c r="L1446" s="83" t="s">
        <v>25</v>
      </c>
    </row>
    <row r="1447" ht="16.5" spans="1:12">
      <c r="A1447" s="46">
        <v>1445</v>
      </c>
      <c r="B1447" s="46" t="s">
        <v>45</v>
      </c>
      <c r="C1447" s="46" t="str">
        <f>VLOOKUP(F1447,[4]在职!$A:$E,5,0)</f>
        <v>陕西</v>
      </c>
      <c r="D1447" s="46" t="str">
        <f>VLOOKUP(F1447,[4]在职!$A:$G,7,0)</f>
        <v>陕西1部</v>
      </c>
      <c r="E1447" s="46" t="str">
        <f>VLOOKUP(F1447,[4]在职!$A:$M,13,0)</f>
        <v>吕瑞仙</v>
      </c>
      <c r="F1447" s="46" t="s">
        <v>1517</v>
      </c>
      <c r="G1447" s="46" t="str">
        <f>VLOOKUP(F1447,[4]在职!$A:$B,2,0)</f>
        <v>01973</v>
      </c>
      <c r="H1447" s="46" t="str">
        <f>VLOOKUP(F1447,[4]在职!$A:$I,9,0)</f>
        <v>实习销售</v>
      </c>
      <c r="I1447" s="46" t="s">
        <v>915</v>
      </c>
      <c r="J1447" s="83">
        <v>46106</v>
      </c>
      <c r="K1447" s="46" t="s">
        <v>1324</v>
      </c>
      <c r="L1447" s="83" t="s">
        <v>25</v>
      </c>
    </row>
    <row r="1448" ht="16.5" spans="1:12">
      <c r="A1448" s="46">
        <v>1446</v>
      </c>
      <c r="B1448" s="46" t="s">
        <v>45</v>
      </c>
      <c r="C1448" s="46" t="str">
        <f>VLOOKUP(F1448,[4]在职!$A:$E,5,0)</f>
        <v>陕西</v>
      </c>
      <c r="D1448" s="46" t="str">
        <f>VLOOKUP(F1448,[4]在职!$A:$G,7,0)</f>
        <v>陕西2部</v>
      </c>
      <c r="E1448" s="46" t="str">
        <f>VLOOKUP(F1448,[4]在职!$A:$M,13,0)</f>
        <v>乔磊</v>
      </c>
      <c r="F1448" s="46" t="s">
        <v>1518</v>
      </c>
      <c r="G1448" s="46" t="str">
        <f>VLOOKUP(F1448,[4]在职!$A:$B,2,0)</f>
        <v>01930</v>
      </c>
      <c r="H1448" s="46" t="str">
        <f>VLOOKUP(F1448,[4]在职!$A:$I,9,0)</f>
        <v>实习销售</v>
      </c>
      <c r="I1448" s="46" t="s">
        <v>915</v>
      </c>
      <c r="J1448" s="83">
        <v>46106</v>
      </c>
      <c r="K1448" s="46" t="s">
        <v>1324</v>
      </c>
      <c r="L1448" s="83" t="s">
        <v>25</v>
      </c>
    </row>
    <row r="1449" ht="16.5" spans="1:12">
      <c r="A1449" s="46">
        <v>1447</v>
      </c>
      <c r="B1449" s="46" t="s">
        <v>45</v>
      </c>
      <c r="C1449" s="46" t="str">
        <f>VLOOKUP(F1449,[4]在职!$A:$E,5,0)</f>
        <v>陕西</v>
      </c>
      <c r="D1449" s="46" t="str">
        <f>VLOOKUP(F1449,[4]在职!$A:$G,7,0)</f>
        <v>陕西2部</v>
      </c>
      <c r="E1449" s="46" t="str">
        <f>VLOOKUP(F1449,[4]在职!$A:$M,13,0)</f>
        <v>王超2</v>
      </c>
      <c r="F1449" s="46" t="s">
        <v>1519</v>
      </c>
      <c r="G1449" s="46" t="str">
        <f>VLOOKUP(F1449,[4]在职!$A:$B,2,0)</f>
        <v>01943</v>
      </c>
      <c r="H1449" s="46" t="str">
        <f>VLOOKUP(F1449,[4]在职!$A:$I,9,0)</f>
        <v>实习销售</v>
      </c>
      <c r="I1449" s="46" t="s">
        <v>915</v>
      </c>
      <c r="J1449" s="83">
        <v>46106</v>
      </c>
      <c r="K1449" s="46" t="s">
        <v>1324</v>
      </c>
      <c r="L1449" s="83" t="s">
        <v>25</v>
      </c>
    </row>
    <row r="1450" ht="16.5" spans="1:12">
      <c r="A1450" s="46">
        <v>1448</v>
      </c>
      <c r="B1450" s="46" t="s">
        <v>45</v>
      </c>
      <c r="C1450" s="46" t="str">
        <f>VLOOKUP(F1450,[4]在职!$A:$E,5,0)</f>
        <v>陕西</v>
      </c>
      <c r="D1450" s="46" t="str">
        <f>VLOOKUP(F1450,[4]在职!$A:$G,7,0)</f>
        <v>陕西1部</v>
      </c>
      <c r="E1450" s="46" t="str">
        <f>VLOOKUP(F1450,[4]在职!$A:$M,13,0)</f>
        <v>叶湑</v>
      </c>
      <c r="F1450" s="46" t="s">
        <v>1520</v>
      </c>
      <c r="G1450" s="46" t="str">
        <f>VLOOKUP(F1450,[4]在职!$A:$B,2,0)</f>
        <v>01955</v>
      </c>
      <c r="H1450" s="46" t="str">
        <f>VLOOKUP(F1450,[4]在职!$A:$I,9,0)</f>
        <v>实习销售</v>
      </c>
      <c r="I1450" s="46" t="s">
        <v>915</v>
      </c>
      <c r="J1450" s="83">
        <v>46106</v>
      </c>
      <c r="K1450" s="46" t="s">
        <v>1324</v>
      </c>
      <c r="L1450" s="83" t="s">
        <v>25</v>
      </c>
    </row>
    <row r="1451" ht="16.5" spans="1:12">
      <c r="A1451" s="46">
        <v>1449</v>
      </c>
      <c r="B1451" s="46" t="s">
        <v>45</v>
      </c>
      <c r="C1451" s="46" t="str">
        <f>VLOOKUP(F1451,[4]在职!$A:$E,5,0)</f>
        <v>陕西</v>
      </c>
      <c r="D1451" s="46" t="str">
        <f>VLOOKUP(F1451,[4]在职!$A:$G,7,0)</f>
        <v>陕西2部</v>
      </c>
      <c r="E1451" s="46" t="str">
        <f>VLOOKUP(F1451,[4]在职!$A:$M,13,0)</f>
        <v>朱全兰</v>
      </c>
      <c r="F1451" s="46" t="s">
        <v>1521</v>
      </c>
      <c r="G1451" s="46" t="str">
        <f>VLOOKUP(F1451,[4]在职!$A:$B,2,0)</f>
        <v>01932</v>
      </c>
      <c r="H1451" s="46" t="str">
        <f>VLOOKUP(F1451,[4]在职!$A:$I,9,0)</f>
        <v>实习销售</v>
      </c>
      <c r="I1451" s="46" t="s">
        <v>915</v>
      </c>
      <c r="J1451" s="83">
        <v>46106</v>
      </c>
      <c r="K1451" s="46" t="s">
        <v>1324</v>
      </c>
      <c r="L1451" s="83" t="s">
        <v>25</v>
      </c>
    </row>
    <row r="1452" ht="16.5" spans="1:12">
      <c r="A1452" s="46">
        <v>1450</v>
      </c>
      <c r="B1452" s="46" t="s">
        <v>45</v>
      </c>
      <c r="C1452" s="46" t="str">
        <f>VLOOKUP(F1452,[4]在职!$A:$E,5,0)</f>
        <v>西南总部</v>
      </c>
      <c r="D1452" s="46" t="str">
        <f>VLOOKUP(F1452,[4]在职!$A:$G,7,0)</f>
        <v>营业一部</v>
      </c>
      <c r="E1452" s="46" t="str">
        <f>VLOOKUP(F1452,[4]在职!$A:$M,13,0)</f>
        <v>白世根</v>
      </c>
      <c r="F1452" s="46" t="s">
        <v>1522</v>
      </c>
      <c r="G1452" s="46" t="str">
        <f>VLOOKUP(F1452,[4]在职!$A:$B,2,0)</f>
        <v>01978</v>
      </c>
      <c r="H1452" s="46" t="str">
        <f>VLOOKUP(F1452,[4]在职!$A:$I,9,0)</f>
        <v>实习销售</v>
      </c>
      <c r="I1452" s="46" t="s">
        <v>915</v>
      </c>
      <c r="J1452" s="83">
        <v>46106</v>
      </c>
      <c r="K1452" s="46" t="s">
        <v>1324</v>
      </c>
      <c r="L1452" s="83" t="s">
        <v>25</v>
      </c>
    </row>
    <row r="1453" ht="16.5" spans="1:12">
      <c r="A1453" s="46">
        <v>1451</v>
      </c>
      <c r="B1453" s="46" t="s">
        <v>45</v>
      </c>
      <c r="C1453" s="46" t="str">
        <f>VLOOKUP(F1453,[4]在职!$A:$E,5,0)</f>
        <v>西南总部</v>
      </c>
      <c r="D1453" s="46" t="str">
        <f>VLOOKUP(F1453,[4]在职!$A:$G,7,0)</f>
        <v>营业一部</v>
      </c>
      <c r="E1453" s="46" t="str">
        <f>VLOOKUP(F1453,[4]在职!$A:$M,13,0)</f>
        <v>白世根</v>
      </c>
      <c r="F1453" s="46" t="s">
        <v>1523</v>
      </c>
      <c r="G1453" s="46" t="str">
        <f>VLOOKUP(F1453,[4]在职!$A:$B,2,0)</f>
        <v>01963</v>
      </c>
      <c r="H1453" s="46" t="str">
        <f>VLOOKUP(F1453,[4]在职!$A:$I,9,0)</f>
        <v>实习销售</v>
      </c>
      <c r="I1453" s="46" t="s">
        <v>915</v>
      </c>
      <c r="J1453" s="83">
        <v>46106</v>
      </c>
      <c r="K1453" s="46" t="s">
        <v>1324</v>
      </c>
      <c r="L1453" s="83" t="s">
        <v>25</v>
      </c>
    </row>
    <row r="1454" ht="16.5" spans="1:12">
      <c r="A1454" s="46">
        <v>1452</v>
      </c>
      <c r="B1454" s="46" t="s">
        <v>45</v>
      </c>
      <c r="C1454" s="46" t="str">
        <f>VLOOKUP(F1454,[4]在职!$A:$E,5,0)</f>
        <v>西南总部</v>
      </c>
      <c r="D1454" s="46" t="str">
        <f>VLOOKUP(F1454,[4]在职!$A:$G,7,0)</f>
        <v>营业一部</v>
      </c>
      <c r="E1454" s="46" t="str">
        <f>VLOOKUP(F1454,[4]在职!$A:$M,13,0)</f>
        <v>白世根</v>
      </c>
      <c r="F1454" s="46" t="s">
        <v>1524</v>
      </c>
      <c r="G1454" s="46" t="str">
        <f>VLOOKUP(F1454,[4]在职!$A:$B,2,0)</f>
        <v>01964</v>
      </c>
      <c r="H1454" s="46" t="str">
        <f>VLOOKUP(F1454,[4]在职!$A:$I,9,0)</f>
        <v>实习销售</v>
      </c>
      <c r="I1454" s="46" t="s">
        <v>915</v>
      </c>
      <c r="J1454" s="83">
        <v>46106</v>
      </c>
      <c r="K1454" s="46" t="s">
        <v>1324</v>
      </c>
      <c r="L1454" s="83" t="s">
        <v>25</v>
      </c>
    </row>
    <row r="1455" ht="16.5" spans="1:12">
      <c r="A1455" s="46">
        <v>1453</v>
      </c>
      <c r="B1455" s="46" t="s">
        <v>45</v>
      </c>
      <c r="C1455" s="46" t="str">
        <f>VLOOKUP(F1455,[4]在职!$A:$E,5,0)</f>
        <v>西南总部</v>
      </c>
      <c r="D1455" s="46" t="str">
        <f>VLOOKUP(F1455,[4]在职!$A:$G,7,0)</f>
        <v>营业一部</v>
      </c>
      <c r="E1455" s="46" t="str">
        <f>VLOOKUP(F1455,[4]在职!$A:$M,13,0)</f>
        <v>白世根</v>
      </c>
      <c r="F1455" s="46" t="s">
        <v>1525</v>
      </c>
      <c r="G1455" s="46" t="str">
        <f>VLOOKUP(F1455,[4]在职!$A:$B,2,0)</f>
        <v>01929</v>
      </c>
      <c r="H1455" s="46" t="str">
        <f>VLOOKUP(F1455,[4]在职!$A:$I,9,0)</f>
        <v>实习销售</v>
      </c>
      <c r="I1455" s="46" t="s">
        <v>915</v>
      </c>
      <c r="J1455" s="83">
        <v>46106</v>
      </c>
      <c r="K1455" s="46" t="s">
        <v>1324</v>
      </c>
      <c r="L1455" s="83" t="s">
        <v>25</v>
      </c>
    </row>
    <row r="1456" ht="16.5" spans="1:12">
      <c r="A1456" s="46">
        <v>1454</v>
      </c>
      <c r="B1456" s="46" t="s">
        <v>45</v>
      </c>
      <c r="C1456" s="46" t="str">
        <f>VLOOKUP(F1456,[4]在职!$A:$E,5,0)</f>
        <v>西南总部</v>
      </c>
      <c r="D1456" s="46" t="str">
        <f>VLOOKUP(F1456,[4]在职!$A:$G,7,0)</f>
        <v>营业一部</v>
      </c>
      <c r="E1456" s="46" t="str">
        <f>VLOOKUP(F1456,[4]在职!$A:$M,13,0)</f>
        <v>白世根</v>
      </c>
      <c r="F1456" s="46" t="s">
        <v>1437</v>
      </c>
      <c r="G1456" s="46" t="str">
        <f>VLOOKUP(F1456,[4]在职!$A:$B,2,0)</f>
        <v>01753</v>
      </c>
      <c r="H1456" s="46" t="str">
        <f>VLOOKUP(F1456,[4]在职!$A:$I,9,0)</f>
        <v>一星销售顾问</v>
      </c>
      <c r="I1456" s="46" t="s">
        <v>915</v>
      </c>
      <c r="J1456" s="83">
        <v>46106</v>
      </c>
      <c r="K1456" s="46" t="s">
        <v>1324</v>
      </c>
      <c r="L1456" s="83" t="s">
        <v>25</v>
      </c>
    </row>
    <row r="1457" ht="16.5" spans="1:12">
      <c r="A1457" s="46">
        <v>1455</v>
      </c>
      <c r="B1457" s="46" t="s">
        <v>45</v>
      </c>
      <c r="C1457" s="46" t="str">
        <f>VLOOKUP(F1457,[4]在职!$A:$E,5,0)</f>
        <v>西南总部</v>
      </c>
      <c r="D1457" s="46" t="str">
        <f>VLOOKUP(F1457,[4]在职!$A:$G,7,0)</f>
        <v>营业一部</v>
      </c>
      <c r="E1457" s="46" t="str">
        <f>VLOOKUP(F1457,[4]在职!$A:$M,13,0)</f>
        <v>白世根</v>
      </c>
      <c r="F1457" s="46" t="s">
        <v>1321</v>
      </c>
      <c r="G1457" s="46" t="str">
        <f>VLOOKUP(F1457,[4]在职!$A:$B,2,0)</f>
        <v>01821</v>
      </c>
      <c r="H1457" s="46" t="str">
        <f>VLOOKUP(F1457,[4]在职!$A:$I,9,0)</f>
        <v>一星销售顾问</v>
      </c>
      <c r="I1457" s="46" t="s">
        <v>915</v>
      </c>
      <c r="J1457" s="83">
        <v>46106</v>
      </c>
      <c r="K1457" s="46" t="s">
        <v>1324</v>
      </c>
      <c r="L1457" s="83" t="s">
        <v>25</v>
      </c>
    </row>
    <row r="1458" ht="16.5" spans="1:12">
      <c r="A1458" s="46">
        <v>1456</v>
      </c>
      <c r="B1458" s="46" t="s">
        <v>45</v>
      </c>
      <c r="C1458" s="46" t="str">
        <f>VLOOKUP(F1458,[4]在职!$A:$E,5,0)</f>
        <v>西南总部</v>
      </c>
      <c r="D1458" s="46" t="str">
        <f>VLOOKUP(F1458,[4]在职!$A:$G,7,0)</f>
        <v>营业一部</v>
      </c>
      <c r="E1458" s="46" t="str">
        <f>VLOOKUP(F1458,[4]在职!$A:$M,13,0)</f>
        <v>白世根</v>
      </c>
      <c r="F1458" s="46" t="s">
        <v>1436</v>
      </c>
      <c r="G1458" s="46" t="str">
        <f>VLOOKUP(F1458,[4]在职!$A:$B,2,0)</f>
        <v>01763</v>
      </c>
      <c r="H1458" s="46" t="str">
        <f>VLOOKUP(F1458,[4]在职!$A:$I,9,0)</f>
        <v>一星销售顾问</v>
      </c>
      <c r="I1458" s="46" t="s">
        <v>915</v>
      </c>
      <c r="J1458" s="83">
        <v>46106</v>
      </c>
      <c r="K1458" s="46" t="s">
        <v>1324</v>
      </c>
      <c r="L1458" s="83" t="s">
        <v>25</v>
      </c>
    </row>
    <row r="1459" ht="16.5" spans="1:12">
      <c r="A1459" s="46">
        <v>1457</v>
      </c>
      <c r="B1459" s="46" t="s">
        <v>45</v>
      </c>
      <c r="C1459" s="46" t="str">
        <f>VLOOKUP(F1459,[4]在职!$A:$E,5,0)</f>
        <v>西南总部</v>
      </c>
      <c r="D1459" s="46" t="str">
        <f>VLOOKUP(F1459,[4]在职!$A:$G,7,0)</f>
        <v>营业六部</v>
      </c>
      <c r="E1459" s="46" t="str">
        <f>VLOOKUP(F1459,[4]在职!$A:$M,13,0)</f>
        <v>韩颖</v>
      </c>
      <c r="F1459" s="46" t="s">
        <v>1293</v>
      </c>
      <c r="G1459" s="46" t="str">
        <f>VLOOKUP(F1459,[4]在职!$A:$B,2,0)</f>
        <v>01901</v>
      </c>
      <c r="H1459" s="46" t="str">
        <f>VLOOKUP(F1459,[4]在职!$A:$I,9,0)</f>
        <v>实习销售</v>
      </c>
      <c r="I1459" s="46" t="s">
        <v>915</v>
      </c>
      <c r="J1459" s="83">
        <v>46106</v>
      </c>
      <c r="K1459" s="46" t="s">
        <v>1324</v>
      </c>
      <c r="L1459" s="83" t="s">
        <v>25</v>
      </c>
    </row>
    <row r="1460" ht="16.5" spans="1:12">
      <c r="A1460" s="46">
        <v>1458</v>
      </c>
      <c r="B1460" s="46" t="s">
        <v>45</v>
      </c>
      <c r="C1460" s="46" t="str">
        <f>VLOOKUP(F1460,[4]在职!$A:$E,5,0)</f>
        <v>西南总部</v>
      </c>
      <c r="D1460" s="46" t="str">
        <f>VLOOKUP(F1460,[4]在职!$A:$G,7,0)</f>
        <v>营业六部</v>
      </c>
      <c r="E1460" s="46" t="str">
        <f>VLOOKUP(F1460,[4]在职!$A:$M,13,0)</f>
        <v>韩颖</v>
      </c>
      <c r="F1460" s="46" t="s">
        <v>1295</v>
      </c>
      <c r="G1460" s="46" t="str">
        <f>VLOOKUP(F1460,[4]在职!$A:$B,2,0)</f>
        <v>01792</v>
      </c>
      <c r="H1460" s="46" t="str">
        <f>VLOOKUP(F1460,[4]在职!$A:$I,9,0)</f>
        <v>实习销售</v>
      </c>
      <c r="I1460" s="46" t="s">
        <v>915</v>
      </c>
      <c r="J1460" s="83">
        <v>46106</v>
      </c>
      <c r="K1460" s="46" t="s">
        <v>1324</v>
      </c>
      <c r="L1460" s="83" t="s">
        <v>25</v>
      </c>
    </row>
    <row r="1461" ht="16.5" spans="1:12">
      <c r="A1461" s="46">
        <v>1459</v>
      </c>
      <c r="B1461" s="46" t="s">
        <v>45</v>
      </c>
      <c r="C1461" s="46" t="str">
        <f>VLOOKUP(F1461,[4]在职!$A:$E,5,0)</f>
        <v>西南总部</v>
      </c>
      <c r="D1461" s="46" t="str">
        <f>VLOOKUP(F1461,[4]在职!$A:$G,7,0)</f>
        <v>营业一部</v>
      </c>
      <c r="E1461" s="46" t="str">
        <f>VLOOKUP(F1461,[4]在职!$A:$M,13,0)</f>
        <v>胡雪梅</v>
      </c>
      <c r="F1461" s="46" t="s">
        <v>1526</v>
      </c>
      <c r="G1461" s="46" t="str">
        <f>VLOOKUP(F1461,[4]在职!$A:$B,2,0)</f>
        <v>01966</v>
      </c>
      <c r="H1461" s="46" t="str">
        <f>VLOOKUP(F1461,[4]在职!$A:$I,9,0)</f>
        <v>实习销售</v>
      </c>
      <c r="I1461" s="46" t="s">
        <v>915</v>
      </c>
      <c r="J1461" s="83">
        <v>46106</v>
      </c>
      <c r="K1461" s="46" t="s">
        <v>1324</v>
      </c>
      <c r="L1461" s="83" t="s">
        <v>25</v>
      </c>
    </row>
    <row r="1462" ht="16.5" spans="1:12">
      <c r="A1462" s="46">
        <v>1460</v>
      </c>
      <c r="B1462" s="46" t="s">
        <v>45</v>
      </c>
      <c r="C1462" s="46" t="str">
        <f>VLOOKUP(F1462,[4]在职!$A:$E,5,0)</f>
        <v>河北</v>
      </c>
      <c r="D1462" s="46" t="str">
        <f>VLOOKUP(F1462,[4]在职!$A:$G,7,0)</f>
        <v>河北销售部</v>
      </c>
      <c r="E1462" s="46" t="str">
        <f>VLOOKUP(F1462,[4]在职!$A:$M,13,0)</f>
        <v>扈岭楠</v>
      </c>
      <c r="F1462" s="46" t="s">
        <v>1283</v>
      </c>
      <c r="G1462" s="46" t="str">
        <f>VLOOKUP(F1462,[4]在职!$A:$B,2,0)</f>
        <v>01880</v>
      </c>
      <c r="H1462" s="46" t="str">
        <f>VLOOKUP(F1462,[4]在职!$A:$I,9,0)</f>
        <v>实习销售</v>
      </c>
      <c r="I1462" s="46" t="s">
        <v>915</v>
      </c>
      <c r="J1462" s="83">
        <v>46106</v>
      </c>
      <c r="K1462" s="46" t="s">
        <v>1324</v>
      </c>
      <c r="L1462" s="83" t="s">
        <v>25</v>
      </c>
    </row>
    <row r="1463" ht="16.5" spans="1:12">
      <c r="A1463" s="46">
        <v>1461</v>
      </c>
      <c r="B1463" s="46" t="s">
        <v>45</v>
      </c>
      <c r="C1463" s="46" t="str">
        <f>VLOOKUP(F1463,[4]在职!$A:$E,5,0)</f>
        <v>河北</v>
      </c>
      <c r="D1463" s="46" t="str">
        <f>VLOOKUP(F1463,[4]在职!$A:$G,7,0)</f>
        <v>河北销售部</v>
      </c>
      <c r="E1463" s="46" t="str">
        <f>VLOOKUP(F1463,[4]在职!$A:$M,13,0)</f>
        <v>扈岭楠</v>
      </c>
      <c r="F1463" s="46" t="s">
        <v>1285</v>
      </c>
      <c r="G1463" s="46" t="str">
        <f>VLOOKUP(F1463,[4]在职!$A:$B,2,0)</f>
        <v>01817</v>
      </c>
      <c r="H1463" s="46" t="str">
        <f>VLOOKUP(F1463,[4]在职!$A:$I,9,0)</f>
        <v>实习销售</v>
      </c>
      <c r="I1463" s="46" t="s">
        <v>915</v>
      </c>
      <c r="J1463" s="83">
        <v>46106</v>
      </c>
      <c r="K1463" s="46" t="s">
        <v>1324</v>
      </c>
      <c r="L1463" s="83" t="s">
        <v>25</v>
      </c>
    </row>
    <row r="1464" ht="16.5" spans="1:12">
      <c r="A1464" s="46">
        <v>1462</v>
      </c>
      <c r="B1464" s="46" t="s">
        <v>45</v>
      </c>
      <c r="C1464" s="46" t="str">
        <f>VLOOKUP(F1464,[4]在职!$A:$E,5,0)</f>
        <v>西南总部</v>
      </c>
      <c r="D1464" s="46" t="str">
        <f>VLOOKUP(F1464,[4]在职!$A:$G,7,0)</f>
        <v>营业七部</v>
      </c>
      <c r="E1464" s="46" t="str">
        <f>VLOOKUP(F1464,[4]在职!$A:$M,13,0)</f>
        <v>刘鹏</v>
      </c>
      <c r="F1464" s="46" t="s">
        <v>1263</v>
      </c>
      <c r="G1464" s="46" t="str">
        <f>VLOOKUP(F1464,[4]在职!$A:$B,2,0)</f>
        <v>01723</v>
      </c>
      <c r="H1464" s="46" t="str">
        <f>VLOOKUP(F1464,[4]在职!$A:$I,9,0)</f>
        <v>一星销售顾问</v>
      </c>
      <c r="I1464" s="46" t="s">
        <v>907</v>
      </c>
      <c r="J1464" s="83">
        <v>46106</v>
      </c>
      <c r="K1464" s="46" t="s">
        <v>1324</v>
      </c>
      <c r="L1464" s="83" t="s">
        <v>25</v>
      </c>
    </row>
    <row r="1465" ht="16.5" spans="1:12">
      <c r="A1465" s="46">
        <v>1463</v>
      </c>
      <c r="B1465" s="46" t="s">
        <v>45</v>
      </c>
      <c r="C1465" s="46" t="str">
        <f>VLOOKUP(F1465,[4]在职!$A:$E,5,0)</f>
        <v>西南总部</v>
      </c>
      <c r="D1465" s="46" t="str">
        <f>VLOOKUP(F1465,[4]在职!$A:$G,7,0)</f>
        <v>营业七部</v>
      </c>
      <c r="E1465" s="46" t="str">
        <f>VLOOKUP(F1465,[4]在职!$A:$M,13,0)</f>
        <v>刘鹏</v>
      </c>
      <c r="F1465" s="46" t="s">
        <v>1197</v>
      </c>
      <c r="G1465" s="46" t="str">
        <f>VLOOKUP(F1465,[4]在职!$A:$B,2,0)</f>
        <v>01900</v>
      </c>
      <c r="H1465" s="46" t="str">
        <f>VLOOKUP(F1465,[4]在职!$A:$I,9,0)</f>
        <v>实习销售</v>
      </c>
      <c r="I1465" s="46" t="s">
        <v>907</v>
      </c>
      <c r="J1465" s="83">
        <v>46106</v>
      </c>
      <c r="K1465" s="46" t="s">
        <v>1324</v>
      </c>
      <c r="L1465" s="83" t="s">
        <v>25</v>
      </c>
    </row>
    <row r="1466" ht="16.5" spans="1:12">
      <c r="A1466" s="46">
        <v>1464</v>
      </c>
      <c r="B1466" s="46" t="s">
        <v>45</v>
      </c>
      <c r="C1466" s="46" t="str">
        <f>VLOOKUP(F1466,[4]在职!$A:$E,5,0)</f>
        <v>西南总部</v>
      </c>
      <c r="D1466" s="46" t="str">
        <f>VLOOKUP(F1466,[4]在职!$A:$G,7,0)</f>
        <v>营业六部</v>
      </c>
      <c r="E1466" s="46" t="str">
        <f>VLOOKUP(F1466,[4]在职!$A:$M,13,0)</f>
        <v>毛富林</v>
      </c>
      <c r="F1466" s="46" t="s">
        <v>1527</v>
      </c>
      <c r="G1466" s="46" t="str">
        <f>VLOOKUP(F1466,[4]在职!$A:$B,2,0)</f>
        <v>01969</v>
      </c>
      <c r="H1466" s="46" t="str">
        <f>VLOOKUP(F1466,[4]在职!$A:$I,9,0)</f>
        <v>实习销售</v>
      </c>
      <c r="I1466" s="46" t="s">
        <v>915</v>
      </c>
      <c r="J1466" s="83">
        <v>46106</v>
      </c>
      <c r="K1466" s="46" t="s">
        <v>1324</v>
      </c>
      <c r="L1466" s="83" t="s">
        <v>25</v>
      </c>
    </row>
    <row r="1467" ht="16.5" spans="1:12">
      <c r="A1467" s="46">
        <v>1465</v>
      </c>
      <c r="B1467" s="46" t="s">
        <v>45</v>
      </c>
      <c r="C1467" s="46" t="str">
        <f>VLOOKUP(F1467,[4]在职!$A:$E,5,0)</f>
        <v>西南总部</v>
      </c>
      <c r="D1467" s="46" t="str">
        <f>VLOOKUP(F1467,[4]在职!$A:$G,7,0)</f>
        <v>营业七部</v>
      </c>
      <c r="E1467" s="46" t="str">
        <f>VLOOKUP(F1467,[4]在职!$A:$M,13,0)</f>
        <v>彭小琴</v>
      </c>
      <c r="F1467" s="46" t="s">
        <v>1528</v>
      </c>
      <c r="G1467" s="46" t="str">
        <f>VLOOKUP(F1467,[4]在职!$A:$B,2,0)</f>
        <v>01959</v>
      </c>
      <c r="H1467" s="46" t="str">
        <f>VLOOKUP(F1467,[4]在职!$A:$I,9,0)</f>
        <v>实习销售</v>
      </c>
      <c r="I1467" s="46" t="s">
        <v>915</v>
      </c>
      <c r="J1467" s="83">
        <v>46106</v>
      </c>
      <c r="K1467" s="46" t="s">
        <v>1324</v>
      </c>
      <c r="L1467" s="83" t="s">
        <v>25</v>
      </c>
    </row>
    <row r="1468" ht="16.5" spans="1:12">
      <c r="A1468" s="46">
        <v>1466</v>
      </c>
      <c r="B1468" s="46" t="s">
        <v>45</v>
      </c>
      <c r="C1468" s="46" t="str">
        <f>VLOOKUP(F1468,[4]在职!$A:$E,5,0)</f>
        <v>西南总部</v>
      </c>
      <c r="D1468" s="46" t="str">
        <f>VLOOKUP(F1468,[4]在职!$A:$G,7,0)</f>
        <v>营业七部</v>
      </c>
      <c r="E1468" s="46" t="str">
        <f>VLOOKUP(F1468,[4]在职!$A:$M,13,0)</f>
        <v>彭小琴</v>
      </c>
      <c r="F1468" s="46" t="s">
        <v>1529</v>
      </c>
      <c r="G1468" s="46" t="str">
        <f>VLOOKUP(F1468,[4]在职!$A:$B,2,0)</f>
        <v>01958</v>
      </c>
      <c r="H1468" s="46" t="str">
        <f>VLOOKUP(F1468,[4]在职!$A:$I,9,0)</f>
        <v>实习销售</v>
      </c>
      <c r="I1468" s="46" t="s">
        <v>915</v>
      </c>
      <c r="J1468" s="83">
        <v>46106</v>
      </c>
      <c r="K1468" s="46" t="s">
        <v>1324</v>
      </c>
      <c r="L1468" s="83" t="s">
        <v>25</v>
      </c>
    </row>
    <row r="1469" ht="16.5" spans="1:12">
      <c r="A1469" s="46">
        <v>1467</v>
      </c>
      <c r="B1469" s="46" t="s">
        <v>45</v>
      </c>
      <c r="C1469" s="46" t="str">
        <f>VLOOKUP(F1469,[4]在职!$A:$E,5,0)</f>
        <v>西南总部</v>
      </c>
      <c r="D1469" s="46" t="str">
        <f>VLOOKUP(F1469,[4]在职!$A:$G,7,0)</f>
        <v>营业三部</v>
      </c>
      <c r="E1469" s="46" t="str">
        <f>VLOOKUP(F1469,[4]在职!$A:$M,13,0)</f>
        <v>吴建鑫</v>
      </c>
      <c r="F1469" s="46" t="s">
        <v>1530</v>
      </c>
      <c r="G1469" s="46" t="str">
        <f>VLOOKUP(F1469,[4]在职!$A:$B,2,0)</f>
        <v>01970</v>
      </c>
      <c r="H1469" s="46" t="str">
        <f>VLOOKUP(F1469,[4]在职!$A:$I,9,0)</f>
        <v>实习销售</v>
      </c>
      <c r="I1469" s="46" t="s">
        <v>915</v>
      </c>
      <c r="J1469" s="83">
        <v>46106</v>
      </c>
      <c r="K1469" s="46" t="s">
        <v>1324</v>
      </c>
      <c r="L1469" s="83" t="s">
        <v>25</v>
      </c>
    </row>
    <row r="1470" ht="16.5" spans="1:12">
      <c r="A1470" s="46">
        <v>1468</v>
      </c>
      <c r="B1470" s="46" t="s">
        <v>45</v>
      </c>
      <c r="C1470" s="46" t="str">
        <f>VLOOKUP(F1470,[4]在职!$A:$E,5,0)</f>
        <v>西南总部</v>
      </c>
      <c r="D1470" s="46" t="str">
        <f>VLOOKUP(F1470,[4]在职!$A:$G,7,0)</f>
        <v>营业六部</v>
      </c>
      <c r="E1470" s="46" t="str">
        <f>VLOOKUP(F1470,[4]在职!$A:$M,13,0)</f>
        <v>杨翠茹</v>
      </c>
      <c r="F1470" s="46" t="s">
        <v>1215</v>
      </c>
      <c r="G1470" s="46" t="str">
        <f>VLOOKUP(F1470,[4]在职!$A:$B,2,0)</f>
        <v>01854</v>
      </c>
      <c r="H1470" s="46" t="str">
        <f>VLOOKUP(F1470,[4]在职!$A:$I,9,0)</f>
        <v>实习销售</v>
      </c>
      <c r="I1470" s="46" t="s">
        <v>907</v>
      </c>
      <c r="J1470" s="83">
        <v>46106</v>
      </c>
      <c r="K1470" s="46" t="s">
        <v>1324</v>
      </c>
      <c r="L1470" s="83" t="s">
        <v>25</v>
      </c>
    </row>
    <row r="1471" ht="16.5" spans="1:12">
      <c r="A1471" s="46">
        <v>1469</v>
      </c>
      <c r="B1471" s="46" t="s">
        <v>45</v>
      </c>
      <c r="C1471" s="46" t="str">
        <f>VLOOKUP(F1471,[4]在职!$A:$E,5,0)</f>
        <v>西南总部</v>
      </c>
      <c r="D1471" s="46" t="str">
        <f>VLOOKUP(F1471,[4]在职!$A:$G,7,0)</f>
        <v>杨薇</v>
      </c>
      <c r="E1471" s="46" t="str">
        <f>VLOOKUP(F1471,[4]在职!$A:$M,13,0)</f>
        <v>杨薇</v>
      </c>
      <c r="F1471" s="46" t="s">
        <v>1531</v>
      </c>
      <c r="G1471" s="46" t="str">
        <f>VLOOKUP(F1471,[4]在职!$A:$B,2,0)</f>
        <v>01938</v>
      </c>
      <c r="H1471" s="46" t="str">
        <f>VLOOKUP(F1471,[4]在职!$A:$I,9,0)</f>
        <v>实习销售</v>
      </c>
      <c r="I1471" s="46" t="s">
        <v>915</v>
      </c>
      <c r="J1471" s="83">
        <v>46106</v>
      </c>
      <c r="K1471" s="46" t="s">
        <v>1324</v>
      </c>
      <c r="L1471" s="83" t="s">
        <v>25</v>
      </c>
    </row>
    <row r="1472" ht="16.5" spans="1:12">
      <c r="A1472" s="46">
        <v>1470</v>
      </c>
      <c r="B1472" s="46" t="s">
        <v>45</v>
      </c>
      <c r="C1472" s="46" t="str">
        <f>VLOOKUP(F1472,[4]在职!$A:$E,5,0)</f>
        <v>西南总部</v>
      </c>
      <c r="D1472" s="46" t="str">
        <f>VLOOKUP(F1472,[4]在职!$A:$G,7,0)</f>
        <v>营业五部</v>
      </c>
      <c r="E1472" s="46" t="str">
        <f>VLOOKUP(F1472,[4]在职!$A:$M,13,0)</f>
        <v>张萍2</v>
      </c>
      <c r="F1472" s="46" t="s">
        <v>1171</v>
      </c>
      <c r="G1472" s="46" t="str">
        <f>VLOOKUP(F1472,[4]在职!$A:$B,2,0)</f>
        <v>01876</v>
      </c>
      <c r="H1472" s="46" t="str">
        <f>VLOOKUP(F1472,[4]在职!$A:$I,9,0)</f>
        <v>实习销售</v>
      </c>
      <c r="I1472" s="46" t="s">
        <v>915</v>
      </c>
      <c r="J1472" s="83">
        <v>46106</v>
      </c>
      <c r="K1472" s="46" t="s">
        <v>1324</v>
      </c>
      <c r="L1472" s="83" t="s">
        <v>25</v>
      </c>
    </row>
    <row r="1473" ht="16.5" spans="1:12">
      <c r="A1473" s="46">
        <v>1471</v>
      </c>
      <c r="B1473" s="46" t="s">
        <v>45</v>
      </c>
      <c r="C1473" s="46" t="str">
        <f>VLOOKUP(F1473,[4]在职!$A:$E,5,0)</f>
        <v>西南总部</v>
      </c>
      <c r="D1473" s="46" t="str">
        <f>VLOOKUP(F1473,[4]在职!$A:$G,7,0)</f>
        <v>营业五部</v>
      </c>
      <c r="E1473" s="46" t="str">
        <f>VLOOKUP(F1473,[4]在职!$A:$M,13,0)</f>
        <v>张萍2</v>
      </c>
      <c r="F1473" s="46" t="s">
        <v>1195</v>
      </c>
      <c r="G1473" s="46" t="str">
        <f>VLOOKUP(F1473,[4]在职!$A:$B,2,0)</f>
        <v>01765</v>
      </c>
      <c r="H1473" s="46" t="str">
        <f>VLOOKUP(F1473,[4]在职!$A:$I,9,0)</f>
        <v>实习销售</v>
      </c>
      <c r="I1473" s="46" t="s">
        <v>907</v>
      </c>
      <c r="J1473" s="83">
        <v>46106</v>
      </c>
      <c r="K1473" s="46" t="s">
        <v>1324</v>
      </c>
      <c r="L1473" s="83" t="s">
        <v>25</v>
      </c>
    </row>
    <row r="1474" ht="16.5" spans="1:12">
      <c r="A1474" s="46">
        <v>1472</v>
      </c>
      <c r="B1474" s="46" t="s">
        <v>45</v>
      </c>
      <c r="C1474" s="46" t="str">
        <f>VLOOKUP(F1474,[4]在职!$A:$E,5,0)</f>
        <v>西南总部</v>
      </c>
      <c r="D1474" s="46" t="str">
        <f>VLOOKUP(F1474,[4]在职!$A:$G,7,0)</f>
        <v>营业五部</v>
      </c>
      <c r="E1474" s="46" t="str">
        <f>VLOOKUP(F1474,[4]在职!$A:$M,13,0)</f>
        <v>张萍2</v>
      </c>
      <c r="F1474" s="46" t="s">
        <v>1193</v>
      </c>
      <c r="G1474" s="46" t="str">
        <f>VLOOKUP(F1474,[4]在职!$A:$B,2,0)</f>
        <v>01881</v>
      </c>
      <c r="H1474" s="46" t="str">
        <f>VLOOKUP(F1474,[4]在职!$A:$I,9,0)</f>
        <v>实习销售</v>
      </c>
      <c r="I1474" s="46" t="s">
        <v>907</v>
      </c>
      <c r="J1474" s="83">
        <v>46106</v>
      </c>
      <c r="K1474" s="46" t="s">
        <v>1324</v>
      </c>
      <c r="L1474" s="83" t="s">
        <v>25</v>
      </c>
    </row>
    <row r="1475" ht="16.5" spans="1:12">
      <c r="A1475" s="46">
        <v>1473</v>
      </c>
      <c r="B1475" s="46" t="s">
        <v>45</v>
      </c>
      <c r="C1475" s="46" t="str">
        <f>VLOOKUP(F1475,[4]在职!$A:$E,5,0)</f>
        <v>西南总部</v>
      </c>
      <c r="D1475" s="46" t="str">
        <f>VLOOKUP(F1475,[4]在职!$A:$G,7,0)</f>
        <v>营业一部</v>
      </c>
      <c r="E1475" s="46" t="str">
        <f>VLOOKUP(F1475,[4]在职!$A:$M,13,0)</f>
        <v>张圣梁</v>
      </c>
      <c r="F1475" s="46" t="s">
        <v>1532</v>
      </c>
      <c r="G1475" s="46" t="str">
        <f>VLOOKUP(F1475,[4]在职!$A:$B,2,0)</f>
        <v>01924</v>
      </c>
      <c r="H1475" s="46" t="str">
        <f>VLOOKUP(F1475,[4]在职!$A:$I,9,0)</f>
        <v>实习销售</v>
      </c>
      <c r="I1475" s="46" t="s">
        <v>915</v>
      </c>
      <c r="J1475" s="83">
        <v>46106</v>
      </c>
      <c r="K1475" s="46" t="s">
        <v>1324</v>
      </c>
      <c r="L1475" s="83" t="s">
        <v>25</v>
      </c>
    </row>
    <row r="1476" ht="16.5" spans="1:12">
      <c r="A1476" s="46">
        <v>1474</v>
      </c>
      <c r="B1476" s="46" t="s">
        <v>45</v>
      </c>
      <c r="C1476" s="46" t="str">
        <f>VLOOKUP(F1476,[4]在职!$A:$E,5,0)</f>
        <v>西南总部</v>
      </c>
      <c r="D1476" s="46" t="str">
        <f>VLOOKUP(F1476,[4]在职!$A:$G,7,0)</f>
        <v>营业三部</v>
      </c>
      <c r="E1476" s="46" t="str">
        <f>VLOOKUP(F1476,[4]在职!$A:$M,13,0)</f>
        <v>郑景慕</v>
      </c>
      <c r="F1476" s="46" t="s">
        <v>1184</v>
      </c>
      <c r="G1476" s="46" t="str">
        <f>VLOOKUP(F1476,[4]在职!$A:$B,2,0)</f>
        <v>01893</v>
      </c>
      <c r="H1476" s="46" t="str">
        <f>VLOOKUP(F1476,[4]在职!$A:$I,9,0)</f>
        <v>实习销售</v>
      </c>
      <c r="I1476" s="46" t="s">
        <v>915</v>
      </c>
      <c r="J1476" s="83">
        <v>46106</v>
      </c>
      <c r="K1476" s="46" t="s">
        <v>1324</v>
      </c>
      <c r="L1476" s="83" t="s">
        <v>25</v>
      </c>
    </row>
    <row r="1477" ht="16.5" spans="1:12">
      <c r="A1477" s="46">
        <v>1475</v>
      </c>
      <c r="B1477" s="46" t="s">
        <v>45</v>
      </c>
      <c r="C1477" s="46" t="str">
        <f>VLOOKUP(F1477,[4]在职!$A:$E,5,0)</f>
        <v>西南总部</v>
      </c>
      <c r="D1477" s="46" t="str">
        <f>VLOOKUP(F1477,[4]在职!$A:$G,7,0)</f>
        <v>营业一部</v>
      </c>
      <c r="E1477" s="46" t="str">
        <f>VLOOKUP(F1477,[4]在职!$A:$M,13,0)</f>
        <v>朱家艳</v>
      </c>
      <c r="F1477" s="46" t="s">
        <v>1533</v>
      </c>
      <c r="G1477" s="46" t="str">
        <f>VLOOKUP(F1477,[4]在职!$A:$B,2,0)</f>
        <v>01939</v>
      </c>
      <c r="H1477" s="46" t="str">
        <f>VLOOKUP(F1477,[4]在职!$A:$I,9,0)</f>
        <v>实习销售</v>
      </c>
      <c r="I1477" s="46" t="s">
        <v>907</v>
      </c>
      <c r="J1477" s="83">
        <v>46106</v>
      </c>
      <c r="K1477" s="46" t="s">
        <v>1324</v>
      </c>
      <c r="L1477" s="83" t="s">
        <v>25</v>
      </c>
    </row>
    <row r="1478" ht="16.5" spans="1:12">
      <c r="A1478" s="46">
        <v>1476</v>
      </c>
      <c r="B1478" s="46" t="s">
        <v>45</v>
      </c>
      <c r="C1478" s="46" t="str">
        <f>VLOOKUP(F1478,[4]在职!$A:$E,5,0)</f>
        <v>西南总部</v>
      </c>
      <c r="D1478" s="46" t="str">
        <f>VLOOKUP(F1478,[4]在职!$A:$G,7,0)</f>
        <v>营业一部</v>
      </c>
      <c r="E1478" s="46" t="str">
        <f>VLOOKUP(F1478,[4]在职!$A:$M,13,0)</f>
        <v>朱家艳</v>
      </c>
      <c r="F1478" s="46" t="s">
        <v>1534</v>
      </c>
      <c r="G1478" s="46" t="str">
        <f>VLOOKUP(F1478,[4]在职!$A:$B,2,0)</f>
        <v>01921</v>
      </c>
      <c r="H1478" s="46" t="str">
        <f>VLOOKUP(F1478,[4]在职!$A:$I,9,0)</f>
        <v>实习销售</v>
      </c>
      <c r="I1478" s="46" t="s">
        <v>907</v>
      </c>
      <c r="J1478" s="83">
        <v>46106</v>
      </c>
      <c r="K1478" s="46" t="s">
        <v>1324</v>
      </c>
      <c r="L1478" s="83" t="s">
        <v>25</v>
      </c>
    </row>
    <row r="1479" ht="16.5" spans="1:12">
      <c r="A1479" s="46">
        <v>1477</v>
      </c>
      <c r="B1479" s="46" t="s">
        <v>45</v>
      </c>
      <c r="C1479" s="46" t="str">
        <f>VLOOKUP(F1479,[4]在职!$A:$E,5,0)</f>
        <v>西南总部</v>
      </c>
      <c r="D1479" s="46" t="str">
        <f>VLOOKUP(F1479,[4]在职!$A:$G,7,0)</f>
        <v>营业一部</v>
      </c>
      <c r="E1479" s="46" t="str">
        <f>VLOOKUP(F1479,[4]在职!$A:$M,13,0)</f>
        <v>朱家艳</v>
      </c>
      <c r="F1479" s="46" t="s">
        <v>1476</v>
      </c>
      <c r="G1479" s="46" t="str">
        <f>VLOOKUP(F1479,[4]在职!$A:$B,2,0)</f>
        <v>01682</v>
      </c>
      <c r="H1479" s="46" t="str">
        <f>VLOOKUP(F1479,[4]在职!$A:$I,9,0)</f>
        <v>一星销售顾问</v>
      </c>
      <c r="I1479" s="46" t="s">
        <v>907</v>
      </c>
      <c r="J1479" s="83">
        <v>46106</v>
      </c>
      <c r="K1479" s="46" t="s">
        <v>1324</v>
      </c>
      <c r="L1479" s="83" t="s">
        <v>25</v>
      </c>
    </row>
    <row r="1480" ht="16.5" spans="1:12">
      <c r="A1480" s="46">
        <v>1478</v>
      </c>
      <c r="B1480" s="46" t="s">
        <v>45</v>
      </c>
      <c r="C1480" s="46" t="str">
        <f>VLOOKUP(F1480,[4]在职!$A:$E,5,0)</f>
        <v>集团职能</v>
      </c>
      <c r="D1480" s="46" t="str">
        <f>VLOOKUP(F1480,[4]在职!$A:$G,7,0)</f>
        <v>人资行政部</v>
      </c>
      <c r="E1480" s="46" t="str">
        <f>VLOOKUP(F1480,[4]在职!$A:$M,13,0)</f>
        <v>黄芳</v>
      </c>
      <c r="F1480" s="46" t="s">
        <v>1355</v>
      </c>
      <c r="G1480" s="46" t="str">
        <f>VLOOKUP(F1480,[4]在职!$A:$B,2,0)</f>
        <v>01918</v>
      </c>
      <c r="H1480" s="46" t="str">
        <f>VLOOKUP(F1480,[4]在职!$A:$I,9,0)</f>
        <v>人资行政经理</v>
      </c>
      <c r="I1480" s="46" t="s">
        <v>907</v>
      </c>
      <c r="J1480" s="83">
        <v>46106</v>
      </c>
      <c r="K1480" s="46" t="s">
        <v>1324</v>
      </c>
      <c r="L1480" s="83" t="s">
        <v>25</v>
      </c>
    </row>
    <row r="1481" ht="16.5" spans="1:12">
      <c r="A1481" s="46">
        <v>1479</v>
      </c>
      <c r="B1481" s="46" t="s">
        <v>45</v>
      </c>
      <c r="C1481" s="46" t="str">
        <f>VLOOKUP(F1481,[4]在职!$A:$E,5,0)</f>
        <v>集团职能</v>
      </c>
      <c r="D1481" s="46" t="str">
        <f>VLOOKUP(F1481,[4]在职!$A:$G,7,0)</f>
        <v>人资行政部</v>
      </c>
      <c r="E1481" s="46" t="str">
        <f>VLOOKUP(F1481,[4]在职!$A:$M,13,0)</f>
        <v>孔群慧</v>
      </c>
      <c r="F1481" s="46" t="s">
        <v>1537</v>
      </c>
      <c r="G1481" s="46" t="str">
        <f>VLOOKUP(F1481,[4]在职!$A:$B,2,0)</f>
        <v>01948</v>
      </c>
      <c r="H1481" s="46" t="str">
        <f>VLOOKUP(F1481,[4]在职!$A:$I,9,0)</f>
        <v>行政专员</v>
      </c>
      <c r="I1481" s="46" t="s">
        <v>915</v>
      </c>
      <c r="J1481" s="83">
        <v>46106</v>
      </c>
      <c r="K1481" s="46" t="s">
        <v>1324</v>
      </c>
      <c r="L1481" s="83" t="s">
        <v>25</v>
      </c>
    </row>
    <row r="1482" ht="16.5" spans="1:12">
      <c r="A1482" s="46">
        <v>1480</v>
      </c>
      <c r="B1482" s="46" t="s">
        <v>45</v>
      </c>
      <c r="C1482" s="46" t="str">
        <f>VLOOKUP(F1482,[4]在职!$A:$E,5,0)</f>
        <v>集团职能</v>
      </c>
      <c r="D1482" s="46" t="str">
        <f>VLOOKUP(F1482,[4]在职!$A:$G,7,0)</f>
        <v>人资行政部</v>
      </c>
      <c r="E1482" s="46" t="str">
        <f>VLOOKUP(F1482,[4]在职!$A:$M,13,0)</f>
        <v>孔群慧</v>
      </c>
      <c r="F1482" s="46" t="s">
        <v>1538</v>
      </c>
      <c r="G1482" s="46" t="str">
        <f>VLOOKUP(F1482,[4]在职!$A:$B,2,0)</f>
        <v>01937</v>
      </c>
      <c r="H1482" s="46" t="str">
        <f>VLOOKUP(F1482,[4]在职!$A:$I,9,0)</f>
        <v>采购专员</v>
      </c>
      <c r="I1482" s="46" t="s">
        <v>915</v>
      </c>
      <c r="J1482" s="83">
        <v>46106</v>
      </c>
      <c r="K1482" s="46" t="s">
        <v>1324</v>
      </c>
      <c r="L1482" s="83" t="s">
        <v>25</v>
      </c>
    </row>
    <row r="1483" ht="16.5" spans="1:12">
      <c r="A1483" s="46">
        <v>1481</v>
      </c>
      <c r="B1483" s="46" t="s">
        <v>45</v>
      </c>
      <c r="C1483" s="46" t="str">
        <f>VLOOKUP(F1483,[4]在职!$A:$E,5,0)</f>
        <v>集团职能</v>
      </c>
      <c r="D1483" s="46" t="str">
        <f>VLOOKUP(F1483,[4]在职!$A:$G,7,0)</f>
        <v>停车场运营部</v>
      </c>
      <c r="E1483" s="46" t="str">
        <f>VLOOKUP(F1483,[4]在职!$A:$M,13,0)</f>
        <v>刘文宇</v>
      </c>
      <c r="F1483" s="46" t="s">
        <v>1539</v>
      </c>
      <c r="G1483" s="46" t="str">
        <f>VLOOKUP(F1483,[4]在职!$A:$B,2,0)</f>
        <v>01928</v>
      </c>
      <c r="H1483" s="46" t="str">
        <f>VLOOKUP(F1483,[4]在职!$A:$I,9,0)</f>
        <v>停车场运营经理</v>
      </c>
      <c r="I1483" s="46" t="s">
        <v>915</v>
      </c>
      <c r="J1483" s="83">
        <v>46106</v>
      </c>
      <c r="K1483" s="46" t="s">
        <v>1324</v>
      </c>
      <c r="L1483" s="83" t="s">
        <v>25</v>
      </c>
    </row>
    <row r="1484" ht="16.5" spans="1:12">
      <c r="A1484" s="46">
        <v>1482</v>
      </c>
      <c r="B1484" s="46" t="s">
        <v>45</v>
      </c>
      <c r="C1484" s="46" t="str">
        <f>VLOOKUP(F1484,[4]在职!$A:$E,5,0)</f>
        <v>集团职能</v>
      </c>
      <c r="D1484" s="46" t="str">
        <f>VLOOKUP(F1484,[4]在职!$A:$G,7,0)</f>
        <v>人资行政部</v>
      </c>
      <c r="E1484" s="46" t="str">
        <f>VLOOKUP(F1484,[4]在职!$A:$M,13,0)</f>
        <v>孔群慧</v>
      </c>
      <c r="F1484" s="46" t="s">
        <v>1540</v>
      </c>
      <c r="G1484" s="46" t="str">
        <f>VLOOKUP(F1484,[4]在职!$A:$B,2,0)</f>
        <v>02001</v>
      </c>
      <c r="H1484" s="46" t="str">
        <f>VLOOKUP(F1484,[4]在职!$A:$I,9,0)</f>
        <v>薪酬专员</v>
      </c>
      <c r="I1484" s="46" t="s">
        <v>915</v>
      </c>
      <c r="J1484" s="83">
        <v>46106</v>
      </c>
      <c r="K1484" s="46" t="s">
        <v>1324</v>
      </c>
      <c r="L1484" s="83" t="s">
        <v>25</v>
      </c>
    </row>
    <row r="1485" ht="16.5" spans="1:12">
      <c r="A1485" s="46">
        <v>1483</v>
      </c>
      <c r="B1485" s="46" t="s">
        <v>45</v>
      </c>
      <c r="C1485" s="46" t="str">
        <f>VLOOKUP(F1485,[4]在职!$A:$E,5,0)</f>
        <v>河北</v>
      </c>
      <c r="D1485" s="46" t="s">
        <v>1542</v>
      </c>
      <c r="E1485" s="46" t="str">
        <f>VLOOKUP(F1485,[4]在职!$A:$M,13,0)</f>
        <v>张冀</v>
      </c>
      <c r="F1485" s="46" t="s">
        <v>1541</v>
      </c>
      <c r="G1485" s="46" t="str">
        <f>VLOOKUP(F1485,[4]在职!$A:$B,2,0)</f>
        <v>01915</v>
      </c>
      <c r="H1485" s="46" t="str">
        <f>VLOOKUP(F1485,[4]在职!$A:$I,9,0)</f>
        <v>办公室主任</v>
      </c>
      <c r="I1485" s="46" t="s">
        <v>915</v>
      </c>
      <c r="J1485" s="83">
        <v>46106</v>
      </c>
      <c r="K1485" s="46" t="s">
        <v>1324</v>
      </c>
      <c r="L1485" s="83" t="s">
        <v>25</v>
      </c>
    </row>
    <row r="1486" ht="16.5" spans="1:12">
      <c r="A1486" s="46">
        <v>1484</v>
      </c>
      <c r="B1486" s="46" t="s">
        <v>45</v>
      </c>
      <c r="C1486" s="46" t="str">
        <f>VLOOKUP(F1486,[4]在职!$A:$E,5,0)</f>
        <v>河南</v>
      </c>
      <c r="D1486" s="46" t="s">
        <v>1544</v>
      </c>
      <c r="E1486" s="46" t="str">
        <f>VLOOKUP(F1486,[4]在职!$A:$M,13,0)</f>
        <v>廖静</v>
      </c>
      <c r="F1486" s="46" t="s">
        <v>1543</v>
      </c>
      <c r="G1486" s="46" t="str">
        <f>VLOOKUP(F1486,[4]在职!$A:$B,2,0)</f>
        <v>01917</v>
      </c>
      <c r="H1486" s="46" t="str">
        <f>VLOOKUP(F1486,[4]在职!$A:$I,9,0)</f>
        <v>办公室主任</v>
      </c>
      <c r="I1486" s="46" t="s">
        <v>915</v>
      </c>
      <c r="J1486" s="83">
        <v>46106</v>
      </c>
      <c r="K1486" s="46" t="s">
        <v>1324</v>
      </c>
      <c r="L1486" s="83" t="s">
        <v>25</v>
      </c>
    </row>
    <row r="1487" ht="16.5" spans="1:12">
      <c r="A1487" s="46">
        <v>1485</v>
      </c>
      <c r="B1487" s="46" t="s">
        <v>45</v>
      </c>
      <c r="C1487" s="46" t="str">
        <f>VLOOKUP(F1487,[4]在职!$A:$E,5,0)</f>
        <v>山东</v>
      </c>
      <c r="D1487" s="46" t="str">
        <f>VLOOKUP(F1487,[4]在职!$A:$G,7,0)</f>
        <v>山东销售部</v>
      </c>
      <c r="E1487" s="46" t="str">
        <f>VLOOKUP(F1487,[4]在职!$A:$M,13,0)</f>
        <v>肖佳</v>
      </c>
      <c r="F1487" s="46" t="s">
        <v>1535</v>
      </c>
      <c r="G1487" s="46" t="str">
        <f>VLOOKUP(F1487,[4]在职!$A:$B,2,0)</f>
        <v>01956</v>
      </c>
      <c r="H1487" s="46" t="str">
        <f>VLOOKUP(F1487,[4]在职!$A:$I,9,0)</f>
        <v>实习销售</v>
      </c>
      <c r="I1487" s="46" t="s">
        <v>915</v>
      </c>
      <c r="J1487" s="83">
        <v>46106</v>
      </c>
      <c r="K1487" s="46" t="s">
        <v>1324</v>
      </c>
      <c r="L1487" s="83" t="s">
        <v>25</v>
      </c>
    </row>
    <row r="1488" ht="16.5" spans="1:12">
      <c r="A1488" s="46">
        <v>1486</v>
      </c>
      <c r="B1488" s="46" t="s">
        <v>45</v>
      </c>
      <c r="C1488" s="46" t="s">
        <v>1607</v>
      </c>
      <c r="D1488" s="46" t="s">
        <v>1547</v>
      </c>
      <c r="E1488" s="46" t="s">
        <v>1355</v>
      </c>
      <c r="F1488" s="46" t="s">
        <v>1545</v>
      </c>
      <c r="G1488" s="170" t="s">
        <v>1546</v>
      </c>
      <c r="H1488" s="46" t="s">
        <v>1548</v>
      </c>
      <c r="I1488" s="46" t="s">
        <v>915</v>
      </c>
      <c r="J1488" s="83">
        <v>46106</v>
      </c>
      <c r="K1488" s="46" t="s">
        <v>1324</v>
      </c>
      <c r="L1488" s="83" t="s">
        <v>25</v>
      </c>
    </row>
    <row r="1489" ht="16.5" spans="1:12">
      <c r="A1489" s="46">
        <v>1487</v>
      </c>
      <c r="B1489" s="46" t="s">
        <v>45</v>
      </c>
      <c r="C1489" s="46" t="str">
        <f>VLOOKUP(F1489,[4]在职!$A:$E,5,0)</f>
        <v>集团职能</v>
      </c>
      <c r="D1489" s="46" t="str">
        <f>VLOOKUP(F1489,[4]在职!$A:$G,7,0)</f>
        <v>人资行政部</v>
      </c>
      <c r="E1489" s="46" t="str">
        <f>VLOOKUP(F1489,[4]在职!$A:$M,13,0)</f>
        <v>孔群慧</v>
      </c>
      <c r="F1489" s="46" t="s">
        <v>1549</v>
      </c>
      <c r="G1489" s="46" t="str">
        <f>VLOOKUP(F1489,[4]在职!$A:$B,2,0)</f>
        <v>01984</v>
      </c>
      <c r="H1489" s="46" t="str">
        <f>VLOOKUP(F1489,[4]在职!$A:$I,9,0)</f>
        <v>人事专员</v>
      </c>
      <c r="I1489" s="46" t="s">
        <v>915</v>
      </c>
      <c r="J1489" s="83">
        <v>46106</v>
      </c>
      <c r="K1489" s="46" t="s">
        <v>1324</v>
      </c>
      <c r="L1489" s="83" t="s">
        <v>25</v>
      </c>
    </row>
    <row r="1490" ht="16.5" spans="1:12">
      <c r="A1490" s="46">
        <v>1488</v>
      </c>
      <c r="B1490" s="46" t="s">
        <v>45</v>
      </c>
      <c r="C1490" s="46" t="str">
        <f>VLOOKUP(F1490,[4]在职!$A:$E,5,0)</f>
        <v>河北</v>
      </c>
      <c r="D1490" s="46" t="s">
        <v>1542</v>
      </c>
      <c r="E1490" s="46" t="str">
        <f>VLOOKUP(F1490,[4]在职!$A:$M,13,0)</f>
        <v>张冀</v>
      </c>
      <c r="F1490" s="46" t="s">
        <v>1541</v>
      </c>
      <c r="G1490" s="46" t="str">
        <f>VLOOKUP(F1490,[4]在职!$A:$B,2,0)</f>
        <v>01915</v>
      </c>
      <c r="H1490" s="46" t="str">
        <f>VLOOKUP(F1490,[4]在职!$A:$I,9,0)</f>
        <v>办公室主任</v>
      </c>
      <c r="I1490" s="46" t="s">
        <v>915</v>
      </c>
      <c r="J1490" s="83">
        <v>46106</v>
      </c>
      <c r="K1490" s="46" t="s">
        <v>1326</v>
      </c>
      <c r="L1490" s="83" t="s">
        <v>25</v>
      </c>
    </row>
    <row r="1491" ht="16.5" spans="1:12">
      <c r="A1491" s="46">
        <v>1489</v>
      </c>
      <c r="B1491" s="46" t="s">
        <v>45</v>
      </c>
      <c r="C1491" s="46" t="str">
        <f>VLOOKUP(F1491,[4]在职!$A:$E,5,0)</f>
        <v>河南</v>
      </c>
      <c r="D1491" s="46" t="str">
        <f>VLOOKUP(F1491,[4]在职!$A:$G,7,0)</f>
        <v>河南销售部</v>
      </c>
      <c r="E1491" s="46" t="str">
        <f>VLOOKUP(F1491,[4]在职!$A:$M,13,0)</f>
        <v>杜雄</v>
      </c>
      <c r="F1491" s="46" t="s">
        <v>1506</v>
      </c>
      <c r="G1491" s="46" t="str">
        <f>VLOOKUP(F1491,[4]在职!$A:$B,2,0)</f>
        <v>00866</v>
      </c>
      <c r="H1491" s="46" t="str">
        <f>VLOOKUP(F1491,[4]在职!$A:$I,9,0)</f>
        <v>实习销售</v>
      </c>
      <c r="I1491" s="46" t="s">
        <v>915</v>
      </c>
      <c r="J1491" s="83">
        <v>46106</v>
      </c>
      <c r="K1491" s="46" t="s">
        <v>1326</v>
      </c>
      <c r="L1491" s="83" t="s">
        <v>25</v>
      </c>
    </row>
    <row r="1492" ht="16.5" spans="1:12">
      <c r="A1492" s="46">
        <v>1490</v>
      </c>
      <c r="B1492" s="46" t="s">
        <v>45</v>
      </c>
      <c r="C1492" s="46" t="str">
        <f>VLOOKUP(F1492,[4]在职!$A:$E,5,0)</f>
        <v>河南</v>
      </c>
      <c r="D1492" s="46" t="str">
        <f>VLOOKUP(F1492,[4]在职!$A:$G,7,0)</f>
        <v>河南销售部</v>
      </c>
      <c r="E1492" s="46" t="str">
        <f>VLOOKUP(F1492,[4]在职!$A:$M,13,0)</f>
        <v>蒋吉勇</v>
      </c>
      <c r="F1492" s="46" t="s">
        <v>1279</v>
      </c>
      <c r="G1492" s="46" t="str">
        <f>VLOOKUP(F1492,[4]在职!$A:$B,2,0)</f>
        <v>01610</v>
      </c>
      <c r="H1492" s="46" t="str">
        <f>VLOOKUP(F1492,[4]在职!$A:$I,9,0)</f>
        <v>实习销售</v>
      </c>
      <c r="I1492" s="46" t="s">
        <v>907</v>
      </c>
      <c r="J1492" s="83">
        <v>46106</v>
      </c>
      <c r="K1492" s="46" t="s">
        <v>1326</v>
      </c>
      <c r="L1492" s="83" t="s">
        <v>25</v>
      </c>
    </row>
    <row r="1493" ht="16.5" spans="1:12">
      <c r="A1493" s="46">
        <v>1491</v>
      </c>
      <c r="B1493" s="46" t="s">
        <v>45</v>
      </c>
      <c r="C1493" s="46" t="str">
        <f>VLOOKUP(F1493,[4]在职!$A:$E,5,0)</f>
        <v>河南</v>
      </c>
      <c r="D1493" s="46" t="s">
        <v>1544</v>
      </c>
      <c r="E1493" s="46" t="str">
        <f>VLOOKUP(F1493,[4]在职!$A:$M,13,0)</f>
        <v>廖静</v>
      </c>
      <c r="F1493" s="46" t="s">
        <v>1543</v>
      </c>
      <c r="G1493" s="46" t="str">
        <f>VLOOKUP(F1493,[4]在职!$A:$B,2,0)</f>
        <v>01917</v>
      </c>
      <c r="H1493" s="46" t="str">
        <f>VLOOKUP(F1493,[4]在职!$A:$I,9,0)</f>
        <v>办公室主任</v>
      </c>
      <c r="I1493" s="46" t="s">
        <v>915</v>
      </c>
      <c r="J1493" s="83">
        <v>46106</v>
      </c>
      <c r="K1493" s="46" t="s">
        <v>1326</v>
      </c>
      <c r="L1493" s="83" t="s">
        <v>25</v>
      </c>
    </row>
    <row r="1494" ht="16.5" spans="1:12">
      <c r="A1494" s="46">
        <v>1492</v>
      </c>
      <c r="B1494" s="46" t="s">
        <v>45</v>
      </c>
      <c r="C1494" s="46" t="str">
        <f>VLOOKUP(F1494,[4]在职!$A:$E,5,0)</f>
        <v>河南</v>
      </c>
      <c r="D1494" s="46" t="str">
        <f>VLOOKUP(F1494,[4]在职!$A:$G,7,0)</f>
        <v>河南销售部</v>
      </c>
      <c r="E1494" s="46" t="str">
        <f>VLOOKUP(F1494,[4]在职!$A:$M,13,0)</f>
        <v>余金梅</v>
      </c>
      <c r="F1494" s="46" t="s">
        <v>1205</v>
      </c>
      <c r="G1494" s="46" t="str">
        <f>VLOOKUP(F1494,[4]在职!$A:$B,2,0)</f>
        <v>01870</v>
      </c>
      <c r="H1494" s="46" t="str">
        <f>VLOOKUP(F1494,[4]在职!$A:$I,9,0)</f>
        <v>实习销售</v>
      </c>
      <c r="I1494" s="46" t="s">
        <v>915</v>
      </c>
      <c r="J1494" s="83">
        <v>46106</v>
      </c>
      <c r="K1494" s="46" t="s">
        <v>1326</v>
      </c>
      <c r="L1494" s="83" t="s">
        <v>25</v>
      </c>
    </row>
    <row r="1495" ht="16.5" spans="1:12">
      <c r="A1495" s="46">
        <v>1493</v>
      </c>
      <c r="B1495" s="46" t="s">
        <v>45</v>
      </c>
      <c r="C1495" s="46" t="str">
        <f>VLOOKUP(F1495,[4]在职!$A:$E,5,0)</f>
        <v>湖北</v>
      </c>
      <c r="D1495" s="46" t="str">
        <f>VLOOKUP(F1495,[4]在职!$A:$G,7,0)</f>
        <v>湖北1部</v>
      </c>
      <c r="E1495" s="46" t="str">
        <f>VLOOKUP(F1495,[4]在职!$A:$M,13,0)</f>
        <v>黄俊</v>
      </c>
      <c r="F1495" s="46" t="s">
        <v>1507</v>
      </c>
      <c r="G1495" s="46" t="str">
        <f>VLOOKUP(F1495,[4]在职!$A:$B,2,0)</f>
        <v>01944</v>
      </c>
      <c r="H1495" s="46" t="str">
        <f>VLOOKUP(F1495,[4]在职!$A:$I,9,0)</f>
        <v>实习销售</v>
      </c>
      <c r="I1495" s="46" t="s">
        <v>907</v>
      </c>
      <c r="J1495" s="83">
        <v>46106</v>
      </c>
      <c r="K1495" s="46" t="s">
        <v>1326</v>
      </c>
      <c r="L1495" s="83" t="s">
        <v>25</v>
      </c>
    </row>
    <row r="1496" ht="16.5" spans="1:12">
      <c r="A1496" s="46">
        <v>1494</v>
      </c>
      <c r="B1496" s="46" t="s">
        <v>45</v>
      </c>
      <c r="C1496" s="46" t="str">
        <f>VLOOKUP(F1496,[4]在职!$A:$E,5,0)</f>
        <v>湖北</v>
      </c>
      <c r="D1496" s="46" t="str">
        <f>VLOOKUP(F1496,[4]在职!$A:$G,7,0)</f>
        <v>湖北2部</v>
      </c>
      <c r="E1496" s="46" t="str">
        <f>VLOOKUP(F1496,[4]在职!$A:$M,13,0)</f>
        <v>马超</v>
      </c>
      <c r="F1496" s="46" t="s">
        <v>1508</v>
      </c>
      <c r="G1496" s="46" t="str">
        <f>VLOOKUP(F1496,[4]在职!$A:$B,2,0)</f>
        <v>01942</v>
      </c>
      <c r="H1496" s="46" t="str">
        <f>VLOOKUP(F1496,[4]在职!$A:$I,9,0)</f>
        <v>实习销售</v>
      </c>
      <c r="I1496" s="46" t="s">
        <v>915</v>
      </c>
      <c r="J1496" s="83">
        <v>46106</v>
      </c>
      <c r="K1496" s="46" t="s">
        <v>1326</v>
      </c>
      <c r="L1496" s="83" t="s">
        <v>25</v>
      </c>
    </row>
    <row r="1497" ht="16.5" spans="1:12">
      <c r="A1497" s="46">
        <v>1495</v>
      </c>
      <c r="B1497" s="46" t="s">
        <v>45</v>
      </c>
      <c r="C1497" s="46" t="str">
        <f>VLOOKUP(F1497,[4]在职!$A:$E,5,0)</f>
        <v>湖北</v>
      </c>
      <c r="D1497" s="46" t="str">
        <f>VLOOKUP(F1497,[4]在职!$A:$G,7,0)</f>
        <v>湖北1部</v>
      </c>
      <c r="E1497" s="46" t="str">
        <f>VLOOKUP(F1497,[4]在职!$A:$M,13,0)</f>
        <v>秦娅玲</v>
      </c>
      <c r="F1497" s="46" t="s">
        <v>1509</v>
      </c>
      <c r="G1497" s="46" t="str">
        <f>VLOOKUP(F1497,[4]在职!$A:$B,2,0)</f>
        <v>01946</v>
      </c>
      <c r="H1497" s="46" t="str">
        <f>VLOOKUP(F1497,[4]在职!$A:$I,9,0)</f>
        <v>实习销售</v>
      </c>
      <c r="I1497" s="46" t="s">
        <v>915</v>
      </c>
      <c r="J1497" s="83">
        <v>46106</v>
      </c>
      <c r="K1497" s="46" t="s">
        <v>1326</v>
      </c>
      <c r="L1497" s="83" t="s">
        <v>25</v>
      </c>
    </row>
    <row r="1498" ht="16.5" spans="1:12">
      <c r="A1498" s="46">
        <v>1496</v>
      </c>
      <c r="B1498" s="46" t="s">
        <v>45</v>
      </c>
      <c r="C1498" s="46" t="str">
        <f>VLOOKUP(F1498,[4]在职!$A:$E,5,0)</f>
        <v>湖北</v>
      </c>
      <c r="D1498" s="46" t="str">
        <f>VLOOKUP(F1498,[4]在职!$A:$G,7,0)</f>
        <v>湖北1部</v>
      </c>
      <c r="E1498" s="46" t="str">
        <f>VLOOKUP(F1498,[4]在职!$A:$M,13,0)</f>
        <v>张宗铭</v>
      </c>
      <c r="F1498" s="46" t="s">
        <v>1510</v>
      </c>
      <c r="G1498" s="46" t="str">
        <f>VLOOKUP(F1498,[4]在职!$A:$B,2,0)</f>
        <v>01977</v>
      </c>
      <c r="H1498" s="46" t="str">
        <f>VLOOKUP(F1498,[4]在职!$A:$I,9,0)</f>
        <v>实习销售</v>
      </c>
      <c r="I1498" s="46" t="s">
        <v>915</v>
      </c>
      <c r="J1498" s="83">
        <v>46106</v>
      </c>
      <c r="K1498" s="46" t="s">
        <v>1326</v>
      </c>
      <c r="L1498" s="83" t="s">
        <v>25</v>
      </c>
    </row>
    <row r="1499" ht="16.5" spans="1:12">
      <c r="A1499" s="46">
        <v>1497</v>
      </c>
      <c r="B1499" s="46" t="s">
        <v>45</v>
      </c>
      <c r="C1499" s="46" t="str">
        <f>VLOOKUP(F1499,[4]在职!$A:$E,5,0)</f>
        <v>湖南</v>
      </c>
      <c r="D1499" s="46" t="str">
        <f>VLOOKUP(F1499,[4]在职!$A:$G,7,0)</f>
        <v>湖南销售部</v>
      </c>
      <c r="E1499" s="46" t="str">
        <f>VLOOKUP(F1499,[4]在职!$A:$M,13,0)</f>
        <v>扈岭楠</v>
      </c>
      <c r="F1499" s="46" t="s">
        <v>1511</v>
      </c>
      <c r="G1499" s="46" t="str">
        <f>VLOOKUP(F1499,[4]在职!$A:$B,2,0)</f>
        <v>01926</v>
      </c>
      <c r="H1499" s="46" t="str">
        <f>VLOOKUP(F1499,[4]在职!$A:$I,9,0)</f>
        <v>实习销售</v>
      </c>
      <c r="I1499" s="46" t="s">
        <v>915</v>
      </c>
      <c r="J1499" s="83">
        <v>46106</v>
      </c>
      <c r="K1499" s="46" t="s">
        <v>1326</v>
      </c>
      <c r="L1499" s="83" t="s">
        <v>25</v>
      </c>
    </row>
    <row r="1500" ht="16.5" spans="1:12">
      <c r="A1500" s="46">
        <v>1498</v>
      </c>
      <c r="B1500" s="46" t="s">
        <v>45</v>
      </c>
      <c r="C1500" s="46" t="str">
        <f>VLOOKUP(F1500,[4]在职!$A:$E,5,0)</f>
        <v>湖南</v>
      </c>
      <c r="D1500" s="46" t="str">
        <f>VLOOKUP(F1500,[4]在职!$A:$G,7,0)</f>
        <v>湖南销售部</v>
      </c>
      <c r="E1500" s="46" t="str">
        <f>VLOOKUP(F1500,[4]在职!$A:$M,13,0)</f>
        <v>刘元发</v>
      </c>
      <c r="F1500" s="46" t="s">
        <v>1261</v>
      </c>
      <c r="G1500" s="46" t="str">
        <f>VLOOKUP(F1500,[4]在职!$A:$B,2,0)</f>
        <v>01907</v>
      </c>
      <c r="H1500" s="46" t="str">
        <f>VLOOKUP(F1500,[4]在职!$A:$I,9,0)</f>
        <v>实习销售</v>
      </c>
      <c r="I1500" s="46" t="s">
        <v>915</v>
      </c>
      <c r="J1500" s="83">
        <v>46106</v>
      </c>
      <c r="K1500" s="46" t="s">
        <v>1326</v>
      </c>
      <c r="L1500" s="83" t="s">
        <v>25</v>
      </c>
    </row>
    <row r="1501" ht="16.5" spans="1:12">
      <c r="A1501" s="46">
        <v>1499</v>
      </c>
      <c r="B1501" s="46" t="s">
        <v>45</v>
      </c>
      <c r="C1501" s="46" t="str">
        <f>VLOOKUP(F1501,[4]在职!$A:$E,5,0)</f>
        <v>湖南</v>
      </c>
      <c r="D1501" s="46" t="str">
        <f>VLOOKUP(F1501,[4]在职!$A:$G,7,0)</f>
        <v>湖南销售部</v>
      </c>
      <c r="E1501" s="46" t="str">
        <f>VLOOKUP(F1501,[4]在职!$A:$M,13,0)</f>
        <v>杨超群</v>
      </c>
      <c r="F1501" s="46" t="s">
        <v>1259</v>
      </c>
      <c r="G1501" s="46" t="str">
        <f>VLOOKUP(F1501,[4]在职!$A:$B,2,0)</f>
        <v>01873</v>
      </c>
      <c r="H1501" s="46" t="str">
        <f>VLOOKUP(F1501,[4]在职!$A:$I,9,0)</f>
        <v>实习销售</v>
      </c>
      <c r="I1501" s="46" t="s">
        <v>915</v>
      </c>
      <c r="J1501" s="83">
        <v>46106</v>
      </c>
      <c r="K1501" s="46" t="s">
        <v>1326</v>
      </c>
      <c r="L1501" s="83" t="s">
        <v>25</v>
      </c>
    </row>
    <row r="1502" ht="16.5" spans="1:12">
      <c r="A1502" s="46">
        <v>1500</v>
      </c>
      <c r="B1502" s="46" t="s">
        <v>45</v>
      </c>
      <c r="C1502" s="46" t="str">
        <f>VLOOKUP(F1502,[4]在职!$A:$E,5,0)</f>
        <v>湖南</v>
      </c>
      <c r="D1502" s="46" t="str">
        <f>VLOOKUP(F1502,[4]在职!$A:$G,7,0)</f>
        <v>湖南销售部</v>
      </c>
      <c r="E1502" s="46" t="str">
        <f>VLOOKUP(F1502,[4]在职!$A:$M,13,0)</f>
        <v>庄素芳</v>
      </c>
      <c r="F1502" s="46" t="s">
        <v>1512</v>
      </c>
      <c r="G1502" s="46" t="str">
        <f>VLOOKUP(F1502,[4]在职!$A:$B,2,0)</f>
        <v>01920</v>
      </c>
      <c r="H1502" s="46" t="str">
        <f>VLOOKUP(F1502,[4]在职!$A:$I,9,0)</f>
        <v>实习销售</v>
      </c>
      <c r="I1502" s="46" t="s">
        <v>915</v>
      </c>
      <c r="J1502" s="83">
        <v>46106</v>
      </c>
      <c r="K1502" s="46" t="s">
        <v>1326</v>
      </c>
      <c r="L1502" s="83" t="s">
        <v>25</v>
      </c>
    </row>
    <row r="1503" ht="16.5" spans="1:12">
      <c r="A1503" s="46">
        <v>1501</v>
      </c>
      <c r="B1503" s="46" t="s">
        <v>45</v>
      </c>
      <c r="C1503" s="46" t="str">
        <f>VLOOKUP(F1503,[4]在职!$A:$E,5,0)</f>
        <v>集团职能</v>
      </c>
      <c r="D1503" s="46" t="str">
        <f>VLOOKUP(F1503,[4]在职!$A:$G,7,0)</f>
        <v>人资行政部</v>
      </c>
      <c r="E1503" s="46" t="str">
        <f>VLOOKUP(F1503,[4]在职!$A:$M,13,0)</f>
        <v>黄芳</v>
      </c>
      <c r="F1503" s="46" t="s">
        <v>1355</v>
      </c>
      <c r="G1503" s="46" t="str">
        <f>VLOOKUP(F1503,[4]在职!$A:$B,2,0)</f>
        <v>01918</v>
      </c>
      <c r="H1503" s="46" t="str">
        <f>VLOOKUP(F1503,[4]在职!$A:$I,9,0)</f>
        <v>人资行政经理</v>
      </c>
      <c r="I1503" s="46" t="s">
        <v>907</v>
      </c>
      <c r="J1503" s="83">
        <v>46106</v>
      </c>
      <c r="K1503" s="46" t="s">
        <v>1326</v>
      </c>
      <c r="L1503" s="83" t="s">
        <v>25</v>
      </c>
    </row>
    <row r="1504" ht="16.5" spans="1:12">
      <c r="A1504" s="46">
        <v>1502</v>
      </c>
      <c r="B1504" s="46" t="s">
        <v>45</v>
      </c>
      <c r="C1504" s="46" t="str">
        <f>VLOOKUP(F1504,[4]在职!$A:$E,5,0)</f>
        <v>集团职能</v>
      </c>
      <c r="D1504" s="46" t="str">
        <f>VLOOKUP(F1504,[4]在职!$A:$G,7,0)</f>
        <v>人资行政部</v>
      </c>
      <c r="E1504" s="46" t="str">
        <f>VLOOKUP(F1504,[4]在职!$A:$M,13,0)</f>
        <v>孔群慧</v>
      </c>
      <c r="F1504" s="46" t="s">
        <v>1537</v>
      </c>
      <c r="G1504" s="46" t="str">
        <f>VLOOKUP(F1504,[4]在职!$A:$B,2,0)</f>
        <v>01948</v>
      </c>
      <c r="H1504" s="46" t="str">
        <f>VLOOKUP(F1504,[4]在职!$A:$I,9,0)</f>
        <v>行政专员</v>
      </c>
      <c r="I1504" s="46" t="s">
        <v>915</v>
      </c>
      <c r="J1504" s="83">
        <v>46106</v>
      </c>
      <c r="K1504" s="46" t="s">
        <v>1326</v>
      </c>
      <c r="L1504" s="83" t="s">
        <v>25</v>
      </c>
    </row>
    <row r="1505" ht="16.5" spans="1:12">
      <c r="A1505" s="46">
        <v>1503</v>
      </c>
      <c r="B1505" s="46" t="s">
        <v>45</v>
      </c>
      <c r="C1505" s="46" t="str">
        <f>VLOOKUP(F1505,[4]在职!$A:$E,5,0)</f>
        <v>集团职能</v>
      </c>
      <c r="D1505" s="46" t="str">
        <f>VLOOKUP(F1505,[4]在职!$A:$G,7,0)</f>
        <v>人资行政部</v>
      </c>
      <c r="E1505" s="46" t="str">
        <f>VLOOKUP(F1505,[4]在职!$A:$M,13,0)</f>
        <v>孔群慧</v>
      </c>
      <c r="F1505" s="46" t="s">
        <v>1538</v>
      </c>
      <c r="G1505" s="46" t="str">
        <f>VLOOKUP(F1505,[4]在职!$A:$B,2,0)</f>
        <v>01937</v>
      </c>
      <c r="H1505" s="46" t="str">
        <f>VLOOKUP(F1505,[4]在职!$A:$I,9,0)</f>
        <v>采购专员</v>
      </c>
      <c r="I1505" s="46" t="s">
        <v>915</v>
      </c>
      <c r="J1505" s="83">
        <v>46106</v>
      </c>
      <c r="K1505" s="46" t="s">
        <v>1326</v>
      </c>
      <c r="L1505" s="83" t="s">
        <v>25</v>
      </c>
    </row>
    <row r="1506" ht="16.5" spans="1:12">
      <c r="A1506" s="46">
        <v>1504</v>
      </c>
      <c r="B1506" s="46" t="s">
        <v>45</v>
      </c>
      <c r="C1506" s="46" t="str">
        <f>VLOOKUP(F1506,[4]在职!$A:$E,5,0)</f>
        <v>集团职能</v>
      </c>
      <c r="D1506" s="46" t="str">
        <f>VLOOKUP(F1506,[4]在职!$A:$G,7,0)</f>
        <v>停车场运营部</v>
      </c>
      <c r="E1506" s="46" t="str">
        <f>VLOOKUP(F1506,[4]在职!$A:$M,13,0)</f>
        <v>刘文宇</v>
      </c>
      <c r="F1506" s="46" t="s">
        <v>1539</v>
      </c>
      <c r="G1506" s="46" t="str">
        <f>VLOOKUP(F1506,[4]在职!$A:$B,2,0)</f>
        <v>01928</v>
      </c>
      <c r="H1506" s="46" t="str">
        <f>VLOOKUP(F1506,[4]在职!$A:$I,9,0)</f>
        <v>停车场运营经理</v>
      </c>
      <c r="I1506" s="46" t="s">
        <v>915</v>
      </c>
      <c r="J1506" s="83">
        <v>46106</v>
      </c>
      <c r="K1506" s="46" t="s">
        <v>1326</v>
      </c>
      <c r="L1506" s="83" t="s">
        <v>25</v>
      </c>
    </row>
    <row r="1507" ht="16.5" spans="1:12">
      <c r="A1507" s="46">
        <v>1505</v>
      </c>
      <c r="B1507" s="46" t="s">
        <v>45</v>
      </c>
      <c r="C1507" s="46" t="str">
        <f>VLOOKUP(F1507,[4]在职!$A:$E,5,0)</f>
        <v>辽宁</v>
      </c>
      <c r="D1507" s="46" t="str">
        <f>VLOOKUP(F1507,[4]在职!$A:$G,7,0)</f>
        <v>辽宁销售部</v>
      </c>
      <c r="E1507" s="46" t="str">
        <f>VLOOKUP(F1507,[4]在职!$A:$M,13,0)</f>
        <v>孙科</v>
      </c>
      <c r="F1507" s="46" t="s">
        <v>1513</v>
      </c>
      <c r="G1507" s="46" t="str">
        <f>VLOOKUP(F1507,[4]在职!$A:$B,2,0)</f>
        <v>01961</v>
      </c>
      <c r="H1507" s="46" t="str">
        <f>VLOOKUP(F1507,[4]在职!$A:$I,9,0)</f>
        <v>实习销售</v>
      </c>
      <c r="I1507" s="46" t="s">
        <v>915</v>
      </c>
      <c r="J1507" s="83">
        <v>46106</v>
      </c>
      <c r="K1507" s="46" t="s">
        <v>1326</v>
      </c>
      <c r="L1507" s="83" t="s">
        <v>25</v>
      </c>
    </row>
    <row r="1508" ht="16.5" spans="1:12">
      <c r="A1508" s="46">
        <v>1506</v>
      </c>
      <c r="B1508" s="46" t="s">
        <v>45</v>
      </c>
      <c r="C1508" s="46" t="str">
        <f>VLOOKUP(F1508,[4]在职!$A:$E,5,0)</f>
        <v>辽宁</v>
      </c>
      <c r="D1508" s="46" t="str">
        <f>VLOOKUP(F1508,[4]在职!$A:$G,7,0)</f>
        <v>辽宁销售部</v>
      </c>
      <c r="E1508" s="46" t="str">
        <f>VLOOKUP(F1508,[4]在职!$A:$M,13,0)</f>
        <v>孙科</v>
      </c>
      <c r="F1508" s="46" t="s">
        <v>1514</v>
      </c>
      <c r="G1508" s="46" t="str">
        <f>VLOOKUP(F1508,[4]在职!$A:$B,2,0)</f>
        <v>01925</v>
      </c>
      <c r="H1508" s="46" t="str">
        <f>VLOOKUP(F1508,[4]在职!$A:$I,9,0)</f>
        <v>实习销售</v>
      </c>
      <c r="I1508" s="46" t="s">
        <v>915</v>
      </c>
      <c r="J1508" s="83">
        <v>46106</v>
      </c>
      <c r="K1508" s="46" t="s">
        <v>1326</v>
      </c>
      <c r="L1508" s="83" t="s">
        <v>25</v>
      </c>
    </row>
    <row r="1509" ht="16.5" spans="1:12">
      <c r="A1509" s="46">
        <v>1507</v>
      </c>
      <c r="B1509" s="46" t="s">
        <v>45</v>
      </c>
      <c r="C1509" s="46" t="str">
        <f>VLOOKUP(F1509,[4]在职!$A:$E,5,0)</f>
        <v>山东</v>
      </c>
      <c r="D1509" s="46" t="str">
        <f>VLOOKUP(F1509,[4]在职!$A:$G,7,0)</f>
        <v>山东销售部</v>
      </c>
      <c r="E1509" s="46" t="str">
        <f>VLOOKUP(F1509,[4]在职!$A:$M,13,0)</f>
        <v>赵文涛</v>
      </c>
      <c r="F1509" s="46" t="s">
        <v>1515</v>
      </c>
      <c r="G1509" s="46" t="str">
        <f>VLOOKUP(F1509,[4]在职!$A:$B,2,0)</f>
        <v>01936</v>
      </c>
      <c r="H1509" s="46" t="str">
        <f>VLOOKUP(F1509,[4]在职!$A:$I,9,0)</f>
        <v>实习销售</v>
      </c>
      <c r="I1509" s="46" t="s">
        <v>915</v>
      </c>
      <c r="J1509" s="83">
        <v>46106</v>
      </c>
      <c r="K1509" s="46" t="s">
        <v>1326</v>
      </c>
      <c r="L1509" s="83" t="s">
        <v>25</v>
      </c>
    </row>
    <row r="1510" ht="16.5" spans="1:12">
      <c r="A1510" s="46">
        <v>1508</v>
      </c>
      <c r="B1510" s="46" t="s">
        <v>45</v>
      </c>
      <c r="C1510" s="46" t="str">
        <f>VLOOKUP(F1510,[4]在职!$A:$E,5,0)</f>
        <v>山东</v>
      </c>
      <c r="D1510" s="46" t="str">
        <f>VLOOKUP(F1510,[4]在职!$A:$G,7,0)</f>
        <v>山东销售部</v>
      </c>
      <c r="E1510" s="46" t="str">
        <f>VLOOKUP(F1510,[4]在职!$A:$M,13,0)</f>
        <v>周涛</v>
      </c>
      <c r="F1510" s="46" t="s">
        <v>1516</v>
      </c>
      <c r="G1510" s="46" t="str">
        <f>VLOOKUP(F1510,[4]在职!$A:$B,2,0)</f>
        <v>01947</v>
      </c>
      <c r="H1510" s="46" t="str">
        <f>VLOOKUP(F1510,[4]在职!$A:$I,9,0)</f>
        <v>实习销售</v>
      </c>
      <c r="I1510" s="46" t="s">
        <v>915</v>
      </c>
      <c r="J1510" s="83">
        <v>46106</v>
      </c>
      <c r="K1510" s="46" t="s">
        <v>1326</v>
      </c>
      <c r="L1510" s="83" t="s">
        <v>25</v>
      </c>
    </row>
    <row r="1511" ht="16.5" spans="1:12">
      <c r="A1511" s="46">
        <v>1509</v>
      </c>
      <c r="B1511" s="46" t="s">
        <v>45</v>
      </c>
      <c r="C1511" s="46" t="str">
        <f>VLOOKUP(F1511,[4]在职!$A:$E,5,0)</f>
        <v>陕西</v>
      </c>
      <c r="D1511" s="46" t="str">
        <f>VLOOKUP(F1511,[4]在职!$A:$G,7,0)</f>
        <v>陕西1部</v>
      </c>
      <c r="E1511" s="46" t="str">
        <f>VLOOKUP(F1511,[4]在职!$A:$M,13,0)</f>
        <v>吕瑞仙</v>
      </c>
      <c r="F1511" s="46" t="s">
        <v>1517</v>
      </c>
      <c r="G1511" s="46" t="str">
        <f>VLOOKUP(F1511,[4]在职!$A:$B,2,0)</f>
        <v>01973</v>
      </c>
      <c r="H1511" s="46" t="str">
        <f>VLOOKUP(F1511,[4]在职!$A:$I,9,0)</f>
        <v>实习销售</v>
      </c>
      <c r="I1511" s="46" t="s">
        <v>915</v>
      </c>
      <c r="J1511" s="83">
        <v>46106</v>
      </c>
      <c r="K1511" s="46" t="s">
        <v>1326</v>
      </c>
      <c r="L1511" s="83" t="s">
        <v>25</v>
      </c>
    </row>
    <row r="1512" ht="16.5" spans="1:12">
      <c r="A1512" s="46">
        <v>1510</v>
      </c>
      <c r="B1512" s="46" t="s">
        <v>45</v>
      </c>
      <c r="C1512" s="46" t="str">
        <f>VLOOKUP(F1512,[4]在职!$A:$E,5,0)</f>
        <v>陕西</v>
      </c>
      <c r="D1512" s="46" t="str">
        <f>VLOOKUP(F1512,[4]在职!$A:$G,7,0)</f>
        <v>陕西2部</v>
      </c>
      <c r="E1512" s="46" t="str">
        <f>VLOOKUP(F1512,[4]在职!$A:$M,13,0)</f>
        <v>乔磊</v>
      </c>
      <c r="F1512" s="46" t="s">
        <v>1518</v>
      </c>
      <c r="G1512" s="46" t="str">
        <f>VLOOKUP(F1512,[4]在职!$A:$B,2,0)</f>
        <v>01930</v>
      </c>
      <c r="H1512" s="46" t="str">
        <f>VLOOKUP(F1512,[4]在职!$A:$I,9,0)</f>
        <v>实习销售</v>
      </c>
      <c r="I1512" s="46" t="s">
        <v>915</v>
      </c>
      <c r="J1512" s="83">
        <v>46106</v>
      </c>
      <c r="K1512" s="46" t="s">
        <v>1326</v>
      </c>
      <c r="L1512" s="83" t="s">
        <v>25</v>
      </c>
    </row>
    <row r="1513" ht="16.5" spans="1:12">
      <c r="A1513" s="46">
        <v>1511</v>
      </c>
      <c r="B1513" s="46" t="s">
        <v>45</v>
      </c>
      <c r="C1513" s="46" t="str">
        <f>VLOOKUP(F1513,[4]在职!$A:$E,5,0)</f>
        <v>陕西</v>
      </c>
      <c r="D1513" s="46" t="str">
        <f>VLOOKUP(F1513,[4]在职!$A:$G,7,0)</f>
        <v>陕西2部</v>
      </c>
      <c r="E1513" s="46" t="str">
        <f>VLOOKUP(F1513,[4]在职!$A:$M,13,0)</f>
        <v>王超2</v>
      </c>
      <c r="F1513" s="46" t="s">
        <v>1519</v>
      </c>
      <c r="G1513" s="46" t="str">
        <f>VLOOKUP(F1513,[4]在职!$A:$B,2,0)</f>
        <v>01943</v>
      </c>
      <c r="H1513" s="46" t="str">
        <f>VLOOKUP(F1513,[4]在职!$A:$I,9,0)</f>
        <v>实习销售</v>
      </c>
      <c r="I1513" s="46" t="s">
        <v>915</v>
      </c>
      <c r="J1513" s="83">
        <v>46106</v>
      </c>
      <c r="K1513" s="46" t="s">
        <v>1326</v>
      </c>
      <c r="L1513" s="83" t="s">
        <v>25</v>
      </c>
    </row>
    <row r="1514" ht="16.5" spans="1:12">
      <c r="A1514" s="46">
        <v>1512</v>
      </c>
      <c r="B1514" s="46" t="s">
        <v>45</v>
      </c>
      <c r="C1514" s="46" t="str">
        <f>VLOOKUP(F1514,[4]在职!$A:$E,5,0)</f>
        <v>陕西</v>
      </c>
      <c r="D1514" s="46" t="str">
        <f>VLOOKUP(F1514,[4]在职!$A:$G,7,0)</f>
        <v>陕西1部</v>
      </c>
      <c r="E1514" s="46" t="str">
        <f>VLOOKUP(F1514,[4]在职!$A:$M,13,0)</f>
        <v>叶湑</v>
      </c>
      <c r="F1514" s="46" t="s">
        <v>1520</v>
      </c>
      <c r="G1514" s="46" t="str">
        <f>VLOOKUP(F1514,[4]在职!$A:$B,2,0)</f>
        <v>01955</v>
      </c>
      <c r="H1514" s="46" t="str">
        <f>VLOOKUP(F1514,[4]在职!$A:$I,9,0)</f>
        <v>实习销售</v>
      </c>
      <c r="I1514" s="46" t="s">
        <v>915</v>
      </c>
      <c r="J1514" s="83">
        <v>46106</v>
      </c>
      <c r="K1514" s="46" t="s">
        <v>1326</v>
      </c>
      <c r="L1514" s="83" t="s">
        <v>25</v>
      </c>
    </row>
    <row r="1515" ht="16.5" spans="1:12">
      <c r="A1515" s="46">
        <v>1513</v>
      </c>
      <c r="B1515" s="46" t="s">
        <v>45</v>
      </c>
      <c r="C1515" s="46" t="str">
        <f>VLOOKUP(F1515,[4]在职!$A:$E,5,0)</f>
        <v>陕西</v>
      </c>
      <c r="D1515" s="46" t="str">
        <f>VLOOKUP(F1515,[4]在职!$A:$G,7,0)</f>
        <v>陕西2部</v>
      </c>
      <c r="E1515" s="46" t="str">
        <f>VLOOKUP(F1515,[4]在职!$A:$M,13,0)</f>
        <v>朱全兰</v>
      </c>
      <c r="F1515" s="46" t="s">
        <v>1521</v>
      </c>
      <c r="G1515" s="46" t="str">
        <f>VLOOKUP(F1515,[4]在职!$A:$B,2,0)</f>
        <v>01932</v>
      </c>
      <c r="H1515" s="46" t="str">
        <f>VLOOKUP(F1515,[4]在职!$A:$I,9,0)</f>
        <v>实习销售</v>
      </c>
      <c r="I1515" s="46" t="s">
        <v>915</v>
      </c>
      <c r="J1515" s="83">
        <v>46106</v>
      </c>
      <c r="K1515" s="46" t="s">
        <v>1326</v>
      </c>
      <c r="L1515" s="83" t="s">
        <v>25</v>
      </c>
    </row>
    <row r="1516" ht="16.5" spans="1:12">
      <c r="A1516" s="46">
        <v>1514</v>
      </c>
      <c r="B1516" s="46" t="s">
        <v>45</v>
      </c>
      <c r="C1516" s="46" t="str">
        <f>VLOOKUP(F1516,[4]在职!$A:$E,5,0)</f>
        <v>西南总部</v>
      </c>
      <c r="D1516" s="46" t="str">
        <f>VLOOKUP(F1516,[4]在职!$A:$G,7,0)</f>
        <v>营业一部</v>
      </c>
      <c r="E1516" s="46" t="str">
        <f>VLOOKUP(F1516,[4]在职!$A:$M,13,0)</f>
        <v>白世根</v>
      </c>
      <c r="F1516" s="46" t="s">
        <v>1522</v>
      </c>
      <c r="G1516" s="46" t="str">
        <f>VLOOKUP(F1516,[4]在职!$A:$B,2,0)</f>
        <v>01978</v>
      </c>
      <c r="H1516" s="46" t="str">
        <f>VLOOKUP(F1516,[4]在职!$A:$I,9,0)</f>
        <v>实习销售</v>
      </c>
      <c r="I1516" s="46" t="s">
        <v>915</v>
      </c>
      <c r="J1516" s="83">
        <v>46106</v>
      </c>
      <c r="K1516" s="46" t="s">
        <v>1326</v>
      </c>
      <c r="L1516" s="83" t="s">
        <v>25</v>
      </c>
    </row>
    <row r="1517" ht="16.5" spans="1:12">
      <c r="A1517" s="46">
        <v>1515</v>
      </c>
      <c r="B1517" s="46" t="s">
        <v>45</v>
      </c>
      <c r="C1517" s="46" t="str">
        <f>VLOOKUP(F1517,[4]在职!$A:$E,5,0)</f>
        <v>西南总部</v>
      </c>
      <c r="D1517" s="46" t="str">
        <f>VLOOKUP(F1517,[4]在职!$A:$G,7,0)</f>
        <v>营业一部</v>
      </c>
      <c r="E1517" s="46" t="str">
        <f>VLOOKUP(F1517,[4]在职!$A:$M,13,0)</f>
        <v>白世根</v>
      </c>
      <c r="F1517" s="46" t="s">
        <v>1523</v>
      </c>
      <c r="G1517" s="46" t="str">
        <f>VLOOKUP(F1517,[4]在职!$A:$B,2,0)</f>
        <v>01963</v>
      </c>
      <c r="H1517" s="46" t="str">
        <f>VLOOKUP(F1517,[4]在职!$A:$I,9,0)</f>
        <v>实习销售</v>
      </c>
      <c r="I1517" s="46" t="s">
        <v>915</v>
      </c>
      <c r="J1517" s="83">
        <v>46106</v>
      </c>
      <c r="K1517" s="46" t="s">
        <v>1326</v>
      </c>
      <c r="L1517" s="83" t="s">
        <v>25</v>
      </c>
    </row>
    <row r="1518" ht="16.5" spans="1:12">
      <c r="A1518" s="46">
        <v>1516</v>
      </c>
      <c r="B1518" s="46" t="s">
        <v>45</v>
      </c>
      <c r="C1518" s="46" t="str">
        <f>VLOOKUP(F1518,[4]在职!$A:$E,5,0)</f>
        <v>西南总部</v>
      </c>
      <c r="D1518" s="46" t="str">
        <f>VLOOKUP(F1518,[4]在职!$A:$G,7,0)</f>
        <v>营业一部</v>
      </c>
      <c r="E1518" s="46" t="str">
        <f>VLOOKUP(F1518,[4]在职!$A:$M,13,0)</f>
        <v>白世根</v>
      </c>
      <c r="F1518" s="46" t="s">
        <v>1524</v>
      </c>
      <c r="G1518" s="46" t="str">
        <f>VLOOKUP(F1518,[4]在职!$A:$B,2,0)</f>
        <v>01964</v>
      </c>
      <c r="H1518" s="46" t="str">
        <f>VLOOKUP(F1518,[4]在职!$A:$I,9,0)</f>
        <v>实习销售</v>
      </c>
      <c r="I1518" s="46" t="s">
        <v>915</v>
      </c>
      <c r="J1518" s="83">
        <v>46106</v>
      </c>
      <c r="K1518" s="46" t="s">
        <v>1326</v>
      </c>
      <c r="L1518" s="83" t="s">
        <v>25</v>
      </c>
    </row>
    <row r="1519" ht="16.5" spans="1:12">
      <c r="A1519" s="46">
        <v>1517</v>
      </c>
      <c r="B1519" s="46" t="s">
        <v>45</v>
      </c>
      <c r="C1519" s="46" t="str">
        <f>VLOOKUP(F1519,[4]在职!$A:$E,5,0)</f>
        <v>西南总部</v>
      </c>
      <c r="D1519" s="46" t="str">
        <f>VLOOKUP(F1519,[4]在职!$A:$G,7,0)</f>
        <v>营业一部</v>
      </c>
      <c r="E1519" s="46" t="str">
        <f>VLOOKUP(F1519,[4]在职!$A:$M,13,0)</f>
        <v>白世根</v>
      </c>
      <c r="F1519" s="46" t="s">
        <v>1525</v>
      </c>
      <c r="G1519" s="46" t="str">
        <f>VLOOKUP(F1519,[4]在职!$A:$B,2,0)</f>
        <v>01929</v>
      </c>
      <c r="H1519" s="46" t="str">
        <f>VLOOKUP(F1519,[4]在职!$A:$I,9,0)</f>
        <v>实习销售</v>
      </c>
      <c r="I1519" s="46" t="s">
        <v>915</v>
      </c>
      <c r="J1519" s="83">
        <v>46106</v>
      </c>
      <c r="K1519" s="46" t="s">
        <v>1326</v>
      </c>
      <c r="L1519" s="83" t="s">
        <v>25</v>
      </c>
    </row>
    <row r="1520" ht="16.5" spans="1:12">
      <c r="A1520" s="46">
        <v>1518</v>
      </c>
      <c r="B1520" s="46" t="s">
        <v>45</v>
      </c>
      <c r="C1520" s="46" t="str">
        <f>VLOOKUP(F1520,[4]在职!$A:$E,5,0)</f>
        <v>西南总部</v>
      </c>
      <c r="D1520" s="46" t="str">
        <f>VLOOKUP(F1520,[4]在职!$A:$G,7,0)</f>
        <v>营业一部</v>
      </c>
      <c r="E1520" s="46" t="str">
        <f>VLOOKUP(F1520,[4]在职!$A:$M,13,0)</f>
        <v>白世根</v>
      </c>
      <c r="F1520" s="46" t="s">
        <v>1437</v>
      </c>
      <c r="G1520" s="46" t="str">
        <f>VLOOKUP(F1520,[4]在职!$A:$B,2,0)</f>
        <v>01753</v>
      </c>
      <c r="H1520" s="46" t="str">
        <f>VLOOKUP(F1520,[4]在职!$A:$I,9,0)</f>
        <v>一星销售顾问</v>
      </c>
      <c r="I1520" s="46" t="s">
        <v>915</v>
      </c>
      <c r="J1520" s="83">
        <v>46106</v>
      </c>
      <c r="K1520" s="46" t="s">
        <v>1326</v>
      </c>
      <c r="L1520" s="83" t="s">
        <v>25</v>
      </c>
    </row>
    <row r="1521" ht="16.5" spans="1:12">
      <c r="A1521" s="46">
        <v>1519</v>
      </c>
      <c r="B1521" s="46" t="s">
        <v>45</v>
      </c>
      <c r="C1521" s="46" t="str">
        <f>VLOOKUP(F1521,[4]在职!$A:$E,5,0)</f>
        <v>西南总部</v>
      </c>
      <c r="D1521" s="46" t="str">
        <f>VLOOKUP(F1521,[4]在职!$A:$G,7,0)</f>
        <v>营业一部</v>
      </c>
      <c r="E1521" s="46" t="str">
        <f>VLOOKUP(F1521,[4]在职!$A:$M,13,0)</f>
        <v>白世根</v>
      </c>
      <c r="F1521" s="46" t="s">
        <v>1321</v>
      </c>
      <c r="G1521" s="46" t="str">
        <f>VLOOKUP(F1521,[4]在职!$A:$B,2,0)</f>
        <v>01821</v>
      </c>
      <c r="H1521" s="46" t="str">
        <f>VLOOKUP(F1521,[4]在职!$A:$I,9,0)</f>
        <v>一星销售顾问</v>
      </c>
      <c r="I1521" s="46" t="s">
        <v>915</v>
      </c>
      <c r="J1521" s="83">
        <v>46106</v>
      </c>
      <c r="K1521" s="46" t="s">
        <v>1326</v>
      </c>
      <c r="L1521" s="83" t="s">
        <v>25</v>
      </c>
    </row>
    <row r="1522" ht="16.5" spans="1:12">
      <c r="A1522" s="46">
        <v>1520</v>
      </c>
      <c r="B1522" s="46" t="s">
        <v>45</v>
      </c>
      <c r="C1522" s="46" t="str">
        <f>VLOOKUP(F1522,[4]在职!$A:$E,5,0)</f>
        <v>西南总部</v>
      </c>
      <c r="D1522" s="46" t="str">
        <f>VLOOKUP(F1522,[4]在职!$A:$G,7,0)</f>
        <v>营业一部</v>
      </c>
      <c r="E1522" s="46" t="str">
        <f>VLOOKUP(F1522,[4]在职!$A:$M,13,0)</f>
        <v>白世根</v>
      </c>
      <c r="F1522" s="46" t="s">
        <v>1436</v>
      </c>
      <c r="G1522" s="46" t="str">
        <f>VLOOKUP(F1522,[4]在职!$A:$B,2,0)</f>
        <v>01763</v>
      </c>
      <c r="H1522" s="46" t="str">
        <f>VLOOKUP(F1522,[4]在职!$A:$I,9,0)</f>
        <v>一星销售顾问</v>
      </c>
      <c r="I1522" s="46" t="s">
        <v>915</v>
      </c>
      <c r="J1522" s="83">
        <v>46106</v>
      </c>
      <c r="K1522" s="46" t="s">
        <v>1326</v>
      </c>
      <c r="L1522" s="83" t="s">
        <v>25</v>
      </c>
    </row>
    <row r="1523" ht="16.5" spans="1:12">
      <c r="A1523" s="46">
        <v>1521</v>
      </c>
      <c r="B1523" s="46" t="s">
        <v>45</v>
      </c>
      <c r="C1523" s="46" t="str">
        <f>VLOOKUP(F1523,[4]在职!$A:$E,5,0)</f>
        <v>西南总部</v>
      </c>
      <c r="D1523" s="46" t="str">
        <f>VLOOKUP(F1523,[4]在职!$A:$G,7,0)</f>
        <v>营业六部</v>
      </c>
      <c r="E1523" s="46" t="str">
        <f>VLOOKUP(F1523,[4]在职!$A:$M,13,0)</f>
        <v>韩颖</v>
      </c>
      <c r="F1523" s="46" t="s">
        <v>1293</v>
      </c>
      <c r="G1523" s="46" t="str">
        <f>VLOOKUP(F1523,[4]在职!$A:$B,2,0)</f>
        <v>01901</v>
      </c>
      <c r="H1523" s="46" t="str">
        <f>VLOOKUP(F1523,[4]在职!$A:$I,9,0)</f>
        <v>实习销售</v>
      </c>
      <c r="I1523" s="46" t="s">
        <v>915</v>
      </c>
      <c r="J1523" s="83">
        <v>46106</v>
      </c>
      <c r="K1523" s="46" t="s">
        <v>1326</v>
      </c>
      <c r="L1523" s="83" t="s">
        <v>25</v>
      </c>
    </row>
    <row r="1524" ht="16.5" spans="1:12">
      <c r="A1524" s="46">
        <v>1522</v>
      </c>
      <c r="B1524" s="46" t="s">
        <v>45</v>
      </c>
      <c r="C1524" s="46" t="str">
        <f>VLOOKUP(F1524,[4]在职!$A:$E,5,0)</f>
        <v>西南总部</v>
      </c>
      <c r="D1524" s="46" t="str">
        <f>VLOOKUP(F1524,[4]在职!$A:$G,7,0)</f>
        <v>营业六部</v>
      </c>
      <c r="E1524" s="46" t="str">
        <f>VLOOKUP(F1524,[4]在职!$A:$M,13,0)</f>
        <v>韩颖</v>
      </c>
      <c r="F1524" s="46" t="s">
        <v>1295</v>
      </c>
      <c r="G1524" s="46" t="str">
        <f>VLOOKUP(F1524,[4]在职!$A:$B,2,0)</f>
        <v>01792</v>
      </c>
      <c r="H1524" s="46" t="str">
        <f>VLOOKUP(F1524,[4]在职!$A:$I,9,0)</f>
        <v>实习销售</v>
      </c>
      <c r="I1524" s="46" t="s">
        <v>915</v>
      </c>
      <c r="J1524" s="83">
        <v>46106</v>
      </c>
      <c r="K1524" s="46" t="s">
        <v>1326</v>
      </c>
      <c r="L1524" s="83" t="s">
        <v>25</v>
      </c>
    </row>
    <row r="1525" ht="16.5" spans="1:12">
      <c r="A1525" s="46">
        <v>1523</v>
      </c>
      <c r="B1525" s="46" t="s">
        <v>45</v>
      </c>
      <c r="C1525" s="46" t="str">
        <f>VLOOKUP(F1525,[4]在职!$A:$E,5,0)</f>
        <v>西南总部</v>
      </c>
      <c r="D1525" s="46" t="str">
        <f>VLOOKUP(F1525,[4]在职!$A:$G,7,0)</f>
        <v>营业一部</v>
      </c>
      <c r="E1525" s="46" t="str">
        <f>VLOOKUP(F1525,[4]在职!$A:$M,13,0)</f>
        <v>胡雪梅</v>
      </c>
      <c r="F1525" s="46" t="s">
        <v>1526</v>
      </c>
      <c r="G1525" s="46" t="str">
        <f>VLOOKUP(F1525,[4]在职!$A:$B,2,0)</f>
        <v>01966</v>
      </c>
      <c r="H1525" s="46" t="str">
        <f>VLOOKUP(F1525,[4]在职!$A:$I,9,0)</f>
        <v>实习销售</v>
      </c>
      <c r="I1525" s="46" t="s">
        <v>915</v>
      </c>
      <c r="J1525" s="83">
        <v>46106</v>
      </c>
      <c r="K1525" s="46" t="s">
        <v>1326</v>
      </c>
      <c r="L1525" s="83" t="s">
        <v>25</v>
      </c>
    </row>
    <row r="1526" ht="16.5" spans="1:12">
      <c r="A1526" s="46">
        <v>1524</v>
      </c>
      <c r="B1526" s="46" t="s">
        <v>45</v>
      </c>
      <c r="C1526" s="46" t="str">
        <f>VLOOKUP(F1526,[4]在职!$A:$E,5,0)</f>
        <v>河北</v>
      </c>
      <c r="D1526" s="46" t="str">
        <f>VLOOKUP(F1526,[4]在职!$A:$G,7,0)</f>
        <v>河北销售部</v>
      </c>
      <c r="E1526" s="46" t="str">
        <f>VLOOKUP(F1526,[4]在职!$A:$M,13,0)</f>
        <v>扈岭楠</v>
      </c>
      <c r="F1526" s="46" t="s">
        <v>1283</v>
      </c>
      <c r="G1526" s="46" t="str">
        <f>VLOOKUP(F1526,[4]在职!$A:$B,2,0)</f>
        <v>01880</v>
      </c>
      <c r="H1526" s="46" t="str">
        <f>VLOOKUP(F1526,[4]在职!$A:$I,9,0)</f>
        <v>实习销售</v>
      </c>
      <c r="I1526" s="46" t="s">
        <v>915</v>
      </c>
      <c r="J1526" s="83">
        <v>46106</v>
      </c>
      <c r="K1526" s="46" t="s">
        <v>1326</v>
      </c>
      <c r="L1526" s="83" t="s">
        <v>25</v>
      </c>
    </row>
    <row r="1527" ht="16.5" spans="1:12">
      <c r="A1527" s="46">
        <v>1525</v>
      </c>
      <c r="B1527" s="46" t="s">
        <v>45</v>
      </c>
      <c r="C1527" s="46" t="str">
        <f>VLOOKUP(F1527,[4]在职!$A:$E,5,0)</f>
        <v>河北</v>
      </c>
      <c r="D1527" s="46" t="str">
        <f>VLOOKUP(F1527,[4]在职!$A:$G,7,0)</f>
        <v>河北销售部</v>
      </c>
      <c r="E1527" s="46" t="str">
        <f>VLOOKUP(F1527,[4]在职!$A:$M,13,0)</f>
        <v>扈岭楠</v>
      </c>
      <c r="F1527" s="46" t="s">
        <v>1285</v>
      </c>
      <c r="G1527" s="46" t="str">
        <f>VLOOKUP(F1527,[4]在职!$A:$B,2,0)</f>
        <v>01817</v>
      </c>
      <c r="H1527" s="46" t="str">
        <f>VLOOKUP(F1527,[4]在职!$A:$I,9,0)</f>
        <v>实习销售</v>
      </c>
      <c r="I1527" s="46" t="s">
        <v>915</v>
      </c>
      <c r="J1527" s="83">
        <v>46106</v>
      </c>
      <c r="K1527" s="46" t="s">
        <v>1326</v>
      </c>
      <c r="L1527" s="83" t="s">
        <v>25</v>
      </c>
    </row>
    <row r="1528" ht="16.5" spans="1:12">
      <c r="A1528" s="46">
        <v>1526</v>
      </c>
      <c r="B1528" s="46" t="s">
        <v>45</v>
      </c>
      <c r="C1528" s="46" t="str">
        <f>VLOOKUP(F1528,[4]在职!$A:$E,5,0)</f>
        <v>西南总部</v>
      </c>
      <c r="D1528" s="46" t="str">
        <f>VLOOKUP(F1528,[4]在职!$A:$G,7,0)</f>
        <v>营业七部</v>
      </c>
      <c r="E1528" s="46" t="str">
        <f>VLOOKUP(F1528,[4]在职!$A:$M,13,0)</f>
        <v>刘鹏</v>
      </c>
      <c r="F1528" s="46" t="s">
        <v>1263</v>
      </c>
      <c r="G1528" s="46" t="str">
        <f>VLOOKUP(F1528,[4]在职!$A:$B,2,0)</f>
        <v>01723</v>
      </c>
      <c r="H1528" s="46" t="str">
        <f>VLOOKUP(F1528,[4]在职!$A:$I,9,0)</f>
        <v>一星销售顾问</v>
      </c>
      <c r="I1528" s="46" t="s">
        <v>907</v>
      </c>
      <c r="J1528" s="83">
        <v>46106</v>
      </c>
      <c r="K1528" s="46" t="s">
        <v>1326</v>
      </c>
      <c r="L1528" s="83" t="s">
        <v>25</v>
      </c>
    </row>
    <row r="1529" ht="16.5" spans="1:12">
      <c r="A1529" s="46">
        <v>1527</v>
      </c>
      <c r="B1529" s="46" t="s">
        <v>45</v>
      </c>
      <c r="C1529" s="46" t="str">
        <f>VLOOKUP(F1529,[4]在职!$A:$E,5,0)</f>
        <v>西南总部</v>
      </c>
      <c r="D1529" s="46" t="str">
        <f>VLOOKUP(F1529,[4]在职!$A:$G,7,0)</f>
        <v>营业七部</v>
      </c>
      <c r="E1529" s="46" t="str">
        <f>VLOOKUP(F1529,[4]在职!$A:$M,13,0)</f>
        <v>刘鹏</v>
      </c>
      <c r="F1529" s="46" t="s">
        <v>1197</v>
      </c>
      <c r="G1529" s="46" t="str">
        <f>VLOOKUP(F1529,[4]在职!$A:$B,2,0)</f>
        <v>01900</v>
      </c>
      <c r="H1529" s="46" t="str">
        <f>VLOOKUP(F1529,[4]在职!$A:$I,9,0)</f>
        <v>实习销售</v>
      </c>
      <c r="I1529" s="46" t="s">
        <v>907</v>
      </c>
      <c r="J1529" s="83">
        <v>46106</v>
      </c>
      <c r="K1529" s="46" t="s">
        <v>1326</v>
      </c>
      <c r="L1529" s="83" t="s">
        <v>25</v>
      </c>
    </row>
    <row r="1530" ht="16.5" spans="1:12">
      <c r="A1530" s="46">
        <v>1528</v>
      </c>
      <c r="B1530" s="46" t="s">
        <v>45</v>
      </c>
      <c r="C1530" s="46" t="str">
        <f>VLOOKUP(F1530,[4]在职!$A:$E,5,0)</f>
        <v>西南总部</v>
      </c>
      <c r="D1530" s="46" t="str">
        <f>VLOOKUP(F1530,[4]在职!$A:$G,7,0)</f>
        <v>营业六部</v>
      </c>
      <c r="E1530" s="46" t="str">
        <f>VLOOKUP(F1530,[4]在职!$A:$M,13,0)</f>
        <v>毛富林</v>
      </c>
      <c r="F1530" s="46" t="s">
        <v>1527</v>
      </c>
      <c r="G1530" s="46" t="str">
        <f>VLOOKUP(F1530,[4]在职!$A:$B,2,0)</f>
        <v>01969</v>
      </c>
      <c r="H1530" s="46" t="str">
        <f>VLOOKUP(F1530,[4]在职!$A:$I,9,0)</f>
        <v>实习销售</v>
      </c>
      <c r="I1530" s="46" t="s">
        <v>915</v>
      </c>
      <c r="J1530" s="83">
        <v>46106</v>
      </c>
      <c r="K1530" s="46" t="s">
        <v>1326</v>
      </c>
      <c r="L1530" s="83" t="s">
        <v>25</v>
      </c>
    </row>
    <row r="1531" ht="16.5" spans="1:12">
      <c r="A1531" s="46">
        <v>1529</v>
      </c>
      <c r="B1531" s="46" t="s">
        <v>45</v>
      </c>
      <c r="C1531" s="46" t="str">
        <f>VLOOKUP(F1531,[4]在职!$A:$E,5,0)</f>
        <v>西南总部</v>
      </c>
      <c r="D1531" s="46" t="str">
        <f>VLOOKUP(F1531,[4]在职!$A:$G,7,0)</f>
        <v>营业七部</v>
      </c>
      <c r="E1531" s="46" t="str">
        <f>VLOOKUP(F1531,[4]在职!$A:$M,13,0)</f>
        <v>彭小琴</v>
      </c>
      <c r="F1531" s="46" t="s">
        <v>1528</v>
      </c>
      <c r="G1531" s="46" t="str">
        <f>VLOOKUP(F1531,[4]在职!$A:$B,2,0)</f>
        <v>01959</v>
      </c>
      <c r="H1531" s="46" t="str">
        <f>VLOOKUP(F1531,[4]在职!$A:$I,9,0)</f>
        <v>实习销售</v>
      </c>
      <c r="I1531" s="46" t="s">
        <v>915</v>
      </c>
      <c r="J1531" s="83">
        <v>46106</v>
      </c>
      <c r="K1531" s="46" t="s">
        <v>1326</v>
      </c>
      <c r="L1531" s="83" t="s">
        <v>25</v>
      </c>
    </row>
    <row r="1532" ht="16.5" spans="1:12">
      <c r="A1532" s="46">
        <v>1530</v>
      </c>
      <c r="B1532" s="46" t="s">
        <v>45</v>
      </c>
      <c r="C1532" s="46" t="str">
        <f>VLOOKUP(F1532,[4]在职!$A:$E,5,0)</f>
        <v>西南总部</v>
      </c>
      <c r="D1532" s="46" t="str">
        <f>VLOOKUP(F1532,[4]在职!$A:$G,7,0)</f>
        <v>营业七部</v>
      </c>
      <c r="E1532" s="46" t="str">
        <f>VLOOKUP(F1532,[4]在职!$A:$M,13,0)</f>
        <v>彭小琴</v>
      </c>
      <c r="F1532" s="46" t="s">
        <v>1529</v>
      </c>
      <c r="G1532" s="46" t="str">
        <f>VLOOKUP(F1532,[4]在职!$A:$B,2,0)</f>
        <v>01958</v>
      </c>
      <c r="H1532" s="46" t="str">
        <f>VLOOKUP(F1532,[4]在职!$A:$I,9,0)</f>
        <v>实习销售</v>
      </c>
      <c r="I1532" s="46" t="s">
        <v>915</v>
      </c>
      <c r="J1532" s="83">
        <v>46106</v>
      </c>
      <c r="K1532" s="46" t="s">
        <v>1326</v>
      </c>
      <c r="L1532" s="83" t="s">
        <v>25</v>
      </c>
    </row>
    <row r="1533" ht="16.5" spans="1:12">
      <c r="A1533" s="46">
        <v>1531</v>
      </c>
      <c r="B1533" s="46" t="s">
        <v>45</v>
      </c>
      <c r="C1533" s="46" t="str">
        <f>VLOOKUP(F1533,[4]在职!$A:$E,5,0)</f>
        <v>西南总部</v>
      </c>
      <c r="D1533" s="46" t="str">
        <f>VLOOKUP(F1533,[4]在职!$A:$G,7,0)</f>
        <v>营业三部</v>
      </c>
      <c r="E1533" s="46" t="str">
        <f>VLOOKUP(F1533,[4]在职!$A:$M,13,0)</f>
        <v>吴建鑫</v>
      </c>
      <c r="F1533" s="46" t="s">
        <v>1530</v>
      </c>
      <c r="G1533" s="46" t="str">
        <f>VLOOKUP(F1533,[4]在职!$A:$B,2,0)</f>
        <v>01970</v>
      </c>
      <c r="H1533" s="46" t="str">
        <f>VLOOKUP(F1533,[4]在职!$A:$I,9,0)</f>
        <v>实习销售</v>
      </c>
      <c r="I1533" s="46" t="s">
        <v>915</v>
      </c>
      <c r="J1533" s="83">
        <v>46106</v>
      </c>
      <c r="K1533" s="46" t="s">
        <v>1326</v>
      </c>
      <c r="L1533" s="83" t="s">
        <v>25</v>
      </c>
    </row>
    <row r="1534" ht="16.5" spans="1:12">
      <c r="A1534" s="46">
        <v>1532</v>
      </c>
      <c r="B1534" s="46" t="s">
        <v>45</v>
      </c>
      <c r="C1534" s="46" t="str">
        <f>VLOOKUP(F1534,[4]在职!$A:$E,5,0)</f>
        <v>西南总部</v>
      </c>
      <c r="D1534" s="46" t="str">
        <f>VLOOKUP(F1534,[4]在职!$A:$G,7,0)</f>
        <v>营业六部</v>
      </c>
      <c r="E1534" s="46" t="str">
        <f>VLOOKUP(F1534,[4]在职!$A:$M,13,0)</f>
        <v>杨翠茹</v>
      </c>
      <c r="F1534" s="46" t="s">
        <v>1215</v>
      </c>
      <c r="G1534" s="46" t="str">
        <f>VLOOKUP(F1534,[4]在职!$A:$B,2,0)</f>
        <v>01854</v>
      </c>
      <c r="H1534" s="46" t="str">
        <f>VLOOKUP(F1534,[4]在职!$A:$I,9,0)</f>
        <v>实习销售</v>
      </c>
      <c r="I1534" s="46" t="s">
        <v>915</v>
      </c>
      <c r="J1534" s="83">
        <v>46106</v>
      </c>
      <c r="K1534" s="46" t="s">
        <v>1326</v>
      </c>
      <c r="L1534" s="83" t="s">
        <v>25</v>
      </c>
    </row>
    <row r="1535" ht="16.5" spans="1:12">
      <c r="A1535" s="46">
        <v>1533</v>
      </c>
      <c r="B1535" s="46" t="s">
        <v>45</v>
      </c>
      <c r="C1535" s="46" t="str">
        <f>VLOOKUP(F1535,[4]在职!$A:$E,5,0)</f>
        <v>西南总部</v>
      </c>
      <c r="D1535" s="46" t="str">
        <f>VLOOKUP(F1535,[4]在职!$A:$G,7,0)</f>
        <v>杨薇</v>
      </c>
      <c r="E1535" s="46" t="str">
        <f>VLOOKUP(F1535,[4]在职!$A:$M,13,0)</f>
        <v>杨薇</v>
      </c>
      <c r="F1535" s="46" t="s">
        <v>1531</v>
      </c>
      <c r="G1535" s="46" t="str">
        <f>VLOOKUP(F1535,[4]在职!$A:$B,2,0)</f>
        <v>01938</v>
      </c>
      <c r="H1535" s="46" t="str">
        <f>VLOOKUP(F1535,[4]在职!$A:$I,9,0)</f>
        <v>实习销售</v>
      </c>
      <c r="I1535" s="46" t="s">
        <v>915</v>
      </c>
      <c r="J1535" s="83">
        <v>46106</v>
      </c>
      <c r="K1535" s="46" t="s">
        <v>1326</v>
      </c>
      <c r="L1535" s="83" t="s">
        <v>25</v>
      </c>
    </row>
    <row r="1536" ht="16.5" spans="1:12">
      <c r="A1536" s="46">
        <v>1534</v>
      </c>
      <c r="B1536" s="46" t="s">
        <v>45</v>
      </c>
      <c r="C1536" s="46" t="str">
        <f>VLOOKUP(F1536,[4]在职!$A:$E,5,0)</f>
        <v>西南总部</v>
      </c>
      <c r="D1536" s="46" t="str">
        <f>VLOOKUP(F1536,[4]在职!$A:$G,7,0)</f>
        <v>营业五部</v>
      </c>
      <c r="E1536" s="46" t="str">
        <f>VLOOKUP(F1536,[4]在职!$A:$M,13,0)</f>
        <v>张萍2</v>
      </c>
      <c r="F1536" s="46" t="s">
        <v>1171</v>
      </c>
      <c r="G1536" s="46" t="str">
        <f>VLOOKUP(F1536,[4]在职!$A:$B,2,0)</f>
        <v>01876</v>
      </c>
      <c r="H1536" s="46" t="str">
        <f>VLOOKUP(F1536,[4]在职!$A:$I,9,0)</f>
        <v>实习销售</v>
      </c>
      <c r="I1536" s="46" t="s">
        <v>915</v>
      </c>
      <c r="J1536" s="83">
        <v>46106</v>
      </c>
      <c r="K1536" s="46" t="s">
        <v>1326</v>
      </c>
      <c r="L1536" s="83" t="s">
        <v>25</v>
      </c>
    </row>
    <row r="1537" ht="16.5" spans="1:12">
      <c r="A1537" s="46">
        <v>1535</v>
      </c>
      <c r="B1537" s="46" t="s">
        <v>45</v>
      </c>
      <c r="C1537" s="46" t="str">
        <f>VLOOKUP(F1537,[4]在职!$A:$E,5,0)</f>
        <v>西南总部</v>
      </c>
      <c r="D1537" s="46" t="str">
        <f>VLOOKUP(F1537,[4]在职!$A:$G,7,0)</f>
        <v>营业五部</v>
      </c>
      <c r="E1537" s="46" t="str">
        <f>VLOOKUP(F1537,[4]在职!$A:$M,13,0)</f>
        <v>张萍2</v>
      </c>
      <c r="F1537" s="46" t="s">
        <v>1195</v>
      </c>
      <c r="G1537" s="46" t="str">
        <f>VLOOKUP(F1537,[4]在职!$A:$B,2,0)</f>
        <v>01765</v>
      </c>
      <c r="H1537" s="46" t="str">
        <f>VLOOKUP(F1537,[4]在职!$A:$I,9,0)</f>
        <v>实习销售</v>
      </c>
      <c r="I1537" s="46" t="s">
        <v>907</v>
      </c>
      <c r="J1537" s="83">
        <v>46106</v>
      </c>
      <c r="K1537" s="46" t="s">
        <v>1326</v>
      </c>
      <c r="L1537" s="83" t="s">
        <v>25</v>
      </c>
    </row>
    <row r="1538" ht="16.5" spans="1:12">
      <c r="A1538" s="46">
        <v>1536</v>
      </c>
      <c r="B1538" s="46" t="s">
        <v>45</v>
      </c>
      <c r="C1538" s="46" t="str">
        <f>VLOOKUP(F1538,[4]在职!$A:$E,5,0)</f>
        <v>西南总部</v>
      </c>
      <c r="D1538" s="46" t="str">
        <f>VLOOKUP(F1538,[4]在职!$A:$G,7,0)</f>
        <v>营业五部</v>
      </c>
      <c r="E1538" s="46" t="str">
        <f>VLOOKUP(F1538,[4]在职!$A:$M,13,0)</f>
        <v>张萍2</v>
      </c>
      <c r="F1538" s="46" t="s">
        <v>1193</v>
      </c>
      <c r="G1538" s="46" t="str">
        <f>VLOOKUP(F1538,[4]在职!$A:$B,2,0)</f>
        <v>01881</v>
      </c>
      <c r="H1538" s="46" t="str">
        <f>VLOOKUP(F1538,[4]在职!$A:$I,9,0)</f>
        <v>实习销售</v>
      </c>
      <c r="I1538" s="46" t="s">
        <v>907</v>
      </c>
      <c r="J1538" s="83">
        <v>46106</v>
      </c>
      <c r="K1538" s="46" t="s">
        <v>1326</v>
      </c>
      <c r="L1538" s="83" t="s">
        <v>25</v>
      </c>
    </row>
    <row r="1539" ht="16.5" spans="1:12">
      <c r="A1539" s="46">
        <v>1537</v>
      </c>
      <c r="B1539" s="46" t="s">
        <v>45</v>
      </c>
      <c r="C1539" s="46" t="str">
        <f>VLOOKUP(F1539,[4]在职!$A:$E,5,0)</f>
        <v>西南总部</v>
      </c>
      <c r="D1539" s="46" t="str">
        <f>VLOOKUP(F1539,[4]在职!$A:$G,7,0)</f>
        <v>营业一部</v>
      </c>
      <c r="E1539" s="46" t="str">
        <f>VLOOKUP(F1539,[4]在职!$A:$M,13,0)</f>
        <v>张圣梁</v>
      </c>
      <c r="F1539" s="46" t="s">
        <v>1532</v>
      </c>
      <c r="G1539" s="46" t="str">
        <f>VLOOKUP(F1539,[4]在职!$A:$B,2,0)</f>
        <v>01924</v>
      </c>
      <c r="H1539" s="46" t="str">
        <f>VLOOKUP(F1539,[4]在职!$A:$I,9,0)</f>
        <v>实习销售</v>
      </c>
      <c r="I1539" s="46" t="s">
        <v>915</v>
      </c>
      <c r="J1539" s="83">
        <v>46106</v>
      </c>
      <c r="K1539" s="46" t="s">
        <v>1326</v>
      </c>
      <c r="L1539" s="83" t="s">
        <v>25</v>
      </c>
    </row>
    <row r="1540" ht="16.5" spans="1:12">
      <c r="A1540" s="46">
        <v>1538</v>
      </c>
      <c r="B1540" s="46" t="s">
        <v>45</v>
      </c>
      <c r="C1540" s="46" t="str">
        <f>VLOOKUP(F1540,[4]在职!$A:$E,5,0)</f>
        <v>西南总部</v>
      </c>
      <c r="D1540" s="46" t="str">
        <f>VLOOKUP(F1540,[4]在职!$A:$G,7,0)</f>
        <v>营业三部</v>
      </c>
      <c r="E1540" s="46" t="str">
        <f>VLOOKUP(F1540,[4]在职!$A:$M,13,0)</f>
        <v>郑景慕</v>
      </c>
      <c r="F1540" s="46" t="s">
        <v>1184</v>
      </c>
      <c r="G1540" s="46" t="str">
        <f>VLOOKUP(F1540,[4]在职!$A:$B,2,0)</f>
        <v>01893</v>
      </c>
      <c r="H1540" s="46" t="str">
        <f>VLOOKUP(F1540,[4]在职!$A:$I,9,0)</f>
        <v>实习销售</v>
      </c>
      <c r="I1540" s="46" t="s">
        <v>915</v>
      </c>
      <c r="J1540" s="83">
        <v>46106</v>
      </c>
      <c r="K1540" s="46" t="s">
        <v>1326</v>
      </c>
      <c r="L1540" s="83" t="s">
        <v>25</v>
      </c>
    </row>
    <row r="1541" ht="16.5" spans="1:12">
      <c r="A1541" s="46">
        <v>1539</v>
      </c>
      <c r="B1541" s="46" t="s">
        <v>45</v>
      </c>
      <c r="C1541" s="46" t="str">
        <f>VLOOKUP(F1541,[4]在职!$A:$E,5,0)</f>
        <v>山东</v>
      </c>
      <c r="D1541" s="46" t="str">
        <f>VLOOKUP(F1541,[4]在职!$A:$G,7,0)</f>
        <v>山东销售部</v>
      </c>
      <c r="E1541" s="46" t="str">
        <f>VLOOKUP(F1541,[4]在职!$A:$M,13,0)</f>
        <v>肖佳</v>
      </c>
      <c r="F1541" s="46" t="s">
        <v>1535</v>
      </c>
      <c r="G1541" s="46" t="str">
        <f>VLOOKUP(F1541,[4]在职!$A:$B,2,0)</f>
        <v>01956</v>
      </c>
      <c r="H1541" s="46" t="str">
        <f>VLOOKUP(F1541,[4]在职!$A:$I,9,0)</f>
        <v>实习销售</v>
      </c>
      <c r="I1541" s="46" t="s">
        <v>915</v>
      </c>
      <c r="J1541" s="83">
        <v>46106</v>
      </c>
      <c r="K1541" s="46" t="s">
        <v>1326</v>
      </c>
      <c r="L1541" s="83" t="s">
        <v>25</v>
      </c>
    </row>
    <row r="1542" ht="16.5" spans="1:12">
      <c r="A1542" s="46">
        <v>1540</v>
      </c>
      <c r="B1542" s="46" t="s">
        <v>45</v>
      </c>
      <c r="C1542" s="46" t="s">
        <v>1607</v>
      </c>
      <c r="D1542" s="46" t="s">
        <v>1547</v>
      </c>
      <c r="E1542" s="46" t="s">
        <v>1355</v>
      </c>
      <c r="F1542" s="46" t="s">
        <v>1545</v>
      </c>
      <c r="G1542" s="170" t="s">
        <v>1546</v>
      </c>
      <c r="H1542" s="46" t="s">
        <v>1548</v>
      </c>
      <c r="I1542" s="46" t="s">
        <v>915</v>
      </c>
      <c r="J1542" s="83">
        <v>46106</v>
      </c>
      <c r="K1542" s="46" t="s">
        <v>1326</v>
      </c>
      <c r="L1542" s="83" t="s">
        <v>25</v>
      </c>
    </row>
    <row r="1543" ht="16.5" spans="1:12">
      <c r="A1543" s="46">
        <v>1541</v>
      </c>
      <c r="B1543" s="46" t="s">
        <v>45</v>
      </c>
      <c r="C1543" s="46" t="str">
        <f>VLOOKUP(F1543,[4]在职!$A:$E,5,0)</f>
        <v>集团职能</v>
      </c>
      <c r="D1543" s="46" t="str">
        <f>VLOOKUP(F1543,[4]在职!$A:$G,7,0)</f>
        <v>人资行政部</v>
      </c>
      <c r="E1543" s="46" t="str">
        <f>VLOOKUP(F1543,[4]在职!$A:$M,13,0)</f>
        <v>孔群慧</v>
      </c>
      <c r="F1543" s="46" t="s">
        <v>1549</v>
      </c>
      <c r="G1543" s="46" t="str">
        <f>VLOOKUP(F1543,[4]在职!$A:$B,2,0)</f>
        <v>01984</v>
      </c>
      <c r="H1543" s="46" t="str">
        <f>VLOOKUP(F1543,[4]在职!$A:$I,9,0)</f>
        <v>人事专员</v>
      </c>
      <c r="I1543" s="46" t="s">
        <v>915</v>
      </c>
      <c r="J1543" s="83">
        <v>46106</v>
      </c>
      <c r="K1543" s="46" t="s">
        <v>1326</v>
      </c>
      <c r="L1543" s="83" t="s">
        <v>25</v>
      </c>
    </row>
    <row r="1544" ht="16.5" spans="1:12">
      <c r="A1544" s="46">
        <v>1542</v>
      </c>
      <c r="B1544" s="46" t="s">
        <v>45</v>
      </c>
      <c r="C1544" s="46" t="str">
        <f>VLOOKUP(F1544,[4]在职!$A:$E,5,0)</f>
        <v>集团职能</v>
      </c>
      <c r="D1544" s="46" t="str">
        <f>VLOOKUP(F1544,[4]在职!$A:$G,7,0)</f>
        <v>人资行政部</v>
      </c>
      <c r="E1544" s="46" t="str">
        <f>VLOOKUP(F1544,[4]在职!$A:$M,13,0)</f>
        <v>孔群慧</v>
      </c>
      <c r="F1544" s="46" t="s">
        <v>1540</v>
      </c>
      <c r="G1544" s="46" t="str">
        <f>VLOOKUP(F1544,[4]在职!$A:$B,2,0)</f>
        <v>02001</v>
      </c>
      <c r="H1544" s="46" t="str">
        <f>VLOOKUP(F1544,[4]在职!$A:$I,9,0)</f>
        <v>薪酬专员</v>
      </c>
      <c r="I1544" s="46" t="s">
        <v>915</v>
      </c>
      <c r="J1544" s="83">
        <v>46106</v>
      </c>
      <c r="K1544" s="46" t="s">
        <v>1326</v>
      </c>
      <c r="L1544" s="83" t="s">
        <v>25</v>
      </c>
    </row>
    <row r="1545" ht="16.5" spans="1:12">
      <c r="A1545" s="46">
        <v>1543</v>
      </c>
      <c r="B1545" s="46" t="s">
        <v>45</v>
      </c>
      <c r="C1545" s="46" t="str">
        <f>VLOOKUP(F1545,[4]在职!$A:$E,5,0)</f>
        <v>河北</v>
      </c>
      <c r="D1545" s="46" t="str">
        <f>VLOOKUP(F1545,[4]在职!$A:$G,7,0)</f>
        <v>河北销售部</v>
      </c>
      <c r="E1545" s="46" t="str">
        <f>VLOOKUP(F1545,[4]在职!$A:$M,13,0)</f>
        <v>陈东2</v>
      </c>
      <c r="F1545" s="46" t="s">
        <v>1550</v>
      </c>
      <c r="G1545" s="46" t="str">
        <f>VLOOKUP(F1545,[4]在职!$A:$B,2,0)</f>
        <v>01962</v>
      </c>
      <c r="H1545" s="46" t="str">
        <f>VLOOKUP(F1545,[4]在职!$A:$I,9,0)</f>
        <v>实习销售</v>
      </c>
      <c r="I1545" s="46" t="s">
        <v>907</v>
      </c>
      <c r="J1545" s="83">
        <v>46106</v>
      </c>
      <c r="K1545" s="46" t="s">
        <v>1326</v>
      </c>
      <c r="L1545" s="83" t="s">
        <v>25</v>
      </c>
    </row>
    <row r="1546" ht="16.5" spans="1:12">
      <c r="A1546" s="46">
        <v>1544</v>
      </c>
      <c r="B1546" s="46" t="s">
        <v>45</v>
      </c>
      <c r="C1546" s="46" t="str">
        <f>VLOOKUP(F1546,[4]在职!$A:$E,5,0)</f>
        <v>河北</v>
      </c>
      <c r="D1546" s="46" t="str">
        <f>VLOOKUP(F1546,[4]在职!$A:$G,7,0)</f>
        <v>河北销售部</v>
      </c>
      <c r="E1546" s="46" t="str">
        <f>VLOOKUP(F1546,[4]在职!$A:$M,13,0)</f>
        <v>陈东2</v>
      </c>
      <c r="F1546" s="46" t="s">
        <v>1309</v>
      </c>
      <c r="G1546" s="46" t="str">
        <f>VLOOKUP(F1546,[4]在职!$A:$B,2,0)</f>
        <v>01902</v>
      </c>
      <c r="H1546" s="46" t="str">
        <f>VLOOKUP(F1546,[4]在职!$A:$I,9,0)</f>
        <v>实习销售</v>
      </c>
      <c r="I1546" s="46" t="s">
        <v>907</v>
      </c>
      <c r="J1546" s="83">
        <v>46106</v>
      </c>
      <c r="K1546" s="46" t="s">
        <v>1326</v>
      </c>
      <c r="L1546" s="83" t="s">
        <v>25</v>
      </c>
    </row>
    <row r="1547" ht="16.5" spans="1:12">
      <c r="A1547" s="46">
        <v>1545</v>
      </c>
      <c r="B1547" s="46" t="s">
        <v>45</v>
      </c>
      <c r="C1547" s="46" t="str">
        <f>VLOOKUP(F1547,[4]在职!$A:$E,5,0)</f>
        <v>西南总部</v>
      </c>
      <c r="D1547" s="46" t="str">
        <f>VLOOKUP(F1547,[4]在职!$A:$G,7,0)</f>
        <v>营业四部</v>
      </c>
      <c r="E1547" s="46" t="str">
        <f>VLOOKUP(F1547,[4]在职!$A:$M,13,0)</f>
        <v>贾萍</v>
      </c>
      <c r="F1547" s="46" t="s">
        <v>1551</v>
      </c>
      <c r="G1547" s="46" t="str">
        <f>VLOOKUP(F1547,[4]在职!$A:$B,2,0)</f>
        <v>01922</v>
      </c>
      <c r="H1547" s="46" t="str">
        <f>VLOOKUP(F1547,[4]在职!$A:$I,9,0)</f>
        <v>实习销售</v>
      </c>
      <c r="I1547" s="46" t="s">
        <v>907</v>
      </c>
      <c r="J1547" s="83">
        <v>46106</v>
      </c>
      <c r="K1547" s="46" t="s">
        <v>1326</v>
      </c>
      <c r="L1547" s="83" t="s">
        <v>25</v>
      </c>
    </row>
    <row r="1548" ht="16.5" spans="1:12">
      <c r="A1548" s="46">
        <v>1546</v>
      </c>
      <c r="B1548" s="46" t="s">
        <v>45</v>
      </c>
      <c r="C1548" s="46" t="str">
        <f>VLOOKUP(F1548,[4]在职!$A:$E,5,0)</f>
        <v>湖南</v>
      </c>
      <c r="D1548" s="46" t="str">
        <f>VLOOKUP(F1548,[4]在职!$A:$G,7,0)</f>
        <v>湖南销售部</v>
      </c>
      <c r="E1548" s="46" t="str">
        <f>VLOOKUP(F1548,[4]在职!$A:$M,13,0)</f>
        <v>孙小龙</v>
      </c>
      <c r="F1548" s="46" t="s">
        <v>1461</v>
      </c>
      <c r="G1548" s="46" t="str">
        <f>VLOOKUP(F1548,[4]在职!$A:$B,2,0)</f>
        <v>01731</v>
      </c>
      <c r="H1548" s="46" t="str">
        <f>VLOOKUP(F1548,[4]在职!$A:$I,9,0)</f>
        <v>一星销售顾问</v>
      </c>
      <c r="I1548" s="46" t="s">
        <v>907</v>
      </c>
      <c r="J1548" s="83">
        <v>46106</v>
      </c>
      <c r="K1548" s="46" t="s">
        <v>1326</v>
      </c>
      <c r="L1548" s="83" t="s">
        <v>25</v>
      </c>
    </row>
    <row r="1549" ht="16.5" spans="1:12">
      <c r="A1549" s="46">
        <v>1547</v>
      </c>
      <c r="B1549" s="46" t="s">
        <v>45</v>
      </c>
      <c r="C1549" s="46" t="str">
        <f>VLOOKUP(F1549,[4]在职!$A:$E,5,0)</f>
        <v>西南总部</v>
      </c>
      <c r="D1549" s="46" t="str">
        <f>VLOOKUP(F1549,[4]在职!$A:$G,7,0)</f>
        <v>营业七部</v>
      </c>
      <c r="E1549" s="46" t="str">
        <f>VLOOKUP(F1549,[4]在职!$A:$M,13,0)</f>
        <v>蒋杨</v>
      </c>
      <c r="F1549" s="46" t="s">
        <v>1552</v>
      </c>
      <c r="G1549" s="46" t="str">
        <f>VLOOKUP(F1549,[4]在职!$A:$B,2,0)</f>
        <v>01933</v>
      </c>
      <c r="H1549" s="46" t="str">
        <f>VLOOKUP(F1549,[4]在职!$A:$I,9,0)</f>
        <v>实习销售</v>
      </c>
      <c r="I1549" s="46" t="s">
        <v>907</v>
      </c>
      <c r="J1549" s="83">
        <v>46106</v>
      </c>
      <c r="K1549" s="46" t="s">
        <v>1326</v>
      </c>
      <c r="L1549" s="83" t="s">
        <v>25</v>
      </c>
    </row>
    <row r="1550" ht="16.5" spans="1:12">
      <c r="A1550" s="46">
        <v>1548</v>
      </c>
      <c r="B1550" s="46" t="s">
        <v>45</v>
      </c>
      <c r="C1550" s="46" t="str">
        <f>VLOOKUP(F1550,[4]在职!$A:$E,5,0)</f>
        <v>西南总部</v>
      </c>
      <c r="D1550" s="46" t="str">
        <f>VLOOKUP(F1550,[4]在职!$A:$G,7,0)</f>
        <v>营业四部</v>
      </c>
      <c r="E1550" s="46" t="str">
        <f>VLOOKUP(F1550,[4]在职!$A:$M,13,0)</f>
        <v>陈帅</v>
      </c>
      <c r="F1550" s="46" t="s">
        <v>1307</v>
      </c>
      <c r="G1550" s="46" t="str">
        <f>VLOOKUP(F1550,[4]在职!$A:$B,2,0)</f>
        <v>01758</v>
      </c>
      <c r="H1550" s="46" t="str">
        <f>VLOOKUP(F1550,[4]在职!$A:$I,9,0)</f>
        <v>实习销售</v>
      </c>
      <c r="I1550" s="46" t="s">
        <v>907</v>
      </c>
      <c r="J1550" s="83">
        <v>46106</v>
      </c>
      <c r="K1550" s="46" t="s">
        <v>1326</v>
      </c>
      <c r="L1550" s="83" t="s">
        <v>25</v>
      </c>
    </row>
    <row r="1551" ht="16.5" spans="1:12">
      <c r="A1551" s="46">
        <v>1549</v>
      </c>
      <c r="B1551" s="46" t="s">
        <v>45</v>
      </c>
      <c r="C1551" s="46" t="str">
        <f>VLOOKUP(F1551,[4]在职!$A:$E,5,0)</f>
        <v>西南总部</v>
      </c>
      <c r="D1551" s="46" t="str">
        <f>VLOOKUP(F1551,[4]在职!$A:$G,7,0)</f>
        <v>营业四部</v>
      </c>
      <c r="E1551" s="46" t="str">
        <f>VLOOKUP(F1551,[4]在职!$A:$M,13,0)</f>
        <v>陈帅</v>
      </c>
      <c r="F1551" s="46" t="s">
        <v>1303</v>
      </c>
      <c r="G1551" s="46" t="str">
        <f>VLOOKUP(F1551,[4]在职!$A:$B,2,0)</f>
        <v>01882</v>
      </c>
      <c r="H1551" s="46" t="str">
        <f>VLOOKUP(F1551,[4]在职!$A:$I,9,0)</f>
        <v>实习销售</v>
      </c>
      <c r="I1551" s="46" t="s">
        <v>907</v>
      </c>
      <c r="J1551" s="83">
        <v>46106</v>
      </c>
      <c r="K1551" s="46" t="s">
        <v>1326</v>
      </c>
      <c r="L1551" s="83" t="s">
        <v>25</v>
      </c>
    </row>
    <row r="1552" ht="16.5" spans="1:12">
      <c r="A1552" s="46">
        <v>1550</v>
      </c>
      <c r="B1552" s="46" t="s">
        <v>45</v>
      </c>
      <c r="C1552" s="46" t="str">
        <f>VLOOKUP(F1552,[4]在职!$A:$E,5,0)</f>
        <v>西南总部</v>
      </c>
      <c r="D1552" s="46" t="str">
        <f>VLOOKUP(F1552,[4]在职!$A:$G,7,0)</f>
        <v>营业七部</v>
      </c>
      <c r="E1552" s="46" t="str">
        <f>VLOOKUP(F1552,[4]在职!$A:$M,13,0)</f>
        <v>程新浩</v>
      </c>
      <c r="F1552" s="46" t="s">
        <v>1553</v>
      </c>
      <c r="G1552" s="46" t="str">
        <f>VLOOKUP(F1552,[4]在职!$A:$B,2,0)</f>
        <v>01945</v>
      </c>
      <c r="H1552" s="46" t="str">
        <f>VLOOKUP(F1552,[4]在职!$A:$I,9,0)</f>
        <v>实习销售</v>
      </c>
      <c r="I1552" s="46" t="s">
        <v>907</v>
      </c>
      <c r="J1552" s="83">
        <v>46106</v>
      </c>
      <c r="K1552" s="46" t="s">
        <v>1326</v>
      </c>
      <c r="L1552" s="83" t="s">
        <v>25</v>
      </c>
    </row>
    <row r="1553" ht="16.5" spans="1:12">
      <c r="A1553" s="46">
        <v>1551</v>
      </c>
      <c r="B1553" s="46" t="s">
        <v>45</v>
      </c>
      <c r="C1553" s="46" t="str">
        <f>VLOOKUP(F1553,[4]在职!$A:$E,5,0)</f>
        <v>西南总部</v>
      </c>
      <c r="D1553" s="46" t="str">
        <f>VLOOKUP(F1553,[4]在职!$A:$G,7,0)</f>
        <v>营业七部</v>
      </c>
      <c r="E1553" s="46" t="str">
        <f>VLOOKUP(F1553,[4]在职!$A:$M,13,0)</f>
        <v>程新浩</v>
      </c>
      <c r="F1553" s="46" t="s">
        <v>1554</v>
      </c>
      <c r="G1553" s="46" t="str">
        <f>VLOOKUP(F1553,[4]在职!$A:$B,2,0)</f>
        <v>01916</v>
      </c>
      <c r="H1553" s="46" t="str">
        <f>VLOOKUP(F1553,[4]在职!$A:$I,9,0)</f>
        <v>实习销售</v>
      </c>
      <c r="I1553" s="46" t="s">
        <v>907</v>
      </c>
      <c r="J1553" s="83">
        <v>46106</v>
      </c>
      <c r="K1553" s="46" t="s">
        <v>1326</v>
      </c>
      <c r="L1553" s="83" t="s">
        <v>25</v>
      </c>
    </row>
    <row r="1554" ht="16.5" spans="1:12">
      <c r="A1554" s="46">
        <v>1552</v>
      </c>
      <c r="B1554" s="46" t="s">
        <v>45</v>
      </c>
      <c r="C1554" s="46" t="str">
        <f>VLOOKUP(F1554,[4]在职!$A:$E,5,0)</f>
        <v>西南总部</v>
      </c>
      <c r="D1554" s="46" t="str">
        <f>VLOOKUP(F1554,[4]在职!$A:$G,7,0)</f>
        <v>营业七部</v>
      </c>
      <c r="E1554" s="46" t="str">
        <f>VLOOKUP(F1554,[4]在职!$A:$M,13,0)</f>
        <v>申慧</v>
      </c>
      <c r="F1554" s="46" t="s">
        <v>1555</v>
      </c>
      <c r="G1554" s="46" t="str">
        <f>VLOOKUP(F1554,[4]在职!$A:$B,2,0)</f>
        <v>01951</v>
      </c>
      <c r="H1554" s="46" t="str">
        <f>VLOOKUP(F1554,[4]在职!$A:$I,9,0)</f>
        <v>实习销售</v>
      </c>
      <c r="I1554" s="46" t="s">
        <v>907</v>
      </c>
      <c r="J1554" s="83">
        <v>46106</v>
      </c>
      <c r="K1554" s="46" t="s">
        <v>1326</v>
      </c>
      <c r="L1554" s="83" t="s">
        <v>25</v>
      </c>
    </row>
    <row r="1555" ht="16.5" spans="1:12">
      <c r="A1555" s="46">
        <v>1553</v>
      </c>
      <c r="B1555" s="46" t="s">
        <v>45</v>
      </c>
      <c r="C1555" s="46" t="str">
        <f>VLOOKUP(F1555,[4]在职!$A:$E,5,0)</f>
        <v>西南总部</v>
      </c>
      <c r="D1555" s="46" t="str">
        <f>VLOOKUP(F1555,[4]在职!$A:$G,7,0)</f>
        <v>营业三部</v>
      </c>
      <c r="E1555" s="46" t="str">
        <f>VLOOKUP(F1555,[4]在职!$A:$M,13,0)</f>
        <v>李海艳</v>
      </c>
      <c r="F1555" s="46" t="s">
        <v>1556</v>
      </c>
      <c r="G1555" s="46" t="str">
        <f>VLOOKUP(F1555,[4]在职!$A:$B,2,0)</f>
        <v>01927</v>
      </c>
      <c r="H1555" s="46" t="str">
        <f>VLOOKUP(F1555,[4]在职!$A:$I,9,0)</f>
        <v>实习销售</v>
      </c>
      <c r="I1555" s="46" t="s">
        <v>907</v>
      </c>
      <c r="J1555" s="83">
        <v>46106</v>
      </c>
      <c r="K1555" s="46" t="s">
        <v>1326</v>
      </c>
      <c r="L1555" s="83" t="s">
        <v>25</v>
      </c>
    </row>
    <row r="1556" ht="16.5" spans="1:12">
      <c r="A1556" s="46">
        <v>1554</v>
      </c>
      <c r="B1556" s="46" t="s">
        <v>45</v>
      </c>
      <c r="C1556" s="46" t="str">
        <f>VLOOKUP(F1556,[4]在职!$A:$E,5,0)</f>
        <v>西南总部</v>
      </c>
      <c r="D1556" s="46" t="str">
        <f>VLOOKUP(F1556,[4]在职!$A:$G,7,0)</f>
        <v>营业四部</v>
      </c>
      <c r="E1556" s="46" t="str">
        <f>VLOOKUP(F1556,[4]在职!$A:$M,13,0)</f>
        <v>李培金</v>
      </c>
      <c r="F1556" s="46" t="s">
        <v>1271</v>
      </c>
      <c r="G1556" s="46" t="str">
        <f>VLOOKUP(F1556,[4]在职!$A:$B,2,0)</f>
        <v>01790</v>
      </c>
      <c r="H1556" s="46" t="str">
        <f>VLOOKUP(F1556,[4]在职!$A:$I,9,0)</f>
        <v>一星销售顾问</v>
      </c>
      <c r="I1556" s="46" t="s">
        <v>907</v>
      </c>
      <c r="J1556" s="83">
        <v>46106</v>
      </c>
      <c r="K1556" s="46" t="s">
        <v>1326</v>
      </c>
      <c r="L1556" s="83" t="s">
        <v>25</v>
      </c>
    </row>
    <row r="1557" ht="16.5" spans="1:12">
      <c r="A1557" s="46">
        <v>1555</v>
      </c>
      <c r="B1557" s="46" t="s">
        <v>45</v>
      </c>
      <c r="C1557" s="46" t="str">
        <f>VLOOKUP(F1557,[4]在职!$A:$E,5,0)</f>
        <v>西南总部</v>
      </c>
      <c r="D1557" s="46" t="str">
        <f>VLOOKUP(F1557,[4]在职!$A:$G,7,0)</f>
        <v>营业一部</v>
      </c>
      <c r="E1557" s="46" t="str">
        <f>VLOOKUP(F1557,[4]在职!$A:$M,13,0)</f>
        <v>唐浪波</v>
      </c>
      <c r="F1557" s="46" t="s">
        <v>1243</v>
      </c>
      <c r="G1557" s="46" t="str">
        <f>VLOOKUP(F1557,[4]在职!$A:$B,2,0)</f>
        <v>01909</v>
      </c>
      <c r="H1557" s="46" t="str">
        <f>VLOOKUP(F1557,[4]在职!$A:$I,9,0)</f>
        <v>实习销售</v>
      </c>
      <c r="I1557" s="46" t="s">
        <v>907</v>
      </c>
      <c r="J1557" s="83">
        <v>46106</v>
      </c>
      <c r="K1557" s="46" t="s">
        <v>1326</v>
      </c>
      <c r="L1557" s="83" t="s">
        <v>25</v>
      </c>
    </row>
    <row r="1558" ht="16.5" spans="1:12">
      <c r="A1558" s="46">
        <v>1556</v>
      </c>
      <c r="B1558" s="46" t="s">
        <v>45</v>
      </c>
      <c r="C1558" s="46" t="str">
        <f>VLOOKUP(F1558,[4]在职!$A:$E,5,0)</f>
        <v>西南总部</v>
      </c>
      <c r="D1558" s="46" t="str">
        <f>VLOOKUP(F1558,[4]在职!$A:$G,7,0)</f>
        <v>营业二部</v>
      </c>
      <c r="E1558" s="46" t="str">
        <f>VLOOKUP(F1558,[4]在职!$A:$M,13,0)</f>
        <v>王彬力</v>
      </c>
      <c r="F1558" s="46" t="s">
        <v>1557</v>
      </c>
      <c r="G1558" s="46" t="str">
        <f>VLOOKUP(F1558,[4]在职!$A:$B,2,0)</f>
        <v>01965</v>
      </c>
      <c r="H1558" s="46" t="str">
        <f>VLOOKUP(F1558,[4]在职!$A:$I,9,0)</f>
        <v>实习销售</v>
      </c>
      <c r="I1558" s="46" t="s">
        <v>907</v>
      </c>
      <c r="J1558" s="83">
        <v>46106</v>
      </c>
      <c r="K1558" s="46" t="s">
        <v>1326</v>
      </c>
      <c r="L1558" s="83" t="s">
        <v>25</v>
      </c>
    </row>
    <row r="1559" ht="16.5" spans="1:12">
      <c r="A1559" s="46">
        <v>1557</v>
      </c>
      <c r="B1559" s="46" t="s">
        <v>45</v>
      </c>
      <c r="C1559" s="46" t="str">
        <f>VLOOKUP(F1559,[4]在职!$A:$E,5,0)</f>
        <v>西南总部</v>
      </c>
      <c r="D1559" s="46" t="str">
        <f>VLOOKUP(F1559,[4]在职!$A:$G,7,0)</f>
        <v>营业二部</v>
      </c>
      <c r="E1559" s="46" t="str">
        <f>VLOOKUP(F1559,[4]在职!$A:$M,13,0)</f>
        <v>魏飞翔</v>
      </c>
      <c r="F1559" s="46" t="s">
        <v>1558</v>
      </c>
      <c r="G1559" s="46" t="str">
        <f>VLOOKUP(F1559,[4]在职!$A:$B,2,0)</f>
        <v>01967</v>
      </c>
      <c r="H1559" s="46" t="str">
        <f>VLOOKUP(F1559,[4]在职!$A:$I,9,0)</f>
        <v>实习销售</v>
      </c>
      <c r="I1559" s="46" t="s">
        <v>907</v>
      </c>
      <c r="J1559" s="83">
        <v>46106</v>
      </c>
      <c r="K1559" s="46" t="s">
        <v>1326</v>
      </c>
      <c r="L1559" s="83" t="s">
        <v>25</v>
      </c>
    </row>
    <row r="1560" ht="16.5" spans="1:12">
      <c r="A1560" s="46">
        <v>1558</v>
      </c>
      <c r="B1560" s="46" t="s">
        <v>45</v>
      </c>
      <c r="C1560" s="46" t="str">
        <f>VLOOKUP(F1560,[4]在职!$A:$E,5,0)</f>
        <v>西南总部</v>
      </c>
      <c r="D1560" s="46" t="str">
        <f>VLOOKUP(F1560,[4]在职!$A:$G,7,0)</f>
        <v>营业二部</v>
      </c>
      <c r="E1560" s="46" t="str">
        <f>VLOOKUP(F1560,[4]在职!$A:$M,13,0)</f>
        <v>魏飞翔</v>
      </c>
      <c r="F1560" s="46" t="s">
        <v>1559</v>
      </c>
      <c r="G1560" s="46" t="str">
        <f>VLOOKUP(F1560,[4]在职!$A:$B,2,0)</f>
        <v>01935</v>
      </c>
      <c r="H1560" s="46" t="str">
        <f>VLOOKUP(F1560,[4]在职!$A:$I,9,0)</f>
        <v>实习销售</v>
      </c>
      <c r="I1560" s="46" t="s">
        <v>907</v>
      </c>
      <c r="J1560" s="83">
        <v>46106</v>
      </c>
      <c r="K1560" s="46" t="s">
        <v>1326</v>
      </c>
      <c r="L1560" s="83" t="s">
        <v>25</v>
      </c>
    </row>
    <row r="1561" ht="16.5" spans="1:12">
      <c r="A1561" s="46">
        <v>1559</v>
      </c>
      <c r="B1561" s="46" t="s">
        <v>45</v>
      </c>
      <c r="C1561" s="46" t="str">
        <f>VLOOKUP(F1561,[4]在职!$A:$E,5,0)</f>
        <v>西南总部</v>
      </c>
      <c r="D1561" s="46" t="str">
        <f>VLOOKUP(F1561,[4]在职!$A:$G,7,0)</f>
        <v>营业二部</v>
      </c>
      <c r="E1561" s="46" t="str">
        <f>VLOOKUP(F1561,[4]在职!$A:$M,13,0)</f>
        <v>文鹏羽</v>
      </c>
      <c r="F1561" s="46" t="s">
        <v>1560</v>
      </c>
      <c r="G1561" s="46" t="str">
        <f>VLOOKUP(F1561,[4]在职!$A:$B,2,0)</f>
        <v>01919</v>
      </c>
      <c r="H1561" s="46" t="str">
        <f>VLOOKUP(F1561,[4]在职!$A:$I,9,0)</f>
        <v>实习销售</v>
      </c>
      <c r="I1561" s="46" t="s">
        <v>907</v>
      </c>
      <c r="J1561" s="83">
        <v>46106</v>
      </c>
      <c r="K1561" s="46" t="s">
        <v>1326</v>
      </c>
      <c r="L1561" s="83" t="s">
        <v>25</v>
      </c>
    </row>
    <row r="1562" ht="16.5" spans="1:12">
      <c r="A1562" s="46">
        <v>1560</v>
      </c>
      <c r="B1562" s="46" t="s">
        <v>45</v>
      </c>
      <c r="C1562" s="46" t="str">
        <f>VLOOKUP(F1562,[4]在职!$A:$E,5,0)</f>
        <v>西南总部</v>
      </c>
      <c r="D1562" s="46" t="str">
        <f>VLOOKUP(F1562,[4]在职!$A:$G,7,0)</f>
        <v>营业二部</v>
      </c>
      <c r="E1562" s="46" t="str">
        <f>VLOOKUP(F1562,[4]在职!$A:$M,13,0)</f>
        <v>文鹏羽</v>
      </c>
      <c r="F1562" s="46" t="s">
        <v>1227</v>
      </c>
      <c r="G1562" s="46" t="str">
        <f>VLOOKUP(F1562,[4]在职!$A:$B,2,0)</f>
        <v>01764</v>
      </c>
      <c r="H1562" s="46" t="str">
        <f>VLOOKUP(F1562,[4]在职!$A:$I,9,0)</f>
        <v>一星销售顾问</v>
      </c>
      <c r="I1562" s="46" t="s">
        <v>907</v>
      </c>
      <c r="J1562" s="83">
        <v>46106</v>
      </c>
      <c r="K1562" s="46" t="s">
        <v>1326</v>
      </c>
      <c r="L1562" s="83" t="s">
        <v>25</v>
      </c>
    </row>
    <row r="1563" ht="16.5" spans="1:12">
      <c r="A1563" s="46">
        <v>1561</v>
      </c>
      <c r="B1563" s="46" t="s">
        <v>45</v>
      </c>
      <c r="C1563" s="46" t="str">
        <f>VLOOKUP(F1563,[4]在职!$A:$E,5,0)</f>
        <v>西南总部</v>
      </c>
      <c r="D1563" s="46" t="str">
        <f>VLOOKUP(F1563,[4]在职!$A:$G,7,0)</f>
        <v>营业五部</v>
      </c>
      <c r="E1563" s="46" t="str">
        <f>VLOOKUP(F1563,[4]在职!$A:$M,13,0)</f>
        <v>杨科</v>
      </c>
      <c r="F1563" s="46" t="s">
        <v>1561</v>
      </c>
      <c r="G1563" s="46" t="str">
        <f>VLOOKUP(F1563,[4]在职!$A:$B,2,0)</f>
        <v>01934</v>
      </c>
      <c r="H1563" s="46" t="str">
        <f>VLOOKUP(F1563,[4]在职!$A:$I,9,0)</f>
        <v>实习销售</v>
      </c>
      <c r="I1563" s="46" t="s">
        <v>907</v>
      </c>
      <c r="J1563" s="83">
        <v>46106</v>
      </c>
      <c r="K1563" s="46" t="s">
        <v>1326</v>
      </c>
      <c r="L1563" s="83" t="s">
        <v>25</v>
      </c>
    </row>
    <row r="1564" ht="16.5" spans="1:12">
      <c r="A1564" s="46">
        <v>1562</v>
      </c>
      <c r="B1564" s="46" t="s">
        <v>45</v>
      </c>
      <c r="C1564" s="46" t="str">
        <f>VLOOKUP(F1564,[4]在职!$A:$E,5,0)</f>
        <v>西南总部</v>
      </c>
      <c r="D1564" s="46" t="str">
        <f>VLOOKUP(F1564,[4]在职!$A:$G,7,0)</f>
        <v>营业六部</v>
      </c>
      <c r="E1564" s="46" t="str">
        <f>VLOOKUP(F1564,[4]在职!$A:$M,13,0)</f>
        <v>袁华</v>
      </c>
      <c r="F1564" s="46" t="s">
        <v>1562</v>
      </c>
      <c r="G1564" s="46" t="str">
        <f>VLOOKUP(F1564,[4]在职!$A:$B,2,0)</f>
        <v>01975</v>
      </c>
      <c r="H1564" s="46" t="str">
        <f>VLOOKUP(F1564,[4]在职!$A:$I,9,0)</f>
        <v>实习销售</v>
      </c>
      <c r="I1564" s="46" t="s">
        <v>907</v>
      </c>
      <c r="J1564" s="83">
        <v>46106</v>
      </c>
      <c r="K1564" s="46" t="s">
        <v>1326</v>
      </c>
      <c r="L1564" s="83" t="s">
        <v>25</v>
      </c>
    </row>
    <row r="1565" ht="16.5" spans="1:12">
      <c r="A1565" s="46">
        <v>1563</v>
      </c>
      <c r="B1565" s="46" t="s">
        <v>45</v>
      </c>
      <c r="C1565" s="46" t="str">
        <f>VLOOKUP(F1565,[4]在职!$A:$E,5,0)</f>
        <v>西南总部</v>
      </c>
      <c r="D1565" s="46" t="str">
        <f>VLOOKUP(F1565,[4]在职!$A:$G,7,0)</f>
        <v>营业六部</v>
      </c>
      <c r="E1565" s="46" t="str">
        <f>VLOOKUP(F1565,[4]在职!$A:$M,13,0)</f>
        <v>袁华</v>
      </c>
      <c r="F1565" s="46" t="s">
        <v>1563</v>
      </c>
      <c r="G1565" s="46" t="str">
        <f>VLOOKUP(F1565,[4]在职!$A:$B,2,0)</f>
        <v>01974</v>
      </c>
      <c r="H1565" s="46" t="str">
        <f>VLOOKUP(F1565,[4]在职!$A:$I,9,0)</f>
        <v>实习销售</v>
      </c>
      <c r="I1565" s="46" t="s">
        <v>907</v>
      </c>
      <c r="J1565" s="83">
        <v>46106</v>
      </c>
      <c r="K1565" s="46" t="s">
        <v>1326</v>
      </c>
      <c r="L1565" s="83" t="s">
        <v>25</v>
      </c>
    </row>
    <row r="1566" ht="16.5" spans="1:12">
      <c r="A1566" s="46">
        <v>1564</v>
      </c>
      <c r="B1566" s="46" t="s">
        <v>45</v>
      </c>
      <c r="C1566" s="46" t="str">
        <f>VLOOKUP(F1566,[4]在职!$A:$E,5,0)</f>
        <v>西南总部</v>
      </c>
      <c r="D1566" s="46" t="str">
        <f>VLOOKUP(F1566,[4]在职!$A:$G,7,0)</f>
        <v>营业六部</v>
      </c>
      <c r="E1566" s="46" t="str">
        <f>VLOOKUP(F1566,[4]在职!$A:$M,13,0)</f>
        <v>袁华</v>
      </c>
      <c r="F1566" s="46" t="s">
        <v>1564</v>
      </c>
      <c r="G1566" s="46" t="str">
        <f>VLOOKUP(F1566,[4]在职!$A:$B,2,0)</f>
        <v>01971</v>
      </c>
      <c r="H1566" s="46" t="str">
        <f>VLOOKUP(F1566,[4]在职!$A:$I,9,0)</f>
        <v>实习销售</v>
      </c>
      <c r="I1566" s="46" t="s">
        <v>907</v>
      </c>
      <c r="J1566" s="83">
        <v>46106</v>
      </c>
      <c r="K1566" s="46" t="s">
        <v>1326</v>
      </c>
      <c r="L1566" s="83" t="s">
        <v>25</v>
      </c>
    </row>
    <row r="1567" ht="16.5" spans="1:12">
      <c r="A1567" s="46">
        <v>1565</v>
      </c>
      <c r="B1567" s="46" t="s">
        <v>45</v>
      </c>
      <c r="C1567" s="46" t="str">
        <f>VLOOKUP(F1567,[4]在职!$A:$E,5,0)</f>
        <v>西南总部</v>
      </c>
      <c r="D1567" s="46" t="str">
        <f>VLOOKUP(F1567,[4]在职!$A:$G,7,0)</f>
        <v>营业六部</v>
      </c>
      <c r="E1567" s="46" t="str">
        <f>VLOOKUP(F1567,[4]在职!$A:$M,13,0)</f>
        <v>袁华</v>
      </c>
      <c r="F1567" s="46" t="s">
        <v>1203</v>
      </c>
      <c r="G1567" s="46" t="str">
        <f>VLOOKUP(F1567,[4]在职!$A:$B,2,0)</f>
        <v>01835</v>
      </c>
      <c r="H1567" s="46" t="str">
        <f>VLOOKUP(F1567,[4]在职!$A:$I,9,0)</f>
        <v>实习销售</v>
      </c>
      <c r="I1567" s="46" t="s">
        <v>907</v>
      </c>
      <c r="J1567" s="83">
        <v>46106</v>
      </c>
      <c r="K1567" s="46" t="s">
        <v>1326</v>
      </c>
      <c r="L1567" s="83" t="s">
        <v>25</v>
      </c>
    </row>
    <row r="1568" ht="16.5" spans="1:12">
      <c r="A1568" s="46">
        <v>1566</v>
      </c>
      <c r="B1568" s="46" t="s">
        <v>45</v>
      </c>
      <c r="C1568" s="46" t="str">
        <f>VLOOKUP(F1568,[4]在职!$A:$E,5,0)</f>
        <v>西南总部</v>
      </c>
      <c r="D1568" s="46" t="str">
        <f>VLOOKUP(F1568,[4]在职!$A:$G,7,0)</f>
        <v>营业五部</v>
      </c>
      <c r="E1568" s="46" t="str">
        <f>VLOOKUP(F1568,[4]在职!$A:$M,13,0)</f>
        <v>杨科</v>
      </c>
      <c r="F1568" s="46" t="s">
        <v>1211</v>
      </c>
      <c r="G1568" s="46" t="str">
        <f>VLOOKUP(F1568,[4]在职!$A:$B,2,0)</f>
        <v>01866</v>
      </c>
      <c r="H1568" s="46" t="str">
        <f>VLOOKUP(F1568,[4]在职!$A:$I,9,0)</f>
        <v>实习销售</v>
      </c>
      <c r="I1568" s="46" t="s">
        <v>907</v>
      </c>
      <c r="J1568" s="83">
        <v>46106</v>
      </c>
      <c r="K1568" s="46" t="s">
        <v>1326</v>
      </c>
      <c r="L1568" s="83" t="s">
        <v>25</v>
      </c>
    </row>
    <row r="1569" ht="16.5" spans="1:12">
      <c r="A1569" s="46">
        <v>1567</v>
      </c>
      <c r="B1569" s="46" t="s">
        <v>45</v>
      </c>
      <c r="C1569" s="46" t="str">
        <f>VLOOKUP(F1569,[4]在职!$A:$E,5,0)</f>
        <v>西南总部</v>
      </c>
      <c r="D1569" s="46" t="str">
        <f>VLOOKUP(F1569,[4]在职!$A:$G,7,0)</f>
        <v>营业五部</v>
      </c>
      <c r="E1569" s="46" t="str">
        <f>VLOOKUP(F1569,[4]在职!$A:$M,13,0)</f>
        <v>杨科</v>
      </c>
      <c r="F1569" s="46" t="s">
        <v>1213</v>
      </c>
      <c r="G1569" s="46" t="str">
        <f>VLOOKUP(F1569,[4]在职!$A:$B,2,0)</f>
        <v>01673</v>
      </c>
      <c r="H1569" s="46" t="str">
        <f>VLOOKUP(F1569,[4]在职!$A:$I,9,0)</f>
        <v>实习销售</v>
      </c>
      <c r="I1569" s="46" t="s">
        <v>907</v>
      </c>
      <c r="J1569" s="83">
        <v>46106</v>
      </c>
      <c r="K1569" s="46" t="s">
        <v>1326</v>
      </c>
      <c r="L1569" s="83" t="s">
        <v>25</v>
      </c>
    </row>
    <row r="1570" ht="16.5" spans="1:12">
      <c r="A1570" s="46">
        <v>1568</v>
      </c>
      <c r="B1570" s="46" t="s">
        <v>45</v>
      </c>
      <c r="C1570" s="46" t="str">
        <f>VLOOKUP(F1570,[4]在职!$A:$E,5,0)</f>
        <v>西南总部</v>
      </c>
      <c r="D1570" s="46" t="str">
        <f>VLOOKUP(F1570,[4]在职!$A:$G,7,0)</f>
        <v>营业五部</v>
      </c>
      <c r="E1570" s="46" t="str">
        <f>VLOOKUP(F1570,[4]在职!$A:$M,13,0)</f>
        <v>杨科</v>
      </c>
      <c r="F1570" s="46" t="s">
        <v>1209</v>
      </c>
      <c r="G1570" s="46" t="str">
        <f>VLOOKUP(F1570,[4]在职!$A:$B,2,0)</f>
        <v>01886</v>
      </c>
      <c r="H1570" s="46" t="str">
        <f>VLOOKUP(F1570,[4]在职!$A:$I,9,0)</f>
        <v>实习销售</v>
      </c>
      <c r="I1570" s="46" t="s">
        <v>907</v>
      </c>
      <c r="J1570" s="83">
        <v>46106</v>
      </c>
      <c r="K1570" s="46" t="s">
        <v>1326</v>
      </c>
      <c r="L1570" s="83" t="s">
        <v>25</v>
      </c>
    </row>
    <row r="1571" ht="16.5" spans="1:12">
      <c r="A1571" s="46">
        <v>1569</v>
      </c>
      <c r="B1571" s="46" t="s">
        <v>45</v>
      </c>
      <c r="C1571" s="46" t="str">
        <f>VLOOKUP(F1571,[4]在职!$A:$E,5,0)</f>
        <v>西南总部</v>
      </c>
      <c r="D1571" s="46" t="str">
        <f>VLOOKUP(F1571,[4]在职!$A:$G,7,0)</f>
        <v>营业五部</v>
      </c>
      <c r="E1571" s="46" t="str">
        <f>VLOOKUP(F1571,[4]在职!$A:$M,13,0)</f>
        <v>杨科</v>
      </c>
      <c r="F1571" s="46" t="s">
        <v>1207</v>
      </c>
      <c r="G1571" s="46" t="str">
        <f>VLOOKUP(F1571,[4]在职!$A:$B,2,0)</f>
        <v>01892</v>
      </c>
      <c r="H1571" s="46" t="str">
        <f>VLOOKUP(F1571,[4]在职!$A:$I,9,0)</f>
        <v>实习销售</v>
      </c>
      <c r="I1571" s="46" t="s">
        <v>907</v>
      </c>
      <c r="J1571" s="83">
        <v>46106</v>
      </c>
      <c r="K1571" s="46" t="s">
        <v>1326</v>
      </c>
      <c r="L1571" s="83" t="s">
        <v>25</v>
      </c>
    </row>
    <row r="1572" ht="16.5" spans="1:12">
      <c r="A1572" s="46">
        <v>1570</v>
      </c>
      <c r="B1572" s="46" t="s">
        <v>45</v>
      </c>
      <c r="C1572" s="46" t="str">
        <f>VLOOKUP(F1572,[4]在职!$A:$E,5,0)</f>
        <v>西南总部</v>
      </c>
      <c r="D1572" s="46" t="str">
        <f>VLOOKUP(F1572,[4]在职!$A:$G,7,0)</f>
        <v>营业五部</v>
      </c>
      <c r="E1572" s="46" t="str">
        <f>VLOOKUP(F1572,[4]在职!$A:$M,13,0)</f>
        <v>尹稳</v>
      </c>
      <c r="F1572" s="46" t="s">
        <v>1565</v>
      </c>
      <c r="G1572" s="46" t="str">
        <f>VLOOKUP(F1572,[4]在职!$A:$B,2,0)</f>
        <v>01960</v>
      </c>
      <c r="H1572" s="46" t="str">
        <f>VLOOKUP(F1572,[4]在职!$A:$I,9,0)</f>
        <v>实习销售</v>
      </c>
      <c r="I1572" s="46" t="s">
        <v>907</v>
      </c>
      <c r="J1572" s="83">
        <v>46106</v>
      </c>
      <c r="K1572" s="46" t="s">
        <v>1326</v>
      </c>
      <c r="L1572" s="83" t="s">
        <v>25</v>
      </c>
    </row>
    <row r="1573" ht="16.5" spans="1:12">
      <c r="A1573" s="46">
        <v>1571</v>
      </c>
      <c r="B1573" s="46" t="s">
        <v>45</v>
      </c>
      <c r="C1573" s="46" t="str">
        <f>VLOOKUP(F1573,[4]在职!$A:$E,5,0)</f>
        <v>西南总部</v>
      </c>
      <c r="D1573" s="46" t="str">
        <f>VLOOKUP(F1573,[4]在职!$A:$G,7,0)</f>
        <v>营业七部</v>
      </c>
      <c r="E1573" s="46" t="str">
        <f>VLOOKUP(F1573,[4]在职!$A:$M,13,0)</f>
        <v>张家涛</v>
      </c>
      <c r="F1573" s="46" t="s">
        <v>1201</v>
      </c>
      <c r="G1573" s="46" t="str">
        <f>VLOOKUP(F1573,[4]在职!$A:$B,2,0)</f>
        <v>01905</v>
      </c>
      <c r="H1573" s="46" t="str">
        <f>VLOOKUP(F1573,[4]在职!$A:$I,9,0)</f>
        <v>实习销售</v>
      </c>
      <c r="I1573" s="46" t="s">
        <v>907</v>
      </c>
      <c r="J1573" s="83">
        <v>46106</v>
      </c>
      <c r="K1573" s="46" t="s">
        <v>1326</v>
      </c>
      <c r="L1573" s="83" t="s">
        <v>25</v>
      </c>
    </row>
    <row r="1574" ht="16.5" spans="1:12">
      <c r="A1574" s="46">
        <v>1572</v>
      </c>
      <c r="B1574" s="46" t="s">
        <v>45</v>
      </c>
      <c r="C1574" s="46" t="str">
        <f>VLOOKUP(F1574,[4]在职!$A:$E,5,0)</f>
        <v>西南总部</v>
      </c>
      <c r="D1574" s="46" t="str">
        <f>VLOOKUP(F1574,[4]在职!$A:$G,7,0)</f>
        <v>营业六部</v>
      </c>
      <c r="E1574" s="46" t="str">
        <f>VLOOKUP(F1574,[4]在职!$A:$M,13,0)</f>
        <v>郑雄</v>
      </c>
      <c r="F1574" s="46" t="s">
        <v>1566</v>
      </c>
      <c r="G1574" s="46" t="str">
        <f>VLOOKUP(F1574,[4]在职!$A:$B,2,0)</f>
        <v>01953</v>
      </c>
      <c r="H1574" s="46" t="str">
        <f>VLOOKUP(F1574,[4]在职!$A:$I,9,0)</f>
        <v>实习销售</v>
      </c>
      <c r="I1574" s="46" t="s">
        <v>907</v>
      </c>
      <c r="J1574" s="83">
        <v>46106</v>
      </c>
      <c r="K1574" s="46" t="s">
        <v>1326</v>
      </c>
      <c r="L1574" s="83" t="s">
        <v>25</v>
      </c>
    </row>
    <row r="1575" ht="16.5" spans="1:12">
      <c r="A1575" s="46">
        <v>1573</v>
      </c>
      <c r="B1575" s="46" t="s">
        <v>45</v>
      </c>
      <c r="C1575" s="46" t="str">
        <f>VLOOKUP(F1575,[4]在职!$A:$E,5,0)</f>
        <v>西南总部</v>
      </c>
      <c r="D1575" s="46" t="str">
        <f>VLOOKUP(F1575,[4]在职!$A:$G,7,0)</f>
        <v>营业六部</v>
      </c>
      <c r="E1575" s="46" t="str">
        <f>VLOOKUP(F1575,[4]在职!$A:$M,13,0)</f>
        <v>郑雄</v>
      </c>
      <c r="F1575" s="46" t="s">
        <v>1182</v>
      </c>
      <c r="G1575" s="46" t="str">
        <f>VLOOKUP(F1575,[4]在职!$A:$B,2,0)</f>
        <v>01864</v>
      </c>
      <c r="H1575" s="46" t="str">
        <f>VLOOKUP(F1575,[4]在职!$A:$I,9,0)</f>
        <v>实习销售</v>
      </c>
      <c r="I1575" s="46" t="s">
        <v>907</v>
      </c>
      <c r="J1575" s="83">
        <v>46106</v>
      </c>
      <c r="K1575" s="46" t="s">
        <v>1326</v>
      </c>
      <c r="L1575" s="83" t="s">
        <v>25</v>
      </c>
    </row>
    <row r="1576" ht="16.5" spans="1:12">
      <c r="A1576" s="46">
        <v>1574</v>
      </c>
      <c r="B1576" s="46" t="s">
        <v>45</v>
      </c>
      <c r="C1576" s="46" t="str">
        <f>VLOOKUP(F1576,[4]在职!$A:$E,5,0)</f>
        <v>西南总部</v>
      </c>
      <c r="D1576" s="46" t="str">
        <f>VLOOKUP(F1576,[4]在职!$A:$G,7,0)</f>
        <v>营业五部</v>
      </c>
      <c r="E1576" s="46" t="str">
        <f>VLOOKUP(F1576,[4]在职!$A:$M,13,0)</f>
        <v>周远芮</v>
      </c>
      <c r="F1576" s="46" t="s">
        <v>1503</v>
      </c>
      <c r="G1576" s="46" t="str">
        <f>VLOOKUP(F1576,[4]在职!$A:$B,2,0)</f>
        <v>01560</v>
      </c>
      <c r="H1576" s="46" t="str">
        <f>VLOOKUP(F1576,[4]在职!$A:$I,9,0)</f>
        <v>一星销售顾问</v>
      </c>
      <c r="I1576" s="46" t="s">
        <v>907</v>
      </c>
      <c r="J1576" s="83">
        <v>46106</v>
      </c>
      <c r="K1576" s="46" t="s">
        <v>1326</v>
      </c>
      <c r="L1576" s="83" t="s">
        <v>25</v>
      </c>
    </row>
    <row r="1577" ht="16.5" spans="1:12">
      <c r="A1577" s="46">
        <v>1575</v>
      </c>
      <c r="B1577" s="46" t="s">
        <v>45</v>
      </c>
      <c r="C1577" s="46" t="str">
        <f>VLOOKUP(F1577,[4]在职!$A:$E,5,0)</f>
        <v>河北</v>
      </c>
      <c r="D1577" s="46" t="str">
        <f>VLOOKUP(F1577,[4]在职!$A:$G,7,0)</f>
        <v>河北销售部</v>
      </c>
      <c r="E1577" s="46" t="str">
        <f>VLOOKUP(F1577,[4]在职!$A:$M,13,0)</f>
        <v>陈东2</v>
      </c>
      <c r="F1577" s="46" t="s">
        <v>1550</v>
      </c>
      <c r="G1577" s="46" t="str">
        <f>VLOOKUP(F1577,[4]在职!$A:$B,2,0)</f>
        <v>01962</v>
      </c>
      <c r="H1577" s="46" t="str">
        <f>VLOOKUP(F1577,[4]在职!$A:$I,9,0)</f>
        <v>实习销售</v>
      </c>
      <c r="I1577" s="46" t="s">
        <v>907</v>
      </c>
      <c r="J1577" s="83">
        <v>46106</v>
      </c>
      <c r="K1577" s="46" t="s">
        <v>1324</v>
      </c>
      <c r="L1577" s="83" t="s">
        <v>25</v>
      </c>
    </row>
    <row r="1578" ht="16.5" spans="1:12">
      <c r="A1578" s="46">
        <v>1576</v>
      </c>
      <c r="B1578" s="46" t="s">
        <v>45</v>
      </c>
      <c r="C1578" s="46" t="str">
        <f>VLOOKUP(F1578,[4]在职!$A:$E,5,0)</f>
        <v>河北</v>
      </c>
      <c r="D1578" s="46" t="str">
        <f>VLOOKUP(F1578,[4]在职!$A:$G,7,0)</f>
        <v>河北销售部</v>
      </c>
      <c r="E1578" s="46" t="str">
        <f>VLOOKUP(F1578,[4]在职!$A:$M,13,0)</f>
        <v>陈东2</v>
      </c>
      <c r="F1578" s="46" t="s">
        <v>1309</v>
      </c>
      <c r="G1578" s="46" t="str">
        <f>VLOOKUP(F1578,[4]在职!$A:$B,2,0)</f>
        <v>01902</v>
      </c>
      <c r="H1578" s="46" t="str">
        <f>VLOOKUP(F1578,[4]在职!$A:$I,9,0)</f>
        <v>实习销售</v>
      </c>
      <c r="I1578" s="46" t="s">
        <v>907</v>
      </c>
      <c r="J1578" s="83">
        <v>46106</v>
      </c>
      <c r="K1578" s="46" t="s">
        <v>1324</v>
      </c>
      <c r="L1578" s="83" t="s">
        <v>25</v>
      </c>
    </row>
    <row r="1579" ht="16.5" spans="1:12">
      <c r="A1579" s="46">
        <v>1577</v>
      </c>
      <c r="B1579" s="46" t="s">
        <v>45</v>
      </c>
      <c r="C1579" s="46" t="str">
        <f>VLOOKUP(F1579,[4]在职!$A:$E,5,0)</f>
        <v>西南总部</v>
      </c>
      <c r="D1579" s="46" t="str">
        <f>VLOOKUP(F1579,[4]在职!$A:$G,7,0)</f>
        <v>营业四部</v>
      </c>
      <c r="E1579" s="46" t="str">
        <f>VLOOKUP(F1579,[4]在职!$A:$M,13,0)</f>
        <v>贾萍</v>
      </c>
      <c r="F1579" s="46" t="s">
        <v>1551</v>
      </c>
      <c r="G1579" s="46" t="str">
        <f>VLOOKUP(F1579,[4]在职!$A:$B,2,0)</f>
        <v>01922</v>
      </c>
      <c r="H1579" s="46" t="str">
        <f>VLOOKUP(F1579,[4]在职!$A:$I,9,0)</f>
        <v>实习销售</v>
      </c>
      <c r="I1579" s="46" t="s">
        <v>907</v>
      </c>
      <c r="J1579" s="83">
        <v>46106</v>
      </c>
      <c r="K1579" s="46" t="s">
        <v>1324</v>
      </c>
      <c r="L1579" s="83" t="s">
        <v>25</v>
      </c>
    </row>
    <row r="1580" ht="16.5" spans="1:12">
      <c r="A1580" s="46">
        <v>1578</v>
      </c>
      <c r="B1580" s="46" t="s">
        <v>45</v>
      </c>
      <c r="C1580" s="46" t="str">
        <f>VLOOKUP(F1580,[4]在职!$A:$E,5,0)</f>
        <v>湖南</v>
      </c>
      <c r="D1580" s="46" t="str">
        <f>VLOOKUP(F1580,[4]在职!$A:$G,7,0)</f>
        <v>湖南销售部</v>
      </c>
      <c r="E1580" s="46" t="str">
        <f>VLOOKUP(F1580,[4]在职!$A:$M,13,0)</f>
        <v>孙小龙</v>
      </c>
      <c r="F1580" s="46" t="s">
        <v>1461</v>
      </c>
      <c r="G1580" s="46" t="str">
        <f>VLOOKUP(F1580,[4]在职!$A:$B,2,0)</f>
        <v>01731</v>
      </c>
      <c r="H1580" s="46" t="str">
        <f>VLOOKUP(F1580,[4]在职!$A:$I,9,0)</f>
        <v>一星销售顾问</v>
      </c>
      <c r="I1580" s="46" t="s">
        <v>907</v>
      </c>
      <c r="J1580" s="83">
        <v>46106</v>
      </c>
      <c r="K1580" s="46" t="s">
        <v>1324</v>
      </c>
      <c r="L1580" s="83" t="s">
        <v>25</v>
      </c>
    </row>
    <row r="1581" ht="16.5" spans="1:12">
      <c r="A1581" s="46">
        <v>1579</v>
      </c>
      <c r="B1581" s="46" t="s">
        <v>45</v>
      </c>
      <c r="C1581" s="46" t="str">
        <f>VLOOKUP(F1581,[4]在职!$A:$E,5,0)</f>
        <v>西南总部</v>
      </c>
      <c r="D1581" s="46" t="str">
        <f>VLOOKUP(F1581,[4]在职!$A:$G,7,0)</f>
        <v>营业七部</v>
      </c>
      <c r="E1581" s="46" t="str">
        <f>VLOOKUP(F1581,[4]在职!$A:$M,13,0)</f>
        <v>蒋杨</v>
      </c>
      <c r="F1581" s="46" t="s">
        <v>1552</v>
      </c>
      <c r="G1581" s="46" t="str">
        <f>VLOOKUP(F1581,[4]在职!$A:$B,2,0)</f>
        <v>01933</v>
      </c>
      <c r="H1581" s="46" t="str">
        <f>VLOOKUP(F1581,[4]在职!$A:$I,9,0)</f>
        <v>实习销售</v>
      </c>
      <c r="I1581" s="46" t="s">
        <v>907</v>
      </c>
      <c r="J1581" s="83">
        <v>46106</v>
      </c>
      <c r="K1581" s="46" t="s">
        <v>1324</v>
      </c>
      <c r="L1581" s="83" t="s">
        <v>25</v>
      </c>
    </row>
    <row r="1582" ht="16.5" spans="1:12">
      <c r="A1582" s="46">
        <v>1580</v>
      </c>
      <c r="B1582" s="46" t="s">
        <v>45</v>
      </c>
      <c r="C1582" s="46" t="str">
        <f>VLOOKUP(F1582,[4]在职!$A:$E,5,0)</f>
        <v>西南总部</v>
      </c>
      <c r="D1582" s="46" t="str">
        <f>VLOOKUP(F1582,[4]在职!$A:$G,7,0)</f>
        <v>营业四部</v>
      </c>
      <c r="E1582" s="46" t="str">
        <f>VLOOKUP(F1582,[4]在职!$A:$M,13,0)</f>
        <v>陈帅</v>
      </c>
      <c r="F1582" s="46" t="s">
        <v>1307</v>
      </c>
      <c r="G1582" s="46" t="str">
        <f>VLOOKUP(F1582,[4]在职!$A:$B,2,0)</f>
        <v>01758</v>
      </c>
      <c r="H1582" s="46" t="str">
        <f>VLOOKUP(F1582,[4]在职!$A:$I,9,0)</f>
        <v>实习销售</v>
      </c>
      <c r="I1582" s="46" t="s">
        <v>907</v>
      </c>
      <c r="J1582" s="83">
        <v>46106</v>
      </c>
      <c r="K1582" s="46" t="s">
        <v>1324</v>
      </c>
      <c r="L1582" s="83" t="s">
        <v>25</v>
      </c>
    </row>
    <row r="1583" ht="16.5" spans="1:12">
      <c r="A1583" s="46">
        <v>1581</v>
      </c>
      <c r="B1583" s="46" t="s">
        <v>45</v>
      </c>
      <c r="C1583" s="46" t="str">
        <f>VLOOKUP(F1583,[4]在职!$A:$E,5,0)</f>
        <v>西南总部</v>
      </c>
      <c r="D1583" s="46" t="str">
        <f>VLOOKUP(F1583,[4]在职!$A:$G,7,0)</f>
        <v>营业四部</v>
      </c>
      <c r="E1583" s="46" t="str">
        <f>VLOOKUP(F1583,[4]在职!$A:$M,13,0)</f>
        <v>陈帅</v>
      </c>
      <c r="F1583" s="46" t="s">
        <v>1303</v>
      </c>
      <c r="G1583" s="46" t="str">
        <f>VLOOKUP(F1583,[4]在职!$A:$B,2,0)</f>
        <v>01882</v>
      </c>
      <c r="H1583" s="46" t="str">
        <f>VLOOKUP(F1583,[4]在职!$A:$I,9,0)</f>
        <v>实习销售</v>
      </c>
      <c r="I1583" s="46" t="s">
        <v>907</v>
      </c>
      <c r="J1583" s="83">
        <v>46106</v>
      </c>
      <c r="K1583" s="46" t="s">
        <v>1324</v>
      </c>
      <c r="L1583" s="83" t="s">
        <v>25</v>
      </c>
    </row>
    <row r="1584" ht="16.5" spans="1:12">
      <c r="A1584" s="46">
        <v>1582</v>
      </c>
      <c r="B1584" s="46" t="s">
        <v>45</v>
      </c>
      <c r="C1584" s="46" t="str">
        <f>VLOOKUP(F1584,[4]在职!$A:$E,5,0)</f>
        <v>西南总部</v>
      </c>
      <c r="D1584" s="46" t="str">
        <f>VLOOKUP(F1584,[4]在职!$A:$G,7,0)</f>
        <v>营业七部</v>
      </c>
      <c r="E1584" s="46" t="str">
        <f>VLOOKUP(F1584,[4]在职!$A:$M,13,0)</f>
        <v>程新浩</v>
      </c>
      <c r="F1584" s="46" t="s">
        <v>1553</v>
      </c>
      <c r="G1584" s="46" t="str">
        <f>VLOOKUP(F1584,[4]在职!$A:$B,2,0)</f>
        <v>01945</v>
      </c>
      <c r="H1584" s="46" t="str">
        <f>VLOOKUP(F1584,[4]在职!$A:$I,9,0)</f>
        <v>实习销售</v>
      </c>
      <c r="I1584" s="46" t="s">
        <v>907</v>
      </c>
      <c r="J1584" s="83">
        <v>46106</v>
      </c>
      <c r="K1584" s="46" t="s">
        <v>1324</v>
      </c>
      <c r="L1584" s="83" t="s">
        <v>25</v>
      </c>
    </row>
    <row r="1585" ht="16.5" spans="1:12">
      <c r="A1585" s="46">
        <v>1583</v>
      </c>
      <c r="B1585" s="46" t="s">
        <v>45</v>
      </c>
      <c r="C1585" s="46" t="str">
        <f>VLOOKUP(F1585,[4]在职!$A:$E,5,0)</f>
        <v>西南总部</v>
      </c>
      <c r="D1585" s="46" t="str">
        <f>VLOOKUP(F1585,[4]在职!$A:$G,7,0)</f>
        <v>营业七部</v>
      </c>
      <c r="E1585" s="46" t="str">
        <f>VLOOKUP(F1585,[4]在职!$A:$M,13,0)</f>
        <v>程新浩</v>
      </c>
      <c r="F1585" s="46" t="s">
        <v>1554</v>
      </c>
      <c r="G1585" s="46" t="str">
        <f>VLOOKUP(F1585,[4]在职!$A:$B,2,0)</f>
        <v>01916</v>
      </c>
      <c r="H1585" s="46" t="str">
        <f>VLOOKUP(F1585,[4]在职!$A:$I,9,0)</f>
        <v>实习销售</v>
      </c>
      <c r="I1585" s="46" t="s">
        <v>907</v>
      </c>
      <c r="J1585" s="83">
        <v>46106</v>
      </c>
      <c r="K1585" s="46" t="s">
        <v>1324</v>
      </c>
      <c r="L1585" s="83" t="s">
        <v>25</v>
      </c>
    </row>
    <row r="1586" ht="16.5" spans="1:12">
      <c r="A1586" s="46">
        <v>1584</v>
      </c>
      <c r="B1586" s="46" t="s">
        <v>45</v>
      </c>
      <c r="C1586" s="46" t="str">
        <f>VLOOKUP(F1586,[4]在职!$A:$E,5,0)</f>
        <v>西南总部</v>
      </c>
      <c r="D1586" s="46" t="str">
        <f>VLOOKUP(F1586,[4]在职!$A:$G,7,0)</f>
        <v>营业七部</v>
      </c>
      <c r="E1586" s="46" t="str">
        <f>VLOOKUP(F1586,[4]在职!$A:$M,13,0)</f>
        <v>申慧</v>
      </c>
      <c r="F1586" s="46" t="s">
        <v>1555</v>
      </c>
      <c r="G1586" s="46" t="str">
        <f>VLOOKUP(F1586,[4]在职!$A:$B,2,0)</f>
        <v>01951</v>
      </c>
      <c r="H1586" s="46" t="str">
        <f>VLOOKUP(F1586,[4]在职!$A:$I,9,0)</f>
        <v>实习销售</v>
      </c>
      <c r="I1586" s="46" t="s">
        <v>907</v>
      </c>
      <c r="J1586" s="83">
        <v>46106</v>
      </c>
      <c r="K1586" s="46" t="s">
        <v>1324</v>
      </c>
      <c r="L1586" s="83" t="s">
        <v>25</v>
      </c>
    </row>
    <row r="1587" ht="16.5" spans="1:12">
      <c r="A1587" s="46">
        <v>1585</v>
      </c>
      <c r="B1587" s="46" t="s">
        <v>45</v>
      </c>
      <c r="C1587" s="46" t="str">
        <f>VLOOKUP(F1587,[4]在职!$A:$E,5,0)</f>
        <v>西南总部</v>
      </c>
      <c r="D1587" s="46" t="str">
        <f>VLOOKUP(F1587,[4]在职!$A:$G,7,0)</f>
        <v>营业三部</v>
      </c>
      <c r="E1587" s="46" t="str">
        <f>VLOOKUP(F1587,[4]在职!$A:$M,13,0)</f>
        <v>李海艳</v>
      </c>
      <c r="F1587" s="46" t="s">
        <v>1556</v>
      </c>
      <c r="G1587" s="46" t="str">
        <f>VLOOKUP(F1587,[4]在职!$A:$B,2,0)</f>
        <v>01927</v>
      </c>
      <c r="H1587" s="46" t="str">
        <f>VLOOKUP(F1587,[4]在职!$A:$I,9,0)</f>
        <v>实习销售</v>
      </c>
      <c r="I1587" s="46" t="s">
        <v>907</v>
      </c>
      <c r="J1587" s="83">
        <v>46106</v>
      </c>
      <c r="K1587" s="46" t="s">
        <v>1324</v>
      </c>
      <c r="L1587" s="83" t="s">
        <v>25</v>
      </c>
    </row>
    <row r="1588" ht="16.5" spans="1:12">
      <c r="A1588" s="46">
        <v>1586</v>
      </c>
      <c r="B1588" s="46" t="s">
        <v>45</v>
      </c>
      <c r="C1588" s="46" t="str">
        <f>VLOOKUP(F1588,[4]在职!$A:$E,5,0)</f>
        <v>西南总部</v>
      </c>
      <c r="D1588" s="46" t="str">
        <f>VLOOKUP(F1588,[4]在职!$A:$G,7,0)</f>
        <v>营业四部</v>
      </c>
      <c r="E1588" s="46" t="str">
        <f>VLOOKUP(F1588,[4]在职!$A:$M,13,0)</f>
        <v>李培金</v>
      </c>
      <c r="F1588" s="46" t="s">
        <v>1271</v>
      </c>
      <c r="G1588" s="46" t="str">
        <f>VLOOKUP(F1588,[4]在职!$A:$B,2,0)</f>
        <v>01790</v>
      </c>
      <c r="H1588" s="46" t="str">
        <f>VLOOKUP(F1588,[4]在职!$A:$I,9,0)</f>
        <v>一星销售顾问</v>
      </c>
      <c r="I1588" s="46" t="s">
        <v>907</v>
      </c>
      <c r="J1588" s="83">
        <v>46106</v>
      </c>
      <c r="K1588" s="46" t="s">
        <v>1324</v>
      </c>
      <c r="L1588" s="83" t="s">
        <v>25</v>
      </c>
    </row>
    <row r="1589" ht="16.5" spans="1:12">
      <c r="A1589" s="46">
        <v>1587</v>
      </c>
      <c r="B1589" s="46" t="s">
        <v>45</v>
      </c>
      <c r="C1589" s="46" t="str">
        <f>VLOOKUP(F1589,[4]在职!$A:$E,5,0)</f>
        <v>西南总部</v>
      </c>
      <c r="D1589" s="46" t="str">
        <f>VLOOKUP(F1589,[4]在职!$A:$G,7,0)</f>
        <v>营业一部</v>
      </c>
      <c r="E1589" s="46" t="str">
        <f>VLOOKUP(F1589,[4]在职!$A:$M,13,0)</f>
        <v>唐浪波</v>
      </c>
      <c r="F1589" s="46" t="s">
        <v>1243</v>
      </c>
      <c r="G1589" s="46" t="str">
        <f>VLOOKUP(F1589,[4]在职!$A:$B,2,0)</f>
        <v>01909</v>
      </c>
      <c r="H1589" s="46" t="str">
        <f>VLOOKUP(F1589,[4]在职!$A:$I,9,0)</f>
        <v>实习销售</v>
      </c>
      <c r="I1589" s="46" t="s">
        <v>907</v>
      </c>
      <c r="J1589" s="83">
        <v>46106</v>
      </c>
      <c r="K1589" s="46" t="s">
        <v>1324</v>
      </c>
      <c r="L1589" s="83" t="s">
        <v>25</v>
      </c>
    </row>
    <row r="1590" ht="16.5" spans="1:12">
      <c r="A1590" s="46">
        <v>1588</v>
      </c>
      <c r="B1590" s="46" t="s">
        <v>45</v>
      </c>
      <c r="C1590" s="46" t="str">
        <f>VLOOKUP(F1590,[4]在职!$A:$E,5,0)</f>
        <v>西南总部</v>
      </c>
      <c r="D1590" s="46" t="str">
        <f>VLOOKUP(F1590,[4]在职!$A:$G,7,0)</f>
        <v>营业二部</v>
      </c>
      <c r="E1590" s="46" t="str">
        <f>VLOOKUP(F1590,[4]在职!$A:$M,13,0)</f>
        <v>王彬力</v>
      </c>
      <c r="F1590" s="46" t="s">
        <v>1557</v>
      </c>
      <c r="G1590" s="46" t="str">
        <f>VLOOKUP(F1590,[4]在职!$A:$B,2,0)</f>
        <v>01965</v>
      </c>
      <c r="H1590" s="46" t="str">
        <f>VLOOKUP(F1590,[4]在职!$A:$I,9,0)</f>
        <v>实习销售</v>
      </c>
      <c r="I1590" s="46" t="s">
        <v>907</v>
      </c>
      <c r="J1590" s="83">
        <v>46106</v>
      </c>
      <c r="K1590" s="46" t="s">
        <v>1324</v>
      </c>
      <c r="L1590" s="83" t="s">
        <v>25</v>
      </c>
    </row>
    <row r="1591" ht="16.5" spans="1:12">
      <c r="A1591" s="46">
        <v>1589</v>
      </c>
      <c r="B1591" s="46" t="s">
        <v>45</v>
      </c>
      <c r="C1591" s="46" t="str">
        <f>VLOOKUP(F1591,[4]在职!$A:$E,5,0)</f>
        <v>西南总部</v>
      </c>
      <c r="D1591" s="46" t="str">
        <f>VLOOKUP(F1591,[4]在职!$A:$G,7,0)</f>
        <v>营业二部</v>
      </c>
      <c r="E1591" s="46" t="str">
        <f>VLOOKUP(F1591,[4]在职!$A:$M,13,0)</f>
        <v>魏飞翔</v>
      </c>
      <c r="F1591" s="46" t="s">
        <v>1558</v>
      </c>
      <c r="G1591" s="46" t="str">
        <f>VLOOKUP(F1591,[4]在职!$A:$B,2,0)</f>
        <v>01967</v>
      </c>
      <c r="H1591" s="46" t="str">
        <f>VLOOKUP(F1591,[4]在职!$A:$I,9,0)</f>
        <v>实习销售</v>
      </c>
      <c r="I1591" s="46" t="s">
        <v>907</v>
      </c>
      <c r="J1591" s="83">
        <v>46106</v>
      </c>
      <c r="K1591" s="46" t="s">
        <v>1324</v>
      </c>
      <c r="L1591" s="83" t="s">
        <v>25</v>
      </c>
    </row>
    <row r="1592" ht="16.5" spans="1:12">
      <c r="A1592" s="46">
        <v>1590</v>
      </c>
      <c r="B1592" s="46" t="s">
        <v>45</v>
      </c>
      <c r="C1592" s="46" t="str">
        <f>VLOOKUP(F1592,[4]在职!$A:$E,5,0)</f>
        <v>西南总部</v>
      </c>
      <c r="D1592" s="46" t="str">
        <f>VLOOKUP(F1592,[4]在职!$A:$G,7,0)</f>
        <v>营业二部</v>
      </c>
      <c r="E1592" s="46" t="str">
        <f>VLOOKUP(F1592,[4]在职!$A:$M,13,0)</f>
        <v>魏飞翔</v>
      </c>
      <c r="F1592" s="46" t="s">
        <v>1559</v>
      </c>
      <c r="G1592" s="46" t="str">
        <f>VLOOKUP(F1592,[4]在职!$A:$B,2,0)</f>
        <v>01935</v>
      </c>
      <c r="H1592" s="46" t="str">
        <f>VLOOKUP(F1592,[4]在职!$A:$I,9,0)</f>
        <v>实习销售</v>
      </c>
      <c r="I1592" s="46" t="s">
        <v>907</v>
      </c>
      <c r="J1592" s="83">
        <v>46106</v>
      </c>
      <c r="K1592" s="46" t="s">
        <v>1324</v>
      </c>
      <c r="L1592" s="83" t="s">
        <v>25</v>
      </c>
    </row>
    <row r="1593" ht="16.5" spans="1:12">
      <c r="A1593" s="46">
        <v>1591</v>
      </c>
      <c r="B1593" s="46" t="s">
        <v>45</v>
      </c>
      <c r="C1593" s="46" t="str">
        <f>VLOOKUP(F1593,[4]在职!$A:$E,5,0)</f>
        <v>西南总部</v>
      </c>
      <c r="D1593" s="46" t="str">
        <f>VLOOKUP(F1593,[4]在职!$A:$G,7,0)</f>
        <v>营业二部</v>
      </c>
      <c r="E1593" s="46" t="str">
        <f>VLOOKUP(F1593,[4]在职!$A:$M,13,0)</f>
        <v>文鹏羽</v>
      </c>
      <c r="F1593" s="46" t="s">
        <v>1560</v>
      </c>
      <c r="G1593" s="46" t="str">
        <f>VLOOKUP(F1593,[4]在职!$A:$B,2,0)</f>
        <v>01919</v>
      </c>
      <c r="H1593" s="46" t="str">
        <f>VLOOKUP(F1593,[4]在职!$A:$I,9,0)</f>
        <v>实习销售</v>
      </c>
      <c r="I1593" s="46" t="s">
        <v>907</v>
      </c>
      <c r="J1593" s="83">
        <v>46106</v>
      </c>
      <c r="K1593" s="46" t="s">
        <v>1324</v>
      </c>
      <c r="L1593" s="83" t="s">
        <v>25</v>
      </c>
    </row>
    <row r="1594" ht="16.5" spans="1:12">
      <c r="A1594" s="46">
        <v>1592</v>
      </c>
      <c r="B1594" s="46" t="s">
        <v>45</v>
      </c>
      <c r="C1594" s="46" t="str">
        <f>VLOOKUP(F1594,[4]在职!$A:$E,5,0)</f>
        <v>西南总部</v>
      </c>
      <c r="D1594" s="46" t="str">
        <f>VLOOKUP(F1594,[4]在职!$A:$G,7,0)</f>
        <v>营业二部</v>
      </c>
      <c r="E1594" s="46" t="str">
        <f>VLOOKUP(F1594,[4]在职!$A:$M,13,0)</f>
        <v>文鹏羽</v>
      </c>
      <c r="F1594" s="46" t="s">
        <v>1227</v>
      </c>
      <c r="G1594" s="46" t="str">
        <f>VLOOKUP(F1594,[4]在职!$A:$B,2,0)</f>
        <v>01764</v>
      </c>
      <c r="H1594" s="46" t="str">
        <f>VLOOKUP(F1594,[4]在职!$A:$I,9,0)</f>
        <v>一星销售顾问</v>
      </c>
      <c r="I1594" s="46" t="s">
        <v>907</v>
      </c>
      <c r="J1594" s="83">
        <v>46106</v>
      </c>
      <c r="K1594" s="46" t="s">
        <v>1324</v>
      </c>
      <c r="L1594" s="83" t="s">
        <v>25</v>
      </c>
    </row>
    <row r="1595" ht="16.5" spans="1:12">
      <c r="A1595" s="46">
        <v>1593</v>
      </c>
      <c r="B1595" s="46" t="s">
        <v>45</v>
      </c>
      <c r="C1595" s="46" t="str">
        <f>VLOOKUP(F1595,[4]在职!$A:$E,5,0)</f>
        <v>西南总部</v>
      </c>
      <c r="D1595" s="46" t="str">
        <f>VLOOKUP(F1595,[4]在职!$A:$G,7,0)</f>
        <v>营业五部</v>
      </c>
      <c r="E1595" s="46" t="str">
        <f>VLOOKUP(F1595,[4]在职!$A:$M,13,0)</f>
        <v>杨科</v>
      </c>
      <c r="F1595" s="46" t="s">
        <v>1561</v>
      </c>
      <c r="G1595" s="46" t="str">
        <f>VLOOKUP(F1595,[4]在职!$A:$B,2,0)</f>
        <v>01934</v>
      </c>
      <c r="H1595" s="46" t="str">
        <f>VLOOKUP(F1595,[4]在职!$A:$I,9,0)</f>
        <v>实习销售</v>
      </c>
      <c r="I1595" s="46" t="s">
        <v>907</v>
      </c>
      <c r="J1595" s="83">
        <v>46106</v>
      </c>
      <c r="K1595" s="46" t="s">
        <v>1324</v>
      </c>
      <c r="L1595" s="83" t="s">
        <v>25</v>
      </c>
    </row>
    <row r="1596" ht="16.5" spans="1:12">
      <c r="A1596" s="46">
        <v>1594</v>
      </c>
      <c r="B1596" s="46" t="s">
        <v>45</v>
      </c>
      <c r="C1596" s="46" t="str">
        <f>VLOOKUP(F1596,[4]在职!$A:$E,5,0)</f>
        <v>西南总部</v>
      </c>
      <c r="D1596" s="46" t="str">
        <f>VLOOKUP(F1596,[4]在职!$A:$G,7,0)</f>
        <v>营业六部</v>
      </c>
      <c r="E1596" s="46" t="str">
        <f>VLOOKUP(F1596,[4]在职!$A:$M,13,0)</f>
        <v>袁华</v>
      </c>
      <c r="F1596" s="46" t="s">
        <v>1562</v>
      </c>
      <c r="G1596" s="46" t="str">
        <f>VLOOKUP(F1596,[4]在职!$A:$B,2,0)</f>
        <v>01975</v>
      </c>
      <c r="H1596" s="46" t="str">
        <f>VLOOKUP(F1596,[4]在职!$A:$I,9,0)</f>
        <v>实习销售</v>
      </c>
      <c r="I1596" s="46" t="s">
        <v>907</v>
      </c>
      <c r="J1596" s="83">
        <v>46106</v>
      </c>
      <c r="K1596" s="46" t="s">
        <v>1324</v>
      </c>
      <c r="L1596" s="83" t="s">
        <v>25</v>
      </c>
    </row>
    <row r="1597" ht="16.5" spans="1:12">
      <c r="A1597" s="46">
        <v>1595</v>
      </c>
      <c r="B1597" s="46" t="s">
        <v>45</v>
      </c>
      <c r="C1597" s="46" t="str">
        <f>VLOOKUP(F1597,[4]在职!$A:$E,5,0)</f>
        <v>西南总部</v>
      </c>
      <c r="D1597" s="46" t="str">
        <f>VLOOKUP(F1597,[4]在职!$A:$G,7,0)</f>
        <v>营业六部</v>
      </c>
      <c r="E1597" s="46" t="str">
        <f>VLOOKUP(F1597,[4]在职!$A:$M,13,0)</f>
        <v>袁华</v>
      </c>
      <c r="F1597" s="46" t="s">
        <v>1563</v>
      </c>
      <c r="G1597" s="46" t="str">
        <f>VLOOKUP(F1597,[4]在职!$A:$B,2,0)</f>
        <v>01974</v>
      </c>
      <c r="H1597" s="46" t="str">
        <f>VLOOKUP(F1597,[4]在职!$A:$I,9,0)</f>
        <v>实习销售</v>
      </c>
      <c r="I1597" s="46" t="s">
        <v>907</v>
      </c>
      <c r="J1597" s="83">
        <v>46106</v>
      </c>
      <c r="K1597" s="46" t="s">
        <v>1324</v>
      </c>
      <c r="L1597" s="83" t="s">
        <v>25</v>
      </c>
    </row>
    <row r="1598" ht="16.5" spans="1:12">
      <c r="A1598" s="46">
        <v>1596</v>
      </c>
      <c r="B1598" s="46" t="s">
        <v>45</v>
      </c>
      <c r="C1598" s="46" t="str">
        <f>VLOOKUP(F1598,[4]在职!$A:$E,5,0)</f>
        <v>西南总部</v>
      </c>
      <c r="D1598" s="46" t="str">
        <f>VLOOKUP(F1598,[4]在职!$A:$G,7,0)</f>
        <v>营业六部</v>
      </c>
      <c r="E1598" s="46" t="str">
        <f>VLOOKUP(F1598,[4]在职!$A:$M,13,0)</f>
        <v>袁华</v>
      </c>
      <c r="F1598" s="46" t="s">
        <v>1564</v>
      </c>
      <c r="G1598" s="46" t="str">
        <f>VLOOKUP(F1598,[4]在职!$A:$B,2,0)</f>
        <v>01971</v>
      </c>
      <c r="H1598" s="46" t="str">
        <f>VLOOKUP(F1598,[4]在职!$A:$I,9,0)</f>
        <v>实习销售</v>
      </c>
      <c r="I1598" s="46" t="s">
        <v>907</v>
      </c>
      <c r="J1598" s="83">
        <v>46106</v>
      </c>
      <c r="K1598" s="46" t="s">
        <v>1324</v>
      </c>
      <c r="L1598" s="83" t="s">
        <v>25</v>
      </c>
    </row>
    <row r="1599" ht="16.5" spans="1:12">
      <c r="A1599" s="46">
        <v>1597</v>
      </c>
      <c r="B1599" s="46" t="s">
        <v>45</v>
      </c>
      <c r="C1599" s="46" t="str">
        <f>VLOOKUP(F1599,[4]在职!$A:$E,5,0)</f>
        <v>西南总部</v>
      </c>
      <c r="D1599" s="46" t="str">
        <f>VLOOKUP(F1599,[4]在职!$A:$G,7,0)</f>
        <v>营业六部</v>
      </c>
      <c r="E1599" s="46" t="str">
        <f>VLOOKUP(F1599,[4]在职!$A:$M,13,0)</f>
        <v>袁华</v>
      </c>
      <c r="F1599" s="46" t="s">
        <v>1203</v>
      </c>
      <c r="G1599" s="46" t="str">
        <f>VLOOKUP(F1599,[4]在职!$A:$B,2,0)</f>
        <v>01835</v>
      </c>
      <c r="H1599" s="46" t="str">
        <f>VLOOKUP(F1599,[4]在职!$A:$I,9,0)</f>
        <v>实习销售</v>
      </c>
      <c r="I1599" s="46" t="s">
        <v>907</v>
      </c>
      <c r="J1599" s="83">
        <v>46106</v>
      </c>
      <c r="K1599" s="46" t="s">
        <v>1324</v>
      </c>
      <c r="L1599" s="83" t="s">
        <v>25</v>
      </c>
    </row>
    <row r="1600" ht="16.5" spans="1:12">
      <c r="A1600" s="46">
        <v>1598</v>
      </c>
      <c r="B1600" s="46" t="s">
        <v>45</v>
      </c>
      <c r="C1600" s="46" t="str">
        <f>VLOOKUP(F1600,[4]在职!$A:$E,5,0)</f>
        <v>西南总部</v>
      </c>
      <c r="D1600" s="46" t="str">
        <f>VLOOKUP(F1600,[4]在职!$A:$G,7,0)</f>
        <v>营业五部</v>
      </c>
      <c r="E1600" s="46" t="str">
        <f>VLOOKUP(F1600,[4]在职!$A:$M,13,0)</f>
        <v>杨科</v>
      </c>
      <c r="F1600" s="46" t="s">
        <v>1211</v>
      </c>
      <c r="G1600" s="46" t="str">
        <f>VLOOKUP(F1600,[4]在职!$A:$B,2,0)</f>
        <v>01866</v>
      </c>
      <c r="H1600" s="46" t="str">
        <f>VLOOKUP(F1600,[4]在职!$A:$I,9,0)</f>
        <v>实习销售</v>
      </c>
      <c r="I1600" s="46" t="s">
        <v>907</v>
      </c>
      <c r="J1600" s="83">
        <v>46106</v>
      </c>
      <c r="K1600" s="46" t="s">
        <v>1324</v>
      </c>
      <c r="L1600" s="83" t="s">
        <v>25</v>
      </c>
    </row>
    <row r="1601" ht="16.5" spans="1:12">
      <c r="A1601" s="46">
        <v>1599</v>
      </c>
      <c r="B1601" s="46" t="s">
        <v>45</v>
      </c>
      <c r="C1601" s="46" t="str">
        <f>VLOOKUP(F1601,[4]在职!$A:$E,5,0)</f>
        <v>西南总部</v>
      </c>
      <c r="D1601" s="46" t="str">
        <f>VLOOKUP(F1601,[4]在职!$A:$G,7,0)</f>
        <v>营业五部</v>
      </c>
      <c r="E1601" s="46" t="str">
        <f>VLOOKUP(F1601,[4]在职!$A:$M,13,0)</f>
        <v>杨科</v>
      </c>
      <c r="F1601" s="46" t="s">
        <v>1213</v>
      </c>
      <c r="G1601" s="46" t="str">
        <f>VLOOKUP(F1601,[4]在职!$A:$B,2,0)</f>
        <v>01673</v>
      </c>
      <c r="H1601" s="46" t="str">
        <f>VLOOKUP(F1601,[4]在职!$A:$I,9,0)</f>
        <v>实习销售</v>
      </c>
      <c r="I1601" s="46" t="s">
        <v>907</v>
      </c>
      <c r="J1601" s="83">
        <v>46106</v>
      </c>
      <c r="K1601" s="46" t="s">
        <v>1324</v>
      </c>
      <c r="L1601" s="83" t="s">
        <v>25</v>
      </c>
    </row>
    <row r="1602" ht="16.5" spans="1:12">
      <c r="A1602" s="46">
        <v>1600</v>
      </c>
      <c r="B1602" s="46" t="s">
        <v>45</v>
      </c>
      <c r="C1602" s="46" t="str">
        <f>VLOOKUP(F1602,[4]在职!$A:$E,5,0)</f>
        <v>西南总部</v>
      </c>
      <c r="D1602" s="46" t="str">
        <f>VLOOKUP(F1602,[4]在职!$A:$G,7,0)</f>
        <v>营业五部</v>
      </c>
      <c r="E1602" s="46" t="str">
        <f>VLOOKUP(F1602,[4]在职!$A:$M,13,0)</f>
        <v>杨科</v>
      </c>
      <c r="F1602" s="46" t="s">
        <v>1209</v>
      </c>
      <c r="G1602" s="46" t="str">
        <f>VLOOKUP(F1602,[4]在职!$A:$B,2,0)</f>
        <v>01886</v>
      </c>
      <c r="H1602" s="46" t="str">
        <f>VLOOKUP(F1602,[4]在职!$A:$I,9,0)</f>
        <v>实习销售</v>
      </c>
      <c r="I1602" s="46" t="s">
        <v>907</v>
      </c>
      <c r="J1602" s="83">
        <v>46106</v>
      </c>
      <c r="K1602" s="46" t="s">
        <v>1324</v>
      </c>
      <c r="L1602" s="83" t="s">
        <v>25</v>
      </c>
    </row>
    <row r="1603" ht="16.5" spans="1:12">
      <c r="A1603" s="46">
        <v>1601</v>
      </c>
      <c r="B1603" s="46" t="s">
        <v>45</v>
      </c>
      <c r="C1603" s="46" t="str">
        <f>VLOOKUP(F1603,[4]在职!$A:$E,5,0)</f>
        <v>西南总部</v>
      </c>
      <c r="D1603" s="46" t="str">
        <f>VLOOKUP(F1603,[4]在职!$A:$G,7,0)</f>
        <v>营业五部</v>
      </c>
      <c r="E1603" s="46" t="str">
        <f>VLOOKUP(F1603,[4]在职!$A:$M,13,0)</f>
        <v>杨科</v>
      </c>
      <c r="F1603" s="46" t="s">
        <v>1207</v>
      </c>
      <c r="G1603" s="46" t="str">
        <f>VLOOKUP(F1603,[4]在职!$A:$B,2,0)</f>
        <v>01892</v>
      </c>
      <c r="H1603" s="46" t="str">
        <f>VLOOKUP(F1603,[4]在职!$A:$I,9,0)</f>
        <v>实习销售</v>
      </c>
      <c r="I1603" s="46" t="s">
        <v>907</v>
      </c>
      <c r="J1603" s="83">
        <v>46106</v>
      </c>
      <c r="K1603" s="46" t="s">
        <v>1324</v>
      </c>
      <c r="L1603" s="83" t="s">
        <v>25</v>
      </c>
    </row>
    <row r="1604" ht="16.5" spans="1:12">
      <c r="A1604" s="46">
        <v>1602</v>
      </c>
      <c r="B1604" s="46" t="s">
        <v>45</v>
      </c>
      <c r="C1604" s="46" t="str">
        <f>VLOOKUP(F1604,[4]在职!$A:$E,5,0)</f>
        <v>西南总部</v>
      </c>
      <c r="D1604" s="46" t="str">
        <f>VLOOKUP(F1604,[4]在职!$A:$G,7,0)</f>
        <v>营业五部</v>
      </c>
      <c r="E1604" s="46" t="str">
        <f>VLOOKUP(F1604,[4]在职!$A:$M,13,0)</f>
        <v>尹稳</v>
      </c>
      <c r="F1604" s="46" t="s">
        <v>1565</v>
      </c>
      <c r="G1604" s="46" t="str">
        <f>VLOOKUP(F1604,[4]在职!$A:$B,2,0)</f>
        <v>01960</v>
      </c>
      <c r="H1604" s="46" t="str">
        <f>VLOOKUP(F1604,[4]在职!$A:$I,9,0)</f>
        <v>实习销售</v>
      </c>
      <c r="I1604" s="46" t="s">
        <v>907</v>
      </c>
      <c r="J1604" s="83">
        <v>46106</v>
      </c>
      <c r="K1604" s="46" t="s">
        <v>1324</v>
      </c>
      <c r="L1604" s="83" t="s">
        <v>25</v>
      </c>
    </row>
    <row r="1605" ht="16.5" spans="1:12">
      <c r="A1605" s="46">
        <v>1603</v>
      </c>
      <c r="B1605" s="46" t="s">
        <v>45</v>
      </c>
      <c r="C1605" s="46" t="str">
        <f>VLOOKUP(F1605,[4]在职!$A:$E,5,0)</f>
        <v>西南总部</v>
      </c>
      <c r="D1605" s="46" t="str">
        <f>VLOOKUP(F1605,[4]在职!$A:$G,7,0)</f>
        <v>营业七部</v>
      </c>
      <c r="E1605" s="46" t="str">
        <f>VLOOKUP(F1605,[4]在职!$A:$M,13,0)</f>
        <v>张家涛</v>
      </c>
      <c r="F1605" s="46" t="s">
        <v>1201</v>
      </c>
      <c r="G1605" s="46" t="str">
        <f>VLOOKUP(F1605,[4]在职!$A:$B,2,0)</f>
        <v>01905</v>
      </c>
      <c r="H1605" s="46" t="str">
        <f>VLOOKUP(F1605,[4]在职!$A:$I,9,0)</f>
        <v>实习销售</v>
      </c>
      <c r="I1605" s="46" t="s">
        <v>907</v>
      </c>
      <c r="J1605" s="83">
        <v>46106</v>
      </c>
      <c r="K1605" s="46" t="s">
        <v>1324</v>
      </c>
      <c r="L1605" s="83" t="s">
        <v>25</v>
      </c>
    </row>
    <row r="1606" ht="16.5" spans="1:12">
      <c r="A1606" s="46">
        <v>1604</v>
      </c>
      <c r="B1606" s="46" t="s">
        <v>45</v>
      </c>
      <c r="C1606" s="46" t="str">
        <f>VLOOKUP(F1606,[4]在职!$A:$E,5,0)</f>
        <v>西南总部</v>
      </c>
      <c r="D1606" s="46" t="str">
        <f>VLOOKUP(F1606,[4]在职!$A:$G,7,0)</f>
        <v>营业六部</v>
      </c>
      <c r="E1606" s="46" t="str">
        <f>VLOOKUP(F1606,[4]在职!$A:$M,13,0)</f>
        <v>郑雄</v>
      </c>
      <c r="F1606" s="46" t="s">
        <v>1566</v>
      </c>
      <c r="G1606" s="46" t="str">
        <f>VLOOKUP(F1606,[4]在职!$A:$B,2,0)</f>
        <v>01953</v>
      </c>
      <c r="H1606" s="46" t="str">
        <f>VLOOKUP(F1606,[4]在职!$A:$I,9,0)</f>
        <v>实习销售</v>
      </c>
      <c r="I1606" s="46" t="s">
        <v>907</v>
      </c>
      <c r="J1606" s="83">
        <v>46106</v>
      </c>
      <c r="K1606" s="46" t="s">
        <v>1324</v>
      </c>
      <c r="L1606" s="83" t="s">
        <v>25</v>
      </c>
    </row>
    <row r="1607" ht="16.5" spans="1:12">
      <c r="A1607" s="46">
        <v>1605</v>
      </c>
      <c r="B1607" s="46" t="s">
        <v>45</v>
      </c>
      <c r="C1607" s="46" t="str">
        <f>VLOOKUP(F1607,[4]在职!$A:$E,5,0)</f>
        <v>西南总部</v>
      </c>
      <c r="D1607" s="46" t="str">
        <f>VLOOKUP(F1607,[4]在职!$A:$G,7,0)</f>
        <v>营业六部</v>
      </c>
      <c r="E1607" s="46" t="str">
        <f>VLOOKUP(F1607,[4]在职!$A:$M,13,0)</f>
        <v>郑雄</v>
      </c>
      <c r="F1607" s="46" t="s">
        <v>1182</v>
      </c>
      <c r="G1607" s="46" t="str">
        <f>VLOOKUP(F1607,[4]在职!$A:$B,2,0)</f>
        <v>01864</v>
      </c>
      <c r="H1607" s="46" t="str">
        <f>VLOOKUP(F1607,[4]在职!$A:$I,9,0)</f>
        <v>实习销售</v>
      </c>
      <c r="I1607" s="46" t="s">
        <v>907</v>
      </c>
      <c r="J1607" s="83">
        <v>46106</v>
      </c>
      <c r="K1607" s="46" t="s">
        <v>1324</v>
      </c>
      <c r="L1607" s="83" t="s">
        <v>25</v>
      </c>
    </row>
    <row r="1608" ht="16.5" spans="1:12">
      <c r="A1608" s="46">
        <v>1606</v>
      </c>
      <c r="B1608" s="46" t="s">
        <v>45</v>
      </c>
      <c r="C1608" s="46" t="str">
        <f>VLOOKUP(F1608,[4]在职!$A:$E,5,0)</f>
        <v>西南总部</v>
      </c>
      <c r="D1608" s="46" t="str">
        <f>VLOOKUP(F1608,[4]在职!$A:$G,7,0)</f>
        <v>营业五部</v>
      </c>
      <c r="E1608" s="46" t="str">
        <f>VLOOKUP(F1608,[4]在职!$A:$M,13,0)</f>
        <v>周远芮</v>
      </c>
      <c r="F1608" s="46" t="s">
        <v>1503</v>
      </c>
      <c r="G1608" s="46" t="str">
        <f>VLOOKUP(F1608,[4]在职!$A:$B,2,0)</f>
        <v>01560</v>
      </c>
      <c r="H1608" s="46" t="str">
        <f>VLOOKUP(F1608,[4]在职!$A:$I,9,0)</f>
        <v>一星销售顾问</v>
      </c>
      <c r="I1608" s="46" t="s">
        <v>907</v>
      </c>
      <c r="J1608" s="83">
        <v>46106</v>
      </c>
      <c r="K1608" s="46" t="s">
        <v>1324</v>
      </c>
      <c r="L1608" s="83" t="s">
        <v>25</v>
      </c>
    </row>
    <row r="1609" ht="16.5" spans="1:12">
      <c r="A1609" s="46">
        <v>1607</v>
      </c>
      <c r="B1609" s="46" t="s">
        <v>45</v>
      </c>
      <c r="C1609" s="46" t="str">
        <f>VLOOKUP(F1609,[4]在职!$A:$E,5,0)</f>
        <v>河北</v>
      </c>
      <c r="D1609" s="46" t="str">
        <f>VLOOKUP(F1609,[4]在职!$A:$G,7,0)</f>
        <v>河北销售部</v>
      </c>
      <c r="E1609" s="46" t="str">
        <f>VLOOKUP(F1609,[4]在职!$A:$M,13,0)</f>
        <v>陈东2</v>
      </c>
      <c r="F1609" s="46" t="s">
        <v>1550</v>
      </c>
      <c r="G1609" s="46" t="str">
        <f>VLOOKUP(F1609,[4]在职!$A:$B,2,0)</f>
        <v>01962</v>
      </c>
      <c r="H1609" s="46" t="str">
        <f>VLOOKUP(F1609,[4]在职!$A:$I,9,0)</f>
        <v>实习销售</v>
      </c>
      <c r="I1609" s="46" t="s">
        <v>907</v>
      </c>
      <c r="J1609" s="83">
        <v>46106</v>
      </c>
      <c r="K1609" s="46" t="s">
        <v>1536</v>
      </c>
      <c r="L1609" s="83" t="s">
        <v>25</v>
      </c>
    </row>
    <row r="1610" ht="16.5" spans="1:12">
      <c r="A1610" s="46">
        <v>1608</v>
      </c>
      <c r="B1610" s="46" t="s">
        <v>45</v>
      </c>
      <c r="C1610" s="46" t="str">
        <f>VLOOKUP(F1610,[4]在职!$A:$E,5,0)</f>
        <v>河北</v>
      </c>
      <c r="D1610" s="46" t="str">
        <f>VLOOKUP(F1610,[4]在职!$A:$G,7,0)</f>
        <v>河北销售部</v>
      </c>
      <c r="E1610" s="46" t="str">
        <f>VLOOKUP(F1610,[4]在职!$A:$M,13,0)</f>
        <v>陈东2</v>
      </c>
      <c r="F1610" s="46" t="s">
        <v>1309</v>
      </c>
      <c r="G1610" s="46" t="str">
        <f>VLOOKUP(F1610,[4]在职!$A:$B,2,0)</f>
        <v>01902</v>
      </c>
      <c r="H1610" s="46" t="str">
        <f>VLOOKUP(F1610,[4]在职!$A:$I,9,0)</f>
        <v>实习销售</v>
      </c>
      <c r="I1610" s="46" t="s">
        <v>907</v>
      </c>
      <c r="J1610" s="83">
        <v>46106</v>
      </c>
      <c r="K1610" s="46" t="s">
        <v>1536</v>
      </c>
      <c r="L1610" s="83" t="s">
        <v>25</v>
      </c>
    </row>
    <row r="1611" ht="16.5" spans="1:12">
      <c r="A1611" s="46">
        <v>1609</v>
      </c>
      <c r="B1611" s="46" t="s">
        <v>45</v>
      </c>
      <c r="C1611" s="46" t="str">
        <f>VLOOKUP(F1611,[4]在职!$A:$E,5,0)</f>
        <v>西南总部</v>
      </c>
      <c r="D1611" s="46" t="str">
        <f>VLOOKUP(F1611,[4]在职!$A:$G,7,0)</f>
        <v>营业四部</v>
      </c>
      <c r="E1611" s="46" t="str">
        <f>VLOOKUP(F1611,[4]在职!$A:$M,13,0)</f>
        <v>贾萍</v>
      </c>
      <c r="F1611" s="46" t="s">
        <v>1551</v>
      </c>
      <c r="G1611" s="46" t="str">
        <f>VLOOKUP(F1611,[4]在职!$A:$B,2,0)</f>
        <v>01922</v>
      </c>
      <c r="H1611" s="46" t="str">
        <f>VLOOKUP(F1611,[4]在职!$A:$I,9,0)</f>
        <v>实习销售</v>
      </c>
      <c r="I1611" s="46" t="s">
        <v>907</v>
      </c>
      <c r="J1611" s="83">
        <v>46106</v>
      </c>
      <c r="K1611" s="46" t="s">
        <v>1536</v>
      </c>
      <c r="L1611" s="83" t="s">
        <v>25</v>
      </c>
    </row>
    <row r="1612" ht="16.5" spans="1:12">
      <c r="A1612" s="46">
        <v>1610</v>
      </c>
      <c r="B1612" s="46" t="s">
        <v>45</v>
      </c>
      <c r="C1612" s="46" t="str">
        <f>VLOOKUP(F1612,[4]在职!$A:$E,5,0)</f>
        <v>湖南</v>
      </c>
      <c r="D1612" s="46" t="str">
        <f>VLOOKUP(F1612,[4]在职!$A:$G,7,0)</f>
        <v>湖南销售部</v>
      </c>
      <c r="E1612" s="46" t="str">
        <f>VLOOKUP(F1612,[4]在职!$A:$M,13,0)</f>
        <v>孙小龙</v>
      </c>
      <c r="F1612" s="46" t="s">
        <v>1461</v>
      </c>
      <c r="G1612" s="46" t="str">
        <f>VLOOKUP(F1612,[4]在职!$A:$B,2,0)</f>
        <v>01731</v>
      </c>
      <c r="H1612" s="46" t="str">
        <f>VLOOKUP(F1612,[4]在职!$A:$I,9,0)</f>
        <v>一星销售顾问</v>
      </c>
      <c r="I1612" s="46" t="s">
        <v>907</v>
      </c>
      <c r="J1612" s="83">
        <v>46106</v>
      </c>
      <c r="K1612" s="46" t="s">
        <v>1536</v>
      </c>
      <c r="L1612" s="83" t="s">
        <v>25</v>
      </c>
    </row>
    <row r="1613" ht="16.5" spans="1:12">
      <c r="A1613" s="46">
        <v>1611</v>
      </c>
      <c r="B1613" s="46" t="s">
        <v>45</v>
      </c>
      <c r="C1613" s="46" t="str">
        <f>VLOOKUP(F1613,[4]在职!$A:$E,5,0)</f>
        <v>西南总部</v>
      </c>
      <c r="D1613" s="46" t="str">
        <f>VLOOKUP(F1613,[4]在职!$A:$G,7,0)</f>
        <v>营业七部</v>
      </c>
      <c r="E1613" s="46" t="str">
        <f>VLOOKUP(F1613,[4]在职!$A:$M,13,0)</f>
        <v>蒋杨</v>
      </c>
      <c r="F1613" s="46" t="s">
        <v>1552</v>
      </c>
      <c r="G1613" s="46" t="str">
        <f>VLOOKUP(F1613,[4]在职!$A:$B,2,0)</f>
        <v>01933</v>
      </c>
      <c r="H1613" s="46" t="str">
        <f>VLOOKUP(F1613,[4]在职!$A:$I,9,0)</f>
        <v>实习销售</v>
      </c>
      <c r="I1613" s="46" t="s">
        <v>907</v>
      </c>
      <c r="J1613" s="83">
        <v>46106</v>
      </c>
      <c r="K1613" s="46" t="s">
        <v>1536</v>
      </c>
      <c r="L1613" s="83" t="s">
        <v>25</v>
      </c>
    </row>
    <row r="1614" ht="16.5" spans="1:12">
      <c r="A1614" s="46">
        <v>1612</v>
      </c>
      <c r="B1614" s="46" t="s">
        <v>45</v>
      </c>
      <c r="C1614" s="46" t="str">
        <f>VLOOKUP(F1614,[4]在职!$A:$E,5,0)</f>
        <v>西南总部</v>
      </c>
      <c r="D1614" s="46" t="str">
        <f>VLOOKUP(F1614,[4]在职!$A:$G,7,0)</f>
        <v>营业四部</v>
      </c>
      <c r="E1614" s="46" t="str">
        <f>VLOOKUP(F1614,[4]在职!$A:$M,13,0)</f>
        <v>陈帅</v>
      </c>
      <c r="F1614" s="46" t="s">
        <v>1307</v>
      </c>
      <c r="G1614" s="46" t="str">
        <f>VLOOKUP(F1614,[4]在职!$A:$B,2,0)</f>
        <v>01758</v>
      </c>
      <c r="H1614" s="46" t="str">
        <f>VLOOKUP(F1614,[4]在职!$A:$I,9,0)</f>
        <v>实习销售</v>
      </c>
      <c r="I1614" s="46" t="s">
        <v>907</v>
      </c>
      <c r="J1614" s="83">
        <v>46106</v>
      </c>
      <c r="K1614" s="46" t="s">
        <v>1536</v>
      </c>
      <c r="L1614" s="83" t="s">
        <v>25</v>
      </c>
    </row>
    <row r="1615" ht="16.5" spans="1:12">
      <c r="A1615" s="46">
        <v>1613</v>
      </c>
      <c r="B1615" s="46" t="s">
        <v>45</v>
      </c>
      <c r="C1615" s="46" t="str">
        <f>VLOOKUP(F1615,[4]在职!$A:$E,5,0)</f>
        <v>西南总部</v>
      </c>
      <c r="D1615" s="46" t="str">
        <f>VLOOKUP(F1615,[4]在职!$A:$G,7,0)</f>
        <v>营业四部</v>
      </c>
      <c r="E1615" s="46" t="str">
        <f>VLOOKUP(F1615,[4]在职!$A:$M,13,0)</f>
        <v>陈帅</v>
      </c>
      <c r="F1615" s="46" t="s">
        <v>1303</v>
      </c>
      <c r="G1615" s="46" t="str">
        <f>VLOOKUP(F1615,[4]在职!$A:$B,2,0)</f>
        <v>01882</v>
      </c>
      <c r="H1615" s="46" t="str">
        <f>VLOOKUP(F1615,[4]在职!$A:$I,9,0)</f>
        <v>实习销售</v>
      </c>
      <c r="I1615" s="46" t="s">
        <v>907</v>
      </c>
      <c r="J1615" s="83">
        <v>46106</v>
      </c>
      <c r="K1615" s="46" t="s">
        <v>1536</v>
      </c>
      <c r="L1615" s="83" t="s">
        <v>25</v>
      </c>
    </row>
    <row r="1616" ht="16.5" spans="1:12">
      <c r="A1616" s="46">
        <v>1614</v>
      </c>
      <c r="B1616" s="46" t="s">
        <v>45</v>
      </c>
      <c r="C1616" s="46" t="str">
        <f>VLOOKUP(F1616,[4]在职!$A:$E,5,0)</f>
        <v>西南总部</v>
      </c>
      <c r="D1616" s="46" t="str">
        <f>VLOOKUP(F1616,[4]在职!$A:$G,7,0)</f>
        <v>营业七部</v>
      </c>
      <c r="E1616" s="46" t="str">
        <f>VLOOKUP(F1616,[4]在职!$A:$M,13,0)</f>
        <v>程新浩</v>
      </c>
      <c r="F1616" s="46" t="s">
        <v>1553</v>
      </c>
      <c r="G1616" s="46" t="str">
        <f>VLOOKUP(F1616,[4]在职!$A:$B,2,0)</f>
        <v>01945</v>
      </c>
      <c r="H1616" s="46" t="str">
        <f>VLOOKUP(F1616,[4]在职!$A:$I,9,0)</f>
        <v>实习销售</v>
      </c>
      <c r="I1616" s="46" t="s">
        <v>907</v>
      </c>
      <c r="J1616" s="83">
        <v>46106</v>
      </c>
      <c r="K1616" s="46" t="s">
        <v>1536</v>
      </c>
      <c r="L1616" s="83" t="s">
        <v>25</v>
      </c>
    </row>
    <row r="1617" ht="16.5" spans="1:12">
      <c r="A1617" s="46">
        <v>1615</v>
      </c>
      <c r="B1617" s="46" t="s">
        <v>45</v>
      </c>
      <c r="C1617" s="46" t="str">
        <f>VLOOKUP(F1617,[4]在职!$A:$E,5,0)</f>
        <v>西南总部</v>
      </c>
      <c r="D1617" s="46" t="str">
        <f>VLOOKUP(F1617,[4]在职!$A:$G,7,0)</f>
        <v>营业七部</v>
      </c>
      <c r="E1617" s="46" t="str">
        <f>VLOOKUP(F1617,[4]在职!$A:$M,13,0)</f>
        <v>程新浩</v>
      </c>
      <c r="F1617" s="46" t="s">
        <v>1554</v>
      </c>
      <c r="G1617" s="46" t="str">
        <f>VLOOKUP(F1617,[4]在职!$A:$B,2,0)</f>
        <v>01916</v>
      </c>
      <c r="H1617" s="46" t="str">
        <f>VLOOKUP(F1617,[4]在职!$A:$I,9,0)</f>
        <v>实习销售</v>
      </c>
      <c r="I1617" s="46" t="s">
        <v>907</v>
      </c>
      <c r="J1617" s="83">
        <v>46106</v>
      </c>
      <c r="K1617" s="46" t="s">
        <v>1536</v>
      </c>
      <c r="L1617" s="83" t="s">
        <v>25</v>
      </c>
    </row>
    <row r="1618" ht="16.5" spans="1:12">
      <c r="A1618" s="46">
        <v>1616</v>
      </c>
      <c r="B1618" s="46" t="s">
        <v>45</v>
      </c>
      <c r="C1618" s="46" t="str">
        <f>VLOOKUP(F1618,[4]在职!$A:$E,5,0)</f>
        <v>西南总部</v>
      </c>
      <c r="D1618" s="46" t="str">
        <f>VLOOKUP(F1618,[4]在职!$A:$G,7,0)</f>
        <v>营业七部</v>
      </c>
      <c r="E1618" s="46" t="str">
        <f>VLOOKUP(F1618,[4]在职!$A:$M,13,0)</f>
        <v>申慧</v>
      </c>
      <c r="F1618" s="46" t="s">
        <v>1555</v>
      </c>
      <c r="G1618" s="46" t="str">
        <f>VLOOKUP(F1618,[4]在职!$A:$B,2,0)</f>
        <v>01951</v>
      </c>
      <c r="H1618" s="46" t="str">
        <f>VLOOKUP(F1618,[4]在职!$A:$I,9,0)</f>
        <v>实习销售</v>
      </c>
      <c r="I1618" s="46" t="s">
        <v>907</v>
      </c>
      <c r="J1618" s="83">
        <v>46106</v>
      </c>
      <c r="K1618" s="46" t="s">
        <v>1536</v>
      </c>
      <c r="L1618" s="83" t="s">
        <v>25</v>
      </c>
    </row>
    <row r="1619" ht="16.5" spans="1:12">
      <c r="A1619" s="46">
        <v>1617</v>
      </c>
      <c r="B1619" s="46" t="s">
        <v>45</v>
      </c>
      <c r="C1619" s="46" t="str">
        <f>VLOOKUP(F1619,[4]在职!$A:$E,5,0)</f>
        <v>西南总部</v>
      </c>
      <c r="D1619" s="46" t="str">
        <f>VLOOKUP(F1619,[4]在职!$A:$G,7,0)</f>
        <v>营业三部</v>
      </c>
      <c r="E1619" s="46" t="str">
        <f>VLOOKUP(F1619,[4]在职!$A:$M,13,0)</f>
        <v>李海艳</v>
      </c>
      <c r="F1619" s="46" t="s">
        <v>1556</v>
      </c>
      <c r="G1619" s="46" t="str">
        <f>VLOOKUP(F1619,[4]在职!$A:$B,2,0)</f>
        <v>01927</v>
      </c>
      <c r="H1619" s="46" t="str">
        <f>VLOOKUP(F1619,[4]在职!$A:$I,9,0)</f>
        <v>实习销售</v>
      </c>
      <c r="I1619" s="46" t="s">
        <v>907</v>
      </c>
      <c r="J1619" s="83">
        <v>46106</v>
      </c>
      <c r="K1619" s="46" t="s">
        <v>1536</v>
      </c>
      <c r="L1619" s="83" t="s">
        <v>25</v>
      </c>
    </row>
    <row r="1620" ht="16.5" spans="1:12">
      <c r="A1620" s="46">
        <v>1618</v>
      </c>
      <c r="B1620" s="46" t="s">
        <v>45</v>
      </c>
      <c r="C1620" s="46" t="str">
        <f>VLOOKUP(F1620,[4]在职!$A:$E,5,0)</f>
        <v>西南总部</v>
      </c>
      <c r="D1620" s="46" t="str">
        <f>VLOOKUP(F1620,[4]在职!$A:$G,7,0)</f>
        <v>营业四部</v>
      </c>
      <c r="E1620" s="46" t="str">
        <f>VLOOKUP(F1620,[4]在职!$A:$M,13,0)</f>
        <v>李培金</v>
      </c>
      <c r="F1620" s="46" t="s">
        <v>1271</v>
      </c>
      <c r="G1620" s="46" t="str">
        <f>VLOOKUP(F1620,[4]在职!$A:$B,2,0)</f>
        <v>01790</v>
      </c>
      <c r="H1620" s="46" t="str">
        <f>VLOOKUP(F1620,[4]在职!$A:$I,9,0)</f>
        <v>一星销售顾问</v>
      </c>
      <c r="I1620" s="46" t="s">
        <v>907</v>
      </c>
      <c r="J1620" s="83">
        <v>46106</v>
      </c>
      <c r="K1620" s="46" t="s">
        <v>1536</v>
      </c>
      <c r="L1620" s="83" t="s">
        <v>25</v>
      </c>
    </row>
    <row r="1621" ht="16.5" spans="1:12">
      <c r="A1621" s="46">
        <v>1619</v>
      </c>
      <c r="B1621" s="46" t="s">
        <v>45</v>
      </c>
      <c r="C1621" s="46" t="str">
        <f>VLOOKUP(F1621,[4]在职!$A:$E,5,0)</f>
        <v>西南总部</v>
      </c>
      <c r="D1621" s="46" t="str">
        <f>VLOOKUP(F1621,[4]在职!$A:$G,7,0)</f>
        <v>营业一部</v>
      </c>
      <c r="E1621" s="46" t="str">
        <f>VLOOKUP(F1621,[4]在职!$A:$M,13,0)</f>
        <v>唐浪波</v>
      </c>
      <c r="F1621" s="46" t="s">
        <v>1243</v>
      </c>
      <c r="G1621" s="46" t="str">
        <f>VLOOKUP(F1621,[4]在职!$A:$B,2,0)</f>
        <v>01909</v>
      </c>
      <c r="H1621" s="46" t="str">
        <f>VLOOKUP(F1621,[4]在职!$A:$I,9,0)</f>
        <v>实习销售</v>
      </c>
      <c r="I1621" s="46" t="s">
        <v>907</v>
      </c>
      <c r="J1621" s="83">
        <v>46106</v>
      </c>
      <c r="K1621" s="46" t="s">
        <v>1536</v>
      </c>
      <c r="L1621" s="83" t="s">
        <v>25</v>
      </c>
    </row>
    <row r="1622" ht="16.5" spans="1:12">
      <c r="A1622" s="46">
        <v>1620</v>
      </c>
      <c r="B1622" s="46" t="s">
        <v>45</v>
      </c>
      <c r="C1622" s="46" t="str">
        <f>VLOOKUP(F1622,[4]在职!$A:$E,5,0)</f>
        <v>西南总部</v>
      </c>
      <c r="D1622" s="46" t="str">
        <f>VLOOKUP(F1622,[4]在职!$A:$G,7,0)</f>
        <v>营业二部</v>
      </c>
      <c r="E1622" s="46" t="str">
        <f>VLOOKUP(F1622,[4]在职!$A:$M,13,0)</f>
        <v>王彬力</v>
      </c>
      <c r="F1622" s="46" t="s">
        <v>1557</v>
      </c>
      <c r="G1622" s="46" t="str">
        <f>VLOOKUP(F1622,[4]在职!$A:$B,2,0)</f>
        <v>01965</v>
      </c>
      <c r="H1622" s="46" t="str">
        <f>VLOOKUP(F1622,[4]在职!$A:$I,9,0)</f>
        <v>实习销售</v>
      </c>
      <c r="I1622" s="46" t="s">
        <v>907</v>
      </c>
      <c r="J1622" s="83">
        <v>46106</v>
      </c>
      <c r="K1622" s="46" t="s">
        <v>1536</v>
      </c>
      <c r="L1622" s="83" t="s">
        <v>25</v>
      </c>
    </row>
    <row r="1623" ht="16.5" spans="1:12">
      <c r="A1623" s="46">
        <v>1621</v>
      </c>
      <c r="B1623" s="46" t="s">
        <v>45</v>
      </c>
      <c r="C1623" s="46" t="str">
        <f>VLOOKUP(F1623,[4]在职!$A:$E,5,0)</f>
        <v>西南总部</v>
      </c>
      <c r="D1623" s="46" t="str">
        <f>VLOOKUP(F1623,[4]在职!$A:$G,7,0)</f>
        <v>营业二部</v>
      </c>
      <c r="E1623" s="46" t="str">
        <f>VLOOKUP(F1623,[4]在职!$A:$M,13,0)</f>
        <v>魏飞翔</v>
      </c>
      <c r="F1623" s="46" t="s">
        <v>1558</v>
      </c>
      <c r="G1623" s="46" t="str">
        <f>VLOOKUP(F1623,[4]在职!$A:$B,2,0)</f>
        <v>01967</v>
      </c>
      <c r="H1623" s="46" t="str">
        <f>VLOOKUP(F1623,[4]在职!$A:$I,9,0)</f>
        <v>实习销售</v>
      </c>
      <c r="I1623" s="46" t="s">
        <v>907</v>
      </c>
      <c r="J1623" s="83">
        <v>46106</v>
      </c>
      <c r="K1623" s="46" t="s">
        <v>1536</v>
      </c>
      <c r="L1623" s="83" t="s">
        <v>25</v>
      </c>
    </row>
    <row r="1624" ht="16.5" spans="1:12">
      <c r="A1624" s="46">
        <v>1622</v>
      </c>
      <c r="B1624" s="46" t="s">
        <v>45</v>
      </c>
      <c r="C1624" s="46" t="str">
        <f>VLOOKUP(F1624,[4]在职!$A:$E,5,0)</f>
        <v>西南总部</v>
      </c>
      <c r="D1624" s="46" t="str">
        <f>VLOOKUP(F1624,[4]在职!$A:$G,7,0)</f>
        <v>营业二部</v>
      </c>
      <c r="E1624" s="46" t="str">
        <f>VLOOKUP(F1624,[4]在职!$A:$M,13,0)</f>
        <v>魏飞翔</v>
      </c>
      <c r="F1624" s="46" t="s">
        <v>1559</v>
      </c>
      <c r="G1624" s="46" t="str">
        <f>VLOOKUP(F1624,[4]在职!$A:$B,2,0)</f>
        <v>01935</v>
      </c>
      <c r="H1624" s="46" t="str">
        <f>VLOOKUP(F1624,[4]在职!$A:$I,9,0)</f>
        <v>实习销售</v>
      </c>
      <c r="I1624" s="46" t="s">
        <v>907</v>
      </c>
      <c r="J1624" s="83">
        <v>46106</v>
      </c>
      <c r="K1624" s="46" t="s">
        <v>1536</v>
      </c>
      <c r="L1624" s="83" t="s">
        <v>25</v>
      </c>
    </row>
    <row r="1625" ht="16.5" spans="1:12">
      <c r="A1625" s="46">
        <v>1623</v>
      </c>
      <c r="B1625" s="46" t="s">
        <v>45</v>
      </c>
      <c r="C1625" s="46" t="str">
        <f>VLOOKUP(F1625,[4]在职!$A:$E,5,0)</f>
        <v>西南总部</v>
      </c>
      <c r="D1625" s="46" t="str">
        <f>VLOOKUP(F1625,[4]在职!$A:$G,7,0)</f>
        <v>营业二部</v>
      </c>
      <c r="E1625" s="46" t="str">
        <f>VLOOKUP(F1625,[4]在职!$A:$M,13,0)</f>
        <v>文鹏羽</v>
      </c>
      <c r="F1625" s="46" t="s">
        <v>1560</v>
      </c>
      <c r="G1625" s="46" t="str">
        <f>VLOOKUP(F1625,[4]在职!$A:$B,2,0)</f>
        <v>01919</v>
      </c>
      <c r="H1625" s="46" t="str">
        <f>VLOOKUP(F1625,[4]在职!$A:$I,9,0)</f>
        <v>实习销售</v>
      </c>
      <c r="I1625" s="46" t="s">
        <v>907</v>
      </c>
      <c r="J1625" s="83">
        <v>46106</v>
      </c>
      <c r="K1625" s="46" t="s">
        <v>1536</v>
      </c>
      <c r="L1625" s="83" t="s">
        <v>25</v>
      </c>
    </row>
    <row r="1626" ht="16.5" spans="1:12">
      <c r="A1626" s="46">
        <v>1624</v>
      </c>
      <c r="B1626" s="46" t="s">
        <v>45</v>
      </c>
      <c r="C1626" s="46" t="str">
        <f>VLOOKUP(F1626,[4]在职!$A:$E,5,0)</f>
        <v>西南总部</v>
      </c>
      <c r="D1626" s="46" t="str">
        <f>VLOOKUP(F1626,[4]在职!$A:$G,7,0)</f>
        <v>营业二部</v>
      </c>
      <c r="E1626" s="46" t="str">
        <f>VLOOKUP(F1626,[4]在职!$A:$M,13,0)</f>
        <v>文鹏羽</v>
      </c>
      <c r="F1626" s="46" t="s">
        <v>1227</v>
      </c>
      <c r="G1626" s="46" t="str">
        <f>VLOOKUP(F1626,[4]在职!$A:$B,2,0)</f>
        <v>01764</v>
      </c>
      <c r="H1626" s="46" t="str">
        <f>VLOOKUP(F1626,[4]在职!$A:$I,9,0)</f>
        <v>一星销售顾问</v>
      </c>
      <c r="I1626" s="46" t="s">
        <v>907</v>
      </c>
      <c r="J1626" s="83">
        <v>46106</v>
      </c>
      <c r="K1626" s="46" t="s">
        <v>1536</v>
      </c>
      <c r="L1626" s="83" t="s">
        <v>25</v>
      </c>
    </row>
    <row r="1627" ht="16.5" spans="1:12">
      <c r="A1627" s="46">
        <v>1625</v>
      </c>
      <c r="B1627" s="46" t="s">
        <v>45</v>
      </c>
      <c r="C1627" s="46" t="str">
        <f>VLOOKUP(F1627,[4]在职!$A:$E,5,0)</f>
        <v>西南总部</v>
      </c>
      <c r="D1627" s="46" t="str">
        <f>VLOOKUP(F1627,[4]在职!$A:$G,7,0)</f>
        <v>营业五部</v>
      </c>
      <c r="E1627" s="46" t="str">
        <f>VLOOKUP(F1627,[4]在职!$A:$M,13,0)</f>
        <v>杨科</v>
      </c>
      <c r="F1627" s="46" t="s">
        <v>1561</v>
      </c>
      <c r="G1627" s="46" t="str">
        <f>VLOOKUP(F1627,[4]在职!$A:$B,2,0)</f>
        <v>01934</v>
      </c>
      <c r="H1627" s="46" t="str">
        <f>VLOOKUP(F1627,[4]在职!$A:$I,9,0)</f>
        <v>实习销售</v>
      </c>
      <c r="I1627" s="46" t="s">
        <v>907</v>
      </c>
      <c r="J1627" s="83">
        <v>46106</v>
      </c>
      <c r="K1627" s="46" t="s">
        <v>1536</v>
      </c>
      <c r="L1627" s="83" t="s">
        <v>25</v>
      </c>
    </row>
    <row r="1628" ht="16.5" spans="1:12">
      <c r="A1628" s="46">
        <v>1626</v>
      </c>
      <c r="B1628" s="46" t="s">
        <v>45</v>
      </c>
      <c r="C1628" s="46" t="str">
        <f>VLOOKUP(F1628,[4]在职!$A:$E,5,0)</f>
        <v>西南总部</v>
      </c>
      <c r="D1628" s="46" t="str">
        <f>VLOOKUP(F1628,[4]在职!$A:$G,7,0)</f>
        <v>营业六部</v>
      </c>
      <c r="E1628" s="46" t="str">
        <f>VLOOKUP(F1628,[4]在职!$A:$M,13,0)</f>
        <v>袁华</v>
      </c>
      <c r="F1628" s="46" t="s">
        <v>1562</v>
      </c>
      <c r="G1628" s="46" t="str">
        <f>VLOOKUP(F1628,[4]在职!$A:$B,2,0)</f>
        <v>01975</v>
      </c>
      <c r="H1628" s="46" t="str">
        <f>VLOOKUP(F1628,[4]在职!$A:$I,9,0)</f>
        <v>实习销售</v>
      </c>
      <c r="I1628" s="46" t="s">
        <v>907</v>
      </c>
      <c r="J1628" s="83">
        <v>46106</v>
      </c>
      <c r="K1628" s="46" t="s">
        <v>1536</v>
      </c>
      <c r="L1628" s="83" t="s">
        <v>25</v>
      </c>
    </row>
    <row r="1629" ht="16.5" spans="1:12">
      <c r="A1629" s="46">
        <v>1627</v>
      </c>
      <c r="B1629" s="46" t="s">
        <v>45</v>
      </c>
      <c r="C1629" s="46" t="str">
        <f>VLOOKUP(F1629,[4]在职!$A:$E,5,0)</f>
        <v>西南总部</v>
      </c>
      <c r="D1629" s="46" t="str">
        <f>VLOOKUP(F1629,[4]在职!$A:$G,7,0)</f>
        <v>营业六部</v>
      </c>
      <c r="E1629" s="46" t="str">
        <f>VLOOKUP(F1629,[4]在职!$A:$M,13,0)</f>
        <v>袁华</v>
      </c>
      <c r="F1629" s="46" t="s">
        <v>1563</v>
      </c>
      <c r="G1629" s="46" t="str">
        <f>VLOOKUP(F1629,[4]在职!$A:$B,2,0)</f>
        <v>01974</v>
      </c>
      <c r="H1629" s="46" t="str">
        <f>VLOOKUP(F1629,[4]在职!$A:$I,9,0)</f>
        <v>实习销售</v>
      </c>
      <c r="I1629" s="46" t="s">
        <v>907</v>
      </c>
      <c r="J1629" s="83">
        <v>46106</v>
      </c>
      <c r="K1629" s="46" t="s">
        <v>1536</v>
      </c>
      <c r="L1629" s="83" t="s">
        <v>25</v>
      </c>
    </row>
    <row r="1630" ht="16.5" spans="1:12">
      <c r="A1630" s="46">
        <v>1628</v>
      </c>
      <c r="B1630" s="46" t="s">
        <v>45</v>
      </c>
      <c r="C1630" s="46" t="str">
        <f>VLOOKUP(F1630,[4]在职!$A:$E,5,0)</f>
        <v>西南总部</v>
      </c>
      <c r="D1630" s="46" t="str">
        <f>VLOOKUP(F1630,[4]在职!$A:$G,7,0)</f>
        <v>营业六部</v>
      </c>
      <c r="E1630" s="46" t="str">
        <f>VLOOKUP(F1630,[4]在职!$A:$M,13,0)</f>
        <v>袁华</v>
      </c>
      <c r="F1630" s="46" t="s">
        <v>1564</v>
      </c>
      <c r="G1630" s="46" t="str">
        <f>VLOOKUP(F1630,[4]在职!$A:$B,2,0)</f>
        <v>01971</v>
      </c>
      <c r="H1630" s="46" t="str">
        <f>VLOOKUP(F1630,[4]在职!$A:$I,9,0)</f>
        <v>实习销售</v>
      </c>
      <c r="I1630" s="46" t="s">
        <v>907</v>
      </c>
      <c r="J1630" s="83">
        <v>46106</v>
      </c>
      <c r="K1630" s="46" t="s">
        <v>1536</v>
      </c>
      <c r="L1630" s="83" t="s">
        <v>25</v>
      </c>
    </row>
    <row r="1631" ht="16.5" spans="1:12">
      <c r="A1631" s="46">
        <v>1629</v>
      </c>
      <c r="B1631" s="46" t="s">
        <v>45</v>
      </c>
      <c r="C1631" s="46" t="str">
        <f>VLOOKUP(F1631,[4]在职!$A:$E,5,0)</f>
        <v>西南总部</v>
      </c>
      <c r="D1631" s="46" t="str">
        <f>VLOOKUP(F1631,[4]在职!$A:$G,7,0)</f>
        <v>营业六部</v>
      </c>
      <c r="E1631" s="46" t="str">
        <f>VLOOKUP(F1631,[4]在职!$A:$M,13,0)</f>
        <v>袁华</v>
      </c>
      <c r="F1631" s="46" t="s">
        <v>1203</v>
      </c>
      <c r="G1631" s="46" t="str">
        <f>VLOOKUP(F1631,[4]在职!$A:$B,2,0)</f>
        <v>01835</v>
      </c>
      <c r="H1631" s="46" t="str">
        <f>VLOOKUP(F1631,[4]在职!$A:$I,9,0)</f>
        <v>实习销售</v>
      </c>
      <c r="I1631" s="46" t="s">
        <v>907</v>
      </c>
      <c r="J1631" s="83">
        <v>46106</v>
      </c>
      <c r="K1631" s="46" t="s">
        <v>1536</v>
      </c>
      <c r="L1631" s="83" t="s">
        <v>25</v>
      </c>
    </row>
    <row r="1632" ht="16.5" spans="1:12">
      <c r="A1632" s="46">
        <v>1630</v>
      </c>
      <c r="B1632" s="46" t="s">
        <v>45</v>
      </c>
      <c r="C1632" s="46" t="str">
        <f>VLOOKUP(F1632,[4]在职!$A:$E,5,0)</f>
        <v>西南总部</v>
      </c>
      <c r="D1632" s="46" t="str">
        <f>VLOOKUP(F1632,[4]在职!$A:$G,7,0)</f>
        <v>营业五部</v>
      </c>
      <c r="E1632" s="46" t="str">
        <f>VLOOKUP(F1632,[4]在职!$A:$M,13,0)</f>
        <v>杨科</v>
      </c>
      <c r="F1632" s="46" t="s">
        <v>1211</v>
      </c>
      <c r="G1632" s="46" t="str">
        <f>VLOOKUP(F1632,[4]在职!$A:$B,2,0)</f>
        <v>01866</v>
      </c>
      <c r="H1632" s="46" t="str">
        <f>VLOOKUP(F1632,[4]在职!$A:$I,9,0)</f>
        <v>实习销售</v>
      </c>
      <c r="I1632" s="46" t="s">
        <v>907</v>
      </c>
      <c r="J1632" s="83">
        <v>46106</v>
      </c>
      <c r="K1632" s="46" t="s">
        <v>1536</v>
      </c>
      <c r="L1632" s="83" t="s">
        <v>25</v>
      </c>
    </row>
    <row r="1633" ht="16.5" spans="1:12">
      <c r="A1633" s="46">
        <v>1631</v>
      </c>
      <c r="B1633" s="46" t="s">
        <v>45</v>
      </c>
      <c r="C1633" s="46" t="str">
        <f>VLOOKUP(F1633,[4]在职!$A:$E,5,0)</f>
        <v>西南总部</v>
      </c>
      <c r="D1633" s="46" t="str">
        <f>VLOOKUP(F1633,[4]在职!$A:$G,7,0)</f>
        <v>营业五部</v>
      </c>
      <c r="E1633" s="46" t="str">
        <f>VLOOKUP(F1633,[4]在职!$A:$M,13,0)</f>
        <v>杨科</v>
      </c>
      <c r="F1633" s="46" t="s">
        <v>1213</v>
      </c>
      <c r="G1633" s="46" t="str">
        <f>VLOOKUP(F1633,[4]在职!$A:$B,2,0)</f>
        <v>01673</v>
      </c>
      <c r="H1633" s="46" t="str">
        <f>VLOOKUP(F1633,[4]在职!$A:$I,9,0)</f>
        <v>实习销售</v>
      </c>
      <c r="I1633" s="46" t="s">
        <v>907</v>
      </c>
      <c r="J1633" s="83">
        <v>46106</v>
      </c>
      <c r="K1633" s="46" t="s">
        <v>1536</v>
      </c>
      <c r="L1633" s="83" t="s">
        <v>25</v>
      </c>
    </row>
    <row r="1634" ht="16.5" spans="1:12">
      <c r="A1634" s="46">
        <v>1632</v>
      </c>
      <c r="B1634" s="46" t="s">
        <v>45</v>
      </c>
      <c r="C1634" s="46" t="str">
        <f>VLOOKUP(F1634,[4]在职!$A:$E,5,0)</f>
        <v>西南总部</v>
      </c>
      <c r="D1634" s="46" t="str">
        <f>VLOOKUP(F1634,[4]在职!$A:$G,7,0)</f>
        <v>营业五部</v>
      </c>
      <c r="E1634" s="46" t="str">
        <f>VLOOKUP(F1634,[4]在职!$A:$M,13,0)</f>
        <v>杨科</v>
      </c>
      <c r="F1634" s="46" t="s">
        <v>1209</v>
      </c>
      <c r="G1634" s="46" t="str">
        <f>VLOOKUP(F1634,[4]在职!$A:$B,2,0)</f>
        <v>01886</v>
      </c>
      <c r="H1634" s="46" t="str">
        <f>VLOOKUP(F1634,[4]在职!$A:$I,9,0)</f>
        <v>实习销售</v>
      </c>
      <c r="I1634" s="46" t="s">
        <v>907</v>
      </c>
      <c r="J1634" s="83">
        <v>46106</v>
      </c>
      <c r="K1634" s="46" t="s">
        <v>1536</v>
      </c>
      <c r="L1634" s="83" t="s">
        <v>25</v>
      </c>
    </row>
    <row r="1635" ht="16.5" spans="1:12">
      <c r="A1635" s="46">
        <v>1633</v>
      </c>
      <c r="B1635" s="46" t="s">
        <v>45</v>
      </c>
      <c r="C1635" s="46" t="str">
        <f>VLOOKUP(F1635,[4]在职!$A:$E,5,0)</f>
        <v>西南总部</v>
      </c>
      <c r="D1635" s="46" t="str">
        <f>VLOOKUP(F1635,[4]在职!$A:$G,7,0)</f>
        <v>营业五部</v>
      </c>
      <c r="E1635" s="46" t="str">
        <f>VLOOKUP(F1635,[4]在职!$A:$M,13,0)</f>
        <v>杨科</v>
      </c>
      <c r="F1635" s="46" t="s">
        <v>1207</v>
      </c>
      <c r="G1635" s="46" t="str">
        <f>VLOOKUP(F1635,[4]在职!$A:$B,2,0)</f>
        <v>01892</v>
      </c>
      <c r="H1635" s="46" t="str">
        <f>VLOOKUP(F1635,[4]在职!$A:$I,9,0)</f>
        <v>实习销售</v>
      </c>
      <c r="I1635" s="46" t="s">
        <v>907</v>
      </c>
      <c r="J1635" s="83">
        <v>46106</v>
      </c>
      <c r="K1635" s="46" t="s">
        <v>1536</v>
      </c>
      <c r="L1635" s="83" t="s">
        <v>25</v>
      </c>
    </row>
    <row r="1636" ht="16.5" spans="1:12">
      <c r="A1636" s="46">
        <v>1634</v>
      </c>
      <c r="B1636" s="46" t="s">
        <v>45</v>
      </c>
      <c r="C1636" s="46" t="str">
        <f>VLOOKUP(F1636,[4]在职!$A:$E,5,0)</f>
        <v>西南总部</v>
      </c>
      <c r="D1636" s="46" t="str">
        <f>VLOOKUP(F1636,[4]在职!$A:$G,7,0)</f>
        <v>营业五部</v>
      </c>
      <c r="E1636" s="46" t="str">
        <f>VLOOKUP(F1636,[4]在职!$A:$M,13,0)</f>
        <v>尹稳</v>
      </c>
      <c r="F1636" s="46" t="s">
        <v>1565</v>
      </c>
      <c r="G1636" s="46" t="str">
        <f>VLOOKUP(F1636,[4]在职!$A:$B,2,0)</f>
        <v>01960</v>
      </c>
      <c r="H1636" s="46" t="str">
        <f>VLOOKUP(F1636,[4]在职!$A:$I,9,0)</f>
        <v>实习销售</v>
      </c>
      <c r="I1636" s="46" t="s">
        <v>907</v>
      </c>
      <c r="J1636" s="83">
        <v>46106</v>
      </c>
      <c r="K1636" s="46" t="s">
        <v>1536</v>
      </c>
      <c r="L1636" s="83" t="s">
        <v>25</v>
      </c>
    </row>
    <row r="1637" ht="16.5" spans="1:12">
      <c r="A1637" s="46">
        <v>1635</v>
      </c>
      <c r="B1637" s="46" t="s">
        <v>45</v>
      </c>
      <c r="C1637" s="46" t="str">
        <f>VLOOKUP(F1637,[4]在职!$A:$E,5,0)</f>
        <v>西南总部</v>
      </c>
      <c r="D1637" s="46" t="str">
        <f>VLOOKUP(F1637,[4]在职!$A:$G,7,0)</f>
        <v>营业七部</v>
      </c>
      <c r="E1637" s="46" t="str">
        <f>VLOOKUP(F1637,[4]在职!$A:$M,13,0)</f>
        <v>张家涛</v>
      </c>
      <c r="F1637" s="46" t="s">
        <v>1201</v>
      </c>
      <c r="G1637" s="46" t="str">
        <f>VLOOKUP(F1637,[4]在职!$A:$B,2,0)</f>
        <v>01905</v>
      </c>
      <c r="H1637" s="46" t="str">
        <f>VLOOKUP(F1637,[4]在职!$A:$I,9,0)</f>
        <v>实习销售</v>
      </c>
      <c r="I1637" s="46" t="s">
        <v>907</v>
      </c>
      <c r="J1637" s="83">
        <v>46106</v>
      </c>
      <c r="K1637" s="46" t="s">
        <v>1536</v>
      </c>
      <c r="L1637" s="83" t="s">
        <v>25</v>
      </c>
    </row>
    <row r="1638" ht="16.5" spans="1:12">
      <c r="A1638" s="46">
        <v>1636</v>
      </c>
      <c r="B1638" s="46" t="s">
        <v>45</v>
      </c>
      <c r="C1638" s="46" t="str">
        <f>VLOOKUP(F1638,[4]在职!$A:$E,5,0)</f>
        <v>西南总部</v>
      </c>
      <c r="D1638" s="46" t="str">
        <f>VLOOKUP(F1638,[4]在职!$A:$G,7,0)</f>
        <v>营业六部</v>
      </c>
      <c r="E1638" s="46" t="str">
        <f>VLOOKUP(F1638,[4]在职!$A:$M,13,0)</f>
        <v>郑雄</v>
      </c>
      <c r="F1638" s="46" t="s">
        <v>1566</v>
      </c>
      <c r="G1638" s="46" t="str">
        <f>VLOOKUP(F1638,[4]在职!$A:$B,2,0)</f>
        <v>01953</v>
      </c>
      <c r="H1638" s="46" t="str">
        <f>VLOOKUP(F1638,[4]在职!$A:$I,9,0)</f>
        <v>实习销售</v>
      </c>
      <c r="I1638" s="46" t="s">
        <v>907</v>
      </c>
      <c r="J1638" s="83">
        <v>46106</v>
      </c>
      <c r="K1638" s="46" t="s">
        <v>1536</v>
      </c>
      <c r="L1638" s="83" t="s">
        <v>25</v>
      </c>
    </row>
    <row r="1639" ht="16.5" spans="1:12">
      <c r="A1639" s="46">
        <v>1637</v>
      </c>
      <c r="B1639" s="46" t="s">
        <v>45</v>
      </c>
      <c r="C1639" s="46" t="str">
        <f>VLOOKUP(F1639,[4]在职!$A:$E,5,0)</f>
        <v>西南总部</v>
      </c>
      <c r="D1639" s="46" t="str">
        <f>VLOOKUP(F1639,[4]在职!$A:$G,7,0)</f>
        <v>营业六部</v>
      </c>
      <c r="E1639" s="46" t="str">
        <f>VLOOKUP(F1639,[4]在职!$A:$M,13,0)</f>
        <v>郑雄</v>
      </c>
      <c r="F1639" s="46" t="s">
        <v>1182</v>
      </c>
      <c r="G1639" s="46" t="str">
        <f>VLOOKUP(F1639,[4]在职!$A:$B,2,0)</f>
        <v>01864</v>
      </c>
      <c r="H1639" s="46" t="str">
        <f>VLOOKUP(F1639,[4]在职!$A:$I,9,0)</f>
        <v>实习销售</v>
      </c>
      <c r="I1639" s="46" t="s">
        <v>907</v>
      </c>
      <c r="J1639" s="83">
        <v>46106</v>
      </c>
      <c r="K1639" s="46" t="s">
        <v>1536</v>
      </c>
      <c r="L1639" s="83" t="s">
        <v>25</v>
      </c>
    </row>
    <row r="1640" ht="16.5" spans="1:12">
      <c r="A1640" s="46">
        <v>1638</v>
      </c>
      <c r="B1640" s="46" t="s">
        <v>45</v>
      </c>
      <c r="C1640" s="46" t="str">
        <f>VLOOKUP(F1640,[4]在职!$A:$E,5,0)</f>
        <v>西南总部</v>
      </c>
      <c r="D1640" s="46" t="str">
        <f>VLOOKUP(F1640,[4]在职!$A:$G,7,0)</f>
        <v>营业五部</v>
      </c>
      <c r="E1640" s="46" t="str">
        <f>VLOOKUP(F1640,[4]在职!$A:$M,13,0)</f>
        <v>周远芮</v>
      </c>
      <c r="F1640" s="46" t="s">
        <v>1503</v>
      </c>
      <c r="G1640" s="46" t="str">
        <f>VLOOKUP(F1640,[4]在职!$A:$B,2,0)</f>
        <v>01560</v>
      </c>
      <c r="H1640" s="46" t="str">
        <f>VLOOKUP(F1640,[4]在职!$A:$I,9,0)</f>
        <v>一星销售顾问</v>
      </c>
      <c r="I1640" s="46" t="s">
        <v>907</v>
      </c>
      <c r="J1640" s="83">
        <v>46106</v>
      </c>
      <c r="K1640" s="46" t="s">
        <v>1536</v>
      </c>
      <c r="L1640" s="83" t="s">
        <v>25</v>
      </c>
    </row>
    <row r="1641" ht="16.5" spans="1:12">
      <c r="A1641" s="46">
        <v>1639</v>
      </c>
      <c r="B1641" s="46" t="s">
        <v>45</v>
      </c>
      <c r="C1641" s="46" t="str">
        <f>VLOOKUP(F1641,[4]在职!$A:$E,5,0)</f>
        <v>河北</v>
      </c>
      <c r="D1641" s="46" t="str">
        <f>VLOOKUP(F1641,[4]在职!$A:$G,7,0)</f>
        <v>河北销售部</v>
      </c>
      <c r="E1641" s="46" t="str">
        <f>VLOOKUP(F1641,[4]在职!$A:$M,13,0)</f>
        <v>陈东2</v>
      </c>
      <c r="F1641" s="46" t="s">
        <v>1550</v>
      </c>
      <c r="G1641" s="46" t="str">
        <f>VLOOKUP(F1641,[4]在职!$A:$B,2,0)</f>
        <v>01962</v>
      </c>
      <c r="H1641" s="46" t="str">
        <f>VLOOKUP(F1641,[4]在职!$A:$I,9,0)</f>
        <v>实习销售</v>
      </c>
      <c r="I1641" s="46" t="s">
        <v>907</v>
      </c>
      <c r="J1641" s="83">
        <v>46106</v>
      </c>
      <c r="K1641" s="46" t="s">
        <v>1170</v>
      </c>
      <c r="L1641" s="83" t="s">
        <v>25</v>
      </c>
    </row>
    <row r="1642" ht="16.5" spans="1:12">
      <c r="A1642" s="46">
        <v>1640</v>
      </c>
      <c r="B1642" s="46" t="s">
        <v>45</v>
      </c>
      <c r="C1642" s="46" t="str">
        <f>VLOOKUP(F1642,[4]在职!$A:$E,5,0)</f>
        <v>河北</v>
      </c>
      <c r="D1642" s="46" t="str">
        <f>VLOOKUP(F1642,[4]在职!$A:$G,7,0)</f>
        <v>河北销售部</v>
      </c>
      <c r="E1642" s="46" t="str">
        <f>VLOOKUP(F1642,[4]在职!$A:$M,13,0)</f>
        <v>陈东2</v>
      </c>
      <c r="F1642" s="46" t="s">
        <v>1309</v>
      </c>
      <c r="G1642" s="46" t="str">
        <f>VLOOKUP(F1642,[4]在职!$A:$B,2,0)</f>
        <v>01902</v>
      </c>
      <c r="H1642" s="46" t="str">
        <f>VLOOKUP(F1642,[4]在职!$A:$I,9,0)</f>
        <v>实习销售</v>
      </c>
      <c r="I1642" s="46" t="s">
        <v>907</v>
      </c>
      <c r="J1642" s="83">
        <v>46106</v>
      </c>
      <c r="K1642" s="46" t="s">
        <v>1170</v>
      </c>
      <c r="L1642" s="83" t="s">
        <v>25</v>
      </c>
    </row>
    <row r="1643" ht="16.5" spans="1:12">
      <c r="A1643" s="46">
        <v>1641</v>
      </c>
      <c r="B1643" s="46" t="s">
        <v>45</v>
      </c>
      <c r="C1643" s="46" t="str">
        <f>VLOOKUP(F1643,[4]在职!$A:$E,5,0)</f>
        <v>西南总部</v>
      </c>
      <c r="D1643" s="46" t="str">
        <f>VLOOKUP(F1643,[4]在职!$A:$G,7,0)</f>
        <v>营业四部</v>
      </c>
      <c r="E1643" s="46" t="str">
        <f>VLOOKUP(F1643,[4]在职!$A:$M,13,0)</f>
        <v>贾萍</v>
      </c>
      <c r="F1643" s="46" t="s">
        <v>1551</v>
      </c>
      <c r="G1643" s="46" t="str">
        <f>VLOOKUP(F1643,[4]在职!$A:$B,2,0)</f>
        <v>01922</v>
      </c>
      <c r="H1643" s="46" t="str">
        <f>VLOOKUP(F1643,[4]在职!$A:$I,9,0)</f>
        <v>实习销售</v>
      </c>
      <c r="I1643" s="46" t="s">
        <v>907</v>
      </c>
      <c r="J1643" s="83">
        <v>46106</v>
      </c>
      <c r="K1643" s="46" t="s">
        <v>1170</v>
      </c>
      <c r="L1643" s="83" t="s">
        <v>25</v>
      </c>
    </row>
    <row r="1644" ht="16.5" spans="1:12">
      <c r="A1644" s="46">
        <v>1642</v>
      </c>
      <c r="B1644" s="46" t="s">
        <v>45</v>
      </c>
      <c r="C1644" s="46" t="str">
        <f>VLOOKUP(F1644,[4]在职!$A:$E,5,0)</f>
        <v>湖南</v>
      </c>
      <c r="D1644" s="46" t="str">
        <f>VLOOKUP(F1644,[4]在职!$A:$G,7,0)</f>
        <v>湖南销售部</v>
      </c>
      <c r="E1644" s="46" t="str">
        <f>VLOOKUP(F1644,[4]在职!$A:$M,13,0)</f>
        <v>孙小龙</v>
      </c>
      <c r="F1644" s="46" t="s">
        <v>1461</v>
      </c>
      <c r="G1644" s="46" t="str">
        <f>VLOOKUP(F1644,[4]在职!$A:$B,2,0)</f>
        <v>01731</v>
      </c>
      <c r="H1644" s="46" t="str">
        <f>VLOOKUP(F1644,[4]在职!$A:$I,9,0)</f>
        <v>一星销售顾问</v>
      </c>
      <c r="I1644" s="46" t="s">
        <v>907</v>
      </c>
      <c r="J1644" s="83">
        <v>46106</v>
      </c>
      <c r="K1644" s="46" t="s">
        <v>1170</v>
      </c>
      <c r="L1644" s="83" t="s">
        <v>25</v>
      </c>
    </row>
    <row r="1645" ht="16.5" spans="1:12">
      <c r="A1645" s="46">
        <v>1643</v>
      </c>
      <c r="B1645" s="46" t="s">
        <v>45</v>
      </c>
      <c r="C1645" s="46" t="str">
        <f>VLOOKUP(F1645,[4]在职!$A:$E,5,0)</f>
        <v>西南总部</v>
      </c>
      <c r="D1645" s="46" t="str">
        <f>VLOOKUP(F1645,[4]在职!$A:$G,7,0)</f>
        <v>营业七部</v>
      </c>
      <c r="E1645" s="46" t="str">
        <f>VLOOKUP(F1645,[4]在职!$A:$M,13,0)</f>
        <v>蒋杨</v>
      </c>
      <c r="F1645" s="46" t="s">
        <v>1552</v>
      </c>
      <c r="G1645" s="46" t="str">
        <f>VLOOKUP(F1645,[4]在职!$A:$B,2,0)</f>
        <v>01933</v>
      </c>
      <c r="H1645" s="46" t="str">
        <f>VLOOKUP(F1645,[4]在职!$A:$I,9,0)</f>
        <v>实习销售</v>
      </c>
      <c r="I1645" s="46" t="s">
        <v>907</v>
      </c>
      <c r="J1645" s="83">
        <v>46106</v>
      </c>
      <c r="K1645" s="46" t="s">
        <v>1170</v>
      </c>
      <c r="L1645" s="83" t="s">
        <v>25</v>
      </c>
    </row>
    <row r="1646" ht="16.5" spans="1:12">
      <c r="A1646" s="46">
        <v>1644</v>
      </c>
      <c r="B1646" s="46" t="s">
        <v>45</v>
      </c>
      <c r="C1646" s="46" t="str">
        <f>VLOOKUP(F1646,[4]在职!$A:$E,5,0)</f>
        <v>西南总部</v>
      </c>
      <c r="D1646" s="46" t="str">
        <f>VLOOKUP(F1646,[4]在职!$A:$G,7,0)</f>
        <v>营业四部</v>
      </c>
      <c r="E1646" s="46" t="str">
        <f>VLOOKUP(F1646,[4]在职!$A:$M,13,0)</f>
        <v>陈帅</v>
      </c>
      <c r="F1646" s="46" t="s">
        <v>1307</v>
      </c>
      <c r="G1646" s="46" t="str">
        <f>VLOOKUP(F1646,[4]在职!$A:$B,2,0)</f>
        <v>01758</v>
      </c>
      <c r="H1646" s="46" t="str">
        <f>VLOOKUP(F1646,[4]在职!$A:$I,9,0)</f>
        <v>实习销售</v>
      </c>
      <c r="I1646" s="46" t="s">
        <v>907</v>
      </c>
      <c r="J1646" s="83">
        <v>46106</v>
      </c>
      <c r="K1646" s="46" t="s">
        <v>1170</v>
      </c>
      <c r="L1646" s="83" t="s">
        <v>25</v>
      </c>
    </row>
    <row r="1647" ht="16.5" spans="1:12">
      <c r="A1647" s="46">
        <v>1645</v>
      </c>
      <c r="B1647" s="46" t="s">
        <v>45</v>
      </c>
      <c r="C1647" s="46" t="str">
        <f>VLOOKUP(F1647,[4]在职!$A:$E,5,0)</f>
        <v>西南总部</v>
      </c>
      <c r="D1647" s="46" t="str">
        <f>VLOOKUP(F1647,[4]在职!$A:$G,7,0)</f>
        <v>营业四部</v>
      </c>
      <c r="E1647" s="46" t="str">
        <f>VLOOKUP(F1647,[4]在职!$A:$M,13,0)</f>
        <v>陈帅</v>
      </c>
      <c r="F1647" s="46" t="s">
        <v>1303</v>
      </c>
      <c r="G1647" s="46" t="str">
        <f>VLOOKUP(F1647,[4]在职!$A:$B,2,0)</f>
        <v>01882</v>
      </c>
      <c r="H1647" s="46" t="str">
        <f>VLOOKUP(F1647,[4]在职!$A:$I,9,0)</f>
        <v>实习销售</v>
      </c>
      <c r="I1647" s="46" t="s">
        <v>907</v>
      </c>
      <c r="J1647" s="83">
        <v>46106</v>
      </c>
      <c r="K1647" s="46" t="s">
        <v>1170</v>
      </c>
      <c r="L1647" s="83" t="s">
        <v>25</v>
      </c>
    </row>
    <row r="1648" ht="16.5" spans="1:12">
      <c r="A1648" s="46">
        <v>1646</v>
      </c>
      <c r="B1648" s="46" t="s">
        <v>45</v>
      </c>
      <c r="C1648" s="46" t="str">
        <f>VLOOKUP(F1648,[4]在职!$A:$E,5,0)</f>
        <v>西南总部</v>
      </c>
      <c r="D1648" s="46" t="str">
        <f>VLOOKUP(F1648,[4]在职!$A:$G,7,0)</f>
        <v>营业七部</v>
      </c>
      <c r="E1648" s="46" t="str">
        <f>VLOOKUP(F1648,[4]在职!$A:$M,13,0)</f>
        <v>程新浩</v>
      </c>
      <c r="F1648" s="46" t="s">
        <v>1553</v>
      </c>
      <c r="G1648" s="46" t="str">
        <f>VLOOKUP(F1648,[4]在职!$A:$B,2,0)</f>
        <v>01945</v>
      </c>
      <c r="H1648" s="46" t="str">
        <f>VLOOKUP(F1648,[4]在职!$A:$I,9,0)</f>
        <v>实习销售</v>
      </c>
      <c r="I1648" s="46" t="s">
        <v>907</v>
      </c>
      <c r="J1648" s="83">
        <v>46106</v>
      </c>
      <c r="K1648" s="46" t="s">
        <v>1170</v>
      </c>
      <c r="L1648" s="83" t="s">
        <v>25</v>
      </c>
    </row>
    <row r="1649" ht="16.5" spans="1:12">
      <c r="A1649" s="46">
        <v>1647</v>
      </c>
      <c r="B1649" s="46" t="s">
        <v>45</v>
      </c>
      <c r="C1649" s="46" t="str">
        <f>VLOOKUP(F1649,[4]在职!$A:$E,5,0)</f>
        <v>西南总部</v>
      </c>
      <c r="D1649" s="46" t="str">
        <f>VLOOKUP(F1649,[4]在职!$A:$G,7,0)</f>
        <v>营业七部</v>
      </c>
      <c r="E1649" s="46" t="str">
        <f>VLOOKUP(F1649,[4]在职!$A:$M,13,0)</f>
        <v>程新浩</v>
      </c>
      <c r="F1649" s="46" t="s">
        <v>1554</v>
      </c>
      <c r="G1649" s="46" t="str">
        <f>VLOOKUP(F1649,[4]在职!$A:$B,2,0)</f>
        <v>01916</v>
      </c>
      <c r="H1649" s="46" t="str">
        <f>VLOOKUP(F1649,[4]在职!$A:$I,9,0)</f>
        <v>实习销售</v>
      </c>
      <c r="I1649" s="46" t="s">
        <v>907</v>
      </c>
      <c r="J1649" s="83">
        <v>46106</v>
      </c>
      <c r="K1649" s="46" t="s">
        <v>1170</v>
      </c>
      <c r="L1649" s="83" t="s">
        <v>25</v>
      </c>
    </row>
    <row r="1650" ht="16.5" spans="1:12">
      <c r="A1650" s="46">
        <v>1648</v>
      </c>
      <c r="B1650" s="46" t="s">
        <v>45</v>
      </c>
      <c r="C1650" s="46" t="str">
        <f>VLOOKUP(F1650,[4]在职!$A:$E,5,0)</f>
        <v>西南总部</v>
      </c>
      <c r="D1650" s="46" t="str">
        <f>VLOOKUP(F1650,[4]在职!$A:$G,7,0)</f>
        <v>营业七部</v>
      </c>
      <c r="E1650" s="46" t="str">
        <f>VLOOKUP(F1650,[4]在职!$A:$M,13,0)</f>
        <v>申慧</v>
      </c>
      <c r="F1650" s="46" t="s">
        <v>1555</v>
      </c>
      <c r="G1650" s="46" t="str">
        <f>VLOOKUP(F1650,[4]在职!$A:$B,2,0)</f>
        <v>01951</v>
      </c>
      <c r="H1650" s="46" t="str">
        <f>VLOOKUP(F1650,[4]在职!$A:$I,9,0)</f>
        <v>实习销售</v>
      </c>
      <c r="I1650" s="46" t="s">
        <v>907</v>
      </c>
      <c r="J1650" s="83">
        <v>46106</v>
      </c>
      <c r="K1650" s="46" t="s">
        <v>1170</v>
      </c>
      <c r="L1650" s="83" t="s">
        <v>25</v>
      </c>
    </row>
    <row r="1651" ht="16.5" spans="1:12">
      <c r="A1651" s="46">
        <v>1649</v>
      </c>
      <c r="B1651" s="46" t="s">
        <v>45</v>
      </c>
      <c r="C1651" s="46" t="str">
        <f>VLOOKUP(F1651,[4]在职!$A:$E,5,0)</f>
        <v>西南总部</v>
      </c>
      <c r="D1651" s="46" t="str">
        <f>VLOOKUP(F1651,[4]在职!$A:$G,7,0)</f>
        <v>营业三部</v>
      </c>
      <c r="E1651" s="46" t="str">
        <f>VLOOKUP(F1651,[4]在职!$A:$M,13,0)</f>
        <v>李海艳</v>
      </c>
      <c r="F1651" s="46" t="s">
        <v>1556</v>
      </c>
      <c r="G1651" s="46" t="str">
        <f>VLOOKUP(F1651,[4]在职!$A:$B,2,0)</f>
        <v>01927</v>
      </c>
      <c r="H1651" s="46" t="str">
        <f>VLOOKUP(F1651,[4]在职!$A:$I,9,0)</f>
        <v>实习销售</v>
      </c>
      <c r="I1651" s="46" t="s">
        <v>907</v>
      </c>
      <c r="J1651" s="83">
        <v>46106</v>
      </c>
      <c r="K1651" s="46" t="s">
        <v>1170</v>
      </c>
      <c r="L1651" s="83" t="s">
        <v>25</v>
      </c>
    </row>
    <row r="1652" ht="16.5" spans="1:12">
      <c r="A1652" s="46">
        <v>1650</v>
      </c>
      <c r="B1652" s="46" t="s">
        <v>45</v>
      </c>
      <c r="C1652" s="46" t="str">
        <f>VLOOKUP(F1652,[4]在职!$A:$E,5,0)</f>
        <v>西南总部</v>
      </c>
      <c r="D1652" s="46" t="str">
        <f>VLOOKUP(F1652,[4]在职!$A:$G,7,0)</f>
        <v>营业四部</v>
      </c>
      <c r="E1652" s="46" t="str">
        <f>VLOOKUP(F1652,[4]在职!$A:$M,13,0)</f>
        <v>李培金</v>
      </c>
      <c r="F1652" s="46" t="s">
        <v>1271</v>
      </c>
      <c r="G1652" s="46" t="str">
        <f>VLOOKUP(F1652,[4]在职!$A:$B,2,0)</f>
        <v>01790</v>
      </c>
      <c r="H1652" s="46" t="str">
        <f>VLOOKUP(F1652,[4]在职!$A:$I,9,0)</f>
        <v>一星销售顾问</v>
      </c>
      <c r="I1652" s="46" t="s">
        <v>907</v>
      </c>
      <c r="J1652" s="83">
        <v>46106</v>
      </c>
      <c r="K1652" s="46" t="s">
        <v>1170</v>
      </c>
      <c r="L1652" s="83" t="s">
        <v>25</v>
      </c>
    </row>
    <row r="1653" ht="16.5" spans="1:12">
      <c r="A1653" s="46">
        <v>1651</v>
      </c>
      <c r="B1653" s="46" t="s">
        <v>45</v>
      </c>
      <c r="C1653" s="46" t="str">
        <f>VLOOKUP(F1653,[4]在职!$A:$E,5,0)</f>
        <v>西南总部</v>
      </c>
      <c r="D1653" s="46" t="str">
        <f>VLOOKUP(F1653,[4]在职!$A:$G,7,0)</f>
        <v>营业一部</v>
      </c>
      <c r="E1653" s="46" t="str">
        <f>VLOOKUP(F1653,[4]在职!$A:$M,13,0)</f>
        <v>唐浪波</v>
      </c>
      <c r="F1653" s="46" t="s">
        <v>1243</v>
      </c>
      <c r="G1653" s="46" t="str">
        <f>VLOOKUP(F1653,[4]在职!$A:$B,2,0)</f>
        <v>01909</v>
      </c>
      <c r="H1653" s="46" t="str">
        <f>VLOOKUP(F1653,[4]在职!$A:$I,9,0)</f>
        <v>实习销售</v>
      </c>
      <c r="I1653" s="46" t="s">
        <v>907</v>
      </c>
      <c r="J1653" s="83">
        <v>46106</v>
      </c>
      <c r="K1653" s="46" t="s">
        <v>1170</v>
      </c>
      <c r="L1653" s="83" t="s">
        <v>25</v>
      </c>
    </row>
    <row r="1654" ht="16.5" spans="1:12">
      <c r="A1654" s="46">
        <v>1652</v>
      </c>
      <c r="B1654" s="46" t="s">
        <v>45</v>
      </c>
      <c r="C1654" s="46" t="str">
        <f>VLOOKUP(F1654,[4]在职!$A:$E,5,0)</f>
        <v>西南总部</v>
      </c>
      <c r="D1654" s="46" t="str">
        <f>VLOOKUP(F1654,[4]在职!$A:$G,7,0)</f>
        <v>营业二部</v>
      </c>
      <c r="E1654" s="46" t="str">
        <f>VLOOKUP(F1654,[4]在职!$A:$M,13,0)</f>
        <v>王彬力</v>
      </c>
      <c r="F1654" s="46" t="s">
        <v>1557</v>
      </c>
      <c r="G1654" s="46" t="str">
        <f>VLOOKUP(F1654,[4]在职!$A:$B,2,0)</f>
        <v>01965</v>
      </c>
      <c r="H1654" s="46" t="str">
        <f>VLOOKUP(F1654,[4]在职!$A:$I,9,0)</f>
        <v>实习销售</v>
      </c>
      <c r="I1654" s="46" t="s">
        <v>907</v>
      </c>
      <c r="J1654" s="83">
        <v>46106</v>
      </c>
      <c r="K1654" s="46" t="s">
        <v>1170</v>
      </c>
      <c r="L1654" s="83" t="s">
        <v>25</v>
      </c>
    </row>
    <row r="1655" ht="16.5" spans="1:12">
      <c r="A1655" s="46">
        <v>1653</v>
      </c>
      <c r="B1655" s="46" t="s">
        <v>45</v>
      </c>
      <c r="C1655" s="46" t="str">
        <f>VLOOKUP(F1655,[4]在职!$A:$E,5,0)</f>
        <v>西南总部</v>
      </c>
      <c r="D1655" s="46" t="str">
        <f>VLOOKUP(F1655,[4]在职!$A:$G,7,0)</f>
        <v>营业二部</v>
      </c>
      <c r="E1655" s="46" t="str">
        <f>VLOOKUP(F1655,[4]在职!$A:$M,13,0)</f>
        <v>魏飞翔</v>
      </c>
      <c r="F1655" s="46" t="s">
        <v>1558</v>
      </c>
      <c r="G1655" s="46" t="str">
        <f>VLOOKUP(F1655,[4]在职!$A:$B,2,0)</f>
        <v>01967</v>
      </c>
      <c r="H1655" s="46" t="str">
        <f>VLOOKUP(F1655,[4]在职!$A:$I,9,0)</f>
        <v>实习销售</v>
      </c>
      <c r="I1655" s="46" t="s">
        <v>907</v>
      </c>
      <c r="J1655" s="83">
        <v>46106</v>
      </c>
      <c r="K1655" s="46" t="s">
        <v>1170</v>
      </c>
      <c r="L1655" s="83" t="s">
        <v>25</v>
      </c>
    </row>
    <row r="1656" ht="16.5" spans="1:12">
      <c r="A1656" s="46">
        <v>1654</v>
      </c>
      <c r="B1656" s="46" t="s">
        <v>45</v>
      </c>
      <c r="C1656" s="46" t="str">
        <f>VLOOKUP(F1656,[4]在职!$A:$E,5,0)</f>
        <v>西南总部</v>
      </c>
      <c r="D1656" s="46" t="str">
        <f>VLOOKUP(F1656,[4]在职!$A:$G,7,0)</f>
        <v>营业二部</v>
      </c>
      <c r="E1656" s="46" t="str">
        <f>VLOOKUP(F1656,[4]在职!$A:$M,13,0)</f>
        <v>魏飞翔</v>
      </c>
      <c r="F1656" s="46" t="s">
        <v>1559</v>
      </c>
      <c r="G1656" s="46" t="str">
        <f>VLOOKUP(F1656,[4]在职!$A:$B,2,0)</f>
        <v>01935</v>
      </c>
      <c r="H1656" s="46" t="str">
        <f>VLOOKUP(F1656,[4]在职!$A:$I,9,0)</f>
        <v>实习销售</v>
      </c>
      <c r="I1656" s="46" t="s">
        <v>907</v>
      </c>
      <c r="J1656" s="83">
        <v>46106</v>
      </c>
      <c r="K1656" s="46" t="s">
        <v>1170</v>
      </c>
      <c r="L1656" s="83" t="s">
        <v>25</v>
      </c>
    </row>
    <row r="1657" ht="16.5" spans="1:12">
      <c r="A1657" s="46">
        <v>1655</v>
      </c>
      <c r="B1657" s="46" t="s">
        <v>45</v>
      </c>
      <c r="C1657" s="46" t="str">
        <f>VLOOKUP(F1657,[4]在职!$A:$E,5,0)</f>
        <v>西南总部</v>
      </c>
      <c r="D1657" s="46" t="str">
        <f>VLOOKUP(F1657,[4]在职!$A:$G,7,0)</f>
        <v>营业二部</v>
      </c>
      <c r="E1657" s="46" t="str">
        <f>VLOOKUP(F1657,[4]在职!$A:$M,13,0)</f>
        <v>文鹏羽</v>
      </c>
      <c r="F1657" s="46" t="s">
        <v>1560</v>
      </c>
      <c r="G1657" s="46" t="str">
        <f>VLOOKUP(F1657,[4]在职!$A:$B,2,0)</f>
        <v>01919</v>
      </c>
      <c r="H1657" s="46" t="str">
        <f>VLOOKUP(F1657,[4]在职!$A:$I,9,0)</f>
        <v>实习销售</v>
      </c>
      <c r="I1657" s="46" t="s">
        <v>907</v>
      </c>
      <c r="J1657" s="83">
        <v>46106</v>
      </c>
      <c r="K1657" s="46" t="s">
        <v>1170</v>
      </c>
      <c r="L1657" s="83" t="s">
        <v>25</v>
      </c>
    </row>
    <row r="1658" ht="16.5" spans="1:12">
      <c r="A1658" s="46">
        <v>1656</v>
      </c>
      <c r="B1658" s="46" t="s">
        <v>45</v>
      </c>
      <c r="C1658" s="46" t="str">
        <f>VLOOKUP(F1658,[4]在职!$A:$E,5,0)</f>
        <v>西南总部</v>
      </c>
      <c r="D1658" s="46" t="str">
        <f>VLOOKUP(F1658,[4]在职!$A:$G,7,0)</f>
        <v>营业二部</v>
      </c>
      <c r="E1658" s="46" t="str">
        <f>VLOOKUP(F1658,[4]在职!$A:$M,13,0)</f>
        <v>文鹏羽</v>
      </c>
      <c r="F1658" s="46" t="s">
        <v>1227</v>
      </c>
      <c r="G1658" s="46" t="str">
        <f>VLOOKUP(F1658,[4]在职!$A:$B,2,0)</f>
        <v>01764</v>
      </c>
      <c r="H1658" s="46" t="str">
        <f>VLOOKUP(F1658,[4]在职!$A:$I,9,0)</f>
        <v>一星销售顾问</v>
      </c>
      <c r="I1658" s="46" t="s">
        <v>907</v>
      </c>
      <c r="J1658" s="83">
        <v>46106</v>
      </c>
      <c r="K1658" s="46" t="s">
        <v>1170</v>
      </c>
      <c r="L1658" s="83" t="s">
        <v>25</v>
      </c>
    </row>
    <row r="1659" ht="16.5" spans="1:12">
      <c r="A1659" s="46">
        <v>1657</v>
      </c>
      <c r="B1659" s="46" t="s">
        <v>45</v>
      </c>
      <c r="C1659" s="46" t="str">
        <f>VLOOKUP(F1659,[4]在职!$A:$E,5,0)</f>
        <v>西南总部</v>
      </c>
      <c r="D1659" s="46" t="str">
        <f>VLOOKUP(F1659,[4]在职!$A:$G,7,0)</f>
        <v>营业五部</v>
      </c>
      <c r="E1659" s="46" t="str">
        <f>VLOOKUP(F1659,[4]在职!$A:$M,13,0)</f>
        <v>杨科</v>
      </c>
      <c r="F1659" s="46" t="s">
        <v>1561</v>
      </c>
      <c r="G1659" s="46" t="str">
        <f>VLOOKUP(F1659,[4]在职!$A:$B,2,0)</f>
        <v>01934</v>
      </c>
      <c r="H1659" s="46" t="str">
        <f>VLOOKUP(F1659,[4]在职!$A:$I,9,0)</f>
        <v>实习销售</v>
      </c>
      <c r="I1659" s="46" t="s">
        <v>907</v>
      </c>
      <c r="J1659" s="83">
        <v>46106</v>
      </c>
      <c r="K1659" s="46" t="s">
        <v>1170</v>
      </c>
      <c r="L1659" s="83" t="s">
        <v>25</v>
      </c>
    </row>
    <row r="1660" ht="16.5" spans="1:12">
      <c r="A1660" s="46">
        <v>1658</v>
      </c>
      <c r="B1660" s="46" t="s">
        <v>45</v>
      </c>
      <c r="C1660" s="46" t="str">
        <f>VLOOKUP(F1660,[4]在职!$A:$E,5,0)</f>
        <v>西南总部</v>
      </c>
      <c r="D1660" s="46" t="str">
        <f>VLOOKUP(F1660,[4]在职!$A:$G,7,0)</f>
        <v>营业六部</v>
      </c>
      <c r="E1660" s="46" t="str">
        <f>VLOOKUP(F1660,[4]在职!$A:$M,13,0)</f>
        <v>袁华</v>
      </c>
      <c r="F1660" s="46" t="s">
        <v>1562</v>
      </c>
      <c r="G1660" s="46" t="str">
        <f>VLOOKUP(F1660,[4]在职!$A:$B,2,0)</f>
        <v>01975</v>
      </c>
      <c r="H1660" s="46" t="str">
        <f>VLOOKUP(F1660,[4]在职!$A:$I,9,0)</f>
        <v>实习销售</v>
      </c>
      <c r="I1660" s="46" t="s">
        <v>907</v>
      </c>
      <c r="J1660" s="83">
        <v>46106</v>
      </c>
      <c r="K1660" s="46" t="s">
        <v>1170</v>
      </c>
      <c r="L1660" s="83" t="s">
        <v>25</v>
      </c>
    </row>
    <row r="1661" ht="16.5" spans="1:12">
      <c r="A1661" s="46">
        <v>1659</v>
      </c>
      <c r="B1661" s="46" t="s">
        <v>45</v>
      </c>
      <c r="C1661" s="46" t="str">
        <f>VLOOKUP(F1661,[4]在职!$A:$E,5,0)</f>
        <v>西南总部</v>
      </c>
      <c r="D1661" s="46" t="str">
        <f>VLOOKUP(F1661,[4]在职!$A:$G,7,0)</f>
        <v>营业六部</v>
      </c>
      <c r="E1661" s="46" t="str">
        <f>VLOOKUP(F1661,[4]在职!$A:$M,13,0)</f>
        <v>袁华</v>
      </c>
      <c r="F1661" s="46" t="s">
        <v>1563</v>
      </c>
      <c r="G1661" s="46" t="str">
        <f>VLOOKUP(F1661,[4]在职!$A:$B,2,0)</f>
        <v>01974</v>
      </c>
      <c r="H1661" s="46" t="str">
        <f>VLOOKUP(F1661,[4]在职!$A:$I,9,0)</f>
        <v>实习销售</v>
      </c>
      <c r="I1661" s="46" t="s">
        <v>907</v>
      </c>
      <c r="J1661" s="83">
        <v>46106</v>
      </c>
      <c r="K1661" s="46" t="s">
        <v>1170</v>
      </c>
      <c r="L1661" s="83" t="s">
        <v>25</v>
      </c>
    </row>
    <row r="1662" ht="16.5" spans="1:12">
      <c r="A1662" s="46">
        <v>1660</v>
      </c>
      <c r="B1662" s="46" t="s">
        <v>45</v>
      </c>
      <c r="C1662" s="46" t="str">
        <f>VLOOKUP(F1662,[4]在职!$A:$E,5,0)</f>
        <v>西南总部</v>
      </c>
      <c r="D1662" s="46" t="str">
        <f>VLOOKUP(F1662,[4]在职!$A:$G,7,0)</f>
        <v>营业六部</v>
      </c>
      <c r="E1662" s="46" t="str">
        <f>VLOOKUP(F1662,[4]在职!$A:$M,13,0)</f>
        <v>袁华</v>
      </c>
      <c r="F1662" s="46" t="s">
        <v>1564</v>
      </c>
      <c r="G1662" s="46" t="str">
        <f>VLOOKUP(F1662,[4]在职!$A:$B,2,0)</f>
        <v>01971</v>
      </c>
      <c r="H1662" s="46" t="str">
        <f>VLOOKUP(F1662,[4]在职!$A:$I,9,0)</f>
        <v>实习销售</v>
      </c>
      <c r="I1662" s="46" t="s">
        <v>907</v>
      </c>
      <c r="J1662" s="83">
        <v>46106</v>
      </c>
      <c r="K1662" s="46" t="s">
        <v>1170</v>
      </c>
      <c r="L1662" s="83" t="s">
        <v>25</v>
      </c>
    </row>
    <row r="1663" ht="16.5" spans="1:12">
      <c r="A1663" s="46">
        <v>1661</v>
      </c>
      <c r="B1663" s="46" t="s">
        <v>45</v>
      </c>
      <c r="C1663" s="46" t="str">
        <f>VLOOKUP(F1663,[4]在职!$A:$E,5,0)</f>
        <v>西南总部</v>
      </c>
      <c r="D1663" s="46" t="str">
        <f>VLOOKUP(F1663,[4]在职!$A:$G,7,0)</f>
        <v>营业六部</v>
      </c>
      <c r="E1663" s="46" t="str">
        <f>VLOOKUP(F1663,[4]在职!$A:$M,13,0)</f>
        <v>袁华</v>
      </c>
      <c r="F1663" s="46" t="s">
        <v>1203</v>
      </c>
      <c r="G1663" s="46" t="str">
        <f>VLOOKUP(F1663,[4]在职!$A:$B,2,0)</f>
        <v>01835</v>
      </c>
      <c r="H1663" s="46" t="str">
        <f>VLOOKUP(F1663,[4]在职!$A:$I,9,0)</f>
        <v>实习销售</v>
      </c>
      <c r="I1663" s="46" t="s">
        <v>907</v>
      </c>
      <c r="J1663" s="83">
        <v>46106</v>
      </c>
      <c r="K1663" s="46" t="s">
        <v>1170</v>
      </c>
      <c r="L1663" s="83" t="s">
        <v>25</v>
      </c>
    </row>
    <row r="1664" ht="16.5" spans="1:12">
      <c r="A1664" s="46">
        <v>1662</v>
      </c>
      <c r="B1664" s="46" t="s">
        <v>45</v>
      </c>
      <c r="C1664" s="46" t="str">
        <f>VLOOKUP(F1664,[4]在职!$A:$E,5,0)</f>
        <v>西南总部</v>
      </c>
      <c r="D1664" s="46" t="str">
        <f>VLOOKUP(F1664,[4]在职!$A:$G,7,0)</f>
        <v>营业五部</v>
      </c>
      <c r="E1664" s="46" t="str">
        <f>VLOOKUP(F1664,[4]在职!$A:$M,13,0)</f>
        <v>杨科</v>
      </c>
      <c r="F1664" s="46" t="s">
        <v>1211</v>
      </c>
      <c r="G1664" s="46" t="str">
        <f>VLOOKUP(F1664,[4]在职!$A:$B,2,0)</f>
        <v>01866</v>
      </c>
      <c r="H1664" s="46" t="str">
        <f>VLOOKUP(F1664,[4]在职!$A:$I,9,0)</f>
        <v>实习销售</v>
      </c>
      <c r="I1664" s="46" t="s">
        <v>907</v>
      </c>
      <c r="J1664" s="83">
        <v>46106</v>
      </c>
      <c r="K1664" s="46" t="s">
        <v>1170</v>
      </c>
      <c r="L1664" s="83" t="s">
        <v>25</v>
      </c>
    </row>
    <row r="1665" ht="16.5" spans="1:12">
      <c r="A1665" s="46">
        <v>1663</v>
      </c>
      <c r="B1665" s="46" t="s">
        <v>45</v>
      </c>
      <c r="C1665" s="46" t="str">
        <f>VLOOKUP(F1665,[4]在职!$A:$E,5,0)</f>
        <v>西南总部</v>
      </c>
      <c r="D1665" s="46" t="str">
        <f>VLOOKUP(F1665,[4]在职!$A:$G,7,0)</f>
        <v>营业五部</v>
      </c>
      <c r="E1665" s="46" t="str">
        <f>VLOOKUP(F1665,[4]在职!$A:$M,13,0)</f>
        <v>杨科</v>
      </c>
      <c r="F1665" s="46" t="s">
        <v>1213</v>
      </c>
      <c r="G1665" s="46" t="str">
        <f>VLOOKUP(F1665,[4]在职!$A:$B,2,0)</f>
        <v>01673</v>
      </c>
      <c r="H1665" s="46" t="str">
        <f>VLOOKUP(F1665,[4]在职!$A:$I,9,0)</f>
        <v>实习销售</v>
      </c>
      <c r="I1665" s="46" t="s">
        <v>907</v>
      </c>
      <c r="J1665" s="83">
        <v>46106</v>
      </c>
      <c r="K1665" s="46" t="s">
        <v>1170</v>
      </c>
      <c r="L1665" s="83" t="s">
        <v>25</v>
      </c>
    </row>
    <row r="1666" ht="16.5" spans="1:12">
      <c r="A1666" s="46">
        <v>1664</v>
      </c>
      <c r="B1666" s="46" t="s">
        <v>45</v>
      </c>
      <c r="C1666" s="46" t="str">
        <f>VLOOKUP(F1666,[4]在职!$A:$E,5,0)</f>
        <v>西南总部</v>
      </c>
      <c r="D1666" s="46" t="str">
        <f>VLOOKUP(F1666,[4]在职!$A:$G,7,0)</f>
        <v>营业五部</v>
      </c>
      <c r="E1666" s="46" t="str">
        <f>VLOOKUP(F1666,[4]在职!$A:$M,13,0)</f>
        <v>杨科</v>
      </c>
      <c r="F1666" s="46" t="s">
        <v>1209</v>
      </c>
      <c r="G1666" s="46" t="str">
        <f>VLOOKUP(F1666,[4]在职!$A:$B,2,0)</f>
        <v>01886</v>
      </c>
      <c r="H1666" s="46" t="str">
        <f>VLOOKUP(F1666,[4]在职!$A:$I,9,0)</f>
        <v>实习销售</v>
      </c>
      <c r="I1666" s="46" t="s">
        <v>907</v>
      </c>
      <c r="J1666" s="83">
        <v>46106</v>
      </c>
      <c r="K1666" s="46" t="s">
        <v>1170</v>
      </c>
      <c r="L1666" s="83" t="s">
        <v>25</v>
      </c>
    </row>
    <row r="1667" ht="16.5" spans="1:12">
      <c r="A1667" s="46">
        <v>1665</v>
      </c>
      <c r="B1667" s="46" t="s">
        <v>45</v>
      </c>
      <c r="C1667" s="46" t="str">
        <f>VLOOKUP(F1667,[4]在职!$A:$E,5,0)</f>
        <v>西南总部</v>
      </c>
      <c r="D1667" s="46" t="str">
        <f>VLOOKUP(F1667,[4]在职!$A:$G,7,0)</f>
        <v>营业五部</v>
      </c>
      <c r="E1667" s="46" t="str">
        <f>VLOOKUP(F1667,[4]在职!$A:$M,13,0)</f>
        <v>杨科</v>
      </c>
      <c r="F1667" s="46" t="s">
        <v>1207</v>
      </c>
      <c r="G1667" s="46" t="str">
        <f>VLOOKUP(F1667,[4]在职!$A:$B,2,0)</f>
        <v>01892</v>
      </c>
      <c r="H1667" s="46" t="str">
        <f>VLOOKUP(F1667,[4]在职!$A:$I,9,0)</f>
        <v>实习销售</v>
      </c>
      <c r="I1667" s="46" t="s">
        <v>907</v>
      </c>
      <c r="J1667" s="83">
        <v>46106</v>
      </c>
      <c r="K1667" s="46" t="s">
        <v>1170</v>
      </c>
      <c r="L1667" s="83" t="s">
        <v>25</v>
      </c>
    </row>
    <row r="1668" ht="16.5" spans="1:12">
      <c r="A1668" s="46">
        <v>1666</v>
      </c>
      <c r="B1668" s="46" t="s">
        <v>45</v>
      </c>
      <c r="C1668" s="46" t="str">
        <f>VLOOKUP(F1668,[4]在职!$A:$E,5,0)</f>
        <v>西南总部</v>
      </c>
      <c r="D1668" s="46" t="str">
        <f>VLOOKUP(F1668,[4]在职!$A:$G,7,0)</f>
        <v>营业五部</v>
      </c>
      <c r="E1668" s="46" t="str">
        <f>VLOOKUP(F1668,[4]在职!$A:$M,13,0)</f>
        <v>尹稳</v>
      </c>
      <c r="F1668" s="46" t="s">
        <v>1565</v>
      </c>
      <c r="G1668" s="46" t="str">
        <f>VLOOKUP(F1668,[4]在职!$A:$B,2,0)</f>
        <v>01960</v>
      </c>
      <c r="H1668" s="46" t="str">
        <f>VLOOKUP(F1668,[4]在职!$A:$I,9,0)</f>
        <v>实习销售</v>
      </c>
      <c r="I1668" s="46" t="s">
        <v>907</v>
      </c>
      <c r="J1668" s="83">
        <v>46106</v>
      </c>
      <c r="K1668" s="46" t="s">
        <v>1170</v>
      </c>
      <c r="L1668" s="83" t="s">
        <v>25</v>
      </c>
    </row>
    <row r="1669" ht="16.5" spans="1:12">
      <c r="A1669" s="46">
        <v>1667</v>
      </c>
      <c r="B1669" s="46" t="s">
        <v>45</v>
      </c>
      <c r="C1669" s="46" t="str">
        <f>VLOOKUP(F1669,[4]在职!$A:$E,5,0)</f>
        <v>西南总部</v>
      </c>
      <c r="D1669" s="46" t="str">
        <f>VLOOKUP(F1669,[4]在职!$A:$G,7,0)</f>
        <v>营业七部</v>
      </c>
      <c r="E1669" s="46" t="str">
        <f>VLOOKUP(F1669,[4]在职!$A:$M,13,0)</f>
        <v>张家涛</v>
      </c>
      <c r="F1669" s="46" t="s">
        <v>1201</v>
      </c>
      <c r="G1669" s="46" t="str">
        <f>VLOOKUP(F1669,[4]在职!$A:$B,2,0)</f>
        <v>01905</v>
      </c>
      <c r="H1669" s="46" t="str">
        <f>VLOOKUP(F1669,[4]在职!$A:$I,9,0)</f>
        <v>实习销售</v>
      </c>
      <c r="I1669" s="46" t="s">
        <v>907</v>
      </c>
      <c r="J1669" s="83">
        <v>46106</v>
      </c>
      <c r="K1669" s="46" t="s">
        <v>1170</v>
      </c>
      <c r="L1669" s="83" t="s">
        <v>25</v>
      </c>
    </row>
    <row r="1670" ht="16.5" spans="1:12">
      <c r="A1670" s="46">
        <v>1668</v>
      </c>
      <c r="B1670" s="46" t="s">
        <v>45</v>
      </c>
      <c r="C1670" s="46" t="str">
        <f>VLOOKUP(F1670,[4]在职!$A:$E,5,0)</f>
        <v>西南总部</v>
      </c>
      <c r="D1670" s="46" t="str">
        <f>VLOOKUP(F1670,[4]在职!$A:$G,7,0)</f>
        <v>营业六部</v>
      </c>
      <c r="E1670" s="46" t="str">
        <f>VLOOKUP(F1670,[4]在职!$A:$M,13,0)</f>
        <v>郑雄</v>
      </c>
      <c r="F1670" s="46" t="s">
        <v>1566</v>
      </c>
      <c r="G1670" s="46" t="str">
        <f>VLOOKUP(F1670,[4]在职!$A:$B,2,0)</f>
        <v>01953</v>
      </c>
      <c r="H1670" s="46" t="str">
        <f>VLOOKUP(F1670,[4]在职!$A:$I,9,0)</f>
        <v>实习销售</v>
      </c>
      <c r="I1670" s="46" t="s">
        <v>907</v>
      </c>
      <c r="J1670" s="83">
        <v>46106</v>
      </c>
      <c r="K1670" s="46" t="s">
        <v>1170</v>
      </c>
      <c r="L1670" s="83" t="s">
        <v>25</v>
      </c>
    </row>
    <row r="1671" ht="16.5" spans="1:12">
      <c r="A1671" s="46">
        <v>1669</v>
      </c>
      <c r="B1671" s="46" t="s">
        <v>45</v>
      </c>
      <c r="C1671" s="46" t="str">
        <f>VLOOKUP(F1671,[4]在职!$A:$E,5,0)</f>
        <v>西南总部</v>
      </c>
      <c r="D1671" s="46" t="str">
        <f>VLOOKUP(F1671,[4]在职!$A:$G,7,0)</f>
        <v>营业六部</v>
      </c>
      <c r="E1671" s="46" t="str">
        <f>VLOOKUP(F1671,[4]在职!$A:$M,13,0)</f>
        <v>郑雄</v>
      </c>
      <c r="F1671" s="46" t="s">
        <v>1182</v>
      </c>
      <c r="G1671" s="46" t="str">
        <f>VLOOKUP(F1671,[4]在职!$A:$B,2,0)</f>
        <v>01864</v>
      </c>
      <c r="H1671" s="46" t="str">
        <f>VLOOKUP(F1671,[4]在职!$A:$I,9,0)</f>
        <v>实习销售</v>
      </c>
      <c r="I1671" s="46" t="s">
        <v>907</v>
      </c>
      <c r="J1671" s="83">
        <v>46106</v>
      </c>
      <c r="K1671" s="46" t="s">
        <v>1170</v>
      </c>
      <c r="L1671" s="83" t="s">
        <v>25</v>
      </c>
    </row>
    <row r="1672" ht="16.5" spans="1:12">
      <c r="A1672" s="46">
        <v>1670</v>
      </c>
      <c r="B1672" s="46" t="s">
        <v>45</v>
      </c>
      <c r="C1672" s="46" t="str">
        <f>VLOOKUP(F1672,[4]在职!$A:$E,5,0)</f>
        <v>西南总部</v>
      </c>
      <c r="D1672" s="46" t="str">
        <f>VLOOKUP(F1672,[4]在职!$A:$G,7,0)</f>
        <v>营业五部</v>
      </c>
      <c r="E1672" s="46" t="str">
        <f>VLOOKUP(F1672,[4]在职!$A:$M,13,0)</f>
        <v>周远芮</v>
      </c>
      <c r="F1672" s="46" t="s">
        <v>1503</v>
      </c>
      <c r="G1672" s="46" t="str">
        <f>VLOOKUP(F1672,[4]在职!$A:$B,2,0)</f>
        <v>01560</v>
      </c>
      <c r="H1672" s="46" t="str">
        <f>VLOOKUP(F1672,[4]在职!$A:$I,9,0)</f>
        <v>一星销售顾问</v>
      </c>
      <c r="I1672" s="46" t="s">
        <v>907</v>
      </c>
      <c r="J1672" s="83">
        <v>46106</v>
      </c>
      <c r="K1672" s="46" t="s">
        <v>1170</v>
      </c>
      <c r="L1672" s="83" t="s">
        <v>25</v>
      </c>
    </row>
    <row r="1673" ht="16.5" spans="1:12">
      <c r="A1673" s="46">
        <v>1671</v>
      </c>
      <c r="B1673" s="46" t="s">
        <v>45</v>
      </c>
      <c r="C1673" s="46" t="str">
        <f>VLOOKUP(F1673,[4]在职!$A:$E,5,0)</f>
        <v>西南总部</v>
      </c>
      <c r="D1673" s="46" t="str">
        <f>VLOOKUP(F1673,[4]在职!$A:$G,7,0)</f>
        <v>营业一部</v>
      </c>
      <c r="E1673" s="46" t="str">
        <f>VLOOKUP(F1673,[4]在职!$A:$M,13,0)</f>
        <v>朱家艳</v>
      </c>
      <c r="F1673" s="46" t="s">
        <v>1533</v>
      </c>
      <c r="G1673" s="46" t="str">
        <f>VLOOKUP(F1673,[4]在职!$A:$B,2,0)</f>
        <v>01939</v>
      </c>
      <c r="H1673" s="46" t="str">
        <f>VLOOKUP(F1673,[4]在职!$A:$I,9,0)</f>
        <v>实习销售</v>
      </c>
      <c r="I1673" s="46" t="s">
        <v>907</v>
      </c>
      <c r="J1673" s="83">
        <v>46106</v>
      </c>
      <c r="K1673" s="46" t="s">
        <v>1326</v>
      </c>
      <c r="L1673" s="83" t="s">
        <v>25</v>
      </c>
    </row>
    <row r="1674" ht="16.5" spans="1:12">
      <c r="A1674" s="46">
        <v>1672</v>
      </c>
      <c r="B1674" s="46" t="s">
        <v>45</v>
      </c>
      <c r="C1674" s="46" t="str">
        <f>VLOOKUP(F1674,[4]在职!$A:$E,5,0)</f>
        <v>西南总部</v>
      </c>
      <c r="D1674" s="46" t="str">
        <f>VLOOKUP(F1674,[4]在职!$A:$G,7,0)</f>
        <v>营业一部</v>
      </c>
      <c r="E1674" s="46" t="str">
        <f>VLOOKUP(F1674,[4]在职!$A:$M,13,0)</f>
        <v>朱家艳</v>
      </c>
      <c r="F1674" s="46" t="s">
        <v>1534</v>
      </c>
      <c r="G1674" s="46" t="str">
        <f>VLOOKUP(F1674,[4]在职!$A:$B,2,0)</f>
        <v>01921</v>
      </c>
      <c r="H1674" s="46" t="str">
        <f>VLOOKUP(F1674,[4]在职!$A:$I,9,0)</f>
        <v>实习销售</v>
      </c>
      <c r="I1674" s="46" t="s">
        <v>907</v>
      </c>
      <c r="J1674" s="83">
        <v>46106</v>
      </c>
      <c r="K1674" s="46" t="s">
        <v>1326</v>
      </c>
      <c r="L1674" s="83" t="s">
        <v>25</v>
      </c>
    </row>
    <row r="1675" ht="16.5" spans="1:12">
      <c r="A1675" s="46">
        <v>1673</v>
      </c>
      <c r="B1675" s="46" t="s">
        <v>45</v>
      </c>
      <c r="C1675" s="46" t="str">
        <f>VLOOKUP(F1675,[4]在职!$A:$E,5,0)</f>
        <v>西南总部</v>
      </c>
      <c r="D1675" s="46" t="str">
        <f>VLOOKUP(F1675,[4]在职!$A:$G,7,0)</f>
        <v>营业一部</v>
      </c>
      <c r="E1675" s="46" t="str">
        <f>VLOOKUP(F1675,[4]在职!$A:$M,13,0)</f>
        <v>朱家艳</v>
      </c>
      <c r="F1675" s="46" t="s">
        <v>1476</v>
      </c>
      <c r="G1675" s="46" t="str">
        <f>VLOOKUP(F1675,[4]在职!$A:$B,2,0)</f>
        <v>01682</v>
      </c>
      <c r="H1675" s="46" t="str">
        <f>VLOOKUP(F1675,[4]在职!$A:$I,9,0)</f>
        <v>一星销售顾问</v>
      </c>
      <c r="I1675" s="46" t="s">
        <v>907</v>
      </c>
      <c r="J1675" s="83">
        <v>46106</v>
      </c>
      <c r="K1675" s="46" t="s">
        <v>1326</v>
      </c>
      <c r="L1675" s="83" t="s">
        <v>25</v>
      </c>
    </row>
    <row r="1676" ht="16.5" spans="1:12">
      <c r="A1676" s="46">
        <v>1674</v>
      </c>
      <c r="B1676" s="46" t="s">
        <v>45</v>
      </c>
      <c r="C1676" s="46" t="str">
        <f>VLOOKUP(F1676,[4]在职!$A:$E,5,0)</f>
        <v>西南总部</v>
      </c>
      <c r="D1676" s="46" t="str">
        <f>VLOOKUP(F1676,[4]在职!$A:$G,7,0)</f>
        <v>营业五部</v>
      </c>
      <c r="E1676" s="46" t="str">
        <f>VLOOKUP(F1676,[4]在职!$A:$M,13,0)</f>
        <v>张萍2</v>
      </c>
      <c r="F1676" s="46" t="s">
        <v>1191</v>
      </c>
      <c r="G1676" s="46" t="str">
        <f>VLOOKUP(F1676,[4]在职!$A:$B,2,0)</f>
        <v>01898</v>
      </c>
      <c r="H1676" s="46" t="str">
        <f>VLOOKUP(F1676,[4]在职!$A:$I,9,0)</f>
        <v>实习销售</v>
      </c>
      <c r="I1676" s="46" t="s">
        <v>907</v>
      </c>
      <c r="J1676" s="83">
        <v>46106</v>
      </c>
      <c r="K1676" s="46" t="s">
        <v>1326</v>
      </c>
      <c r="L1676" s="83" t="s">
        <v>25</v>
      </c>
    </row>
    <row r="1677" ht="16.5" spans="1:12">
      <c r="A1677" s="46">
        <v>1675</v>
      </c>
      <c r="B1677" s="46" t="s">
        <v>45</v>
      </c>
      <c r="C1677" s="46" t="str">
        <f>VLOOKUP(F1677,[4]在职!$A:$E,5,0)</f>
        <v>西南总部</v>
      </c>
      <c r="D1677" s="46" t="str">
        <f>VLOOKUP(F1677,[4]在职!$A:$G,7,0)</f>
        <v>营业五部</v>
      </c>
      <c r="E1677" s="46" t="str">
        <f>VLOOKUP(F1677,[4]在职!$A:$M,13,0)</f>
        <v>张萍2</v>
      </c>
      <c r="F1677" s="46" t="s">
        <v>1191</v>
      </c>
      <c r="G1677" s="46" t="str">
        <f>VLOOKUP(F1677,[4]在职!$A:$B,2,0)</f>
        <v>01898</v>
      </c>
      <c r="H1677" s="46" t="str">
        <f>VLOOKUP(F1677,[4]在职!$A:$I,9,0)</f>
        <v>实习销售</v>
      </c>
      <c r="I1677" s="46" t="s">
        <v>907</v>
      </c>
      <c r="J1677" s="83">
        <v>46106</v>
      </c>
      <c r="K1677" s="46" t="s">
        <v>1170</v>
      </c>
      <c r="L1677" s="83" t="s">
        <v>25</v>
      </c>
    </row>
    <row r="1678" ht="16.5" spans="1:12">
      <c r="A1678" s="46">
        <v>1676</v>
      </c>
      <c r="B1678" s="46" t="s">
        <v>45</v>
      </c>
      <c r="C1678" s="46" t="str">
        <f>VLOOKUP(F1678,[4]在职!$A:$E,5,0)</f>
        <v>西南总部</v>
      </c>
      <c r="D1678" s="46" t="str">
        <f>VLOOKUP(F1678,[4]在职!$A:$G,7,0)</f>
        <v>营业五部</v>
      </c>
      <c r="E1678" s="46" t="str">
        <f>VLOOKUP(F1678,[4]在职!$A:$M,13,0)</f>
        <v>张萍2</v>
      </c>
      <c r="F1678" s="46" t="s">
        <v>1191</v>
      </c>
      <c r="G1678" s="46" t="str">
        <f>VLOOKUP(F1678,[4]在职!$A:$B,2,0)</f>
        <v>01898</v>
      </c>
      <c r="H1678" s="46" t="str">
        <f>VLOOKUP(F1678,[4]在职!$A:$I,9,0)</f>
        <v>实习销售</v>
      </c>
      <c r="I1678" s="46" t="s">
        <v>907</v>
      </c>
      <c r="J1678" s="83">
        <v>46106</v>
      </c>
      <c r="K1678" s="46" t="s">
        <v>1536</v>
      </c>
      <c r="L1678" s="83" t="s">
        <v>25</v>
      </c>
    </row>
    <row r="1679" ht="16.5" spans="1:12">
      <c r="A1679" s="46">
        <v>1677</v>
      </c>
      <c r="B1679" s="46" t="s">
        <v>45</v>
      </c>
      <c r="C1679" s="46" t="str">
        <f>VLOOKUP(F1679,[4]在职!$A:$E,5,0)</f>
        <v>西南总部</v>
      </c>
      <c r="D1679" s="46" t="str">
        <f>VLOOKUP(F1679,[4]在职!$A:$G,7,0)</f>
        <v>营业五部</v>
      </c>
      <c r="E1679" s="46" t="str">
        <f>VLOOKUP(F1679,[4]在职!$A:$M,13,0)</f>
        <v>张萍2</v>
      </c>
      <c r="F1679" s="46" t="s">
        <v>1191</v>
      </c>
      <c r="G1679" s="46" t="str">
        <f>VLOOKUP(F1679,[4]在职!$A:$B,2,0)</f>
        <v>01898</v>
      </c>
      <c r="H1679" s="46" t="str">
        <f>VLOOKUP(F1679,[4]在职!$A:$I,9,0)</f>
        <v>实习销售</v>
      </c>
      <c r="I1679" s="46" t="s">
        <v>907</v>
      </c>
      <c r="J1679" s="83">
        <v>46106</v>
      </c>
      <c r="K1679" s="46" t="s">
        <v>1324</v>
      </c>
      <c r="L1679" s="83" t="s">
        <v>25</v>
      </c>
    </row>
  </sheetData>
  <autoFilter xmlns:etc="http://www.wps.cn/officeDocument/2017/etCustomData" ref="A2:L1679" etc:filterBottomFollowUsedRange="0">
    <extLst/>
  </autoFilter>
  <mergeCells count="1">
    <mergeCell ref="A1:L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721"/>
  <sheetViews>
    <sheetView workbookViewId="0">
      <pane ySplit="2" topLeftCell="A3" activePane="bottomLeft" state="frozen"/>
      <selection/>
      <selection pane="bottomLeft" activeCell="O666" sqref="O666"/>
    </sheetView>
  </sheetViews>
  <sheetFormatPr defaultColWidth="8.89166666666667" defaultRowHeight="13.5"/>
  <cols>
    <col min="1" max="1" width="6.10833333333333" customWidth="1"/>
    <col min="2" max="2" width="9.44166666666667" customWidth="1"/>
    <col min="3" max="3" width="14.3333333333333" customWidth="1"/>
    <col min="4" max="4" width="14.1083333333333" customWidth="1"/>
    <col min="5" max="5" width="11.8916666666667" customWidth="1"/>
    <col min="6" max="6" width="15.6666666666667" customWidth="1"/>
    <col min="7" max="7" width="7.775" customWidth="1"/>
    <col min="8" max="8" width="14.1083333333333" customWidth="1"/>
    <col min="9" max="9" width="10.6666666666667" customWidth="1"/>
    <col min="10" max="10" width="12.225" customWidth="1"/>
    <col min="11" max="11" width="18.6666666666667" customWidth="1"/>
  </cols>
  <sheetData>
    <row r="1" ht="44" customHeight="1" spans="1:11">
      <c r="A1" s="1" t="s">
        <v>1608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44" customHeight="1" spans="1:11">
      <c r="A2" s="73" t="s">
        <v>887</v>
      </c>
      <c r="B2" s="73" t="s">
        <v>2</v>
      </c>
      <c r="C2" s="73" t="s">
        <v>3</v>
      </c>
      <c r="D2" s="73" t="s">
        <v>50</v>
      </c>
      <c r="E2" s="73" t="s">
        <v>1579</v>
      </c>
      <c r="F2" s="73" t="s">
        <v>895</v>
      </c>
      <c r="G2" s="73" t="s">
        <v>897</v>
      </c>
      <c r="H2" s="73" t="s">
        <v>898</v>
      </c>
      <c r="I2" s="73" t="s">
        <v>896</v>
      </c>
      <c r="J2" s="73" t="s">
        <v>894</v>
      </c>
      <c r="K2" s="73" t="s">
        <v>1580</v>
      </c>
    </row>
    <row r="3" ht="16.5" hidden="1" spans="1:11">
      <c r="A3" s="12">
        <v>1</v>
      </c>
      <c r="B3" s="12" t="s">
        <v>23</v>
      </c>
      <c r="C3" s="12" t="s">
        <v>38</v>
      </c>
      <c r="D3" s="12" t="s">
        <v>63</v>
      </c>
      <c r="E3" s="12" t="s">
        <v>1581</v>
      </c>
      <c r="F3" s="74" t="s">
        <v>906</v>
      </c>
      <c r="G3" s="12" t="s">
        <v>908</v>
      </c>
      <c r="H3" s="12" t="s">
        <v>909</v>
      </c>
      <c r="I3" s="74" t="s">
        <v>907</v>
      </c>
      <c r="J3" s="75">
        <v>46035</v>
      </c>
      <c r="K3" s="74" t="s">
        <v>27</v>
      </c>
    </row>
    <row r="4" ht="16.5" hidden="1" spans="1:11">
      <c r="A4" s="12">
        <v>2</v>
      </c>
      <c r="B4" s="12" t="s">
        <v>23</v>
      </c>
      <c r="C4" s="12" t="s">
        <v>38</v>
      </c>
      <c r="D4" s="12" t="s">
        <v>63</v>
      </c>
      <c r="E4" s="12" t="s">
        <v>1581</v>
      </c>
      <c r="F4" s="74" t="s">
        <v>910</v>
      </c>
      <c r="G4" s="12" t="s">
        <v>911</v>
      </c>
      <c r="H4" s="12" t="s">
        <v>909</v>
      </c>
      <c r="I4" s="74" t="s">
        <v>907</v>
      </c>
      <c r="J4" s="75">
        <v>46035</v>
      </c>
      <c r="K4" s="74" t="s">
        <v>27</v>
      </c>
    </row>
    <row r="5" ht="16.5" hidden="1" spans="1:11">
      <c r="A5" s="12">
        <v>3</v>
      </c>
      <c r="B5" s="12" t="s">
        <v>23</v>
      </c>
      <c r="C5" s="12" t="s">
        <v>38</v>
      </c>
      <c r="D5" s="12" t="s">
        <v>63</v>
      </c>
      <c r="E5" s="12" t="s">
        <v>1581</v>
      </c>
      <c r="F5" s="74" t="s">
        <v>912</v>
      </c>
      <c r="G5" s="12" t="s">
        <v>913</v>
      </c>
      <c r="H5" s="12" t="s">
        <v>909</v>
      </c>
      <c r="I5" s="74" t="s">
        <v>907</v>
      </c>
      <c r="J5" s="75">
        <v>46035</v>
      </c>
      <c r="K5" s="74" t="s">
        <v>27</v>
      </c>
    </row>
    <row r="6" ht="16.5" hidden="1" spans="1:11">
      <c r="A6" s="12">
        <v>4</v>
      </c>
      <c r="B6" s="12" t="s">
        <v>23</v>
      </c>
      <c r="C6" s="12" t="s">
        <v>38</v>
      </c>
      <c r="D6" s="12" t="s">
        <v>70</v>
      </c>
      <c r="E6" s="12" t="s">
        <v>82</v>
      </c>
      <c r="F6" s="74" t="s">
        <v>914</v>
      </c>
      <c r="G6" s="12" t="s">
        <v>916</v>
      </c>
      <c r="H6" s="12" t="s">
        <v>909</v>
      </c>
      <c r="I6" s="74" t="s">
        <v>915</v>
      </c>
      <c r="J6" s="75">
        <v>46035</v>
      </c>
      <c r="K6" s="74" t="s">
        <v>27</v>
      </c>
    </row>
    <row r="7" ht="16.5" hidden="1" spans="1:11">
      <c r="A7" s="12">
        <v>5</v>
      </c>
      <c r="B7" s="12" t="s">
        <v>23</v>
      </c>
      <c r="C7" s="12" t="s">
        <v>37</v>
      </c>
      <c r="D7" s="12" t="s">
        <v>109</v>
      </c>
      <c r="E7" s="12" t="s">
        <v>451</v>
      </c>
      <c r="F7" s="74" t="s">
        <v>917</v>
      </c>
      <c r="G7" s="12" t="s">
        <v>918</v>
      </c>
      <c r="H7" s="12" t="s">
        <v>909</v>
      </c>
      <c r="I7" s="74" t="s">
        <v>915</v>
      </c>
      <c r="J7" s="75">
        <v>46035</v>
      </c>
      <c r="K7" s="74" t="s">
        <v>27</v>
      </c>
    </row>
    <row r="8" ht="16.5" hidden="1" spans="1:11">
      <c r="A8" s="12">
        <v>6</v>
      </c>
      <c r="B8" s="12" t="s">
        <v>23</v>
      </c>
      <c r="C8" s="12" t="s">
        <v>38</v>
      </c>
      <c r="D8" s="12" t="s">
        <v>220</v>
      </c>
      <c r="E8" s="12" t="s">
        <v>620</v>
      </c>
      <c r="F8" s="74" t="s">
        <v>919</v>
      </c>
      <c r="G8" s="12" t="s">
        <v>920</v>
      </c>
      <c r="H8" s="12" t="s">
        <v>921</v>
      </c>
      <c r="I8" s="74" t="s">
        <v>907</v>
      </c>
      <c r="J8" s="75">
        <v>46035</v>
      </c>
      <c r="K8" s="74" t="s">
        <v>27</v>
      </c>
    </row>
    <row r="9" ht="16.5" hidden="1" spans="1:11">
      <c r="A9" s="12">
        <v>7</v>
      </c>
      <c r="B9" s="12" t="s">
        <v>23</v>
      </c>
      <c r="C9" s="12" t="s">
        <v>38</v>
      </c>
      <c r="D9" s="12" t="s">
        <v>75</v>
      </c>
      <c r="E9" s="12" t="s">
        <v>176</v>
      </c>
      <c r="F9" s="74" t="s">
        <v>922</v>
      </c>
      <c r="G9" s="12" t="s">
        <v>923</v>
      </c>
      <c r="H9" s="12" t="s">
        <v>909</v>
      </c>
      <c r="I9" s="74" t="s">
        <v>907</v>
      </c>
      <c r="J9" s="75">
        <v>46035</v>
      </c>
      <c r="K9" s="74" t="s">
        <v>27</v>
      </c>
    </row>
    <row r="10" ht="16.5" hidden="1" spans="1:11">
      <c r="A10" s="12">
        <v>8</v>
      </c>
      <c r="B10" s="12" t="s">
        <v>23</v>
      </c>
      <c r="C10" s="12" t="s">
        <v>38</v>
      </c>
      <c r="D10" s="12" t="s">
        <v>144</v>
      </c>
      <c r="E10" s="12" t="s">
        <v>185</v>
      </c>
      <c r="F10" s="74" t="s">
        <v>924</v>
      </c>
      <c r="G10" s="12" t="s">
        <v>925</v>
      </c>
      <c r="H10" s="12" t="s">
        <v>909</v>
      </c>
      <c r="I10" s="74" t="s">
        <v>915</v>
      </c>
      <c r="J10" s="75">
        <v>46035</v>
      </c>
      <c r="K10" s="74" t="s">
        <v>27</v>
      </c>
    </row>
    <row r="11" ht="16.5" hidden="1" spans="1:11">
      <c r="A11" s="12">
        <v>9</v>
      </c>
      <c r="B11" s="12" t="s">
        <v>23</v>
      </c>
      <c r="C11" s="12" t="s">
        <v>31</v>
      </c>
      <c r="D11" s="12" t="s">
        <v>79</v>
      </c>
      <c r="E11" s="12" t="s">
        <v>1582</v>
      </c>
      <c r="F11" s="74" t="s">
        <v>926</v>
      </c>
      <c r="G11" s="12" t="s">
        <v>927</v>
      </c>
      <c r="H11" s="12" t="s">
        <v>909</v>
      </c>
      <c r="I11" s="74" t="s">
        <v>907</v>
      </c>
      <c r="J11" s="75">
        <v>46035</v>
      </c>
      <c r="K11" s="74" t="s">
        <v>27</v>
      </c>
    </row>
    <row r="12" ht="16.5" hidden="1" spans="1:11">
      <c r="A12" s="12">
        <v>10</v>
      </c>
      <c r="B12" s="12" t="s">
        <v>23</v>
      </c>
      <c r="C12" s="12" t="s">
        <v>38</v>
      </c>
      <c r="D12" s="12" t="s">
        <v>144</v>
      </c>
      <c r="E12" s="12" t="s">
        <v>282</v>
      </c>
      <c r="F12" s="74" t="s">
        <v>928</v>
      </c>
      <c r="G12" s="12" t="s">
        <v>929</v>
      </c>
      <c r="H12" s="12" t="s">
        <v>909</v>
      </c>
      <c r="I12" s="74" t="s">
        <v>907</v>
      </c>
      <c r="J12" s="75">
        <v>46035</v>
      </c>
      <c r="K12" s="74" t="s">
        <v>27</v>
      </c>
    </row>
    <row r="13" ht="16.5" hidden="1" spans="1:11">
      <c r="A13" s="12">
        <v>11</v>
      </c>
      <c r="B13" s="12" t="s">
        <v>23</v>
      </c>
      <c r="C13" s="12" t="s">
        <v>38</v>
      </c>
      <c r="D13" s="12" t="s">
        <v>144</v>
      </c>
      <c r="E13" s="12" t="s">
        <v>282</v>
      </c>
      <c r="F13" s="74" t="s">
        <v>930</v>
      </c>
      <c r="G13" s="12" t="s">
        <v>931</v>
      </c>
      <c r="H13" s="12" t="s">
        <v>921</v>
      </c>
      <c r="I13" s="74" t="s">
        <v>907</v>
      </c>
      <c r="J13" s="75">
        <v>46035</v>
      </c>
      <c r="K13" s="74" t="s">
        <v>27</v>
      </c>
    </row>
    <row r="14" ht="16.5" hidden="1" spans="1:11">
      <c r="A14" s="12">
        <v>12</v>
      </c>
      <c r="B14" s="12" t="s">
        <v>23</v>
      </c>
      <c r="C14" s="12" t="s">
        <v>37</v>
      </c>
      <c r="D14" s="12" t="s">
        <v>109</v>
      </c>
      <c r="E14" s="12" t="s">
        <v>137</v>
      </c>
      <c r="F14" s="74" t="s">
        <v>932</v>
      </c>
      <c r="G14" s="12" t="s">
        <v>933</v>
      </c>
      <c r="H14" s="12" t="s">
        <v>909</v>
      </c>
      <c r="I14" s="74" t="s">
        <v>907</v>
      </c>
      <c r="J14" s="75">
        <v>46035</v>
      </c>
      <c r="K14" s="74" t="s">
        <v>27</v>
      </c>
    </row>
    <row r="15" ht="16.5" hidden="1" spans="1:11">
      <c r="A15" s="12">
        <v>13</v>
      </c>
      <c r="B15" s="12" t="s">
        <v>23</v>
      </c>
      <c r="C15" s="12" t="s">
        <v>38</v>
      </c>
      <c r="D15" s="12" t="s">
        <v>144</v>
      </c>
      <c r="E15" s="12" t="s">
        <v>185</v>
      </c>
      <c r="F15" s="74" t="s">
        <v>934</v>
      </c>
      <c r="G15" s="12" t="s">
        <v>935</v>
      </c>
      <c r="H15" s="12" t="s">
        <v>909</v>
      </c>
      <c r="I15" s="74" t="s">
        <v>907</v>
      </c>
      <c r="J15" s="75">
        <v>46035</v>
      </c>
      <c r="K15" s="74" t="s">
        <v>27</v>
      </c>
    </row>
    <row r="16" ht="16.5" hidden="1" spans="1:11">
      <c r="A16" s="12">
        <v>14</v>
      </c>
      <c r="B16" s="12" t="s">
        <v>23</v>
      </c>
      <c r="C16" s="12" t="s">
        <v>38</v>
      </c>
      <c r="D16" s="12" t="s">
        <v>75</v>
      </c>
      <c r="E16" s="12" t="s">
        <v>407</v>
      </c>
      <c r="F16" s="74" t="s">
        <v>936</v>
      </c>
      <c r="G16" s="12" t="s">
        <v>937</v>
      </c>
      <c r="H16" s="12" t="s">
        <v>909</v>
      </c>
      <c r="I16" s="74" t="s">
        <v>915</v>
      </c>
      <c r="J16" s="75">
        <v>46035</v>
      </c>
      <c r="K16" s="74" t="s">
        <v>27</v>
      </c>
    </row>
    <row r="17" ht="16.5" hidden="1" spans="1:11">
      <c r="A17" s="12">
        <v>15</v>
      </c>
      <c r="B17" s="12" t="s">
        <v>23</v>
      </c>
      <c r="C17" s="12" t="s">
        <v>38</v>
      </c>
      <c r="D17" s="12" t="s">
        <v>75</v>
      </c>
      <c r="E17" s="12" t="s">
        <v>407</v>
      </c>
      <c r="F17" s="74" t="s">
        <v>938</v>
      </c>
      <c r="G17" s="12" t="s">
        <v>939</v>
      </c>
      <c r="H17" s="12" t="s">
        <v>909</v>
      </c>
      <c r="I17" s="74" t="s">
        <v>915</v>
      </c>
      <c r="J17" s="75">
        <v>46035</v>
      </c>
      <c r="K17" s="74" t="s">
        <v>27</v>
      </c>
    </row>
    <row r="18" ht="16.5" hidden="1" spans="1:11">
      <c r="A18" s="12">
        <v>16</v>
      </c>
      <c r="B18" s="12" t="s">
        <v>23</v>
      </c>
      <c r="C18" s="12" t="s">
        <v>38</v>
      </c>
      <c r="D18" s="12" t="s">
        <v>75</v>
      </c>
      <c r="E18" s="12" t="s">
        <v>1363</v>
      </c>
      <c r="F18" s="74" t="s">
        <v>940</v>
      </c>
      <c r="G18" s="12" t="s">
        <v>941</v>
      </c>
      <c r="H18" s="12" t="s">
        <v>1609</v>
      </c>
      <c r="I18" s="74" t="s">
        <v>907</v>
      </c>
      <c r="J18" s="75">
        <v>46035</v>
      </c>
      <c r="K18" s="74" t="s">
        <v>27</v>
      </c>
    </row>
    <row r="19" ht="16.5" hidden="1" spans="1:11">
      <c r="A19" s="12">
        <v>17</v>
      </c>
      <c r="B19" s="12" t="s">
        <v>23</v>
      </c>
      <c r="C19" s="12" t="s">
        <v>29</v>
      </c>
      <c r="D19" s="12" t="s">
        <v>130</v>
      </c>
      <c r="E19" s="12" t="s">
        <v>263</v>
      </c>
      <c r="F19" s="74" t="s">
        <v>942</v>
      </c>
      <c r="G19" s="12" t="s">
        <v>943</v>
      </c>
      <c r="H19" s="12" t="s">
        <v>909</v>
      </c>
      <c r="I19" s="74" t="s">
        <v>915</v>
      </c>
      <c r="J19" s="75">
        <v>46035</v>
      </c>
      <c r="K19" s="74" t="s">
        <v>27</v>
      </c>
    </row>
    <row r="20" ht="16.5" hidden="1" spans="1:11">
      <c r="A20" s="12">
        <v>18</v>
      </c>
      <c r="B20" s="12" t="s">
        <v>23</v>
      </c>
      <c r="C20" s="12" t="s">
        <v>36</v>
      </c>
      <c r="D20" s="12" t="s">
        <v>173</v>
      </c>
      <c r="E20" s="12" t="s">
        <v>354</v>
      </c>
      <c r="F20" s="74" t="s">
        <v>944</v>
      </c>
      <c r="G20" s="12" t="s">
        <v>945</v>
      </c>
      <c r="H20" s="12" t="s">
        <v>909</v>
      </c>
      <c r="I20" s="74" t="s">
        <v>915</v>
      </c>
      <c r="J20" s="75">
        <v>46035</v>
      </c>
      <c r="K20" s="74" t="s">
        <v>27</v>
      </c>
    </row>
    <row r="21" ht="16.5" hidden="1" spans="1:11">
      <c r="A21" s="12">
        <v>19</v>
      </c>
      <c r="B21" s="12" t="s">
        <v>23</v>
      </c>
      <c r="C21" s="12" t="s">
        <v>31</v>
      </c>
      <c r="D21" s="12" t="s">
        <v>79</v>
      </c>
      <c r="E21" s="12" t="s">
        <v>189</v>
      </c>
      <c r="F21" s="74" t="s">
        <v>946</v>
      </c>
      <c r="G21" s="12" t="s">
        <v>947</v>
      </c>
      <c r="H21" s="12" t="s">
        <v>909</v>
      </c>
      <c r="I21" s="74" t="s">
        <v>907</v>
      </c>
      <c r="J21" s="75">
        <v>46035</v>
      </c>
      <c r="K21" s="74" t="s">
        <v>27</v>
      </c>
    </row>
    <row r="22" ht="16.5" hidden="1" spans="1:11">
      <c r="A22" s="12">
        <v>20</v>
      </c>
      <c r="B22" s="12" t="s">
        <v>23</v>
      </c>
      <c r="C22" s="12" t="s">
        <v>36</v>
      </c>
      <c r="D22" s="12" t="s">
        <v>173</v>
      </c>
      <c r="E22" s="12" t="s">
        <v>354</v>
      </c>
      <c r="F22" s="74" t="s">
        <v>948</v>
      </c>
      <c r="G22" s="12" t="s">
        <v>949</v>
      </c>
      <c r="H22" s="12" t="s">
        <v>909</v>
      </c>
      <c r="I22" s="74" t="s">
        <v>915</v>
      </c>
      <c r="J22" s="75">
        <v>46035</v>
      </c>
      <c r="K22" s="74" t="s">
        <v>27</v>
      </c>
    </row>
    <row r="23" ht="16.5" hidden="1" spans="1:11">
      <c r="A23" s="12">
        <v>21</v>
      </c>
      <c r="B23" s="12" t="s">
        <v>23</v>
      </c>
      <c r="C23" s="12" t="s">
        <v>36</v>
      </c>
      <c r="D23" s="12" t="s">
        <v>173</v>
      </c>
      <c r="E23" s="12" t="s">
        <v>354</v>
      </c>
      <c r="F23" s="74" t="s">
        <v>950</v>
      </c>
      <c r="G23" s="12" t="s">
        <v>951</v>
      </c>
      <c r="H23" s="12" t="s">
        <v>909</v>
      </c>
      <c r="I23" s="74" t="s">
        <v>915</v>
      </c>
      <c r="J23" s="75">
        <v>46035</v>
      </c>
      <c r="K23" s="74" t="s">
        <v>27</v>
      </c>
    </row>
    <row r="24" ht="16.5" hidden="1" spans="1:11">
      <c r="A24" s="12">
        <v>22</v>
      </c>
      <c r="B24" s="12" t="s">
        <v>23</v>
      </c>
      <c r="C24" s="12" t="s">
        <v>38</v>
      </c>
      <c r="D24" s="12" t="s">
        <v>220</v>
      </c>
      <c r="E24" s="12" t="s">
        <v>614</v>
      </c>
      <c r="F24" s="74" t="s">
        <v>952</v>
      </c>
      <c r="G24" s="12" t="s">
        <v>953</v>
      </c>
      <c r="H24" s="12" t="s">
        <v>909</v>
      </c>
      <c r="I24" s="74" t="s">
        <v>907</v>
      </c>
      <c r="J24" s="75">
        <v>46035</v>
      </c>
      <c r="K24" s="74" t="s">
        <v>27</v>
      </c>
    </row>
    <row r="25" ht="16.5" hidden="1" spans="1:11">
      <c r="A25" s="12">
        <v>23</v>
      </c>
      <c r="B25" s="12" t="s">
        <v>23</v>
      </c>
      <c r="C25" s="12" t="s">
        <v>38</v>
      </c>
      <c r="D25" s="12" t="s">
        <v>220</v>
      </c>
      <c r="E25" s="12" t="s">
        <v>614</v>
      </c>
      <c r="F25" s="74" t="s">
        <v>954</v>
      </c>
      <c r="G25" s="12" t="s">
        <v>955</v>
      </c>
      <c r="H25" s="12" t="s">
        <v>921</v>
      </c>
      <c r="I25" s="74" t="s">
        <v>907</v>
      </c>
      <c r="J25" s="75">
        <v>46035</v>
      </c>
      <c r="K25" s="74" t="s">
        <v>27</v>
      </c>
    </row>
    <row r="26" ht="16.5" hidden="1" spans="1:11">
      <c r="A26" s="12">
        <v>24</v>
      </c>
      <c r="B26" s="12" t="s">
        <v>23</v>
      </c>
      <c r="C26" s="12" t="s">
        <v>38</v>
      </c>
      <c r="D26" s="12" t="s">
        <v>148</v>
      </c>
      <c r="E26" s="12" t="s">
        <v>531</v>
      </c>
      <c r="F26" s="74" t="s">
        <v>956</v>
      </c>
      <c r="G26" s="12" t="s">
        <v>957</v>
      </c>
      <c r="H26" s="12" t="s">
        <v>909</v>
      </c>
      <c r="I26" s="74" t="s">
        <v>915</v>
      </c>
      <c r="J26" s="75">
        <v>46035</v>
      </c>
      <c r="K26" s="74" t="s">
        <v>27</v>
      </c>
    </row>
    <row r="27" ht="16.5" hidden="1" spans="1:11">
      <c r="A27" s="12">
        <v>25</v>
      </c>
      <c r="B27" s="12" t="s">
        <v>23</v>
      </c>
      <c r="C27" s="12" t="s">
        <v>38</v>
      </c>
      <c r="D27" s="12" t="s">
        <v>148</v>
      </c>
      <c r="E27" s="12" t="s">
        <v>531</v>
      </c>
      <c r="F27" s="74" t="s">
        <v>958</v>
      </c>
      <c r="G27" s="12" t="s">
        <v>959</v>
      </c>
      <c r="H27" s="12" t="s">
        <v>909</v>
      </c>
      <c r="I27" s="74" t="s">
        <v>915</v>
      </c>
      <c r="J27" s="75">
        <v>46035</v>
      </c>
      <c r="K27" s="74" t="s">
        <v>27</v>
      </c>
    </row>
    <row r="28" ht="16.5" hidden="1" spans="1:11">
      <c r="A28" s="12">
        <v>26</v>
      </c>
      <c r="B28" s="12" t="s">
        <v>23</v>
      </c>
      <c r="C28" s="12" t="s">
        <v>38</v>
      </c>
      <c r="D28" s="12" t="s">
        <v>168</v>
      </c>
      <c r="E28" s="12" t="s">
        <v>396</v>
      </c>
      <c r="F28" s="74" t="s">
        <v>960</v>
      </c>
      <c r="G28" s="12" t="s">
        <v>961</v>
      </c>
      <c r="H28" s="12" t="s">
        <v>909</v>
      </c>
      <c r="I28" s="74" t="s">
        <v>915</v>
      </c>
      <c r="J28" s="75">
        <v>46035</v>
      </c>
      <c r="K28" s="74" t="s">
        <v>27</v>
      </c>
    </row>
    <row r="29" ht="16.5" hidden="1" spans="1:11">
      <c r="A29" s="12">
        <v>27</v>
      </c>
      <c r="B29" s="12" t="s">
        <v>23</v>
      </c>
      <c r="C29" s="12" t="s">
        <v>38</v>
      </c>
      <c r="D29" s="12" t="s">
        <v>70</v>
      </c>
      <c r="E29" s="12" t="s">
        <v>368</v>
      </c>
      <c r="F29" s="74" t="s">
        <v>962</v>
      </c>
      <c r="G29" s="12" t="s">
        <v>963</v>
      </c>
      <c r="H29" s="12" t="s">
        <v>921</v>
      </c>
      <c r="I29" s="74" t="s">
        <v>907</v>
      </c>
      <c r="J29" s="75">
        <v>46035</v>
      </c>
      <c r="K29" s="74" t="s">
        <v>27</v>
      </c>
    </row>
    <row r="30" ht="16.5" hidden="1" spans="1:11">
      <c r="A30" s="12">
        <v>28</v>
      </c>
      <c r="B30" s="12" t="s">
        <v>23</v>
      </c>
      <c r="C30" s="12" t="s">
        <v>38</v>
      </c>
      <c r="D30" s="12" t="s">
        <v>75</v>
      </c>
      <c r="E30" s="12" t="s">
        <v>512</v>
      </c>
      <c r="F30" s="74" t="s">
        <v>964</v>
      </c>
      <c r="G30" s="12" t="s">
        <v>965</v>
      </c>
      <c r="H30" s="12" t="s">
        <v>909</v>
      </c>
      <c r="I30" s="74" t="s">
        <v>907</v>
      </c>
      <c r="J30" s="75">
        <v>46035</v>
      </c>
      <c r="K30" s="74" t="s">
        <v>27</v>
      </c>
    </row>
    <row r="31" ht="16.5" hidden="1" spans="1:11">
      <c r="A31" s="12">
        <v>29</v>
      </c>
      <c r="B31" s="12" t="s">
        <v>23</v>
      </c>
      <c r="C31" s="12" t="s">
        <v>38</v>
      </c>
      <c r="D31" s="12" t="s">
        <v>63</v>
      </c>
      <c r="E31" s="12" t="s">
        <v>494</v>
      </c>
      <c r="F31" s="74" t="s">
        <v>966</v>
      </c>
      <c r="G31" s="12" t="s">
        <v>967</v>
      </c>
      <c r="H31" s="12" t="s">
        <v>921</v>
      </c>
      <c r="I31" s="74" t="s">
        <v>915</v>
      </c>
      <c r="J31" s="75">
        <v>46035</v>
      </c>
      <c r="K31" s="74" t="s">
        <v>27</v>
      </c>
    </row>
    <row r="32" ht="16.5" hidden="1" spans="1:11">
      <c r="A32" s="12">
        <v>30</v>
      </c>
      <c r="B32" s="12" t="s">
        <v>23</v>
      </c>
      <c r="C32" s="12" t="s">
        <v>38</v>
      </c>
      <c r="D32" s="12" t="s">
        <v>63</v>
      </c>
      <c r="E32" s="12" t="s">
        <v>494</v>
      </c>
      <c r="F32" s="74" t="s">
        <v>968</v>
      </c>
      <c r="G32" s="12" t="s">
        <v>969</v>
      </c>
      <c r="H32" s="12" t="s">
        <v>921</v>
      </c>
      <c r="I32" s="74" t="s">
        <v>915</v>
      </c>
      <c r="J32" s="75">
        <v>46035</v>
      </c>
      <c r="K32" s="74" t="s">
        <v>27</v>
      </c>
    </row>
    <row r="33" ht="16.5" hidden="1" spans="1:11">
      <c r="A33" s="12">
        <v>31</v>
      </c>
      <c r="B33" s="12" t="s">
        <v>23</v>
      </c>
      <c r="C33" s="12" t="s">
        <v>38</v>
      </c>
      <c r="D33" s="12" t="s">
        <v>148</v>
      </c>
      <c r="E33" s="12" t="s">
        <v>258</v>
      </c>
      <c r="F33" s="74" t="s">
        <v>970</v>
      </c>
      <c r="G33" s="12" t="s">
        <v>971</v>
      </c>
      <c r="H33" s="12" t="s">
        <v>909</v>
      </c>
      <c r="I33" s="74" t="s">
        <v>907</v>
      </c>
      <c r="J33" s="75">
        <v>46035</v>
      </c>
      <c r="K33" s="74" t="s">
        <v>27</v>
      </c>
    </row>
    <row r="34" ht="16.5" hidden="1" spans="1:11">
      <c r="A34" s="12">
        <v>32</v>
      </c>
      <c r="B34" s="12" t="s">
        <v>23</v>
      </c>
      <c r="C34" s="12" t="s">
        <v>38</v>
      </c>
      <c r="D34" s="12" t="s">
        <v>75</v>
      </c>
      <c r="E34" s="12" t="s">
        <v>74</v>
      </c>
      <c r="F34" s="74" t="s">
        <v>972</v>
      </c>
      <c r="G34" s="12" t="s">
        <v>973</v>
      </c>
      <c r="H34" s="12" t="s">
        <v>909</v>
      </c>
      <c r="I34" s="74" t="s">
        <v>907</v>
      </c>
      <c r="J34" s="75">
        <v>46035</v>
      </c>
      <c r="K34" s="74" t="s">
        <v>27</v>
      </c>
    </row>
    <row r="35" ht="16.5" hidden="1" spans="1:11">
      <c r="A35" s="12">
        <v>33</v>
      </c>
      <c r="B35" s="12" t="s">
        <v>23</v>
      </c>
      <c r="C35" s="12" t="s">
        <v>38</v>
      </c>
      <c r="D35" s="12" t="s">
        <v>75</v>
      </c>
      <c r="E35" s="12" t="s">
        <v>74</v>
      </c>
      <c r="F35" s="74" t="s">
        <v>974</v>
      </c>
      <c r="G35" s="12" t="s">
        <v>975</v>
      </c>
      <c r="H35" s="12" t="s">
        <v>921</v>
      </c>
      <c r="I35" s="74" t="s">
        <v>907</v>
      </c>
      <c r="J35" s="75">
        <v>46035</v>
      </c>
      <c r="K35" s="74" t="s">
        <v>27</v>
      </c>
    </row>
    <row r="36" ht="16.5" hidden="1" spans="1:11">
      <c r="A36" s="12">
        <v>34</v>
      </c>
      <c r="B36" s="12" t="s">
        <v>23</v>
      </c>
      <c r="C36" s="12" t="s">
        <v>29</v>
      </c>
      <c r="D36" s="12" t="s">
        <v>130</v>
      </c>
      <c r="E36" s="12" t="s">
        <v>380</v>
      </c>
      <c r="F36" s="74" t="s">
        <v>976</v>
      </c>
      <c r="G36" s="12" t="s">
        <v>977</v>
      </c>
      <c r="H36" s="12" t="s">
        <v>909</v>
      </c>
      <c r="I36" s="74" t="s">
        <v>915</v>
      </c>
      <c r="J36" s="75">
        <v>46035</v>
      </c>
      <c r="K36" s="74" t="s">
        <v>27</v>
      </c>
    </row>
    <row r="37" ht="16.5" hidden="1" spans="1:11">
      <c r="A37" s="12">
        <v>35</v>
      </c>
      <c r="B37" s="12" t="s">
        <v>23</v>
      </c>
      <c r="C37" s="12" t="s">
        <v>36</v>
      </c>
      <c r="D37" s="12" t="s">
        <v>173</v>
      </c>
      <c r="E37" s="12" t="s">
        <v>1583</v>
      </c>
      <c r="F37" s="74" t="s">
        <v>978</v>
      </c>
      <c r="G37" s="12" t="s">
        <v>979</v>
      </c>
      <c r="H37" s="12" t="s">
        <v>909</v>
      </c>
      <c r="I37" s="74" t="s">
        <v>915</v>
      </c>
      <c r="J37" s="75">
        <v>46035</v>
      </c>
      <c r="K37" s="74" t="s">
        <v>27</v>
      </c>
    </row>
    <row r="38" ht="16.5" hidden="1" spans="1:11">
      <c r="A38" s="12">
        <v>36</v>
      </c>
      <c r="B38" s="12" t="s">
        <v>23</v>
      </c>
      <c r="C38" s="12" t="s">
        <v>36</v>
      </c>
      <c r="D38" s="12" t="s">
        <v>173</v>
      </c>
      <c r="E38" s="12" t="s">
        <v>1583</v>
      </c>
      <c r="F38" s="74" t="s">
        <v>980</v>
      </c>
      <c r="G38" s="12" t="s">
        <v>981</v>
      </c>
      <c r="H38" s="12" t="s">
        <v>909</v>
      </c>
      <c r="I38" s="74" t="s">
        <v>915</v>
      </c>
      <c r="J38" s="75">
        <v>46035</v>
      </c>
      <c r="K38" s="74" t="s">
        <v>27</v>
      </c>
    </row>
    <row r="39" ht="16.5" hidden="1" spans="1:11">
      <c r="A39" s="12">
        <v>37</v>
      </c>
      <c r="B39" s="12" t="s">
        <v>23</v>
      </c>
      <c r="C39" s="12" t="s">
        <v>36</v>
      </c>
      <c r="D39" s="12" t="s">
        <v>173</v>
      </c>
      <c r="E39" s="12" t="s">
        <v>1583</v>
      </c>
      <c r="F39" s="74" t="s">
        <v>982</v>
      </c>
      <c r="G39" s="12" t="s">
        <v>983</v>
      </c>
      <c r="H39" s="12" t="s">
        <v>921</v>
      </c>
      <c r="I39" s="74" t="s">
        <v>915</v>
      </c>
      <c r="J39" s="75">
        <v>46035</v>
      </c>
      <c r="K39" s="74" t="s">
        <v>27</v>
      </c>
    </row>
    <row r="40" ht="16.5" hidden="1" spans="1:11">
      <c r="A40" s="12">
        <v>38</v>
      </c>
      <c r="B40" s="12" t="s">
        <v>23</v>
      </c>
      <c r="C40" s="12" t="s">
        <v>38</v>
      </c>
      <c r="D40" s="12" t="s">
        <v>75</v>
      </c>
      <c r="E40" s="12" t="s">
        <v>347</v>
      </c>
      <c r="F40" s="74" t="s">
        <v>984</v>
      </c>
      <c r="G40" s="12" t="s">
        <v>985</v>
      </c>
      <c r="H40" s="12" t="s">
        <v>909</v>
      </c>
      <c r="I40" s="74" t="s">
        <v>915</v>
      </c>
      <c r="J40" s="75">
        <v>46035</v>
      </c>
      <c r="K40" s="74" t="s">
        <v>27</v>
      </c>
    </row>
    <row r="41" ht="16.5" hidden="1" spans="1:11">
      <c r="A41" s="12">
        <v>39</v>
      </c>
      <c r="B41" s="12" t="s">
        <v>23</v>
      </c>
      <c r="C41" s="12" t="s">
        <v>35</v>
      </c>
      <c r="D41" s="12" t="s">
        <v>125</v>
      </c>
      <c r="E41" s="12" t="s">
        <v>1584</v>
      </c>
      <c r="F41" s="74" t="s">
        <v>986</v>
      </c>
      <c r="G41" s="12" t="s">
        <v>987</v>
      </c>
      <c r="H41" s="12" t="s">
        <v>909</v>
      </c>
      <c r="I41" s="74" t="s">
        <v>915</v>
      </c>
      <c r="J41" s="75">
        <v>46035</v>
      </c>
      <c r="K41" s="74" t="s">
        <v>27</v>
      </c>
    </row>
    <row r="42" ht="16.5" hidden="1" spans="1:11">
      <c r="A42" s="12">
        <v>40</v>
      </c>
      <c r="B42" s="12" t="s">
        <v>23</v>
      </c>
      <c r="C42" s="12" t="s">
        <v>38</v>
      </c>
      <c r="D42" s="12" t="s">
        <v>75</v>
      </c>
      <c r="E42" s="12" t="s">
        <v>437</v>
      </c>
      <c r="F42" s="74" t="s">
        <v>988</v>
      </c>
      <c r="G42" s="12" t="s">
        <v>989</v>
      </c>
      <c r="H42" s="12" t="s">
        <v>921</v>
      </c>
      <c r="I42" s="74" t="s">
        <v>915</v>
      </c>
      <c r="J42" s="75">
        <v>46035</v>
      </c>
      <c r="K42" s="74" t="s">
        <v>27</v>
      </c>
    </row>
    <row r="43" ht="16.5" hidden="1" spans="1:11">
      <c r="A43" s="12">
        <v>41</v>
      </c>
      <c r="B43" s="12" t="s">
        <v>23</v>
      </c>
      <c r="C43" s="12" t="s">
        <v>38</v>
      </c>
      <c r="D43" s="12" t="s">
        <v>168</v>
      </c>
      <c r="E43" s="12" t="s">
        <v>298</v>
      </c>
      <c r="F43" s="74" t="s">
        <v>990</v>
      </c>
      <c r="G43" s="12" t="s">
        <v>991</v>
      </c>
      <c r="H43" s="12" t="s">
        <v>921</v>
      </c>
      <c r="I43" s="74" t="s">
        <v>907</v>
      </c>
      <c r="J43" s="75">
        <v>46035</v>
      </c>
      <c r="K43" s="74" t="s">
        <v>27</v>
      </c>
    </row>
    <row r="44" ht="16.5" hidden="1" spans="1:11">
      <c r="A44" s="12">
        <v>42</v>
      </c>
      <c r="B44" s="12" t="s">
        <v>23</v>
      </c>
      <c r="C44" s="12" t="s">
        <v>38</v>
      </c>
      <c r="D44" s="12" t="s">
        <v>168</v>
      </c>
      <c r="E44" s="12" t="s">
        <v>298</v>
      </c>
      <c r="F44" s="74" t="s">
        <v>992</v>
      </c>
      <c r="G44" s="12" t="s">
        <v>993</v>
      </c>
      <c r="H44" s="12" t="s">
        <v>921</v>
      </c>
      <c r="I44" s="74" t="s">
        <v>907</v>
      </c>
      <c r="J44" s="75">
        <v>46035</v>
      </c>
      <c r="K44" s="74" t="s">
        <v>27</v>
      </c>
    </row>
    <row r="45" ht="16.5" hidden="1" spans="1:11">
      <c r="A45" s="12">
        <v>43</v>
      </c>
      <c r="B45" s="12" t="s">
        <v>23</v>
      </c>
      <c r="C45" s="12" t="s">
        <v>38</v>
      </c>
      <c r="D45" s="12" t="s">
        <v>70</v>
      </c>
      <c r="E45" s="12" t="s">
        <v>336</v>
      </c>
      <c r="F45" s="74" t="s">
        <v>994</v>
      </c>
      <c r="G45" s="12" t="s">
        <v>995</v>
      </c>
      <c r="H45" s="12" t="s">
        <v>921</v>
      </c>
      <c r="I45" s="74" t="s">
        <v>907</v>
      </c>
      <c r="J45" s="75">
        <v>46035</v>
      </c>
      <c r="K45" s="74" t="s">
        <v>27</v>
      </c>
    </row>
    <row r="46" ht="16.5" hidden="1" spans="1:11">
      <c r="A46" s="12">
        <v>44</v>
      </c>
      <c r="B46" s="12" t="s">
        <v>23</v>
      </c>
      <c r="C46" s="12" t="s">
        <v>38</v>
      </c>
      <c r="D46" s="12" t="s">
        <v>70</v>
      </c>
      <c r="E46" s="12" t="s">
        <v>336</v>
      </c>
      <c r="F46" s="74" t="s">
        <v>996</v>
      </c>
      <c r="G46" s="12" t="s">
        <v>997</v>
      </c>
      <c r="H46" s="12" t="s">
        <v>921</v>
      </c>
      <c r="I46" s="74" t="s">
        <v>907</v>
      </c>
      <c r="J46" s="75">
        <v>46035</v>
      </c>
      <c r="K46" s="74" t="s">
        <v>27</v>
      </c>
    </row>
    <row r="47" ht="16.5" hidden="1" spans="1:11">
      <c r="A47" s="12">
        <v>45</v>
      </c>
      <c r="B47" s="12" t="s">
        <v>23</v>
      </c>
      <c r="C47" s="12" t="s">
        <v>38</v>
      </c>
      <c r="D47" s="12" t="s">
        <v>220</v>
      </c>
      <c r="E47" s="12" t="s">
        <v>219</v>
      </c>
      <c r="F47" s="74" t="s">
        <v>998</v>
      </c>
      <c r="G47" s="12" t="s">
        <v>999</v>
      </c>
      <c r="H47" s="12" t="s">
        <v>909</v>
      </c>
      <c r="I47" s="74" t="s">
        <v>907</v>
      </c>
      <c r="J47" s="75">
        <v>46035</v>
      </c>
      <c r="K47" s="74" t="s">
        <v>27</v>
      </c>
    </row>
    <row r="48" ht="16.5" hidden="1" spans="1:11">
      <c r="A48" s="12">
        <v>46</v>
      </c>
      <c r="B48" s="12" t="s">
        <v>23</v>
      </c>
      <c r="C48" s="12" t="s">
        <v>26</v>
      </c>
      <c r="D48" s="12" t="s">
        <v>121</v>
      </c>
      <c r="E48" s="12" t="s">
        <v>1585</v>
      </c>
      <c r="F48" s="74" t="s">
        <v>1000</v>
      </c>
      <c r="G48" s="12" t="s">
        <v>1001</v>
      </c>
      <c r="H48" s="12" t="s">
        <v>909</v>
      </c>
      <c r="I48" s="74" t="s">
        <v>915</v>
      </c>
      <c r="J48" s="75">
        <v>46035</v>
      </c>
      <c r="K48" s="74" t="s">
        <v>27</v>
      </c>
    </row>
    <row r="49" ht="16.5" hidden="1" spans="1:11">
      <c r="A49" s="12">
        <v>47</v>
      </c>
      <c r="B49" s="12" t="s">
        <v>23</v>
      </c>
      <c r="C49" s="12" t="s">
        <v>26</v>
      </c>
      <c r="D49" s="12" t="s">
        <v>121</v>
      </c>
      <c r="E49" s="12" t="s">
        <v>1585</v>
      </c>
      <c r="F49" s="74" t="s">
        <v>1002</v>
      </c>
      <c r="G49" s="12" t="s">
        <v>1003</v>
      </c>
      <c r="H49" s="12" t="s">
        <v>909</v>
      </c>
      <c r="I49" s="74" t="s">
        <v>915</v>
      </c>
      <c r="J49" s="75">
        <v>46035</v>
      </c>
      <c r="K49" s="74" t="s">
        <v>27</v>
      </c>
    </row>
    <row r="50" ht="16.5" hidden="1" spans="1:11">
      <c r="A50" s="12">
        <v>48</v>
      </c>
      <c r="B50" s="12" t="s">
        <v>23</v>
      </c>
      <c r="C50" s="12" t="s">
        <v>38</v>
      </c>
      <c r="D50" s="12" t="s">
        <v>70</v>
      </c>
      <c r="E50" s="12" t="s">
        <v>413</v>
      </c>
      <c r="F50" s="74" t="s">
        <v>1004</v>
      </c>
      <c r="G50" s="12" t="s">
        <v>1005</v>
      </c>
      <c r="H50" s="12" t="s">
        <v>909</v>
      </c>
      <c r="I50" s="74" t="s">
        <v>915</v>
      </c>
      <c r="J50" s="75">
        <v>46035</v>
      </c>
      <c r="K50" s="74" t="s">
        <v>27</v>
      </c>
    </row>
    <row r="51" ht="16.5" hidden="1" spans="1:11">
      <c r="A51" s="12">
        <v>49</v>
      </c>
      <c r="B51" s="12" t="s">
        <v>23</v>
      </c>
      <c r="C51" s="12" t="s">
        <v>31</v>
      </c>
      <c r="D51" s="12" t="s">
        <v>79</v>
      </c>
      <c r="E51" s="12" t="s">
        <v>1586</v>
      </c>
      <c r="F51" s="74" t="s">
        <v>1006</v>
      </c>
      <c r="G51" s="12" t="s">
        <v>1007</v>
      </c>
      <c r="H51" s="12" t="s">
        <v>909</v>
      </c>
      <c r="I51" s="74" t="s">
        <v>907</v>
      </c>
      <c r="J51" s="75">
        <v>46035</v>
      </c>
      <c r="K51" s="74" t="s">
        <v>27</v>
      </c>
    </row>
    <row r="52" ht="16.5" hidden="1" spans="1:11">
      <c r="A52" s="12">
        <v>50</v>
      </c>
      <c r="B52" s="12" t="s">
        <v>23</v>
      </c>
      <c r="C52" s="12" t="s">
        <v>35</v>
      </c>
      <c r="D52" s="12" t="s">
        <v>125</v>
      </c>
      <c r="E52" s="12" t="s">
        <v>1587</v>
      </c>
      <c r="F52" s="74" t="s">
        <v>1008</v>
      </c>
      <c r="G52" s="12" t="s">
        <v>1009</v>
      </c>
      <c r="H52" s="12" t="s">
        <v>909</v>
      </c>
      <c r="I52" s="74" t="s">
        <v>915</v>
      </c>
      <c r="J52" s="75">
        <v>46035</v>
      </c>
      <c r="K52" s="74" t="s">
        <v>27</v>
      </c>
    </row>
    <row r="53" ht="16.5" hidden="1" spans="1:11">
      <c r="A53" s="12">
        <v>51</v>
      </c>
      <c r="B53" s="12" t="s">
        <v>23</v>
      </c>
      <c r="C53" s="12" t="s">
        <v>32</v>
      </c>
      <c r="D53" s="12" t="s">
        <v>105</v>
      </c>
      <c r="E53" s="12" t="s">
        <v>556</v>
      </c>
      <c r="F53" s="74" t="s">
        <v>1010</v>
      </c>
      <c r="G53" s="12" t="s">
        <v>1011</v>
      </c>
      <c r="H53" s="12" t="s">
        <v>909</v>
      </c>
      <c r="I53" s="74" t="s">
        <v>915</v>
      </c>
      <c r="J53" s="75">
        <v>46035</v>
      </c>
      <c r="K53" s="74" t="s">
        <v>27</v>
      </c>
    </row>
    <row r="54" ht="16.5" hidden="1" spans="1:11">
      <c r="A54" s="12">
        <v>52</v>
      </c>
      <c r="B54" s="12" t="s">
        <v>23</v>
      </c>
      <c r="C54" s="12" t="s">
        <v>35</v>
      </c>
      <c r="D54" s="12" t="s">
        <v>125</v>
      </c>
      <c r="E54" s="12" t="s">
        <v>1587</v>
      </c>
      <c r="F54" s="74" t="s">
        <v>1012</v>
      </c>
      <c r="G54" s="12" t="s">
        <v>1013</v>
      </c>
      <c r="H54" s="12" t="s">
        <v>909</v>
      </c>
      <c r="I54" s="74" t="s">
        <v>915</v>
      </c>
      <c r="J54" s="75">
        <v>46035</v>
      </c>
      <c r="K54" s="74" t="s">
        <v>27</v>
      </c>
    </row>
    <row r="55" ht="16.5" hidden="1" spans="1:11">
      <c r="A55" s="12">
        <v>53</v>
      </c>
      <c r="B55" s="12" t="s">
        <v>23</v>
      </c>
      <c r="C55" s="12" t="s">
        <v>35</v>
      </c>
      <c r="D55" s="12" t="s">
        <v>125</v>
      </c>
      <c r="E55" s="12" t="s">
        <v>1587</v>
      </c>
      <c r="F55" s="74" t="s">
        <v>1014</v>
      </c>
      <c r="G55" s="12" t="s">
        <v>1015</v>
      </c>
      <c r="H55" s="12" t="s">
        <v>909</v>
      </c>
      <c r="I55" s="74" t="s">
        <v>915</v>
      </c>
      <c r="J55" s="75">
        <v>46035</v>
      </c>
      <c r="K55" s="74" t="s">
        <v>27</v>
      </c>
    </row>
    <row r="56" ht="16.5" hidden="1" spans="1:11">
      <c r="A56" s="12">
        <v>54</v>
      </c>
      <c r="B56" s="12" t="s">
        <v>23</v>
      </c>
      <c r="C56" s="12" t="s">
        <v>38</v>
      </c>
      <c r="D56" s="12" t="s">
        <v>70</v>
      </c>
      <c r="E56" s="12" t="s">
        <v>205</v>
      </c>
      <c r="F56" s="74" t="s">
        <v>1016</v>
      </c>
      <c r="G56" s="12" t="s">
        <v>1017</v>
      </c>
      <c r="H56" s="12" t="s">
        <v>921</v>
      </c>
      <c r="I56" s="74" t="s">
        <v>907</v>
      </c>
      <c r="J56" s="75">
        <v>46035</v>
      </c>
      <c r="K56" s="74" t="s">
        <v>27</v>
      </c>
    </row>
    <row r="57" ht="16.5" hidden="1" spans="1:11">
      <c r="A57" s="12">
        <v>55</v>
      </c>
      <c r="B57" s="12" t="s">
        <v>23</v>
      </c>
      <c r="C57" s="12" t="s">
        <v>35</v>
      </c>
      <c r="D57" s="12" t="s">
        <v>125</v>
      </c>
      <c r="E57" s="12" t="s">
        <v>1588</v>
      </c>
      <c r="F57" s="74" t="s">
        <v>1018</v>
      </c>
      <c r="G57" s="12" t="s">
        <v>1019</v>
      </c>
      <c r="H57" s="12" t="s">
        <v>909</v>
      </c>
      <c r="I57" s="74" t="s">
        <v>915</v>
      </c>
      <c r="J57" s="75">
        <v>46035</v>
      </c>
      <c r="K57" s="74" t="s">
        <v>27</v>
      </c>
    </row>
    <row r="58" ht="16.5" hidden="1" spans="1:11">
      <c r="A58" s="12">
        <v>56</v>
      </c>
      <c r="B58" s="12" t="s">
        <v>23</v>
      </c>
      <c r="C58" s="12" t="s">
        <v>38</v>
      </c>
      <c r="D58" s="12" t="s">
        <v>148</v>
      </c>
      <c r="E58" s="12" t="s">
        <v>278</v>
      </c>
      <c r="F58" s="74" t="s">
        <v>1020</v>
      </c>
      <c r="G58" s="12" t="s">
        <v>1021</v>
      </c>
      <c r="H58" s="12" t="s">
        <v>909</v>
      </c>
      <c r="I58" s="74" t="s">
        <v>907</v>
      </c>
      <c r="J58" s="75">
        <v>46035</v>
      </c>
      <c r="K58" s="74" t="s">
        <v>27</v>
      </c>
    </row>
    <row r="59" ht="16.5" hidden="1" spans="1:11">
      <c r="A59" s="12">
        <v>57</v>
      </c>
      <c r="B59" s="12" t="s">
        <v>23</v>
      </c>
      <c r="C59" s="12" t="s">
        <v>38</v>
      </c>
      <c r="D59" s="12" t="s">
        <v>168</v>
      </c>
      <c r="E59" s="12" t="s">
        <v>167</v>
      </c>
      <c r="F59" s="74" t="s">
        <v>1022</v>
      </c>
      <c r="G59" s="12" t="s">
        <v>1023</v>
      </c>
      <c r="H59" s="12" t="s">
        <v>909</v>
      </c>
      <c r="I59" s="74" t="s">
        <v>907</v>
      </c>
      <c r="J59" s="75">
        <v>46035</v>
      </c>
      <c r="K59" s="74" t="s">
        <v>27</v>
      </c>
    </row>
    <row r="60" ht="16.5" hidden="1" spans="1:11">
      <c r="A60" s="12">
        <v>58</v>
      </c>
      <c r="B60" s="12" t="s">
        <v>23</v>
      </c>
      <c r="C60" s="12" t="s">
        <v>38</v>
      </c>
      <c r="D60" s="12" t="s">
        <v>63</v>
      </c>
      <c r="E60" s="12" t="s">
        <v>602</v>
      </c>
      <c r="F60" s="74" t="s">
        <v>1024</v>
      </c>
      <c r="G60" s="12" t="s">
        <v>1025</v>
      </c>
      <c r="H60" s="12" t="s">
        <v>909</v>
      </c>
      <c r="I60" s="74" t="s">
        <v>907</v>
      </c>
      <c r="J60" s="75">
        <v>46035</v>
      </c>
      <c r="K60" s="74" t="s">
        <v>27</v>
      </c>
    </row>
    <row r="61" ht="16.5" hidden="1" spans="1:11">
      <c r="A61" s="12">
        <v>59</v>
      </c>
      <c r="B61" s="12" t="s">
        <v>23</v>
      </c>
      <c r="C61" s="12" t="s">
        <v>38</v>
      </c>
      <c r="D61" s="12" t="s">
        <v>63</v>
      </c>
      <c r="E61" s="12" t="s">
        <v>602</v>
      </c>
      <c r="F61" s="74" t="s">
        <v>1026</v>
      </c>
      <c r="G61" s="12" t="s">
        <v>1027</v>
      </c>
      <c r="H61" s="12" t="s">
        <v>909</v>
      </c>
      <c r="I61" s="74" t="s">
        <v>907</v>
      </c>
      <c r="J61" s="75">
        <v>46035</v>
      </c>
      <c r="K61" s="74" t="s">
        <v>27</v>
      </c>
    </row>
    <row r="62" ht="16.5" hidden="1" spans="1:11">
      <c r="A62" s="12">
        <v>60</v>
      </c>
      <c r="B62" s="12" t="s">
        <v>23</v>
      </c>
      <c r="C62" s="12" t="s">
        <v>37</v>
      </c>
      <c r="D62" s="12" t="s">
        <v>109</v>
      </c>
      <c r="E62" s="12" t="s">
        <v>451</v>
      </c>
      <c r="F62" s="74" t="s">
        <v>1028</v>
      </c>
      <c r="G62" s="12" t="s">
        <v>1029</v>
      </c>
      <c r="H62" s="12" t="s">
        <v>909</v>
      </c>
      <c r="I62" s="74" t="s">
        <v>915</v>
      </c>
      <c r="J62" s="75">
        <v>46035</v>
      </c>
      <c r="K62" s="74" t="s">
        <v>27</v>
      </c>
    </row>
    <row r="63" ht="16.5" hidden="1" spans="1:11">
      <c r="A63" s="12">
        <v>61</v>
      </c>
      <c r="B63" s="12" t="s">
        <v>23</v>
      </c>
      <c r="C63" s="12" t="s">
        <v>31</v>
      </c>
      <c r="D63" s="12" t="s">
        <v>79</v>
      </c>
      <c r="E63" s="12" t="s">
        <v>388</v>
      </c>
      <c r="F63" s="74" t="s">
        <v>1030</v>
      </c>
      <c r="G63" s="12" t="s">
        <v>1031</v>
      </c>
      <c r="H63" s="12" t="s">
        <v>909</v>
      </c>
      <c r="I63" s="74" t="s">
        <v>907</v>
      </c>
      <c r="J63" s="75">
        <v>46035</v>
      </c>
      <c r="K63" s="74" t="s">
        <v>27</v>
      </c>
    </row>
    <row r="64" ht="16.5" hidden="1" spans="1:11">
      <c r="A64" s="12">
        <v>62</v>
      </c>
      <c r="B64" s="12" t="s">
        <v>23</v>
      </c>
      <c r="C64" s="12" t="s">
        <v>38</v>
      </c>
      <c r="D64" s="12" t="s">
        <v>63</v>
      </c>
      <c r="E64" s="12" t="s">
        <v>602</v>
      </c>
      <c r="F64" s="74" t="s">
        <v>1032</v>
      </c>
      <c r="G64" s="12" t="s">
        <v>1033</v>
      </c>
      <c r="H64" s="12" t="s">
        <v>909</v>
      </c>
      <c r="I64" s="74" t="s">
        <v>907</v>
      </c>
      <c r="J64" s="75">
        <v>46035</v>
      </c>
      <c r="K64" s="74" t="s">
        <v>27</v>
      </c>
    </row>
    <row r="65" ht="16.5" hidden="1" spans="1:11">
      <c r="A65" s="12">
        <v>63</v>
      </c>
      <c r="B65" s="12" t="s">
        <v>23</v>
      </c>
      <c r="C65" s="12" t="s">
        <v>38</v>
      </c>
      <c r="D65" s="12" t="s">
        <v>63</v>
      </c>
      <c r="E65" s="12" t="s">
        <v>602</v>
      </c>
      <c r="F65" s="74" t="s">
        <v>1034</v>
      </c>
      <c r="G65" s="12" t="s">
        <v>1035</v>
      </c>
      <c r="H65" s="12" t="s">
        <v>921</v>
      </c>
      <c r="I65" s="74" t="s">
        <v>907</v>
      </c>
      <c r="J65" s="75">
        <v>46035</v>
      </c>
      <c r="K65" s="74" t="s">
        <v>27</v>
      </c>
    </row>
    <row r="66" ht="16.5" hidden="1" spans="1:11">
      <c r="A66" s="12">
        <v>64</v>
      </c>
      <c r="B66" s="12" t="s">
        <v>23</v>
      </c>
      <c r="C66" s="12" t="s">
        <v>38</v>
      </c>
      <c r="D66" s="12" t="s">
        <v>70</v>
      </c>
      <c r="E66" s="12" t="s">
        <v>628</v>
      </c>
      <c r="F66" s="74" t="s">
        <v>1036</v>
      </c>
      <c r="G66" s="12" t="s">
        <v>1037</v>
      </c>
      <c r="H66" s="12" t="s">
        <v>909</v>
      </c>
      <c r="I66" s="74" t="s">
        <v>907</v>
      </c>
      <c r="J66" s="75">
        <v>46035</v>
      </c>
      <c r="K66" s="74" t="s">
        <v>27</v>
      </c>
    </row>
    <row r="67" ht="16.5" hidden="1" spans="1:11">
      <c r="A67" s="12">
        <v>65</v>
      </c>
      <c r="B67" s="12" t="s">
        <v>23</v>
      </c>
      <c r="C67" s="12" t="s">
        <v>35</v>
      </c>
      <c r="D67" s="12" t="s">
        <v>125</v>
      </c>
      <c r="E67" s="12" t="s">
        <v>1588</v>
      </c>
      <c r="F67" s="74" t="s">
        <v>1038</v>
      </c>
      <c r="G67" s="12" t="s">
        <v>1039</v>
      </c>
      <c r="H67" s="12" t="s">
        <v>921</v>
      </c>
      <c r="I67" s="74" t="s">
        <v>915</v>
      </c>
      <c r="J67" s="75">
        <v>46035</v>
      </c>
      <c r="K67" s="74" t="s">
        <v>27</v>
      </c>
    </row>
    <row r="68" ht="16.5" hidden="1" spans="1:11">
      <c r="A68" s="12">
        <v>66</v>
      </c>
      <c r="B68" s="12" t="s">
        <v>23</v>
      </c>
      <c r="C68" s="12" t="s">
        <v>38</v>
      </c>
      <c r="D68" s="12" t="s">
        <v>168</v>
      </c>
      <c r="E68" s="12" t="s">
        <v>62</v>
      </c>
      <c r="F68" s="74" t="s">
        <v>1040</v>
      </c>
      <c r="G68" s="12" t="s">
        <v>1041</v>
      </c>
      <c r="H68" s="12" t="s">
        <v>909</v>
      </c>
      <c r="I68" s="74" t="s">
        <v>907</v>
      </c>
      <c r="J68" s="75">
        <v>46035</v>
      </c>
      <c r="K68" s="74" t="s">
        <v>27</v>
      </c>
    </row>
    <row r="69" ht="16.5" hidden="1" spans="1:11">
      <c r="A69" s="12">
        <v>67</v>
      </c>
      <c r="B69" s="12" t="s">
        <v>23</v>
      </c>
      <c r="C69" s="12" t="s">
        <v>38</v>
      </c>
      <c r="D69" s="12" t="s">
        <v>168</v>
      </c>
      <c r="E69" s="12" t="s">
        <v>62</v>
      </c>
      <c r="F69" s="74" t="s">
        <v>1042</v>
      </c>
      <c r="G69" s="12" t="s">
        <v>1043</v>
      </c>
      <c r="H69" s="12" t="s">
        <v>909</v>
      </c>
      <c r="I69" s="74" t="s">
        <v>907</v>
      </c>
      <c r="J69" s="75">
        <v>46035</v>
      </c>
      <c r="K69" s="74" t="s">
        <v>27</v>
      </c>
    </row>
    <row r="70" ht="16.5" hidden="1" spans="1:11">
      <c r="A70" s="12">
        <v>68</v>
      </c>
      <c r="B70" s="12" t="s">
        <v>23</v>
      </c>
      <c r="C70" s="12" t="s">
        <v>38</v>
      </c>
      <c r="D70" s="12" t="s">
        <v>148</v>
      </c>
      <c r="E70" s="12" t="s">
        <v>340</v>
      </c>
      <c r="F70" s="74" t="s">
        <v>1044</v>
      </c>
      <c r="G70" s="12" t="s">
        <v>1045</v>
      </c>
      <c r="H70" s="12" t="s">
        <v>909</v>
      </c>
      <c r="I70" s="74" t="s">
        <v>907</v>
      </c>
      <c r="J70" s="75">
        <v>46035</v>
      </c>
      <c r="K70" s="74" t="s">
        <v>27</v>
      </c>
    </row>
    <row r="71" ht="16.5" hidden="1" spans="1:11">
      <c r="A71" s="12">
        <v>69</v>
      </c>
      <c r="B71" s="12" t="s">
        <v>23</v>
      </c>
      <c r="C71" s="12" t="s">
        <v>38</v>
      </c>
      <c r="D71" s="12" t="s">
        <v>148</v>
      </c>
      <c r="E71" s="12" t="s">
        <v>340</v>
      </c>
      <c r="F71" s="74" t="s">
        <v>1046</v>
      </c>
      <c r="G71" s="12" t="s">
        <v>1047</v>
      </c>
      <c r="H71" s="12" t="s">
        <v>909</v>
      </c>
      <c r="I71" s="74" t="s">
        <v>907</v>
      </c>
      <c r="J71" s="75">
        <v>46035</v>
      </c>
      <c r="K71" s="74" t="s">
        <v>27</v>
      </c>
    </row>
    <row r="72" ht="16.5" hidden="1" spans="1:11">
      <c r="A72" s="12">
        <v>70</v>
      </c>
      <c r="B72" s="12" t="s">
        <v>23</v>
      </c>
      <c r="C72" s="12" t="s">
        <v>38</v>
      </c>
      <c r="D72" s="12" t="s">
        <v>63</v>
      </c>
      <c r="E72" s="12" t="s">
        <v>392</v>
      </c>
      <c r="F72" s="74" t="s">
        <v>1048</v>
      </c>
      <c r="G72" s="12" t="s">
        <v>1049</v>
      </c>
      <c r="H72" s="12" t="s">
        <v>909</v>
      </c>
      <c r="I72" s="74" t="s">
        <v>907</v>
      </c>
      <c r="J72" s="75">
        <v>46035</v>
      </c>
      <c r="K72" s="74" t="s">
        <v>27</v>
      </c>
    </row>
    <row r="73" ht="16.5" hidden="1" spans="1:11">
      <c r="A73" s="12">
        <v>71</v>
      </c>
      <c r="B73" s="12" t="s">
        <v>23</v>
      </c>
      <c r="C73" s="12" t="s">
        <v>32</v>
      </c>
      <c r="D73" s="12" t="s">
        <v>105</v>
      </c>
      <c r="E73" s="12" t="s">
        <v>104</v>
      </c>
      <c r="F73" s="74" t="s">
        <v>1050</v>
      </c>
      <c r="G73" s="12" t="s">
        <v>1051</v>
      </c>
      <c r="H73" s="12" t="s">
        <v>921</v>
      </c>
      <c r="I73" s="74" t="s">
        <v>915</v>
      </c>
      <c r="J73" s="75">
        <v>46035</v>
      </c>
      <c r="K73" s="74" t="s">
        <v>27</v>
      </c>
    </row>
    <row r="74" ht="16.5" hidden="1" spans="1:11">
      <c r="A74" s="12">
        <v>72</v>
      </c>
      <c r="B74" s="12" t="s">
        <v>23</v>
      </c>
      <c r="C74" s="12" t="s">
        <v>38</v>
      </c>
      <c r="D74" s="12" t="s">
        <v>63</v>
      </c>
      <c r="E74" s="12" t="s">
        <v>392</v>
      </c>
      <c r="F74" s="74" t="s">
        <v>1052</v>
      </c>
      <c r="G74" s="12" t="s">
        <v>1053</v>
      </c>
      <c r="H74" s="12" t="s">
        <v>909</v>
      </c>
      <c r="I74" s="74" t="s">
        <v>907</v>
      </c>
      <c r="J74" s="75">
        <v>46035</v>
      </c>
      <c r="K74" s="74" t="s">
        <v>27</v>
      </c>
    </row>
    <row r="75" ht="16.5" hidden="1" spans="1:11">
      <c r="A75" s="12">
        <v>73</v>
      </c>
      <c r="B75" s="12" t="s">
        <v>23</v>
      </c>
      <c r="C75" s="12" t="s">
        <v>29</v>
      </c>
      <c r="D75" s="12" t="s">
        <v>130</v>
      </c>
      <c r="E75" s="12" t="s">
        <v>469</v>
      </c>
      <c r="F75" s="74" t="s">
        <v>1054</v>
      </c>
      <c r="G75" s="12" t="s">
        <v>1055</v>
      </c>
      <c r="H75" s="12" t="s">
        <v>909</v>
      </c>
      <c r="I75" s="74" t="s">
        <v>915</v>
      </c>
      <c r="J75" s="75">
        <v>46035</v>
      </c>
      <c r="K75" s="74" t="s">
        <v>27</v>
      </c>
    </row>
    <row r="76" ht="16.5" hidden="1" spans="1:11">
      <c r="A76" s="12">
        <v>74</v>
      </c>
      <c r="B76" s="12" t="s">
        <v>23</v>
      </c>
      <c r="C76" s="12" t="s">
        <v>37</v>
      </c>
      <c r="D76" s="12" t="s">
        <v>152</v>
      </c>
      <c r="E76" s="12" t="s">
        <v>151</v>
      </c>
      <c r="F76" s="74" t="s">
        <v>1056</v>
      </c>
      <c r="G76" s="12" t="s">
        <v>1057</v>
      </c>
      <c r="H76" s="12" t="s">
        <v>921</v>
      </c>
      <c r="I76" s="74" t="s">
        <v>915</v>
      </c>
      <c r="J76" s="75">
        <v>46035</v>
      </c>
      <c r="K76" s="74" t="s">
        <v>27</v>
      </c>
    </row>
    <row r="77" ht="16.5" hidden="1" spans="1:11">
      <c r="A77" s="12">
        <v>75</v>
      </c>
      <c r="B77" s="12" t="s">
        <v>23</v>
      </c>
      <c r="C77" s="12" t="s">
        <v>38</v>
      </c>
      <c r="D77" s="12" t="s">
        <v>75</v>
      </c>
      <c r="E77" s="12" t="s">
        <v>200</v>
      </c>
      <c r="F77" s="74" t="s">
        <v>1058</v>
      </c>
      <c r="G77" s="12" t="s">
        <v>1059</v>
      </c>
      <c r="H77" s="12" t="s">
        <v>909</v>
      </c>
      <c r="I77" s="74" t="s">
        <v>907</v>
      </c>
      <c r="J77" s="75">
        <v>46035</v>
      </c>
      <c r="K77" s="74" t="s">
        <v>27</v>
      </c>
    </row>
    <row r="78" ht="16.5" hidden="1" spans="1:11">
      <c r="A78" s="12">
        <v>76</v>
      </c>
      <c r="B78" s="12" t="s">
        <v>23</v>
      </c>
      <c r="C78" s="12" t="s">
        <v>38</v>
      </c>
      <c r="D78" s="12" t="s">
        <v>168</v>
      </c>
      <c r="E78" s="12" t="s">
        <v>500</v>
      </c>
      <c r="F78" s="74" t="s">
        <v>1060</v>
      </c>
      <c r="G78" s="12" t="s">
        <v>1061</v>
      </c>
      <c r="H78" s="12" t="s">
        <v>909</v>
      </c>
      <c r="I78" s="74" t="s">
        <v>915</v>
      </c>
      <c r="J78" s="75">
        <v>46035</v>
      </c>
      <c r="K78" s="74" t="s">
        <v>27</v>
      </c>
    </row>
    <row r="79" ht="16.5" hidden="1" spans="1:11">
      <c r="A79" s="12">
        <v>77</v>
      </c>
      <c r="B79" s="12" t="s">
        <v>23</v>
      </c>
      <c r="C79" s="12" t="s">
        <v>38</v>
      </c>
      <c r="D79" s="12" t="s">
        <v>70</v>
      </c>
      <c r="E79" s="12" t="s">
        <v>247</v>
      </c>
      <c r="F79" s="74" t="s">
        <v>1062</v>
      </c>
      <c r="G79" s="12" t="s">
        <v>1063</v>
      </c>
      <c r="H79" s="12" t="s">
        <v>909</v>
      </c>
      <c r="I79" s="74" t="s">
        <v>915</v>
      </c>
      <c r="J79" s="75">
        <v>46035</v>
      </c>
      <c r="K79" s="74" t="s">
        <v>27</v>
      </c>
    </row>
    <row r="80" ht="16.5" hidden="1" spans="1:11">
      <c r="A80" s="12">
        <v>78</v>
      </c>
      <c r="B80" s="12" t="s">
        <v>23</v>
      </c>
      <c r="C80" s="12" t="s">
        <v>38</v>
      </c>
      <c r="D80" s="12" t="s">
        <v>70</v>
      </c>
      <c r="E80" s="12" t="s">
        <v>247</v>
      </c>
      <c r="F80" s="74" t="s">
        <v>1064</v>
      </c>
      <c r="G80" s="12" t="s">
        <v>1065</v>
      </c>
      <c r="H80" s="12" t="s">
        <v>909</v>
      </c>
      <c r="I80" s="74" t="s">
        <v>907</v>
      </c>
      <c r="J80" s="75">
        <v>46035</v>
      </c>
      <c r="K80" s="74" t="s">
        <v>27</v>
      </c>
    </row>
    <row r="81" ht="16.5" hidden="1" spans="1:11">
      <c r="A81" s="12">
        <v>79</v>
      </c>
      <c r="B81" s="12" t="s">
        <v>23</v>
      </c>
      <c r="C81" s="12" t="s">
        <v>38</v>
      </c>
      <c r="D81" s="12" t="s">
        <v>70</v>
      </c>
      <c r="E81" s="12" t="s">
        <v>247</v>
      </c>
      <c r="F81" s="74" t="s">
        <v>1066</v>
      </c>
      <c r="G81" s="12" t="s">
        <v>1067</v>
      </c>
      <c r="H81" s="12" t="s">
        <v>909</v>
      </c>
      <c r="I81" s="74" t="s">
        <v>915</v>
      </c>
      <c r="J81" s="75">
        <v>46035</v>
      </c>
      <c r="K81" s="74" t="s">
        <v>27</v>
      </c>
    </row>
    <row r="82" ht="16.5" hidden="1" spans="1:11">
      <c r="A82" s="12">
        <v>80</v>
      </c>
      <c r="B82" s="12" t="s">
        <v>23</v>
      </c>
      <c r="C82" s="12" t="s">
        <v>31</v>
      </c>
      <c r="D82" s="12" t="s">
        <v>79</v>
      </c>
      <c r="E82" s="12" t="s">
        <v>1586</v>
      </c>
      <c r="F82" s="74" t="s">
        <v>1068</v>
      </c>
      <c r="G82" s="12" t="s">
        <v>1069</v>
      </c>
      <c r="H82" s="12" t="s">
        <v>921</v>
      </c>
      <c r="I82" s="74" t="s">
        <v>907</v>
      </c>
      <c r="J82" s="75">
        <v>46035</v>
      </c>
      <c r="K82" s="74" t="s">
        <v>27</v>
      </c>
    </row>
    <row r="83" ht="16.5" hidden="1" spans="1:11">
      <c r="A83" s="12">
        <v>81</v>
      </c>
      <c r="B83" s="12" t="s">
        <v>23</v>
      </c>
      <c r="C83" s="12" t="s">
        <v>38</v>
      </c>
      <c r="D83" s="12" t="s">
        <v>220</v>
      </c>
      <c r="E83" s="12" t="s">
        <v>441</v>
      </c>
      <c r="F83" s="74" t="s">
        <v>1070</v>
      </c>
      <c r="G83" s="12" t="s">
        <v>1071</v>
      </c>
      <c r="H83" s="12" t="s">
        <v>909</v>
      </c>
      <c r="I83" s="74" t="s">
        <v>915</v>
      </c>
      <c r="J83" s="75">
        <v>46035</v>
      </c>
      <c r="K83" s="74" t="s">
        <v>27</v>
      </c>
    </row>
    <row r="84" ht="16.5" hidden="1" spans="1:11">
      <c r="A84" s="12">
        <v>82</v>
      </c>
      <c r="B84" s="12" t="s">
        <v>23</v>
      </c>
      <c r="C84" s="12" t="s">
        <v>38</v>
      </c>
      <c r="D84" s="12" t="s">
        <v>220</v>
      </c>
      <c r="E84" s="12" t="s">
        <v>441</v>
      </c>
      <c r="F84" s="74" t="s">
        <v>1072</v>
      </c>
      <c r="G84" s="12" t="s">
        <v>1073</v>
      </c>
      <c r="H84" s="12" t="s">
        <v>921</v>
      </c>
      <c r="I84" s="74" t="s">
        <v>915</v>
      </c>
      <c r="J84" s="75">
        <v>46035</v>
      </c>
      <c r="K84" s="74" t="s">
        <v>27</v>
      </c>
    </row>
    <row r="85" ht="16.5" hidden="1" spans="1:11">
      <c r="A85" s="12">
        <v>83</v>
      </c>
      <c r="B85" s="12" t="s">
        <v>23</v>
      </c>
      <c r="C85" s="12" t="s">
        <v>38</v>
      </c>
      <c r="D85" s="12" t="s">
        <v>220</v>
      </c>
      <c r="E85" s="12" t="s">
        <v>441</v>
      </c>
      <c r="F85" s="74" t="s">
        <v>1074</v>
      </c>
      <c r="G85" s="12" t="s">
        <v>1075</v>
      </c>
      <c r="H85" s="12" t="s">
        <v>921</v>
      </c>
      <c r="I85" s="74" t="s">
        <v>915</v>
      </c>
      <c r="J85" s="75">
        <v>46035</v>
      </c>
      <c r="K85" s="74" t="s">
        <v>27</v>
      </c>
    </row>
    <row r="86" ht="16.5" hidden="1" spans="1:11">
      <c r="A86" s="12">
        <v>84</v>
      </c>
      <c r="B86" s="12" t="s">
        <v>23</v>
      </c>
      <c r="C86" s="12" t="s">
        <v>33</v>
      </c>
      <c r="D86" s="12" t="s">
        <v>537</v>
      </c>
      <c r="E86" s="12" t="s">
        <v>1589</v>
      </c>
      <c r="F86" s="74" t="s">
        <v>1078</v>
      </c>
      <c r="G86" s="12" t="s">
        <v>1079</v>
      </c>
      <c r="H86" s="12" t="s">
        <v>921</v>
      </c>
      <c r="I86" s="74" t="s">
        <v>915</v>
      </c>
      <c r="J86" s="75">
        <v>46035</v>
      </c>
      <c r="K86" s="74" t="s">
        <v>27</v>
      </c>
    </row>
    <row r="87" ht="16.5" hidden="1" spans="1:11">
      <c r="A87" s="12">
        <v>85</v>
      </c>
      <c r="B87" s="12" t="s">
        <v>23</v>
      </c>
      <c r="C87" s="12" t="s">
        <v>36</v>
      </c>
      <c r="D87" s="12" t="s">
        <v>173</v>
      </c>
      <c r="E87" s="12" t="s">
        <v>309</v>
      </c>
      <c r="F87" s="74" t="s">
        <v>320</v>
      </c>
      <c r="G87" s="12" t="s">
        <v>1085</v>
      </c>
      <c r="H87" s="12" t="s">
        <v>1089</v>
      </c>
      <c r="I87" s="74" t="s">
        <v>915</v>
      </c>
      <c r="J87" s="75">
        <v>46031</v>
      </c>
      <c r="K87" s="74" t="s">
        <v>30</v>
      </c>
    </row>
    <row r="88" ht="16.5" hidden="1" spans="1:11">
      <c r="A88" s="12">
        <v>86</v>
      </c>
      <c r="B88" s="12" t="s">
        <v>23</v>
      </c>
      <c r="C88" s="12" t="s">
        <v>38</v>
      </c>
      <c r="D88" s="12" t="s">
        <v>148</v>
      </c>
      <c r="E88" s="12" t="s">
        <v>82</v>
      </c>
      <c r="F88" s="74" t="s">
        <v>531</v>
      </c>
      <c r="G88" s="12" t="s">
        <v>1087</v>
      </c>
      <c r="H88" s="12" t="s">
        <v>1089</v>
      </c>
      <c r="I88" s="74" t="s">
        <v>915</v>
      </c>
      <c r="J88" s="75">
        <v>46031</v>
      </c>
      <c r="K88" s="74" t="s">
        <v>30</v>
      </c>
    </row>
    <row r="89" ht="16.5" hidden="1" spans="1:11">
      <c r="A89" s="12">
        <v>87</v>
      </c>
      <c r="B89" s="12" t="s">
        <v>23</v>
      </c>
      <c r="C89" s="12" t="s">
        <v>35</v>
      </c>
      <c r="D89" s="12" t="s">
        <v>125</v>
      </c>
      <c r="E89" s="12" t="s">
        <v>605</v>
      </c>
      <c r="F89" s="74" t="s">
        <v>463</v>
      </c>
      <c r="G89" s="12" t="s">
        <v>1088</v>
      </c>
      <c r="H89" s="12" t="s">
        <v>1089</v>
      </c>
      <c r="I89" s="74" t="s">
        <v>915</v>
      </c>
      <c r="J89" s="75">
        <v>46031</v>
      </c>
      <c r="K89" s="74" t="s">
        <v>30</v>
      </c>
    </row>
    <row r="90" ht="16.5" hidden="1" spans="1:11">
      <c r="A90" s="12">
        <v>88</v>
      </c>
      <c r="B90" s="12" t="s">
        <v>23</v>
      </c>
      <c r="C90" s="12" t="s">
        <v>38</v>
      </c>
      <c r="D90" s="12" t="s">
        <v>148</v>
      </c>
      <c r="E90" s="12" t="s">
        <v>376</v>
      </c>
      <c r="F90" s="74" t="s">
        <v>227</v>
      </c>
      <c r="G90" s="12" t="s">
        <v>1091</v>
      </c>
      <c r="H90" s="12" t="s">
        <v>1089</v>
      </c>
      <c r="I90" s="74" t="s">
        <v>915</v>
      </c>
      <c r="J90" s="75">
        <v>46031</v>
      </c>
      <c r="K90" s="74" t="s">
        <v>30</v>
      </c>
    </row>
    <row r="91" ht="16.5" hidden="1" spans="1:11">
      <c r="A91" s="12">
        <v>89</v>
      </c>
      <c r="B91" s="12" t="s">
        <v>23</v>
      </c>
      <c r="C91" s="12" t="s">
        <v>32</v>
      </c>
      <c r="D91" s="12" t="s">
        <v>105</v>
      </c>
      <c r="E91" s="12" t="s">
        <v>556</v>
      </c>
      <c r="F91" s="74" t="s">
        <v>192</v>
      </c>
      <c r="G91" s="12" t="s">
        <v>1092</v>
      </c>
      <c r="H91" s="12" t="s">
        <v>1089</v>
      </c>
      <c r="I91" s="74" t="s">
        <v>915</v>
      </c>
      <c r="J91" s="75">
        <v>46031</v>
      </c>
      <c r="K91" s="74" t="s">
        <v>30</v>
      </c>
    </row>
    <row r="92" ht="16.5" hidden="1" spans="1:11">
      <c r="A92" s="12">
        <v>90</v>
      </c>
      <c r="B92" s="12" t="s">
        <v>23</v>
      </c>
      <c r="C92" s="12" t="s">
        <v>38</v>
      </c>
      <c r="D92" s="12" t="s">
        <v>220</v>
      </c>
      <c r="E92" s="12" t="s">
        <v>427</v>
      </c>
      <c r="F92" s="74" t="s">
        <v>540</v>
      </c>
      <c r="G92" s="12" t="s">
        <v>1093</v>
      </c>
      <c r="H92" s="12" t="s">
        <v>1089</v>
      </c>
      <c r="I92" s="74" t="s">
        <v>915</v>
      </c>
      <c r="J92" s="75">
        <v>46031</v>
      </c>
      <c r="K92" s="74" t="s">
        <v>30</v>
      </c>
    </row>
    <row r="93" ht="16.5" hidden="1" spans="1:11">
      <c r="A93" s="12">
        <v>91</v>
      </c>
      <c r="B93" s="12" t="s">
        <v>23</v>
      </c>
      <c r="C93" s="12" t="s">
        <v>38</v>
      </c>
      <c r="D93" s="12" t="s">
        <v>168</v>
      </c>
      <c r="E93" s="12" t="s">
        <v>430</v>
      </c>
      <c r="F93" s="74" t="s">
        <v>205</v>
      </c>
      <c r="G93" s="12" t="s">
        <v>1094</v>
      </c>
      <c r="H93" s="12" t="s">
        <v>1089</v>
      </c>
      <c r="I93" s="74" t="s">
        <v>915</v>
      </c>
      <c r="J93" s="75">
        <v>46031</v>
      </c>
      <c r="K93" s="74" t="s">
        <v>30</v>
      </c>
    </row>
    <row r="94" ht="16.5" hidden="1" spans="1:11">
      <c r="A94" s="12">
        <v>92</v>
      </c>
      <c r="B94" s="12" t="s">
        <v>23</v>
      </c>
      <c r="C94" s="12" t="s">
        <v>32</v>
      </c>
      <c r="D94" s="12" t="s">
        <v>105</v>
      </c>
      <c r="E94" s="12" t="s">
        <v>556</v>
      </c>
      <c r="F94" s="74" t="s">
        <v>165</v>
      </c>
      <c r="G94" s="12" t="s">
        <v>1095</v>
      </c>
      <c r="H94" s="12" t="s">
        <v>1089</v>
      </c>
      <c r="I94" s="74" t="s">
        <v>915</v>
      </c>
      <c r="J94" s="75">
        <v>46031</v>
      </c>
      <c r="K94" s="74" t="s">
        <v>30</v>
      </c>
    </row>
    <row r="95" ht="16.5" hidden="1" spans="1:11">
      <c r="A95" s="12">
        <v>93</v>
      </c>
      <c r="B95" s="12" t="s">
        <v>23</v>
      </c>
      <c r="C95" s="12" t="s">
        <v>38</v>
      </c>
      <c r="D95" s="12" t="s">
        <v>63</v>
      </c>
      <c r="E95" s="12" t="s">
        <v>494</v>
      </c>
      <c r="F95" s="74" t="s">
        <v>95</v>
      </c>
      <c r="G95" s="12" t="s">
        <v>1096</v>
      </c>
      <c r="H95" s="12" t="s">
        <v>1089</v>
      </c>
      <c r="I95" s="74" t="s">
        <v>915</v>
      </c>
      <c r="J95" s="75">
        <v>46031</v>
      </c>
      <c r="K95" s="74" t="s">
        <v>30</v>
      </c>
    </row>
    <row r="96" ht="16.5" hidden="1" spans="1:11">
      <c r="A96" s="12">
        <v>94</v>
      </c>
      <c r="B96" s="12" t="s">
        <v>23</v>
      </c>
      <c r="C96" s="12" t="s">
        <v>38</v>
      </c>
      <c r="D96" s="12" t="s">
        <v>63</v>
      </c>
      <c r="E96" s="12" t="s">
        <v>380</v>
      </c>
      <c r="F96" s="74" t="s">
        <v>253</v>
      </c>
      <c r="G96" s="12" t="s">
        <v>1097</v>
      </c>
      <c r="H96" s="12" t="s">
        <v>1089</v>
      </c>
      <c r="I96" s="74" t="s">
        <v>915</v>
      </c>
      <c r="J96" s="75">
        <v>46031</v>
      </c>
      <c r="K96" s="74" t="s">
        <v>30</v>
      </c>
    </row>
    <row r="97" ht="16.5" hidden="1" spans="1:11">
      <c r="A97" s="12">
        <v>95</v>
      </c>
      <c r="B97" s="12" t="s">
        <v>23</v>
      </c>
      <c r="C97" s="12" t="s">
        <v>38</v>
      </c>
      <c r="D97" s="12" t="s">
        <v>63</v>
      </c>
      <c r="E97" s="12" t="s">
        <v>602</v>
      </c>
      <c r="F97" s="74" t="s">
        <v>481</v>
      </c>
      <c r="G97" s="12" t="s">
        <v>1099</v>
      </c>
      <c r="H97" s="12" t="s">
        <v>1089</v>
      </c>
      <c r="I97" s="74" t="s">
        <v>915</v>
      </c>
      <c r="J97" s="75">
        <v>46031</v>
      </c>
      <c r="K97" s="74" t="s">
        <v>30</v>
      </c>
    </row>
    <row r="98" ht="16.5" hidden="1" spans="1:11">
      <c r="A98" s="12">
        <v>96</v>
      </c>
      <c r="B98" s="12" t="s">
        <v>23</v>
      </c>
      <c r="C98" s="12" t="s">
        <v>38</v>
      </c>
      <c r="D98" s="12" t="s">
        <v>148</v>
      </c>
      <c r="E98" s="12" t="s">
        <v>364</v>
      </c>
      <c r="F98" s="74" t="s">
        <v>147</v>
      </c>
      <c r="G98" s="12" t="s">
        <v>1100</v>
      </c>
      <c r="H98" s="12" t="s">
        <v>1089</v>
      </c>
      <c r="I98" s="74" t="s">
        <v>915</v>
      </c>
      <c r="J98" s="75">
        <v>46031</v>
      </c>
      <c r="K98" s="74" t="s">
        <v>30</v>
      </c>
    </row>
    <row r="99" ht="16.5" hidden="1" spans="1:11">
      <c r="A99" s="12">
        <v>97</v>
      </c>
      <c r="B99" s="12" t="s">
        <v>23</v>
      </c>
      <c r="C99" s="12" t="s">
        <v>35</v>
      </c>
      <c r="D99" s="12" t="s">
        <v>125</v>
      </c>
      <c r="E99" s="12" t="s">
        <v>444</v>
      </c>
      <c r="F99" s="74" t="s">
        <v>584</v>
      </c>
      <c r="G99" s="12" t="s">
        <v>1101</v>
      </c>
      <c r="H99" s="12" t="s">
        <v>1089</v>
      </c>
      <c r="I99" s="74" t="s">
        <v>915</v>
      </c>
      <c r="J99" s="75">
        <v>46031</v>
      </c>
      <c r="K99" s="74" t="s">
        <v>30</v>
      </c>
    </row>
    <row r="100" ht="16.5" hidden="1" spans="1:11">
      <c r="A100" s="12">
        <v>98</v>
      </c>
      <c r="B100" s="12" t="s">
        <v>23</v>
      </c>
      <c r="C100" s="12" t="s">
        <v>35</v>
      </c>
      <c r="D100" s="12" t="s">
        <v>125</v>
      </c>
      <c r="E100" s="12" t="s">
        <v>417</v>
      </c>
      <c r="F100" s="74" t="s">
        <v>493</v>
      </c>
      <c r="G100" s="12" t="s">
        <v>1102</v>
      </c>
      <c r="H100" s="12" t="s">
        <v>1089</v>
      </c>
      <c r="I100" s="74" t="s">
        <v>915</v>
      </c>
      <c r="J100" s="75">
        <v>46031</v>
      </c>
      <c r="K100" s="74" t="s">
        <v>30</v>
      </c>
    </row>
    <row r="101" ht="16.5" hidden="1" spans="1:11">
      <c r="A101" s="12">
        <v>99</v>
      </c>
      <c r="B101" s="12" t="s">
        <v>23</v>
      </c>
      <c r="C101" s="12" t="s">
        <v>31</v>
      </c>
      <c r="D101" s="12" t="s">
        <v>79</v>
      </c>
      <c r="E101" s="12" t="s">
        <v>189</v>
      </c>
      <c r="F101" s="74" t="s">
        <v>78</v>
      </c>
      <c r="G101" s="12" t="s">
        <v>1103</v>
      </c>
      <c r="H101" s="12" t="s">
        <v>1089</v>
      </c>
      <c r="I101" s="74" t="s">
        <v>915</v>
      </c>
      <c r="J101" s="75">
        <v>46031</v>
      </c>
      <c r="K101" s="74" t="s">
        <v>30</v>
      </c>
    </row>
    <row r="102" ht="16.5" hidden="1" spans="1:11">
      <c r="A102" s="12">
        <v>100</v>
      </c>
      <c r="B102" s="12" t="s">
        <v>23</v>
      </c>
      <c r="C102" s="12" t="s">
        <v>37</v>
      </c>
      <c r="D102" s="12" t="s">
        <v>109</v>
      </c>
      <c r="E102" s="12" t="s">
        <v>108</v>
      </c>
      <c r="F102" s="74" t="s">
        <v>203</v>
      </c>
      <c r="G102" s="12" t="s">
        <v>1104</v>
      </c>
      <c r="H102" s="12" t="s">
        <v>1089</v>
      </c>
      <c r="I102" s="74" t="s">
        <v>915</v>
      </c>
      <c r="J102" s="75">
        <v>46031</v>
      </c>
      <c r="K102" s="74" t="s">
        <v>30</v>
      </c>
    </row>
    <row r="103" ht="16.5" hidden="1" spans="1:11">
      <c r="A103" s="12">
        <v>101</v>
      </c>
      <c r="B103" s="12" t="s">
        <v>23</v>
      </c>
      <c r="C103" s="12" t="s">
        <v>31</v>
      </c>
      <c r="D103" s="12" t="s">
        <v>79</v>
      </c>
      <c r="E103" s="12" t="s">
        <v>343</v>
      </c>
      <c r="F103" s="74" t="s">
        <v>245</v>
      </c>
      <c r="G103" s="12" t="s">
        <v>1105</v>
      </c>
      <c r="H103" s="12" t="s">
        <v>1089</v>
      </c>
      <c r="I103" s="74" t="s">
        <v>915</v>
      </c>
      <c r="J103" s="75">
        <v>46031</v>
      </c>
      <c r="K103" s="74" t="s">
        <v>30</v>
      </c>
    </row>
    <row r="104" ht="16.5" hidden="1" spans="1:11">
      <c r="A104" s="12">
        <v>102</v>
      </c>
      <c r="B104" s="12" t="s">
        <v>23</v>
      </c>
      <c r="C104" s="12" t="s">
        <v>32</v>
      </c>
      <c r="D104" s="12" t="s">
        <v>105</v>
      </c>
      <c r="E104" s="12" t="s">
        <v>104</v>
      </c>
      <c r="F104" s="74" t="s">
        <v>1106</v>
      </c>
      <c r="G104" s="12" t="s">
        <v>1107</v>
      </c>
      <c r="H104" s="12" t="s">
        <v>909</v>
      </c>
      <c r="I104" s="74" t="s">
        <v>915</v>
      </c>
      <c r="J104" s="75">
        <v>46031</v>
      </c>
      <c r="K104" s="74" t="s">
        <v>30</v>
      </c>
    </row>
    <row r="105" ht="16.5" hidden="1" spans="1:11">
      <c r="A105" s="12">
        <v>103</v>
      </c>
      <c r="B105" s="12" t="s">
        <v>23</v>
      </c>
      <c r="C105" s="12" t="s">
        <v>37</v>
      </c>
      <c r="D105" s="12" t="s">
        <v>109</v>
      </c>
      <c r="E105" s="12" t="s">
        <v>451</v>
      </c>
      <c r="F105" s="74" t="s">
        <v>237</v>
      </c>
      <c r="G105" s="12" t="s">
        <v>1108</v>
      </c>
      <c r="H105" s="12" t="s">
        <v>1089</v>
      </c>
      <c r="I105" s="74" t="s">
        <v>915</v>
      </c>
      <c r="J105" s="75">
        <v>46031</v>
      </c>
      <c r="K105" s="74" t="s">
        <v>30</v>
      </c>
    </row>
    <row r="106" ht="16.5" hidden="1" spans="1:11">
      <c r="A106" s="12">
        <v>104</v>
      </c>
      <c r="B106" s="12" t="s">
        <v>23</v>
      </c>
      <c r="C106" s="12" t="s">
        <v>37</v>
      </c>
      <c r="D106" s="12" t="s">
        <v>109</v>
      </c>
      <c r="E106" s="12" t="s">
        <v>267</v>
      </c>
      <c r="F106" s="74" t="s">
        <v>251</v>
      </c>
      <c r="G106" s="12" t="s">
        <v>1109</v>
      </c>
      <c r="H106" s="12" t="s">
        <v>1089</v>
      </c>
      <c r="I106" s="74" t="s">
        <v>915</v>
      </c>
      <c r="J106" s="75">
        <v>46031</v>
      </c>
      <c r="K106" s="74" t="s">
        <v>30</v>
      </c>
    </row>
    <row r="107" ht="16.5" hidden="1" spans="1:11">
      <c r="A107" s="12">
        <v>105</v>
      </c>
      <c r="B107" s="12" t="s">
        <v>23</v>
      </c>
      <c r="C107" s="12" t="s">
        <v>35</v>
      </c>
      <c r="D107" s="12" t="s">
        <v>125</v>
      </c>
      <c r="E107" s="12" t="s">
        <v>605</v>
      </c>
      <c r="F107" s="74" t="s">
        <v>463</v>
      </c>
      <c r="G107" s="12" t="s">
        <v>1088</v>
      </c>
      <c r="H107" s="12" t="s">
        <v>1089</v>
      </c>
      <c r="I107" s="74" t="s">
        <v>915</v>
      </c>
      <c r="J107" s="75">
        <v>46037</v>
      </c>
      <c r="K107" s="74" t="s">
        <v>30</v>
      </c>
    </row>
    <row r="108" ht="16.5" hidden="1" spans="1:11">
      <c r="A108" s="12">
        <v>106</v>
      </c>
      <c r="B108" s="12" t="s">
        <v>23</v>
      </c>
      <c r="C108" s="12" t="s">
        <v>38</v>
      </c>
      <c r="D108" s="12" t="s">
        <v>168</v>
      </c>
      <c r="E108" s="12" t="s">
        <v>430</v>
      </c>
      <c r="F108" s="74" t="s">
        <v>205</v>
      </c>
      <c r="G108" s="12" t="s">
        <v>1094</v>
      </c>
      <c r="H108" s="12" t="s">
        <v>1089</v>
      </c>
      <c r="I108" s="74" t="s">
        <v>915</v>
      </c>
      <c r="J108" s="75">
        <v>46037</v>
      </c>
      <c r="K108" s="74" t="s">
        <v>30</v>
      </c>
    </row>
    <row r="109" ht="16.5" hidden="1" spans="1:11">
      <c r="A109" s="12">
        <v>107</v>
      </c>
      <c r="B109" s="12" t="s">
        <v>23</v>
      </c>
      <c r="C109" s="12" t="s">
        <v>38</v>
      </c>
      <c r="D109" s="12" t="s">
        <v>220</v>
      </c>
      <c r="E109" s="12" t="s">
        <v>427</v>
      </c>
      <c r="F109" s="74" t="s">
        <v>540</v>
      </c>
      <c r="G109" s="12" t="s">
        <v>1093</v>
      </c>
      <c r="H109" s="12" t="s">
        <v>1089</v>
      </c>
      <c r="I109" s="74" t="s">
        <v>915</v>
      </c>
      <c r="J109" s="75">
        <v>46037</v>
      </c>
      <c r="K109" s="74" t="s">
        <v>30</v>
      </c>
    </row>
    <row r="110" ht="16.5" hidden="1" spans="1:11">
      <c r="A110" s="12">
        <v>108</v>
      </c>
      <c r="B110" s="12" t="s">
        <v>23</v>
      </c>
      <c r="C110" s="12" t="s">
        <v>38</v>
      </c>
      <c r="D110" s="12" t="s">
        <v>148</v>
      </c>
      <c r="E110" s="12" t="s">
        <v>364</v>
      </c>
      <c r="F110" s="74" t="s">
        <v>147</v>
      </c>
      <c r="G110" s="12" t="s">
        <v>1100</v>
      </c>
      <c r="H110" s="12" t="s">
        <v>1089</v>
      </c>
      <c r="I110" s="74" t="s">
        <v>915</v>
      </c>
      <c r="J110" s="75">
        <v>46037</v>
      </c>
      <c r="K110" s="74" t="s">
        <v>30</v>
      </c>
    </row>
    <row r="111" ht="16.5" hidden="1" spans="1:11">
      <c r="A111" s="12">
        <v>109</v>
      </c>
      <c r="B111" s="12" t="s">
        <v>23</v>
      </c>
      <c r="C111" s="12" t="s">
        <v>32</v>
      </c>
      <c r="D111" s="12" t="s">
        <v>105</v>
      </c>
      <c r="E111" s="12" t="s">
        <v>556</v>
      </c>
      <c r="F111" s="74" t="s">
        <v>192</v>
      </c>
      <c r="G111" s="12" t="s">
        <v>1092</v>
      </c>
      <c r="H111" s="12" t="s">
        <v>1089</v>
      </c>
      <c r="I111" s="74" t="s">
        <v>915</v>
      </c>
      <c r="J111" s="75">
        <v>46037</v>
      </c>
      <c r="K111" s="74" t="s">
        <v>30</v>
      </c>
    </row>
    <row r="112" ht="16.5" hidden="1" spans="1:11">
      <c r="A112" s="12">
        <v>110</v>
      </c>
      <c r="B112" s="12" t="s">
        <v>23</v>
      </c>
      <c r="C112" s="12" t="s">
        <v>38</v>
      </c>
      <c r="D112" s="12" t="s">
        <v>148</v>
      </c>
      <c r="E112" s="12" t="s">
        <v>376</v>
      </c>
      <c r="F112" s="74" t="s">
        <v>227</v>
      </c>
      <c r="G112" s="12" t="s">
        <v>1091</v>
      </c>
      <c r="H112" s="12" t="s">
        <v>1089</v>
      </c>
      <c r="I112" s="74" t="s">
        <v>915</v>
      </c>
      <c r="J112" s="75">
        <v>46037</v>
      </c>
      <c r="K112" s="74" t="s">
        <v>30</v>
      </c>
    </row>
    <row r="113" ht="16.5" hidden="1" spans="1:11">
      <c r="A113" s="12">
        <v>111</v>
      </c>
      <c r="B113" s="12" t="s">
        <v>23</v>
      </c>
      <c r="C113" s="12" t="s">
        <v>36</v>
      </c>
      <c r="D113" s="12" t="s">
        <v>173</v>
      </c>
      <c r="E113" s="12" t="s">
        <v>309</v>
      </c>
      <c r="F113" s="74" t="s">
        <v>320</v>
      </c>
      <c r="G113" s="12" t="s">
        <v>1085</v>
      </c>
      <c r="H113" s="12" t="s">
        <v>1089</v>
      </c>
      <c r="I113" s="74" t="s">
        <v>915</v>
      </c>
      <c r="J113" s="75">
        <v>46037</v>
      </c>
      <c r="K113" s="74" t="s">
        <v>30</v>
      </c>
    </row>
    <row r="114" ht="16.5" hidden="1" spans="1:11">
      <c r="A114" s="12">
        <v>112</v>
      </c>
      <c r="B114" s="12" t="s">
        <v>23</v>
      </c>
      <c r="C114" s="12" t="s">
        <v>38</v>
      </c>
      <c r="D114" s="12" t="s">
        <v>63</v>
      </c>
      <c r="E114" s="12" t="s">
        <v>129</v>
      </c>
      <c r="F114" s="74" t="s">
        <v>294</v>
      </c>
      <c r="G114" s="12" t="s">
        <v>1112</v>
      </c>
      <c r="H114" s="12" t="s">
        <v>1113</v>
      </c>
      <c r="I114" s="74" t="s">
        <v>915</v>
      </c>
      <c r="J114" s="75">
        <v>46037</v>
      </c>
      <c r="K114" s="74" t="s">
        <v>30</v>
      </c>
    </row>
    <row r="115" ht="16.5" hidden="1" spans="1:11">
      <c r="A115" s="12">
        <v>113</v>
      </c>
      <c r="B115" s="12" t="s">
        <v>23</v>
      </c>
      <c r="C115" s="12" t="s">
        <v>38</v>
      </c>
      <c r="D115" s="12" t="s">
        <v>63</v>
      </c>
      <c r="E115" s="12" t="s">
        <v>494</v>
      </c>
      <c r="F115" s="74" t="s">
        <v>95</v>
      </c>
      <c r="G115" s="12" t="s">
        <v>1096</v>
      </c>
      <c r="H115" s="12" t="s">
        <v>1089</v>
      </c>
      <c r="I115" s="74" t="s">
        <v>915</v>
      </c>
      <c r="J115" s="75">
        <v>46037</v>
      </c>
      <c r="K115" s="74" t="s">
        <v>30</v>
      </c>
    </row>
    <row r="116" ht="16.5" hidden="1" spans="1:11">
      <c r="A116" s="12">
        <v>114</v>
      </c>
      <c r="B116" s="12" t="s">
        <v>23</v>
      </c>
      <c r="C116" s="12" t="s">
        <v>38</v>
      </c>
      <c r="D116" s="12" t="s">
        <v>63</v>
      </c>
      <c r="E116" s="12" t="s">
        <v>602</v>
      </c>
      <c r="F116" s="74" t="s">
        <v>481</v>
      </c>
      <c r="G116" s="12" t="s">
        <v>1099</v>
      </c>
      <c r="H116" s="12" t="s">
        <v>1089</v>
      </c>
      <c r="I116" s="74" t="s">
        <v>915</v>
      </c>
      <c r="J116" s="75">
        <v>46037</v>
      </c>
      <c r="K116" s="74" t="s">
        <v>30</v>
      </c>
    </row>
    <row r="117" ht="16.5" hidden="1" spans="1:11">
      <c r="A117" s="12">
        <v>115</v>
      </c>
      <c r="B117" s="12" t="s">
        <v>23</v>
      </c>
      <c r="C117" s="12" t="s">
        <v>31</v>
      </c>
      <c r="D117" s="12" t="s">
        <v>79</v>
      </c>
      <c r="E117" s="12" t="s">
        <v>189</v>
      </c>
      <c r="F117" s="74" t="s">
        <v>78</v>
      </c>
      <c r="G117" s="12" t="s">
        <v>1103</v>
      </c>
      <c r="H117" s="12" t="s">
        <v>1089</v>
      </c>
      <c r="I117" s="74" t="s">
        <v>915</v>
      </c>
      <c r="J117" s="75">
        <v>46037</v>
      </c>
      <c r="K117" s="74" t="s">
        <v>30</v>
      </c>
    </row>
    <row r="118" ht="16.5" hidden="1" spans="1:11">
      <c r="A118" s="12">
        <v>116</v>
      </c>
      <c r="B118" s="12" t="s">
        <v>23</v>
      </c>
      <c r="C118" s="12" t="s">
        <v>35</v>
      </c>
      <c r="D118" s="12" t="s">
        <v>125</v>
      </c>
      <c r="E118" s="12" t="s">
        <v>417</v>
      </c>
      <c r="F118" s="74" t="s">
        <v>493</v>
      </c>
      <c r="G118" s="12" t="s">
        <v>1102</v>
      </c>
      <c r="H118" s="12" t="s">
        <v>1089</v>
      </c>
      <c r="I118" s="74" t="s">
        <v>915</v>
      </c>
      <c r="J118" s="75">
        <v>46037</v>
      </c>
      <c r="K118" s="74" t="s">
        <v>30</v>
      </c>
    </row>
    <row r="119" ht="16.5" hidden="1" spans="1:11">
      <c r="A119" s="12">
        <v>117</v>
      </c>
      <c r="B119" s="12" t="s">
        <v>23</v>
      </c>
      <c r="C119" s="12" t="s">
        <v>32</v>
      </c>
      <c r="D119" s="12" t="s">
        <v>105</v>
      </c>
      <c r="E119" s="12" t="s">
        <v>556</v>
      </c>
      <c r="F119" s="74" t="s">
        <v>165</v>
      </c>
      <c r="G119" s="12" t="s">
        <v>1095</v>
      </c>
      <c r="H119" s="12" t="s">
        <v>1089</v>
      </c>
      <c r="I119" s="74" t="s">
        <v>915</v>
      </c>
      <c r="J119" s="75">
        <v>46037</v>
      </c>
      <c r="K119" s="74" t="s">
        <v>30</v>
      </c>
    </row>
    <row r="120" ht="16.5" hidden="1" spans="1:11">
      <c r="A120" s="12">
        <v>118</v>
      </c>
      <c r="B120" s="12" t="s">
        <v>23</v>
      </c>
      <c r="C120" s="12" t="s">
        <v>38</v>
      </c>
      <c r="D120" s="12" t="s">
        <v>63</v>
      </c>
      <c r="E120" s="12" t="s">
        <v>380</v>
      </c>
      <c r="F120" s="74" t="s">
        <v>253</v>
      </c>
      <c r="G120" s="12" t="s">
        <v>1097</v>
      </c>
      <c r="H120" s="12" t="s">
        <v>1089</v>
      </c>
      <c r="I120" s="74" t="s">
        <v>915</v>
      </c>
      <c r="J120" s="75">
        <v>46037</v>
      </c>
      <c r="K120" s="74" t="s">
        <v>30</v>
      </c>
    </row>
    <row r="121" ht="16.5" hidden="1" spans="1:11">
      <c r="A121" s="12">
        <v>119</v>
      </c>
      <c r="B121" s="12" t="s">
        <v>23</v>
      </c>
      <c r="C121" s="12" t="s">
        <v>35</v>
      </c>
      <c r="D121" s="12" t="s">
        <v>125</v>
      </c>
      <c r="E121" s="12" t="s">
        <v>444</v>
      </c>
      <c r="F121" s="74" t="s">
        <v>584</v>
      </c>
      <c r="G121" s="12" t="s">
        <v>1101</v>
      </c>
      <c r="H121" s="12" t="s">
        <v>1089</v>
      </c>
      <c r="I121" s="74" t="s">
        <v>915</v>
      </c>
      <c r="J121" s="75">
        <v>46037</v>
      </c>
      <c r="K121" s="74" t="s">
        <v>30</v>
      </c>
    </row>
    <row r="122" ht="16.5" hidden="1" spans="1:11">
      <c r="A122" s="12">
        <v>120</v>
      </c>
      <c r="B122" s="12" t="s">
        <v>23</v>
      </c>
      <c r="C122" s="12" t="s">
        <v>37</v>
      </c>
      <c r="D122" s="12" t="s">
        <v>109</v>
      </c>
      <c r="E122" s="12" t="s">
        <v>267</v>
      </c>
      <c r="F122" s="74" t="s">
        <v>251</v>
      </c>
      <c r="G122" s="12" t="s">
        <v>1109</v>
      </c>
      <c r="H122" s="12" t="s">
        <v>1089</v>
      </c>
      <c r="I122" s="74" t="s">
        <v>915</v>
      </c>
      <c r="J122" s="75">
        <v>46037</v>
      </c>
      <c r="K122" s="74" t="s">
        <v>30</v>
      </c>
    </row>
    <row r="123" ht="16.5" hidden="1" spans="1:11">
      <c r="A123" s="12">
        <v>121</v>
      </c>
      <c r="B123" s="12" t="s">
        <v>23</v>
      </c>
      <c r="C123" s="12" t="s">
        <v>37</v>
      </c>
      <c r="D123" s="12" t="s">
        <v>109</v>
      </c>
      <c r="E123" s="12" t="s">
        <v>108</v>
      </c>
      <c r="F123" s="74" t="s">
        <v>203</v>
      </c>
      <c r="G123" s="12" t="s">
        <v>1104</v>
      </c>
      <c r="H123" s="12" t="s">
        <v>1089</v>
      </c>
      <c r="I123" s="74" t="s">
        <v>915</v>
      </c>
      <c r="J123" s="75">
        <v>46037</v>
      </c>
      <c r="K123" s="74" t="s">
        <v>30</v>
      </c>
    </row>
    <row r="124" ht="16.5" hidden="1" spans="1:11">
      <c r="A124" s="12">
        <v>122</v>
      </c>
      <c r="B124" s="12" t="s">
        <v>23</v>
      </c>
      <c r="C124" s="12" t="s">
        <v>31</v>
      </c>
      <c r="D124" s="12" t="s">
        <v>79</v>
      </c>
      <c r="E124" s="12" t="s">
        <v>343</v>
      </c>
      <c r="F124" s="74" t="s">
        <v>245</v>
      </c>
      <c r="G124" s="12" t="s">
        <v>1105</v>
      </c>
      <c r="H124" s="12" t="s">
        <v>1089</v>
      </c>
      <c r="I124" s="74" t="s">
        <v>915</v>
      </c>
      <c r="J124" s="75">
        <v>46037</v>
      </c>
      <c r="K124" s="74" t="s">
        <v>30</v>
      </c>
    </row>
    <row r="125" ht="16.5" hidden="1" spans="1:11">
      <c r="A125" s="12">
        <v>123</v>
      </c>
      <c r="B125" s="12" t="s">
        <v>23</v>
      </c>
      <c r="C125" s="12" t="s">
        <v>32</v>
      </c>
      <c r="D125" s="12" t="s">
        <v>105</v>
      </c>
      <c r="E125" s="12" t="s">
        <v>104</v>
      </c>
      <c r="F125" s="74" t="s">
        <v>1106</v>
      </c>
      <c r="G125" s="12" t="s">
        <v>1107</v>
      </c>
      <c r="H125" s="12" t="s">
        <v>909</v>
      </c>
      <c r="I125" s="74" t="s">
        <v>915</v>
      </c>
      <c r="J125" s="75">
        <v>46037</v>
      </c>
      <c r="K125" s="74" t="s">
        <v>30</v>
      </c>
    </row>
    <row r="126" ht="16.5" hidden="1" spans="1:11">
      <c r="A126" s="12">
        <v>124</v>
      </c>
      <c r="B126" s="12" t="s">
        <v>23</v>
      </c>
      <c r="C126" s="12" t="s">
        <v>37</v>
      </c>
      <c r="D126" s="12" t="s">
        <v>109</v>
      </c>
      <c r="E126" s="12" t="s">
        <v>451</v>
      </c>
      <c r="F126" s="74" t="s">
        <v>237</v>
      </c>
      <c r="G126" s="12" t="s">
        <v>1108</v>
      </c>
      <c r="H126" s="12" t="s">
        <v>1089</v>
      </c>
      <c r="I126" s="74" t="s">
        <v>915</v>
      </c>
      <c r="J126" s="75">
        <v>46037</v>
      </c>
      <c r="K126" s="74" t="s">
        <v>30</v>
      </c>
    </row>
    <row r="127" ht="16.5" hidden="1" spans="1:11">
      <c r="A127" s="12">
        <v>125</v>
      </c>
      <c r="B127" s="12" t="s">
        <v>23</v>
      </c>
      <c r="C127" s="12" t="s">
        <v>38</v>
      </c>
      <c r="D127" s="12" t="s">
        <v>148</v>
      </c>
      <c r="E127" s="12" t="s">
        <v>82</v>
      </c>
      <c r="F127" s="74" t="s">
        <v>531</v>
      </c>
      <c r="G127" s="12" t="s">
        <v>1087</v>
      </c>
      <c r="H127" s="12" t="s">
        <v>1089</v>
      </c>
      <c r="I127" s="74" t="s">
        <v>915</v>
      </c>
      <c r="J127" s="75">
        <v>46037</v>
      </c>
      <c r="K127" s="74" t="s">
        <v>30</v>
      </c>
    </row>
    <row r="128" ht="16.5" hidden="1" spans="1:11">
      <c r="A128" s="12">
        <v>126</v>
      </c>
      <c r="B128" s="12" t="s">
        <v>23</v>
      </c>
      <c r="C128" s="12" t="s">
        <v>38</v>
      </c>
      <c r="D128" s="12" t="s">
        <v>148</v>
      </c>
      <c r="E128" s="12" t="s">
        <v>82</v>
      </c>
      <c r="F128" s="74" t="s">
        <v>531</v>
      </c>
      <c r="G128" s="12" t="s">
        <v>1087</v>
      </c>
      <c r="H128" s="12" t="s">
        <v>1089</v>
      </c>
      <c r="I128" s="74" t="s">
        <v>915</v>
      </c>
      <c r="J128" s="75">
        <v>46036</v>
      </c>
      <c r="K128" s="74" t="s">
        <v>30</v>
      </c>
    </row>
    <row r="129" ht="16.5" hidden="1" spans="1:11">
      <c r="A129" s="12">
        <v>127</v>
      </c>
      <c r="B129" s="12" t="s">
        <v>23</v>
      </c>
      <c r="C129" s="12" t="s">
        <v>35</v>
      </c>
      <c r="D129" s="12" t="s">
        <v>125</v>
      </c>
      <c r="E129" s="12" t="s">
        <v>605</v>
      </c>
      <c r="F129" s="74" t="s">
        <v>463</v>
      </c>
      <c r="G129" s="12" t="s">
        <v>1088</v>
      </c>
      <c r="H129" s="12" t="s">
        <v>1089</v>
      </c>
      <c r="I129" s="74" t="s">
        <v>915</v>
      </c>
      <c r="J129" s="75">
        <v>46036</v>
      </c>
      <c r="K129" s="74" t="s">
        <v>30</v>
      </c>
    </row>
    <row r="130" ht="16.5" hidden="1" spans="1:11">
      <c r="A130" s="12">
        <v>128</v>
      </c>
      <c r="B130" s="12" t="s">
        <v>23</v>
      </c>
      <c r="C130" s="12" t="s">
        <v>38</v>
      </c>
      <c r="D130" s="12" t="s">
        <v>168</v>
      </c>
      <c r="E130" s="12" t="s">
        <v>430</v>
      </c>
      <c r="F130" s="74" t="s">
        <v>205</v>
      </c>
      <c r="G130" s="12" t="s">
        <v>1094</v>
      </c>
      <c r="H130" s="12" t="s">
        <v>1089</v>
      </c>
      <c r="I130" s="74" t="s">
        <v>915</v>
      </c>
      <c r="J130" s="75">
        <v>46036</v>
      </c>
      <c r="K130" s="74" t="s">
        <v>30</v>
      </c>
    </row>
    <row r="131" ht="16.5" hidden="1" spans="1:11">
      <c r="A131" s="12">
        <v>129</v>
      </c>
      <c r="B131" s="12" t="s">
        <v>23</v>
      </c>
      <c r="C131" s="12" t="s">
        <v>38</v>
      </c>
      <c r="D131" s="12" t="s">
        <v>220</v>
      </c>
      <c r="E131" s="12" t="s">
        <v>427</v>
      </c>
      <c r="F131" s="74" t="s">
        <v>540</v>
      </c>
      <c r="G131" s="12" t="s">
        <v>1093</v>
      </c>
      <c r="H131" s="12" t="s">
        <v>1089</v>
      </c>
      <c r="I131" s="74" t="s">
        <v>915</v>
      </c>
      <c r="J131" s="75">
        <v>46036</v>
      </c>
      <c r="K131" s="74" t="s">
        <v>30</v>
      </c>
    </row>
    <row r="132" ht="16.5" hidden="1" spans="1:11">
      <c r="A132" s="12">
        <v>130</v>
      </c>
      <c r="B132" s="12" t="s">
        <v>23</v>
      </c>
      <c r="C132" s="12" t="s">
        <v>38</v>
      </c>
      <c r="D132" s="12" t="s">
        <v>148</v>
      </c>
      <c r="E132" s="12" t="s">
        <v>364</v>
      </c>
      <c r="F132" s="74" t="s">
        <v>147</v>
      </c>
      <c r="G132" s="12" t="s">
        <v>1100</v>
      </c>
      <c r="H132" s="12" t="s">
        <v>1089</v>
      </c>
      <c r="I132" s="74" t="s">
        <v>915</v>
      </c>
      <c r="J132" s="75">
        <v>46036</v>
      </c>
      <c r="K132" s="74" t="s">
        <v>30</v>
      </c>
    </row>
    <row r="133" ht="16.5" hidden="1" spans="1:11">
      <c r="A133" s="12">
        <v>131</v>
      </c>
      <c r="B133" s="12" t="s">
        <v>23</v>
      </c>
      <c r="C133" s="12" t="s">
        <v>32</v>
      </c>
      <c r="D133" s="12" t="s">
        <v>105</v>
      </c>
      <c r="E133" s="12" t="s">
        <v>556</v>
      </c>
      <c r="F133" s="74" t="s">
        <v>192</v>
      </c>
      <c r="G133" s="12" t="s">
        <v>1092</v>
      </c>
      <c r="H133" s="12" t="s">
        <v>1089</v>
      </c>
      <c r="I133" s="74" t="s">
        <v>915</v>
      </c>
      <c r="J133" s="75">
        <v>46036</v>
      </c>
      <c r="K133" s="74" t="s">
        <v>30</v>
      </c>
    </row>
    <row r="134" ht="16.5" hidden="1" spans="1:11">
      <c r="A134" s="12">
        <v>132</v>
      </c>
      <c r="B134" s="12" t="s">
        <v>23</v>
      </c>
      <c r="C134" s="12" t="s">
        <v>38</v>
      </c>
      <c r="D134" s="12" t="s">
        <v>148</v>
      </c>
      <c r="E134" s="12" t="s">
        <v>376</v>
      </c>
      <c r="F134" s="74" t="s">
        <v>227</v>
      </c>
      <c r="G134" s="12" t="s">
        <v>1091</v>
      </c>
      <c r="H134" s="12" t="s">
        <v>1089</v>
      </c>
      <c r="I134" s="74" t="s">
        <v>915</v>
      </c>
      <c r="J134" s="75">
        <v>46036</v>
      </c>
      <c r="K134" s="74" t="s">
        <v>30</v>
      </c>
    </row>
    <row r="135" ht="16.5" hidden="1" spans="1:11">
      <c r="A135" s="12">
        <v>133</v>
      </c>
      <c r="B135" s="12" t="s">
        <v>23</v>
      </c>
      <c r="C135" s="12" t="s">
        <v>36</v>
      </c>
      <c r="D135" s="12" t="s">
        <v>173</v>
      </c>
      <c r="E135" s="12" t="s">
        <v>309</v>
      </c>
      <c r="F135" s="74" t="s">
        <v>320</v>
      </c>
      <c r="G135" s="12" t="s">
        <v>1085</v>
      </c>
      <c r="H135" s="12" t="s">
        <v>1089</v>
      </c>
      <c r="I135" s="74" t="s">
        <v>915</v>
      </c>
      <c r="J135" s="75">
        <v>46036</v>
      </c>
      <c r="K135" s="74" t="s">
        <v>30</v>
      </c>
    </row>
    <row r="136" ht="16.5" hidden="1" spans="1:11">
      <c r="A136" s="12">
        <v>134</v>
      </c>
      <c r="B136" s="12" t="s">
        <v>23</v>
      </c>
      <c r="C136" s="12" t="s">
        <v>38</v>
      </c>
      <c r="D136" s="12" t="s">
        <v>63</v>
      </c>
      <c r="E136" s="12" t="s">
        <v>129</v>
      </c>
      <c r="F136" s="74" t="s">
        <v>294</v>
      </c>
      <c r="G136" s="12" t="s">
        <v>1112</v>
      </c>
      <c r="H136" s="12" t="s">
        <v>1113</v>
      </c>
      <c r="I136" s="74" t="s">
        <v>915</v>
      </c>
      <c r="J136" s="75">
        <v>46036</v>
      </c>
      <c r="K136" s="74" t="s">
        <v>30</v>
      </c>
    </row>
    <row r="137" ht="16.5" hidden="1" spans="1:11">
      <c r="A137" s="12">
        <v>135</v>
      </c>
      <c r="B137" s="12" t="s">
        <v>23</v>
      </c>
      <c r="C137" s="12" t="s">
        <v>38</v>
      </c>
      <c r="D137" s="12" t="s">
        <v>63</v>
      </c>
      <c r="E137" s="12" t="s">
        <v>494</v>
      </c>
      <c r="F137" s="74" t="s">
        <v>95</v>
      </c>
      <c r="G137" s="12" t="s">
        <v>1096</v>
      </c>
      <c r="H137" s="12" t="s">
        <v>1089</v>
      </c>
      <c r="I137" s="74" t="s">
        <v>915</v>
      </c>
      <c r="J137" s="75">
        <v>46036</v>
      </c>
      <c r="K137" s="74" t="s">
        <v>30</v>
      </c>
    </row>
    <row r="138" ht="16.5" hidden="1" spans="1:11">
      <c r="A138" s="12">
        <v>136</v>
      </c>
      <c r="B138" s="12" t="s">
        <v>23</v>
      </c>
      <c r="C138" s="12" t="s">
        <v>38</v>
      </c>
      <c r="D138" s="12" t="s">
        <v>63</v>
      </c>
      <c r="E138" s="12" t="s">
        <v>602</v>
      </c>
      <c r="F138" s="74" t="s">
        <v>481</v>
      </c>
      <c r="G138" s="12" t="s">
        <v>1099</v>
      </c>
      <c r="H138" s="12" t="s">
        <v>1089</v>
      </c>
      <c r="I138" s="74" t="s">
        <v>915</v>
      </c>
      <c r="J138" s="75">
        <v>46036</v>
      </c>
      <c r="K138" s="74" t="s">
        <v>30</v>
      </c>
    </row>
    <row r="139" ht="16.5" hidden="1" spans="1:11">
      <c r="A139" s="12">
        <v>137</v>
      </c>
      <c r="B139" s="12" t="s">
        <v>23</v>
      </c>
      <c r="C139" s="12" t="s">
        <v>31</v>
      </c>
      <c r="D139" s="12" t="s">
        <v>79</v>
      </c>
      <c r="E139" s="12" t="s">
        <v>189</v>
      </c>
      <c r="F139" s="74" t="s">
        <v>78</v>
      </c>
      <c r="G139" s="12" t="s">
        <v>1103</v>
      </c>
      <c r="H139" s="12" t="s">
        <v>1089</v>
      </c>
      <c r="I139" s="74" t="s">
        <v>915</v>
      </c>
      <c r="J139" s="75">
        <v>46036</v>
      </c>
      <c r="K139" s="74" t="s">
        <v>30</v>
      </c>
    </row>
    <row r="140" ht="16.5" hidden="1" spans="1:11">
      <c r="A140" s="12">
        <v>138</v>
      </c>
      <c r="B140" s="12" t="s">
        <v>23</v>
      </c>
      <c r="C140" s="12" t="s">
        <v>35</v>
      </c>
      <c r="D140" s="12" t="s">
        <v>125</v>
      </c>
      <c r="E140" s="12" t="s">
        <v>417</v>
      </c>
      <c r="F140" s="74" t="s">
        <v>493</v>
      </c>
      <c r="G140" s="12" t="s">
        <v>1102</v>
      </c>
      <c r="H140" s="12" t="s">
        <v>1089</v>
      </c>
      <c r="I140" s="74" t="s">
        <v>915</v>
      </c>
      <c r="J140" s="75">
        <v>46036</v>
      </c>
      <c r="K140" s="74" t="s">
        <v>30</v>
      </c>
    </row>
    <row r="141" ht="16.5" hidden="1" spans="1:11">
      <c r="A141" s="12">
        <v>139</v>
      </c>
      <c r="B141" s="12" t="s">
        <v>23</v>
      </c>
      <c r="C141" s="12" t="s">
        <v>32</v>
      </c>
      <c r="D141" s="12" t="s">
        <v>105</v>
      </c>
      <c r="E141" s="12" t="s">
        <v>556</v>
      </c>
      <c r="F141" s="74" t="s">
        <v>165</v>
      </c>
      <c r="G141" s="12" t="s">
        <v>1095</v>
      </c>
      <c r="H141" s="12" t="s">
        <v>1089</v>
      </c>
      <c r="I141" s="74" t="s">
        <v>915</v>
      </c>
      <c r="J141" s="75">
        <v>46036</v>
      </c>
      <c r="K141" s="74" t="s">
        <v>30</v>
      </c>
    </row>
    <row r="142" ht="16.5" hidden="1" spans="1:11">
      <c r="A142" s="12">
        <v>140</v>
      </c>
      <c r="B142" s="12" t="s">
        <v>23</v>
      </c>
      <c r="C142" s="12" t="s">
        <v>38</v>
      </c>
      <c r="D142" s="12" t="s">
        <v>63</v>
      </c>
      <c r="E142" s="12" t="s">
        <v>380</v>
      </c>
      <c r="F142" s="74" t="s">
        <v>253</v>
      </c>
      <c r="G142" s="12" t="s">
        <v>1097</v>
      </c>
      <c r="H142" s="12" t="s">
        <v>1089</v>
      </c>
      <c r="I142" s="74" t="s">
        <v>915</v>
      </c>
      <c r="J142" s="75">
        <v>46036</v>
      </c>
      <c r="K142" s="74" t="s">
        <v>30</v>
      </c>
    </row>
    <row r="143" ht="16.5" hidden="1" spans="1:11">
      <c r="A143" s="12">
        <v>141</v>
      </c>
      <c r="B143" s="12" t="s">
        <v>23</v>
      </c>
      <c r="C143" s="12" t="s">
        <v>35</v>
      </c>
      <c r="D143" s="12" t="s">
        <v>125</v>
      </c>
      <c r="E143" s="12" t="s">
        <v>444</v>
      </c>
      <c r="F143" s="74" t="s">
        <v>584</v>
      </c>
      <c r="G143" s="12" t="s">
        <v>1101</v>
      </c>
      <c r="H143" s="12" t="s">
        <v>1089</v>
      </c>
      <c r="I143" s="74" t="s">
        <v>915</v>
      </c>
      <c r="J143" s="75">
        <v>46036</v>
      </c>
      <c r="K143" s="74" t="s">
        <v>30</v>
      </c>
    </row>
    <row r="144" ht="16.5" hidden="1" spans="1:11">
      <c r="A144" s="12">
        <v>142</v>
      </c>
      <c r="B144" s="12" t="s">
        <v>23</v>
      </c>
      <c r="C144" s="12" t="s">
        <v>37</v>
      </c>
      <c r="D144" s="12" t="s">
        <v>109</v>
      </c>
      <c r="E144" s="12" t="s">
        <v>267</v>
      </c>
      <c r="F144" s="74" t="s">
        <v>251</v>
      </c>
      <c r="G144" s="12" t="s">
        <v>1109</v>
      </c>
      <c r="H144" s="12" t="s">
        <v>1089</v>
      </c>
      <c r="I144" s="74" t="s">
        <v>915</v>
      </c>
      <c r="J144" s="75">
        <v>46036</v>
      </c>
      <c r="K144" s="74" t="s">
        <v>30</v>
      </c>
    </row>
    <row r="145" ht="16.5" hidden="1" spans="1:11">
      <c r="A145" s="12">
        <v>143</v>
      </c>
      <c r="B145" s="12" t="s">
        <v>23</v>
      </c>
      <c r="C145" s="12" t="s">
        <v>37</v>
      </c>
      <c r="D145" s="12" t="s">
        <v>109</v>
      </c>
      <c r="E145" s="12" t="s">
        <v>108</v>
      </c>
      <c r="F145" s="74" t="s">
        <v>203</v>
      </c>
      <c r="G145" s="12" t="s">
        <v>1104</v>
      </c>
      <c r="H145" s="12" t="s">
        <v>1089</v>
      </c>
      <c r="I145" s="74" t="s">
        <v>915</v>
      </c>
      <c r="J145" s="75">
        <v>46036</v>
      </c>
      <c r="K145" s="74" t="s">
        <v>30</v>
      </c>
    </row>
    <row r="146" ht="16.5" hidden="1" spans="1:11">
      <c r="A146" s="12">
        <v>144</v>
      </c>
      <c r="B146" s="12" t="s">
        <v>23</v>
      </c>
      <c r="C146" s="12" t="s">
        <v>31</v>
      </c>
      <c r="D146" s="12" t="s">
        <v>79</v>
      </c>
      <c r="E146" s="12" t="s">
        <v>343</v>
      </c>
      <c r="F146" s="74" t="s">
        <v>245</v>
      </c>
      <c r="G146" s="12" t="s">
        <v>1105</v>
      </c>
      <c r="H146" s="12" t="s">
        <v>1089</v>
      </c>
      <c r="I146" s="74" t="s">
        <v>915</v>
      </c>
      <c r="J146" s="75">
        <v>46036</v>
      </c>
      <c r="K146" s="74" t="s">
        <v>30</v>
      </c>
    </row>
    <row r="147" ht="16.5" hidden="1" spans="1:11">
      <c r="A147" s="12">
        <v>145</v>
      </c>
      <c r="B147" s="12" t="s">
        <v>23</v>
      </c>
      <c r="C147" s="12" t="s">
        <v>32</v>
      </c>
      <c r="D147" s="12" t="s">
        <v>105</v>
      </c>
      <c r="E147" s="12" t="s">
        <v>104</v>
      </c>
      <c r="F147" s="74" t="s">
        <v>1106</v>
      </c>
      <c r="G147" s="12" t="s">
        <v>1107</v>
      </c>
      <c r="H147" s="12" t="s">
        <v>909</v>
      </c>
      <c r="I147" s="74" t="s">
        <v>915</v>
      </c>
      <c r="J147" s="75">
        <v>46036</v>
      </c>
      <c r="K147" s="74" t="s">
        <v>30</v>
      </c>
    </row>
    <row r="148" ht="16.5" hidden="1" spans="1:11">
      <c r="A148" s="12">
        <v>146</v>
      </c>
      <c r="B148" s="12" t="s">
        <v>23</v>
      </c>
      <c r="C148" s="12" t="s">
        <v>37</v>
      </c>
      <c r="D148" s="12" t="s">
        <v>109</v>
      </c>
      <c r="E148" s="12" t="s">
        <v>451</v>
      </c>
      <c r="F148" s="74" t="s">
        <v>237</v>
      </c>
      <c r="G148" s="12" t="s">
        <v>1108</v>
      </c>
      <c r="H148" s="12" t="s">
        <v>1089</v>
      </c>
      <c r="I148" s="74" t="s">
        <v>915</v>
      </c>
      <c r="J148" s="75">
        <v>46036</v>
      </c>
      <c r="K148" s="74" t="s">
        <v>30</v>
      </c>
    </row>
    <row r="149" ht="16.5" hidden="1" spans="1:11">
      <c r="A149" s="12">
        <v>147</v>
      </c>
      <c r="B149" s="12" t="s">
        <v>23</v>
      </c>
      <c r="C149" s="12" t="s">
        <v>38</v>
      </c>
      <c r="D149" s="12" t="s">
        <v>70</v>
      </c>
      <c r="E149" s="12" t="s">
        <v>82</v>
      </c>
      <c r="F149" s="74" t="s">
        <v>531</v>
      </c>
      <c r="G149" s="12" t="s">
        <v>1087</v>
      </c>
      <c r="H149" s="12" t="s">
        <v>1089</v>
      </c>
      <c r="I149" s="74" t="s">
        <v>915</v>
      </c>
      <c r="J149" s="75">
        <v>46050</v>
      </c>
      <c r="K149" s="74" t="s">
        <v>30</v>
      </c>
    </row>
    <row r="150" ht="16.5" hidden="1" spans="1:11">
      <c r="A150" s="12">
        <v>148</v>
      </c>
      <c r="B150" s="12" t="s">
        <v>23</v>
      </c>
      <c r="C150" s="12" t="s">
        <v>35</v>
      </c>
      <c r="D150" s="12" t="s">
        <v>125</v>
      </c>
      <c r="E150" s="12" t="s">
        <v>605</v>
      </c>
      <c r="F150" s="74" t="s">
        <v>463</v>
      </c>
      <c r="G150" s="12" t="s">
        <v>1088</v>
      </c>
      <c r="H150" s="12" t="s">
        <v>1089</v>
      </c>
      <c r="I150" s="74" t="s">
        <v>915</v>
      </c>
      <c r="J150" s="75">
        <v>46050</v>
      </c>
      <c r="K150" s="74" t="s">
        <v>30</v>
      </c>
    </row>
    <row r="151" ht="16.5" hidden="1" spans="1:11">
      <c r="A151" s="12">
        <v>149</v>
      </c>
      <c r="B151" s="12" t="s">
        <v>23</v>
      </c>
      <c r="C151" s="12" t="s">
        <v>38</v>
      </c>
      <c r="D151" s="12" t="s">
        <v>168</v>
      </c>
      <c r="E151" s="12" t="s">
        <v>430</v>
      </c>
      <c r="F151" s="74" t="s">
        <v>205</v>
      </c>
      <c r="G151" s="12" t="s">
        <v>1094</v>
      </c>
      <c r="H151" s="12" t="s">
        <v>1089</v>
      </c>
      <c r="I151" s="74" t="s">
        <v>915</v>
      </c>
      <c r="J151" s="75">
        <v>46050</v>
      </c>
      <c r="K151" s="74" t="s">
        <v>30</v>
      </c>
    </row>
    <row r="152" ht="16.5" hidden="1" spans="1:11">
      <c r="A152" s="12">
        <v>150</v>
      </c>
      <c r="B152" s="12" t="s">
        <v>23</v>
      </c>
      <c r="C152" s="12" t="s">
        <v>38</v>
      </c>
      <c r="D152" s="12" t="s">
        <v>220</v>
      </c>
      <c r="E152" s="12" t="s">
        <v>427</v>
      </c>
      <c r="F152" s="74" t="s">
        <v>540</v>
      </c>
      <c r="G152" s="12" t="s">
        <v>1093</v>
      </c>
      <c r="H152" s="12" t="s">
        <v>1089</v>
      </c>
      <c r="I152" s="74" t="s">
        <v>915</v>
      </c>
      <c r="J152" s="75">
        <v>46050</v>
      </c>
      <c r="K152" s="74" t="s">
        <v>30</v>
      </c>
    </row>
    <row r="153" ht="16.5" hidden="1" spans="1:11">
      <c r="A153" s="12">
        <v>151</v>
      </c>
      <c r="B153" s="12" t="s">
        <v>23</v>
      </c>
      <c r="C153" s="12" t="s">
        <v>38</v>
      </c>
      <c r="D153" s="12" t="s">
        <v>148</v>
      </c>
      <c r="E153" s="12" t="s">
        <v>364</v>
      </c>
      <c r="F153" s="74" t="s">
        <v>147</v>
      </c>
      <c r="G153" s="12" t="s">
        <v>1100</v>
      </c>
      <c r="H153" s="12" t="s">
        <v>1089</v>
      </c>
      <c r="I153" s="74" t="s">
        <v>915</v>
      </c>
      <c r="J153" s="75">
        <v>46050</v>
      </c>
      <c r="K153" s="74" t="s">
        <v>30</v>
      </c>
    </row>
    <row r="154" ht="16.5" hidden="1" spans="1:11">
      <c r="A154" s="12">
        <v>152</v>
      </c>
      <c r="B154" s="12" t="s">
        <v>23</v>
      </c>
      <c r="C154" s="12" t="s">
        <v>32</v>
      </c>
      <c r="D154" s="12" t="s">
        <v>105</v>
      </c>
      <c r="E154" s="12" t="s">
        <v>556</v>
      </c>
      <c r="F154" s="74" t="s">
        <v>192</v>
      </c>
      <c r="G154" s="12" t="s">
        <v>1092</v>
      </c>
      <c r="H154" s="12" t="s">
        <v>1089</v>
      </c>
      <c r="I154" s="74" t="s">
        <v>915</v>
      </c>
      <c r="J154" s="75">
        <v>46050</v>
      </c>
      <c r="K154" s="74" t="s">
        <v>30</v>
      </c>
    </row>
    <row r="155" ht="16.5" hidden="1" spans="1:11">
      <c r="A155" s="12">
        <v>153</v>
      </c>
      <c r="B155" s="12" t="s">
        <v>23</v>
      </c>
      <c r="C155" s="12" t="s">
        <v>38</v>
      </c>
      <c r="D155" s="12" t="s">
        <v>148</v>
      </c>
      <c r="E155" s="12" t="s">
        <v>376</v>
      </c>
      <c r="F155" s="74" t="s">
        <v>227</v>
      </c>
      <c r="G155" s="12" t="s">
        <v>1091</v>
      </c>
      <c r="H155" s="12" t="s">
        <v>1089</v>
      </c>
      <c r="I155" s="74" t="s">
        <v>915</v>
      </c>
      <c r="J155" s="75">
        <v>46050</v>
      </c>
      <c r="K155" s="74" t="s">
        <v>30</v>
      </c>
    </row>
    <row r="156" ht="16.5" hidden="1" spans="1:11">
      <c r="A156" s="12">
        <v>154</v>
      </c>
      <c r="B156" s="12" t="s">
        <v>23</v>
      </c>
      <c r="C156" s="12" t="s">
        <v>36</v>
      </c>
      <c r="D156" s="12" t="s">
        <v>173</v>
      </c>
      <c r="E156" s="12" t="s">
        <v>309</v>
      </c>
      <c r="F156" s="74" t="s">
        <v>320</v>
      </c>
      <c r="G156" s="12" t="s">
        <v>1085</v>
      </c>
      <c r="H156" s="12" t="s">
        <v>1089</v>
      </c>
      <c r="I156" s="74" t="s">
        <v>915</v>
      </c>
      <c r="J156" s="75">
        <v>46050</v>
      </c>
      <c r="K156" s="74" t="s">
        <v>30</v>
      </c>
    </row>
    <row r="157" ht="16.5" hidden="1" spans="1:11">
      <c r="A157" s="12">
        <v>155</v>
      </c>
      <c r="B157" s="12" t="s">
        <v>23</v>
      </c>
      <c r="C157" s="12" t="s">
        <v>38</v>
      </c>
      <c r="D157" s="12" t="s">
        <v>63</v>
      </c>
      <c r="E157" s="12" t="s">
        <v>129</v>
      </c>
      <c r="F157" s="74" t="s">
        <v>294</v>
      </c>
      <c r="G157" s="12" t="s">
        <v>1112</v>
      </c>
      <c r="H157" s="12" t="s">
        <v>1113</v>
      </c>
      <c r="I157" s="74" t="s">
        <v>915</v>
      </c>
      <c r="J157" s="75">
        <v>46050</v>
      </c>
      <c r="K157" s="74" t="s">
        <v>30</v>
      </c>
    </row>
    <row r="158" ht="16.5" hidden="1" spans="1:11">
      <c r="A158" s="12">
        <v>156</v>
      </c>
      <c r="B158" s="12" t="s">
        <v>23</v>
      </c>
      <c r="C158" s="12" t="s">
        <v>38</v>
      </c>
      <c r="D158" s="12" t="s">
        <v>63</v>
      </c>
      <c r="E158" s="12" t="s">
        <v>494</v>
      </c>
      <c r="F158" s="74" t="s">
        <v>95</v>
      </c>
      <c r="G158" s="12" t="s">
        <v>1096</v>
      </c>
      <c r="H158" s="12" t="s">
        <v>1089</v>
      </c>
      <c r="I158" s="74" t="s">
        <v>915</v>
      </c>
      <c r="J158" s="75">
        <v>46050</v>
      </c>
      <c r="K158" s="74" t="s">
        <v>30</v>
      </c>
    </row>
    <row r="159" ht="16.5" hidden="1" spans="1:11">
      <c r="A159" s="12">
        <v>157</v>
      </c>
      <c r="B159" s="12" t="s">
        <v>23</v>
      </c>
      <c r="C159" s="12" t="s">
        <v>38</v>
      </c>
      <c r="D159" s="12" t="s">
        <v>63</v>
      </c>
      <c r="E159" s="12" t="s">
        <v>602</v>
      </c>
      <c r="F159" s="74" t="s">
        <v>481</v>
      </c>
      <c r="G159" s="12" t="s">
        <v>1099</v>
      </c>
      <c r="H159" s="12" t="s">
        <v>1089</v>
      </c>
      <c r="I159" s="74" t="s">
        <v>915</v>
      </c>
      <c r="J159" s="75">
        <v>46050</v>
      </c>
      <c r="K159" s="74" t="s">
        <v>30</v>
      </c>
    </row>
    <row r="160" ht="16.5" hidden="1" spans="1:11">
      <c r="A160" s="12">
        <v>158</v>
      </c>
      <c r="B160" s="12" t="s">
        <v>23</v>
      </c>
      <c r="C160" s="12" t="s">
        <v>31</v>
      </c>
      <c r="D160" s="12" t="s">
        <v>79</v>
      </c>
      <c r="E160" s="12" t="s">
        <v>189</v>
      </c>
      <c r="F160" s="74" t="s">
        <v>78</v>
      </c>
      <c r="G160" s="12" t="s">
        <v>1103</v>
      </c>
      <c r="H160" s="12" t="s">
        <v>1089</v>
      </c>
      <c r="I160" s="74" t="s">
        <v>915</v>
      </c>
      <c r="J160" s="75">
        <v>46050</v>
      </c>
      <c r="K160" s="74" t="s">
        <v>30</v>
      </c>
    </row>
    <row r="161" ht="16.5" hidden="1" spans="1:11">
      <c r="A161" s="12">
        <v>159</v>
      </c>
      <c r="B161" s="12" t="s">
        <v>23</v>
      </c>
      <c r="C161" s="12" t="s">
        <v>35</v>
      </c>
      <c r="D161" s="12" t="s">
        <v>125</v>
      </c>
      <c r="E161" s="12" t="s">
        <v>417</v>
      </c>
      <c r="F161" s="74" t="s">
        <v>493</v>
      </c>
      <c r="G161" s="12" t="s">
        <v>1102</v>
      </c>
      <c r="H161" s="12" t="s">
        <v>1089</v>
      </c>
      <c r="I161" s="74" t="s">
        <v>915</v>
      </c>
      <c r="J161" s="75">
        <v>46050</v>
      </c>
      <c r="K161" s="74" t="s">
        <v>30</v>
      </c>
    </row>
    <row r="162" ht="16.5" hidden="1" spans="1:11">
      <c r="A162" s="12">
        <v>160</v>
      </c>
      <c r="B162" s="12" t="s">
        <v>23</v>
      </c>
      <c r="C162" s="12" t="s">
        <v>32</v>
      </c>
      <c r="D162" s="12" t="s">
        <v>105</v>
      </c>
      <c r="E162" s="12" t="s">
        <v>556</v>
      </c>
      <c r="F162" s="74" t="s">
        <v>165</v>
      </c>
      <c r="G162" s="12" t="s">
        <v>1095</v>
      </c>
      <c r="H162" s="12" t="s">
        <v>1089</v>
      </c>
      <c r="I162" s="74" t="s">
        <v>915</v>
      </c>
      <c r="J162" s="75">
        <v>46050</v>
      </c>
      <c r="K162" s="74" t="s">
        <v>30</v>
      </c>
    </row>
    <row r="163" ht="16.5" hidden="1" spans="1:11">
      <c r="A163" s="12">
        <v>161</v>
      </c>
      <c r="B163" s="12" t="s">
        <v>23</v>
      </c>
      <c r="C163" s="12" t="s">
        <v>29</v>
      </c>
      <c r="D163" s="12" t="s">
        <v>130</v>
      </c>
      <c r="E163" s="12" t="s">
        <v>380</v>
      </c>
      <c r="F163" s="74" t="s">
        <v>253</v>
      </c>
      <c r="G163" s="12" t="s">
        <v>1097</v>
      </c>
      <c r="H163" s="12" t="s">
        <v>1089</v>
      </c>
      <c r="I163" s="74" t="s">
        <v>915</v>
      </c>
      <c r="J163" s="75">
        <v>46050</v>
      </c>
      <c r="K163" s="74" t="s">
        <v>30</v>
      </c>
    </row>
    <row r="164" ht="16.5" hidden="1" spans="1:11">
      <c r="A164" s="12">
        <v>162</v>
      </c>
      <c r="B164" s="12" t="s">
        <v>23</v>
      </c>
      <c r="C164" s="12" t="s">
        <v>35</v>
      </c>
      <c r="D164" s="12" t="s">
        <v>125</v>
      </c>
      <c r="E164" s="12" t="s">
        <v>444</v>
      </c>
      <c r="F164" s="74" t="s">
        <v>584</v>
      </c>
      <c r="G164" s="12" t="s">
        <v>1101</v>
      </c>
      <c r="H164" s="12" t="s">
        <v>1089</v>
      </c>
      <c r="I164" s="74" t="s">
        <v>915</v>
      </c>
      <c r="J164" s="75">
        <v>46050</v>
      </c>
      <c r="K164" s="74" t="s">
        <v>30</v>
      </c>
    </row>
    <row r="165" ht="16.5" hidden="1" spans="1:11">
      <c r="A165" s="12">
        <v>163</v>
      </c>
      <c r="B165" s="12" t="s">
        <v>23</v>
      </c>
      <c r="C165" s="12" t="s">
        <v>37</v>
      </c>
      <c r="D165" s="12" t="s">
        <v>152</v>
      </c>
      <c r="E165" s="12" t="s">
        <v>267</v>
      </c>
      <c r="F165" s="74" t="s">
        <v>251</v>
      </c>
      <c r="G165" s="12" t="s">
        <v>1109</v>
      </c>
      <c r="H165" s="12" t="s">
        <v>1089</v>
      </c>
      <c r="I165" s="74" t="s">
        <v>915</v>
      </c>
      <c r="J165" s="75">
        <v>46050</v>
      </c>
      <c r="K165" s="74" t="s">
        <v>30</v>
      </c>
    </row>
    <row r="166" ht="16.5" hidden="1" spans="1:11">
      <c r="A166" s="12">
        <v>164</v>
      </c>
      <c r="B166" s="12" t="s">
        <v>23</v>
      </c>
      <c r="C166" s="12" t="s">
        <v>37</v>
      </c>
      <c r="D166" s="12" t="s">
        <v>109</v>
      </c>
      <c r="E166" s="12" t="s">
        <v>108</v>
      </c>
      <c r="F166" s="74" t="s">
        <v>203</v>
      </c>
      <c r="G166" s="12" t="s">
        <v>1104</v>
      </c>
      <c r="H166" s="12" t="s">
        <v>1089</v>
      </c>
      <c r="I166" s="74" t="s">
        <v>915</v>
      </c>
      <c r="J166" s="75">
        <v>46050</v>
      </c>
      <c r="K166" s="74" t="s">
        <v>30</v>
      </c>
    </row>
    <row r="167" ht="16.5" hidden="1" spans="1:11">
      <c r="A167" s="12">
        <v>165</v>
      </c>
      <c r="B167" s="12" t="s">
        <v>23</v>
      </c>
      <c r="C167" s="12" t="s">
        <v>31</v>
      </c>
      <c r="D167" s="12" t="s">
        <v>79</v>
      </c>
      <c r="E167" s="12" t="s">
        <v>343</v>
      </c>
      <c r="F167" s="74" t="s">
        <v>245</v>
      </c>
      <c r="G167" s="12" t="s">
        <v>1105</v>
      </c>
      <c r="H167" s="12" t="s">
        <v>1089</v>
      </c>
      <c r="I167" s="74" t="s">
        <v>915</v>
      </c>
      <c r="J167" s="75">
        <v>46050</v>
      </c>
      <c r="K167" s="74" t="s">
        <v>30</v>
      </c>
    </row>
    <row r="168" ht="16.5" hidden="1" spans="1:11">
      <c r="A168" s="12">
        <v>166</v>
      </c>
      <c r="B168" s="12" t="s">
        <v>23</v>
      </c>
      <c r="C168" s="12" t="s">
        <v>32</v>
      </c>
      <c r="D168" s="12" t="s">
        <v>105</v>
      </c>
      <c r="E168" s="12" t="s">
        <v>104</v>
      </c>
      <c r="F168" s="74" t="s">
        <v>1106</v>
      </c>
      <c r="G168" s="12" t="s">
        <v>1107</v>
      </c>
      <c r="H168" s="12" t="s">
        <v>909</v>
      </c>
      <c r="I168" s="74" t="s">
        <v>915</v>
      </c>
      <c r="J168" s="75">
        <v>46050</v>
      </c>
      <c r="K168" s="74" t="s">
        <v>30</v>
      </c>
    </row>
    <row r="169" ht="16.5" hidden="1" spans="1:11">
      <c r="A169" s="12">
        <v>167</v>
      </c>
      <c r="B169" s="12" t="s">
        <v>23</v>
      </c>
      <c r="C169" s="12" t="s">
        <v>37</v>
      </c>
      <c r="D169" s="12" t="s">
        <v>152</v>
      </c>
      <c r="E169" s="12" t="s">
        <v>451</v>
      </c>
      <c r="F169" s="74" t="s">
        <v>237</v>
      </c>
      <c r="G169" s="12" t="s">
        <v>1108</v>
      </c>
      <c r="H169" s="12" t="s">
        <v>1089</v>
      </c>
      <c r="I169" s="74" t="s">
        <v>915</v>
      </c>
      <c r="J169" s="75">
        <v>46050</v>
      </c>
      <c r="K169" s="74" t="s">
        <v>30</v>
      </c>
    </row>
    <row r="170" ht="16.5" hidden="1" spans="1:11">
      <c r="A170" s="12">
        <v>168</v>
      </c>
      <c r="B170" s="12" t="s">
        <v>23</v>
      </c>
      <c r="C170" s="12" t="s">
        <v>35</v>
      </c>
      <c r="D170" s="12" t="s">
        <v>125</v>
      </c>
      <c r="E170" s="12" t="s">
        <v>605</v>
      </c>
      <c r="F170" s="74" t="s">
        <v>463</v>
      </c>
      <c r="G170" s="12" t="s">
        <v>1088</v>
      </c>
      <c r="H170" s="12" t="s">
        <v>1089</v>
      </c>
      <c r="I170" s="74" t="s">
        <v>915</v>
      </c>
      <c r="J170" s="75">
        <v>46049</v>
      </c>
      <c r="K170" s="74" t="s">
        <v>30</v>
      </c>
    </row>
    <row r="171" ht="16.5" hidden="1" spans="1:11">
      <c r="A171" s="12">
        <v>169</v>
      </c>
      <c r="B171" s="12" t="s">
        <v>23</v>
      </c>
      <c r="C171" s="12" t="s">
        <v>38</v>
      </c>
      <c r="D171" s="12" t="s">
        <v>168</v>
      </c>
      <c r="E171" s="12" t="s">
        <v>430</v>
      </c>
      <c r="F171" s="74" t="s">
        <v>205</v>
      </c>
      <c r="G171" s="12" t="s">
        <v>1094</v>
      </c>
      <c r="H171" s="12" t="s">
        <v>1089</v>
      </c>
      <c r="I171" s="74" t="s">
        <v>915</v>
      </c>
      <c r="J171" s="75">
        <v>46049</v>
      </c>
      <c r="K171" s="74" t="s">
        <v>30</v>
      </c>
    </row>
    <row r="172" ht="16.5" hidden="1" spans="1:11">
      <c r="A172" s="12">
        <v>170</v>
      </c>
      <c r="B172" s="12" t="s">
        <v>23</v>
      </c>
      <c r="C172" s="12" t="s">
        <v>38</v>
      </c>
      <c r="D172" s="12" t="s">
        <v>220</v>
      </c>
      <c r="E172" s="12" t="s">
        <v>427</v>
      </c>
      <c r="F172" s="74" t="s">
        <v>540</v>
      </c>
      <c r="G172" s="12" t="s">
        <v>1093</v>
      </c>
      <c r="H172" s="12" t="s">
        <v>1089</v>
      </c>
      <c r="I172" s="74" t="s">
        <v>915</v>
      </c>
      <c r="J172" s="75">
        <v>46049</v>
      </c>
      <c r="K172" s="74" t="s">
        <v>30</v>
      </c>
    </row>
    <row r="173" ht="16.5" hidden="1" spans="1:11">
      <c r="A173" s="12">
        <v>171</v>
      </c>
      <c r="B173" s="12" t="s">
        <v>23</v>
      </c>
      <c r="C173" s="12" t="s">
        <v>38</v>
      </c>
      <c r="D173" s="12" t="s">
        <v>148</v>
      </c>
      <c r="E173" s="12" t="s">
        <v>364</v>
      </c>
      <c r="F173" s="74" t="s">
        <v>147</v>
      </c>
      <c r="G173" s="12" t="s">
        <v>1100</v>
      </c>
      <c r="H173" s="12" t="s">
        <v>1089</v>
      </c>
      <c r="I173" s="74" t="s">
        <v>915</v>
      </c>
      <c r="J173" s="75">
        <v>46049</v>
      </c>
      <c r="K173" s="74" t="s">
        <v>30</v>
      </c>
    </row>
    <row r="174" ht="16.5" hidden="1" spans="1:11">
      <c r="A174" s="12">
        <v>172</v>
      </c>
      <c r="B174" s="12" t="s">
        <v>23</v>
      </c>
      <c r="C174" s="12" t="s">
        <v>32</v>
      </c>
      <c r="D174" s="12" t="s">
        <v>105</v>
      </c>
      <c r="E174" s="12" t="s">
        <v>556</v>
      </c>
      <c r="F174" s="74" t="s">
        <v>192</v>
      </c>
      <c r="G174" s="12" t="s">
        <v>1092</v>
      </c>
      <c r="H174" s="12" t="s">
        <v>1089</v>
      </c>
      <c r="I174" s="74" t="s">
        <v>915</v>
      </c>
      <c r="J174" s="75">
        <v>46049</v>
      </c>
      <c r="K174" s="74" t="s">
        <v>30</v>
      </c>
    </row>
    <row r="175" ht="16.5" hidden="1" spans="1:11">
      <c r="A175" s="12">
        <v>173</v>
      </c>
      <c r="B175" s="12" t="s">
        <v>23</v>
      </c>
      <c r="C175" s="12" t="s">
        <v>38</v>
      </c>
      <c r="D175" s="12" t="s">
        <v>148</v>
      </c>
      <c r="E175" s="12" t="s">
        <v>376</v>
      </c>
      <c r="F175" s="74" t="s">
        <v>227</v>
      </c>
      <c r="G175" s="12" t="s">
        <v>1091</v>
      </c>
      <c r="H175" s="12" t="s">
        <v>1089</v>
      </c>
      <c r="I175" s="74" t="s">
        <v>915</v>
      </c>
      <c r="J175" s="75">
        <v>46049</v>
      </c>
      <c r="K175" s="74" t="s">
        <v>30</v>
      </c>
    </row>
    <row r="176" ht="16.5" hidden="1" spans="1:11">
      <c r="A176" s="12">
        <v>174</v>
      </c>
      <c r="B176" s="12" t="s">
        <v>23</v>
      </c>
      <c r="C176" s="12" t="s">
        <v>36</v>
      </c>
      <c r="D176" s="12" t="s">
        <v>173</v>
      </c>
      <c r="E176" s="12" t="s">
        <v>309</v>
      </c>
      <c r="F176" s="74" t="s">
        <v>320</v>
      </c>
      <c r="G176" s="12" t="s">
        <v>1085</v>
      </c>
      <c r="H176" s="12" t="s">
        <v>1089</v>
      </c>
      <c r="I176" s="74" t="s">
        <v>915</v>
      </c>
      <c r="J176" s="75">
        <v>46049</v>
      </c>
      <c r="K176" s="74" t="s">
        <v>30</v>
      </c>
    </row>
    <row r="177" ht="16.5" hidden="1" spans="1:11">
      <c r="A177" s="12">
        <v>175</v>
      </c>
      <c r="B177" s="12" t="s">
        <v>23</v>
      </c>
      <c r="C177" s="12" t="s">
        <v>38</v>
      </c>
      <c r="D177" s="12" t="s">
        <v>63</v>
      </c>
      <c r="E177" s="12" t="s">
        <v>129</v>
      </c>
      <c r="F177" s="74" t="s">
        <v>294</v>
      </c>
      <c r="G177" s="12" t="s">
        <v>1112</v>
      </c>
      <c r="H177" s="12" t="s">
        <v>1113</v>
      </c>
      <c r="I177" s="74" t="s">
        <v>915</v>
      </c>
      <c r="J177" s="75">
        <v>46049</v>
      </c>
      <c r="K177" s="74" t="s">
        <v>30</v>
      </c>
    </row>
    <row r="178" ht="16.5" hidden="1" spans="1:11">
      <c r="A178" s="12">
        <v>176</v>
      </c>
      <c r="B178" s="12" t="s">
        <v>23</v>
      </c>
      <c r="C178" s="12" t="s">
        <v>38</v>
      </c>
      <c r="D178" s="12" t="s">
        <v>63</v>
      </c>
      <c r="E178" s="12" t="s">
        <v>494</v>
      </c>
      <c r="F178" s="74" t="s">
        <v>95</v>
      </c>
      <c r="G178" s="12" t="s">
        <v>1096</v>
      </c>
      <c r="H178" s="12" t="s">
        <v>1089</v>
      </c>
      <c r="I178" s="74" t="s">
        <v>915</v>
      </c>
      <c r="J178" s="75">
        <v>46049</v>
      </c>
      <c r="K178" s="74" t="s">
        <v>30</v>
      </c>
    </row>
    <row r="179" ht="16.5" hidden="1" spans="1:11">
      <c r="A179" s="12">
        <v>177</v>
      </c>
      <c r="B179" s="12" t="s">
        <v>23</v>
      </c>
      <c r="C179" s="12" t="s">
        <v>38</v>
      </c>
      <c r="D179" s="12" t="s">
        <v>63</v>
      </c>
      <c r="E179" s="12" t="s">
        <v>602</v>
      </c>
      <c r="F179" s="74" t="s">
        <v>481</v>
      </c>
      <c r="G179" s="12" t="s">
        <v>1099</v>
      </c>
      <c r="H179" s="12" t="s">
        <v>1089</v>
      </c>
      <c r="I179" s="74" t="s">
        <v>915</v>
      </c>
      <c r="J179" s="75">
        <v>46049</v>
      </c>
      <c r="K179" s="74" t="s">
        <v>30</v>
      </c>
    </row>
    <row r="180" ht="16.5" hidden="1" spans="1:11">
      <c r="A180" s="12">
        <v>178</v>
      </c>
      <c r="B180" s="12" t="s">
        <v>23</v>
      </c>
      <c r="C180" s="12" t="s">
        <v>31</v>
      </c>
      <c r="D180" s="12" t="s">
        <v>79</v>
      </c>
      <c r="E180" s="12" t="s">
        <v>189</v>
      </c>
      <c r="F180" s="74" t="s">
        <v>78</v>
      </c>
      <c r="G180" s="12" t="s">
        <v>1103</v>
      </c>
      <c r="H180" s="12" t="s">
        <v>1089</v>
      </c>
      <c r="I180" s="74" t="s">
        <v>915</v>
      </c>
      <c r="J180" s="75">
        <v>46049</v>
      </c>
      <c r="K180" s="74" t="s">
        <v>30</v>
      </c>
    </row>
    <row r="181" ht="16.5" hidden="1" spans="1:11">
      <c r="A181" s="12">
        <v>179</v>
      </c>
      <c r="B181" s="12" t="s">
        <v>23</v>
      </c>
      <c r="C181" s="12" t="s">
        <v>35</v>
      </c>
      <c r="D181" s="12" t="s">
        <v>125</v>
      </c>
      <c r="E181" s="12" t="s">
        <v>417</v>
      </c>
      <c r="F181" s="74" t="s">
        <v>493</v>
      </c>
      <c r="G181" s="12" t="s">
        <v>1102</v>
      </c>
      <c r="H181" s="12" t="s">
        <v>1089</v>
      </c>
      <c r="I181" s="74" t="s">
        <v>915</v>
      </c>
      <c r="J181" s="75">
        <v>46049</v>
      </c>
      <c r="K181" s="74" t="s">
        <v>30</v>
      </c>
    </row>
    <row r="182" ht="16.5" hidden="1" spans="1:11">
      <c r="A182" s="12">
        <v>180</v>
      </c>
      <c r="B182" s="12" t="s">
        <v>23</v>
      </c>
      <c r="C182" s="12" t="s">
        <v>32</v>
      </c>
      <c r="D182" s="12" t="s">
        <v>105</v>
      </c>
      <c r="E182" s="12" t="s">
        <v>556</v>
      </c>
      <c r="F182" s="74" t="s">
        <v>165</v>
      </c>
      <c r="G182" s="12" t="s">
        <v>1095</v>
      </c>
      <c r="H182" s="12" t="s">
        <v>1089</v>
      </c>
      <c r="I182" s="74" t="s">
        <v>915</v>
      </c>
      <c r="J182" s="75">
        <v>46049</v>
      </c>
      <c r="K182" s="74" t="s">
        <v>30</v>
      </c>
    </row>
    <row r="183" ht="16.5" hidden="1" spans="1:11">
      <c r="A183" s="12">
        <v>181</v>
      </c>
      <c r="B183" s="12" t="s">
        <v>23</v>
      </c>
      <c r="C183" s="12" t="s">
        <v>29</v>
      </c>
      <c r="D183" s="12" t="s">
        <v>130</v>
      </c>
      <c r="E183" s="12" t="s">
        <v>380</v>
      </c>
      <c r="F183" s="74" t="s">
        <v>253</v>
      </c>
      <c r="G183" s="12" t="s">
        <v>1097</v>
      </c>
      <c r="H183" s="12" t="s">
        <v>1089</v>
      </c>
      <c r="I183" s="74" t="s">
        <v>915</v>
      </c>
      <c r="J183" s="75">
        <v>46049</v>
      </c>
      <c r="K183" s="74" t="s">
        <v>30</v>
      </c>
    </row>
    <row r="184" ht="16.5" hidden="1" spans="1:11">
      <c r="A184" s="12">
        <v>182</v>
      </c>
      <c r="B184" s="12" t="s">
        <v>23</v>
      </c>
      <c r="C184" s="12" t="s">
        <v>35</v>
      </c>
      <c r="D184" s="12" t="s">
        <v>125</v>
      </c>
      <c r="E184" s="12" t="s">
        <v>444</v>
      </c>
      <c r="F184" s="74" t="s">
        <v>584</v>
      </c>
      <c r="G184" s="12" t="s">
        <v>1101</v>
      </c>
      <c r="H184" s="12" t="s">
        <v>1089</v>
      </c>
      <c r="I184" s="74" t="s">
        <v>915</v>
      </c>
      <c r="J184" s="75">
        <v>46049</v>
      </c>
      <c r="K184" s="74" t="s">
        <v>30</v>
      </c>
    </row>
    <row r="185" ht="16.5" hidden="1" spans="1:11">
      <c r="A185" s="12">
        <v>183</v>
      </c>
      <c r="B185" s="12" t="s">
        <v>23</v>
      </c>
      <c r="C185" s="12" t="s">
        <v>37</v>
      </c>
      <c r="D185" s="12" t="s">
        <v>152</v>
      </c>
      <c r="E185" s="12" t="s">
        <v>267</v>
      </c>
      <c r="F185" s="74" t="s">
        <v>251</v>
      </c>
      <c r="G185" s="12" t="s">
        <v>1109</v>
      </c>
      <c r="H185" s="12" t="s">
        <v>1089</v>
      </c>
      <c r="I185" s="74" t="s">
        <v>915</v>
      </c>
      <c r="J185" s="75">
        <v>46049</v>
      </c>
      <c r="K185" s="74" t="s">
        <v>30</v>
      </c>
    </row>
    <row r="186" ht="16.5" hidden="1" spans="1:11">
      <c r="A186" s="12">
        <v>184</v>
      </c>
      <c r="B186" s="12" t="s">
        <v>23</v>
      </c>
      <c r="C186" s="12" t="s">
        <v>37</v>
      </c>
      <c r="D186" s="12" t="s">
        <v>109</v>
      </c>
      <c r="E186" s="12" t="s">
        <v>108</v>
      </c>
      <c r="F186" s="74" t="s">
        <v>203</v>
      </c>
      <c r="G186" s="12" t="s">
        <v>1104</v>
      </c>
      <c r="H186" s="12" t="s">
        <v>1089</v>
      </c>
      <c r="I186" s="74" t="s">
        <v>915</v>
      </c>
      <c r="J186" s="75">
        <v>46049</v>
      </c>
      <c r="K186" s="74" t="s">
        <v>30</v>
      </c>
    </row>
    <row r="187" ht="16.5" hidden="1" spans="1:11">
      <c r="A187" s="12">
        <v>185</v>
      </c>
      <c r="B187" s="12" t="s">
        <v>23</v>
      </c>
      <c r="C187" s="12" t="s">
        <v>31</v>
      </c>
      <c r="D187" s="12" t="s">
        <v>79</v>
      </c>
      <c r="E187" s="12" t="s">
        <v>343</v>
      </c>
      <c r="F187" s="74" t="s">
        <v>245</v>
      </c>
      <c r="G187" s="12" t="s">
        <v>1105</v>
      </c>
      <c r="H187" s="12" t="s">
        <v>1089</v>
      </c>
      <c r="I187" s="74" t="s">
        <v>915</v>
      </c>
      <c r="J187" s="75">
        <v>46049</v>
      </c>
      <c r="K187" s="74" t="s">
        <v>30</v>
      </c>
    </row>
    <row r="188" ht="16.5" hidden="1" spans="1:11">
      <c r="A188" s="12">
        <v>186</v>
      </c>
      <c r="B188" s="12" t="s">
        <v>23</v>
      </c>
      <c r="C188" s="12" t="s">
        <v>32</v>
      </c>
      <c r="D188" s="12" t="s">
        <v>105</v>
      </c>
      <c r="E188" s="12" t="s">
        <v>104</v>
      </c>
      <c r="F188" s="74" t="s">
        <v>1106</v>
      </c>
      <c r="G188" s="12" t="s">
        <v>1107</v>
      </c>
      <c r="H188" s="12" t="s">
        <v>909</v>
      </c>
      <c r="I188" s="74" t="s">
        <v>915</v>
      </c>
      <c r="J188" s="75">
        <v>46049</v>
      </c>
      <c r="K188" s="74" t="s">
        <v>30</v>
      </c>
    </row>
    <row r="189" ht="16.5" hidden="1" spans="1:11">
      <c r="A189" s="12">
        <v>187</v>
      </c>
      <c r="B189" s="12" t="s">
        <v>23</v>
      </c>
      <c r="C189" s="12" t="s">
        <v>37</v>
      </c>
      <c r="D189" s="12" t="s">
        <v>152</v>
      </c>
      <c r="E189" s="12" t="s">
        <v>451</v>
      </c>
      <c r="F189" s="74" t="s">
        <v>237</v>
      </c>
      <c r="G189" s="12" t="s">
        <v>1108</v>
      </c>
      <c r="H189" s="12" t="s">
        <v>1089</v>
      </c>
      <c r="I189" s="74" t="s">
        <v>915</v>
      </c>
      <c r="J189" s="75">
        <v>46049</v>
      </c>
      <c r="K189" s="74" t="s">
        <v>30</v>
      </c>
    </row>
    <row r="190" ht="16.5" hidden="1" spans="1:11">
      <c r="A190" s="12">
        <v>188</v>
      </c>
      <c r="B190" s="12" t="s">
        <v>23</v>
      </c>
      <c r="C190" s="12" t="s">
        <v>38</v>
      </c>
      <c r="D190" s="12" t="s">
        <v>70</v>
      </c>
      <c r="E190" s="12" t="s">
        <v>82</v>
      </c>
      <c r="F190" s="74" t="s">
        <v>531</v>
      </c>
      <c r="G190" s="12" t="s">
        <v>1087</v>
      </c>
      <c r="H190" s="12" t="s">
        <v>1089</v>
      </c>
      <c r="I190" s="74" t="s">
        <v>915</v>
      </c>
      <c r="J190" s="75">
        <v>46049</v>
      </c>
      <c r="K190" s="74" t="s">
        <v>30</v>
      </c>
    </row>
    <row r="191" ht="16.5" hidden="1" spans="1:11">
      <c r="A191" s="12">
        <v>189</v>
      </c>
      <c r="B191" s="12" t="s">
        <v>23</v>
      </c>
      <c r="C191" s="12" t="s">
        <v>38</v>
      </c>
      <c r="D191" s="12" t="s">
        <v>70</v>
      </c>
      <c r="E191" s="12" t="s">
        <v>82</v>
      </c>
      <c r="F191" s="74" t="s">
        <v>531</v>
      </c>
      <c r="G191" s="12" t="s">
        <v>1087</v>
      </c>
      <c r="H191" s="12" t="s">
        <v>1089</v>
      </c>
      <c r="I191" s="74" t="s">
        <v>915</v>
      </c>
      <c r="J191" s="75">
        <v>46044</v>
      </c>
      <c r="K191" s="74" t="s">
        <v>30</v>
      </c>
    </row>
    <row r="192" ht="16.5" hidden="1" spans="1:11">
      <c r="A192" s="12">
        <v>190</v>
      </c>
      <c r="B192" s="12" t="s">
        <v>23</v>
      </c>
      <c r="C192" s="12" t="s">
        <v>35</v>
      </c>
      <c r="D192" s="12" t="s">
        <v>125</v>
      </c>
      <c r="E192" s="12" t="s">
        <v>605</v>
      </c>
      <c r="F192" s="74" t="s">
        <v>463</v>
      </c>
      <c r="G192" s="12" t="s">
        <v>1088</v>
      </c>
      <c r="H192" s="12" t="s">
        <v>1089</v>
      </c>
      <c r="I192" s="74" t="s">
        <v>915</v>
      </c>
      <c r="J192" s="75">
        <v>46044</v>
      </c>
      <c r="K192" s="74" t="s">
        <v>30</v>
      </c>
    </row>
    <row r="193" ht="16.5" hidden="1" spans="1:11">
      <c r="A193" s="12">
        <v>191</v>
      </c>
      <c r="B193" s="12" t="s">
        <v>23</v>
      </c>
      <c r="C193" s="12" t="s">
        <v>38</v>
      </c>
      <c r="D193" s="12" t="s">
        <v>168</v>
      </c>
      <c r="E193" s="12" t="s">
        <v>430</v>
      </c>
      <c r="F193" s="74" t="s">
        <v>205</v>
      </c>
      <c r="G193" s="12" t="s">
        <v>1094</v>
      </c>
      <c r="H193" s="12" t="s">
        <v>1089</v>
      </c>
      <c r="I193" s="74" t="s">
        <v>915</v>
      </c>
      <c r="J193" s="75">
        <v>46044</v>
      </c>
      <c r="K193" s="74" t="s">
        <v>30</v>
      </c>
    </row>
    <row r="194" ht="16.5" hidden="1" spans="1:11">
      <c r="A194" s="12">
        <v>192</v>
      </c>
      <c r="B194" s="12" t="s">
        <v>23</v>
      </c>
      <c r="C194" s="12" t="s">
        <v>38</v>
      </c>
      <c r="D194" s="12" t="s">
        <v>220</v>
      </c>
      <c r="E194" s="12" t="s">
        <v>427</v>
      </c>
      <c r="F194" s="74" t="s">
        <v>540</v>
      </c>
      <c r="G194" s="12" t="s">
        <v>1093</v>
      </c>
      <c r="H194" s="12" t="s">
        <v>1089</v>
      </c>
      <c r="I194" s="74" t="s">
        <v>915</v>
      </c>
      <c r="J194" s="75">
        <v>46044</v>
      </c>
      <c r="K194" s="74" t="s">
        <v>30</v>
      </c>
    </row>
    <row r="195" ht="16.5" hidden="1" spans="1:11">
      <c r="A195" s="12">
        <v>193</v>
      </c>
      <c r="B195" s="12" t="s">
        <v>23</v>
      </c>
      <c r="C195" s="12" t="s">
        <v>38</v>
      </c>
      <c r="D195" s="12" t="s">
        <v>148</v>
      </c>
      <c r="E195" s="12" t="s">
        <v>364</v>
      </c>
      <c r="F195" s="74" t="s">
        <v>147</v>
      </c>
      <c r="G195" s="12" t="s">
        <v>1100</v>
      </c>
      <c r="H195" s="12" t="s">
        <v>1089</v>
      </c>
      <c r="I195" s="74" t="s">
        <v>915</v>
      </c>
      <c r="J195" s="75">
        <v>46044</v>
      </c>
      <c r="K195" s="74" t="s">
        <v>30</v>
      </c>
    </row>
    <row r="196" ht="16.5" hidden="1" spans="1:11">
      <c r="A196" s="12">
        <v>194</v>
      </c>
      <c r="B196" s="12" t="s">
        <v>23</v>
      </c>
      <c r="C196" s="12" t="s">
        <v>32</v>
      </c>
      <c r="D196" s="12" t="s">
        <v>105</v>
      </c>
      <c r="E196" s="12" t="s">
        <v>556</v>
      </c>
      <c r="F196" s="74" t="s">
        <v>192</v>
      </c>
      <c r="G196" s="12" t="s">
        <v>1092</v>
      </c>
      <c r="H196" s="12" t="s">
        <v>1089</v>
      </c>
      <c r="I196" s="74" t="s">
        <v>915</v>
      </c>
      <c r="J196" s="75">
        <v>46044</v>
      </c>
      <c r="K196" s="74" t="s">
        <v>30</v>
      </c>
    </row>
    <row r="197" ht="16.5" hidden="1" spans="1:11">
      <c r="A197" s="12">
        <v>195</v>
      </c>
      <c r="B197" s="12" t="s">
        <v>23</v>
      </c>
      <c r="C197" s="12" t="s">
        <v>38</v>
      </c>
      <c r="D197" s="12" t="s">
        <v>148</v>
      </c>
      <c r="E197" s="12" t="s">
        <v>376</v>
      </c>
      <c r="F197" s="74" t="s">
        <v>227</v>
      </c>
      <c r="G197" s="12" t="s">
        <v>1091</v>
      </c>
      <c r="H197" s="12" t="s">
        <v>1089</v>
      </c>
      <c r="I197" s="74" t="s">
        <v>915</v>
      </c>
      <c r="J197" s="75">
        <v>46044</v>
      </c>
      <c r="K197" s="74" t="s">
        <v>30</v>
      </c>
    </row>
    <row r="198" ht="16.5" hidden="1" spans="1:11">
      <c r="A198" s="12">
        <v>196</v>
      </c>
      <c r="B198" s="12" t="s">
        <v>23</v>
      </c>
      <c r="C198" s="12" t="s">
        <v>36</v>
      </c>
      <c r="D198" s="12" t="s">
        <v>173</v>
      </c>
      <c r="E198" s="12" t="s">
        <v>309</v>
      </c>
      <c r="F198" s="74" t="s">
        <v>320</v>
      </c>
      <c r="G198" s="12" t="s">
        <v>1085</v>
      </c>
      <c r="H198" s="12" t="s">
        <v>1089</v>
      </c>
      <c r="I198" s="74" t="s">
        <v>915</v>
      </c>
      <c r="J198" s="75">
        <v>46044</v>
      </c>
      <c r="K198" s="74" t="s">
        <v>30</v>
      </c>
    </row>
    <row r="199" ht="16.5" hidden="1" spans="1:11">
      <c r="A199" s="12">
        <v>197</v>
      </c>
      <c r="B199" s="12" t="s">
        <v>23</v>
      </c>
      <c r="C199" s="12" t="s">
        <v>38</v>
      </c>
      <c r="D199" s="12" t="s">
        <v>63</v>
      </c>
      <c r="E199" s="12" t="s">
        <v>129</v>
      </c>
      <c r="F199" s="74" t="s">
        <v>294</v>
      </c>
      <c r="G199" s="12" t="s">
        <v>1112</v>
      </c>
      <c r="H199" s="12" t="s">
        <v>1113</v>
      </c>
      <c r="I199" s="74" t="s">
        <v>915</v>
      </c>
      <c r="J199" s="75">
        <v>46044</v>
      </c>
      <c r="K199" s="74" t="s">
        <v>30</v>
      </c>
    </row>
    <row r="200" ht="16.5" hidden="1" spans="1:11">
      <c r="A200" s="12">
        <v>198</v>
      </c>
      <c r="B200" s="12" t="s">
        <v>23</v>
      </c>
      <c r="C200" s="12" t="s">
        <v>38</v>
      </c>
      <c r="D200" s="12" t="s">
        <v>63</v>
      </c>
      <c r="E200" s="12" t="s">
        <v>494</v>
      </c>
      <c r="F200" s="74" t="s">
        <v>95</v>
      </c>
      <c r="G200" s="12" t="s">
        <v>1096</v>
      </c>
      <c r="H200" s="12" t="s">
        <v>1089</v>
      </c>
      <c r="I200" s="74" t="s">
        <v>915</v>
      </c>
      <c r="J200" s="75">
        <v>46044</v>
      </c>
      <c r="K200" s="74" t="s">
        <v>30</v>
      </c>
    </row>
    <row r="201" ht="16.5" hidden="1" spans="1:11">
      <c r="A201" s="12">
        <v>199</v>
      </c>
      <c r="B201" s="12" t="s">
        <v>23</v>
      </c>
      <c r="C201" s="12" t="s">
        <v>38</v>
      </c>
      <c r="D201" s="12" t="s">
        <v>63</v>
      </c>
      <c r="E201" s="12" t="s">
        <v>602</v>
      </c>
      <c r="F201" s="74" t="s">
        <v>481</v>
      </c>
      <c r="G201" s="12" t="s">
        <v>1099</v>
      </c>
      <c r="H201" s="12" t="s">
        <v>1089</v>
      </c>
      <c r="I201" s="74" t="s">
        <v>915</v>
      </c>
      <c r="J201" s="75">
        <v>46044</v>
      </c>
      <c r="K201" s="74" t="s">
        <v>30</v>
      </c>
    </row>
    <row r="202" ht="16.5" hidden="1" spans="1:11">
      <c r="A202" s="12">
        <v>200</v>
      </c>
      <c r="B202" s="12" t="s">
        <v>23</v>
      </c>
      <c r="C202" s="12" t="s">
        <v>31</v>
      </c>
      <c r="D202" s="12" t="s">
        <v>79</v>
      </c>
      <c r="E202" s="12" t="s">
        <v>189</v>
      </c>
      <c r="F202" s="74" t="s">
        <v>78</v>
      </c>
      <c r="G202" s="12" t="s">
        <v>1103</v>
      </c>
      <c r="H202" s="12" t="s">
        <v>1089</v>
      </c>
      <c r="I202" s="74" t="s">
        <v>915</v>
      </c>
      <c r="J202" s="75">
        <v>46044</v>
      </c>
      <c r="K202" s="74" t="s">
        <v>30</v>
      </c>
    </row>
    <row r="203" ht="16.5" hidden="1" spans="1:11">
      <c r="A203" s="12">
        <v>201</v>
      </c>
      <c r="B203" s="12" t="s">
        <v>23</v>
      </c>
      <c r="C203" s="12" t="s">
        <v>35</v>
      </c>
      <c r="D203" s="12" t="s">
        <v>125</v>
      </c>
      <c r="E203" s="12" t="s">
        <v>417</v>
      </c>
      <c r="F203" s="74" t="s">
        <v>493</v>
      </c>
      <c r="G203" s="12" t="s">
        <v>1102</v>
      </c>
      <c r="H203" s="12" t="s">
        <v>1089</v>
      </c>
      <c r="I203" s="74" t="s">
        <v>915</v>
      </c>
      <c r="J203" s="75">
        <v>46044</v>
      </c>
      <c r="K203" s="74" t="s">
        <v>30</v>
      </c>
    </row>
    <row r="204" ht="16.5" hidden="1" spans="1:11">
      <c r="A204" s="12">
        <v>202</v>
      </c>
      <c r="B204" s="12" t="s">
        <v>23</v>
      </c>
      <c r="C204" s="12" t="s">
        <v>32</v>
      </c>
      <c r="D204" s="12" t="s">
        <v>105</v>
      </c>
      <c r="E204" s="12" t="s">
        <v>556</v>
      </c>
      <c r="F204" s="74" t="s">
        <v>165</v>
      </c>
      <c r="G204" s="12" t="s">
        <v>1095</v>
      </c>
      <c r="H204" s="12" t="s">
        <v>1089</v>
      </c>
      <c r="I204" s="74" t="s">
        <v>915</v>
      </c>
      <c r="J204" s="75">
        <v>46044</v>
      </c>
      <c r="K204" s="74" t="s">
        <v>30</v>
      </c>
    </row>
    <row r="205" ht="16.5" hidden="1" spans="1:11">
      <c r="A205" s="12">
        <v>203</v>
      </c>
      <c r="B205" s="12" t="s">
        <v>23</v>
      </c>
      <c r="C205" s="12" t="s">
        <v>29</v>
      </c>
      <c r="D205" s="12" t="s">
        <v>130</v>
      </c>
      <c r="E205" s="12" t="s">
        <v>380</v>
      </c>
      <c r="F205" s="74" t="s">
        <v>253</v>
      </c>
      <c r="G205" s="12" t="s">
        <v>1097</v>
      </c>
      <c r="H205" s="12" t="s">
        <v>1089</v>
      </c>
      <c r="I205" s="74" t="s">
        <v>915</v>
      </c>
      <c r="J205" s="75">
        <v>46044</v>
      </c>
      <c r="K205" s="74" t="s">
        <v>30</v>
      </c>
    </row>
    <row r="206" ht="16.5" hidden="1" spans="1:11">
      <c r="A206" s="12">
        <v>204</v>
      </c>
      <c r="B206" s="12" t="s">
        <v>23</v>
      </c>
      <c r="C206" s="12" t="s">
        <v>35</v>
      </c>
      <c r="D206" s="12" t="s">
        <v>125</v>
      </c>
      <c r="E206" s="12" t="s">
        <v>444</v>
      </c>
      <c r="F206" s="74" t="s">
        <v>584</v>
      </c>
      <c r="G206" s="12" t="s">
        <v>1101</v>
      </c>
      <c r="H206" s="12" t="s">
        <v>1089</v>
      </c>
      <c r="I206" s="74" t="s">
        <v>915</v>
      </c>
      <c r="J206" s="75">
        <v>46044</v>
      </c>
      <c r="K206" s="74" t="s">
        <v>30</v>
      </c>
    </row>
    <row r="207" ht="16.5" hidden="1" spans="1:11">
      <c r="A207" s="12">
        <v>205</v>
      </c>
      <c r="B207" s="12" t="s">
        <v>23</v>
      </c>
      <c r="C207" s="12" t="s">
        <v>37</v>
      </c>
      <c r="D207" s="12" t="s">
        <v>152</v>
      </c>
      <c r="E207" s="12" t="s">
        <v>267</v>
      </c>
      <c r="F207" s="74" t="s">
        <v>251</v>
      </c>
      <c r="G207" s="12" t="s">
        <v>1109</v>
      </c>
      <c r="H207" s="12" t="s">
        <v>1089</v>
      </c>
      <c r="I207" s="74" t="s">
        <v>915</v>
      </c>
      <c r="J207" s="75">
        <v>46044</v>
      </c>
      <c r="K207" s="74" t="s">
        <v>30</v>
      </c>
    </row>
    <row r="208" ht="16.5" hidden="1" spans="1:11">
      <c r="A208" s="12">
        <v>206</v>
      </c>
      <c r="B208" s="12" t="s">
        <v>23</v>
      </c>
      <c r="C208" s="12" t="s">
        <v>37</v>
      </c>
      <c r="D208" s="12" t="s">
        <v>109</v>
      </c>
      <c r="E208" s="12" t="s">
        <v>108</v>
      </c>
      <c r="F208" s="74" t="s">
        <v>203</v>
      </c>
      <c r="G208" s="12" t="s">
        <v>1104</v>
      </c>
      <c r="H208" s="12" t="s">
        <v>1089</v>
      </c>
      <c r="I208" s="74" t="s">
        <v>915</v>
      </c>
      <c r="J208" s="75">
        <v>46044</v>
      </c>
      <c r="K208" s="74" t="s">
        <v>30</v>
      </c>
    </row>
    <row r="209" ht="16.5" hidden="1" spans="1:11">
      <c r="A209" s="12">
        <v>207</v>
      </c>
      <c r="B209" s="12" t="s">
        <v>23</v>
      </c>
      <c r="C209" s="12" t="s">
        <v>31</v>
      </c>
      <c r="D209" s="12" t="s">
        <v>79</v>
      </c>
      <c r="E209" s="12" t="s">
        <v>343</v>
      </c>
      <c r="F209" s="74" t="s">
        <v>245</v>
      </c>
      <c r="G209" s="12" t="s">
        <v>1105</v>
      </c>
      <c r="H209" s="12" t="s">
        <v>1089</v>
      </c>
      <c r="I209" s="74" t="s">
        <v>915</v>
      </c>
      <c r="J209" s="75">
        <v>46044</v>
      </c>
      <c r="K209" s="74" t="s">
        <v>30</v>
      </c>
    </row>
    <row r="210" ht="16.5" hidden="1" spans="1:11">
      <c r="A210" s="12">
        <v>208</v>
      </c>
      <c r="B210" s="12" t="s">
        <v>23</v>
      </c>
      <c r="C210" s="12" t="s">
        <v>32</v>
      </c>
      <c r="D210" s="12" t="s">
        <v>105</v>
      </c>
      <c r="E210" s="12" t="s">
        <v>104</v>
      </c>
      <c r="F210" s="74" t="s">
        <v>1106</v>
      </c>
      <c r="G210" s="12" t="s">
        <v>1107</v>
      </c>
      <c r="H210" s="12" t="s">
        <v>909</v>
      </c>
      <c r="I210" s="74" t="s">
        <v>915</v>
      </c>
      <c r="J210" s="75">
        <v>46044</v>
      </c>
      <c r="K210" s="74" t="s">
        <v>30</v>
      </c>
    </row>
    <row r="211" ht="16.5" hidden="1" spans="1:11">
      <c r="A211" s="12">
        <v>209</v>
      </c>
      <c r="B211" s="12" t="s">
        <v>23</v>
      </c>
      <c r="C211" s="12" t="s">
        <v>37</v>
      </c>
      <c r="D211" s="12" t="s">
        <v>152</v>
      </c>
      <c r="E211" s="12" t="s">
        <v>451</v>
      </c>
      <c r="F211" s="74" t="s">
        <v>237</v>
      </c>
      <c r="G211" s="12" t="s">
        <v>1108</v>
      </c>
      <c r="H211" s="12" t="s">
        <v>1089</v>
      </c>
      <c r="I211" s="74" t="s">
        <v>915</v>
      </c>
      <c r="J211" s="75">
        <v>46044</v>
      </c>
      <c r="K211" s="74" t="s">
        <v>30</v>
      </c>
    </row>
    <row r="212" ht="16.5" hidden="1" spans="1:11">
      <c r="A212" s="12">
        <v>210</v>
      </c>
      <c r="B212" s="12" t="s">
        <v>23</v>
      </c>
      <c r="C212" s="12" t="s">
        <v>38</v>
      </c>
      <c r="D212" s="12" t="s">
        <v>70</v>
      </c>
      <c r="E212" s="12" t="s">
        <v>82</v>
      </c>
      <c r="F212" s="74" t="s">
        <v>413</v>
      </c>
      <c r="G212" s="12" t="s">
        <v>1126</v>
      </c>
      <c r="H212" s="12" t="s">
        <v>1127</v>
      </c>
      <c r="I212" s="74" t="s">
        <v>915</v>
      </c>
      <c r="J212" s="75">
        <v>46043</v>
      </c>
      <c r="K212" s="74" t="s">
        <v>28</v>
      </c>
    </row>
    <row r="213" ht="16.5" hidden="1" spans="1:11">
      <c r="A213" s="12">
        <v>211</v>
      </c>
      <c r="B213" s="12" t="s">
        <v>23</v>
      </c>
      <c r="C213" s="12" t="s">
        <v>38</v>
      </c>
      <c r="D213" s="12" t="s">
        <v>75</v>
      </c>
      <c r="E213" s="12" t="s">
        <v>1077</v>
      </c>
      <c r="F213" s="74" t="s">
        <v>407</v>
      </c>
      <c r="G213" s="12" t="s">
        <v>1128</v>
      </c>
      <c r="H213" s="12" t="s">
        <v>1129</v>
      </c>
      <c r="I213" s="74" t="s">
        <v>915</v>
      </c>
      <c r="J213" s="75">
        <v>46043</v>
      </c>
      <c r="K213" s="74" t="s">
        <v>28</v>
      </c>
    </row>
    <row r="214" ht="16.5" hidden="1" spans="1:11">
      <c r="A214" s="12">
        <v>212</v>
      </c>
      <c r="B214" s="12" t="s">
        <v>23</v>
      </c>
      <c r="C214" s="12" t="s">
        <v>38</v>
      </c>
      <c r="D214" s="12" t="s">
        <v>75</v>
      </c>
      <c r="E214" s="12" t="s">
        <v>407</v>
      </c>
      <c r="F214" s="74" t="s">
        <v>512</v>
      </c>
      <c r="G214" s="12" t="s">
        <v>1130</v>
      </c>
      <c r="H214" s="12" t="s">
        <v>1127</v>
      </c>
      <c r="I214" s="74" t="s">
        <v>915</v>
      </c>
      <c r="J214" s="75">
        <v>46043</v>
      </c>
      <c r="K214" s="74" t="s">
        <v>28</v>
      </c>
    </row>
    <row r="215" ht="16.5" hidden="1" spans="1:11">
      <c r="A215" s="12">
        <v>213</v>
      </c>
      <c r="B215" s="12" t="s">
        <v>23</v>
      </c>
      <c r="C215" s="12" t="s">
        <v>38</v>
      </c>
      <c r="D215" s="12" t="s">
        <v>70</v>
      </c>
      <c r="E215" s="12" t="s">
        <v>82</v>
      </c>
      <c r="F215" s="74" t="s">
        <v>336</v>
      </c>
      <c r="G215" s="12" t="s">
        <v>1131</v>
      </c>
      <c r="H215" s="12" t="s">
        <v>1132</v>
      </c>
      <c r="I215" s="74" t="s">
        <v>915</v>
      </c>
      <c r="J215" s="75">
        <v>46043</v>
      </c>
      <c r="K215" s="74" t="s">
        <v>28</v>
      </c>
    </row>
    <row r="216" ht="16.5" hidden="1" spans="1:11">
      <c r="A216" s="12">
        <v>214</v>
      </c>
      <c r="B216" s="12" t="s">
        <v>23</v>
      </c>
      <c r="C216" s="12" t="s">
        <v>38</v>
      </c>
      <c r="D216" s="12" t="s">
        <v>148</v>
      </c>
      <c r="E216" s="12" t="s">
        <v>364</v>
      </c>
      <c r="F216" s="74" t="s">
        <v>376</v>
      </c>
      <c r="G216" s="12" t="s">
        <v>1133</v>
      </c>
      <c r="H216" s="12" t="s">
        <v>1127</v>
      </c>
      <c r="I216" s="74" t="s">
        <v>915</v>
      </c>
      <c r="J216" s="75">
        <v>46043</v>
      </c>
      <c r="K216" s="74" t="s">
        <v>28</v>
      </c>
    </row>
    <row r="217" ht="16.5" hidden="1" spans="1:11">
      <c r="A217" s="12">
        <v>215</v>
      </c>
      <c r="B217" s="12" t="s">
        <v>23</v>
      </c>
      <c r="C217" s="12" t="s">
        <v>38</v>
      </c>
      <c r="D217" s="12" t="s">
        <v>220</v>
      </c>
      <c r="E217" s="12" t="s">
        <v>427</v>
      </c>
      <c r="F217" s="74" t="s">
        <v>614</v>
      </c>
      <c r="G217" s="12" t="s">
        <v>1134</v>
      </c>
      <c r="H217" s="12" t="s">
        <v>1132</v>
      </c>
      <c r="I217" s="74" t="s">
        <v>915</v>
      </c>
      <c r="J217" s="75">
        <v>46043</v>
      </c>
      <c r="K217" s="74" t="s">
        <v>28</v>
      </c>
    </row>
    <row r="218" ht="16.5" hidden="1" spans="1:11">
      <c r="A218" s="12">
        <v>216</v>
      </c>
      <c r="B218" s="12" t="s">
        <v>23</v>
      </c>
      <c r="C218" s="12" t="s">
        <v>38</v>
      </c>
      <c r="D218" s="12" t="s">
        <v>144</v>
      </c>
      <c r="E218" s="12" t="s">
        <v>1077</v>
      </c>
      <c r="F218" s="74" t="s">
        <v>155</v>
      </c>
      <c r="G218" s="12" t="s">
        <v>1135</v>
      </c>
      <c r="H218" s="12" t="s">
        <v>1129</v>
      </c>
      <c r="I218" s="74" t="s">
        <v>915</v>
      </c>
      <c r="J218" s="75">
        <v>46043</v>
      </c>
      <c r="K218" s="74" t="s">
        <v>28</v>
      </c>
    </row>
    <row r="219" ht="16.5" hidden="1" spans="1:11">
      <c r="A219" s="12">
        <v>217</v>
      </c>
      <c r="B219" s="12" t="s">
        <v>23</v>
      </c>
      <c r="C219" s="12" t="s">
        <v>38</v>
      </c>
      <c r="D219" s="12" t="s">
        <v>168</v>
      </c>
      <c r="E219" s="12" t="s">
        <v>322</v>
      </c>
      <c r="F219" s="74" t="s">
        <v>430</v>
      </c>
      <c r="G219" s="12" t="s">
        <v>1136</v>
      </c>
      <c r="H219" s="12" t="s">
        <v>1127</v>
      </c>
      <c r="I219" s="74" t="s">
        <v>915</v>
      </c>
      <c r="J219" s="75">
        <v>46043</v>
      </c>
      <c r="K219" s="74" t="s">
        <v>28</v>
      </c>
    </row>
    <row r="220" ht="16.5" hidden="1" spans="1:11">
      <c r="A220" s="12">
        <v>218</v>
      </c>
      <c r="B220" s="12" t="s">
        <v>23</v>
      </c>
      <c r="C220" s="12" t="s">
        <v>38</v>
      </c>
      <c r="D220" s="12" t="s">
        <v>168</v>
      </c>
      <c r="E220" s="12" t="s">
        <v>1077</v>
      </c>
      <c r="F220" s="74" t="s">
        <v>322</v>
      </c>
      <c r="G220" s="12" t="s">
        <v>1137</v>
      </c>
      <c r="H220" s="12" t="s">
        <v>1129</v>
      </c>
      <c r="I220" s="74" t="s">
        <v>915</v>
      </c>
      <c r="J220" s="75">
        <v>46043</v>
      </c>
      <c r="K220" s="74" t="s">
        <v>28</v>
      </c>
    </row>
    <row r="221" ht="16.5" hidden="1" spans="1:11">
      <c r="A221" s="12">
        <v>219</v>
      </c>
      <c r="B221" s="12" t="s">
        <v>23</v>
      </c>
      <c r="C221" s="12" t="s">
        <v>38</v>
      </c>
      <c r="D221" s="12" t="s">
        <v>63</v>
      </c>
      <c r="E221" s="12" t="s">
        <v>129</v>
      </c>
      <c r="F221" s="74" t="s">
        <v>602</v>
      </c>
      <c r="G221" s="12" t="s">
        <v>1138</v>
      </c>
      <c r="H221" s="12" t="s">
        <v>1132</v>
      </c>
      <c r="I221" s="74" t="s">
        <v>915</v>
      </c>
      <c r="J221" s="75">
        <v>46043</v>
      </c>
      <c r="K221" s="74" t="s">
        <v>28</v>
      </c>
    </row>
    <row r="222" ht="16.5" hidden="1" spans="1:11">
      <c r="A222" s="12">
        <v>220</v>
      </c>
      <c r="B222" s="12" t="s">
        <v>23</v>
      </c>
      <c r="C222" s="12" t="s">
        <v>38</v>
      </c>
      <c r="D222" s="12" t="s">
        <v>220</v>
      </c>
      <c r="E222" s="12" t="s">
        <v>1077</v>
      </c>
      <c r="F222" s="74" t="s">
        <v>427</v>
      </c>
      <c r="G222" s="12" t="s">
        <v>1139</v>
      </c>
      <c r="H222" s="12" t="s">
        <v>1129</v>
      </c>
      <c r="I222" s="74" t="s">
        <v>915</v>
      </c>
      <c r="J222" s="75">
        <v>46043</v>
      </c>
      <c r="K222" s="74" t="s">
        <v>28</v>
      </c>
    </row>
    <row r="223" ht="16.5" hidden="1" spans="1:11">
      <c r="A223" s="12">
        <v>221</v>
      </c>
      <c r="B223" s="12" t="s">
        <v>23</v>
      </c>
      <c r="C223" s="12" t="s">
        <v>37</v>
      </c>
      <c r="D223" s="12" t="s">
        <v>109</v>
      </c>
      <c r="E223" s="12" t="s">
        <v>108</v>
      </c>
      <c r="F223" s="74" t="s">
        <v>422</v>
      </c>
      <c r="G223" s="12" t="s">
        <v>1140</v>
      </c>
      <c r="H223" s="12" t="s">
        <v>1127</v>
      </c>
      <c r="I223" s="74" t="s">
        <v>915</v>
      </c>
      <c r="J223" s="75">
        <v>46043</v>
      </c>
      <c r="K223" s="74" t="s">
        <v>28</v>
      </c>
    </row>
    <row r="224" ht="16.5" hidden="1" spans="1:11">
      <c r="A224" s="12">
        <v>222</v>
      </c>
      <c r="B224" s="12" t="s">
        <v>23</v>
      </c>
      <c r="C224" s="12" t="s">
        <v>37</v>
      </c>
      <c r="D224" s="12" t="s">
        <v>152</v>
      </c>
      <c r="E224" s="12" t="s">
        <v>1143</v>
      </c>
      <c r="F224" s="74" t="s">
        <v>451</v>
      </c>
      <c r="G224" s="12" t="s">
        <v>1141</v>
      </c>
      <c r="H224" s="12" t="s">
        <v>1129</v>
      </c>
      <c r="I224" s="74" t="s">
        <v>915</v>
      </c>
      <c r="J224" s="75">
        <v>46043</v>
      </c>
      <c r="K224" s="74" t="s">
        <v>28</v>
      </c>
    </row>
    <row r="225" ht="16.5" hidden="1" spans="1:11">
      <c r="A225" s="12">
        <v>223</v>
      </c>
      <c r="B225" s="12" t="s">
        <v>23</v>
      </c>
      <c r="C225" s="12" t="s">
        <v>37</v>
      </c>
      <c r="D225" s="12" t="s">
        <v>109</v>
      </c>
      <c r="E225" s="12" t="s">
        <v>1143</v>
      </c>
      <c r="F225" s="74" t="s">
        <v>108</v>
      </c>
      <c r="G225" s="12" t="s">
        <v>1142</v>
      </c>
      <c r="H225" s="12" t="s">
        <v>1129</v>
      </c>
      <c r="I225" s="74" t="s">
        <v>915</v>
      </c>
      <c r="J225" s="75">
        <v>46043</v>
      </c>
      <c r="K225" s="74" t="s">
        <v>28</v>
      </c>
    </row>
    <row r="226" ht="16.5" hidden="1" spans="1:11">
      <c r="A226" s="12">
        <v>224</v>
      </c>
      <c r="B226" s="12" t="s">
        <v>23</v>
      </c>
      <c r="C226" s="12" t="s">
        <v>37</v>
      </c>
      <c r="D226" s="12" t="s">
        <v>152</v>
      </c>
      <c r="E226" s="12" t="s">
        <v>1119</v>
      </c>
      <c r="F226" s="74" t="s">
        <v>1143</v>
      </c>
      <c r="G226" s="12" t="s">
        <v>1144</v>
      </c>
      <c r="H226" s="12" t="s">
        <v>1145</v>
      </c>
      <c r="I226" s="74" t="s">
        <v>915</v>
      </c>
      <c r="J226" s="75">
        <v>46043</v>
      </c>
      <c r="K226" s="74" t="s">
        <v>28</v>
      </c>
    </row>
    <row r="227" ht="16.5" hidden="1" spans="1:11">
      <c r="A227" s="12">
        <v>225</v>
      </c>
      <c r="B227" s="12" t="s">
        <v>23</v>
      </c>
      <c r="C227" s="12" t="s">
        <v>36</v>
      </c>
      <c r="D227" s="12" t="s">
        <v>173</v>
      </c>
      <c r="E227" s="12" t="s">
        <v>433</v>
      </c>
      <c r="F227" s="74" t="s">
        <v>309</v>
      </c>
      <c r="G227" s="12" t="s">
        <v>1146</v>
      </c>
      <c r="H227" s="12" t="s">
        <v>1127</v>
      </c>
      <c r="I227" s="74" t="s">
        <v>915</v>
      </c>
      <c r="J227" s="75">
        <v>46043</v>
      </c>
      <c r="K227" s="74" t="s">
        <v>28</v>
      </c>
    </row>
    <row r="228" ht="16.5" hidden="1" spans="1:11">
      <c r="A228" s="12">
        <v>226</v>
      </c>
      <c r="B228" s="12" t="s">
        <v>23</v>
      </c>
      <c r="C228" s="12" t="s">
        <v>36</v>
      </c>
      <c r="D228" s="12" t="s">
        <v>173</v>
      </c>
      <c r="E228" s="12" t="s">
        <v>433</v>
      </c>
      <c r="F228" s="74" t="s">
        <v>587</v>
      </c>
      <c r="G228" s="12" t="s">
        <v>1147</v>
      </c>
      <c r="H228" s="12" t="s">
        <v>1129</v>
      </c>
      <c r="I228" s="74" t="s">
        <v>915</v>
      </c>
      <c r="J228" s="75">
        <v>46043</v>
      </c>
      <c r="K228" s="74" t="s">
        <v>28</v>
      </c>
    </row>
    <row r="229" ht="16.5" hidden="1" spans="1:11">
      <c r="A229" s="12">
        <v>227</v>
      </c>
      <c r="B229" s="12" t="s">
        <v>23</v>
      </c>
      <c r="C229" s="12" t="s">
        <v>36</v>
      </c>
      <c r="D229" s="12" t="s">
        <v>173</v>
      </c>
      <c r="E229" s="12" t="s">
        <v>1385</v>
      </c>
      <c r="F229" s="74" t="s">
        <v>433</v>
      </c>
      <c r="G229" s="12" t="s">
        <v>1148</v>
      </c>
      <c r="H229" s="12" t="s">
        <v>1149</v>
      </c>
      <c r="I229" s="74" t="s">
        <v>915</v>
      </c>
      <c r="J229" s="75">
        <v>46043</v>
      </c>
      <c r="K229" s="74" t="s">
        <v>28</v>
      </c>
    </row>
    <row r="230" ht="16.5" hidden="1" spans="1:11">
      <c r="A230" s="12">
        <v>228</v>
      </c>
      <c r="B230" s="12" t="s">
        <v>23</v>
      </c>
      <c r="C230" s="12" t="s">
        <v>35</v>
      </c>
      <c r="D230" s="12" t="s">
        <v>125</v>
      </c>
      <c r="E230" s="12" t="s">
        <v>417</v>
      </c>
      <c r="F230" s="74" t="s">
        <v>417</v>
      </c>
      <c r="G230" s="12" t="s">
        <v>1150</v>
      </c>
      <c r="H230" s="12" t="s">
        <v>1127</v>
      </c>
      <c r="I230" s="74" t="s">
        <v>915</v>
      </c>
      <c r="J230" s="75">
        <v>46043</v>
      </c>
      <c r="K230" s="74" t="s">
        <v>28</v>
      </c>
    </row>
    <row r="231" ht="16.5" hidden="1" spans="1:11">
      <c r="A231" s="12">
        <v>229</v>
      </c>
      <c r="B231" s="12" t="s">
        <v>23</v>
      </c>
      <c r="C231" s="12" t="s">
        <v>35</v>
      </c>
      <c r="D231" s="12" t="s">
        <v>125</v>
      </c>
      <c r="E231" s="12" t="s">
        <v>1152</v>
      </c>
      <c r="F231" s="74" t="s">
        <v>444</v>
      </c>
      <c r="G231" s="12" t="s">
        <v>1151</v>
      </c>
      <c r="H231" s="12" t="s">
        <v>1132</v>
      </c>
      <c r="I231" s="74" t="s">
        <v>915</v>
      </c>
      <c r="J231" s="75">
        <v>46043</v>
      </c>
      <c r="K231" s="74" t="s">
        <v>28</v>
      </c>
    </row>
    <row r="232" ht="16.5" hidden="1" spans="1:11">
      <c r="A232" s="12">
        <v>230</v>
      </c>
      <c r="B232" s="12" t="s">
        <v>23</v>
      </c>
      <c r="C232" s="12" t="s">
        <v>35</v>
      </c>
      <c r="D232" s="12" t="s">
        <v>125</v>
      </c>
      <c r="E232" s="12" t="s">
        <v>1119</v>
      </c>
      <c r="F232" s="74" t="s">
        <v>1152</v>
      </c>
      <c r="G232" s="12" t="s">
        <v>1153</v>
      </c>
      <c r="H232" s="12" t="s">
        <v>1145</v>
      </c>
      <c r="I232" s="74" t="s">
        <v>915</v>
      </c>
      <c r="J232" s="75">
        <v>46043</v>
      </c>
      <c r="K232" s="74" t="s">
        <v>28</v>
      </c>
    </row>
    <row r="233" ht="16.5" hidden="1" spans="1:11">
      <c r="A233" s="12">
        <v>231</v>
      </c>
      <c r="B233" s="12" t="s">
        <v>23</v>
      </c>
      <c r="C233" s="12" t="s">
        <v>33</v>
      </c>
      <c r="D233" s="12" t="s">
        <v>537</v>
      </c>
      <c r="E233" s="12" t="s">
        <v>740</v>
      </c>
      <c r="F233" s="74" t="s">
        <v>536</v>
      </c>
      <c r="G233" s="12" t="s">
        <v>1154</v>
      </c>
      <c r="H233" s="12" t="s">
        <v>1127</v>
      </c>
      <c r="I233" s="74" t="s">
        <v>915</v>
      </c>
      <c r="J233" s="75">
        <v>46043</v>
      </c>
      <c r="K233" s="74" t="s">
        <v>28</v>
      </c>
    </row>
    <row r="234" ht="16.5" hidden="1" spans="1:11">
      <c r="A234" s="12">
        <v>232</v>
      </c>
      <c r="B234" s="12" t="s">
        <v>23</v>
      </c>
      <c r="C234" s="12" t="s">
        <v>33</v>
      </c>
      <c r="D234" s="12" t="s">
        <v>537</v>
      </c>
      <c r="E234" s="12" t="s">
        <v>1143</v>
      </c>
      <c r="F234" s="74" t="s">
        <v>740</v>
      </c>
      <c r="G234" s="12" t="s">
        <v>1155</v>
      </c>
      <c r="H234" s="12" t="s">
        <v>1149</v>
      </c>
      <c r="I234" s="74" t="s">
        <v>915</v>
      </c>
      <c r="J234" s="75">
        <v>46043</v>
      </c>
      <c r="K234" s="74" t="s">
        <v>28</v>
      </c>
    </row>
    <row r="235" ht="16.5" hidden="1" spans="1:11">
      <c r="A235" s="12">
        <v>233</v>
      </c>
      <c r="B235" s="12" t="s">
        <v>23</v>
      </c>
      <c r="C235" s="12" t="s">
        <v>32</v>
      </c>
      <c r="D235" s="12" t="s">
        <v>105</v>
      </c>
      <c r="E235" s="12" t="s">
        <v>179</v>
      </c>
      <c r="F235" s="74" t="s">
        <v>447</v>
      </c>
      <c r="G235" s="12" t="s">
        <v>1156</v>
      </c>
      <c r="H235" s="12" t="s">
        <v>1127</v>
      </c>
      <c r="I235" s="74" t="s">
        <v>915</v>
      </c>
      <c r="J235" s="75">
        <v>46043</v>
      </c>
      <c r="K235" s="74" t="s">
        <v>28</v>
      </c>
    </row>
    <row r="236" ht="16.5" hidden="1" spans="1:11">
      <c r="A236" s="12">
        <v>234</v>
      </c>
      <c r="B236" s="12" t="s">
        <v>23</v>
      </c>
      <c r="C236" s="12" t="s">
        <v>32</v>
      </c>
      <c r="D236" s="12" t="s">
        <v>105</v>
      </c>
      <c r="E236" s="12" t="s">
        <v>1378</v>
      </c>
      <c r="F236" s="74" t="s">
        <v>179</v>
      </c>
      <c r="G236" s="12" t="s">
        <v>1157</v>
      </c>
      <c r="H236" s="12" t="s">
        <v>1149</v>
      </c>
      <c r="I236" s="74" t="s">
        <v>915</v>
      </c>
      <c r="J236" s="75">
        <v>46043</v>
      </c>
      <c r="K236" s="74" t="s">
        <v>28</v>
      </c>
    </row>
    <row r="237" ht="16.5" hidden="1" spans="1:11">
      <c r="A237" s="12">
        <v>235</v>
      </c>
      <c r="B237" s="12" t="s">
        <v>23</v>
      </c>
      <c r="C237" s="12" t="s">
        <v>32</v>
      </c>
      <c r="D237" s="12" t="s">
        <v>105</v>
      </c>
      <c r="E237" s="12" t="s">
        <v>1590</v>
      </c>
      <c r="F237" s="74" t="s">
        <v>411</v>
      </c>
      <c r="G237" s="12" t="s">
        <v>1158</v>
      </c>
      <c r="H237" s="12" t="s">
        <v>1159</v>
      </c>
      <c r="I237" s="74" t="s">
        <v>915</v>
      </c>
      <c r="J237" s="75">
        <v>46043</v>
      </c>
      <c r="K237" s="74" t="s">
        <v>28</v>
      </c>
    </row>
    <row r="238" ht="16.5" hidden="1" spans="1:11">
      <c r="A238" s="12">
        <v>236</v>
      </c>
      <c r="B238" s="12" t="s">
        <v>23</v>
      </c>
      <c r="C238" s="12" t="s">
        <v>32</v>
      </c>
      <c r="D238" s="12" t="s">
        <v>105</v>
      </c>
      <c r="E238" s="12" t="s">
        <v>179</v>
      </c>
      <c r="F238" s="74" t="s">
        <v>556</v>
      </c>
      <c r="G238" s="12" t="s">
        <v>1160</v>
      </c>
      <c r="H238" s="12" t="s">
        <v>1127</v>
      </c>
      <c r="I238" s="74" t="s">
        <v>915</v>
      </c>
      <c r="J238" s="75">
        <v>46043</v>
      </c>
      <c r="K238" s="74" t="s">
        <v>28</v>
      </c>
    </row>
    <row r="239" ht="16.5" hidden="1" spans="1:11">
      <c r="A239" s="12">
        <v>237</v>
      </c>
      <c r="B239" s="12" t="s">
        <v>23</v>
      </c>
      <c r="C239" s="12" t="s">
        <v>31</v>
      </c>
      <c r="D239" s="12" t="s">
        <v>90</v>
      </c>
      <c r="E239" s="12" t="s">
        <v>89</v>
      </c>
      <c r="F239" s="74" t="s">
        <v>89</v>
      </c>
      <c r="G239" s="12" t="s">
        <v>1161</v>
      </c>
      <c r="H239" s="12" t="s">
        <v>1129</v>
      </c>
      <c r="I239" s="74" t="s">
        <v>915</v>
      </c>
      <c r="J239" s="75">
        <v>46043</v>
      </c>
      <c r="K239" s="74" t="s">
        <v>28</v>
      </c>
    </row>
    <row r="240" ht="16.5" hidden="1" spans="1:11">
      <c r="A240" s="12">
        <v>238</v>
      </c>
      <c r="B240" s="12" t="s">
        <v>23</v>
      </c>
      <c r="C240" s="12" t="s">
        <v>31</v>
      </c>
      <c r="D240" s="12" t="s">
        <v>79</v>
      </c>
      <c r="E240" s="12" t="s">
        <v>1163</v>
      </c>
      <c r="F240" s="74" t="s">
        <v>189</v>
      </c>
      <c r="G240" s="12" t="s">
        <v>1162</v>
      </c>
      <c r="H240" s="12" t="s">
        <v>1129</v>
      </c>
      <c r="I240" s="74" t="s">
        <v>915</v>
      </c>
      <c r="J240" s="75">
        <v>46043</v>
      </c>
      <c r="K240" s="74" t="s">
        <v>28</v>
      </c>
    </row>
    <row r="241" ht="16.5" hidden="1" spans="1:11">
      <c r="A241" s="12">
        <v>239</v>
      </c>
      <c r="B241" s="12" t="s">
        <v>23</v>
      </c>
      <c r="C241" s="12" t="s">
        <v>31</v>
      </c>
      <c r="D241" s="12" t="s">
        <v>79</v>
      </c>
      <c r="E241" s="12" t="s">
        <v>1119</v>
      </c>
      <c r="F241" s="74" t="s">
        <v>1163</v>
      </c>
      <c r="G241" s="12" t="s">
        <v>1164</v>
      </c>
      <c r="H241" s="12" t="s">
        <v>1145</v>
      </c>
      <c r="I241" s="74" t="s">
        <v>915</v>
      </c>
      <c r="J241" s="75">
        <v>46043</v>
      </c>
      <c r="K241" s="74" t="s">
        <v>28</v>
      </c>
    </row>
    <row r="242" ht="16.5" hidden="1" spans="1:11">
      <c r="A242" s="12">
        <v>240</v>
      </c>
      <c r="B242" s="12" t="s">
        <v>23</v>
      </c>
      <c r="C242" s="12" t="s">
        <v>29</v>
      </c>
      <c r="D242" s="12" t="s">
        <v>130</v>
      </c>
      <c r="E242" s="12" t="s">
        <v>380</v>
      </c>
      <c r="F242" s="74" t="s">
        <v>129</v>
      </c>
      <c r="G242" s="12" t="s">
        <v>1165</v>
      </c>
      <c r="H242" s="12" t="s">
        <v>1129</v>
      </c>
      <c r="I242" s="74" t="s">
        <v>915</v>
      </c>
      <c r="J242" s="75">
        <v>46043</v>
      </c>
      <c r="K242" s="74" t="s">
        <v>28</v>
      </c>
    </row>
    <row r="243" ht="16.5" hidden="1" spans="1:11">
      <c r="A243" s="12">
        <v>241</v>
      </c>
      <c r="B243" s="12" t="s">
        <v>23</v>
      </c>
      <c r="C243" s="12" t="s">
        <v>29</v>
      </c>
      <c r="D243" s="12" t="s">
        <v>130</v>
      </c>
      <c r="E243" s="12" t="s">
        <v>380</v>
      </c>
      <c r="F243" s="74" t="s">
        <v>364</v>
      </c>
      <c r="G243" s="12" t="s">
        <v>1166</v>
      </c>
      <c r="H243" s="12" t="s">
        <v>1129</v>
      </c>
      <c r="I243" s="74" t="s">
        <v>915</v>
      </c>
      <c r="J243" s="75">
        <v>46043</v>
      </c>
      <c r="K243" s="74" t="s">
        <v>28</v>
      </c>
    </row>
    <row r="244" ht="16.5" hidden="1" spans="1:11">
      <c r="A244" s="12">
        <v>242</v>
      </c>
      <c r="B244" s="12" t="s">
        <v>23</v>
      </c>
      <c r="C244" s="12" t="s">
        <v>29</v>
      </c>
      <c r="D244" s="12" t="s">
        <v>130</v>
      </c>
      <c r="E244" s="12" t="s">
        <v>1376</v>
      </c>
      <c r="F244" s="74" t="s">
        <v>380</v>
      </c>
      <c r="G244" s="12" t="s">
        <v>1167</v>
      </c>
      <c r="H244" s="12" t="s">
        <v>1149</v>
      </c>
      <c r="I244" s="74" t="s">
        <v>915</v>
      </c>
      <c r="J244" s="75">
        <v>46043</v>
      </c>
      <c r="K244" s="74" t="s">
        <v>28</v>
      </c>
    </row>
    <row r="245" ht="16.5" hidden="1" spans="1:11">
      <c r="A245" s="12">
        <v>243</v>
      </c>
      <c r="B245" s="12" t="s">
        <v>23</v>
      </c>
      <c r="C245" s="12" t="s">
        <v>26</v>
      </c>
      <c r="D245" s="12" t="s">
        <v>121</v>
      </c>
      <c r="E245" s="12" t="s">
        <v>1591</v>
      </c>
      <c r="F245" s="74" t="s">
        <v>617</v>
      </c>
      <c r="G245" s="12" t="s">
        <v>1168</v>
      </c>
      <c r="H245" s="12" t="s">
        <v>1127</v>
      </c>
      <c r="I245" s="74" t="s">
        <v>915</v>
      </c>
      <c r="J245" s="75">
        <v>46043</v>
      </c>
      <c r="K245" s="74" t="s">
        <v>28</v>
      </c>
    </row>
    <row r="246" ht="16.5" hidden="1" spans="1:11">
      <c r="A246" s="12">
        <v>244</v>
      </c>
      <c r="B246" s="12" t="s">
        <v>23</v>
      </c>
      <c r="C246" s="12" t="s">
        <v>26</v>
      </c>
      <c r="D246" s="12" t="s">
        <v>121</v>
      </c>
      <c r="E246" s="12" t="s">
        <v>385</v>
      </c>
      <c r="F246" s="74" t="s">
        <v>385</v>
      </c>
      <c r="G246" s="12" t="s">
        <v>1169</v>
      </c>
      <c r="H246" s="12" t="s">
        <v>1149</v>
      </c>
      <c r="I246" s="74" t="s">
        <v>915</v>
      </c>
      <c r="J246" s="75">
        <v>46043</v>
      </c>
      <c r="K246" s="74" t="s">
        <v>28</v>
      </c>
    </row>
    <row r="247" ht="16.5" hidden="1" spans="1:11">
      <c r="A247" s="12">
        <v>245</v>
      </c>
      <c r="B247" s="12" t="s">
        <v>23</v>
      </c>
      <c r="C247" s="12" t="s">
        <v>38</v>
      </c>
      <c r="D247" s="12" t="s">
        <v>63</v>
      </c>
      <c r="E247" s="12" t="s">
        <v>95</v>
      </c>
      <c r="F247" s="74" t="s">
        <v>1171</v>
      </c>
      <c r="G247" s="12" t="s">
        <v>1172</v>
      </c>
      <c r="H247" s="12" t="s">
        <v>1173</v>
      </c>
      <c r="I247" s="74" t="s">
        <v>907</v>
      </c>
      <c r="J247" s="75">
        <v>46051</v>
      </c>
      <c r="K247" s="74" t="s">
        <v>25</v>
      </c>
    </row>
    <row r="248" ht="16.5" hidden="1" spans="1:11">
      <c r="A248" s="12">
        <v>246</v>
      </c>
      <c r="B248" s="12" t="s">
        <v>23</v>
      </c>
      <c r="C248" s="12" t="s">
        <v>32</v>
      </c>
      <c r="D248" s="12" t="s">
        <v>105</v>
      </c>
      <c r="E248" s="12" t="s">
        <v>179</v>
      </c>
      <c r="F248" s="74" t="s">
        <v>1174</v>
      </c>
      <c r="G248" s="12" t="s">
        <v>1175</v>
      </c>
      <c r="H248" s="12" t="s">
        <v>1173</v>
      </c>
      <c r="I248" s="74" t="s">
        <v>915</v>
      </c>
      <c r="J248" s="75">
        <v>46051</v>
      </c>
      <c r="K248" s="74" t="s">
        <v>25</v>
      </c>
    </row>
    <row r="249" ht="16.5" hidden="1" spans="1:11">
      <c r="A249" s="12">
        <v>247</v>
      </c>
      <c r="B249" s="12" t="s">
        <v>23</v>
      </c>
      <c r="C249" s="12" t="s">
        <v>32</v>
      </c>
      <c r="D249" s="12" t="s">
        <v>105</v>
      </c>
      <c r="E249" s="12" t="s">
        <v>556</v>
      </c>
      <c r="F249" s="74" t="s">
        <v>1176</v>
      </c>
      <c r="G249" s="12" t="s">
        <v>1177</v>
      </c>
      <c r="H249" s="12" t="s">
        <v>1173</v>
      </c>
      <c r="I249" s="74" t="s">
        <v>915</v>
      </c>
      <c r="J249" s="75">
        <v>46051</v>
      </c>
      <c r="K249" s="74" t="s">
        <v>25</v>
      </c>
    </row>
    <row r="250" ht="16.5" hidden="1" spans="1:11">
      <c r="A250" s="12">
        <v>248</v>
      </c>
      <c r="B250" s="12" t="s">
        <v>23</v>
      </c>
      <c r="C250" s="12" t="s">
        <v>37</v>
      </c>
      <c r="D250" s="12" t="s">
        <v>109</v>
      </c>
      <c r="E250" s="12" t="s">
        <v>203</v>
      </c>
      <c r="F250" s="74" t="s">
        <v>1178</v>
      </c>
      <c r="G250" s="12" t="s">
        <v>1179</v>
      </c>
      <c r="H250" s="12" t="s">
        <v>1173</v>
      </c>
      <c r="I250" s="74" t="s">
        <v>915</v>
      </c>
      <c r="J250" s="75">
        <v>46051</v>
      </c>
      <c r="K250" s="74" t="s">
        <v>25</v>
      </c>
    </row>
    <row r="251" ht="16.5" hidden="1" spans="1:11">
      <c r="A251" s="12">
        <v>249</v>
      </c>
      <c r="B251" s="12" t="s">
        <v>23</v>
      </c>
      <c r="C251" s="12" t="s">
        <v>37</v>
      </c>
      <c r="D251" s="12" t="s">
        <v>109</v>
      </c>
      <c r="E251" s="12" t="s">
        <v>203</v>
      </c>
      <c r="F251" s="74" t="s">
        <v>1180</v>
      </c>
      <c r="G251" s="12" t="s">
        <v>1181</v>
      </c>
      <c r="H251" s="12" t="s">
        <v>1173</v>
      </c>
      <c r="I251" s="74" t="s">
        <v>915</v>
      </c>
      <c r="J251" s="75">
        <v>46051</v>
      </c>
      <c r="K251" s="74" t="s">
        <v>25</v>
      </c>
    </row>
    <row r="252" ht="16.5" hidden="1" spans="1:11">
      <c r="A252" s="12">
        <v>250</v>
      </c>
      <c r="B252" s="12" t="s">
        <v>23</v>
      </c>
      <c r="C252" s="12" t="s">
        <v>38</v>
      </c>
      <c r="D252" s="12" t="s">
        <v>168</v>
      </c>
      <c r="E252" s="12" t="s">
        <v>205</v>
      </c>
      <c r="F252" s="74" t="s">
        <v>1182</v>
      </c>
      <c r="G252" s="12" t="s">
        <v>1183</v>
      </c>
      <c r="H252" s="12" t="s">
        <v>1173</v>
      </c>
      <c r="I252" s="74" t="s">
        <v>907</v>
      </c>
      <c r="J252" s="75">
        <v>46051</v>
      </c>
      <c r="K252" s="74" t="s">
        <v>25</v>
      </c>
    </row>
    <row r="253" ht="16.5" hidden="1" spans="1:11">
      <c r="A253" s="12">
        <v>251</v>
      </c>
      <c r="B253" s="12" t="s">
        <v>23</v>
      </c>
      <c r="C253" s="12" t="s">
        <v>38</v>
      </c>
      <c r="D253" s="12" t="s">
        <v>148</v>
      </c>
      <c r="E253" s="12" t="s">
        <v>371</v>
      </c>
      <c r="F253" s="74" t="s">
        <v>1184</v>
      </c>
      <c r="G253" s="12" t="s">
        <v>1185</v>
      </c>
      <c r="H253" s="12" t="s">
        <v>1173</v>
      </c>
      <c r="I253" s="74" t="s">
        <v>907</v>
      </c>
      <c r="J253" s="75">
        <v>46051</v>
      </c>
      <c r="K253" s="74" t="s">
        <v>25</v>
      </c>
    </row>
    <row r="254" ht="16.5" hidden="1" spans="1:11">
      <c r="A254" s="12">
        <v>252</v>
      </c>
      <c r="B254" s="12" t="s">
        <v>23</v>
      </c>
      <c r="C254" s="12" t="s">
        <v>38</v>
      </c>
      <c r="D254" s="12" t="s">
        <v>220</v>
      </c>
      <c r="E254" s="12" t="s">
        <v>540</v>
      </c>
      <c r="F254" s="74" t="s">
        <v>1186</v>
      </c>
      <c r="G254" s="12" t="s">
        <v>1187</v>
      </c>
      <c r="H254" s="12" t="s">
        <v>1173</v>
      </c>
      <c r="I254" s="74" t="s">
        <v>915</v>
      </c>
      <c r="J254" s="75">
        <v>46051</v>
      </c>
      <c r="K254" s="74" t="s">
        <v>25</v>
      </c>
    </row>
    <row r="255" ht="16.5" hidden="1" spans="1:11">
      <c r="A255" s="12">
        <v>253</v>
      </c>
      <c r="B255" s="12" t="s">
        <v>23</v>
      </c>
      <c r="C255" s="12" t="s">
        <v>29</v>
      </c>
      <c r="D255" s="12" t="s">
        <v>130</v>
      </c>
      <c r="E255" s="12" t="s">
        <v>1592</v>
      </c>
      <c r="F255" s="74" t="s">
        <v>677</v>
      </c>
      <c r="G255" s="12" t="s">
        <v>1188</v>
      </c>
      <c r="H255" s="12" t="s">
        <v>1173</v>
      </c>
      <c r="I255" s="74" t="s">
        <v>915</v>
      </c>
      <c r="J255" s="75">
        <v>46051</v>
      </c>
      <c r="K255" s="74" t="s">
        <v>25</v>
      </c>
    </row>
    <row r="256" ht="16.5" hidden="1" spans="1:11">
      <c r="A256" s="12">
        <v>254</v>
      </c>
      <c r="B256" s="12" t="s">
        <v>23</v>
      </c>
      <c r="C256" s="12" t="s">
        <v>29</v>
      </c>
      <c r="D256" s="12" t="s">
        <v>130</v>
      </c>
      <c r="E256" s="12" t="s">
        <v>1592</v>
      </c>
      <c r="F256" s="74" t="s">
        <v>1189</v>
      </c>
      <c r="G256" s="12" t="s">
        <v>1190</v>
      </c>
      <c r="H256" s="12" t="s">
        <v>1173</v>
      </c>
      <c r="I256" s="74" t="s">
        <v>915</v>
      </c>
      <c r="J256" s="75">
        <v>46051</v>
      </c>
      <c r="K256" s="74" t="s">
        <v>25</v>
      </c>
    </row>
    <row r="257" ht="16.5" hidden="1" spans="1:11">
      <c r="A257" s="12">
        <v>255</v>
      </c>
      <c r="B257" s="12" t="s">
        <v>23</v>
      </c>
      <c r="C257" s="12" t="s">
        <v>38</v>
      </c>
      <c r="D257" s="12" t="s">
        <v>63</v>
      </c>
      <c r="E257" s="12" t="s">
        <v>95</v>
      </c>
      <c r="F257" s="74" t="s">
        <v>1191</v>
      </c>
      <c r="G257" s="12" t="s">
        <v>1192</v>
      </c>
      <c r="H257" s="12" t="s">
        <v>1173</v>
      </c>
      <c r="I257" s="74" t="s">
        <v>907</v>
      </c>
      <c r="J257" s="75">
        <v>46051</v>
      </c>
      <c r="K257" s="74" t="s">
        <v>25</v>
      </c>
    </row>
    <row r="258" ht="16.5" hidden="1" spans="1:11">
      <c r="A258" s="12">
        <v>256</v>
      </c>
      <c r="B258" s="12" t="s">
        <v>23</v>
      </c>
      <c r="C258" s="12" t="s">
        <v>38</v>
      </c>
      <c r="D258" s="12" t="s">
        <v>63</v>
      </c>
      <c r="E258" s="12" t="s">
        <v>95</v>
      </c>
      <c r="F258" s="74" t="s">
        <v>1193</v>
      </c>
      <c r="G258" s="12" t="s">
        <v>1194</v>
      </c>
      <c r="H258" s="12" t="s">
        <v>1173</v>
      </c>
      <c r="I258" s="74" t="s">
        <v>907</v>
      </c>
      <c r="J258" s="75">
        <v>46051</v>
      </c>
      <c r="K258" s="74" t="s">
        <v>25</v>
      </c>
    </row>
    <row r="259" ht="16.5" hidden="1" spans="1:11">
      <c r="A259" s="12">
        <v>257</v>
      </c>
      <c r="B259" s="12" t="s">
        <v>23</v>
      </c>
      <c r="C259" s="12" t="s">
        <v>38</v>
      </c>
      <c r="D259" s="12" t="s">
        <v>63</v>
      </c>
      <c r="E259" s="12" t="s">
        <v>95</v>
      </c>
      <c r="F259" s="74" t="s">
        <v>1195</v>
      </c>
      <c r="G259" s="12" t="s">
        <v>1196</v>
      </c>
      <c r="H259" s="12" t="s">
        <v>1173</v>
      </c>
      <c r="I259" s="74" t="s">
        <v>907</v>
      </c>
      <c r="J259" s="75">
        <v>46051</v>
      </c>
      <c r="K259" s="74" t="s">
        <v>25</v>
      </c>
    </row>
    <row r="260" ht="16.5" hidden="1" spans="1:11">
      <c r="A260" s="12">
        <v>258</v>
      </c>
      <c r="B260" s="12" t="s">
        <v>23</v>
      </c>
      <c r="C260" s="12" t="s">
        <v>38</v>
      </c>
      <c r="D260" s="12" t="s">
        <v>70</v>
      </c>
      <c r="E260" s="12" t="s">
        <v>564</v>
      </c>
      <c r="F260" s="74" t="s">
        <v>1197</v>
      </c>
      <c r="G260" s="12" t="s">
        <v>1198</v>
      </c>
      <c r="H260" s="12" t="s">
        <v>1173</v>
      </c>
      <c r="I260" s="74" t="s">
        <v>907</v>
      </c>
      <c r="J260" s="75">
        <v>46051</v>
      </c>
      <c r="K260" s="74" t="s">
        <v>25</v>
      </c>
    </row>
    <row r="261" ht="16.5" hidden="1" spans="1:11">
      <c r="A261" s="12">
        <v>259</v>
      </c>
      <c r="B261" s="12" t="s">
        <v>23</v>
      </c>
      <c r="C261" s="12" t="s">
        <v>38</v>
      </c>
      <c r="D261" s="12" t="s">
        <v>70</v>
      </c>
      <c r="E261" s="12" t="s">
        <v>564</v>
      </c>
      <c r="F261" s="74" t="s">
        <v>1199</v>
      </c>
      <c r="G261" s="12" t="s">
        <v>1200</v>
      </c>
      <c r="H261" s="12" t="s">
        <v>1173</v>
      </c>
      <c r="I261" s="74" t="s">
        <v>907</v>
      </c>
      <c r="J261" s="75">
        <v>46051</v>
      </c>
      <c r="K261" s="74" t="s">
        <v>25</v>
      </c>
    </row>
    <row r="262" ht="16.5" hidden="1" spans="1:11">
      <c r="A262" s="12">
        <v>260</v>
      </c>
      <c r="B262" s="12" t="s">
        <v>23</v>
      </c>
      <c r="C262" s="12" t="s">
        <v>38</v>
      </c>
      <c r="D262" s="12" t="s">
        <v>75</v>
      </c>
      <c r="E262" s="12" t="s">
        <v>200</v>
      </c>
      <c r="F262" s="74" t="s">
        <v>1201</v>
      </c>
      <c r="G262" s="12" t="s">
        <v>1202</v>
      </c>
      <c r="H262" s="12" t="s">
        <v>1173</v>
      </c>
      <c r="I262" s="74" t="s">
        <v>907</v>
      </c>
      <c r="J262" s="75">
        <v>46051</v>
      </c>
      <c r="K262" s="74" t="s">
        <v>25</v>
      </c>
    </row>
    <row r="263" ht="16.5" hidden="1" spans="1:11">
      <c r="A263" s="12">
        <v>261</v>
      </c>
      <c r="B263" s="12" t="s">
        <v>23</v>
      </c>
      <c r="C263" s="12" t="s">
        <v>38</v>
      </c>
      <c r="D263" s="12" t="s">
        <v>168</v>
      </c>
      <c r="E263" s="12" t="s">
        <v>500</v>
      </c>
      <c r="F263" s="74" t="s">
        <v>1203</v>
      </c>
      <c r="G263" s="12" t="s">
        <v>1204</v>
      </c>
      <c r="H263" s="12" t="s">
        <v>1173</v>
      </c>
      <c r="I263" s="74" t="s">
        <v>907</v>
      </c>
      <c r="J263" s="75">
        <v>46051</v>
      </c>
      <c r="K263" s="74" t="s">
        <v>25</v>
      </c>
    </row>
    <row r="264" ht="16.5" hidden="1" spans="1:11">
      <c r="A264" s="12">
        <v>262</v>
      </c>
      <c r="B264" s="12" t="s">
        <v>23</v>
      </c>
      <c r="C264" s="12" t="s">
        <v>29</v>
      </c>
      <c r="D264" s="12" t="s">
        <v>130</v>
      </c>
      <c r="E264" s="12" t="s">
        <v>469</v>
      </c>
      <c r="F264" s="74" t="s">
        <v>1205</v>
      </c>
      <c r="G264" s="12" t="s">
        <v>1206</v>
      </c>
      <c r="H264" s="12" t="s">
        <v>1173</v>
      </c>
      <c r="I264" s="74" t="s">
        <v>907</v>
      </c>
      <c r="J264" s="75">
        <v>46051</v>
      </c>
      <c r="K264" s="74" t="s">
        <v>25</v>
      </c>
    </row>
    <row r="265" ht="16.5" hidden="1" spans="1:11">
      <c r="A265" s="12">
        <v>263</v>
      </c>
      <c r="B265" s="12" t="s">
        <v>23</v>
      </c>
      <c r="C265" s="12" t="s">
        <v>38</v>
      </c>
      <c r="D265" s="12" t="s">
        <v>63</v>
      </c>
      <c r="E265" s="12" t="s">
        <v>602</v>
      </c>
      <c r="F265" s="74" t="s">
        <v>1207</v>
      </c>
      <c r="G265" s="12" t="s">
        <v>1208</v>
      </c>
      <c r="H265" s="12" t="s">
        <v>1173</v>
      </c>
      <c r="I265" s="74" t="s">
        <v>907</v>
      </c>
      <c r="J265" s="75">
        <v>46051</v>
      </c>
      <c r="K265" s="74" t="s">
        <v>25</v>
      </c>
    </row>
    <row r="266" ht="16.5" hidden="1" spans="1:11">
      <c r="A266" s="12">
        <v>264</v>
      </c>
      <c r="B266" s="12" t="s">
        <v>23</v>
      </c>
      <c r="C266" s="12" t="s">
        <v>38</v>
      </c>
      <c r="D266" s="12" t="s">
        <v>63</v>
      </c>
      <c r="E266" s="12" t="s">
        <v>602</v>
      </c>
      <c r="F266" s="74" t="s">
        <v>1209</v>
      </c>
      <c r="G266" s="12" t="s">
        <v>1210</v>
      </c>
      <c r="H266" s="12" t="s">
        <v>1173</v>
      </c>
      <c r="I266" s="74" t="s">
        <v>907</v>
      </c>
      <c r="J266" s="75">
        <v>46051</v>
      </c>
      <c r="K266" s="74" t="s">
        <v>25</v>
      </c>
    </row>
    <row r="267" ht="16.5" hidden="1" spans="1:11">
      <c r="A267" s="12">
        <v>265</v>
      </c>
      <c r="B267" s="12" t="s">
        <v>23</v>
      </c>
      <c r="C267" s="12" t="s">
        <v>38</v>
      </c>
      <c r="D267" s="12" t="s">
        <v>63</v>
      </c>
      <c r="E267" s="12" t="s">
        <v>602</v>
      </c>
      <c r="F267" s="74" t="s">
        <v>1211</v>
      </c>
      <c r="G267" s="12" t="s">
        <v>1212</v>
      </c>
      <c r="H267" s="12" t="s">
        <v>1173</v>
      </c>
      <c r="I267" s="74" t="s">
        <v>907</v>
      </c>
      <c r="J267" s="75">
        <v>46051</v>
      </c>
      <c r="K267" s="74" t="s">
        <v>25</v>
      </c>
    </row>
    <row r="268" ht="16.5" hidden="1" spans="1:11">
      <c r="A268" s="12">
        <v>266</v>
      </c>
      <c r="B268" s="12" t="s">
        <v>23</v>
      </c>
      <c r="C268" s="12" t="s">
        <v>38</v>
      </c>
      <c r="D268" s="12" t="s">
        <v>63</v>
      </c>
      <c r="E268" s="12" t="s">
        <v>602</v>
      </c>
      <c r="F268" s="74" t="s">
        <v>1213</v>
      </c>
      <c r="G268" s="12" t="s">
        <v>1214</v>
      </c>
      <c r="H268" s="12" t="s">
        <v>1173</v>
      </c>
      <c r="I268" s="74" t="s">
        <v>907</v>
      </c>
      <c r="J268" s="75">
        <v>46051</v>
      </c>
      <c r="K268" s="74" t="s">
        <v>25</v>
      </c>
    </row>
    <row r="269" ht="16.5" hidden="1" spans="1:11">
      <c r="A269" s="12">
        <v>267</v>
      </c>
      <c r="B269" s="12" t="s">
        <v>23</v>
      </c>
      <c r="C269" s="12" t="s">
        <v>38</v>
      </c>
      <c r="D269" s="12" t="s">
        <v>168</v>
      </c>
      <c r="E269" s="12" t="s">
        <v>167</v>
      </c>
      <c r="F269" s="74" t="s">
        <v>1215</v>
      </c>
      <c r="G269" s="12" t="s">
        <v>1216</v>
      </c>
      <c r="H269" s="12" t="s">
        <v>1173</v>
      </c>
      <c r="I269" s="74" t="s">
        <v>907</v>
      </c>
      <c r="J269" s="75">
        <v>46051</v>
      </c>
      <c r="K269" s="74" t="s">
        <v>25</v>
      </c>
    </row>
    <row r="270" ht="16.5" hidden="1" spans="1:11">
      <c r="A270" s="12">
        <v>268</v>
      </c>
      <c r="B270" s="12" t="s">
        <v>23</v>
      </c>
      <c r="C270" s="12" t="s">
        <v>38</v>
      </c>
      <c r="D270" s="12" t="s">
        <v>168</v>
      </c>
      <c r="E270" s="12" t="s">
        <v>167</v>
      </c>
      <c r="F270" s="74" t="s">
        <v>1217</v>
      </c>
      <c r="G270" s="12" t="s">
        <v>1218</v>
      </c>
      <c r="H270" s="12" t="s">
        <v>1173</v>
      </c>
      <c r="I270" s="74" t="s">
        <v>907</v>
      </c>
      <c r="J270" s="75">
        <v>46051</v>
      </c>
      <c r="K270" s="74" t="s">
        <v>25</v>
      </c>
    </row>
    <row r="271" ht="16.5" hidden="1" spans="1:11">
      <c r="A271" s="12">
        <v>269</v>
      </c>
      <c r="B271" s="12" t="s">
        <v>23</v>
      </c>
      <c r="C271" s="12" t="s">
        <v>38</v>
      </c>
      <c r="D271" s="12" t="s">
        <v>75</v>
      </c>
      <c r="E271" s="12" t="s">
        <v>400</v>
      </c>
      <c r="F271" s="74" t="s">
        <v>1219</v>
      </c>
      <c r="G271" s="12" t="s">
        <v>1220</v>
      </c>
      <c r="H271" s="12" t="s">
        <v>1173</v>
      </c>
      <c r="I271" s="74" t="s">
        <v>915</v>
      </c>
      <c r="J271" s="75">
        <v>46051</v>
      </c>
      <c r="K271" s="74" t="s">
        <v>25</v>
      </c>
    </row>
    <row r="272" ht="16.5" hidden="1" spans="1:11">
      <c r="A272" s="12">
        <v>270</v>
      </c>
      <c r="B272" s="12" t="s">
        <v>23</v>
      </c>
      <c r="C272" s="12" t="s">
        <v>38</v>
      </c>
      <c r="D272" s="12" t="s">
        <v>75</v>
      </c>
      <c r="E272" s="12" t="s">
        <v>400</v>
      </c>
      <c r="F272" s="74" t="s">
        <v>1221</v>
      </c>
      <c r="G272" s="12" t="s">
        <v>1222</v>
      </c>
      <c r="H272" s="12" t="s">
        <v>1173</v>
      </c>
      <c r="I272" s="74" t="s">
        <v>907</v>
      </c>
      <c r="J272" s="75">
        <v>46051</v>
      </c>
      <c r="K272" s="74" t="s">
        <v>25</v>
      </c>
    </row>
    <row r="273" ht="16.5" hidden="1" spans="1:11">
      <c r="A273" s="12">
        <v>271</v>
      </c>
      <c r="B273" s="12" t="s">
        <v>23</v>
      </c>
      <c r="C273" s="12" t="s">
        <v>32</v>
      </c>
      <c r="D273" s="12" t="s">
        <v>105</v>
      </c>
      <c r="E273" s="12" t="s">
        <v>165</v>
      </c>
      <c r="F273" s="74" t="s">
        <v>1223</v>
      </c>
      <c r="G273" s="12" t="s">
        <v>1224</v>
      </c>
      <c r="H273" s="12" t="s">
        <v>1173</v>
      </c>
      <c r="I273" s="74" t="s">
        <v>907</v>
      </c>
      <c r="J273" s="75">
        <v>46051</v>
      </c>
      <c r="K273" s="74" t="s">
        <v>25</v>
      </c>
    </row>
    <row r="274" ht="16.5" hidden="1" spans="1:11">
      <c r="A274" s="12">
        <v>272</v>
      </c>
      <c r="B274" s="12" t="s">
        <v>23</v>
      </c>
      <c r="C274" s="12" t="s">
        <v>31</v>
      </c>
      <c r="D274" s="12" t="s">
        <v>90</v>
      </c>
      <c r="E274" s="12" t="s">
        <v>1593</v>
      </c>
      <c r="F274" s="74" t="s">
        <v>1225</v>
      </c>
      <c r="G274" s="12" t="s">
        <v>1226</v>
      </c>
      <c r="H274" s="12" t="s">
        <v>1173</v>
      </c>
      <c r="I274" s="74" t="s">
        <v>915</v>
      </c>
      <c r="J274" s="75">
        <v>46051</v>
      </c>
      <c r="K274" s="74" t="s">
        <v>25</v>
      </c>
    </row>
    <row r="275" ht="16.5" hidden="1" spans="1:11">
      <c r="A275" s="12">
        <v>273</v>
      </c>
      <c r="B275" s="12" t="s">
        <v>23</v>
      </c>
      <c r="C275" s="12" t="s">
        <v>38</v>
      </c>
      <c r="D275" s="12" t="s">
        <v>70</v>
      </c>
      <c r="E275" s="12" t="s">
        <v>69</v>
      </c>
      <c r="F275" s="74" t="s">
        <v>1227</v>
      </c>
      <c r="G275" s="12" t="s">
        <v>1228</v>
      </c>
      <c r="H275" s="12" t="s">
        <v>1173</v>
      </c>
      <c r="I275" s="74" t="s">
        <v>907</v>
      </c>
      <c r="J275" s="75">
        <v>46051</v>
      </c>
      <c r="K275" s="74" t="s">
        <v>25</v>
      </c>
    </row>
    <row r="276" ht="16.5" hidden="1" spans="1:11">
      <c r="A276" s="12">
        <v>274</v>
      </c>
      <c r="B276" s="12" t="s">
        <v>23</v>
      </c>
      <c r="C276" s="12" t="s">
        <v>38</v>
      </c>
      <c r="D276" s="12" t="s">
        <v>70</v>
      </c>
      <c r="E276" s="12" t="s">
        <v>413</v>
      </c>
      <c r="F276" s="74" t="s">
        <v>1229</v>
      </c>
      <c r="G276" s="12" t="s">
        <v>1230</v>
      </c>
      <c r="H276" s="12" t="s">
        <v>1173</v>
      </c>
      <c r="I276" s="74" t="s">
        <v>915</v>
      </c>
      <c r="J276" s="75">
        <v>46051</v>
      </c>
      <c r="K276" s="74" t="s">
        <v>25</v>
      </c>
    </row>
    <row r="277" ht="16.5" hidden="1" spans="1:11">
      <c r="A277" s="12">
        <v>275</v>
      </c>
      <c r="B277" s="12" t="s">
        <v>23</v>
      </c>
      <c r="C277" s="12" t="s">
        <v>37</v>
      </c>
      <c r="D277" s="12" t="s">
        <v>109</v>
      </c>
      <c r="E277" s="12" t="s">
        <v>527</v>
      </c>
      <c r="F277" s="74" t="s">
        <v>1231</v>
      </c>
      <c r="G277" s="12" t="s">
        <v>1232</v>
      </c>
      <c r="H277" s="12" t="s">
        <v>1173</v>
      </c>
      <c r="I277" s="74" t="s">
        <v>915</v>
      </c>
      <c r="J277" s="75">
        <v>46051</v>
      </c>
      <c r="K277" s="74" t="s">
        <v>25</v>
      </c>
    </row>
    <row r="278" ht="16.5" hidden="1" spans="1:11">
      <c r="A278" s="12">
        <v>276</v>
      </c>
      <c r="B278" s="12" t="s">
        <v>23</v>
      </c>
      <c r="C278" s="12" t="s">
        <v>32</v>
      </c>
      <c r="D278" s="12" t="s">
        <v>105</v>
      </c>
      <c r="E278" s="12" t="s">
        <v>487</v>
      </c>
      <c r="F278" s="74" t="s">
        <v>1233</v>
      </c>
      <c r="G278" s="12" t="s">
        <v>1234</v>
      </c>
      <c r="H278" s="12" t="s">
        <v>1173</v>
      </c>
      <c r="I278" s="74" t="s">
        <v>915</v>
      </c>
      <c r="J278" s="75">
        <v>46051</v>
      </c>
      <c r="K278" s="74" t="s">
        <v>25</v>
      </c>
    </row>
    <row r="279" ht="16.5" hidden="1" spans="1:11">
      <c r="A279" s="12">
        <v>277</v>
      </c>
      <c r="B279" s="12" t="s">
        <v>23</v>
      </c>
      <c r="C279" s="12" t="s">
        <v>24</v>
      </c>
      <c r="D279" s="12" t="s">
        <v>101</v>
      </c>
      <c r="E279" s="12" t="s">
        <v>1594</v>
      </c>
      <c r="F279" s="74" t="s">
        <v>1235</v>
      </c>
      <c r="G279" s="12" t="s">
        <v>1236</v>
      </c>
      <c r="H279" s="12" t="s">
        <v>1173</v>
      </c>
      <c r="I279" s="74" t="s">
        <v>915</v>
      </c>
      <c r="J279" s="75">
        <v>46051</v>
      </c>
      <c r="K279" s="74" t="s">
        <v>25</v>
      </c>
    </row>
    <row r="280" ht="16.5" hidden="1" spans="1:11">
      <c r="A280" s="12">
        <v>278</v>
      </c>
      <c r="B280" s="12" t="s">
        <v>23</v>
      </c>
      <c r="C280" s="12" t="s">
        <v>38</v>
      </c>
      <c r="D280" s="12" t="s">
        <v>70</v>
      </c>
      <c r="E280" s="12" t="s">
        <v>576</v>
      </c>
      <c r="F280" s="74" t="s">
        <v>1237</v>
      </c>
      <c r="G280" s="12" t="s">
        <v>1238</v>
      </c>
      <c r="H280" s="12" t="s">
        <v>1173</v>
      </c>
      <c r="I280" s="74" t="s">
        <v>915</v>
      </c>
      <c r="J280" s="75">
        <v>46051</v>
      </c>
      <c r="K280" s="74" t="s">
        <v>25</v>
      </c>
    </row>
    <row r="281" ht="16.5" hidden="1" spans="1:11">
      <c r="A281" s="12">
        <v>279</v>
      </c>
      <c r="B281" s="12" t="s">
        <v>23</v>
      </c>
      <c r="C281" s="12" t="s">
        <v>38</v>
      </c>
      <c r="D281" s="12" t="s">
        <v>148</v>
      </c>
      <c r="E281" s="12" t="s">
        <v>147</v>
      </c>
      <c r="F281" s="74" t="s">
        <v>1239</v>
      </c>
      <c r="G281" s="12" t="s">
        <v>1240</v>
      </c>
      <c r="H281" s="12" t="s">
        <v>1173</v>
      </c>
      <c r="I281" s="74" t="s">
        <v>915</v>
      </c>
      <c r="J281" s="75">
        <v>46051</v>
      </c>
      <c r="K281" s="74" t="s">
        <v>25</v>
      </c>
    </row>
    <row r="282" ht="16.5" hidden="1" spans="1:11">
      <c r="A282" s="12">
        <v>280</v>
      </c>
      <c r="B282" s="12" t="s">
        <v>23</v>
      </c>
      <c r="C282" s="12" t="s">
        <v>38</v>
      </c>
      <c r="D282" s="12" t="s">
        <v>148</v>
      </c>
      <c r="E282" s="12" t="s">
        <v>147</v>
      </c>
      <c r="F282" s="74" t="s">
        <v>1241</v>
      </c>
      <c r="G282" s="12" t="s">
        <v>1242</v>
      </c>
      <c r="H282" s="12" t="s">
        <v>1173</v>
      </c>
      <c r="I282" s="74" t="s">
        <v>915</v>
      </c>
      <c r="J282" s="75">
        <v>46051</v>
      </c>
      <c r="K282" s="74" t="s">
        <v>25</v>
      </c>
    </row>
    <row r="283" ht="16.5" hidden="1" spans="1:11">
      <c r="A283" s="12">
        <v>281</v>
      </c>
      <c r="B283" s="12" t="s">
        <v>23</v>
      </c>
      <c r="C283" s="12" t="s">
        <v>38</v>
      </c>
      <c r="D283" s="12" t="s">
        <v>220</v>
      </c>
      <c r="E283" s="12" t="s">
        <v>1077</v>
      </c>
      <c r="F283" s="74" t="s">
        <v>1243</v>
      </c>
      <c r="G283" s="12" t="s">
        <v>1244</v>
      </c>
      <c r="H283" s="12" t="s">
        <v>1173</v>
      </c>
      <c r="I283" s="74" t="s">
        <v>907</v>
      </c>
      <c r="J283" s="75">
        <v>46051</v>
      </c>
      <c r="K283" s="74" t="s">
        <v>25</v>
      </c>
    </row>
    <row r="284" ht="16.5" hidden="1" spans="1:11">
      <c r="A284" s="12">
        <v>282</v>
      </c>
      <c r="B284" s="12" t="s">
        <v>23</v>
      </c>
      <c r="C284" s="12" t="s">
        <v>38</v>
      </c>
      <c r="D284" s="12" t="s">
        <v>75</v>
      </c>
      <c r="E284" s="12" t="s">
        <v>437</v>
      </c>
      <c r="F284" s="74" t="s">
        <v>1245</v>
      </c>
      <c r="G284" s="12" t="s">
        <v>1246</v>
      </c>
      <c r="H284" s="12" t="s">
        <v>1173</v>
      </c>
      <c r="I284" s="74" t="s">
        <v>915</v>
      </c>
      <c r="J284" s="75">
        <v>46051</v>
      </c>
      <c r="K284" s="74" t="s">
        <v>25</v>
      </c>
    </row>
    <row r="285" ht="16.5" hidden="1" spans="1:11">
      <c r="A285" s="12">
        <v>283</v>
      </c>
      <c r="B285" s="12" t="s">
        <v>23</v>
      </c>
      <c r="C285" s="12" t="s">
        <v>29</v>
      </c>
      <c r="D285" s="12" t="s">
        <v>130</v>
      </c>
      <c r="E285" s="12" t="s">
        <v>390</v>
      </c>
      <c r="F285" s="74" t="s">
        <v>1247</v>
      </c>
      <c r="G285" s="12" t="s">
        <v>1248</v>
      </c>
      <c r="H285" s="12" t="s">
        <v>1173</v>
      </c>
      <c r="I285" s="74" t="s">
        <v>915</v>
      </c>
      <c r="J285" s="75">
        <v>46051</v>
      </c>
      <c r="K285" s="74" t="s">
        <v>25</v>
      </c>
    </row>
    <row r="286" ht="16.5" hidden="1" spans="1:11">
      <c r="A286" s="12">
        <v>284</v>
      </c>
      <c r="B286" s="12" t="s">
        <v>23</v>
      </c>
      <c r="C286" s="12" t="s">
        <v>35</v>
      </c>
      <c r="D286" s="12" t="s">
        <v>125</v>
      </c>
      <c r="E286" s="12" t="s">
        <v>1584</v>
      </c>
      <c r="F286" s="74" t="s">
        <v>1249</v>
      </c>
      <c r="G286" s="12" t="s">
        <v>1250</v>
      </c>
      <c r="H286" s="12" t="s">
        <v>1173</v>
      </c>
      <c r="I286" s="74" t="s">
        <v>915</v>
      </c>
      <c r="J286" s="75">
        <v>46051</v>
      </c>
      <c r="K286" s="74" t="s">
        <v>25</v>
      </c>
    </row>
    <row r="287" ht="16.5" hidden="1" spans="1:11">
      <c r="A287" s="12">
        <v>285</v>
      </c>
      <c r="B287" s="12" t="s">
        <v>23</v>
      </c>
      <c r="C287" s="12" t="s">
        <v>29</v>
      </c>
      <c r="D287" s="12" t="s">
        <v>130</v>
      </c>
      <c r="E287" s="12" t="s">
        <v>380</v>
      </c>
      <c r="F287" s="74" t="s">
        <v>1251</v>
      </c>
      <c r="G287" s="12" t="s">
        <v>1252</v>
      </c>
      <c r="H287" s="12" t="s">
        <v>1173</v>
      </c>
      <c r="I287" s="74" t="s">
        <v>915</v>
      </c>
      <c r="J287" s="75">
        <v>46051</v>
      </c>
      <c r="K287" s="74" t="s">
        <v>25</v>
      </c>
    </row>
    <row r="288" ht="16.5" hidden="1" spans="1:11">
      <c r="A288" s="12">
        <v>286</v>
      </c>
      <c r="B288" s="12" t="s">
        <v>23</v>
      </c>
      <c r="C288" s="12" t="s">
        <v>34</v>
      </c>
      <c r="D288" s="12" t="s">
        <v>351</v>
      </c>
      <c r="E288" s="12" t="s">
        <v>1595</v>
      </c>
      <c r="F288" s="74" t="s">
        <v>1253</v>
      </c>
      <c r="G288" s="12" t="s">
        <v>1254</v>
      </c>
      <c r="H288" s="12" t="s">
        <v>1173</v>
      </c>
      <c r="I288" s="74" t="s">
        <v>915</v>
      </c>
      <c r="J288" s="75">
        <v>46051</v>
      </c>
      <c r="K288" s="74" t="s">
        <v>25</v>
      </c>
    </row>
    <row r="289" ht="16.5" hidden="1" spans="1:11">
      <c r="A289" s="12">
        <v>287</v>
      </c>
      <c r="B289" s="12" t="s">
        <v>23</v>
      </c>
      <c r="C289" s="12" t="s">
        <v>34</v>
      </c>
      <c r="D289" s="12" t="s">
        <v>351</v>
      </c>
      <c r="E289" s="12" t="s">
        <v>1595</v>
      </c>
      <c r="F289" s="74" t="s">
        <v>1255</v>
      </c>
      <c r="G289" s="12" t="s">
        <v>1256</v>
      </c>
      <c r="H289" s="12" t="s">
        <v>1173</v>
      </c>
      <c r="I289" s="74" t="s">
        <v>915</v>
      </c>
      <c r="J289" s="75">
        <v>46051</v>
      </c>
      <c r="K289" s="74" t="s">
        <v>25</v>
      </c>
    </row>
    <row r="290" ht="16.5" hidden="1" spans="1:11">
      <c r="A290" s="12">
        <v>288</v>
      </c>
      <c r="B290" s="12" t="s">
        <v>23</v>
      </c>
      <c r="C290" s="12" t="s">
        <v>34</v>
      </c>
      <c r="D290" s="12" t="s">
        <v>351</v>
      </c>
      <c r="E290" s="12" t="s">
        <v>1595</v>
      </c>
      <c r="F290" s="74" t="s">
        <v>1257</v>
      </c>
      <c r="G290" s="12" t="s">
        <v>1258</v>
      </c>
      <c r="H290" s="12" t="s">
        <v>1173</v>
      </c>
      <c r="I290" s="74" t="s">
        <v>915</v>
      </c>
      <c r="J290" s="75">
        <v>46051</v>
      </c>
      <c r="K290" s="74" t="s">
        <v>25</v>
      </c>
    </row>
    <row r="291" ht="16.5" hidden="1" spans="1:11">
      <c r="A291" s="12">
        <v>289</v>
      </c>
      <c r="B291" s="12" t="s">
        <v>23</v>
      </c>
      <c r="C291" s="12" t="s">
        <v>32</v>
      </c>
      <c r="D291" s="12" t="s">
        <v>105</v>
      </c>
      <c r="E291" s="12" t="s">
        <v>192</v>
      </c>
      <c r="F291" s="74" t="s">
        <v>1259</v>
      </c>
      <c r="G291" s="12" t="s">
        <v>1260</v>
      </c>
      <c r="H291" s="12" t="s">
        <v>1173</v>
      </c>
      <c r="I291" s="74" t="s">
        <v>907</v>
      </c>
      <c r="J291" s="75">
        <v>46051</v>
      </c>
      <c r="K291" s="74" t="s">
        <v>25</v>
      </c>
    </row>
    <row r="292" ht="16.5" hidden="1" spans="1:11">
      <c r="A292" s="12">
        <v>290</v>
      </c>
      <c r="B292" s="12" t="s">
        <v>23</v>
      </c>
      <c r="C292" s="12" t="s">
        <v>32</v>
      </c>
      <c r="D292" s="12" t="s">
        <v>105</v>
      </c>
      <c r="E292" s="12" t="s">
        <v>115</v>
      </c>
      <c r="F292" s="74" t="s">
        <v>1261</v>
      </c>
      <c r="G292" s="12" t="s">
        <v>1262</v>
      </c>
      <c r="H292" s="12" t="s">
        <v>1173</v>
      </c>
      <c r="I292" s="74" t="s">
        <v>907</v>
      </c>
      <c r="J292" s="75">
        <v>46051</v>
      </c>
      <c r="K292" s="74" t="s">
        <v>25</v>
      </c>
    </row>
    <row r="293" ht="16.5" hidden="1" spans="1:11">
      <c r="A293" s="12">
        <v>291</v>
      </c>
      <c r="B293" s="12" t="s">
        <v>23</v>
      </c>
      <c r="C293" s="12" t="s">
        <v>38</v>
      </c>
      <c r="D293" s="12" t="s">
        <v>75</v>
      </c>
      <c r="E293" s="12" t="s">
        <v>74</v>
      </c>
      <c r="F293" s="74" t="s">
        <v>1263</v>
      </c>
      <c r="G293" s="12" t="s">
        <v>1264</v>
      </c>
      <c r="H293" s="12" t="s">
        <v>1173</v>
      </c>
      <c r="I293" s="74" t="s">
        <v>907</v>
      </c>
      <c r="J293" s="75">
        <v>46051</v>
      </c>
      <c r="K293" s="74" t="s">
        <v>25</v>
      </c>
    </row>
    <row r="294" ht="16.5" hidden="1" spans="1:11">
      <c r="A294" s="12">
        <v>292</v>
      </c>
      <c r="B294" s="12" t="s">
        <v>23</v>
      </c>
      <c r="C294" s="12" t="s">
        <v>31</v>
      </c>
      <c r="D294" s="12" t="s">
        <v>79</v>
      </c>
      <c r="E294" s="12" t="s">
        <v>189</v>
      </c>
      <c r="F294" s="74" t="s">
        <v>1265</v>
      </c>
      <c r="G294" s="12" t="s">
        <v>1266</v>
      </c>
      <c r="H294" s="12" t="s">
        <v>1173</v>
      </c>
      <c r="I294" s="74" t="s">
        <v>915</v>
      </c>
      <c r="J294" s="75">
        <v>46051</v>
      </c>
      <c r="K294" s="74" t="s">
        <v>25</v>
      </c>
    </row>
    <row r="295" ht="16.5" hidden="1" spans="1:11">
      <c r="A295" s="12">
        <v>293</v>
      </c>
      <c r="B295" s="12" t="s">
        <v>23</v>
      </c>
      <c r="C295" s="12" t="s">
        <v>37</v>
      </c>
      <c r="D295" s="12" t="s">
        <v>109</v>
      </c>
      <c r="E295" s="12" t="s">
        <v>108</v>
      </c>
      <c r="F295" s="74" t="s">
        <v>1267</v>
      </c>
      <c r="G295" s="12" t="s">
        <v>1268</v>
      </c>
      <c r="H295" s="12" t="s">
        <v>1173</v>
      </c>
      <c r="I295" s="74" t="s">
        <v>915</v>
      </c>
      <c r="J295" s="75">
        <v>46051</v>
      </c>
      <c r="K295" s="74" t="s">
        <v>25</v>
      </c>
    </row>
    <row r="296" ht="16.5" hidden="1" spans="1:11">
      <c r="A296" s="12">
        <v>294</v>
      </c>
      <c r="B296" s="12" t="s">
        <v>23</v>
      </c>
      <c r="C296" s="12" t="s">
        <v>31</v>
      </c>
      <c r="D296" s="12" t="s">
        <v>79</v>
      </c>
      <c r="E296" s="12" t="s">
        <v>86</v>
      </c>
      <c r="F296" s="74" t="s">
        <v>1269</v>
      </c>
      <c r="G296" s="12" t="s">
        <v>1270</v>
      </c>
      <c r="H296" s="12" t="s">
        <v>1173</v>
      </c>
      <c r="I296" s="74" t="s">
        <v>915</v>
      </c>
      <c r="J296" s="75">
        <v>46051</v>
      </c>
      <c r="K296" s="74" t="s">
        <v>25</v>
      </c>
    </row>
    <row r="297" ht="16.5" hidden="1" spans="1:11">
      <c r="A297" s="12">
        <v>295</v>
      </c>
      <c r="B297" s="12" t="s">
        <v>23</v>
      </c>
      <c r="C297" s="12" t="s">
        <v>38</v>
      </c>
      <c r="D297" s="12" t="s">
        <v>144</v>
      </c>
      <c r="E297" s="12" t="s">
        <v>216</v>
      </c>
      <c r="F297" s="74" t="s">
        <v>1271</v>
      </c>
      <c r="G297" s="12" t="s">
        <v>1272</v>
      </c>
      <c r="H297" s="12" t="s">
        <v>1173</v>
      </c>
      <c r="I297" s="74" t="s">
        <v>907</v>
      </c>
      <c r="J297" s="75">
        <v>46051</v>
      </c>
      <c r="K297" s="74" t="s">
        <v>25</v>
      </c>
    </row>
    <row r="298" ht="16.5" hidden="1" spans="1:11">
      <c r="A298" s="12">
        <v>296</v>
      </c>
      <c r="B298" s="12" t="s">
        <v>23</v>
      </c>
      <c r="C298" s="12" t="s">
        <v>38</v>
      </c>
      <c r="D298" s="12" t="s">
        <v>144</v>
      </c>
      <c r="E298" s="12" t="s">
        <v>216</v>
      </c>
      <c r="F298" s="74" t="s">
        <v>1273</v>
      </c>
      <c r="G298" s="12" t="s">
        <v>1274</v>
      </c>
      <c r="H298" s="12" t="s">
        <v>1173</v>
      </c>
      <c r="I298" s="74" t="s">
        <v>907</v>
      </c>
      <c r="J298" s="75">
        <v>46051</v>
      </c>
      <c r="K298" s="74" t="s">
        <v>25</v>
      </c>
    </row>
    <row r="299" ht="16.5" hidden="1" spans="1:11">
      <c r="A299" s="12">
        <v>297</v>
      </c>
      <c r="B299" s="12" t="s">
        <v>23</v>
      </c>
      <c r="C299" s="12" t="s">
        <v>38</v>
      </c>
      <c r="D299" s="12" t="s">
        <v>148</v>
      </c>
      <c r="E299" s="12" t="s">
        <v>227</v>
      </c>
      <c r="F299" s="74" t="s">
        <v>1275</v>
      </c>
      <c r="G299" s="12" t="s">
        <v>1276</v>
      </c>
      <c r="H299" s="12" t="s">
        <v>1173</v>
      </c>
      <c r="I299" s="74" t="s">
        <v>907</v>
      </c>
      <c r="J299" s="75">
        <v>46051</v>
      </c>
      <c r="K299" s="74" t="s">
        <v>25</v>
      </c>
    </row>
    <row r="300" ht="16.5" hidden="1" spans="1:11">
      <c r="A300" s="12">
        <v>298</v>
      </c>
      <c r="B300" s="12" t="s">
        <v>23</v>
      </c>
      <c r="C300" s="12" t="s">
        <v>38</v>
      </c>
      <c r="D300" s="12" t="s">
        <v>220</v>
      </c>
      <c r="E300" s="12" t="s">
        <v>427</v>
      </c>
      <c r="F300" s="74" t="s">
        <v>1277</v>
      </c>
      <c r="G300" s="12" t="s">
        <v>1278</v>
      </c>
      <c r="H300" s="12" t="s">
        <v>1173</v>
      </c>
      <c r="I300" s="74" t="s">
        <v>915</v>
      </c>
      <c r="J300" s="75">
        <v>46051</v>
      </c>
      <c r="K300" s="74" t="s">
        <v>25</v>
      </c>
    </row>
    <row r="301" ht="16.5" hidden="1" spans="1:11">
      <c r="A301" s="12">
        <v>299</v>
      </c>
      <c r="B301" s="12" t="s">
        <v>23</v>
      </c>
      <c r="C301" s="12" t="s">
        <v>38</v>
      </c>
      <c r="D301" s="12" t="s">
        <v>70</v>
      </c>
      <c r="E301" s="12" t="s">
        <v>368</v>
      </c>
      <c r="F301" s="74" t="s">
        <v>1279</v>
      </c>
      <c r="G301" s="12" t="s">
        <v>1280</v>
      </c>
      <c r="H301" s="12" t="s">
        <v>1173</v>
      </c>
      <c r="I301" s="74" t="s">
        <v>907</v>
      </c>
      <c r="J301" s="75">
        <v>46051</v>
      </c>
      <c r="K301" s="74" t="s">
        <v>25</v>
      </c>
    </row>
    <row r="302" ht="16.5" hidden="1" spans="1:11">
      <c r="A302" s="12">
        <v>300</v>
      </c>
      <c r="B302" s="12" t="s">
        <v>23</v>
      </c>
      <c r="C302" s="12" t="s">
        <v>38</v>
      </c>
      <c r="D302" s="12" t="s">
        <v>148</v>
      </c>
      <c r="E302" s="12" t="s">
        <v>531</v>
      </c>
      <c r="F302" s="74" t="s">
        <v>1281</v>
      </c>
      <c r="G302" s="12" t="s">
        <v>1282</v>
      </c>
      <c r="H302" s="12" t="s">
        <v>1173</v>
      </c>
      <c r="I302" s="74" t="s">
        <v>907</v>
      </c>
      <c r="J302" s="75">
        <v>46051</v>
      </c>
      <c r="K302" s="74" t="s">
        <v>25</v>
      </c>
    </row>
    <row r="303" ht="16.5" hidden="1" spans="1:11">
      <c r="A303" s="12">
        <v>301</v>
      </c>
      <c r="B303" s="12" t="s">
        <v>23</v>
      </c>
      <c r="C303" s="12" t="s">
        <v>38</v>
      </c>
      <c r="D303" s="12" t="s">
        <v>148</v>
      </c>
      <c r="E303" s="12" t="s">
        <v>531</v>
      </c>
      <c r="F303" s="74" t="s">
        <v>1283</v>
      </c>
      <c r="G303" s="12" t="s">
        <v>1284</v>
      </c>
      <c r="H303" s="12" t="s">
        <v>1173</v>
      </c>
      <c r="I303" s="74" t="s">
        <v>907</v>
      </c>
      <c r="J303" s="75">
        <v>46051</v>
      </c>
      <c r="K303" s="74" t="s">
        <v>25</v>
      </c>
    </row>
    <row r="304" ht="16.5" hidden="1" spans="1:11">
      <c r="A304" s="12">
        <v>302</v>
      </c>
      <c r="B304" s="12" t="s">
        <v>23</v>
      </c>
      <c r="C304" s="12" t="s">
        <v>38</v>
      </c>
      <c r="D304" s="12" t="s">
        <v>148</v>
      </c>
      <c r="E304" s="12" t="s">
        <v>531</v>
      </c>
      <c r="F304" s="74" t="s">
        <v>1285</v>
      </c>
      <c r="G304" s="12" t="s">
        <v>1286</v>
      </c>
      <c r="H304" s="12" t="s">
        <v>1173</v>
      </c>
      <c r="I304" s="74" t="s">
        <v>907</v>
      </c>
      <c r="J304" s="75">
        <v>46051</v>
      </c>
      <c r="K304" s="74" t="s">
        <v>25</v>
      </c>
    </row>
    <row r="305" ht="16.5" hidden="1" spans="1:11">
      <c r="A305" s="12">
        <v>303</v>
      </c>
      <c r="B305" s="12" t="s">
        <v>23</v>
      </c>
      <c r="C305" s="12" t="s">
        <v>38</v>
      </c>
      <c r="D305" s="12" t="s">
        <v>220</v>
      </c>
      <c r="E305" s="12" t="s">
        <v>614</v>
      </c>
      <c r="F305" s="74" t="s">
        <v>1287</v>
      </c>
      <c r="G305" s="12" t="s">
        <v>1288</v>
      </c>
      <c r="H305" s="12" t="s">
        <v>1173</v>
      </c>
      <c r="I305" s="74" t="s">
        <v>915</v>
      </c>
      <c r="J305" s="75">
        <v>46051</v>
      </c>
      <c r="K305" s="74" t="s">
        <v>25</v>
      </c>
    </row>
    <row r="306" ht="16.5" hidden="1" spans="1:11">
      <c r="A306" s="12">
        <v>304</v>
      </c>
      <c r="B306" s="12" t="s">
        <v>23</v>
      </c>
      <c r="C306" s="12" t="s">
        <v>38</v>
      </c>
      <c r="D306" s="12" t="s">
        <v>220</v>
      </c>
      <c r="E306" s="12" t="s">
        <v>614</v>
      </c>
      <c r="F306" s="74" t="s">
        <v>1289</v>
      </c>
      <c r="G306" s="12" t="s">
        <v>1290</v>
      </c>
      <c r="H306" s="12" t="s">
        <v>1173</v>
      </c>
      <c r="I306" s="74" t="s">
        <v>915</v>
      </c>
      <c r="J306" s="75">
        <v>46051</v>
      </c>
      <c r="K306" s="74" t="s">
        <v>25</v>
      </c>
    </row>
    <row r="307" ht="16.5" hidden="1" spans="1:11">
      <c r="A307" s="12">
        <v>305</v>
      </c>
      <c r="B307" s="12" t="s">
        <v>23</v>
      </c>
      <c r="C307" s="12" t="s">
        <v>38</v>
      </c>
      <c r="D307" s="12" t="s">
        <v>168</v>
      </c>
      <c r="E307" s="12" t="s">
        <v>319</v>
      </c>
      <c r="F307" s="74" t="s">
        <v>1291</v>
      </c>
      <c r="G307" s="12" t="s">
        <v>1292</v>
      </c>
      <c r="H307" s="12" t="s">
        <v>1173</v>
      </c>
      <c r="I307" s="74" t="s">
        <v>907</v>
      </c>
      <c r="J307" s="75">
        <v>46051</v>
      </c>
      <c r="K307" s="74" t="s">
        <v>25</v>
      </c>
    </row>
    <row r="308" ht="16.5" hidden="1" spans="1:11">
      <c r="A308" s="12">
        <v>306</v>
      </c>
      <c r="B308" s="12" t="s">
        <v>23</v>
      </c>
      <c r="C308" s="12" t="s">
        <v>38</v>
      </c>
      <c r="D308" s="12" t="s">
        <v>168</v>
      </c>
      <c r="E308" s="12" t="s">
        <v>319</v>
      </c>
      <c r="F308" s="74" t="s">
        <v>1293</v>
      </c>
      <c r="G308" s="12" t="s">
        <v>1294</v>
      </c>
      <c r="H308" s="12" t="s">
        <v>1173</v>
      </c>
      <c r="I308" s="74" t="s">
        <v>907</v>
      </c>
      <c r="J308" s="75">
        <v>46051</v>
      </c>
      <c r="K308" s="74" t="s">
        <v>25</v>
      </c>
    </row>
    <row r="309" ht="16.5" hidden="1" spans="1:11">
      <c r="A309" s="12">
        <v>307</v>
      </c>
      <c r="B309" s="12" t="s">
        <v>23</v>
      </c>
      <c r="C309" s="12" t="s">
        <v>38</v>
      </c>
      <c r="D309" s="12" t="s">
        <v>168</v>
      </c>
      <c r="E309" s="12" t="s">
        <v>319</v>
      </c>
      <c r="F309" s="74" t="s">
        <v>1295</v>
      </c>
      <c r="G309" s="12" t="s">
        <v>1296</v>
      </c>
      <c r="H309" s="12" t="s">
        <v>1173</v>
      </c>
      <c r="I309" s="74" t="s">
        <v>907</v>
      </c>
      <c r="J309" s="75">
        <v>46051</v>
      </c>
      <c r="K309" s="74" t="s">
        <v>25</v>
      </c>
    </row>
    <row r="310" ht="16.5" hidden="1" spans="1:11">
      <c r="A310" s="12">
        <v>308</v>
      </c>
      <c r="B310" s="12" t="s">
        <v>23</v>
      </c>
      <c r="C310" s="12" t="s">
        <v>26</v>
      </c>
      <c r="D310" s="12" t="s">
        <v>121</v>
      </c>
      <c r="E310" s="12" t="s">
        <v>385</v>
      </c>
      <c r="F310" s="74" t="s">
        <v>1297</v>
      </c>
      <c r="G310" s="12" t="s">
        <v>1298</v>
      </c>
      <c r="H310" s="12" t="s">
        <v>1173</v>
      </c>
      <c r="I310" s="74" t="s">
        <v>915</v>
      </c>
      <c r="J310" s="75">
        <v>46051</v>
      </c>
      <c r="K310" s="74" t="s">
        <v>25</v>
      </c>
    </row>
    <row r="311" ht="16.5" hidden="1" spans="1:11">
      <c r="A311" s="12">
        <v>309</v>
      </c>
      <c r="B311" s="12" t="s">
        <v>23</v>
      </c>
      <c r="C311" s="12" t="s">
        <v>35</v>
      </c>
      <c r="D311" s="12" t="s">
        <v>125</v>
      </c>
      <c r="E311" s="12" t="s">
        <v>605</v>
      </c>
      <c r="F311" s="74" t="s">
        <v>1299</v>
      </c>
      <c r="G311" s="12" t="s">
        <v>1300</v>
      </c>
      <c r="H311" s="12" t="s">
        <v>1173</v>
      </c>
      <c r="I311" s="74" t="s">
        <v>915</v>
      </c>
      <c r="J311" s="75">
        <v>46051</v>
      </c>
      <c r="K311" s="74" t="s">
        <v>25</v>
      </c>
    </row>
    <row r="312" ht="16.5" hidden="1" spans="1:11">
      <c r="A312" s="12">
        <v>310</v>
      </c>
      <c r="B312" s="12" t="s">
        <v>23</v>
      </c>
      <c r="C312" s="12" t="s">
        <v>29</v>
      </c>
      <c r="D312" s="12" t="s">
        <v>130</v>
      </c>
      <c r="E312" s="12" t="s">
        <v>263</v>
      </c>
      <c r="F312" s="74" t="s">
        <v>1301</v>
      </c>
      <c r="G312" s="12" t="s">
        <v>1302</v>
      </c>
      <c r="H312" s="12" t="s">
        <v>1173</v>
      </c>
      <c r="I312" s="74" t="s">
        <v>915</v>
      </c>
      <c r="J312" s="75">
        <v>46051</v>
      </c>
      <c r="K312" s="74" t="s">
        <v>25</v>
      </c>
    </row>
    <row r="313" ht="16.5" hidden="1" spans="1:11">
      <c r="A313" s="12">
        <v>311</v>
      </c>
      <c r="B313" s="12" t="s">
        <v>23</v>
      </c>
      <c r="C313" s="12" t="s">
        <v>38</v>
      </c>
      <c r="D313" s="12" t="s">
        <v>144</v>
      </c>
      <c r="E313" s="12" t="s">
        <v>185</v>
      </c>
      <c r="F313" s="74" t="s">
        <v>1303</v>
      </c>
      <c r="G313" s="12" t="s">
        <v>1304</v>
      </c>
      <c r="H313" s="12" t="s">
        <v>1173</v>
      </c>
      <c r="I313" s="74" t="s">
        <v>907</v>
      </c>
      <c r="J313" s="75">
        <v>46051</v>
      </c>
      <c r="K313" s="74" t="s">
        <v>25</v>
      </c>
    </row>
    <row r="314" ht="16.5" hidden="1" spans="1:11">
      <c r="A314" s="12">
        <v>312</v>
      </c>
      <c r="B314" s="12" t="s">
        <v>23</v>
      </c>
      <c r="C314" s="12" t="s">
        <v>38</v>
      </c>
      <c r="D314" s="12" t="s">
        <v>144</v>
      </c>
      <c r="E314" s="12" t="s">
        <v>185</v>
      </c>
      <c r="F314" s="74" t="s">
        <v>1305</v>
      </c>
      <c r="G314" s="12" t="s">
        <v>1306</v>
      </c>
      <c r="H314" s="12" t="s">
        <v>1173</v>
      </c>
      <c r="I314" s="74" t="s">
        <v>915</v>
      </c>
      <c r="J314" s="75">
        <v>46051</v>
      </c>
      <c r="K314" s="74" t="s">
        <v>25</v>
      </c>
    </row>
    <row r="315" ht="16.5" hidden="1" spans="1:11">
      <c r="A315" s="12">
        <v>313</v>
      </c>
      <c r="B315" s="12" t="s">
        <v>23</v>
      </c>
      <c r="C315" s="12" t="s">
        <v>38</v>
      </c>
      <c r="D315" s="12" t="s">
        <v>144</v>
      </c>
      <c r="E315" s="12" t="s">
        <v>185</v>
      </c>
      <c r="F315" s="74" t="s">
        <v>1307</v>
      </c>
      <c r="G315" s="12" t="s">
        <v>1308</v>
      </c>
      <c r="H315" s="12" t="s">
        <v>1173</v>
      </c>
      <c r="I315" s="74" t="s">
        <v>907</v>
      </c>
      <c r="J315" s="75">
        <v>46051</v>
      </c>
      <c r="K315" s="74" t="s">
        <v>25</v>
      </c>
    </row>
    <row r="316" ht="16.5" hidden="1" spans="1:11">
      <c r="A316" s="12">
        <v>314</v>
      </c>
      <c r="B316" s="12" t="s">
        <v>23</v>
      </c>
      <c r="C316" s="12" t="s">
        <v>26</v>
      </c>
      <c r="D316" s="12" t="s">
        <v>121</v>
      </c>
      <c r="E316" s="12" t="s">
        <v>1596</v>
      </c>
      <c r="F316" s="74" t="s">
        <v>1309</v>
      </c>
      <c r="G316" s="12" t="s">
        <v>1310</v>
      </c>
      <c r="H316" s="12" t="s">
        <v>1173</v>
      </c>
      <c r="I316" s="74" t="s">
        <v>907</v>
      </c>
      <c r="J316" s="75">
        <v>46051</v>
      </c>
      <c r="K316" s="74" t="s">
        <v>25</v>
      </c>
    </row>
    <row r="317" ht="16.5" hidden="1" spans="1:11">
      <c r="A317" s="12">
        <v>315</v>
      </c>
      <c r="B317" s="12" t="s">
        <v>23</v>
      </c>
      <c r="C317" s="12" t="s">
        <v>26</v>
      </c>
      <c r="D317" s="12" t="s">
        <v>121</v>
      </c>
      <c r="E317" s="12" t="s">
        <v>1596</v>
      </c>
      <c r="F317" s="74" t="s">
        <v>1311</v>
      </c>
      <c r="G317" s="12" t="s">
        <v>1312</v>
      </c>
      <c r="H317" s="12" t="s">
        <v>1173</v>
      </c>
      <c r="I317" s="74" t="s">
        <v>915</v>
      </c>
      <c r="J317" s="75">
        <v>46051</v>
      </c>
      <c r="K317" s="74" t="s">
        <v>25</v>
      </c>
    </row>
    <row r="318" ht="16.5" hidden="1" spans="1:11">
      <c r="A318" s="12">
        <v>316</v>
      </c>
      <c r="B318" s="12" t="s">
        <v>23</v>
      </c>
      <c r="C318" s="12" t="s">
        <v>26</v>
      </c>
      <c r="D318" s="12" t="s">
        <v>121</v>
      </c>
      <c r="E318" s="12" t="s">
        <v>1596</v>
      </c>
      <c r="F318" s="74" t="s">
        <v>1313</v>
      </c>
      <c r="G318" s="12" t="s">
        <v>1314</v>
      </c>
      <c r="H318" s="12" t="s">
        <v>1173</v>
      </c>
      <c r="I318" s="74" t="s">
        <v>915</v>
      </c>
      <c r="J318" s="75">
        <v>46051</v>
      </c>
      <c r="K318" s="74" t="s">
        <v>25</v>
      </c>
    </row>
    <row r="319" ht="16.5" hidden="1" spans="1:11">
      <c r="A319" s="12">
        <v>317</v>
      </c>
      <c r="B319" s="12" t="s">
        <v>23</v>
      </c>
      <c r="C319" s="12" t="s">
        <v>38</v>
      </c>
      <c r="D319" s="12" t="s">
        <v>75</v>
      </c>
      <c r="E319" s="12" t="s">
        <v>176</v>
      </c>
      <c r="F319" s="74" t="s">
        <v>1315</v>
      </c>
      <c r="G319" s="12" t="s">
        <v>1316</v>
      </c>
      <c r="H319" s="12" t="s">
        <v>1173</v>
      </c>
      <c r="I319" s="74" t="s">
        <v>915</v>
      </c>
      <c r="J319" s="75">
        <v>46051</v>
      </c>
      <c r="K319" s="74" t="s">
        <v>25</v>
      </c>
    </row>
    <row r="320" ht="16.5" hidden="1" spans="1:11">
      <c r="A320" s="12">
        <v>318</v>
      </c>
      <c r="B320" s="12" t="s">
        <v>23</v>
      </c>
      <c r="C320" s="12" t="s">
        <v>38</v>
      </c>
      <c r="D320" s="12" t="s">
        <v>75</v>
      </c>
      <c r="E320" s="12" t="s">
        <v>176</v>
      </c>
      <c r="F320" s="74" t="s">
        <v>1317</v>
      </c>
      <c r="G320" s="12" t="s">
        <v>1318</v>
      </c>
      <c r="H320" s="12" t="s">
        <v>1173</v>
      </c>
      <c r="I320" s="74" t="s">
        <v>907</v>
      </c>
      <c r="J320" s="75">
        <v>46051</v>
      </c>
      <c r="K320" s="74" t="s">
        <v>25</v>
      </c>
    </row>
    <row r="321" ht="16.5" hidden="1" spans="1:11">
      <c r="A321" s="12">
        <v>319</v>
      </c>
      <c r="B321" s="12" t="s">
        <v>23</v>
      </c>
      <c r="C321" s="12" t="s">
        <v>38</v>
      </c>
      <c r="D321" s="12" t="s">
        <v>220</v>
      </c>
      <c r="E321" s="12" t="s">
        <v>620</v>
      </c>
      <c r="F321" s="74" t="s">
        <v>1319</v>
      </c>
      <c r="G321" s="12" t="s">
        <v>1320</v>
      </c>
      <c r="H321" s="12" t="s">
        <v>1173</v>
      </c>
      <c r="I321" s="74" t="s">
        <v>907</v>
      </c>
      <c r="J321" s="75">
        <v>46051</v>
      </c>
      <c r="K321" s="74" t="s">
        <v>25</v>
      </c>
    </row>
    <row r="322" ht="16.5" hidden="1" spans="1:11">
      <c r="A322" s="12">
        <v>320</v>
      </c>
      <c r="B322" s="12" t="s">
        <v>23</v>
      </c>
      <c r="C322" s="12" t="s">
        <v>38</v>
      </c>
      <c r="D322" s="12" t="s">
        <v>220</v>
      </c>
      <c r="E322" s="12" t="s">
        <v>620</v>
      </c>
      <c r="F322" s="74" t="s">
        <v>1321</v>
      </c>
      <c r="G322" s="12" t="s">
        <v>1322</v>
      </c>
      <c r="H322" s="12" t="s">
        <v>1173</v>
      </c>
      <c r="I322" s="74" t="s">
        <v>907</v>
      </c>
      <c r="J322" s="75">
        <v>46051</v>
      </c>
      <c r="K322" s="74" t="s">
        <v>25</v>
      </c>
    </row>
    <row r="323" ht="16.5" hidden="1" spans="1:11">
      <c r="A323" s="12">
        <v>321</v>
      </c>
      <c r="B323" s="12" t="s">
        <v>23</v>
      </c>
      <c r="C323" s="12" t="s">
        <v>38</v>
      </c>
      <c r="D323" s="12" t="s">
        <v>1329</v>
      </c>
      <c r="E323" s="12" t="s">
        <v>1597</v>
      </c>
      <c r="F323" s="74" t="s">
        <v>1327</v>
      </c>
      <c r="G323" s="12" t="s">
        <v>1328</v>
      </c>
      <c r="H323" s="12" t="s">
        <v>1330</v>
      </c>
      <c r="I323" s="74" t="s">
        <v>915</v>
      </c>
      <c r="J323" s="75">
        <v>46051</v>
      </c>
      <c r="K323" s="74" t="s">
        <v>25</v>
      </c>
    </row>
    <row r="324" ht="16.5" hidden="1" spans="1:11">
      <c r="A324" s="12">
        <v>322</v>
      </c>
      <c r="B324" s="12" t="s">
        <v>23</v>
      </c>
      <c r="C324" s="12" t="s">
        <v>38</v>
      </c>
      <c r="D324" s="12" t="s">
        <v>1329</v>
      </c>
      <c r="E324" s="12" t="s">
        <v>1598</v>
      </c>
      <c r="F324" s="74" t="s">
        <v>1331</v>
      </c>
      <c r="G324" s="12" t="s">
        <v>1332</v>
      </c>
      <c r="H324" s="12" t="s">
        <v>1333</v>
      </c>
      <c r="I324" s="74" t="s">
        <v>915</v>
      </c>
      <c r="J324" s="75">
        <v>46051</v>
      </c>
      <c r="K324" s="74" t="s">
        <v>25</v>
      </c>
    </row>
    <row r="325" ht="16.5" hidden="1" spans="1:11">
      <c r="A325" s="12">
        <v>323</v>
      </c>
      <c r="B325" s="12" t="s">
        <v>23</v>
      </c>
      <c r="C325" s="12" t="s">
        <v>38</v>
      </c>
      <c r="D325" s="12" t="s">
        <v>1329</v>
      </c>
      <c r="E325" s="12" t="s">
        <v>1599</v>
      </c>
      <c r="F325" s="74" t="s">
        <v>1334</v>
      </c>
      <c r="G325" s="12" t="s">
        <v>1335</v>
      </c>
      <c r="H325" s="12" t="s">
        <v>1336</v>
      </c>
      <c r="I325" s="74" t="s">
        <v>907</v>
      </c>
      <c r="J325" s="75">
        <v>46051</v>
      </c>
      <c r="K325" s="74" t="s">
        <v>25</v>
      </c>
    </row>
    <row r="326" ht="16.5" hidden="1" spans="1:11">
      <c r="A326" s="12">
        <v>324</v>
      </c>
      <c r="B326" s="12" t="s">
        <v>23</v>
      </c>
      <c r="C326" s="12" t="s">
        <v>38</v>
      </c>
      <c r="D326" s="12" t="s">
        <v>1329</v>
      </c>
      <c r="E326" s="12" t="s">
        <v>1600</v>
      </c>
      <c r="F326" s="74" t="s">
        <v>1337</v>
      </c>
      <c r="G326" s="12" t="s">
        <v>1338</v>
      </c>
      <c r="H326" s="12" t="s">
        <v>1339</v>
      </c>
      <c r="I326" s="74" t="s">
        <v>915</v>
      </c>
      <c r="J326" s="75">
        <v>46051</v>
      </c>
      <c r="K326" s="74" t="s">
        <v>25</v>
      </c>
    </row>
    <row r="327" ht="16.5" hidden="1" spans="1:11">
      <c r="A327" s="12">
        <v>325</v>
      </c>
      <c r="B327" s="12" t="s">
        <v>23</v>
      </c>
      <c r="C327" s="12" t="s">
        <v>38</v>
      </c>
      <c r="D327" s="12" t="s">
        <v>1329</v>
      </c>
      <c r="E327" s="12" t="s">
        <v>1119</v>
      </c>
      <c r="F327" s="74" t="s">
        <v>1340</v>
      </c>
      <c r="G327" s="12" t="s">
        <v>1341</v>
      </c>
      <c r="H327" s="12" t="s">
        <v>1342</v>
      </c>
      <c r="I327" s="74" t="s">
        <v>915</v>
      </c>
      <c r="J327" s="75">
        <v>46051</v>
      </c>
      <c r="K327" s="74" t="s">
        <v>25</v>
      </c>
    </row>
    <row r="328" ht="16.5" hidden="1" spans="1:11">
      <c r="A328" s="12">
        <v>326</v>
      </c>
      <c r="B328" s="12" t="s">
        <v>23</v>
      </c>
      <c r="C328" s="12" t="s">
        <v>38</v>
      </c>
      <c r="D328" s="12" t="s">
        <v>168</v>
      </c>
      <c r="E328" s="12" t="s">
        <v>319</v>
      </c>
      <c r="F328" s="74" t="s">
        <v>1343</v>
      </c>
      <c r="G328" s="12" t="s">
        <v>1344</v>
      </c>
      <c r="H328" s="12" t="s">
        <v>1173</v>
      </c>
      <c r="I328" s="74" t="s">
        <v>907</v>
      </c>
      <c r="J328" s="75">
        <v>46051</v>
      </c>
      <c r="K328" s="74" t="s">
        <v>25</v>
      </c>
    </row>
    <row r="329" ht="16.5" hidden="1" spans="1:11">
      <c r="A329" s="12">
        <v>327</v>
      </c>
      <c r="B329" s="12" t="s">
        <v>23</v>
      </c>
      <c r="C329" s="12" t="s">
        <v>38</v>
      </c>
      <c r="D329" s="12" t="s">
        <v>1329</v>
      </c>
      <c r="E329" s="12" t="s">
        <v>1601</v>
      </c>
      <c r="F329" s="74" t="s">
        <v>1345</v>
      </c>
      <c r="G329" s="12" t="s">
        <v>1346</v>
      </c>
      <c r="H329" s="12" t="s">
        <v>1347</v>
      </c>
      <c r="I329" s="74" t="s">
        <v>915</v>
      </c>
      <c r="J329" s="75">
        <v>46051</v>
      </c>
      <c r="K329" s="74" t="s">
        <v>25</v>
      </c>
    </row>
    <row r="330" ht="16.5" hidden="1" spans="1:11">
      <c r="A330" s="12">
        <v>328</v>
      </c>
      <c r="B330" s="12" t="s">
        <v>39</v>
      </c>
      <c r="C330" s="12" t="str">
        <f>VLOOKUP(F330,[4]在职!$A:$E,5,0)</f>
        <v>集团职能</v>
      </c>
      <c r="D330" s="12" t="s">
        <v>1606</v>
      </c>
      <c r="E330" s="12" t="s">
        <v>1119</v>
      </c>
      <c r="F330" s="12" t="s">
        <v>1119</v>
      </c>
      <c r="G330" s="12" t="str">
        <f>VLOOKUP(F330,[4]在职!$A:$B,2,0)</f>
        <v>00001</v>
      </c>
      <c r="H330" s="12" t="str">
        <f>VLOOKUP(F330,[4]在职!$A:$I,9,0)</f>
        <v>总经理</v>
      </c>
      <c r="I330" s="12" t="s">
        <v>915</v>
      </c>
      <c r="J330" s="10">
        <v>46077</v>
      </c>
      <c r="K330" s="12" t="s">
        <v>1349</v>
      </c>
    </row>
    <row r="331" ht="16.5" hidden="1" spans="1:11">
      <c r="A331" s="12">
        <v>329</v>
      </c>
      <c r="B331" s="12" t="s">
        <v>39</v>
      </c>
      <c r="C331" s="12" t="s">
        <v>44</v>
      </c>
      <c r="D331" s="12" t="s">
        <v>1353</v>
      </c>
      <c r="E331" s="12" t="s">
        <v>1363</v>
      </c>
      <c r="F331" s="12" t="s">
        <v>1352</v>
      </c>
      <c r="G331" s="12" t="str">
        <f>VLOOKUP(F331,[4]在职!$A:$B,2,0)</f>
        <v>00215</v>
      </c>
      <c r="H331" s="12" t="str">
        <f>VLOOKUP(F331,[4]在职!$A:$I,9,0)</f>
        <v>区域拓展总监</v>
      </c>
      <c r="I331" s="12" t="s">
        <v>915</v>
      </c>
      <c r="J331" s="10">
        <v>46077</v>
      </c>
      <c r="K331" s="12" t="s">
        <v>1349</v>
      </c>
    </row>
    <row r="332" ht="16.5" hidden="1" spans="1:11">
      <c r="A332" s="12">
        <v>330</v>
      </c>
      <c r="B332" s="12" t="s">
        <v>39</v>
      </c>
      <c r="C332" s="12" t="str">
        <f>VLOOKUP(F332,[4]在职!$A:$E,5,0)</f>
        <v>西南总部</v>
      </c>
      <c r="D332" s="12" t="s">
        <v>1573</v>
      </c>
      <c r="E332" s="12" t="s">
        <v>1363</v>
      </c>
      <c r="F332" s="12" t="s">
        <v>1354</v>
      </c>
      <c r="G332" s="12" t="str">
        <f>VLOOKUP(F332,[4]在职!$A:$B,2,0)</f>
        <v>00745</v>
      </c>
      <c r="H332" s="12" t="str">
        <f>VLOOKUP(F332,[4]在职!$A:$I,9,0)</f>
        <v>区域拓展总监</v>
      </c>
      <c r="I332" s="12" t="s">
        <v>915</v>
      </c>
      <c r="J332" s="10">
        <v>46077</v>
      </c>
      <c r="K332" s="12" t="s">
        <v>1349</v>
      </c>
    </row>
    <row r="333" ht="16.5" hidden="1" spans="1:11">
      <c r="A333" s="12">
        <v>331</v>
      </c>
      <c r="B333" s="12" t="s">
        <v>39</v>
      </c>
      <c r="C333" s="12" t="str">
        <f>VLOOKUP(F333,[4]在职!$A:$E,5,0)</f>
        <v>集团职能</v>
      </c>
      <c r="D333" s="12" t="s">
        <v>1606</v>
      </c>
      <c r="E333" s="12" t="s">
        <v>1119</v>
      </c>
      <c r="F333" s="12" t="s">
        <v>1355</v>
      </c>
      <c r="G333" s="12" t="str">
        <f>VLOOKUP(F333,[4]在职!$A:$B,2,0)</f>
        <v>01918</v>
      </c>
      <c r="H333" s="12" t="str">
        <f>VLOOKUP(F333,[4]在职!$A:$I,9,0)</f>
        <v>人资行政经理</v>
      </c>
      <c r="I333" s="12" t="s">
        <v>915</v>
      </c>
      <c r="J333" s="10">
        <v>46077</v>
      </c>
      <c r="K333" s="12" t="s">
        <v>1349</v>
      </c>
    </row>
    <row r="334" ht="16.5" hidden="1" spans="1:11">
      <c r="A334" s="12">
        <v>332</v>
      </c>
      <c r="B334" s="12" t="s">
        <v>39</v>
      </c>
      <c r="C334" s="12" t="str">
        <f>VLOOKUP(F334,[4]在职!$A:$E,5,0)</f>
        <v>河北</v>
      </c>
      <c r="D334" s="12" t="s">
        <v>121</v>
      </c>
      <c r="E334" s="12" t="s">
        <v>1374</v>
      </c>
      <c r="F334" s="12" t="s">
        <v>385</v>
      </c>
      <c r="G334" s="12" t="str">
        <f>VLOOKUP(F334,[4]在职!$A:$B,2,0)</f>
        <v>00008</v>
      </c>
      <c r="H334" s="12" t="str">
        <f>VLOOKUP(F334,[4]在职!$A:$I,9,0)</f>
        <v>分公司副总经理</v>
      </c>
      <c r="I334" s="12" t="s">
        <v>915</v>
      </c>
      <c r="J334" s="10">
        <v>46077</v>
      </c>
      <c r="K334" s="12" t="s">
        <v>1349</v>
      </c>
    </row>
    <row r="335" ht="16.5" hidden="1" spans="1:11">
      <c r="A335" s="12">
        <v>333</v>
      </c>
      <c r="B335" s="12" t="s">
        <v>39</v>
      </c>
      <c r="C335" s="12" t="str">
        <f>VLOOKUP(F335,[4]在职!$A:$E,5,0)</f>
        <v>陕西</v>
      </c>
      <c r="D335" s="12" t="s">
        <v>109</v>
      </c>
      <c r="E335" s="12" t="s">
        <v>1143</v>
      </c>
      <c r="F335" s="12" t="s">
        <v>108</v>
      </c>
      <c r="G335" s="12" t="str">
        <f>VLOOKUP(F335,[4]在职!$A:$B,2,0)</f>
        <v>00077</v>
      </c>
      <c r="H335" s="12" t="str">
        <f>VLOOKUP(F335,[4]在职!$A:$I,9,0)</f>
        <v>部长</v>
      </c>
      <c r="I335" s="12" t="s">
        <v>915</v>
      </c>
      <c r="J335" s="10">
        <v>46077</v>
      </c>
      <c r="K335" s="12" t="s">
        <v>1349</v>
      </c>
    </row>
    <row r="336" ht="16.5" hidden="1" spans="1:11">
      <c r="A336" s="12">
        <v>334</v>
      </c>
      <c r="B336" s="12" t="s">
        <v>39</v>
      </c>
      <c r="C336" s="12" t="str">
        <f>VLOOKUP(F336,[4]在职!$A:$E,5,0)</f>
        <v>湖南</v>
      </c>
      <c r="D336" s="12" t="s">
        <v>105</v>
      </c>
      <c r="E336" s="12" t="s">
        <v>1378</v>
      </c>
      <c r="F336" s="12" t="s">
        <v>179</v>
      </c>
      <c r="G336" s="12" t="str">
        <f>VLOOKUP(F336,[4]在职!$A:$B,2,0)</f>
        <v>00050</v>
      </c>
      <c r="H336" s="12" t="str">
        <f>VLOOKUP(F336,[4]在职!$A:$I,9,0)</f>
        <v>分公司副总经理</v>
      </c>
      <c r="I336" s="12" t="s">
        <v>915</v>
      </c>
      <c r="J336" s="10">
        <v>46077</v>
      </c>
      <c r="K336" s="12" t="s">
        <v>1349</v>
      </c>
    </row>
    <row r="337" ht="16.5" hidden="1" spans="1:11">
      <c r="A337" s="12">
        <v>335</v>
      </c>
      <c r="B337" s="12" t="s">
        <v>39</v>
      </c>
      <c r="C337" s="12" t="str">
        <f>VLOOKUP(F337,[4]在职!$A:$E,5,0)</f>
        <v>河南</v>
      </c>
      <c r="D337" s="12" t="s">
        <v>130</v>
      </c>
      <c r="E337" s="12" t="s">
        <v>380</v>
      </c>
      <c r="F337" s="12" t="s">
        <v>364</v>
      </c>
      <c r="G337" s="12" t="str">
        <f>VLOOKUP(F337,[4]在职!$A:$B,2,0)</f>
        <v>00270</v>
      </c>
      <c r="H337" s="12" t="str">
        <f>VLOOKUP(F337,[4]在职!$A:$I,9,0)</f>
        <v>部长</v>
      </c>
      <c r="I337" s="12" t="s">
        <v>915</v>
      </c>
      <c r="J337" s="10">
        <v>46077</v>
      </c>
      <c r="K337" s="12" t="s">
        <v>1349</v>
      </c>
    </row>
    <row r="338" ht="16.5" hidden="1" spans="1:11">
      <c r="A338" s="12">
        <v>336</v>
      </c>
      <c r="B338" s="12" t="s">
        <v>39</v>
      </c>
      <c r="C338" s="12" t="str">
        <f>VLOOKUP(F338,[4]在职!$A:$E,5,0)</f>
        <v>河北</v>
      </c>
      <c r="D338" s="12" t="s">
        <v>121</v>
      </c>
      <c r="E338" s="12" t="s">
        <v>385</v>
      </c>
      <c r="F338" s="12" t="s">
        <v>617</v>
      </c>
      <c r="G338" s="12" t="str">
        <f>VLOOKUP(F338,[4]在职!$A:$B,2,0)</f>
        <v>00263</v>
      </c>
      <c r="H338" s="12" t="str">
        <f>VLOOKUP(F338,[4]在职!$A:$I,9,0)</f>
        <v>一星正式经理</v>
      </c>
      <c r="I338" s="12" t="s">
        <v>915</v>
      </c>
      <c r="J338" s="10">
        <v>46077</v>
      </c>
      <c r="K338" s="12" t="s">
        <v>1349</v>
      </c>
    </row>
    <row r="339" ht="16.5" hidden="1" spans="1:11">
      <c r="A339" s="12">
        <v>337</v>
      </c>
      <c r="B339" s="12" t="s">
        <v>39</v>
      </c>
      <c r="C339" s="12" t="str">
        <f>VLOOKUP(F339,[4]在职!$A:$E,5,0)</f>
        <v>西南总部</v>
      </c>
      <c r="D339" s="12" t="s">
        <v>1605</v>
      </c>
      <c r="E339" s="12" t="s">
        <v>1363</v>
      </c>
      <c r="F339" s="12" t="s">
        <v>1356</v>
      </c>
      <c r="G339" s="12" t="str">
        <f>VLOOKUP(F339,[4]在职!$A:$B,2,0)</f>
        <v>00043</v>
      </c>
      <c r="H339" s="12" t="str">
        <f>VLOOKUP(F339,[4]在职!$A:$I,9,0)</f>
        <v>分公司总经理</v>
      </c>
      <c r="I339" s="12" t="s">
        <v>915</v>
      </c>
      <c r="J339" s="10">
        <v>46077</v>
      </c>
      <c r="K339" s="12" t="s">
        <v>1349</v>
      </c>
    </row>
    <row r="340" ht="16.5" hidden="1" spans="1:11">
      <c r="A340" s="12">
        <v>338</v>
      </c>
      <c r="B340" s="12" t="s">
        <v>39</v>
      </c>
      <c r="C340" s="12" t="str">
        <f>VLOOKUP(F340,[4]在职!$A:$E,5,0)</f>
        <v>辽宁</v>
      </c>
      <c r="D340" s="12" t="s">
        <v>537</v>
      </c>
      <c r="E340" s="12" t="s">
        <v>1383</v>
      </c>
      <c r="F340" s="12" t="s">
        <v>740</v>
      </c>
      <c r="G340" s="12" t="str">
        <f>VLOOKUP(F340,[4]在职!$A:$B,2,0)</f>
        <v>00016</v>
      </c>
      <c r="H340" s="12" t="str">
        <f>VLOOKUP(F340,[4]在职!$A:$I,9,0)</f>
        <v>分公司副总经理</v>
      </c>
      <c r="I340" s="12" t="s">
        <v>915</v>
      </c>
      <c r="J340" s="10">
        <v>46077</v>
      </c>
      <c r="K340" s="12" t="s">
        <v>1349</v>
      </c>
    </row>
    <row r="341" ht="16.5" hidden="1" spans="1:11">
      <c r="A341" s="12">
        <v>339</v>
      </c>
      <c r="B341" s="12" t="s">
        <v>39</v>
      </c>
      <c r="C341" s="12" t="str">
        <f>VLOOKUP(F341,[4]在职!$A:$E,5,0)</f>
        <v>甘肃</v>
      </c>
      <c r="D341" s="12" t="s">
        <v>1359</v>
      </c>
      <c r="E341" s="12" t="s">
        <v>1119</v>
      </c>
      <c r="F341" s="12" t="s">
        <v>1358</v>
      </c>
      <c r="G341" s="12" t="str">
        <f>VLOOKUP(F341,[4]在职!$A:$B,2,0)</f>
        <v>00248</v>
      </c>
      <c r="H341" s="12" t="str">
        <f>VLOOKUP(F341,[4]在职!$A:$I,9,0)</f>
        <v>区域拓展总监</v>
      </c>
      <c r="I341" s="12" t="s">
        <v>915</v>
      </c>
      <c r="J341" s="10">
        <v>46077</v>
      </c>
      <c r="K341" s="12" t="s">
        <v>1349</v>
      </c>
    </row>
    <row r="342" ht="16.5" hidden="1" spans="1:11">
      <c r="A342" s="12">
        <v>340</v>
      </c>
      <c r="B342" s="12" t="s">
        <v>39</v>
      </c>
      <c r="C342" s="12" t="str">
        <f>VLOOKUP(F342,[4]在职!$A:$E,5,0)</f>
        <v>陕西</v>
      </c>
      <c r="D342" s="12" t="s">
        <v>152</v>
      </c>
      <c r="E342" s="12" t="s">
        <v>1143</v>
      </c>
      <c r="F342" s="12" t="s">
        <v>451</v>
      </c>
      <c r="G342" s="12" t="str">
        <f>VLOOKUP(F342,[4]在职!$A:$B,2,0)</f>
        <v>00090</v>
      </c>
      <c r="H342" s="12" t="str">
        <f>VLOOKUP(F342,[4]在职!$A:$I,9,0)</f>
        <v>部长</v>
      </c>
      <c r="I342" s="12" t="s">
        <v>915</v>
      </c>
      <c r="J342" s="10">
        <v>46077</v>
      </c>
      <c r="K342" s="12" t="s">
        <v>1349</v>
      </c>
    </row>
    <row r="343" ht="16.5" hidden="1" spans="1:11">
      <c r="A343" s="12">
        <v>341</v>
      </c>
      <c r="B343" s="12" t="s">
        <v>39</v>
      </c>
      <c r="C343" s="12" t="str">
        <f>VLOOKUP(F343,[4]在职!$A:$E,5,0)</f>
        <v>陕西</v>
      </c>
      <c r="D343" s="12" t="s">
        <v>1604</v>
      </c>
      <c r="E343" s="12" t="s">
        <v>1119</v>
      </c>
      <c r="F343" s="12" t="s">
        <v>1143</v>
      </c>
      <c r="G343" s="12" t="str">
        <f>VLOOKUP(F343,[4]在职!$A:$B,2,0)</f>
        <v>00009</v>
      </c>
      <c r="H343" s="12" t="str">
        <f>VLOOKUP(F343,[4]在职!$A:$I,9,0)</f>
        <v>分公司总经理</v>
      </c>
      <c r="I343" s="12" t="s">
        <v>915</v>
      </c>
      <c r="J343" s="10">
        <v>46077</v>
      </c>
      <c r="K343" s="12" t="s">
        <v>1349</v>
      </c>
    </row>
    <row r="344" ht="16.5" hidden="1" spans="1:11">
      <c r="A344" s="12">
        <v>342</v>
      </c>
      <c r="B344" s="12" t="s">
        <v>39</v>
      </c>
      <c r="C344" s="12" t="str">
        <f>VLOOKUP(F344,[4]在职!$A:$E,5,0)</f>
        <v>集团职能</v>
      </c>
      <c r="D344" s="12" t="s">
        <v>1606</v>
      </c>
      <c r="E344" s="12" t="s">
        <v>1111</v>
      </c>
      <c r="F344" s="12" t="s">
        <v>1360</v>
      </c>
      <c r="G344" s="12" t="str">
        <f>VLOOKUP(F344,[4]在职!$A:$B,2,0)</f>
        <v>00456</v>
      </c>
      <c r="H344" s="12" t="str">
        <f>VLOOKUP(F344,[4]在职!$A:$I,9,0)</f>
        <v>运营经理</v>
      </c>
      <c r="I344" s="12" t="s">
        <v>915</v>
      </c>
      <c r="J344" s="10">
        <v>46077</v>
      </c>
      <c r="K344" s="12" t="s">
        <v>1349</v>
      </c>
    </row>
    <row r="345" ht="16.5" hidden="1" spans="1:11">
      <c r="A345" s="12">
        <v>343</v>
      </c>
      <c r="B345" s="12" t="s">
        <v>39</v>
      </c>
      <c r="C345" s="12" t="str">
        <f>VLOOKUP(F345,[4]在职!$A:$E,5,0)</f>
        <v>西南总部</v>
      </c>
      <c r="D345" s="12" t="s">
        <v>1576</v>
      </c>
      <c r="E345" s="12" t="s">
        <v>1363</v>
      </c>
      <c r="F345" s="12" t="s">
        <v>1361</v>
      </c>
      <c r="G345" s="12" t="str">
        <f>VLOOKUP(F345,[4]在职!$A:$B,2,0)</f>
        <v>00029</v>
      </c>
      <c r="H345" s="12" t="str">
        <f>VLOOKUP(F345,[4]在职!$A:$I,9,0)</f>
        <v>区域拓展总监</v>
      </c>
      <c r="I345" s="12" t="s">
        <v>915</v>
      </c>
      <c r="J345" s="10">
        <v>46077</v>
      </c>
      <c r="K345" s="12" t="s">
        <v>1349</v>
      </c>
    </row>
    <row r="346" ht="16.5" hidden="1" spans="1:11">
      <c r="A346" s="12">
        <v>344</v>
      </c>
      <c r="B346" s="12" t="s">
        <v>39</v>
      </c>
      <c r="C346" s="12" t="str">
        <f>VLOOKUP(F346,[4]在职!$A:$E,5,0)</f>
        <v>集团职能</v>
      </c>
      <c r="D346" s="12" t="s">
        <v>1606</v>
      </c>
      <c r="E346" s="12" t="s">
        <v>1119</v>
      </c>
      <c r="F346" s="12" t="s">
        <v>1362</v>
      </c>
      <c r="G346" s="12" t="str">
        <f>VLOOKUP(F346,[4]在职!$A:$B,2,0)</f>
        <v>00120</v>
      </c>
      <c r="H346" s="12" t="str">
        <f>VLOOKUP(F346,[4]在职!$A:$I,9,0)</f>
        <v>技术总监</v>
      </c>
      <c r="I346" s="12" t="s">
        <v>915</v>
      </c>
      <c r="J346" s="10">
        <v>46077</v>
      </c>
      <c r="K346" s="12" t="s">
        <v>1349</v>
      </c>
    </row>
    <row r="347" ht="16.5" hidden="1" spans="1:11">
      <c r="A347" s="12">
        <v>345</v>
      </c>
      <c r="B347" s="12" t="s">
        <v>39</v>
      </c>
      <c r="C347" s="12" t="str">
        <f>VLOOKUP(F347,[4]在职!$A:$E,5,0)</f>
        <v>西南总部</v>
      </c>
      <c r="D347" s="12" t="s">
        <v>148</v>
      </c>
      <c r="E347" s="12" t="s">
        <v>364</v>
      </c>
      <c r="F347" s="12" t="s">
        <v>376</v>
      </c>
      <c r="G347" s="12" t="str">
        <f>VLOOKUP(F347,[4]在职!$A:$B,2,0)</f>
        <v>00204</v>
      </c>
      <c r="H347" s="12" t="str">
        <f>VLOOKUP(F347,[4]在职!$A:$I,9,0)</f>
        <v>二星正式经理</v>
      </c>
      <c r="I347" s="12" t="s">
        <v>915</v>
      </c>
      <c r="J347" s="10">
        <v>46077</v>
      </c>
      <c r="K347" s="12" t="s">
        <v>1349</v>
      </c>
    </row>
    <row r="348" ht="16.5" hidden="1" spans="1:11">
      <c r="A348" s="12">
        <v>346</v>
      </c>
      <c r="B348" s="12" t="s">
        <v>39</v>
      </c>
      <c r="C348" s="12" t="str">
        <f>VLOOKUP(F348,[4]在职!$A:$E,5,0)</f>
        <v>湖北</v>
      </c>
      <c r="D348" s="12" t="s">
        <v>1602</v>
      </c>
      <c r="E348" s="12" t="s">
        <v>1119</v>
      </c>
      <c r="F348" s="12" t="s">
        <v>1163</v>
      </c>
      <c r="G348" s="12" t="str">
        <f>VLOOKUP(F348,[4]在职!$A:$B,2,0)</f>
        <v>00004</v>
      </c>
      <c r="H348" s="12" t="str">
        <f>VLOOKUP(F348,[4]在职!$A:$I,9,0)</f>
        <v>分公司总经理</v>
      </c>
      <c r="I348" s="12" t="s">
        <v>915</v>
      </c>
      <c r="J348" s="10">
        <v>46077</v>
      </c>
      <c r="K348" s="12" t="s">
        <v>1349</v>
      </c>
    </row>
    <row r="349" ht="16.5" hidden="1" spans="1:11">
      <c r="A349" s="12">
        <v>347</v>
      </c>
      <c r="B349" s="12" t="s">
        <v>39</v>
      </c>
      <c r="C349" s="12" t="str">
        <f>VLOOKUP(F349,[4]在职!$A:$E,5,0)</f>
        <v>西南总部</v>
      </c>
      <c r="D349" s="12" t="s">
        <v>220</v>
      </c>
      <c r="E349" s="12" t="s">
        <v>1077</v>
      </c>
      <c r="F349" s="12" t="s">
        <v>427</v>
      </c>
      <c r="G349" s="12" t="str">
        <f>VLOOKUP(F349,[4]在职!$A:$B,2,0)</f>
        <v>00011</v>
      </c>
      <c r="H349" s="12" t="str">
        <f>VLOOKUP(F349,[4]在职!$A:$I,9,0)</f>
        <v>部长</v>
      </c>
      <c r="I349" s="12" t="s">
        <v>915</v>
      </c>
      <c r="J349" s="10">
        <v>46077</v>
      </c>
      <c r="K349" s="12" t="s">
        <v>1349</v>
      </c>
    </row>
    <row r="350" ht="16.5" hidden="1" spans="1:11">
      <c r="A350" s="12">
        <v>348</v>
      </c>
      <c r="B350" s="12" t="s">
        <v>39</v>
      </c>
      <c r="C350" s="12" t="str">
        <f>VLOOKUP(F350,[4]在职!$A:$E,5,0)</f>
        <v>集团职能</v>
      </c>
      <c r="D350" s="12" t="s">
        <v>1606</v>
      </c>
      <c r="E350" s="12" t="s">
        <v>1119</v>
      </c>
      <c r="F350" s="12" t="s">
        <v>1363</v>
      </c>
      <c r="G350" s="12" t="str">
        <f>VLOOKUP(F350,[4]在职!$A:$B,2,0)</f>
        <v>00003</v>
      </c>
      <c r="H350" s="12" t="str">
        <f>VLOOKUP(F350,[4]在职!$A:$I,9,0)</f>
        <v>风控总监</v>
      </c>
      <c r="I350" s="12" t="s">
        <v>915</v>
      </c>
      <c r="J350" s="10">
        <v>46077</v>
      </c>
      <c r="K350" s="12" t="s">
        <v>1349</v>
      </c>
    </row>
    <row r="351" ht="16.5" hidden="1" spans="1:11">
      <c r="A351" s="12">
        <v>349</v>
      </c>
      <c r="B351" s="12" t="s">
        <v>39</v>
      </c>
      <c r="C351" s="12" t="str">
        <f>VLOOKUP(F351,[4]在职!$A:$E,5,0)</f>
        <v>内蒙古</v>
      </c>
      <c r="D351" s="12" t="s">
        <v>1603</v>
      </c>
      <c r="E351" s="12" t="s">
        <v>1363</v>
      </c>
      <c r="F351" s="12" t="s">
        <v>1364</v>
      </c>
      <c r="G351" s="12" t="str">
        <f>VLOOKUP(F351,[4]在职!$A:$B,2,0)</f>
        <v>00154</v>
      </c>
      <c r="H351" s="12" t="str">
        <f>VLOOKUP(F351,[4]在职!$A:$I,9,0)</f>
        <v>分公司总经理</v>
      </c>
      <c r="I351" s="12" t="s">
        <v>915</v>
      </c>
      <c r="J351" s="10">
        <v>46077</v>
      </c>
      <c r="K351" s="12" t="s">
        <v>1349</v>
      </c>
    </row>
    <row r="352" ht="16.5" hidden="1" spans="1:11">
      <c r="A352" s="12">
        <v>350</v>
      </c>
      <c r="B352" s="12" t="s">
        <v>39</v>
      </c>
      <c r="C352" s="12" t="str">
        <f>VLOOKUP(F352,[4]在职!$A:$E,5,0)</f>
        <v>山西</v>
      </c>
      <c r="D352" s="12" t="s">
        <v>173</v>
      </c>
      <c r="E352" s="12" t="s">
        <v>1385</v>
      </c>
      <c r="F352" s="12" t="s">
        <v>587</v>
      </c>
      <c r="G352" s="12" t="str">
        <f>VLOOKUP(F352,[4]在职!$A:$B,2,0)</f>
        <v>00160</v>
      </c>
      <c r="H352" s="12" t="str">
        <f>VLOOKUP(F352,[4]在职!$A:$I,9,0)</f>
        <v>部长</v>
      </c>
      <c r="I352" s="12" t="s">
        <v>915</v>
      </c>
      <c r="J352" s="10">
        <v>46077</v>
      </c>
      <c r="K352" s="12" t="s">
        <v>1349</v>
      </c>
    </row>
    <row r="353" ht="16.5" hidden="1" spans="1:11">
      <c r="A353" s="12">
        <v>351</v>
      </c>
      <c r="B353" s="12" t="s">
        <v>39</v>
      </c>
      <c r="C353" s="12" t="str">
        <f>VLOOKUP(F353,[4]在职!$A:$E,5,0)</f>
        <v>西南总部</v>
      </c>
      <c r="D353" s="12" t="s">
        <v>63</v>
      </c>
      <c r="E353" s="12" t="s">
        <v>129</v>
      </c>
      <c r="F353" s="12" t="s">
        <v>602</v>
      </c>
      <c r="G353" s="12" t="str">
        <f>VLOOKUP(F353,[4]在职!$A:$B,2,0)</f>
        <v>00012</v>
      </c>
      <c r="H353" s="12" t="str">
        <f>VLOOKUP(F353,[4]在职!$A:$I,9,0)</f>
        <v>二星正式经理</v>
      </c>
      <c r="I353" s="12" t="s">
        <v>915</v>
      </c>
      <c r="J353" s="10">
        <v>46077</v>
      </c>
      <c r="K353" s="12" t="s">
        <v>1349</v>
      </c>
    </row>
    <row r="354" ht="16.5" hidden="1" spans="1:11">
      <c r="A354" s="12">
        <v>352</v>
      </c>
      <c r="B354" s="12" t="s">
        <v>39</v>
      </c>
      <c r="C354" s="12" t="str">
        <f>VLOOKUP(F354,[4]在职!$A:$E,5,0)</f>
        <v>西南总部</v>
      </c>
      <c r="D354" s="12" t="s">
        <v>1575</v>
      </c>
      <c r="E354" s="12" t="s">
        <v>1363</v>
      </c>
      <c r="F354" s="12" t="s">
        <v>1366</v>
      </c>
      <c r="G354" s="12" t="str">
        <f>VLOOKUP(F354,[4]在职!$A:$B,2,0)</f>
        <v>00770</v>
      </c>
      <c r="H354" s="12" t="str">
        <f>VLOOKUP(F354,[4]在职!$A:$I,9,0)</f>
        <v>区域拓展总监</v>
      </c>
      <c r="I354" s="12" t="s">
        <v>915</v>
      </c>
      <c r="J354" s="10">
        <v>46077</v>
      </c>
      <c r="K354" s="12" t="s">
        <v>1349</v>
      </c>
    </row>
    <row r="355" ht="16.5" hidden="1" spans="1:11">
      <c r="A355" s="12">
        <v>353</v>
      </c>
      <c r="B355" s="12" t="s">
        <v>39</v>
      </c>
      <c r="C355" s="12" t="str">
        <f>VLOOKUP(F355,[4]在职!$A:$E,5,0)</f>
        <v>西南总部</v>
      </c>
      <c r="D355" s="12" t="s">
        <v>1574</v>
      </c>
      <c r="E355" s="12" t="s">
        <v>1363</v>
      </c>
      <c r="F355" s="12" t="s">
        <v>1367</v>
      </c>
      <c r="G355" s="12" t="str">
        <f>VLOOKUP(F355,[4]在职!$A:$B,2,0)</f>
        <v>00416</v>
      </c>
      <c r="H355" s="12" t="str">
        <f>VLOOKUP(F355,[4]在职!$A:$I,9,0)</f>
        <v>区域拓展总监</v>
      </c>
      <c r="I355" s="12" t="s">
        <v>915</v>
      </c>
      <c r="J355" s="10">
        <v>46077</v>
      </c>
      <c r="K355" s="12" t="s">
        <v>1349</v>
      </c>
    </row>
    <row r="356" ht="16.5" hidden="1" spans="1:11">
      <c r="A356" s="12">
        <v>354</v>
      </c>
      <c r="B356" s="12" t="s">
        <v>39</v>
      </c>
      <c r="C356" s="12" t="str">
        <f>VLOOKUP(F356,[4]在职!$A:$E,5,0)</f>
        <v>西南总部</v>
      </c>
      <c r="D356" s="12" t="s">
        <v>1576</v>
      </c>
      <c r="E356" s="12" t="s">
        <v>1361</v>
      </c>
      <c r="F356" s="12" t="s">
        <v>1368</v>
      </c>
      <c r="G356" s="12" t="str">
        <f>VLOOKUP(F356,[4]在职!$A:$B,2,0)</f>
        <v>00590</v>
      </c>
      <c r="H356" s="12" t="str">
        <f>VLOOKUP(F356,[4]在职!$A:$I,9,0)</f>
        <v>二星拓展专员</v>
      </c>
      <c r="I356" s="12" t="s">
        <v>915</v>
      </c>
      <c r="J356" s="10">
        <v>46077</v>
      </c>
      <c r="K356" s="12" t="s">
        <v>1349</v>
      </c>
    </row>
    <row r="357" ht="16.5" hidden="1" spans="1:11">
      <c r="A357" s="12">
        <v>355</v>
      </c>
      <c r="B357" s="12" t="s">
        <v>39</v>
      </c>
      <c r="C357" s="12" t="str">
        <f>VLOOKUP(F357,[4]在职!$A:$E,5,0)</f>
        <v>湖南</v>
      </c>
      <c r="D357" s="12" t="s">
        <v>1370</v>
      </c>
      <c r="E357" s="12" t="s">
        <v>1378</v>
      </c>
      <c r="F357" s="12" t="s">
        <v>1369</v>
      </c>
      <c r="G357" s="12" t="str">
        <f>VLOOKUP(F357,[4]在职!$A:$B,2,0)</f>
        <v>00235</v>
      </c>
      <c r="H357" s="12" t="str">
        <f>VLOOKUP(F357,[4]在职!$A:$I,9,0)</f>
        <v>二星拓展专员</v>
      </c>
      <c r="I357" s="12" t="s">
        <v>915</v>
      </c>
      <c r="J357" s="10">
        <v>46077</v>
      </c>
      <c r="K357" s="12" t="s">
        <v>1349</v>
      </c>
    </row>
    <row r="358" ht="16.5" hidden="1" spans="1:11">
      <c r="A358" s="12">
        <v>356</v>
      </c>
      <c r="B358" s="12" t="s">
        <v>39</v>
      </c>
      <c r="C358" s="12" t="str">
        <f>VLOOKUP(F358,[4]在职!$A:$E,5,0)</f>
        <v>西南总部</v>
      </c>
      <c r="D358" s="12" t="s">
        <v>75</v>
      </c>
      <c r="E358" s="12" t="s">
        <v>1077</v>
      </c>
      <c r="F358" s="12" t="s">
        <v>407</v>
      </c>
      <c r="G358" s="12" t="str">
        <f>VLOOKUP(F358,[4]在职!$A:$B,2,0)</f>
        <v>00345</v>
      </c>
      <c r="H358" s="12" t="str">
        <f>VLOOKUP(F358,[4]在职!$A:$I,9,0)</f>
        <v>部长</v>
      </c>
      <c r="I358" s="12" t="s">
        <v>915</v>
      </c>
      <c r="J358" s="10">
        <v>46077</v>
      </c>
      <c r="K358" s="12" t="s">
        <v>1349</v>
      </c>
    </row>
    <row r="359" ht="16.5" hidden="1" spans="1:11">
      <c r="A359" s="12">
        <v>357</v>
      </c>
      <c r="B359" s="12" t="s">
        <v>39</v>
      </c>
      <c r="C359" s="12" t="str">
        <f>VLOOKUP(F359,[4]在职!$A:$E,5,0)</f>
        <v>集团职能</v>
      </c>
      <c r="D359" s="12" t="s">
        <v>1606</v>
      </c>
      <c r="E359" s="12" t="s">
        <v>1119</v>
      </c>
      <c r="F359" s="12" t="s">
        <v>903</v>
      </c>
      <c r="G359" s="12" t="str">
        <f>VLOOKUP(F359,[4]在职!$A:$B,2,0)</f>
        <v>00585</v>
      </c>
      <c r="H359" s="12" t="str">
        <f>VLOOKUP(F359,[4]在职!$A:$I,9,0)</f>
        <v>业绩增长部经理</v>
      </c>
      <c r="I359" s="12" t="s">
        <v>915</v>
      </c>
      <c r="J359" s="10">
        <v>46077</v>
      </c>
      <c r="K359" s="12" t="s">
        <v>1349</v>
      </c>
    </row>
    <row r="360" ht="16.5" hidden="1" spans="1:11">
      <c r="A360" s="12">
        <v>358</v>
      </c>
      <c r="B360" s="12" t="s">
        <v>39</v>
      </c>
      <c r="C360" s="12" t="str">
        <f>VLOOKUP(F360,[4]在职!$A:$E,5,0)</f>
        <v>集团职能</v>
      </c>
      <c r="D360" s="12" t="s">
        <v>1606</v>
      </c>
      <c r="E360" s="12" t="s">
        <v>1077</v>
      </c>
      <c r="F360" s="12" t="s">
        <v>1371</v>
      </c>
      <c r="G360" s="12" t="str">
        <f>VLOOKUP(F360,[4]在职!$A:$B,2,0)</f>
        <v>00828</v>
      </c>
      <c r="H360" s="12" t="str">
        <f>VLOOKUP(F360,[4]在职!$A:$I,9,0)</f>
        <v>教培主管</v>
      </c>
      <c r="I360" s="12" t="s">
        <v>915</v>
      </c>
      <c r="J360" s="10">
        <v>46077</v>
      </c>
      <c r="K360" s="12" t="s">
        <v>1349</v>
      </c>
    </row>
    <row r="361" ht="16.5" hidden="1" spans="1:11">
      <c r="A361" s="12">
        <v>359</v>
      </c>
      <c r="B361" s="12" t="s">
        <v>39</v>
      </c>
      <c r="C361" s="12" t="str">
        <f>VLOOKUP(F361,[4]在职!$A:$E,5,0)</f>
        <v>西南总部</v>
      </c>
      <c r="D361" s="12" t="s">
        <v>168</v>
      </c>
      <c r="E361" s="12" t="s">
        <v>1077</v>
      </c>
      <c r="F361" s="12" t="s">
        <v>322</v>
      </c>
      <c r="G361" s="12" t="str">
        <f>VLOOKUP(F361,[4]在职!$A:$B,2,0)</f>
        <v>00087</v>
      </c>
      <c r="H361" s="12" t="str">
        <f>VLOOKUP(F361,[4]在职!$A:$I,9,0)</f>
        <v>部长</v>
      </c>
      <c r="I361" s="12" t="s">
        <v>915</v>
      </c>
      <c r="J361" s="10">
        <v>46077</v>
      </c>
      <c r="K361" s="12" t="s">
        <v>1349</v>
      </c>
    </row>
    <row r="362" ht="16.5" hidden="1" spans="1:11">
      <c r="A362" s="12">
        <v>360</v>
      </c>
      <c r="B362" s="12" t="s">
        <v>39</v>
      </c>
      <c r="C362" s="12" t="str">
        <f>VLOOKUP(F362,[4]在职!$A:$E,5,0)</f>
        <v>河南</v>
      </c>
      <c r="D362" s="12" t="s">
        <v>130</v>
      </c>
      <c r="E362" s="12" t="s">
        <v>1376</v>
      </c>
      <c r="F362" s="12" t="s">
        <v>380</v>
      </c>
      <c r="G362" s="12" t="str">
        <f>VLOOKUP(F362,[4]在职!$A:$B,2,0)</f>
        <v>00010</v>
      </c>
      <c r="H362" s="12" t="str">
        <f>VLOOKUP(F362,[4]在职!$A:$I,9,0)</f>
        <v>分公司副总经理</v>
      </c>
      <c r="I362" s="12" t="s">
        <v>915</v>
      </c>
      <c r="J362" s="10">
        <v>46077</v>
      </c>
      <c r="K362" s="12" t="s">
        <v>1349</v>
      </c>
    </row>
    <row r="363" ht="16.5" hidden="1" spans="1:11">
      <c r="A363" s="12">
        <v>361</v>
      </c>
      <c r="B363" s="12" t="s">
        <v>39</v>
      </c>
      <c r="C363" s="12" t="str">
        <f>VLOOKUP(F363,[4]在职!$A:$E,5,0)</f>
        <v>山东</v>
      </c>
      <c r="D363" s="12" t="s">
        <v>125</v>
      </c>
      <c r="E363" s="12" t="s">
        <v>1152</v>
      </c>
      <c r="F363" s="12" t="s">
        <v>444</v>
      </c>
      <c r="G363" s="12" t="str">
        <f>VLOOKUP(F363,[4]在职!$A:$B,2,0)</f>
        <v>00166</v>
      </c>
      <c r="H363" s="12" t="str">
        <f>VLOOKUP(F363,[4]在职!$A:$I,9,0)</f>
        <v>二星正式经理</v>
      </c>
      <c r="I363" s="12" t="s">
        <v>915</v>
      </c>
      <c r="J363" s="10">
        <v>46077</v>
      </c>
      <c r="K363" s="12" t="s">
        <v>1349</v>
      </c>
    </row>
    <row r="364" ht="16.5" hidden="1" spans="1:11">
      <c r="A364" s="12">
        <v>362</v>
      </c>
      <c r="B364" s="12" t="s">
        <v>39</v>
      </c>
      <c r="C364" s="12" t="str">
        <f>VLOOKUP(F364,[4]在职!$A:$E,5,0)</f>
        <v>山东</v>
      </c>
      <c r="D364" s="12" t="s">
        <v>1373</v>
      </c>
      <c r="E364" s="12" t="s">
        <v>1152</v>
      </c>
      <c r="F364" s="12" t="s">
        <v>1372</v>
      </c>
      <c r="G364" s="12" t="str">
        <f>VLOOKUP(F364,[4]在职!$A:$B,2,0)</f>
        <v>00315</v>
      </c>
      <c r="H364" s="12" t="str">
        <f>VLOOKUP(F364,[4]在职!$A:$I,9,0)</f>
        <v>区域拓展总监</v>
      </c>
      <c r="I364" s="12" t="s">
        <v>915</v>
      </c>
      <c r="J364" s="10">
        <v>46077</v>
      </c>
      <c r="K364" s="12" t="s">
        <v>1349</v>
      </c>
    </row>
    <row r="365" ht="16.5" hidden="1" spans="1:11">
      <c r="A365" s="12">
        <v>363</v>
      </c>
      <c r="B365" s="12" t="s">
        <v>39</v>
      </c>
      <c r="C365" s="12" t="str">
        <f>VLOOKUP(F365,[4]在职!$A:$E,5,0)</f>
        <v>河北</v>
      </c>
      <c r="D365" s="12" t="s">
        <v>1357</v>
      </c>
      <c r="E365" s="12" t="s">
        <v>1119</v>
      </c>
      <c r="F365" s="12" t="s">
        <v>1374</v>
      </c>
      <c r="G365" s="12" t="str">
        <f>VLOOKUP(F365,[4]在职!$A:$B,2,0)</f>
        <v>00039</v>
      </c>
      <c r="H365" s="12" t="str">
        <f>VLOOKUP(F365,[4]在职!$A:$I,9,0)</f>
        <v>分公司总经理</v>
      </c>
      <c r="I365" s="12" t="s">
        <v>915</v>
      </c>
      <c r="J365" s="10">
        <v>46077</v>
      </c>
      <c r="K365" s="12" t="s">
        <v>1349</v>
      </c>
    </row>
    <row r="366" ht="16.5" hidden="1" spans="1:11">
      <c r="A366" s="12">
        <v>364</v>
      </c>
      <c r="B366" s="12" t="s">
        <v>39</v>
      </c>
      <c r="C366" s="12" t="str">
        <f>VLOOKUP(F366,[4]在职!$A:$E,5,0)</f>
        <v>湖南</v>
      </c>
      <c r="D366" s="12" t="s">
        <v>70</v>
      </c>
      <c r="E366" s="12" t="s">
        <v>82</v>
      </c>
      <c r="F366" s="12" t="s">
        <v>336</v>
      </c>
      <c r="G366" s="12" t="str">
        <f>VLOOKUP(F366,[4]在职!$A:$B,2,0)</f>
        <v>00288</v>
      </c>
      <c r="H366" s="12" t="str">
        <f>VLOOKUP(F366,[4]在职!$A:$I,9,0)</f>
        <v>二星正式经理</v>
      </c>
      <c r="I366" s="12" t="s">
        <v>915</v>
      </c>
      <c r="J366" s="10">
        <v>46077</v>
      </c>
      <c r="K366" s="12" t="s">
        <v>1349</v>
      </c>
    </row>
    <row r="367" ht="16.5" hidden="1" spans="1:11">
      <c r="A367" s="12">
        <v>365</v>
      </c>
      <c r="B367" s="12" t="s">
        <v>39</v>
      </c>
      <c r="C367" s="12" t="str">
        <f>VLOOKUP(F367,[4]在职!$A:$E,5,0)</f>
        <v>湖北</v>
      </c>
      <c r="D367" s="12" t="s">
        <v>90</v>
      </c>
      <c r="E367" s="12" t="s">
        <v>1163</v>
      </c>
      <c r="F367" s="12" t="s">
        <v>89</v>
      </c>
      <c r="G367" s="12" t="str">
        <f>VLOOKUP(F367,[4]在职!$A:$B,2,0)</f>
        <v>00549</v>
      </c>
      <c r="H367" s="12" t="str">
        <f>VLOOKUP(F367,[4]在职!$A:$I,9,0)</f>
        <v>部长</v>
      </c>
      <c r="I367" s="12" t="s">
        <v>915</v>
      </c>
      <c r="J367" s="10">
        <v>46077</v>
      </c>
      <c r="K367" s="12" t="s">
        <v>1349</v>
      </c>
    </row>
    <row r="368" ht="16.5" hidden="1" spans="1:11">
      <c r="A368" s="12">
        <v>366</v>
      </c>
      <c r="B368" s="12" t="s">
        <v>39</v>
      </c>
      <c r="C368" s="12" t="str">
        <f>VLOOKUP(F368,[4]在职!$A:$E,5,0)</f>
        <v>集团职能</v>
      </c>
      <c r="D368" s="12" t="s">
        <v>1606</v>
      </c>
      <c r="E368" s="12" t="s">
        <v>903</v>
      </c>
      <c r="F368" s="12" t="s">
        <v>1375</v>
      </c>
      <c r="G368" s="12" t="str">
        <f>VLOOKUP(F368,[4]在职!$A:$B,2,0)</f>
        <v>00380</v>
      </c>
      <c r="H368" s="12" t="str">
        <f>VLOOKUP(F368,[4]在职!$A:$I,9,0)</f>
        <v>拓展BP组长</v>
      </c>
      <c r="I368" s="12" t="s">
        <v>915</v>
      </c>
      <c r="J368" s="10">
        <v>46077</v>
      </c>
      <c r="K368" s="12" t="s">
        <v>1349</v>
      </c>
    </row>
    <row r="369" ht="16.5" hidden="1" spans="1:11">
      <c r="A369" s="12">
        <v>367</v>
      </c>
      <c r="B369" s="12" t="s">
        <v>39</v>
      </c>
      <c r="C369" s="12" t="str">
        <f>VLOOKUP(F369,[4]在职!$A:$E,5,0)</f>
        <v>河南</v>
      </c>
      <c r="D369" s="12" t="s">
        <v>1377</v>
      </c>
      <c r="E369" s="12" t="s">
        <v>1119</v>
      </c>
      <c r="F369" s="12" t="s">
        <v>1376</v>
      </c>
      <c r="G369" s="12" t="str">
        <f>VLOOKUP(F369,[4]在职!$A:$B,2,0)</f>
        <v>00040</v>
      </c>
      <c r="H369" s="12" t="str">
        <f>VLOOKUP(F369,[4]在职!$A:$I,9,0)</f>
        <v>分公司总经理</v>
      </c>
      <c r="I369" s="12" t="s">
        <v>915</v>
      </c>
      <c r="J369" s="10">
        <v>46077</v>
      </c>
      <c r="K369" s="12" t="s">
        <v>1349</v>
      </c>
    </row>
    <row r="370" ht="16.5" hidden="1" spans="1:11">
      <c r="A370" s="12">
        <v>368</v>
      </c>
      <c r="B370" s="12" t="s">
        <v>39</v>
      </c>
      <c r="C370" s="12" t="str">
        <f>VLOOKUP(F370,[4]在职!$A:$E,5,0)</f>
        <v>西南总部</v>
      </c>
      <c r="D370" s="12" t="s">
        <v>63</v>
      </c>
      <c r="E370" s="12" t="s">
        <v>1077</v>
      </c>
      <c r="F370" s="12" t="s">
        <v>129</v>
      </c>
      <c r="G370" s="12" t="str">
        <f>VLOOKUP(F370,[4]在职!$A:$B,2,0)</f>
        <v>00472</v>
      </c>
      <c r="H370" s="12" t="str">
        <f>VLOOKUP(F370,[4]在职!$A:$I,9,0)</f>
        <v>部长</v>
      </c>
      <c r="I370" s="12" t="s">
        <v>915</v>
      </c>
      <c r="J370" s="10">
        <v>46077</v>
      </c>
      <c r="K370" s="12" t="s">
        <v>1349</v>
      </c>
    </row>
    <row r="371" ht="16.5" hidden="1" spans="1:11">
      <c r="A371" s="12">
        <v>369</v>
      </c>
      <c r="B371" s="12" t="s">
        <v>39</v>
      </c>
      <c r="C371" s="12" t="str">
        <f>VLOOKUP(F371,[4]在职!$A:$E,5,0)</f>
        <v>西南总部</v>
      </c>
      <c r="D371" s="12" t="s">
        <v>144</v>
      </c>
      <c r="E371" s="12" t="s">
        <v>1077</v>
      </c>
      <c r="F371" s="12" t="s">
        <v>155</v>
      </c>
      <c r="G371" s="12" t="str">
        <f>VLOOKUP(F371,[4]在职!$A:$B,2,0)</f>
        <v>00117</v>
      </c>
      <c r="H371" s="12" t="str">
        <f>VLOOKUP(F371,[4]在职!$A:$I,9,0)</f>
        <v>部长</v>
      </c>
      <c r="I371" s="12" t="s">
        <v>915</v>
      </c>
      <c r="J371" s="10">
        <v>46077</v>
      </c>
      <c r="K371" s="12" t="s">
        <v>1349</v>
      </c>
    </row>
    <row r="372" ht="16.5" hidden="1" spans="1:11">
      <c r="A372" s="12">
        <v>370</v>
      </c>
      <c r="B372" s="12" t="s">
        <v>39</v>
      </c>
      <c r="C372" s="12" t="str">
        <f>VLOOKUP(F372,[4]在职!$A:$E,5,0)</f>
        <v>西南总部</v>
      </c>
      <c r="D372" s="12" t="s">
        <v>148</v>
      </c>
      <c r="E372" s="12" t="s">
        <v>340</v>
      </c>
      <c r="F372" s="12" t="s">
        <v>1111</v>
      </c>
      <c r="G372" s="12" t="str">
        <f>VLOOKUP(F372,[4]在职!$A:$B,2,0)</f>
        <v>00036</v>
      </c>
      <c r="H372" s="12" t="str">
        <f>VLOOKUP(F372,[4]在职!$A:$I,9,0)</f>
        <v>督导</v>
      </c>
      <c r="I372" s="12" t="s">
        <v>915</v>
      </c>
      <c r="J372" s="10">
        <v>46077</v>
      </c>
      <c r="K372" s="12" t="s">
        <v>1349</v>
      </c>
    </row>
    <row r="373" ht="16.5" hidden="1" spans="1:11">
      <c r="A373" s="12">
        <v>371</v>
      </c>
      <c r="B373" s="12" t="s">
        <v>39</v>
      </c>
      <c r="C373" s="12" t="str">
        <f>VLOOKUP(F373,[4]在职!$A:$E,5,0)</f>
        <v>湖南</v>
      </c>
      <c r="D373" s="12" t="s">
        <v>1370</v>
      </c>
      <c r="E373" s="12" t="s">
        <v>1119</v>
      </c>
      <c r="F373" s="12" t="s">
        <v>1378</v>
      </c>
      <c r="G373" s="12" t="str">
        <f>VLOOKUP(F373,[4]在职!$A:$B,2,0)</f>
        <v>00094</v>
      </c>
      <c r="H373" s="12" t="str">
        <f>VLOOKUP(F373,[4]在职!$A:$I,9,0)</f>
        <v>分公司总经理</v>
      </c>
      <c r="I373" s="12" t="s">
        <v>915</v>
      </c>
      <c r="J373" s="10">
        <v>46077</v>
      </c>
      <c r="K373" s="12" t="s">
        <v>1349</v>
      </c>
    </row>
    <row r="374" ht="16.5" hidden="1" spans="1:11">
      <c r="A374" s="12">
        <v>372</v>
      </c>
      <c r="B374" s="12" t="s">
        <v>39</v>
      </c>
      <c r="C374" s="12" t="str">
        <f>VLOOKUP(F374,[4]在职!$A:$E,5,0)</f>
        <v>安徽</v>
      </c>
      <c r="D374" s="12" t="s">
        <v>1380</v>
      </c>
      <c r="E374" s="12" t="s">
        <v>1119</v>
      </c>
      <c r="F374" s="12" t="s">
        <v>1379</v>
      </c>
      <c r="G374" s="12" t="str">
        <f>VLOOKUP(F374,[4]在职!$A:$B,2,0)</f>
        <v>00032</v>
      </c>
      <c r="H374" s="12" t="str">
        <f>VLOOKUP(F374,[4]在职!$A:$I,9,0)</f>
        <v>分公司总经理</v>
      </c>
      <c r="I374" s="12" t="s">
        <v>915</v>
      </c>
      <c r="J374" s="10">
        <v>46077</v>
      </c>
      <c r="K374" s="12" t="s">
        <v>1349</v>
      </c>
    </row>
    <row r="375" ht="16.5" hidden="1" spans="1:11">
      <c r="A375" s="12">
        <v>373</v>
      </c>
      <c r="B375" s="12" t="s">
        <v>39</v>
      </c>
      <c r="C375" s="12" t="str">
        <f>VLOOKUP(F375,[4]在职!$A:$E,5,0)</f>
        <v>西南总部</v>
      </c>
      <c r="D375" s="12" t="s">
        <v>70</v>
      </c>
      <c r="E375" s="12" t="s">
        <v>82</v>
      </c>
      <c r="F375" s="12" t="s">
        <v>413</v>
      </c>
      <c r="G375" s="12" t="str">
        <f>VLOOKUP(F375,[4]在职!$A:$B,2,0)</f>
        <v>00522</v>
      </c>
      <c r="H375" s="12" t="str">
        <f>VLOOKUP(F375,[4]在职!$A:$I,9,0)</f>
        <v>一星正式经理</v>
      </c>
      <c r="I375" s="12" t="s">
        <v>915</v>
      </c>
      <c r="J375" s="10">
        <v>46077</v>
      </c>
      <c r="K375" s="12" t="s">
        <v>1349</v>
      </c>
    </row>
    <row r="376" ht="16.5" hidden="1" spans="1:11">
      <c r="A376" s="12">
        <v>374</v>
      </c>
      <c r="B376" s="12" t="s">
        <v>39</v>
      </c>
      <c r="C376" s="12" t="str">
        <f>VLOOKUP(F376,[4]在职!$A:$E,5,0)</f>
        <v>西南总部</v>
      </c>
      <c r="D376" s="12" t="s">
        <v>70</v>
      </c>
      <c r="E376" s="12" t="s">
        <v>1077</v>
      </c>
      <c r="F376" s="12" t="s">
        <v>82</v>
      </c>
      <c r="G376" s="12" t="str">
        <f>VLOOKUP(F376,[4]在职!$A:$B,2,0)</f>
        <v>00060</v>
      </c>
      <c r="H376" s="12" t="str">
        <f>VLOOKUP(F376,[4]在职!$A:$I,9,0)</f>
        <v>部长</v>
      </c>
      <c r="I376" s="12" t="s">
        <v>915</v>
      </c>
      <c r="J376" s="10">
        <v>46077</v>
      </c>
      <c r="K376" s="12" t="s">
        <v>1349</v>
      </c>
    </row>
    <row r="377" ht="16.5" hidden="1" spans="1:11">
      <c r="A377" s="12">
        <v>375</v>
      </c>
      <c r="B377" s="12" t="s">
        <v>39</v>
      </c>
      <c r="C377" s="12" t="str">
        <f>VLOOKUP(F377,[4]在职!$A:$E,5,0)</f>
        <v>集团职能</v>
      </c>
      <c r="D377" s="12" t="s">
        <v>1606</v>
      </c>
      <c r="E377" s="12" t="s">
        <v>903</v>
      </c>
      <c r="F377" s="12" t="s">
        <v>1381</v>
      </c>
      <c r="G377" s="12" t="str">
        <f>VLOOKUP(F377,[4]在职!$A:$B,2,0)</f>
        <v>00068</v>
      </c>
      <c r="H377" s="12" t="str">
        <f>VLOOKUP(F377,[4]在职!$A:$I,9,0)</f>
        <v>拓展BP</v>
      </c>
      <c r="I377" s="12" t="s">
        <v>915</v>
      </c>
      <c r="J377" s="10">
        <v>46077</v>
      </c>
      <c r="K377" s="12" t="s">
        <v>1349</v>
      </c>
    </row>
    <row r="378" ht="16.5" hidden="1" spans="1:11">
      <c r="A378" s="12">
        <v>376</v>
      </c>
      <c r="B378" s="12" t="s">
        <v>39</v>
      </c>
      <c r="C378" s="12" t="str">
        <f>VLOOKUP(F378,[4]在职!$A:$E,5,0)</f>
        <v>集团职能</v>
      </c>
      <c r="D378" s="12" t="s">
        <v>1606</v>
      </c>
      <c r="E378" s="12" t="s">
        <v>1119</v>
      </c>
      <c r="F378" s="12" t="s">
        <v>1382</v>
      </c>
      <c r="G378" s="12" t="str">
        <f>VLOOKUP(F378,[4]在职!$A:$B,2,0)</f>
        <v>00037</v>
      </c>
      <c r="H378" s="12" t="str">
        <f>VLOOKUP(F378,[4]在职!$A:$I,9,0)</f>
        <v>财务经理</v>
      </c>
      <c r="I378" s="12" t="s">
        <v>915</v>
      </c>
      <c r="J378" s="10">
        <v>46077</v>
      </c>
      <c r="K378" s="12" t="s">
        <v>1349</v>
      </c>
    </row>
    <row r="379" ht="16.5" hidden="1" spans="1:11">
      <c r="A379" s="12">
        <v>377</v>
      </c>
      <c r="B379" s="12" t="s">
        <v>39</v>
      </c>
      <c r="C379" s="12" t="str">
        <f>VLOOKUP(F379,[4]在职!$A:$E,5,0)</f>
        <v>山东</v>
      </c>
      <c r="D379" s="12" t="s">
        <v>1373</v>
      </c>
      <c r="E379" s="12" t="s">
        <v>1119</v>
      </c>
      <c r="F379" s="12" t="s">
        <v>1152</v>
      </c>
      <c r="G379" s="12" t="str">
        <f>VLOOKUP(F379,[4]在职!$A:$B,2,0)</f>
        <v>00067</v>
      </c>
      <c r="H379" s="12" t="str">
        <f>VLOOKUP(F379,[4]在职!$A:$I,9,0)</f>
        <v>分公司总经理</v>
      </c>
      <c r="I379" s="12" t="s">
        <v>915</v>
      </c>
      <c r="J379" s="10">
        <v>46077</v>
      </c>
      <c r="K379" s="12" t="s">
        <v>1349</v>
      </c>
    </row>
    <row r="380" ht="16.5" hidden="1" spans="1:11">
      <c r="A380" s="12">
        <v>378</v>
      </c>
      <c r="B380" s="12" t="s">
        <v>39</v>
      </c>
      <c r="C380" s="12" t="str">
        <f>VLOOKUP(F380,[4]在职!$A:$E,5,0)</f>
        <v>湖北</v>
      </c>
      <c r="D380" s="12" t="s">
        <v>79</v>
      </c>
      <c r="E380" s="12" t="s">
        <v>1163</v>
      </c>
      <c r="F380" s="12" t="s">
        <v>189</v>
      </c>
      <c r="G380" s="12" t="str">
        <f>VLOOKUP(F380,[4]在职!$A:$B,2,0)</f>
        <v>00333</v>
      </c>
      <c r="H380" s="12" t="str">
        <f>VLOOKUP(F380,[4]在职!$A:$I,9,0)</f>
        <v>部长</v>
      </c>
      <c r="I380" s="12" t="s">
        <v>915</v>
      </c>
      <c r="J380" s="10">
        <v>46077</v>
      </c>
      <c r="K380" s="12" t="s">
        <v>1349</v>
      </c>
    </row>
    <row r="381" ht="16.5" hidden="1" spans="1:11">
      <c r="A381" s="12">
        <v>379</v>
      </c>
      <c r="B381" s="12" t="s">
        <v>39</v>
      </c>
      <c r="C381" s="12" t="str">
        <f>VLOOKUP(F381,[4]在职!$A:$E,5,0)</f>
        <v>山西</v>
      </c>
      <c r="D381" s="12" t="s">
        <v>173</v>
      </c>
      <c r="E381" s="12" t="s">
        <v>1385</v>
      </c>
      <c r="F381" s="12" t="s">
        <v>433</v>
      </c>
      <c r="G381" s="12" t="str">
        <f>VLOOKUP(F381,[4]在职!$A:$B,2,0)</f>
        <v>00015</v>
      </c>
      <c r="H381" s="12" t="str">
        <f>VLOOKUP(F381,[4]在职!$A:$I,9,0)</f>
        <v>分公司副总经理</v>
      </c>
      <c r="I381" s="12" t="s">
        <v>915</v>
      </c>
      <c r="J381" s="10">
        <v>46077</v>
      </c>
      <c r="K381" s="12" t="s">
        <v>1349</v>
      </c>
    </row>
    <row r="382" ht="16.5" hidden="1" spans="1:11">
      <c r="A382" s="12">
        <v>380</v>
      </c>
      <c r="B382" s="12" t="s">
        <v>39</v>
      </c>
      <c r="C382" s="12" t="str">
        <f>VLOOKUP(F382,[4]在职!$A:$E,5,0)</f>
        <v>辽宁</v>
      </c>
      <c r="D382" s="12" t="s">
        <v>1384</v>
      </c>
      <c r="E382" s="12" t="s">
        <v>1363</v>
      </c>
      <c r="F382" s="12" t="s">
        <v>1383</v>
      </c>
      <c r="G382" s="12" t="str">
        <f>VLOOKUP(F382,[4]在职!$A:$B,2,0)</f>
        <v>00057</v>
      </c>
      <c r="H382" s="12" t="str">
        <f>VLOOKUP(F382,[4]在职!$A:$I,9,0)</f>
        <v>分公司总经理</v>
      </c>
      <c r="I382" s="12" t="s">
        <v>915</v>
      </c>
      <c r="J382" s="10">
        <v>46077</v>
      </c>
      <c r="K382" s="12" t="s">
        <v>1349</v>
      </c>
    </row>
    <row r="383" ht="16.5" hidden="1" spans="1:11">
      <c r="A383" s="12">
        <v>381</v>
      </c>
      <c r="B383" s="12" t="s">
        <v>39</v>
      </c>
      <c r="C383" s="12" t="str">
        <f>VLOOKUP(F383,[4]在职!$A:$E,5,0)</f>
        <v>山西</v>
      </c>
      <c r="D383" s="12" t="s">
        <v>1386</v>
      </c>
      <c r="E383" s="12" t="s">
        <v>1119</v>
      </c>
      <c r="F383" s="12" t="s">
        <v>1385</v>
      </c>
      <c r="G383" s="12" t="str">
        <f>VLOOKUP(F383,[4]在职!$A:$B,2,0)</f>
        <v>00695</v>
      </c>
      <c r="H383" s="12" t="str">
        <f>VLOOKUP(F383,[4]在职!$A:$I,9,0)</f>
        <v>分公司总经理</v>
      </c>
      <c r="I383" s="12" t="s">
        <v>915</v>
      </c>
      <c r="J383" s="10">
        <v>46077</v>
      </c>
      <c r="K383" s="12" t="s">
        <v>1349</v>
      </c>
    </row>
    <row r="384" ht="16.5" hidden="1" spans="1:11">
      <c r="A384" s="12">
        <v>382</v>
      </c>
      <c r="B384" s="12" t="s">
        <v>39</v>
      </c>
      <c r="C384" s="12" t="str">
        <f>VLOOKUP(F384,[4]在职!$A:$E,5,0)</f>
        <v>山东</v>
      </c>
      <c r="D384" s="12" t="s">
        <v>125</v>
      </c>
      <c r="E384" s="12" t="s">
        <v>1152</v>
      </c>
      <c r="F384" s="12" t="s">
        <v>417</v>
      </c>
      <c r="G384" s="12" t="str">
        <f>VLOOKUP(F384,[4]在职!$A:$B,2,0)</f>
        <v>00521</v>
      </c>
      <c r="H384" s="12" t="str">
        <f>VLOOKUP(F384,[4]在职!$A:$I,9,0)</f>
        <v>一星正式经理</v>
      </c>
      <c r="I384" s="12" t="s">
        <v>915</v>
      </c>
      <c r="J384" s="10">
        <v>46077</v>
      </c>
      <c r="K384" s="12" t="s">
        <v>1349</v>
      </c>
    </row>
    <row r="385" ht="16.5" hidden="1" spans="1:11">
      <c r="A385" s="12">
        <v>383</v>
      </c>
      <c r="B385" s="12" t="s">
        <v>39</v>
      </c>
      <c r="C385" s="12" t="str">
        <f>VLOOKUP(F385,[4]在职!$A:$E,5,0)</f>
        <v>集团职能</v>
      </c>
      <c r="D385" s="12" t="s">
        <v>1606</v>
      </c>
      <c r="E385" s="12" t="s">
        <v>1119</v>
      </c>
      <c r="F385" s="12" t="s">
        <v>1119</v>
      </c>
      <c r="G385" s="12" t="str">
        <f>VLOOKUP(F385,[4]在职!$A:$B,2,0)</f>
        <v>00001</v>
      </c>
      <c r="H385" s="12" t="str">
        <f>VLOOKUP(F385,[4]在职!$A:$I,9,0)</f>
        <v>总经理</v>
      </c>
      <c r="I385" s="12" t="s">
        <v>915</v>
      </c>
      <c r="J385" s="10">
        <v>46078</v>
      </c>
      <c r="K385" s="12" t="s">
        <v>1349</v>
      </c>
    </row>
    <row r="386" ht="16.5" hidden="1" spans="1:11">
      <c r="A386" s="12">
        <v>384</v>
      </c>
      <c r="B386" s="12" t="s">
        <v>39</v>
      </c>
      <c r="C386" s="12" t="str">
        <f>VLOOKUP(F386,[4]在职!$A:$E,5,0)</f>
        <v>山东</v>
      </c>
      <c r="D386" s="12" t="s">
        <v>44</v>
      </c>
      <c r="E386" s="12" t="s">
        <v>1363</v>
      </c>
      <c r="F386" s="12" t="s">
        <v>1352</v>
      </c>
      <c r="G386" s="12" t="str">
        <f>VLOOKUP(F386,[4]在职!$A:$B,2,0)</f>
        <v>00215</v>
      </c>
      <c r="H386" s="12" t="str">
        <f>VLOOKUP(F386,[4]在职!$A:$I,9,0)</f>
        <v>区域拓展总监</v>
      </c>
      <c r="I386" s="12" t="s">
        <v>915</v>
      </c>
      <c r="J386" s="10">
        <v>46078</v>
      </c>
      <c r="K386" s="12" t="s">
        <v>1349</v>
      </c>
    </row>
    <row r="387" ht="16.5" hidden="1" spans="1:11">
      <c r="A387" s="12">
        <v>385</v>
      </c>
      <c r="B387" s="12" t="s">
        <v>39</v>
      </c>
      <c r="C387" s="12" t="str">
        <f>VLOOKUP(F387,[4]在职!$A:$E,5,0)</f>
        <v>西南总部</v>
      </c>
      <c r="D387" s="12" t="s">
        <v>1573</v>
      </c>
      <c r="E387" s="12" t="s">
        <v>1363</v>
      </c>
      <c r="F387" s="12" t="s">
        <v>1354</v>
      </c>
      <c r="G387" s="12" t="str">
        <f>VLOOKUP(F387,[4]在职!$A:$B,2,0)</f>
        <v>00745</v>
      </c>
      <c r="H387" s="12" t="str">
        <f>VLOOKUP(F387,[4]在职!$A:$I,9,0)</f>
        <v>区域拓展总监</v>
      </c>
      <c r="I387" s="12" t="s">
        <v>915</v>
      </c>
      <c r="J387" s="10">
        <v>46078</v>
      </c>
      <c r="K387" s="12" t="s">
        <v>1349</v>
      </c>
    </row>
    <row r="388" ht="16.5" hidden="1" spans="1:11">
      <c r="A388" s="12">
        <v>386</v>
      </c>
      <c r="B388" s="12" t="s">
        <v>39</v>
      </c>
      <c r="C388" s="12" t="str">
        <f>VLOOKUP(F388,[4]在职!$A:$E,5,0)</f>
        <v>集团职能</v>
      </c>
      <c r="D388" s="12" t="s">
        <v>1606</v>
      </c>
      <c r="E388" s="12" t="s">
        <v>1119</v>
      </c>
      <c r="F388" s="12" t="s">
        <v>1355</v>
      </c>
      <c r="G388" s="12" t="str">
        <f>VLOOKUP(F388,[4]在职!$A:$B,2,0)</f>
        <v>01918</v>
      </c>
      <c r="H388" s="12" t="str">
        <f>VLOOKUP(F388,[4]在职!$A:$I,9,0)</f>
        <v>人资行政经理</v>
      </c>
      <c r="I388" s="12" t="s">
        <v>915</v>
      </c>
      <c r="J388" s="10">
        <v>46078</v>
      </c>
      <c r="K388" s="12" t="s">
        <v>1349</v>
      </c>
    </row>
    <row r="389" ht="16.5" hidden="1" spans="1:11">
      <c r="A389" s="12">
        <v>387</v>
      </c>
      <c r="B389" s="12" t="s">
        <v>39</v>
      </c>
      <c r="C389" s="12" t="str">
        <f>VLOOKUP(F389,[4]在职!$A:$E,5,0)</f>
        <v>河北</v>
      </c>
      <c r="D389" s="12" t="s">
        <v>121</v>
      </c>
      <c r="E389" s="12" t="s">
        <v>1374</v>
      </c>
      <c r="F389" s="12" t="s">
        <v>385</v>
      </c>
      <c r="G389" s="12" t="str">
        <f>VLOOKUP(F389,[4]在职!$A:$B,2,0)</f>
        <v>00008</v>
      </c>
      <c r="H389" s="12" t="str">
        <f>VLOOKUP(F389,[4]在职!$A:$I,9,0)</f>
        <v>分公司副总经理</v>
      </c>
      <c r="I389" s="12" t="s">
        <v>915</v>
      </c>
      <c r="J389" s="10">
        <v>46078</v>
      </c>
      <c r="K389" s="12" t="s">
        <v>1349</v>
      </c>
    </row>
    <row r="390" ht="16.5" hidden="1" spans="1:11">
      <c r="A390" s="12">
        <v>388</v>
      </c>
      <c r="B390" s="12" t="s">
        <v>39</v>
      </c>
      <c r="C390" s="12" t="str">
        <f>VLOOKUP(F390,[4]在职!$A:$E,5,0)</f>
        <v>陕西</v>
      </c>
      <c r="D390" s="12" t="s">
        <v>109</v>
      </c>
      <c r="E390" s="12" t="s">
        <v>1143</v>
      </c>
      <c r="F390" s="12" t="s">
        <v>108</v>
      </c>
      <c r="G390" s="12" t="str">
        <f>VLOOKUP(F390,[4]在职!$A:$B,2,0)</f>
        <v>00077</v>
      </c>
      <c r="H390" s="12" t="str">
        <f>VLOOKUP(F390,[4]在职!$A:$I,9,0)</f>
        <v>部长</v>
      </c>
      <c r="I390" s="12" t="s">
        <v>915</v>
      </c>
      <c r="J390" s="10">
        <v>46078</v>
      </c>
      <c r="K390" s="12" t="s">
        <v>1349</v>
      </c>
    </row>
    <row r="391" ht="16.5" hidden="1" spans="1:11">
      <c r="A391" s="12">
        <v>389</v>
      </c>
      <c r="B391" s="12" t="s">
        <v>39</v>
      </c>
      <c r="C391" s="12" t="str">
        <f>VLOOKUP(F391,[4]在职!$A:$E,5,0)</f>
        <v>湖南</v>
      </c>
      <c r="D391" s="12" t="s">
        <v>105</v>
      </c>
      <c r="E391" s="12" t="s">
        <v>1378</v>
      </c>
      <c r="F391" s="12" t="s">
        <v>179</v>
      </c>
      <c r="G391" s="12" t="str">
        <f>VLOOKUP(F391,[4]在职!$A:$B,2,0)</f>
        <v>00050</v>
      </c>
      <c r="H391" s="12" t="str">
        <f>VLOOKUP(F391,[4]在职!$A:$I,9,0)</f>
        <v>分公司副总经理</v>
      </c>
      <c r="I391" s="12" t="s">
        <v>915</v>
      </c>
      <c r="J391" s="10">
        <v>46078</v>
      </c>
      <c r="K391" s="12" t="s">
        <v>1349</v>
      </c>
    </row>
    <row r="392" ht="16.5" hidden="1" spans="1:11">
      <c r="A392" s="12">
        <v>390</v>
      </c>
      <c r="B392" s="12" t="s">
        <v>39</v>
      </c>
      <c r="C392" s="12" t="str">
        <f>VLOOKUP(F392,[4]在职!$A:$E,5,0)</f>
        <v>河南</v>
      </c>
      <c r="D392" s="12" t="s">
        <v>130</v>
      </c>
      <c r="E392" s="12" t="s">
        <v>380</v>
      </c>
      <c r="F392" s="12" t="s">
        <v>364</v>
      </c>
      <c r="G392" s="12" t="str">
        <f>VLOOKUP(F392,[4]在职!$A:$B,2,0)</f>
        <v>00270</v>
      </c>
      <c r="H392" s="12" t="str">
        <f>VLOOKUP(F392,[4]在职!$A:$I,9,0)</f>
        <v>部长</v>
      </c>
      <c r="I392" s="12" t="s">
        <v>915</v>
      </c>
      <c r="J392" s="10">
        <v>46078</v>
      </c>
      <c r="K392" s="12" t="s">
        <v>1349</v>
      </c>
    </row>
    <row r="393" ht="16.5" hidden="1" spans="1:11">
      <c r="A393" s="12">
        <v>391</v>
      </c>
      <c r="B393" s="12" t="s">
        <v>39</v>
      </c>
      <c r="C393" s="12" t="str">
        <f>VLOOKUP(F393,[4]在职!$A:$E,5,0)</f>
        <v>河北</v>
      </c>
      <c r="D393" s="12" t="s">
        <v>121</v>
      </c>
      <c r="E393" s="12" t="s">
        <v>385</v>
      </c>
      <c r="F393" s="12" t="s">
        <v>617</v>
      </c>
      <c r="G393" s="12" t="str">
        <f>VLOOKUP(F393,[4]在职!$A:$B,2,0)</f>
        <v>00263</v>
      </c>
      <c r="H393" s="12" t="str">
        <f>VLOOKUP(F393,[4]在职!$A:$I,9,0)</f>
        <v>一星正式经理</v>
      </c>
      <c r="I393" s="12" t="s">
        <v>915</v>
      </c>
      <c r="J393" s="10">
        <v>46078</v>
      </c>
      <c r="K393" s="12" t="s">
        <v>1349</v>
      </c>
    </row>
    <row r="394" ht="16.5" hidden="1" spans="1:11">
      <c r="A394" s="12">
        <v>392</v>
      </c>
      <c r="B394" s="12" t="s">
        <v>39</v>
      </c>
      <c r="C394" s="12" t="str">
        <f>VLOOKUP(F394,[4]在职!$A:$E,5,0)</f>
        <v>西南总部</v>
      </c>
      <c r="D394" s="12" t="s">
        <v>1605</v>
      </c>
      <c r="E394" s="12" t="s">
        <v>1363</v>
      </c>
      <c r="F394" s="12" t="s">
        <v>1356</v>
      </c>
      <c r="G394" s="12" t="str">
        <f>VLOOKUP(F394,[4]在职!$A:$B,2,0)</f>
        <v>00043</v>
      </c>
      <c r="H394" s="12" t="str">
        <f>VLOOKUP(F394,[4]在职!$A:$I,9,0)</f>
        <v>分公司总经理</v>
      </c>
      <c r="I394" s="12" t="s">
        <v>915</v>
      </c>
      <c r="J394" s="10">
        <v>46078</v>
      </c>
      <c r="K394" s="12" t="s">
        <v>1349</v>
      </c>
    </row>
    <row r="395" ht="16.5" hidden="1" spans="1:11">
      <c r="A395" s="12">
        <v>393</v>
      </c>
      <c r="B395" s="12" t="s">
        <v>39</v>
      </c>
      <c r="C395" s="12" t="str">
        <f>VLOOKUP(F395,[4]在职!$A:$E,5,0)</f>
        <v>辽宁</v>
      </c>
      <c r="D395" s="12" t="s">
        <v>537</v>
      </c>
      <c r="E395" s="12" t="s">
        <v>1383</v>
      </c>
      <c r="F395" s="12" t="s">
        <v>740</v>
      </c>
      <c r="G395" s="12" t="str">
        <f>VLOOKUP(F395,[4]在职!$A:$B,2,0)</f>
        <v>00016</v>
      </c>
      <c r="H395" s="12" t="str">
        <f>VLOOKUP(F395,[4]在职!$A:$I,9,0)</f>
        <v>分公司副总经理</v>
      </c>
      <c r="I395" s="12" t="s">
        <v>915</v>
      </c>
      <c r="J395" s="10">
        <v>46078</v>
      </c>
      <c r="K395" s="12" t="s">
        <v>1349</v>
      </c>
    </row>
    <row r="396" ht="16.5" hidden="1" spans="1:11">
      <c r="A396" s="12">
        <v>394</v>
      </c>
      <c r="B396" s="12" t="s">
        <v>39</v>
      </c>
      <c r="C396" s="12" t="str">
        <f>VLOOKUP(F396,[4]在职!$A:$E,5,0)</f>
        <v>甘肃</v>
      </c>
      <c r="D396" s="12" t="s">
        <v>1359</v>
      </c>
      <c r="E396" s="12" t="s">
        <v>1119</v>
      </c>
      <c r="F396" s="12" t="s">
        <v>1358</v>
      </c>
      <c r="G396" s="12" t="str">
        <f>VLOOKUP(F396,[4]在职!$A:$B,2,0)</f>
        <v>00248</v>
      </c>
      <c r="H396" s="12" t="str">
        <f>VLOOKUP(F396,[4]在职!$A:$I,9,0)</f>
        <v>区域拓展总监</v>
      </c>
      <c r="I396" s="12" t="s">
        <v>915</v>
      </c>
      <c r="J396" s="10">
        <v>46078</v>
      </c>
      <c r="K396" s="12" t="s">
        <v>1349</v>
      </c>
    </row>
    <row r="397" ht="16.5" hidden="1" spans="1:11">
      <c r="A397" s="12">
        <v>395</v>
      </c>
      <c r="B397" s="12" t="s">
        <v>39</v>
      </c>
      <c r="C397" s="12" t="str">
        <f>VLOOKUP(F397,[4]在职!$A:$E,5,0)</f>
        <v>陕西</v>
      </c>
      <c r="D397" s="12" t="s">
        <v>152</v>
      </c>
      <c r="E397" s="12" t="s">
        <v>1143</v>
      </c>
      <c r="F397" s="12" t="s">
        <v>451</v>
      </c>
      <c r="G397" s="12" t="str">
        <f>VLOOKUP(F397,[4]在职!$A:$B,2,0)</f>
        <v>00090</v>
      </c>
      <c r="H397" s="12" t="str">
        <f>VLOOKUP(F397,[4]在职!$A:$I,9,0)</f>
        <v>部长</v>
      </c>
      <c r="I397" s="12" t="s">
        <v>915</v>
      </c>
      <c r="J397" s="10">
        <v>46078</v>
      </c>
      <c r="K397" s="12" t="s">
        <v>1349</v>
      </c>
    </row>
    <row r="398" ht="16.5" hidden="1" spans="1:11">
      <c r="A398" s="12">
        <v>396</v>
      </c>
      <c r="B398" s="12" t="s">
        <v>39</v>
      </c>
      <c r="C398" s="12" t="str">
        <f>VLOOKUP(F398,[4]在职!$A:$E,5,0)</f>
        <v>陕西</v>
      </c>
      <c r="D398" s="12" t="s">
        <v>1604</v>
      </c>
      <c r="E398" s="12" t="s">
        <v>1119</v>
      </c>
      <c r="F398" s="12" t="s">
        <v>1143</v>
      </c>
      <c r="G398" s="12" t="str">
        <f>VLOOKUP(F398,[4]在职!$A:$B,2,0)</f>
        <v>00009</v>
      </c>
      <c r="H398" s="12" t="str">
        <f>VLOOKUP(F398,[4]在职!$A:$I,9,0)</f>
        <v>分公司总经理</v>
      </c>
      <c r="I398" s="12" t="s">
        <v>915</v>
      </c>
      <c r="J398" s="10">
        <v>46078</v>
      </c>
      <c r="K398" s="12" t="s">
        <v>1349</v>
      </c>
    </row>
    <row r="399" ht="16.5" hidden="1" spans="1:11">
      <c r="A399" s="12">
        <v>397</v>
      </c>
      <c r="B399" s="12" t="s">
        <v>39</v>
      </c>
      <c r="C399" s="12" t="str">
        <f>VLOOKUP(F399,[4]在职!$A:$E,5,0)</f>
        <v>集团职能</v>
      </c>
      <c r="D399" s="12" t="s">
        <v>1606</v>
      </c>
      <c r="E399" s="12" t="s">
        <v>1111</v>
      </c>
      <c r="F399" s="12" t="s">
        <v>1360</v>
      </c>
      <c r="G399" s="12" t="str">
        <f>VLOOKUP(F399,[4]在职!$A:$B,2,0)</f>
        <v>00456</v>
      </c>
      <c r="H399" s="12" t="str">
        <f>VLOOKUP(F399,[4]在职!$A:$I,9,0)</f>
        <v>运营经理</v>
      </c>
      <c r="I399" s="12" t="s">
        <v>915</v>
      </c>
      <c r="J399" s="10">
        <v>46078</v>
      </c>
      <c r="K399" s="12" t="s">
        <v>1349</v>
      </c>
    </row>
    <row r="400" ht="16.5" hidden="1" spans="1:11">
      <c r="A400" s="12">
        <v>398</v>
      </c>
      <c r="B400" s="12" t="s">
        <v>39</v>
      </c>
      <c r="C400" s="12" t="str">
        <f>VLOOKUP(F400,[4]在职!$A:$E,5,0)</f>
        <v>西南总部</v>
      </c>
      <c r="D400" s="12" t="s">
        <v>1576</v>
      </c>
      <c r="E400" s="12" t="s">
        <v>1363</v>
      </c>
      <c r="F400" s="12" t="s">
        <v>1361</v>
      </c>
      <c r="G400" s="12" t="str">
        <f>VLOOKUP(F400,[4]在职!$A:$B,2,0)</f>
        <v>00029</v>
      </c>
      <c r="H400" s="12" t="str">
        <f>VLOOKUP(F400,[4]在职!$A:$I,9,0)</f>
        <v>区域拓展总监</v>
      </c>
      <c r="I400" s="12" t="s">
        <v>915</v>
      </c>
      <c r="J400" s="10">
        <v>46078</v>
      </c>
      <c r="K400" s="12" t="s">
        <v>1349</v>
      </c>
    </row>
    <row r="401" ht="16.5" hidden="1" spans="1:11">
      <c r="A401" s="12">
        <v>399</v>
      </c>
      <c r="B401" s="12" t="s">
        <v>39</v>
      </c>
      <c r="C401" s="12" t="str">
        <f>VLOOKUP(F401,[4]在职!$A:$E,5,0)</f>
        <v>集团职能</v>
      </c>
      <c r="D401" s="12" t="s">
        <v>1606</v>
      </c>
      <c r="E401" s="12" t="s">
        <v>1119</v>
      </c>
      <c r="F401" s="12" t="s">
        <v>1362</v>
      </c>
      <c r="G401" s="12" t="str">
        <f>VLOOKUP(F401,[4]在职!$A:$B,2,0)</f>
        <v>00120</v>
      </c>
      <c r="H401" s="12" t="str">
        <f>VLOOKUP(F401,[4]在职!$A:$I,9,0)</f>
        <v>技术总监</v>
      </c>
      <c r="I401" s="12" t="s">
        <v>915</v>
      </c>
      <c r="J401" s="10">
        <v>46078</v>
      </c>
      <c r="K401" s="12" t="s">
        <v>1349</v>
      </c>
    </row>
    <row r="402" ht="16.5" hidden="1" spans="1:11">
      <c r="A402" s="12">
        <v>400</v>
      </c>
      <c r="B402" s="12" t="s">
        <v>39</v>
      </c>
      <c r="C402" s="12" t="str">
        <f>VLOOKUP(F402,[4]在职!$A:$E,5,0)</f>
        <v>西南总部</v>
      </c>
      <c r="D402" s="12" t="s">
        <v>148</v>
      </c>
      <c r="E402" s="12" t="s">
        <v>364</v>
      </c>
      <c r="F402" s="12" t="s">
        <v>376</v>
      </c>
      <c r="G402" s="12" t="str">
        <f>VLOOKUP(F402,[4]在职!$A:$B,2,0)</f>
        <v>00204</v>
      </c>
      <c r="H402" s="12" t="str">
        <f>VLOOKUP(F402,[4]在职!$A:$I,9,0)</f>
        <v>二星正式经理</v>
      </c>
      <c r="I402" s="12" t="s">
        <v>915</v>
      </c>
      <c r="J402" s="10">
        <v>46078</v>
      </c>
      <c r="K402" s="12" t="s">
        <v>1349</v>
      </c>
    </row>
    <row r="403" ht="16.5" hidden="1" spans="1:11">
      <c r="A403" s="12">
        <v>401</v>
      </c>
      <c r="B403" s="12" t="s">
        <v>39</v>
      </c>
      <c r="C403" s="12" t="str">
        <f>VLOOKUP(F403,[4]在职!$A:$E,5,0)</f>
        <v>湖北</v>
      </c>
      <c r="D403" s="12" t="s">
        <v>1602</v>
      </c>
      <c r="E403" s="12" t="s">
        <v>1119</v>
      </c>
      <c r="F403" s="12" t="s">
        <v>1163</v>
      </c>
      <c r="G403" s="12" t="str">
        <f>VLOOKUP(F403,[4]在职!$A:$B,2,0)</f>
        <v>00004</v>
      </c>
      <c r="H403" s="12" t="str">
        <f>VLOOKUP(F403,[4]在职!$A:$I,9,0)</f>
        <v>分公司总经理</v>
      </c>
      <c r="I403" s="12" t="s">
        <v>915</v>
      </c>
      <c r="J403" s="10">
        <v>46078</v>
      </c>
      <c r="K403" s="12" t="s">
        <v>1349</v>
      </c>
    </row>
    <row r="404" ht="16.5" hidden="1" spans="1:11">
      <c r="A404" s="12">
        <v>402</v>
      </c>
      <c r="B404" s="12" t="s">
        <v>39</v>
      </c>
      <c r="C404" s="12" t="str">
        <f>VLOOKUP(F404,[4]在职!$A:$E,5,0)</f>
        <v>西南总部</v>
      </c>
      <c r="D404" s="12" t="s">
        <v>220</v>
      </c>
      <c r="E404" s="12" t="s">
        <v>1077</v>
      </c>
      <c r="F404" s="12" t="s">
        <v>427</v>
      </c>
      <c r="G404" s="12" t="str">
        <f>VLOOKUP(F404,[4]在职!$A:$B,2,0)</f>
        <v>00011</v>
      </c>
      <c r="H404" s="12" t="str">
        <f>VLOOKUP(F404,[4]在职!$A:$I,9,0)</f>
        <v>部长</v>
      </c>
      <c r="I404" s="12" t="s">
        <v>915</v>
      </c>
      <c r="J404" s="10">
        <v>46078</v>
      </c>
      <c r="K404" s="12" t="s">
        <v>1349</v>
      </c>
    </row>
    <row r="405" ht="16.5" hidden="1" spans="1:11">
      <c r="A405" s="12">
        <v>403</v>
      </c>
      <c r="B405" s="12" t="s">
        <v>39</v>
      </c>
      <c r="C405" s="12" t="str">
        <f>VLOOKUP(F405,[4]在职!$A:$E,5,0)</f>
        <v>集团职能</v>
      </c>
      <c r="D405" s="12" t="s">
        <v>1606</v>
      </c>
      <c r="E405" s="12" t="s">
        <v>1119</v>
      </c>
      <c r="F405" s="12" t="s">
        <v>1363</v>
      </c>
      <c r="G405" s="12" t="str">
        <f>VLOOKUP(F405,[4]在职!$A:$B,2,0)</f>
        <v>00003</v>
      </c>
      <c r="H405" s="12" t="str">
        <f>VLOOKUP(F405,[4]在职!$A:$I,9,0)</f>
        <v>风控总监</v>
      </c>
      <c r="I405" s="12" t="s">
        <v>915</v>
      </c>
      <c r="J405" s="10">
        <v>46078</v>
      </c>
      <c r="K405" s="12" t="s">
        <v>1349</v>
      </c>
    </row>
    <row r="406" ht="16.5" hidden="1" spans="1:11">
      <c r="A406" s="12">
        <v>404</v>
      </c>
      <c r="B406" s="12" t="s">
        <v>39</v>
      </c>
      <c r="C406" s="12" t="str">
        <f>VLOOKUP(F406,[4]在职!$A:$E,5,0)</f>
        <v>内蒙古</v>
      </c>
      <c r="D406" s="12" t="s">
        <v>1603</v>
      </c>
      <c r="E406" s="12" t="s">
        <v>1363</v>
      </c>
      <c r="F406" s="12" t="s">
        <v>1364</v>
      </c>
      <c r="G406" s="12" t="str">
        <f>VLOOKUP(F406,[4]在职!$A:$B,2,0)</f>
        <v>00154</v>
      </c>
      <c r="H406" s="12" t="str">
        <f>VLOOKUP(F406,[4]在职!$A:$I,9,0)</f>
        <v>分公司总经理</v>
      </c>
      <c r="I406" s="12" t="s">
        <v>915</v>
      </c>
      <c r="J406" s="10">
        <v>46078</v>
      </c>
      <c r="K406" s="12" t="s">
        <v>1349</v>
      </c>
    </row>
    <row r="407" ht="16.5" hidden="1" spans="1:11">
      <c r="A407" s="12">
        <v>405</v>
      </c>
      <c r="B407" s="12" t="s">
        <v>39</v>
      </c>
      <c r="C407" s="12" t="str">
        <f>VLOOKUP(F407,[4]在职!$A:$E,5,0)</f>
        <v>山西</v>
      </c>
      <c r="D407" s="12" t="s">
        <v>173</v>
      </c>
      <c r="E407" s="12" t="s">
        <v>1385</v>
      </c>
      <c r="F407" s="12" t="s">
        <v>587</v>
      </c>
      <c r="G407" s="12" t="str">
        <f>VLOOKUP(F407,[4]在职!$A:$B,2,0)</f>
        <v>00160</v>
      </c>
      <c r="H407" s="12" t="str">
        <f>VLOOKUP(F407,[4]在职!$A:$I,9,0)</f>
        <v>部长</v>
      </c>
      <c r="I407" s="12" t="s">
        <v>915</v>
      </c>
      <c r="J407" s="10">
        <v>46078</v>
      </c>
      <c r="K407" s="12" t="s">
        <v>1349</v>
      </c>
    </row>
    <row r="408" ht="16.5" hidden="1" spans="1:11">
      <c r="A408" s="12">
        <v>406</v>
      </c>
      <c r="B408" s="12" t="s">
        <v>39</v>
      </c>
      <c r="C408" s="12" t="str">
        <f>VLOOKUP(F408,[4]在职!$A:$E,5,0)</f>
        <v>西南总部</v>
      </c>
      <c r="D408" s="12" t="s">
        <v>63</v>
      </c>
      <c r="E408" s="12" t="s">
        <v>129</v>
      </c>
      <c r="F408" s="12" t="s">
        <v>602</v>
      </c>
      <c r="G408" s="12" t="str">
        <f>VLOOKUP(F408,[4]在职!$A:$B,2,0)</f>
        <v>00012</v>
      </c>
      <c r="H408" s="12" t="str">
        <f>VLOOKUP(F408,[4]在职!$A:$I,9,0)</f>
        <v>二星正式经理</v>
      </c>
      <c r="I408" s="12" t="s">
        <v>915</v>
      </c>
      <c r="J408" s="10">
        <v>46078</v>
      </c>
      <c r="K408" s="12" t="s">
        <v>1349</v>
      </c>
    </row>
    <row r="409" ht="16.5" hidden="1" spans="1:11">
      <c r="A409" s="12">
        <v>407</v>
      </c>
      <c r="B409" s="12" t="s">
        <v>39</v>
      </c>
      <c r="C409" s="12" t="str">
        <f>VLOOKUP(F409,[4]在职!$A:$E,5,0)</f>
        <v>西南总部</v>
      </c>
      <c r="D409" s="12" t="s">
        <v>1575</v>
      </c>
      <c r="E409" s="12" t="s">
        <v>1363</v>
      </c>
      <c r="F409" s="12" t="s">
        <v>1366</v>
      </c>
      <c r="G409" s="12" t="str">
        <f>VLOOKUP(F409,[4]在职!$A:$B,2,0)</f>
        <v>00770</v>
      </c>
      <c r="H409" s="12" t="str">
        <f>VLOOKUP(F409,[4]在职!$A:$I,9,0)</f>
        <v>区域拓展总监</v>
      </c>
      <c r="I409" s="12" t="s">
        <v>915</v>
      </c>
      <c r="J409" s="10">
        <v>46078</v>
      </c>
      <c r="K409" s="12" t="s">
        <v>1349</v>
      </c>
    </row>
    <row r="410" ht="16.5" hidden="1" spans="1:11">
      <c r="A410" s="12">
        <v>408</v>
      </c>
      <c r="B410" s="12" t="s">
        <v>39</v>
      </c>
      <c r="C410" s="12" t="str">
        <f>VLOOKUP(F410,[4]在职!$A:$E,5,0)</f>
        <v>西南总部</v>
      </c>
      <c r="D410" s="12" t="s">
        <v>1574</v>
      </c>
      <c r="E410" s="12" t="s">
        <v>1363</v>
      </c>
      <c r="F410" s="12" t="s">
        <v>1367</v>
      </c>
      <c r="G410" s="12" t="str">
        <f>VLOOKUP(F410,[4]在职!$A:$B,2,0)</f>
        <v>00416</v>
      </c>
      <c r="H410" s="12" t="str">
        <f>VLOOKUP(F410,[4]在职!$A:$I,9,0)</f>
        <v>区域拓展总监</v>
      </c>
      <c r="I410" s="12" t="s">
        <v>915</v>
      </c>
      <c r="J410" s="10">
        <v>46078</v>
      </c>
      <c r="K410" s="12" t="s">
        <v>1349</v>
      </c>
    </row>
    <row r="411" ht="16.5" hidden="1" spans="1:11">
      <c r="A411" s="12">
        <v>409</v>
      </c>
      <c r="B411" s="12" t="s">
        <v>39</v>
      </c>
      <c r="C411" s="12" t="str">
        <f>VLOOKUP(F411,[4]在职!$A:$E,5,0)</f>
        <v>西南总部</v>
      </c>
      <c r="D411" s="12" t="s">
        <v>1576</v>
      </c>
      <c r="E411" s="12" t="s">
        <v>1361</v>
      </c>
      <c r="F411" s="12" t="s">
        <v>1368</v>
      </c>
      <c r="G411" s="12" t="str">
        <f>VLOOKUP(F411,[4]在职!$A:$B,2,0)</f>
        <v>00590</v>
      </c>
      <c r="H411" s="12" t="str">
        <f>VLOOKUP(F411,[4]在职!$A:$I,9,0)</f>
        <v>二星拓展专员</v>
      </c>
      <c r="I411" s="12" t="s">
        <v>915</v>
      </c>
      <c r="J411" s="10">
        <v>46078</v>
      </c>
      <c r="K411" s="12" t="s">
        <v>1349</v>
      </c>
    </row>
    <row r="412" ht="16.5" hidden="1" spans="1:11">
      <c r="A412" s="12">
        <v>410</v>
      </c>
      <c r="B412" s="12" t="s">
        <v>39</v>
      </c>
      <c r="C412" s="12" t="str">
        <f>VLOOKUP(F412,[4]在职!$A:$E,5,0)</f>
        <v>湖南</v>
      </c>
      <c r="D412" s="12" t="s">
        <v>1370</v>
      </c>
      <c r="E412" s="12" t="s">
        <v>1378</v>
      </c>
      <c r="F412" s="12" t="s">
        <v>1369</v>
      </c>
      <c r="G412" s="12" t="str">
        <f>VLOOKUP(F412,[4]在职!$A:$B,2,0)</f>
        <v>00235</v>
      </c>
      <c r="H412" s="12" t="str">
        <f>VLOOKUP(F412,[4]在职!$A:$I,9,0)</f>
        <v>二星拓展专员</v>
      </c>
      <c r="I412" s="12" t="s">
        <v>915</v>
      </c>
      <c r="J412" s="10">
        <v>46078</v>
      </c>
      <c r="K412" s="12" t="s">
        <v>1349</v>
      </c>
    </row>
    <row r="413" ht="16.5" hidden="1" spans="1:11">
      <c r="A413" s="12">
        <v>411</v>
      </c>
      <c r="B413" s="12" t="s">
        <v>39</v>
      </c>
      <c r="C413" s="12" t="str">
        <f>VLOOKUP(F413,[4]在职!$A:$E,5,0)</f>
        <v>西南总部</v>
      </c>
      <c r="D413" s="12" t="s">
        <v>75</v>
      </c>
      <c r="E413" s="12" t="s">
        <v>1077</v>
      </c>
      <c r="F413" s="12" t="s">
        <v>407</v>
      </c>
      <c r="G413" s="12" t="str">
        <f>VLOOKUP(F413,[4]在职!$A:$B,2,0)</f>
        <v>00345</v>
      </c>
      <c r="H413" s="12" t="str">
        <f>VLOOKUP(F413,[4]在职!$A:$I,9,0)</f>
        <v>部长</v>
      </c>
      <c r="I413" s="12" t="s">
        <v>915</v>
      </c>
      <c r="J413" s="10">
        <v>46078</v>
      </c>
      <c r="K413" s="12" t="s">
        <v>1349</v>
      </c>
    </row>
    <row r="414" ht="16.5" hidden="1" spans="1:11">
      <c r="A414" s="12">
        <v>412</v>
      </c>
      <c r="B414" s="12" t="s">
        <v>39</v>
      </c>
      <c r="C414" s="12" t="str">
        <f>VLOOKUP(F414,[4]在职!$A:$E,5,0)</f>
        <v>集团职能</v>
      </c>
      <c r="D414" s="12" t="s">
        <v>1606</v>
      </c>
      <c r="E414" s="12" t="s">
        <v>1119</v>
      </c>
      <c r="F414" s="12" t="s">
        <v>903</v>
      </c>
      <c r="G414" s="12" t="str">
        <f>VLOOKUP(F414,[4]在职!$A:$B,2,0)</f>
        <v>00585</v>
      </c>
      <c r="H414" s="12" t="str">
        <f>VLOOKUP(F414,[4]在职!$A:$I,9,0)</f>
        <v>业绩增长部经理</v>
      </c>
      <c r="I414" s="12" t="s">
        <v>915</v>
      </c>
      <c r="J414" s="10">
        <v>46078</v>
      </c>
      <c r="K414" s="12" t="s">
        <v>1349</v>
      </c>
    </row>
    <row r="415" ht="16.5" hidden="1" spans="1:11">
      <c r="A415" s="12">
        <v>413</v>
      </c>
      <c r="B415" s="12" t="s">
        <v>39</v>
      </c>
      <c r="C415" s="12" t="str">
        <f>VLOOKUP(F415,[4]在职!$A:$E,5,0)</f>
        <v>集团职能</v>
      </c>
      <c r="D415" s="12" t="s">
        <v>1606</v>
      </c>
      <c r="E415" s="12" t="s">
        <v>1077</v>
      </c>
      <c r="F415" s="12" t="s">
        <v>1371</v>
      </c>
      <c r="G415" s="12" t="str">
        <f>VLOOKUP(F415,[4]在职!$A:$B,2,0)</f>
        <v>00828</v>
      </c>
      <c r="H415" s="12" t="str">
        <f>VLOOKUP(F415,[4]在职!$A:$I,9,0)</f>
        <v>教培主管</v>
      </c>
      <c r="I415" s="12" t="s">
        <v>915</v>
      </c>
      <c r="J415" s="10">
        <v>46078</v>
      </c>
      <c r="K415" s="12" t="s">
        <v>1349</v>
      </c>
    </row>
    <row r="416" ht="16.5" hidden="1" spans="1:11">
      <c r="A416" s="12">
        <v>414</v>
      </c>
      <c r="B416" s="12" t="s">
        <v>39</v>
      </c>
      <c r="C416" s="12" t="str">
        <f>VLOOKUP(F416,[4]在职!$A:$E,5,0)</f>
        <v>西南总部</v>
      </c>
      <c r="D416" s="12" t="s">
        <v>168</v>
      </c>
      <c r="E416" s="12" t="s">
        <v>1077</v>
      </c>
      <c r="F416" s="12" t="s">
        <v>322</v>
      </c>
      <c r="G416" s="12" t="str">
        <f>VLOOKUP(F416,[4]在职!$A:$B,2,0)</f>
        <v>00087</v>
      </c>
      <c r="H416" s="12" t="str">
        <f>VLOOKUP(F416,[4]在职!$A:$I,9,0)</f>
        <v>部长</v>
      </c>
      <c r="I416" s="12" t="s">
        <v>915</v>
      </c>
      <c r="J416" s="10">
        <v>46078</v>
      </c>
      <c r="K416" s="12" t="s">
        <v>1349</v>
      </c>
    </row>
    <row r="417" ht="16.5" hidden="1" spans="1:11">
      <c r="A417" s="12">
        <v>415</v>
      </c>
      <c r="B417" s="12" t="s">
        <v>39</v>
      </c>
      <c r="C417" s="12" t="str">
        <f>VLOOKUP(F417,[4]在职!$A:$E,5,0)</f>
        <v>河南</v>
      </c>
      <c r="D417" s="12" t="s">
        <v>130</v>
      </c>
      <c r="E417" s="12" t="s">
        <v>1376</v>
      </c>
      <c r="F417" s="12" t="s">
        <v>380</v>
      </c>
      <c r="G417" s="12" t="str">
        <f>VLOOKUP(F417,[4]在职!$A:$B,2,0)</f>
        <v>00010</v>
      </c>
      <c r="H417" s="12" t="str">
        <f>VLOOKUP(F417,[4]在职!$A:$I,9,0)</f>
        <v>分公司副总经理</v>
      </c>
      <c r="I417" s="12" t="s">
        <v>915</v>
      </c>
      <c r="J417" s="10">
        <v>46078</v>
      </c>
      <c r="K417" s="12" t="s">
        <v>1349</v>
      </c>
    </row>
    <row r="418" ht="16.5" hidden="1" spans="1:11">
      <c r="A418" s="12">
        <v>416</v>
      </c>
      <c r="B418" s="12" t="s">
        <v>39</v>
      </c>
      <c r="C418" s="12" t="str">
        <f>VLOOKUP(F418,[4]在职!$A:$E,5,0)</f>
        <v>山东</v>
      </c>
      <c r="D418" s="12" t="s">
        <v>125</v>
      </c>
      <c r="E418" s="12" t="s">
        <v>1152</v>
      </c>
      <c r="F418" s="12" t="s">
        <v>444</v>
      </c>
      <c r="G418" s="12" t="str">
        <f>VLOOKUP(F418,[4]在职!$A:$B,2,0)</f>
        <v>00166</v>
      </c>
      <c r="H418" s="12" t="str">
        <f>VLOOKUP(F418,[4]在职!$A:$I,9,0)</f>
        <v>二星正式经理</v>
      </c>
      <c r="I418" s="12" t="s">
        <v>915</v>
      </c>
      <c r="J418" s="10">
        <v>46078</v>
      </c>
      <c r="K418" s="12" t="s">
        <v>1349</v>
      </c>
    </row>
    <row r="419" ht="16.5" hidden="1" spans="1:11">
      <c r="A419" s="12">
        <v>417</v>
      </c>
      <c r="B419" s="12" t="s">
        <v>39</v>
      </c>
      <c r="C419" s="12" t="str">
        <f>VLOOKUP(F419,[4]在职!$A:$E,5,0)</f>
        <v>山东</v>
      </c>
      <c r="D419" s="12" t="s">
        <v>1373</v>
      </c>
      <c r="E419" s="12" t="s">
        <v>1152</v>
      </c>
      <c r="F419" s="12" t="s">
        <v>1372</v>
      </c>
      <c r="G419" s="12" t="str">
        <f>VLOOKUP(F419,[4]在职!$A:$B,2,0)</f>
        <v>00315</v>
      </c>
      <c r="H419" s="12" t="str">
        <f>VLOOKUP(F419,[4]在职!$A:$I,9,0)</f>
        <v>区域拓展总监</v>
      </c>
      <c r="I419" s="12" t="s">
        <v>915</v>
      </c>
      <c r="J419" s="10">
        <v>46078</v>
      </c>
      <c r="K419" s="12" t="s">
        <v>1349</v>
      </c>
    </row>
    <row r="420" ht="16.5" hidden="1" spans="1:11">
      <c r="A420" s="12">
        <v>418</v>
      </c>
      <c r="B420" s="12" t="s">
        <v>39</v>
      </c>
      <c r="C420" s="12" t="str">
        <f>VLOOKUP(F420,[4]在职!$A:$E,5,0)</f>
        <v>河北</v>
      </c>
      <c r="D420" s="12" t="s">
        <v>1357</v>
      </c>
      <c r="E420" s="12" t="s">
        <v>1119</v>
      </c>
      <c r="F420" s="12" t="s">
        <v>1374</v>
      </c>
      <c r="G420" s="12" t="str">
        <f>VLOOKUP(F420,[4]在职!$A:$B,2,0)</f>
        <v>00039</v>
      </c>
      <c r="H420" s="12" t="str">
        <f>VLOOKUP(F420,[4]在职!$A:$I,9,0)</f>
        <v>分公司总经理</v>
      </c>
      <c r="I420" s="12" t="s">
        <v>915</v>
      </c>
      <c r="J420" s="10">
        <v>46078</v>
      </c>
      <c r="K420" s="12" t="s">
        <v>1349</v>
      </c>
    </row>
    <row r="421" ht="16.5" hidden="1" spans="1:11">
      <c r="A421" s="12">
        <v>419</v>
      </c>
      <c r="B421" s="12" t="s">
        <v>39</v>
      </c>
      <c r="C421" s="12" t="str">
        <f>VLOOKUP(F421,[4]在职!$A:$E,5,0)</f>
        <v>湖南</v>
      </c>
      <c r="D421" s="12" t="s">
        <v>70</v>
      </c>
      <c r="E421" s="12" t="s">
        <v>82</v>
      </c>
      <c r="F421" s="12" t="s">
        <v>336</v>
      </c>
      <c r="G421" s="12" t="str">
        <f>VLOOKUP(F421,[4]在职!$A:$B,2,0)</f>
        <v>00288</v>
      </c>
      <c r="H421" s="12" t="str">
        <f>VLOOKUP(F421,[4]在职!$A:$I,9,0)</f>
        <v>二星正式经理</v>
      </c>
      <c r="I421" s="12" t="s">
        <v>915</v>
      </c>
      <c r="J421" s="10">
        <v>46078</v>
      </c>
      <c r="K421" s="12" t="s">
        <v>1349</v>
      </c>
    </row>
    <row r="422" ht="16.5" hidden="1" spans="1:11">
      <c r="A422" s="12">
        <v>420</v>
      </c>
      <c r="B422" s="12" t="s">
        <v>39</v>
      </c>
      <c r="C422" s="12" t="str">
        <f>VLOOKUP(F422,[4]在职!$A:$E,5,0)</f>
        <v>湖北</v>
      </c>
      <c r="D422" s="12" t="s">
        <v>90</v>
      </c>
      <c r="E422" s="12" t="s">
        <v>1163</v>
      </c>
      <c r="F422" s="12" t="s">
        <v>89</v>
      </c>
      <c r="G422" s="12" t="str">
        <f>VLOOKUP(F422,[4]在职!$A:$B,2,0)</f>
        <v>00549</v>
      </c>
      <c r="H422" s="12" t="str">
        <f>VLOOKUP(F422,[4]在职!$A:$I,9,0)</f>
        <v>部长</v>
      </c>
      <c r="I422" s="12" t="s">
        <v>915</v>
      </c>
      <c r="J422" s="10">
        <v>46078</v>
      </c>
      <c r="K422" s="12" t="s">
        <v>1349</v>
      </c>
    </row>
    <row r="423" ht="16.5" hidden="1" spans="1:11">
      <c r="A423" s="12">
        <v>421</v>
      </c>
      <c r="B423" s="12" t="s">
        <v>39</v>
      </c>
      <c r="C423" s="12" t="str">
        <f>VLOOKUP(F423,[4]在职!$A:$E,5,0)</f>
        <v>集团职能</v>
      </c>
      <c r="D423" s="12" t="s">
        <v>1606</v>
      </c>
      <c r="E423" s="12" t="s">
        <v>903</v>
      </c>
      <c r="F423" s="12" t="s">
        <v>1375</v>
      </c>
      <c r="G423" s="12" t="str">
        <f>VLOOKUP(F423,[4]在职!$A:$B,2,0)</f>
        <v>00380</v>
      </c>
      <c r="H423" s="12" t="str">
        <f>VLOOKUP(F423,[4]在职!$A:$I,9,0)</f>
        <v>拓展BP组长</v>
      </c>
      <c r="I423" s="12" t="s">
        <v>915</v>
      </c>
      <c r="J423" s="10">
        <v>46078</v>
      </c>
      <c r="K423" s="12" t="s">
        <v>1349</v>
      </c>
    </row>
    <row r="424" ht="16.5" hidden="1" spans="1:11">
      <c r="A424" s="12">
        <v>422</v>
      </c>
      <c r="B424" s="12" t="s">
        <v>39</v>
      </c>
      <c r="C424" s="12" t="str">
        <f>VLOOKUP(F424,[4]在职!$A:$E,5,0)</f>
        <v>河南</v>
      </c>
      <c r="D424" s="12" t="s">
        <v>1377</v>
      </c>
      <c r="E424" s="12" t="s">
        <v>1119</v>
      </c>
      <c r="F424" s="12" t="s">
        <v>1376</v>
      </c>
      <c r="G424" s="12" t="str">
        <f>VLOOKUP(F424,[4]在职!$A:$B,2,0)</f>
        <v>00040</v>
      </c>
      <c r="H424" s="12" t="str">
        <f>VLOOKUP(F424,[4]在职!$A:$I,9,0)</f>
        <v>分公司总经理</v>
      </c>
      <c r="I424" s="12" t="s">
        <v>915</v>
      </c>
      <c r="J424" s="10">
        <v>46078</v>
      </c>
      <c r="K424" s="12" t="s">
        <v>1349</v>
      </c>
    </row>
    <row r="425" ht="16.5" hidden="1" spans="1:11">
      <c r="A425" s="12">
        <v>423</v>
      </c>
      <c r="B425" s="12" t="s">
        <v>39</v>
      </c>
      <c r="C425" s="12" t="str">
        <f>VLOOKUP(F425,[4]在职!$A:$E,5,0)</f>
        <v>西南总部</v>
      </c>
      <c r="D425" s="12" t="s">
        <v>63</v>
      </c>
      <c r="E425" s="12" t="s">
        <v>1077</v>
      </c>
      <c r="F425" s="12" t="s">
        <v>129</v>
      </c>
      <c r="G425" s="12" t="str">
        <f>VLOOKUP(F425,[4]在职!$A:$B,2,0)</f>
        <v>00472</v>
      </c>
      <c r="H425" s="12" t="str">
        <f>VLOOKUP(F425,[4]在职!$A:$I,9,0)</f>
        <v>部长</v>
      </c>
      <c r="I425" s="12" t="s">
        <v>915</v>
      </c>
      <c r="J425" s="10">
        <v>46078</v>
      </c>
      <c r="K425" s="12" t="s">
        <v>1349</v>
      </c>
    </row>
    <row r="426" ht="16.5" hidden="1" spans="1:11">
      <c r="A426" s="12">
        <v>424</v>
      </c>
      <c r="B426" s="12" t="s">
        <v>39</v>
      </c>
      <c r="C426" s="12" t="str">
        <f>VLOOKUP(F426,[4]在职!$A:$E,5,0)</f>
        <v>西南总部</v>
      </c>
      <c r="D426" s="12" t="s">
        <v>144</v>
      </c>
      <c r="E426" s="12" t="s">
        <v>1077</v>
      </c>
      <c r="F426" s="12" t="s">
        <v>155</v>
      </c>
      <c r="G426" s="12" t="str">
        <f>VLOOKUP(F426,[4]在职!$A:$B,2,0)</f>
        <v>00117</v>
      </c>
      <c r="H426" s="12" t="str">
        <f>VLOOKUP(F426,[4]在职!$A:$I,9,0)</f>
        <v>部长</v>
      </c>
      <c r="I426" s="12" t="s">
        <v>915</v>
      </c>
      <c r="J426" s="10">
        <v>46078</v>
      </c>
      <c r="K426" s="12" t="s">
        <v>1349</v>
      </c>
    </row>
    <row r="427" ht="16.5" hidden="1" spans="1:11">
      <c r="A427" s="12">
        <v>425</v>
      </c>
      <c r="B427" s="12" t="s">
        <v>39</v>
      </c>
      <c r="C427" s="12" t="str">
        <f>VLOOKUP(F427,[4]在职!$A:$E,5,0)</f>
        <v>西南总部</v>
      </c>
      <c r="D427" s="12" t="s">
        <v>148</v>
      </c>
      <c r="E427" s="12" t="s">
        <v>340</v>
      </c>
      <c r="F427" s="12" t="s">
        <v>1111</v>
      </c>
      <c r="G427" s="12" t="str">
        <f>VLOOKUP(F427,[4]在职!$A:$B,2,0)</f>
        <v>00036</v>
      </c>
      <c r="H427" s="12" t="str">
        <f>VLOOKUP(F427,[4]在职!$A:$I,9,0)</f>
        <v>督导</v>
      </c>
      <c r="I427" s="12" t="s">
        <v>915</v>
      </c>
      <c r="J427" s="10">
        <v>46078</v>
      </c>
      <c r="K427" s="12" t="s">
        <v>1349</v>
      </c>
    </row>
    <row r="428" ht="16.5" hidden="1" spans="1:11">
      <c r="A428" s="12">
        <v>426</v>
      </c>
      <c r="B428" s="12" t="s">
        <v>39</v>
      </c>
      <c r="C428" s="12" t="str">
        <f>VLOOKUP(F428,[4]在职!$A:$E,5,0)</f>
        <v>湖南</v>
      </c>
      <c r="D428" s="12" t="s">
        <v>1370</v>
      </c>
      <c r="E428" s="12" t="s">
        <v>1119</v>
      </c>
      <c r="F428" s="12" t="s">
        <v>1378</v>
      </c>
      <c r="G428" s="12" t="str">
        <f>VLOOKUP(F428,[4]在职!$A:$B,2,0)</f>
        <v>00094</v>
      </c>
      <c r="H428" s="12" t="str">
        <f>VLOOKUP(F428,[4]在职!$A:$I,9,0)</f>
        <v>分公司总经理</v>
      </c>
      <c r="I428" s="12" t="s">
        <v>915</v>
      </c>
      <c r="J428" s="10">
        <v>46078</v>
      </c>
      <c r="K428" s="12" t="s">
        <v>1349</v>
      </c>
    </row>
    <row r="429" ht="16.5" hidden="1" spans="1:11">
      <c r="A429" s="12">
        <v>427</v>
      </c>
      <c r="B429" s="12" t="s">
        <v>39</v>
      </c>
      <c r="C429" s="12" t="str">
        <f>VLOOKUP(F429,[4]在职!$A:$E,5,0)</f>
        <v>安徽</v>
      </c>
      <c r="D429" s="12" t="s">
        <v>1380</v>
      </c>
      <c r="E429" s="12" t="s">
        <v>1119</v>
      </c>
      <c r="F429" s="12" t="s">
        <v>1379</v>
      </c>
      <c r="G429" s="12" t="str">
        <f>VLOOKUP(F429,[4]在职!$A:$B,2,0)</f>
        <v>00032</v>
      </c>
      <c r="H429" s="12" t="str">
        <f>VLOOKUP(F429,[4]在职!$A:$I,9,0)</f>
        <v>分公司总经理</v>
      </c>
      <c r="I429" s="12" t="s">
        <v>915</v>
      </c>
      <c r="J429" s="10">
        <v>46078</v>
      </c>
      <c r="K429" s="12" t="s">
        <v>1349</v>
      </c>
    </row>
    <row r="430" ht="16.5" hidden="1" spans="1:11">
      <c r="A430" s="12">
        <v>428</v>
      </c>
      <c r="B430" s="12" t="s">
        <v>39</v>
      </c>
      <c r="C430" s="12" t="str">
        <f>VLOOKUP(F430,[4]在职!$A:$E,5,0)</f>
        <v>西南总部</v>
      </c>
      <c r="D430" s="12" t="s">
        <v>70</v>
      </c>
      <c r="E430" s="12" t="s">
        <v>82</v>
      </c>
      <c r="F430" s="12" t="s">
        <v>413</v>
      </c>
      <c r="G430" s="12" t="str">
        <f>VLOOKUP(F430,[4]在职!$A:$B,2,0)</f>
        <v>00522</v>
      </c>
      <c r="H430" s="12" t="str">
        <f>VLOOKUP(F430,[4]在职!$A:$I,9,0)</f>
        <v>一星正式经理</v>
      </c>
      <c r="I430" s="12" t="s">
        <v>915</v>
      </c>
      <c r="J430" s="10">
        <v>46078</v>
      </c>
      <c r="K430" s="12" t="s">
        <v>1349</v>
      </c>
    </row>
    <row r="431" ht="16.5" hidden="1" spans="1:11">
      <c r="A431" s="12">
        <v>429</v>
      </c>
      <c r="B431" s="12" t="s">
        <v>39</v>
      </c>
      <c r="C431" s="12" t="str">
        <f>VLOOKUP(F431,[4]在职!$A:$E,5,0)</f>
        <v>西南总部</v>
      </c>
      <c r="D431" s="12" t="s">
        <v>70</v>
      </c>
      <c r="E431" s="12" t="s">
        <v>1077</v>
      </c>
      <c r="F431" s="12" t="s">
        <v>82</v>
      </c>
      <c r="G431" s="12" t="str">
        <f>VLOOKUP(F431,[4]在职!$A:$B,2,0)</f>
        <v>00060</v>
      </c>
      <c r="H431" s="12" t="str">
        <f>VLOOKUP(F431,[4]在职!$A:$I,9,0)</f>
        <v>部长</v>
      </c>
      <c r="I431" s="12" t="s">
        <v>915</v>
      </c>
      <c r="J431" s="10">
        <v>46078</v>
      </c>
      <c r="K431" s="12" t="s">
        <v>1349</v>
      </c>
    </row>
    <row r="432" ht="16.5" hidden="1" spans="1:11">
      <c r="A432" s="12">
        <v>430</v>
      </c>
      <c r="B432" s="12" t="s">
        <v>39</v>
      </c>
      <c r="C432" s="12" t="str">
        <f>VLOOKUP(F432,[4]在职!$A:$E,5,0)</f>
        <v>集团职能</v>
      </c>
      <c r="D432" s="12" t="s">
        <v>1606</v>
      </c>
      <c r="E432" s="12" t="s">
        <v>903</v>
      </c>
      <c r="F432" s="12" t="s">
        <v>1381</v>
      </c>
      <c r="G432" s="12" t="str">
        <f>VLOOKUP(F432,[4]在职!$A:$B,2,0)</f>
        <v>00068</v>
      </c>
      <c r="H432" s="12" t="str">
        <f>VLOOKUP(F432,[4]在职!$A:$I,9,0)</f>
        <v>拓展BP</v>
      </c>
      <c r="I432" s="12" t="s">
        <v>915</v>
      </c>
      <c r="J432" s="10">
        <v>46078</v>
      </c>
      <c r="K432" s="12" t="s">
        <v>1349</v>
      </c>
    </row>
    <row r="433" ht="16.5" hidden="1" spans="1:11">
      <c r="A433" s="12">
        <v>431</v>
      </c>
      <c r="B433" s="12" t="s">
        <v>39</v>
      </c>
      <c r="C433" s="12" t="str">
        <f>VLOOKUP(F433,[4]在职!$A:$E,5,0)</f>
        <v>集团职能</v>
      </c>
      <c r="D433" s="12" t="s">
        <v>1606</v>
      </c>
      <c r="E433" s="12" t="s">
        <v>1119</v>
      </c>
      <c r="F433" s="12" t="s">
        <v>1382</v>
      </c>
      <c r="G433" s="12" t="str">
        <f>VLOOKUP(F433,[4]在职!$A:$B,2,0)</f>
        <v>00037</v>
      </c>
      <c r="H433" s="12" t="str">
        <f>VLOOKUP(F433,[4]在职!$A:$I,9,0)</f>
        <v>财务经理</v>
      </c>
      <c r="I433" s="12" t="s">
        <v>915</v>
      </c>
      <c r="J433" s="10">
        <v>46078</v>
      </c>
      <c r="K433" s="12" t="s">
        <v>1349</v>
      </c>
    </row>
    <row r="434" ht="16.5" hidden="1" spans="1:11">
      <c r="A434" s="12">
        <v>432</v>
      </c>
      <c r="B434" s="12" t="s">
        <v>39</v>
      </c>
      <c r="C434" s="12" t="str">
        <f>VLOOKUP(F434,[4]在职!$A:$E,5,0)</f>
        <v>山东</v>
      </c>
      <c r="D434" s="12" t="s">
        <v>1373</v>
      </c>
      <c r="E434" s="12" t="s">
        <v>1119</v>
      </c>
      <c r="F434" s="12" t="s">
        <v>1152</v>
      </c>
      <c r="G434" s="12" t="str">
        <f>VLOOKUP(F434,[4]在职!$A:$B,2,0)</f>
        <v>00067</v>
      </c>
      <c r="H434" s="12" t="str">
        <f>VLOOKUP(F434,[4]在职!$A:$I,9,0)</f>
        <v>分公司总经理</v>
      </c>
      <c r="I434" s="12" t="s">
        <v>915</v>
      </c>
      <c r="J434" s="10">
        <v>46078</v>
      </c>
      <c r="K434" s="12" t="s">
        <v>1349</v>
      </c>
    </row>
    <row r="435" ht="16.5" hidden="1" spans="1:11">
      <c r="A435" s="12">
        <v>433</v>
      </c>
      <c r="B435" s="12" t="s">
        <v>39</v>
      </c>
      <c r="C435" s="12" t="str">
        <f>VLOOKUP(F435,[4]在职!$A:$E,5,0)</f>
        <v>湖北</v>
      </c>
      <c r="D435" s="12" t="s">
        <v>79</v>
      </c>
      <c r="E435" s="12" t="s">
        <v>1163</v>
      </c>
      <c r="F435" s="12" t="s">
        <v>189</v>
      </c>
      <c r="G435" s="12" t="str">
        <f>VLOOKUP(F435,[4]在职!$A:$B,2,0)</f>
        <v>00333</v>
      </c>
      <c r="H435" s="12" t="str">
        <f>VLOOKUP(F435,[4]在职!$A:$I,9,0)</f>
        <v>部长</v>
      </c>
      <c r="I435" s="12" t="s">
        <v>915</v>
      </c>
      <c r="J435" s="10">
        <v>46078</v>
      </c>
      <c r="K435" s="12" t="s">
        <v>1349</v>
      </c>
    </row>
    <row r="436" ht="16.5" hidden="1" spans="1:11">
      <c r="A436" s="12">
        <v>434</v>
      </c>
      <c r="B436" s="12" t="s">
        <v>39</v>
      </c>
      <c r="C436" s="12" t="str">
        <f>VLOOKUP(F436,[4]在职!$A:$E,5,0)</f>
        <v>山西</v>
      </c>
      <c r="D436" s="12" t="s">
        <v>173</v>
      </c>
      <c r="E436" s="12" t="s">
        <v>1385</v>
      </c>
      <c r="F436" s="12" t="s">
        <v>433</v>
      </c>
      <c r="G436" s="12" t="str">
        <f>VLOOKUP(F436,[4]在职!$A:$B,2,0)</f>
        <v>00015</v>
      </c>
      <c r="H436" s="12" t="str">
        <f>VLOOKUP(F436,[4]在职!$A:$I,9,0)</f>
        <v>分公司副总经理</v>
      </c>
      <c r="I436" s="12" t="s">
        <v>915</v>
      </c>
      <c r="J436" s="10">
        <v>46078</v>
      </c>
      <c r="K436" s="12" t="s">
        <v>1349</v>
      </c>
    </row>
    <row r="437" ht="16.5" hidden="1" spans="1:11">
      <c r="A437" s="12">
        <v>435</v>
      </c>
      <c r="B437" s="12" t="s">
        <v>39</v>
      </c>
      <c r="C437" s="12" t="str">
        <f>VLOOKUP(F437,[4]在职!$A:$E,5,0)</f>
        <v>辽宁</v>
      </c>
      <c r="D437" s="12" t="s">
        <v>1384</v>
      </c>
      <c r="E437" s="12" t="s">
        <v>1363</v>
      </c>
      <c r="F437" s="12" t="s">
        <v>1383</v>
      </c>
      <c r="G437" s="12" t="str">
        <f>VLOOKUP(F437,[4]在职!$A:$B,2,0)</f>
        <v>00057</v>
      </c>
      <c r="H437" s="12" t="str">
        <f>VLOOKUP(F437,[4]在职!$A:$I,9,0)</f>
        <v>分公司总经理</v>
      </c>
      <c r="I437" s="12" t="s">
        <v>915</v>
      </c>
      <c r="J437" s="10">
        <v>46078</v>
      </c>
      <c r="K437" s="12" t="s">
        <v>1349</v>
      </c>
    </row>
    <row r="438" ht="16.5" hidden="1" spans="1:11">
      <c r="A438" s="12">
        <v>436</v>
      </c>
      <c r="B438" s="12" t="s">
        <v>39</v>
      </c>
      <c r="C438" s="12" t="str">
        <f>VLOOKUP(F438,[4]在职!$A:$E,5,0)</f>
        <v>山西</v>
      </c>
      <c r="D438" s="12" t="s">
        <v>1386</v>
      </c>
      <c r="E438" s="12" t="s">
        <v>1119</v>
      </c>
      <c r="F438" s="12" t="s">
        <v>1385</v>
      </c>
      <c r="G438" s="12" t="str">
        <f>VLOOKUP(F438,[4]在职!$A:$B,2,0)</f>
        <v>00695</v>
      </c>
      <c r="H438" s="12" t="str">
        <f>VLOOKUP(F438,[4]在职!$A:$I,9,0)</f>
        <v>分公司总经理</v>
      </c>
      <c r="I438" s="12" t="s">
        <v>915</v>
      </c>
      <c r="J438" s="10">
        <v>46078</v>
      </c>
      <c r="K438" s="12" t="s">
        <v>1349</v>
      </c>
    </row>
    <row r="439" ht="16.5" hidden="1" spans="1:11">
      <c r="A439" s="12">
        <v>437</v>
      </c>
      <c r="B439" s="12" t="s">
        <v>39</v>
      </c>
      <c r="C439" s="12" t="str">
        <f>VLOOKUP(F439,[4]在职!$A:$E,5,0)</f>
        <v>山东</v>
      </c>
      <c r="D439" s="12" t="s">
        <v>125</v>
      </c>
      <c r="E439" s="12" t="s">
        <v>1152</v>
      </c>
      <c r="F439" s="12" t="s">
        <v>417</v>
      </c>
      <c r="G439" s="12" t="str">
        <f>VLOOKUP(F439,[4]在职!$A:$B,2,0)</f>
        <v>00521</v>
      </c>
      <c r="H439" s="12" t="str">
        <f>VLOOKUP(F439,[4]在职!$A:$I,9,0)</f>
        <v>一星正式经理</v>
      </c>
      <c r="I439" s="12" t="s">
        <v>915</v>
      </c>
      <c r="J439" s="10">
        <v>46078</v>
      </c>
      <c r="K439" s="12" t="s">
        <v>1349</v>
      </c>
    </row>
    <row r="440" ht="16.5" hidden="1" spans="1:11">
      <c r="A440" s="12">
        <v>438</v>
      </c>
      <c r="B440" s="12" t="s">
        <v>45</v>
      </c>
      <c r="C440" s="12" t="str">
        <f>VLOOKUP(F440,[4]在职!$A:$E,5,0)</f>
        <v>湖北</v>
      </c>
      <c r="D440" s="12" t="str">
        <f>VLOOKUP(F440,[4]在职!$A:$G,7,0)</f>
        <v>湖北2部</v>
      </c>
      <c r="E440" s="12" t="str">
        <f>VLOOKUP(F440,[4]在职!$A:$M,13,0)</f>
        <v>陈晓辉</v>
      </c>
      <c r="F440" s="46" t="s">
        <v>1390</v>
      </c>
      <c r="G440" s="12" t="str">
        <f>VLOOKUP(F440,[4]在职!$A:$B,2,0)</f>
        <v>01320</v>
      </c>
      <c r="H440" s="12" t="str">
        <f>VLOOKUP(F440,[4]在职!$A:$I,9,0)</f>
        <v>三星销售顾问</v>
      </c>
      <c r="I440" s="46" t="s">
        <v>915</v>
      </c>
      <c r="J440" s="83">
        <v>46085</v>
      </c>
      <c r="K440" s="12" t="s">
        <v>30</v>
      </c>
    </row>
    <row r="441" ht="16.5" hidden="1" spans="1:11">
      <c r="A441" s="12">
        <v>439</v>
      </c>
      <c r="B441" s="12" t="s">
        <v>45</v>
      </c>
      <c r="C441" s="12" t="str">
        <f>VLOOKUP(F441,[4]在职!$A:$E,5,0)</f>
        <v>西南总部</v>
      </c>
      <c r="D441" s="12" t="str">
        <f>VLOOKUP(F441,[4]在职!$A:$G,7,0)</f>
        <v>营业四部</v>
      </c>
      <c r="E441" s="12" t="str">
        <f>VLOOKUP(F441,[4]在职!$A:$M,13,0)</f>
        <v>刘亮</v>
      </c>
      <c r="F441" s="46" t="s">
        <v>1392</v>
      </c>
      <c r="G441" s="12" t="str">
        <f>VLOOKUP(F441,[4]在职!$A:$B,2,0)</f>
        <v>01105</v>
      </c>
      <c r="H441" s="12" t="str">
        <f>VLOOKUP(F441,[4]在职!$A:$I,9,0)</f>
        <v>B岗经理</v>
      </c>
      <c r="I441" s="46" t="s">
        <v>915</v>
      </c>
      <c r="J441" s="83">
        <v>46085</v>
      </c>
      <c r="K441" s="12" t="s">
        <v>30</v>
      </c>
    </row>
    <row r="442" ht="16.5" hidden="1" spans="1:11">
      <c r="A442" s="12">
        <v>440</v>
      </c>
      <c r="B442" s="12" t="s">
        <v>45</v>
      </c>
      <c r="C442" s="12" t="str">
        <f>VLOOKUP(F442,[4]在职!$A:$E,5,0)</f>
        <v>陕西</v>
      </c>
      <c r="D442" s="12" t="str">
        <f>VLOOKUP(F442,[4]在职!$A:$G,7,0)</f>
        <v>陕西1部</v>
      </c>
      <c r="E442" s="12" t="str">
        <f>VLOOKUP(F442,[4]在职!$A:$M,13,0)</f>
        <v>杨永梅</v>
      </c>
      <c r="F442" s="46" t="s">
        <v>1394</v>
      </c>
      <c r="G442" s="12" t="str">
        <f>VLOOKUP(F442,[4]在职!$A:$B,2,0)</f>
        <v>01158</v>
      </c>
      <c r="H442" s="12" t="str">
        <f>VLOOKUP(F442,[4]在职!$A:$I,9,0)</f>
        <v>三星销售顾问</v>
      </c>
      <c r="I442" s="46" t="s">
        <v>915</v>
      </c>
      <c r="J442" s="83">
        <v>46085</v>
      </c>
      <c r="K442" s="12" t="s">
        <v>30</v>
      </c>
    </row>
    <row r="443" ht="16.5" hidden="1" spans="1:11">
      <c r="A443" s="12">
        <v>441</v>
      </c>
      <c r="B443" s="12" t="s">
        <v>45</v>
      </c>
      <c r="C443" s="12" t="str">
        <f>VLOOKUP(F443,[4]在职!$A:$E,5,0)</f>
        <v>西南总部</v>
      </c>
      <c r="D443" s="12" t="str">
        <f>VLOOKUP(F443,[4]在职!$A:$G,7,0)</f>
        <v>营业五部</v>
      </c>
      <c r="E443" s="12" t="str">
        <f>VLOOKUP(F443,[4]在职!$A:$M,13,0)</f>
        <v>杨科</v>
      </c>
      <c r="F443" s="46" t="s">
        <v>1396</v>
      </c>
      <c r="G443" s="12" t="str">
        <f>VLOOKUP(F443,[4]在职!$A:$B,2,0)</f>
        <v>01351</v>
      </c>
      <c r="H443" s="12" t="str">
        <f>VLOOKUP(F443,[4]在职!$A:$I,9,0)</f>
        <v>B岗经理</v>
      </c>
      <c r="I443" s="46" t="s">
        <v>915</v>
      </c>
      <c r="J443" s="83">
        <v>46085</v>
      </c>
      <c r="K443" s="12" t="s">
        <v>30</v>
      </c>
    </row>
    <row r="444" ht="16.5" hidden="1" spans="1:11">
      <c r="A444" s="12">
        <v>442</v>
      </c>
      <c r="B444" s="12" t="s">
        <v>45</v>
      </c>
      <c r="C444" s="12" t="str">
        <f>VLOOKUP(F444,[4]在职!$A:$E,5,0)</f>
        <v>西南总部</v>
      </c>
      <c r="D444" s="12" t="str">
        <f>VLOOKUP(F444,[4]在职!$A:$G,7,0)</f>
        <v>营业二部</v>
      </c>
      <c r="E444" s="12" t="str">
        <f>VLOOKUP(F444,[4]在职!$A:$M,13,0)</f>
        <v>杨芊</v>
      </c>
      <c r="F444" s="46" t="s">
        <v>1398</v>
      </c>
      <c r="G444" s="12" t="str">
        <f>VLOOKUP(F444,[4]在职!$A:$B,2,0)</f>
        <v>00950</v>
      </c>
      <c r="H444" s="12" t="str">
        <f>VLOOKUP(F444,[4]在职!$A:$I,9,0)</f>
        <v>三星销售顾问</v>
      </c>
      <c r="I444" s="46" t="s">
        <v>915</v>
      </c>
      <c r="J444" s="83">
        <v>46085</v>
      </c>
      <c r="K444" s="12" t="s">
        <v>30</v>
      </c>
    </row>
    <row r="445" ht="16.5" hidden="1" spans="1:11">
      <c r="A445" s="12">
        <v>443</v>
      </c>
      <c r="B445" s="12" t="s">
        <v>45</v>
      </c>
      <c r="C445" s="12" t="str">
        <f>VLOOKUP(F445,[4]在职!$A:$E,5,0)</f>
        <v>陕西</v>
      </c>
      <c r="D445" s="12" t="str">
        <f>VLOOKUP(F445,[4]在职!$A:$G,7,0)</f>
        <v>陕西2部</v>
      </c>
      <c r="E445" s="12" t="str">
        <f>VLOOKUP(F445,[4]在职!$A:$M,13,0)</f>
        <v>王辉</v>
      </c>
      <c r="F445" s="46" t="s">
        <v>1400</v>
      </c>
      <c r="G445" s="12" t="str">
        <f>VLOOKUP(F445,[4]在职!$A:$B,2,0)</f>
        <v>00978</v>
      </c>
      <c r="H445" s="12" t="str">
        <f>VLOOKUP(F445,[4]在职!$A:$I,9,0)</f>
        <v>三星销售顾问</v>
      </c>
      <c r="I445" s="46" t="s">
        <v>915</v>
      </c>
      <c r="J445" s="83">
        <v>46085</v>
      </c>
      <c r="K445" s="12" t="s">
        <v>30</v>
      </c>
    </row>
    <row r="446" ht="16.5" hidden="1" spans="1:11">
      <c r="A446" s="12">
        <v>444</v>
      </c>
      <c r="B446" s="12" t="s">
        <v>45</v>
      </c>
      <c r="C446" s="12" t="str">
        <f>VLOOKUP(F446,[4]在职!$A:$E,5,0)</f>
        <v>河南</v>
      </c>
      <c r="D446" s="12" t="str">
        <f>VLOOKUP(F446,[4]在职!$A:$G,7,0)</f>
        <v>河南销售部</v>
      </c>
      <c r="E446" s="12" t="str">
        <f>VLOOKUP(F446,[4]在职!$A:$M,13,0)</f>
        <v>余金梅</v>
      </c>
      <c r="F446" s="46" t="s">
        <v>1402</v>
      </c>
      <c r="G446" s="12" t="str">
        <f>VLOOKUP(F446,[4]在职!$A:$B,2,0)</f>
        <v>01421</v>
      </c>
      <c r="H446" s="12" t="str">
        <f>VLOOKUP(F446,[4]在职!$A:$I,9,0)</f>
        <v>二星销售顾问</v>
      </c>
      <c r="I446" s="46" t="s">
        <v>915</v>
      </c>
      <c r="J446" s="83">
        <v>46085</v>
      </c>
      <c r="K446" s="12" t="s">
        <v>30</v>
      </c>
    </row>
    <row r="447" ht="16.5" hidden="1" spans="1:11">
      <c r="A447" s="12">
        <v>445</v>
      </c>
      <c r="B447" s="12" t="s">
        <v>45</v>
      </c>
      <c r="C447" s="12" t="str">
        <f>VLOOKUP(F447,[4]在职!$A:$E,5,0)</f>
        <v>西南总部</v>
      </c>
      <c r="D447" s="12" t="str">
        <f>VLOOKUP(F447,[4]在职!$A:$G,7,0)</f>
        <v>营业七部</v>
      </c>
      <c r="E447" s="12" t="str">
        <f>VLOOKUP(F447,[4]在职!$A:$M,13,0)</f>
        <v>谢沁霜</v>
      </c>
      <c r="F447" s="46" t="s">
        <v>1404</v>
      </c>
      <c r="G447" s="12" t="str">
        <f>VLOOKUP(F447,[4]在职!$A:$B,2,0)</f>
        <v>00893</v>
      </c>
      <c r="H447" s="12" t="str">
        <f>VLOOKUP(F447,[4]在职!$A:$I,9,0)</f>
        <v>三星销售顾问</v>
      </c>
      <c r="I447" s="46" t="s">
        <v>915</v>
      </c>
      <c r="J447" s="83">
        <v>46085</v>
      </c>
      <c r="K447" s="12" t="s">
        <v>30</v>
      </c>
    </row>
    <row r="448" ht="16.5" hidden="1" spans="1:11">
      <c r="A448" s="12">
        <v>446</v>
      </c>
      <c r="B448" s="12" t="s">
        <v>45</v>
      </c>
      <c r="C448" s="12" t="str">
        <f>VLOOKUP(F448,[4]在职!$A:$E,5,0)</f>
        <v>陕西</v>
      </c>
      <c r="D448" s="12" t="str">
        <f>VLOOKUP(F448,[4]在职!$A:$G,7,0)</f>
        <v>陕西2部</v>
      </c>
      <c r="E448" s="12" t="str">
        <f>VLOOKUP(F448,[4]在职!$A:$M,13,0)</f>
        <v>李耀</v>
      </c>
      <c r="F448" s="46" t="s">
        <v>1406</v>
      </c>
      <c r="G448" s="12" t="str">
        <f>VLOOKUP(F448,[4]在职!$A:$B,2,0)</f>
        <v>00945</v>
      </c>
      <c r="H448" s="12" t="str">
        <f>VLOOKUP(F448,[4]在职!$A:$I,9,0)</f>
        <v>三星销售顾问</v>
      </c>
      <c r="I448" s="46" t="s">
        <v>915</v>
      </c>
      <c r="J448" s="83">
        <v>46085</v>
      </c>
      <c r="K448" s="12" t="s">
        <v>30</v>
      </c>
    </row>
    <row r="449" ht="16.5" hidden="1" spans="1:11">
      <c r="A449" s="12">
        <v>447</v>
      </c>
      <c r="B449" s="12" t="s">
        <v>45</v>
      </c>
      <c r="C449" s="12" t="str">
        <f>VLOOKUP(F449,[4]在职!$A:$E,5,0)</f>
        <v>西南总部</v>
      </c>
      <c r="D449" s="12" t="str">
        <f>VLOOKUP(F449,[4]在职!$A:$G,7,0)</f>
        <v>营业七部</v>
      </c>
      <c r="E449" s="12" t="str">
        <f>VLOOKUP(F449,[4]在职!$A:$M,13,0)</f>
        <v>蒋杨</v>
      </c>
      <c r="F449" s="46" t="s">
        <v>1408</v>
      </c>
      <c r="G449" s="12" t="str">
        <f>VLOOKUP(F449,[4]在职!$A:$B,2,0)</f>
        <v>01374</v>
      </c>
      <c r="H449" s="12" t="str">
        <f>VLOOKUP(F449,[4]在职!$A:$I,9,0)</f>
        <v>B岗经理</v>
      </c>
      <c r="I449" s="46" t="s">
        <v>915</v>
      </c>
      <c r="J449" s="83">
        <v>46085</v>
      </c>
      <c r="K449" s="12" t="s">
        <v>30</v>
      </c>
    </row>
    <row r="450" ht="16.5" hidden="1" spans="1:11">
      <c r="A450" s="12">
        <v>448</v>
      </c>
      <c r="B450" s="12" t="s">
        <v>45</v>
      </c>
      <c r="C450" s="12" t="str">
        <f>VLOOKUP(F450,[4]在职!$A:$E,5,0)</f>
        <v>西南总部</v>
      </c>
      <c r="D450" s="12" t="str">
        <f>VLOOKUP(F450,[4]在职!$A:$G,7,0)</f>
        <v>营业二部</v>
      </c>
      <c r="E450" s="12" t="str">
        <f>VLOOKUP(F450,[4]在职!$A:$M,13,0)</f>
        <v>魏飞翔</v>
      </c>
      <c r="F450" s="46" t="s">
        <v>1410</v>
      </c>
      <c r="G450" s="12" t="str">
        <f>VLOOKUP(F450,[4]在职!$A:$B,2,0)</f>
        <v>00856</v>
      </c>
      <c r="H450" s="12" t="str">
        <f>VLOOKUP(F450,[4]在职!$A:$I,9,0)</f>
        <v>B岗经理</v>
      </c>
      <c r="I450" s="46" t="s">
        <v>915</v>
      </c>
      <c r="J450" s="83">
        <v>46085</v>
      </c>
      <c r="K450" s="12" t="s">
        <v>30</v>
      </c>
    </row>
    <row r="451" ht="16.5" hidden="1" spans="1:11">
      <c r="A451" s="12">
        <v>449</v>
      </c>
      <c r="B451" s="12" t="s">
        <v>45</v>
      </c>
      <c r="C451" s="12" t="str">
        <f>VLOOKUP(F451,[4]在职!$A:$E,5,0)</f>
        <v>河南</v>
      </c>
      <c r="D451" s="12" t="str">
        <f>VLOOKUP(F451,[4]在职!$A:$G,7,0)</f>
        <v>河南销售部</v>
      </c>
      <c r="E451" s="12" t="str">
        <f>VLOOKUP(F451,[4]在职!$A:$M,13,0)</f>
        <v>任枭月</v>
      </c>
      <c r="F451" s="46" t="s">
        <v>1412</v>
      </c>
      <c r="G451" s="12" t="str">
        <f>VLOOKUP(F451,[4]在职!$A:$B,2,0)</f>
        <v>00718</v>
      </c>
      <c r="H451" s="12" t="str">
        <f>VLOOKUP(F451,[4]在职!$A:$I,9,0)</f>
        <v>二星销售顾问</v>
      </c>
      <c r="I451" s="46" t="s">
        <v>915</v>
      </c>
      <c r="J451" s="83">
        <v>46085</v>
      </c>
      <c r="K451" s="12" t="s">
        <v>30</v>
      </c>
    </row>
    <row r="452" ht="16.5" hidden="1" spans="1:11">
      <c r="A452" s="12">
        <v>450</v>
      </c>
      <c r="B452" s="12" t="s">
        <v>45</v>
      </c>
      <c r="C452" s="12" t="str">
        <f>VLOOKUP(F452,[4]在职!$A:$E,5,0)</f>
        <v>山西</v>
      </c>
      <c r="D452" s="12" t="str">
        <f>VLOOKUP(F452,[4]在职!$A:$G,7,0)</f>
        <v>山西销售部</v>
      </c>
      <c r="E452" s="12" t="str">
        <f>VLOOKUP(F452,[4]在职!$A:$M,13,0)</f>
        <v>彭停</v>
      </c>
      <c r="F452" s="46" t="s">
        <v>1414</v>
      </c>
      <c r="G452" s="12" t="str">
        <f>VLOOKUP(F452,[4]在职!$A:$B,2,0)</f>
        <v>01046</v>
      </c>
      <c r="H452" s="12" t="str">
        <f>VLOOKUP(F452,[4]在职!$A:$I,9,0)</f>
        <v>三星销售顾问</v>
      </c>
      <c r="I452" s="46" t="s">
        <v>915</v>
      </c>
      <c r="J452" s="83">
        <v>46085</v>
      </c>
      <c r="K452" s="12" t="s">
        <v>30</v>
      </c>
    </row>
    <row r="453" ht="16.5" hidden="1" spans="1:11">
      <c r="A453" s="12">
        <v>451</v>
      </c>
      <c r="B453" s="12" t="s">
        <v>45</v>
      </c>
      <c r="C453" s="12" t="str">
        <f>VLOOKUP(F453,[4]在职!$A:$E,5,0)</f>
        <v>山东</v>
      </c>
      <c r="D453" s="12" t="str">
        <f>VLOOKUP(F453,[4]在职!$A:$G,7,0)</f>
        <v>山东销售部</v>
      </c>
      <c r="E453" s="12" t="str">
        <f>VLOOKUP(F453,[4]在职!$A:$M,13,0)</f>
        <v>苏晓青</v>
      </c>
      <c r="F453" s="46" t="s">
        <v>1416</v>
      </c>
      <c r="G453" s="12" t="str">
        <f>VLOOKUP(F453,[4]在职!$A:$B,2,0)</f>
        <v>00993</v>
      </c>
      <c r="H453" s="12" t="str">
        <f>VLOOKUP(F453,[4]在职!$A:$I,9,0)</f>
        <v>B岗经理</v>
      </c>
      <c r="I453" s="46" t="s">
        <v>915</v>
      </c>
      <c r="J453" s="83">
        <v>46085</v>
      </c>
      <c r="K453" s="12" t="s">
        <v>30</v>
      </c>
    </row>
    <row r="454" ht="16.5" hidden="1" spans="1:11">
      <c r="A454" s="12">
        <v>452</v>
      </c>
      <c r="B454" s="12" t="s">
        <v>45</v>
      </c>
      <c r="C454" s="12" t="str">
        <f>VLOOKUP(F454,[4]在职!$A:$E,5,0)</f>
        <v>西南总部</v>
      </c>
      <c r="D454" s="12" t="str">
        <f>VLOOKUP(F454,[4]在职!$A:$G,7,0)</f>
        <v>营业二部</v>
      </c>
      <c r="E454" s="12" t="str">
        <f>VLOOKUP(F454,[4]在职!$A:$M,13,0)</f>
        <v>柏刚</v>
      </c>
      <c r="F454" s="46" t="s">
        <v>1418</v>
      </c>
      <c r="G454" s="12" t="str">
        <f>VLOOKUP(F454,[4]在职!$A:$B,2,0)</f>
        <v>00693</v>
      </c>
      <c r="H454" s="12" t="str">
        <f>VLOOKUP(F454,[4]在职!$A:$I,9,0)</f>
        <v>三星销售顾问</v>
      </c>
      <c r="I454" s="46" t="s">
        <v>915</v>
      </c>
      <c r="J454" s="83">
        <v>46085</v>
      </c>
      <c r="K454" s="12" t="s">
        <v>30</v>
      </c>
    </row>
    <row r="455" ht="16.5" hidden="1" spans="1:11">
      <c r="A455" s="12">
        <v>453</v>
      </c>
      <c r="B455" s="12" t="s">
        <v>45</v>
      </c>
      <c r="C455" s="12" t="str">
        <f>VLOOKUP(F455,[4]在职!$A:$E,5,0)</f>
        <v>河北</v>
      </c>
      <c r="D455" s="12" t="str">
        <f>VLOOKUP(F455,[4]在职!$A:$G,7,0)</f>
        <v>河北销售部</v>
      </c>
      <c r="E455" s="12" t="str">
        <f>VLOOKUP(F455,[4]在职!$A:$M,13,0)</f>
        <v>李港一</v>
      </c>
      <c r="F455" s="46" t="s">
        <v>1420</v>
      </c>
      <c r="G455" s="12" t="str">
        <f>VLOOKUP(F455,[4]在职!$A:$B,2,0)</f>
        <v>01476</v>
      </c>
      <c r="H455" s="12" t="str">
        <f>VLOOKUP(F455,[4]在职!$A:$I,9,0)</f>
        <v>二星销售顾问</v>
      </c>
      <c r="I455" s="46" t="s">
        <v>915</v>
      </c>
      <c r="J455" s="83">
        <v>46085</v>
      </c>
      <c r="K455" s="12" t="s">
        <v>30</v>
      </c>
    </row>
    <row r="456" ht="16.5" hidden="1" spans="1:11">
      <c r="A456" s="12">
        <v>454</v>
      </c>
      <c r="B456" s="12" t="s">
        <v>45</v>
      </c>
      <c r="C456" s="12" t="str">
        <f>VLOOKUP(F456,[4]在职!$A:$E,5,0)</f>
        <v>湖南</v>
      </c>
      <c r="D456" s="12" t="str">
        <f>VLOOKUP(F456,[4]在职!$A:$G,7,0)</f>
        <v>湖南销售部</v>
      </c>
      <c r="E456" s="12" t="str">
        <f>VLOOKUP(F456,[4]在职!$A:$M,13,0)</f>
        <v>陈炳佑</v>
      </c>
      <c r="F456" s="46" t="s">
        <v>1422</v>
      </c>
      <c r="G456" s="12" t="str">
        <f>VLOOKUP(F456,[4]在职!$A:$B,2,0)</f>
        <v>01411</v>
      </c>
      <c r="H456" s="12" t="str">
        <f>VLOOKUP(F456,[4]在职!$A:$I,9,0)</f>
        <v>二星销售顾问</v>
      </c>
      <c r="I456" s="46" t="s">
        <v>915</v>
      </c>
      <c r="J456" s="83">
        <v>46085</v>
      </c>
      <c r="K456" s="12" t="s">
        <v>30</v>
      </c>
    </row>
    <row r="457" ht="16.5" hidden="1" spans="1:11">
      <c r="A457" s="12">
        <v>455</v>
      </c>
      <c r="B457" s="12" t="s">
        <v>45</v>
      </c>
      <c r="C457" s="12" t="str">
        <f>VLOOKUP(F457,[4]在职!$A:$E,5,0)</f>
        <v>西南总部</v>
      </c>
      <c r="D457" s="12" t="str">
        <f>VLOOKUP(F457,[4]在职!$A:$G,7,0)</f>
        <v>营业六部</v>
      </c>
      <c r="E457" s="12" t="str">
        <f>VLOOKUP(F457,[4]在职!$A:$M,13,0)</f>
        <v>刘亮</v>
      </c>
      <c r="F457" s="46" t="s">
        <v>1424</v>
      </c>
      <c r="G457" s="12" t="str">
        <f>VLOOKUP(F457,[4]在职!$A:$B,2,0)</f>
        <v>01194</v>
      </c>
      <c r="H457" s="12" t="str">
        <f>VLOOKUP(F457,[4]在职!$A:$I,9,0)</f>
        <v>B岗经理</v>
      </c>
      <c r="I457" s="46" t="s">
        <v>915</v>
      </c>
      <c r="J457" s="83">
        <v>46085</v>
      </c>
      <c r="K457" s="12" t="s">
        <v>30</v>
      </c>
    </row>
    <row r="458" ht="16.5" hidden="1" spans="1:11">
      <c r="A458" s="12">
        <v>456</v>
      </c>
      <c r="B458" s="12" t="s">
        <v>45</v>
      </c>
      <c r="C458" s="12" t="str">
        <f>VLOOKUP(F458,[4]在职!$A:$E,5,0)</f>
        <v>西南总部</v>
      </c>
      <c r="D458" s="12" t="str">
        <f>VLOOKUP(F458,[4]在职!$A:$G,7,0)</f>
        <v>营业五部</v>
      </c>
      <c r="E458" s="12" t="str">
        <f>VLOOKUP(F458,[4]在职!$A:$M,13,0)</f>
        <v>李敏</v>
      </c>
      <c r="F458" s="46" t="s">
        <v>1426</v>
      </c>
      <c r="G458" s="12" t="str">
        <f>VLOOKUP(F458,[4]在职!$A:$B,2,0)</f>
        <v>01532</v>
      </c>
      <c r="H458" s="12" t="str">
        <f>VLOOKUP(F458,[4]在职!$A:$I,9,0)</f>
        <v>B岗经理</v>
      </c>
      <c r="I458" s="46" t="s">
        <v>915</v>
      </c>
      <c r="J458" s="83">
        <v>46085</v>
      </c>
      <c r="K458" s="12" t="s">
        <v>30</v>
      </c>
    </row>
    <row r="459" ht="16.5" hidden="1" spans="1:11">
      <c r="A459" s="12">
        <v>457</v>
      </c>
      <c r="B459" s="12" t="s">
        <v>45</v>
      </c>
      <c r="C459" s="12" t="str">
        <f>VLOOKUP(F459,[4]在职!$A:$E,5,0)</f>
        <v>湖南</v>
      </c>
      <c r="D459" s="12" t="str">
        <f>VLOOKUP(F459,[4]在职!$A:$G,7,0)</f>
        <v>湖南销售部</v>
      </c>
      <c r="E459" s="12" t="str">
        <f>VLOOKUP(F459,[4]在职!$A:$M,13,0)</f>
        <v>黄勇刚</v>
      </c>
      <c r="F459" s="46" t="s">
        <v>1428</v>
      </c>
      <c r="G459" s="12" t="str">
        <f>VLOOKUP(F459,[4]在职!$A:$B,2,0)</f>
        <v>00840</v>
      </c>
      <c r="H459" s="12" t="str">
        <f>VLOOKUP(F459,[4]在职!$A:$I,9,0)</f>
        <v>B岗经理</v>
      </c>
      <c r="I459" s="46" t="s">
        <v>915</v>
      </c>
      <c r="J459" s="83">
        <v>46085</v>
      </c>
      <c r="K459" s="12" t="s">
        <v>30</v>
      </c>
    </row>
    <row r="460" ht="16.5" hidden="1" spans="1:11">
      <c r="A460" s="12">
        <v>498</v>
      </c>
      <c r="B460" s="12" t="s">
        <v>45</v>
      </c>
      <c r="C460" s="12" t="str">
        <f>VLOOKUP(F460,[4]在职!$A:$E,5,0)</f>
        <v>湖北</v>
      </c>
      <c r="D460" s="12" t="str">
        <f>VLOOKUP(F460,[4]在职!$A:$G,7,0)</f>
        <v>湖北2部</v>
      </c>
      <c r="E460" s="12" t="str">
        <f>VLOOKUP(F460,[4]在职!$A:$M,13,0)</f>
        <v>陈晓辉</v>
      </c>
      <c r="F460" s="46" t="s">
        <v>1390</v>
      </c>
      <c r="G460" s="12" t="str">
        <f>VLOOKUP(F460,[4]在职!$A:$B,2,0)</f>
        <v>01320</v>
      </c>
      <c r="H460" s="12" t="str">
        <f>VLOOKUP(F460,[4]在职!$A:$I,9,0)</f>
        <v>三星销售顾问</v>
      </c>
      <c r="I460" s="46" t="s">
        <v>915</v>
      </c>
      <c r="J460" s="83">
        <v>46084</v>
      </c>
      <c r="K460" s="12" t="s">
        <v>30</v>
      </c>
    </row>
    <row r="461" ht="16.5" hidden="1" spans="1:11">
      <c r="A461" s="12">
        <v>499</v>
      </c>
      <c r="B461" s="12" t="s">
        <v>45</v>
      </c>
      <c r="C461" s="12" t="str">
        <f>VLOOKUP(F461,[4]在职!$A:$E,5,0)</f>
        <v>西南总部</v>
      </c>
      <c r="D461" s="12" t="str">
        <f>VLOOKUP(F461,[4]在职!$A:$G,7,0)</f>
        <v>营业四部</v>
      </c>
      <c r="E461" s="12" t="str">
        <f>VLOOKUP(F461,[4]在职!$A:$M,13,0)</f>
        <v>刘亮</v>
      </c>
      <c r="F461" s="46" t="s">
        <v>1392</v>
      </c>
      <c r="G461" s="12" t="str">
        <f>VLOOKUP(F461,[4]在职!$A:$B,2,0)</f>
        <v>01105</v>
      </c>
      <c r="H461" s="12" t="str">
        <f>VLOOKUP(F461,[4]在职!$A:$I,9,0)</f>
        <v>B岗经理</v>
      </c>
      <c r="I461" s="46" t="s">
        <v>915</v>
      </c>
      <c r="J461" s="83">
        <v>46084</v>
      </c>
      <c r="K461" s="12" t="s">
        <v>30</v>
      </c>
    </row>
    <row r="462" ht="16.5" hidden="1" spans="1:11">
      <c r="A462" s="12">
        <v>500</v>
      </c>
      <c r="B462" s="12" t="s">
        <v>45</v>
      </c>
      <c r="C462" s="12" t="str">
        <f>VLOOKUP(F462,[4]在职!$A:$E,5,0)</f>
        <v>陕西</v>
      </c>
      <c r="D462" s="12" t="str">
        <f>VLOOKUP(F462,[4]在职!$A:$G,7,0)</f>
        <v>陕西1部</v>
      </c>
      <c r="E462" s="12" t="str">
        <f>VLOOKUP(F462,[4]在职!$A:$M,13,0)</f>
        <v>杨永梅</v>
      </c>
      <c r="F462" s="46" t="s">
        <v>1394</v>
      </c>
      <c r="G462" s="12" t="str">
        <f>VLOOKUP(F462,[4]在职!$A:$B,2,0)</f>
        <v>01158</v>
      </c>
      <c r="H462" s="12" t="str">
        <f>VLOOKUP(F462,[4]在职!$A:$I,9,0)</f>
        <v>三星销售顾问</v>
      </c>
      <c r="I462" s="46" t="s">
        <v>915</v>
      </c>
      <c r="J462" s="83">
        <v>46084</v>
      </c>
      <c r="K462" s="12" t="s">
        <v>30</v>
      </c>
    </row>
    <row r="463" ht="16.5" hidden="1" spans="1:11">
      <c r="A463" s="12">
        <v>501</v>
      </c>
      <c r="B463" s="12" t="s">
        <v>45</v>
      </c>
      <c r="C463" s="12" t="str">
        <f>VLOOKUP(F463,[4]在职!$A:$E,5,0)</f>
        <v>西南总部</v>
      </c>
      <c r="D463" s="12" t="str">
        <f>VLOOKUP(F463,[4]在职!$A:$G,7,0)</f>
        <v>营业五部</v>
      </c>
      <c r="E463" s="12" t="str">
        <f>VLOOKUP(F463,[4]在职!$A:$M,13,0)</f>
        <v>杨科</v>
      </c>
      <c r="F463" s="46" t="s">
        <v>1396</v>
      </c>
      <c r="G463" s="12" t="str">
        <f>VLOOKUP(F463,[4]在职!$A:$B,2,0)</f>
        <v>01351</v>
      </c>
      <c r="H463" s="12" t="str">
        <f>VLOOKUP(F463,[4]在职!$A:$I,9,0)</f>
        <v>B岗经理</v>
      </c>
      <c r="I463" s="46" t="s">
        <v>915</v>
      </c>
      <c r="J463" s="83">
        <v>46084</v>
      </c>
      <c r="K463" s="12" t="s">
        <v>30</v>
      </c>
    </row>
    <row r="464" ht="16.5" hidden="1" spans="1:11">
      <c r="A464" s="12">
        <v>502</v>
      </c>
      <c r="B464" s="12" t="s">
        <v>45</v>
      </c>
      <c r="C464" s="12" t="str">
        <f>VLOOKUP(F464,[4]在职!$A:$E,5,0)</f>
        <v>西南总部</v>
      </c>
      <c r="D464" s="12" t="str">
        <f>VLOOKUP(F464,[4]在职!$A:$G,7,0)</f>
        <v>营业二部</v>
      </c>
      <c r="E464" s="12" t="str">
        <f>VLOOKUP(F464,[4]在职!$A:$M,13,0)</f>
        <v>杨芊</v>
      </c>
      <c r="F464" s="46" t="s">
        <v>1398</v>
      </c>
      <c r="G464" s="12" t="str">
        <f>VLOOKUP(F464,[4]在职!$A:$B,2,0)</f>
        <v>00950</v>
      </c>
      <c r="H464" s="12" t="str">
        <f>VLOOKUP(F464,[4]在职!$A:$I,9,0)</f>
        <v>三星销售顾问</v>
      </c>
      <c r="I464" s="46" t="s">
        <v>915</v>
      </c>
      <c r="J464" s="83">
        <v>46084</v>
      </c>
      <c r="K464" s="12" t="s">
        <v>30</v>
      </c>
    </row>
    <row r="465" ht="16.5" hidden="1" spans="1:11">
      <c r="A465" s="12">
        <v>503</v>
      </c>
      <c r="B465" s="12" t="s">
        <v>45</v>
      </c>
      <c r="C465" s="12" t="str">
        <f>VLOOKUP(F465,[4]在职!$A:$E,5,0)</f>
        <v>陕西</v>
      </c>
      <c r="D465" s="12" t="str">
        <f>VLOOKUP(F465,[4]在职!$A:$G,7,0)</f>
        <v>陕西2部</v>
      </c>
      <c r="E465" s="12" t="str">
        <f>VLOOKUP(F465,[4]在职!$A:$M,13,0)</f>
        <v>王辉</v>
      </c>
      <c r="F465" s="46" t="s">
        <v>1400</v>
      </c>
      <c r="G465" s="12" t="str">
        <f>VLOOKUP(F465,[4]在职!$A:$B,2,0)</f>
        <v>00978</v>
      </c>
      <c r="H465" s="12" t="str">
        <f>VLOOKUP(F465,[4]在职!$A:$I,9,0)</f>
        <v>三星销售顾问</v>
      </c>
      <c r="I465" s="46" t="s">
        <v>915</v>
      </c>
      <c r="J465" s="83">
        <v>46084</v>
      </c>
      <c r="K465" s="12" t="s">
        <v>30</v>
      </c>
    </row>
    <row r="466" ht="16.5" hidden="1" spans="1:11">
      <c r="A466" s="12">
        <v>504</v>
      </c>
      <c r="B466" s="12" t="s">
        <v>45</v>
      </c>
      <c r="C466" s="12" t="str">
        <f>VLOOKUP(F466,[4]在职!$A:$E,5,0)</f>
        <v>河南</v>
      </c>
      <c r="D466" s="12" t="str">
        <f>VLOOKUP(F466,[4]在职!$A:$G,7,0)</f>
        <v>河南销售部</v>
      </c>
      <c r="E466" s="12" t="str">
        <f>VLOOKUP(F466,[4]在职!$A:$M,13,0)</f>
        <v>余金梅</v>
      </c>
      <c r="F466" s="46" t="s">
        <v>1402</v>
      </c>
      <c r="G466" s="12" t="str">
        <f>VLOOKUP(F466,[4]在职!$A:$B,2,0)</f>
        <v>01421</v>
      </c>
      <c r="H466" s="12" t="str">
        <f>VLOOKUP(F466,[4]在职!$A:$I,9,0)</f>
        <v>二星销售顾问</v>
      </c>
      <c r="I466" s="46" t="s">
        <v>915</v>
      </c>
      <c r="J466" s="83">
        <v>46084</v>
      </c>
      <c r="K466" s="12" t="s">
        <v>30</v>
      </c>
    </row>
    <row r="467" ht="16.5" hidden="1" spans="1:11">
      <c r="A467" s="12">
        <v>505</v>
      </c>
      <c r="B467" s="12" t="s">
        <v>45</v>
      </c>
      <c r="C467" s="12" t="str">
        <f>VLOOKUP(F467,[4]在职!$A:$E,5,0)</f>
        <v>西南总部</v>
      </c>
      <c r="D467" s="12" t="str">
        <f>VLOOKUP(F467,[4]在职!$A:$G,7,0)</f>
        <v>营业七部</v>
      </c>
      <c r="E467" s="12" t="str">
        <f>VLOOKUP(F467,[4]在职!$A:$M,13,0)</f>
        <v>谢沁霜</v>
      </c>
      <c r="F467" s="46" t="s">
        <v>1404</v>
      </c>
      <c r="G467" s="12" t="str">
        <f>VLOOKUP(F467,[4]在职!$A:$B,2,0)</f>
        <v>00893</v>
      </c>
      <c r="H467" s="12" t="str">
        <f>VLOOKUP(F467,[4]在职!$A:$I,9,0)</f>
        <v>三星销售顾问</v>
      </c>
      <c r="I467" s="46" t="s">
        <v>915</v>
      </c>
      <c r="J467" s="83">
        <v>46084</v>
      </c>
      <c r="K467" s="12" t="s">
        <v>30</v>
      </c>
    </row>
    <row r="468" ht="16.5" hidden="1" spans="1:11">
      <c r="A468" s="12">
        <v>506</v>
      </c>
      <c r="B468" s="12" t="s">
        <v>45</v>
      </c>
      <c r="C468" s="12" t="str">
        <f>VLOOKUP(F468,[4]在职!$A:$E,5,0)</f>
        <v>陕西</v>
      </c>
      <c r="D468" s="12" t="str">
        <f>VLOOKUP(F468,[4]在职!$A:$G,7,0)</f>
        <v>陕西2部</v>
      </c>
      <c r="E468" s="12" t="str">
        <f>VLOOKUP(F468,[4]在职!$A:$M,13,0)</f>
        <v>李耀</v>
      </c>
      <c r="F468" s="46" t="s">
        <v>1406</v>
      </c>
      <c r="G468" s="12" t="str">
        <f>VLOOKUP(F468,[4]在职!$A:$B,2,0)</f>
        <v>00945</v>
      </c>
      <c r="H468" s="12" t="str">
        <f>VLOOKUP(F468,[4]在职!$A:$I,9,0)</f>
        <v>三星销售顾问</v>
      </c>
      <c r="I468" s="46" t="s">
        <v>915</v>
      </c>
      <c r="J468" s="83">
        <v>46084</v>
      </c>
      <c r="K468" s="12" t="s">
        <v>30</v>
      </c>
    </row>
    <row r="469" ht="16.5" hidden="1" spans="1:11">
      <c r="A469" s="12">
        <v>507</v>
      </c>
      <c r="B469" s="12" t="s">
        <v>45</v>
      </c>
      <c r="C469" s="12" t="str">
        <f>VLOOKUP(F469,[4]在职!$A:$E,5,0)</f>
        <v>西南总部</v>
      </c>
      <c r="D469" s="12" t="str">
        <f>VLOOKUP(F469,[4]在职!$A:$G,7,0)</f>
        <v>营业七部</v>
      </c>
      <c r="E469" s="12" t="str">
        <f>VLOOKUP(F469,[4]在职!$A:$M,13,0)</f>
        <v>蒋杨</v>
      </c>
      <c r="F469" s="46" t="s">
        <v>1408</v>
      </c>
      <c r="G469" s="12" t="str">
        <f>VLOOKUP(F469,[4]在职!$A:$B,2,0)</f>
        <v>01374</v>
      </c>
      <c r="H469" s="12" t="str">
        <f>VLOOKUP(F469,[4]在职!$A:$I,9,0)</f>
        <v>B岗经理</v>
      </c>
      <c r="I469" s="46" t="s">
        <v>915</v>
      </c>
      <c r="J469" s="83">
        <v>46084</v>
      </c>
      <c r="K469" s="12" t="s">
        <v>30</v>
      </c>
    </row>
    <row r="470" ht="16.5" hidden="1" spans="1:11">
      <c r="A470" s="12">
        <v>508</v>
      </c>
      <c r="B470" s="12" t="s">
        <v>45</v>
      </c>
      <c r="C470" s="12" t="str">
        <f>VLOOKUP(F470,[4]在职!$A:$E,5,0)</f>
        <v>西南总部</v>
      </c>
      <c r="D470" s="12" t="str">
        <f>VLOOKUP(F470,[4]在职!$A:$G,7,0)</f>
        <v>营业二部</v>
      </c>
      <c r="E470" s="12" t="str">
        <f>VLOOKUP(F470,[4]在职!$A:$M,13,0)</f>
        <v>魏飞翔</v>
      </c>
      <c r="F470" s="46" t="s">
        <v>1410</v>
      </c>
      <c r="G470" s="12" t="str">
        <f>VLOOKUP(F470,[4]在职!$A:$B,2,0)</f>
        <v>00856</v>
      </c>
      <c r="H470" s="12" t="str">
        <f>VLOOKUP(F470,[4]在职!$A:$I,9,0)</f>
        <v>B岗经理</v>
      </c>
      <c r="I470" s="46" t="s">
        <v>915</v>
      </c>
      <c r="J470" s="83">
        <v>46084</v>
      </c>
      <c r="K470" s="12" t="s">
        <v>30</v>
      </c>
    </row>
    <row r="471" ht="16.5" hidden="1" spans="1:11">
      <c r="A471" s="12">
        <v>509</v>
      </c>
      <c r="B471" s="12" t="s">
        <v>45</v>
      </c>
      <c r="C471" s="12" t="str">
        <f>VLOOKUP(F471,[4]在职!$A:$E,5,0)</f>
        <v>河南</v>
      </c>
      <c r="D471" s="12" t="str">
        <f>VLOOKUP(F471,[4]在职!$A:$G,7,0)</f>
        <v>河南销售部</v>
      </c>
      <c r="E471" s="12" t="str">
        <f>VLOOKUP(F471,[4]在职!$A:$M,13,0)</f>
        <v>任枭月</v>
      </c>
      <c r="F471" s="46" t="s">
        <v>1412</v>
      </c>
      <c r="G471" s="12" t="str">
        <f>VLOOKUP(F471,[4]在职!$A:$B,2,0)</f>
        <v>00718</v>
      </c>
      <c r="H471" s="12" t="str">
        <f>VLOOKUP(F471,[4]在职!$A:$I,9,0)</f>
        <v>二星销售顾问</v>
      </c>
      <c r="I471" s="46" t="s">
        <v>915</v>
      </c>
      <c r="J471" s="83">
        <v>46084</v>
      </c>
      <c r="K471" s="12" t="s">
        <v>30</v>
      </c>
    </row>
    <row r="472" ht="16.5" hidden="1" spans="1:11">
      <c r="A472" s="12">
        <v>510</v>
      </c>
      <c r="B472" s="12" t="s">
        <v>45</v>
      </c>
      <c r="C472" s="12" t="str">
        <f>VLOOKUP(F472,[4]在职!$A:$E,5,0)</f>
        <v>山西</v>
      </c>
      <c r="D472" s="12" t="str">
        <f>VLOOKUP(F472,[4]在职!$A:$G,7,0)</f>
        <v>山西销售部</v>
      </c>
      <c r="E472" s="12" t="str">
        <f>VLOOKUP(F472,[4]在职!$A:$M,13,0)</f>
        <v>彭停</v>
      </c>
      <c r="F472" s="46" t="s">
        <v>1414</v>
      </c>
      <c r="G472" s="12" t="str">
        <f>VLOOKUP(F472,[4]在职!$A:$B,2,0)</f>
        <v>01046</v>
      </c>
      <c r="H472" s="12" t="str">
        <f>VLOOKUP(F472,[4]在职!$A:$I,9,0)</f>
        <v>三星销售顾问</v>
      </c>
      <c r="I472" s="46" t="s">
        <v>915</v>
      </c>
      <c r="J472" s="83">
        <v>46084</v>
      </c>
      <c r="K472" s="12" t="s">
        <v>30</v>
      </c>
    </row>
    <row r="473" ht="16.5" hidden="1" spans="1:11">
      <c r="A473" s="12">
        <v>511</v>
      </c>
      <c r="B473" s="12" t="s">
        <v>45</v>
      </c>
      <c r="C473" s="12" t="str">
        <f>VLOOKUP(F473,[4]在职!$A:$E,5,0)</f>
        <v>山东</v>
      </c>
      <c r="D473" s="12" t="str">
        <f>VLOOKUP(F473,[4]在职!$A:$G,7,0)</f>
        <v>山东销售部</v>
      </c>
      <c r="E473" s="12" t="str">
        <f>VLOOKUP(F473,[4]在职!$A:$M,13,0)</f>
        <v>苏晓青</v>
      </c>
      <c r="F473" s="46" t="s">
        <v>1416</v>
      </c>
      <c r="G473" s="12" t="str">
        <f>VLOOKUP(F473,[4]在职!$A:$B,2,0)</f>
        <v>00993</v>
      </c>
      <c r="H473" s="12" t="str">
        <f>VLOOKUP(F473,[4]在职!$A:$I,9,0)</f>
        <v>B岗经理</v>
      </c>
      <c r="I473" s="46" t="s">
        <v>915</v>
      </c>
      <c r="J473" s="83">
        <v>46084</v>
      </c>
      <c r="K473" s="12" t="s">
        <v>30</v>
      </c>
    </row>
    <row r="474" ht="16.5" hidden="1" spans="1:11">
      <c r="A474" s="12">
        <v>512</v>
      </c>
      <c r="B474" s="12" t="s">
        <v>45</v>
      </c>
      <c r="C474" s="12" t="str">
        <f>VLOOKUP(F474,[4]在职!$A:$E,5,0)</f>
        <v>西南总部</v>
      </c>
      <c r="D474" s="12" t="str">
        <f>VLOOKUP(F474,[4]在职!$A:$G,7,0)</f>
        <v>营业二部</v>
      </c>
      <c r="E474" s="12" t="str">
        <f>VLOOKUP(F474,[4]在职!$A:$M,13,0)</f>
        <v>柏刚</v>
      </c>
      <c r="F474" s="46" t="s">
        <v>1418</v>
      </c>
      <c r="G474" s="12" t="str">
        <f>VLOOKUP(F474,[4]在职!$A:$B,2,0)</f>
        <v>00693</v>
      </c>
      <c r="H474" s="12" t="str">
        <f>VLOOKUP(F474,[4]在职!$A:$I,9,0)</f>
        <v>三星销售顾问</v>
      </c>
      <c r="I474" s="46" t="s">
        <v>915</v>
      </c>
      <c r="J474" s="83">
        <v>46084</v>
      </c>
      <c r="K474" s="12" t="s">
        <v>30</v>
      </c>
    </row>
    <row r="475" ht="16.5" hidden="1" spans="1:11">
      <c r="A475" s="12">
        <v>513</v>
      </c>
      <c r="B475" s="12" t="s">
        <v>45</v>
      </c>
      <c r="C475" s="12" t="str">
        <f>VLOOKUP(F475,[4]在职!$A:$E,5,0)</f>
        <v>河北</v>
      </c>
      <c r="D475" s="12" t="str">
        <f>VLOOKUP(F475,[4]在职!$A:$G,7,0)</f>
        <v>河北销售部</v>
      </c>
      <c r="E475" s="12" t="str">
        <f>VLOOKUP(F475,[4]在职!$A:$M,13,0)</f>
        <v>李港一</v>
      </c>
      <c r="F475" s="46" t="s">
        <v>1420</v>
      </c>
      <c r="G475" s="12" t="str">
        <f>VLOOKUP(F475,[4]在职!$A:$B,2,0)</f>
        <v>01476</v>
      </c>
      <c r="H475" s="12" t="str">
        <f>VLOOKUP(F475,[4]在职!$A:$I,9,0)</f>
        <v>二星销售顾问</v>
      </c>
      <c r="I475" s="46" t="s">
        <v>915</v>
      </c>
      <c r="J475" s="83">
        <v>46084</v>
      </c>
      <c r="K475" s="12" t="s">
        <v>30</v>
      </c>
    </row>
    <row r="476" ht="16.5" hidden="1" spans="1:11">
      <c r="A476" s="12">
        <v>514</v>
      </c>
      <c r="B476" s="12" t="s">
        <v>45</v>
      </c>
      <c r="C476" s="12" t="str">
        <f>VLOOKUP(F476,[4]在职!$A:$E,5,0)</f>
        <v>湖南</v>
      </c>
      <c r="D476" s="12" t="str">
        <f>VLOOKUP(F476,[4]在职!$A:$G,7,0)</f>
        <v>湖南销售部</v>
      </c>
      <c r="E476" s="12" t="str">
        <f>VLOOKUP(F476,[4]在职!$A:$M,13,0)</f>
        <v>陈炳佑</v>
      </c>
      <c r="F476" s="46" t="s">
        <v>1422</v>
      </c>
      <c r="G476" s="12" t="str">
        <f>VLOOKUP(F476,[4]在职!$A:$B,2,0)</f>
        <v>01411</v>
      </c>
      <c r="H476" s="12" t="str">
        <f>VLOOKUP(F476,[4]在职!$A:$I,9,0)</f>
        <v>二星销售顾问</v>
      </c>
      <c r="I476" s="46" t="s">
        <v>915</v>
      </c>
      <c r="J476" s="83">
        <v>46084</v>
      </c>
      <c r="K476" s="12" t="s">
        <v>30</v>
      </c>
    </row>
    <row r="477" ht="16.5" hidden="1" spans="1:11">
      <c r="A477" s="12">
        <v>515</v>
      </c>
      <c r="B477" s="12" t="s">
        <v>45</v>
      </c>
      <c r="C477" s="12" t="str">
        <f>VLOOKUP(F477,[4]在职!$A:$E,5,0)</f>
        <v>西南总部</v>
      </c>
      <c r="D477" s="12" t="str">
        <f>VLOOKUP(F477,[4]在职!$A:$G,7,0)</f>
        <v>营业六部</v>
      </c>
      <c r="E477" s="12" t="str">
        <f>VLOOKUP(F477,[4]在职!$A:$M,13,0)</f>
        <v>刘亮</v>
      </c>
      <c r="F477" s="46" t="s">
        <v>1424</v>
      </c>
      <c r="G477" s="12" t="str">
        <f>VLOOKUP(F477,[4]在职!$A:$B,2,0)</f>
        <v>01194</v>
      </c>
      <c r="H477" s="12" t="str">
        <f>VLOOKUP(F477,[4]在职!$A:$I,9,0)</f>
        <v>B岗经理</v>
      </c>
      <c r="I477" s="46" t="s">
        <v>915</v>
      </c>
      <c r="J477" s="83">
        <v>46084</v>
      </c>
      <c r="K477" s="12" t="s">
        <v>30</v>
      </c>
    </row>
    <row r="478" ht="16.5" hidden="1" spans="1:11">
      <c r="A478" s="12">
        <v>516</v>
      </c>
      <c r="B478" s="12" t="s">
        <v>45</v>
      </c>
      <c r="C478" s="12" t="str">
        <f>VLOOKUP(F478,[4]在职!$A:$E,5,0)</f>
        <v>西南总部</v>
      </c>
      <c r="D478" s="12" t="str">
        <f>VLOOKUP(F478,[4]在职!$A:$G,7,0)</f>
        <v>营业五部</v>
      </c>
      <c r="E478" s="12" t="str">
        <f>VLOOKUP(F478,[4]在职!$A:$M,13,0)</f>
        <v>李敏</v>
      </c>
      <c r="F478" s="46" t="s">
        <v>1426</v>
      </c>
      <c r="G478" s="12" t="str">
        <f>VLOOKUP(F478,[4]在职!$A:$B,2,0)</f>
        <v>01532</v>
      </c>
      <c r="H478" s="12" t="str">
        <f>VLOOKUP(F478,[4]在职!$A:$I,9,0)</f>
        <v>B岗经理</v>
      </c>
      <c r="I478" s="46" t="s">
        <v>915</v>
      </c>
      <c r="J478" s="83">
        <v>46084</v>
      </c>
      <c r="K478" s="12" t="s">
        <v>30</v>
      </c>
    </row>
    <row r="479" ht="16.5" hidden="1" spans="1:11">
      <c r="A479" s="12">
        <v>517</v>
      </c>
      <c r="B479" s="12" t="s">
        <v>45</v>
      </c>
      <c r="C479" s="12" t="str">
        <f>VLOOKUP(F479,[4]在职!$A:$E,5,0)</f>
        <v>湖南</v>
      </c>
      <c r="D479" s="12" t="str">
        <f>VLOOKUP(F479,[4]在职!$A:$G,7,0)</f>
        <v>湖南销售部</v>
      </c>
      <c r="E479" s="12" t="str">
        <f>VLOOKUP(F479,[4]在职!$A:$M,13,0)</f>
        <v>黄勇刚</v>
      </c>
      <c r="F479" s="46" t="s">
        <v>1428</v>
      </c>
      <c r="G479" s="12" t="str">
        <f>VLOOKUP(F479,[4]在职!$A:$B,2,0)</f>
        <v>00840</v>
      </c>
      <c r="H479" s="12" t="str">
        <f>VLOOKUP(F479,[4]在职!$A:$I,9,0)</f>
        <v>B岗经理</v>
      </c>
      <c r="I479" s="46" t="s">
        <v>915</v>
      </c>
      <c r="J479" s="83">
        <v>46084</v>
      </c>
      <c r="K479" s="12" t="s">
        <v>30</v>
      </c>
    </row>
    <row r="480" ht="16.5" hidden="1" spans="1:11">
      <c r="A480" s="12">
        <v>518</v>
      </c>
      <c r="B480" s="12" t="s">
        <v>45</v>
      </c>
      <c r="C480" s="12" t="str">
        <f>VLOOKUP(F480,[4]在职!$A:$E,5,0)</f>
        <v>西南总部</v>
      </c>
      <c r="D480" s="12" t="str">
        <f>VLOOKUP(F480,[4]在职!$A:$G,7,0)</f>
        <v>营业七部</v>
      </c>
      <c r="E480" s="12" t="str">
        <f>VLOOKUP(F480,[4]在职!$A:$M,13,0)</f>
        <v>蒋杨</v>
      </c>
      <c r="F480" s="7" t="s">
        <v>1408</v>
      </c>
      <c r="G480" s="12" t="str">
        <f>VLOOKUP(F480,[4]在职!$A:$B,2,0)</f>
        <v>01374</v>
      </c>
      <c r="H480" s="12" t="str">
        <f>VLOOKUP(F480,[4]在职!$A:$I,9,0)</f>
        <v>B岗经理</v>
      </c>
      <c r="I480" s="7" t="s">
        <v>915</v>
      </c>
      <c r="J480" s="83">
        <v>46097</v>
      </c>
      <c r="K480" s="12" t="s">
        <v>30</v>
      </c>
    </row>
    <row r="481" ht="16.5" hidden="1" spans="1:11">
      <c r="A481" s="12">
        <v>519</v>
      </c>
      <c r="B481" s="12" t="s">
        <v>45</v>
      </c>
      <c r="C481" s="12" t="str">
        <f>VLOOKUP(F481,[4]在职!$A:$E,5,0)</f>
        <v>西南总部</v>
      </c>
      <c r="D481" s="12" t="str">
        <f>VLOOKUP(F481,[4]在职!$A:$G,7,0)</f>
        <v>营业二部</v>
      </c>
      <c r="E481" s="12" t="str">
        <f>VLOOKUP(F481,[4]在职!$A:$M,13,0)</f>
        <v>魏飞翔</v>
      </c>
      <c r="F481" s="7" t="s">
        <v>1410</v>
      </c>
      <c r="G481" s="12" t="str">
        <f>VLOOKUP(F481,[4]在职!$A:$B,2,0)</f>
        <v>00856</v>
      </c>
      <c r="H481" s="12" t="str">
        <f>VLOOKUP(F481,[4]在职!$A:$I,9,0)</f>
        <v>B岗经理</v>
      </c>
      <c r="I481" s="7" t="s">
        <v>915</v>
      </c>
      <c r="J481" s="83">
        <v>46097</v>
      </c>
      <c r="K481" s="12" t="s">
        <v>30</v>
      </c>
    </row>
    <row r="482" ht="16.5" hidden="1" spans="1:11">
      <c r="A482" s="12">
        <v>520</v>
      </c>
      <c r="B482" s="12" t="s">
        <v>45</v>
      </c>
      <c r="C482" s="12" t="str">
        <f>VLOOKUP(F482,[4]在职!$A:$E,5,0)</f>
        <v>西南总部</v>
      </c>
      <c r="D482" s="12" t="str">
        <f>VLOOKUP(F482,[4]在职!$A:$G,7,0)</f>
        <v>营业六部</v>
      </c>
      <c r="E482" s="12" t="str">
        <f>VLOOKUP(F482,[4]在职!$A:$M,13,0)</f>
        <v>刘亮</v>
      </c>
      <c r="F482" s="7" t="s">
        <v>1424</v>
      </c>
      <c r="G482" s="12" t="str">
        <f>VLOOKUP(F482,[4]在职!$A:$B,2,0)</f>
        <v>01194</v>
      </c>
      <c r="H482" s="12" t="str">
        <f>VLOOKUP(F482,[4]在职!$A:$I,9,0)</f>
        <v>B岗经理</v>
      </c>
      <c r="I482" s="7" t="s">
        <v>915</v>
      </c>
      <c r="J482" s="83">
        <v>46097</v>
      </c>
      <c r="K482" s="12" t="s">
        <v>30</v>
      </c>
    </row>
    <row r="483" ht="16.5" hidden="1" spans="1:11">
      <c r="A483" s="12">
        <v>521</v>
      </c>
      <c r="B483" s="12" t="s">
        <v>45</v>
      </c>
      <c r="C483" s="12" t="str">
        <f>VLOOKUP(F483,[4]在职!$A:$E,5,0)</f>
        <v>西南总部</v>
      </c>
      <c r="D483" s="12" t="str">
        <f>VLOOKUP(F483,[4]在职!$A:$G,7,0)</f>
        <v>营业五部</v>
      </c>
      <c r="E483" s="12" t="str">
        <f>VLOOKUP(F483,[4]在职!$A:$M,13,0)</f>
        <v>杨科</v>
      </c>
      <c r="F483" s="7" t="s">
        <v>1396</v>
      </c>
      <c r="G483" s="12" t="str">
        <f>VLOOKUP(F483,[4]在职!$A:$B,2,0)</f>
        <v>01351</v>
      </c>
      <c r="H483" s="12" t="str">
        <f>VLOOKUP(F483,[4]在职!$A:$I,9,0)</f>
        <v>B岗经理</v>
      </c>
      <c r="I483" s="7" t="s">
        <v>915</v>
      </c>
      <c r="J483" s="83">
        <v>46097</v>
      </c>
      <c r="K483" s="12" t="s">
        <v>30</v>
      </c>
    </row>
    <row r="484" ht="16.5" hidden="1" spans="1:11">
      <c r="A484" s="12">
        <v>522</v>
      </c>
      <c r="B484" s="12" t="s">
        <v>45</v>
      </c>
      <c r="C484" s="12" t="str">
        <f>VLOOKUP(F484,[4]在职!$A:$E,5,0)</f>
        <v>陕西</v>
      </c>
      <c r="D484" s="12" t="str">
        <f>VLOOKUP(F484,[4]在职!$A:$G,7,0)</f>
        <v>陕西2部</v>
      </c>
      <c r="E484" s="12" t="str">
        <f>VLOOKUP(F484,[4]在职!$A:$M,13,0)</f>
        <v>李耀</v>
      </c>
      <c r="F484" s="7" t="s">
        <v>1406</v>
      </c>
      <c r="G484" s="12" t="str">
        <f>VLOOKUP(F484,[4]在职!$A:$B,2,0)</f>
        <v>00945</v>
      </c>
      <c r="H484" s="12" t="str">
        <f>VLOOKUP(F484,[4]在职!$A:$I,9,0)</f>
        <v>三星销售顾问</v>
      </c>
      <c r="I484" s="7" t="s">
        <v>915</v>
      </c>
      <c r="J484" s="83">
        <v>46097</v>
      </c>
      <c r="K484" s="12" t="s">
        <v>30</v>
      </c>
    </row>
    <row r="485" ht="16.5" hidden="1" spans="1:11">
      <c r="A485" s="12">
        <v>523</v>
      </c>
      <c r="B485" s="12" t="s">
        <v>45</v>
      </c>
      <c r="C485" s="12" t="str">
        <f>VLOOKUP(F485,[4]在职!$A:$E,5,0)</f>
        <v>山东</v>
      </c>
      <c r="D485" s="12" t="str">
        <f>VLOOKUP(F485,[4]在职!$A:$G,7,0)</f>
        <v>山东销售部</v>
      </c>
      <c r="E485" s="12" t="str">
        <f>VLOOKUP(F485,[4]在职!$A:$M,13,0)</f>
        <v>苏晓青</v>
      </c>
      <c r="F485" s="7" t="s">
        <v>1416</v>
      </c>
      <c r="G485" s="12" t="str">
        <f>VLOOKUP(F485,[4]在职!$A:$B,2,0)</f>
        <v>00993</v>
      </c>
      <c r="H485" s="12" t="str">
        <f>VLOOKUP(F485,[4]在职!$A:$I,9,0)</f>
        <v>B岗经理</v>
      </c>
      <c r="I485" s="7" t="s">
        <v>915</v>
      </c>
      <c r="J485" s="83">
        <v>46097</v>
      </c>
      <c r="K485" s="12" t="s">
        <v>30</v>
      </c>
    </row>
    <row r="486" ht="16.5" hidden="1" spans="1:11">
      <c r="A486" s="12">
        <v>524</v>
      </c>
      <c r="B486" s="12" t="s">
        <v>45</v>
      </c>
      <c r="C486" s="12" t="str">
        <f>VLOOKUP(F486,[4]在职!$A:$E,5,0)</f>
        <v>西南总部</v>
      </c>
      <c r="D486" s="12" t="str">
        <f>VLOOKUP(F486,[4]在职!$A:$G,7,0)</f>
        <v>营业五部</v>
      </c>
      <c r="E486" s="12" t="str">
        <f>VLOOKUP(F486,[4]在职!$A:$M,13,0)</f>
        <v>李敏</v>
      </c>
      <c r="F486" s="7" t="s">
        <v>1426</v>
      </c>
      <c r="G486" s="12" t="str">
        <f>VLOOKUP(F486,[4]在职!$A:$B,2,0)</f>
        <v>01532</v>
      </c>
      <c r="H486" s="12" t="str">
        <f>VLOOKUP(F486,[4]在职!$A:$I,9,0)</f>
        <v>B岗经理</v>
      </c>
      <c r="I486" s="7" t="s">
        <v>915</v>
      </c>
      <c r="J486" s="83">
        <v>46097</v>
      </c>
      <c r="K486" s="12" t="s">
        <v>30</v>
      </c>
    </row>
    <row r="487" ht="16.5" hidden="1" spans="1:11">
      <c r="A487" s="12">
        <v>525</v>
      </c>
      <c r="B487" s="12" t="s">
        <v>45</v>
      </c>
      <c r="C487" s="12" t="str">
        <f>VLOOKUP(F487,[4]在职!$A:$E,5,0)</f>
        <v>西南总部</v>
      </c>
      <c r="D487" s="12" t="str">
        <f>VLOOKUP(F487,[4]在职!$A:$G,7,0)</f>
        <v>营业四部</v>
      </c>
      <c r="E487" s="12" t="str">
        <f>VLOOKUP(F487,[4]在职!$A:$M,13,0)</f>
        <v>刘亮</v>
      </c>
      <c r="F487" s="7" t="s">
        <v>1392</v>
      </c>
      <c r="G487" s="12" t="str">
        <f>VLOOKUP(F487,[4]在职!$A:$B,2,0)</f>
        <v>01105</v>
      </c>
      <c r="H487" s="12" t="str">
        <f>VLOOKUP(F487,[4]在职!$A:$I,9,0)</f>
        <v>B岗经理</v>
      </c>
      <c r="I487" s="7" t="s">
        <v>915</v>
      </c>
      <c r="J487" s="83">
        <v>46097</v>
      </c>
      <c r="K487" s="12" t="s">
        <v>30</v>
      </c>
    </row>
    <row r="488" ht="16.5" hidden="1" spans="1:11">
      <c r="A488" s="12">
        <v>526</v>
      </c>
      <c r="B488" s="12" t="s">
        <v>45</v>
      </c>
      <c r="C488" s="12" t="str">
        <f>VLOOKUP(F488,[4]在职!$A:$E,5,0)</f>
        <v>西南总部</v>
      </c>
      <c r="D488" s="12" t="str">
        <f>VLOOKUP(F488,[4]在职!$A:$G,7,0)</f>
        <v>营业二部</v>
      </c>
      <c r="E488" s="12" t="str">
        <f>VLOOKUP(F488,[4]在职!$A:$M,13,0)</f>
        <v>柏刚</v>
      </c>
      <c r="F488" s="7" t="s">
        <v>1418</v>
      </c>
      <c r="G488" s="12" t="str">
        <f>VLOOKUP(F488,[4]在职!$A:$B,2,0)</f>
        <v>00693</v>
      </c>
      <c r="H488" s="12" t="str">
        <f>VLOOKUP(F488,[4]在职!$A:$I,9,0)</f>
        <v>三星销售顾问</v>
      </c>
      <c r="I488" s="7" t="s">
        <v>915</v>
      </c>
      <c r="J488" s="83">
        <v>46097</v>
      </c>
      <c r="K488" s="12" t="s">
        <v>30</v>
      </c>
    </row>
    <row r="489" ht="16.5" hidden="1" spans="1:11">
      <c r="A489" s="12">
        <v>527</v>
      </c>
      <c r="B489" s="12" t="s">
        <v>45</v>
      </c>
      <c r="C489" s="12" t="str">
        <f>VLOOKUP(F489,[4]在职!$A:$E,5,0)</f>
        <v>西南总部</v>
      </c>
      <c r="D489" s="12" t="str">
        <f>VLOOKUP(F489,[4]在职!$A:$G,7,0)</f>
        <v>营业二部</v>
      </c>
      <c r="E489" s="12" t="str">
        <f>VLOOKUP(F489,[4]在职!$A:$M,13,0)</f>
        <v>杨芊</v>
      </c>
      <c r="F489" s="7" t="s">
        <v>1398</v>
      </c>
      <c r="G489" s="12" t="str">
        <f>VLOOKUP(F489,[4]在职!$A:$B,2,0)</f>
        <v>00950</v>
      </c>
      <c r="H489" s="12" t="str">
        <f>VLOOKUP(F489,[4]在职!$A:$I,9,0)</f>
        <v>三星销售顾问</v>
      </c>
      <c r="I489" s="7" t="s">
        <v>915</v>
      </c>
      <c r="J489" s="83">
        <v>46097</v>
      </c>
      <c r="K489" s="12" t="s">
        <v>30</v>
      </c>
    </row>
    <row r="490" ht="16.5" hidden="1" spans="1:11">
      <c r="A490" s="12">
        <v>528</v>
      </c>
      <c r="B490" s="12" t="s">
        <v>45</v>
      </c>
      <c r="C490" s="12" t="str">
        <f>VLOOKUP(F490,[4]在职!$A:$E,5,0)</f>
        <v>西南总部</v>
      </c>
      <c r="D490" s="12" t="str">
        <f>VLOOKUP(F490,[4]在职!$A:$G,7,0)</f>
        <v>营业七部</v>
      </c>
      <c r="E490" s="12" t="str">
        <f>VLOOKUP(F490,[4]在职!$A:$M,13,0)</f>
        <v>谢沁霜</v>
      </c>
      <c r="F490" s="7" t="s">
        <v>1404</v>
      </c>
      <c r="G490" s="12" t="str">
        <f>VLOOKUP(F490,[4]在职!$A:$B,2,0)</f>
        <v>00893</v>
      </c>
      <c r="H490" s="12" t="str">
        <f>VLOOKUP(F490,[4]在职!$A:$I,9,0)</f>
        <v>三星销售顾问</v>
      </c>
      <c r="I490" s="7" t="s">
        <v>915</v>
      </c>
      <c r="J490" s="83">
        <v>46097</v>
      </c>
      <c r="K490" s="12" t="s">
        <v>30</v>
      </c>
    </row>
    <row r="491" ht="16.5" hidden="1" spans="1:11">
      <c r="A491" s="12">
        <v>529</v>
      </c>
      <c r="B491" s="12" t="s">
        <v>45</v>
      </c>
      <c r="C491" s="12" t="str">
        <f>VLOOKUP(F491,[4]在职!$A:$E,5,0)</f>
        <v>陕西</v>
      </c>
      <c r="D491" s="12" t="str">
        <f>VLOOKUP(F491,[4]在职!$A:$G,7,0)</f>
        <v>陕西1部</v>
      </c>
      <c r="E491" s="12" t="str">
        <f>VLOOKUP(F491,[4]在职!$A:$M,13,0)</f>
        <v>杨永梅</v>
      </c>
      <c r="F491" s="7" t="s">
        <v>1394</v>
      </c>
      <c r="G491" s="12" t="str">
        <f>VLOOKUP(F491,[4]在职!$A:$B,2,0)</f>
        <v>01158</v>
      </c>
      <c r="H491" s="12" t="str">
        <f>VLOOKUP(F491,[4]在职!$A:$I,9,0)</f>
        <v>三星销售顾问</v>
      </c>
      <c r="I491" s="7" t="s">
        <v>915</v>
      </c>
      <c r="J491" s="83">
        <v>46097</v>
      </c>
      <c r="K491" s="12" t="s">
        <v>30</v>
      </c>
    </row>
    <row r="492" ht="16.5" hidden="1" spans="1:11">
      <c r="A492" s="12">
        <v>530</v>
      </c>
      <c r="B492" s="12" t="s">
        <v>45</v>
      </c>
      <c r="C492" s="12" t="str">
        <f>VLOOKUP(F492,[4]在职!$A:$E,5,0)</f>
        <v>山西</v>
      </c>
      <c r="D492" s="12" t="str">
        <f>VLOOKUP(F492,[4]在职!$A:$G,7,0)</f>
        <v>山西销售部</v>
      </c>
      <c r="E492" s="12" t="str">
        <f>VLOOKUP(F492,[4]在职!$A:$M,13,0)</f>
        <v>彭停</v>
      </c>
      <c r="F492" s="7" t="s">
        <v>1414</v>
      </c>
      <c r="G492" s="12" t="str">
        <f>VLOOKUP(F492,[4]在职!$A:$B,2,0)</f>
        <v>01046</v>
      </c>
      <c r="H492" s="12" t="str">
        <f>VLOOKUP(F492,[4]在职!$A:$I,9,0)</f>
        <v>三星销售顾问</v>
      </c>
      <c r="I492" s="7" t="s">
        <v>915</v>
      </c>
      <c r="J492" s="83">
        <v>46097</v>
      </c>
      <c r="K492" s="12" t="s">
        <v>30</v>
      </c>
    </row>
    <row r="493" ht="16.5" hidden="1" spans="1:11">
      <c r="A493" s="12">
        <v>531</v>
      </c>
      <c r="B493" s="12" t="s">
        <v>45</v>
      </c>
      <c r="C493" s="12" t="str">
        <f>VLOOKUP(F493,[4]在职!$A:$E,5,0)</f>
        <v>湖南</v>
      </c>
      <c r="D493" s="12" t="str">
        <f>VLOOKUP(F493,[4]在职!$A:$G,7,0)</f>
        <v>湖南销售部</v>
      </c>
      <c r="E493" s="12" t="str">
        <f>VLOOKUP(F493,[4]在职!$A:$M,13,0)</f>
        <v>黄勇刚</v>
      </c>
      <c r="F493" s="7" t="s">
        <v>1428</v>
      </c>
      <c r="G493" s="12" t="str">
        <f>VLOOKUP(F493,[4]在职!$A:$B,2,0)</f>
        <v>00840</v>
      </c>
      <c r="H493" s="12" t="str">
        <f>VLOOKUP(F493,[4]在职!$A:$I,9,0)</f>
        <v>B岗经理</v>
      </c>
      <c r="I493" s="7" t="s">
        <v>915</v>
      </c>
      <c r="J493" s="83">
        <v>46097</v>
      </c>
      <c r="K493" s="12" t="s">
        <v>30</v>
      </c>
    </row>
    <row r="494" ht="16.5" hidden="1" spans="1:11">
      <c r="A494" s="12">
        <v>532</v>
      </c>
      <c r="B494" s="12" t="s">
        <v>45</v>
      </c>
      <c r="C494" s="12" t="str">
        <f>VLOOKUP(F494,[4]在职!$A:$E,5,0)</f>
        <v>湖北</v>
      </c>
      <c r="D494" s="12" t="str">
        <f>VLOOKUP(F494,[4]在职!$A:$G,7,0)</f>
        <v>湖北2部</v>
      </c>
      <c r="E494" s="12" t="str">
        <f>VLOOKUP(F494,[4]在职!$A:$M,13,0)</f>
        <v>陈晓辉</v>
      </c>
      <c r="F494" s="7" t="s">
        <v>1390</v>
      </c>
      <c r="G494" s="12" t="str">
        <f>VLOOKUP(F494,[4]在职!$A:$B,2,0)</f>
        <v>01320</v>
      </c>
      <c r="H494" s="12" t="str">
        <f>VLOOKUP(F494,[4]在职!$A:$I,9,0)</f>
        <v>三星销售顾问</v>
      </c>
      <c r="I494" s="7" t="s">
        <v>915</v>
      </c>
      <c r="J494" s="83">
        <v>46097</v>
      </c>
      <c r="K494" s="12" t="s">
        <v>30</v>
      </c>
    </row>
    <row r="495" ht="16.5" hidden="1" spans="1:11">
      <c r="A495" s="12">
        <v>533</v>
      </c>
      <c r="B495" s="12" t="s">
        <v>45</v>
      </c>
      <c r="C495" s="12" t="str">
        <f>VLOOKUP(F495,[4]在职!$A:$E,5,0)</f>
        <v>河南</v>
      </c>
      <c r="D495" s="12" t="str">
        <f>VLOOKUP(F495,[4]在职!$A:$G,7,0)</f>
        <v>河南销售部</v>
      </c>
      <c r="E495" s="12" t="str">
        <f>VLOOKUP(F495,[4]在职!$A:$M,13,0)</f>
        <v>余金梅</v>
      </c>
      <c r="F495" s="7" t="s">
        <v>1402</v>
      </c>
      <c r="G495" s="12" t="str">
        <f>VLOOKUP(F495,[4]在职!$A:$B,2,0)</f>
        <v>01421</v>
      </c>
      <c r="H495" s="12" t="str">
        <f>VLOOKUP(F495,[4]在职!$A:$I,9,0)</f>
        <v>二星销售顾问</v>
      </c>
      <c r="I495" s="7" t="s">
        <v>915</v>
      </c>
      <c r="J495" s="83">
        <v>46097</v>
      </c>
      <c r="K495" s="12" t="s">
        <v>30</v>
      </c>
    </row>
    <row r="496" ht="16.5" hidden="1" spans="1:11">
      <c r="A496" s="12">
        <v>534</v>
      </c>
      <c r="B496" s="12" t="s">
        <v>45</v>
      </c>
      <c r="C496" s="12" t="str">
        <f>VLOOKUP(F496,[4]在职!$A:$E,5,0)</f>
        <v>河北</v>
      </c>
      <c r="D496" s="12" t="str">
        <f>VLOOKUP(F496,[4]在职!$A:$G,7,0)</f>
        <v>河北销售部</v>
      </c>
      <c r="E496" s="12" t="str">
        <f>VLOOKUP(F496,[4]在职!$A:$M,13,0)</f>
        <v>李港一</v>
      </c>
      <c r="F496" s="7" t="s">
        <v>1420</v>
      </c>
      <c r="G496" s="12" t="str">
        <f>VLOOKUP(F496,[4]在职!$A:$B,2,0)</f>
        <v>01476</v>
      </c>
      <c r="H496" s="12" t="str">
        <f>VLOOKUP(F496,[4]在职!$A:$I,9,0)</f>
        <v>二星销售顾问</v>
      </c>
      <c r="I496" s="7" t="s">
        <v>915</v>
      </c>
      <c r="J496" s="83">
        <v>46097</v>
      </c>
      <c r="K496" s="12" t="s">
        <v>30</v>
      </c>
    </row>
    <row r="497" ht="16.5" hidden="1" spans="1:11">
      <c r="A497" s="12">
        <v>535</v>
      </c>
      <c r="B497" s="12" t="s">
        <v>45</v>
      </c>
      <c r="C497" s="12" t="str">
        <f>VLOOKUP(F497,[4]在职!$A:$E,5,0)</f>
        <v>西南总部</v>
      </c>
      <c r="D497" s="12" t="str">
        <f>VLOOKUP(F497,[4]在职!$A:$G,7,0)</f>
        <v>营业七部</v>
      </c>
      <c r="E497" s="12" t="str">
        <f>VLOOKUP(F497,[4]在职!$A:$M,13,0)</f>
        <v>蒋杨</v>
      </c>
      <c r="F497" s="7" t="s">
        <v>1408</v>
      </c>
      <c r="G497" s="12" t="str">
        <f>VLOOKUP(F497,[4]在职!$A:$B,2,0)</f>
        <v>01374</v>
      </c>
      <c r="H497" s="12" t="str">
        <f>VLOOKUP(F497,[4]在职!$A:$I,9,0)</f>
        <v>B岗经理</v>
      </c>
      <c r="I497" s="7" t="s">
        <v>915</v>
      </c>
      <c r="J497" s="83">
        <v>46098</v>
      </c>
      <c r="K497" s="12" t="s">
        <v>30</v>
      </c>
    </row>
    <row r="498" ht="16.5" hidden="1" spans="1:11">
      <c r="A498" s="12">
        <v>536</v>
      </c>
      <c r="B498" s="12" t="s">
        <v>45</v>
      </c>
      <c r="C498" s="12" t="str">
        <f>VLOOKUP(F498,[4]在职!$A:$E,5,0)</f>
        <v>西南总部</v>
      </c>
      <c r="D498" s="12" t="str">
        <f>VLOOKUP(F498,[4]在职!$A:$G,7,0)</f>
        <v>营业二部</v>
      </c>
      <c r="E498" s="12" t="str">
        <f>VLOOKUP(F498,[4]在职!$A:$M,13,0)</f>
        <v>魏飞翔</v>
      </c>
      <c r="F498" s="7" t="s">
        <v>1410</v>
      </c>
      <c r="G498" s="12" t="str">
        <f>VLOOKUP(F498,[4]在职!$A:$B,2,0)</f>
        <v>00856</v>
      </c>
      <c r="H498" s="12" t="str">
        <f>VLOOKUP(F498,[4]在职!$A:$I,9,0)</f>
        <v>B岗经理</v>
      </c>
      <c r="I498" s="7" t="s">
        <v>915</v>
      </c>
      <c r="J498" s="83">
        <v>46098</v>
      </c>
      <c r="K498" s="12" t="s">
        <v>30</v>
      </c>
    </row>
    <row r="499" ht="16.5" hidden="1" spans="1:11">
      <c r="A499" s="12">
        <v>537</v>
      </c>
      <c r="B499" s="12" t="s">
        <v>45</v>
      </c>
      <c r="C499" s="12" t="str">
        <f>VLOOKUP(F499,[4]在职!$A:$E,5,0)</f>
        <v>西南总部</v>
      </c>
      <c r="D499" s="12" t="str">
        <f>VLOOKUP(F499,[4]在职!$A:$G,7,0)</f>
        <v>营业六部</v>
      </c>
      <c r="E499" s="12" t="str">
        <f>VLOOKUP(F499,[4]在职!$A:$M,13,0)</f>
        <v>刘亮</v>
      </c>
      <c r="F499" s="7" t="s">
        <v>1424</v>
      </c>
      <c r="G499" s="12" t="str">
        <f>VLOOKUP(F499,[4]在职!$A:$B,2,0)</f>
        <v>01194</v>
      </c>
      <c r="H499" s="12" t="str">
        <f>VLOOKUP(F499,[4]在职!$A:$I,9,0)</f>
        <v>B岗经理</v>
      </c>
      <c r="I499" s="7" t="s">
        <v>915</v>
      </c>
      <c r="J499" s="83">
        <v>46098</v>
      </c>
      <c r="K499" s="12" t="s">
        <v>30</v>
      </c>
    </row>
    <row r="500" ht="16.5" hidden="1" spans="1:11">
      <c r="A500" s="12">
        <v>538</v>
      </c>
      <c r="B500" s="12" t="s">
        <v>45</v>
      </c>
      <c r="C500" s="12" t="str">
        <f>VLOOKUP(F500,[4]在职!$A:$E,5,0)</f>
        <v>西南总部</v>
      </c>
      <c r="D500" s="12" t="str">
        <f>VLOOKUP(F500,[4]在职!$A:$G,7,0)</f>
        <v>营业五部</v>
      </c>
      <c r="E500" s="12" t="str">
        <f>VLOOKUP(F500,[4]在职!$A:$M,13,0)</f>
        <v>杨科</v>
      </c>
      <c r="F500" s="7" t="s">
        <v>1396</v>
      </c>
      <c r="G500" s="12" t="str">
        <f>VLOOKUP(F500,[4]在职!$A:$B,2,0)</f>
        <v>01351</v>
      </c>
      <c r="H500" s="12" t="str">
        <f>VLOOKUP(F500,[4]在职!$A:$I,9,0)</f>
        <v>B岗经理</v>
      </c>
      <c r="I500" s="7" t="s">
        <v>915</v>
      </c>
      <c r="J500" s="83">
        <v>46098</v>
      </c>
      <c r="K500" s="12" t="s">
        <v>30</v>
      </c>
    </row>
    <row r="501" ht="16.5" hidden="1" spans="1:11">
      <c r="A501" s="12">
        <v>539</v>
      </c>
      <c r="B501" s="12" t="s">
        <v>45</v>
      </c>
      <c r="C501" s="12" t="str">
        <f>VLOOKUP(F501,[4]在职!$A:$E,5,0)</f>
        <v>陕西</v>
      </c>
      <c r="D501" s="12" t="str">
        <f>VLOOKUP(F501,[4]在职!$A:$G,7,0)</f>
        <v>陕西2部</v>
      </c>
      <c r="E501" s="12" t="str">
        <f>VLOOKUP(F501,[4]在职!$A:$M,13,0)</f>
        <v>李耀</v>
      </c>
      <c r="F501" s="7" t="s">
        <v>1406</v>
      </c>
      <c r="G501" s="12" t="str">
        <f>VLOOKUP(F501,[4]在职!$A:$B,2,0)</f>
        <v>00945</v>
      </c>
      <c r="H501" s="12" t="str">
        <f>VLOOKUP(F501,[4]在职!$A:$I,9,0)</f>
        <v>三星销售顾问</v>
      </c>
      <c r="I501" s="7" t="s">
        <v>915</v>
      </c>
      <c r="J501" s="83">
        <v>46098</v>
      </c>
      <c r="K501" s="12" t="s">
        <v>30</v>
      </c>
    </row>
    <row r="502" ht="16.5" hidden="1" spans="1:11">
      <c r="A502" s="12">
        <v>540</v>
      </c>
      <c r="B502" s="12" t="s">
        <v>45</v>
      </c>
      <c r="C502" s="12" t="str">
        <f>VLOOKUP(F502,[4]在职!$A:$E,5,0)</f>
        <v>山东</v>
      </c>
      <c r="D502" s="12" t="str">
        <f>VLOOKUP(F502,[4]在职!$A:$G,7,0)</f>
        <v>山东销售部</v>
      </c>
      <c r="E502" s="12" t="str">
        <f>VLOOKUP(F502,[4]在职!$A:$M,13,0)</f>
        <v>苏晓青</v>
      </c>
      <c r="F502" s="7" t="s">
        <v>1416</v>
      </c>
      <c r="G502" s="12" t="str">
        <f>VLOOKUP(F502,[4]在职!$A:$B,2,0)</f>
        <v>00993</v>
      </c>
      <c r="H502" s="12" t="str">
        <f>VLOOKUP(F502,[4]在职!$A:$I,9,0)</f>
        <v>B岗经理</v>
      </c>
      <c r="I502" s="7" t="s">
        <v>915</v>
      </c>
      <c r="J502" s="83">
        <v>46098</v>
      </c>
      <c r="K502" s="12" t="s">
        <v>30</v>
      </c>
    </row>
    <row r="503" ht="16.5" hidden="1" spans="1:11">
      <c r="A503" s="12">
        <v>541</v>
      </c>
      <c r="B503" s="12" t="s">
        <v>45</v>
      </c>
      <c r="C503" s="12" t="str">
        <f>VLOOKUP(F503,[4]在职!$A:$E,5,0)</f>
        <v>西南总部</v>
      </c>
      <c r="D503" s="12" t="str">
        <f>VLOOKUP(F503,[4]在职!$A:$G,7,0)</f>
        <v>营业五部</v>
      </c>
      <c r="E503" s="12" t="str">
        <f>VLOOKUP(F503,[4]在职!$A:$M,13,0)</f>
        <v>李敏</v>
      </c>
      <c r="F503" s="7" t="s">
        <v>1426</v>
      </c>
      <c r="G503" s="12" t="str">
        <f>VLOOKUP(F503,[4]在职!$A:$B,2,0)</f>
        <v>01532</v>
      </c>
      <c r="H503" s="12" t="str">
        <f>VLOOKUP(F503,[4]在职!$A:$I,9,0)</f>
        <v>B岗经理</v>
      </c>
      <c r="I503" s="7" t="s">
        <v>915</v>
      </c>
      <c r="J503" s="83">
        <v>46098</v>
      </c>
      <c r="K503" s="12" t="s">
        <v>30</v>
      </c>
    </row>
    <row r="504" ht="16.5" hidden="1" spans="1:11">
      <c r="A504" s="12">
        <v>542</v>
      </c>
      <c r="B504" s="12" t="s">
        <v>45</v>
      </c>
      <c r="C504" s="12" t="str">
        <f>VLOOKUP(F504,[4]在职!$A:$E,5,0)</f>
        <v>西南总部</v>
      </c>
      <c r="D504" s="12" t="str">
        <f>VLOOKUP(F504,[4]在职!$A:$G,7,0)</f>
        <v>营业四部</v>
      </c>
      <c r="E504" s="12" t="str">
        <f>VLOOKUP(F504,[4]在职!$A:$M,13,0)</f>
        <v>刘亮</v>
      </c>
      <c r="F504" s="7" t="s">
        <v>1392</v>
      </c>
      <c r="G504" s="12" t="str">
        <f>VLOOKUP(F504,[4]在职!$A:$B,2,0)</f>
        <v>01105</v>
      </c>
      <c r="H504" s="12" t="str">
        <f>VLOOKUP(F504,[4]在职!$A:$I,9,0)</f>
        <v>B岗经理</v>
      </c>
      <c r="I504" s="7" t="s">
        <v>915</v>
      </c>
      <c r="J504" s="83">
        <v>46098</v>
      </c>
      <c r="K504" s="12" t="s">
        <v>30</v>
      </c>
    </row>
    <row r="505" ht="16.5" hidden="1" spans="1:11">
      <c r="A505" s="12">
        <v>543</v>
      </c>
      <c r="B505" s="12" t="s">
        <v>45</v>
      </c>
      <c r="C505" s="12" t="str">
        <f>VLOOKUP(F505,[4]在职!$A:$E,5,0)</f>
        <v>西南总部</v>
      </c>
      <c r="D505" s="12" t="str">
        <f>VLOOKUP(F505,[4]在职!$A:$G,7,0)</f>
        <v>营业二部</v>
      </c>
      <c r="E505" s="12" t="str">
        <f>VLOOKUP(F505,[4]在职!$A:$M,13,0)</f>
        <v>柏刚</v>
      </c>
      <c r="F505" s="7" t="s">
        <v>1418</v>
      </c>
      <c r="G505" s="12" t="str">
        <f>VLOOKUP(F505,[4]在职!$A:$B,2,0)</f>
        <v>00693</v>
      </c>
      <c r="H505" s="12" t="str">
        <f>VLOOKUP(F505,[4]在职!$A:$I,9,0)</f>
        <v>三星销售顾问</v>
      </c>
      <c r="I505" s="7" t="s">
        <v>915</v>
      </c>
      <c r="J505" s="83">
        <v>46098</v>
      </c>
      <c r="K505" s="12" t="s">
        <v>30</v>
      </c>
    </row>
    <row r="506" ht="16.5" hidden="1" spans="1:11">
      <c r="A506" s="12">
        <v>544</v>
      </c>
      <c r="B506" s="12" t="s">
        <v>45</v>
      </c>
      <c r="C506" s="12" t="str">
        <f>VLOOKUP(F506,[4]在职!$A:$E,5,0)</f>
        <v>西南总部</v>
      </c>
      <c r="D506" s="12" t="str">
        <f>VLOOKUP(F506,[4]在职!$A:$G,7,0)</f>
        <v>营业二部</v>
      </c>
      <c r="E506" s="12" t="str">
        <f>VLOOKUP(F506,[4]在职!$A:$M,13,0)</f>
        <v>杨芊</v>
      </c>
      <c r="F506" s="7" t="s">
        <v>1398</v>
      </c>
      <c r="G506" s="12" t="str">
        <f>VLOOKUP(F506,[4]在职!$A:$B,2,0)</f>
        <v>00950</v>
      </c>
      <c r="H506" s="12" t="str">
        <f>VLOOKUP(F506,[4]在职!$A:$I,9,0)</f>
        <v>三星销售顾问</v>
      </c>
      <c r="I506" s="7" t="s">
        <v>915</v>
      </c>
      <c r="J506" s="83">
        <v>46098</v>
      </c>
      <c r="K506" s="12" t="s">
        <v>30</v>
      </c>
    </row>
    <row r="507" ht="16.5" hidden="1" spans="1:11">
      <c r="A507" s="12">
        <v>545</v>
      </c>
      <c r="B507" s="12" t="s">
        <v>45</v>
      </c>
      <c r="C507" s="12" t="str">
        <f>VLOOKUP(F507,[4]在职!$A:$E,5,0)</f>
        <v>西南总部</v>
      </c>
      <c r="D507" s="12" t="str">
        <f>VLOOKUP(F507,[4]在职!$A:$G,7,0)</f>
        <v>营业七部</v>
      </c>
      <c r="E507" s="12" t="str">
        <f>VLOOKUP(F507,[4]在职!$A:$M,13,0)</f>
        <v>谢沁霜</v>
      </c>
      <c r="F507" s="7" t="s">
        <v>1404</v>
      </c>
      <c r="G507" s="12" t="str">
        <f>VLOOKUP(F507,[4]在职!$A:$B,2,0)</f>
        <v>00893</v>
      </c>
      <c r="H507" s="12" t="str">
        <f>VLOOKUP(F507,[4]在职!$A:$I,9,0)</f>
        <v>三星销售顾问</v>
      </c>
      <c r="I507" s="7" t="s">
        <v>915</v>
      </c>
      <c r="J507" s="83">
        <v>46098</v>
      </c>
      <c r="K507" s="12" t="s">
        <v>30</v>
      </c>
    </row>
    <row r="508" ht="16.5" hidden="1" spans="1:11">
      <c r="A508" s="12">
        <v>546</v>
      </c>
      <c r="B508" s="12" t="s">
        <v>45</v>
      </c>
      <c r="C508" s="12" t="str">
        <f>VLOOKUP(F508,[4]在职!$A:$E,5,0)</f>
        <v>陕西</v>
      </c>
      <c r="D508" s="12" t="str">
        <f>VLOOKUP(F508,[4]在职!$A:$G,7,0)</f>
        <v>陕西1部</v>
      </c>
      <c r="E508" s="12" t="str">
        <f>VLOOKUP(F508,[4]在职!$A:$M,13,0)</f>
        <v>杨永梅</v>
      </c>
      <c r="F508" s="7" t="s">
        <v>1394</v>
      </c>
      <c r="G508" s="12" t="str">
        <f>VLOOKUP(F508,[4]在职!$A:$B,2,0)</f>
        <v>01158</v>
      </c>
      <c r="H508" s="12" t="str">
        <f>VLOOKUP(F508,[4]在职!$A:$I,9,0)</f>
        <v>三星销售顾问</v>
      </c>
      <c r="I508" s="7" t="s">
        <v>915</v>
      </c>
      <c r="J508" s="83">
        <v>46098</v>
      </c>
      <c r="K508" s="12" t="s">
        <v>30</v>
      </c>
    </row>
    <row r="509" ht="16.5" hidden="1" spans="1:11">
      <c r="A509" s="12">
        <v>547</v>
      </c>
      <c r="B509" s="12" t="s">
        <v>45</v>
      </c>
      <c r="C509" s="12" t="str">
        <f>VLOOKUP(F509,[4]在职!$A:$E,5,0)</f>
        <v>山西</v>
      </c>
      <c r="D509" s="12" t="str">
        <f>VLOOKUP(F509,[4]在职!$A:$G,7,0)</f>
        <v>山西销售部</v>
      </c>
      <c r="E509" s="12" t="str">
        <f>VLOOKUP(F509,[4]在职!$A:$M,13,0)</f>
        <v>彭停</v>
      </c>
      <c r="F509" s="7" t="s">
        <v>1414</v>
      </c>
      <c r="G509" s="12" t="str">
        <f>VLOOKUP(F509,[4]在职!$A:$B,2,0)</f>
        <v>01046</v>
      </c>
      <c r="H509" s="12" t="str">
        <f>VLOOKUP(F509,[4]在职!$A:$I,9,0)</f>
        <v>三星销售顾问</v>
      </c>
      <c r="I509" s="7" t="s">
        <v>915</v>
      </c>
      <c r="J509" s="83">
        <v>46098</v>
      </c>
      <c r="K509" s="12" t="s">
        <v>30</v>
      </c>
    </row>
    <row r="510" ht="16.5" hidden="1" spans="1:11">
      <c r="A510" s="12">
        <v>548</v>
      </c>
      <c r="B510" s="12" t="s">
        <v>45</v>
      </c>
      <c r="C510" s="12" t="str">
        <f>VLOOKUP(F510,[4]在职!$A:$E,5,0)</f>
        <v>湖南</v>
      </c>
      <c r="D510" s="12" t="str">
        <f>VLOOKUP(F510,[4]在职!$A:$G,7,0)</f>
        <v>湖南销售部</v>
      </c>
      <c r="E510" s="12" t="str">
        <f>VLOOKUP(F510,[4]在职!$A:$M,13,0)</f>
        <v>黄勇刚</v>
      </c>
      <c r="F510" s="7" t="s">
        <v>1428</v>
      </c>
      <c r="G510" s="12" t="str">
        <f>VLOOKUP(F510,[4]在职!$A:$B,2,0)</f>
        <v>00840</v>
      </c>
      <c r="H510" s="12" t="str">
        <f>VLOOKUP(F510,[4]在职!$A:$I,9,0)</f>
        <v>B岗经理</v>
      </c>
      <c r="I510" s="7" t="s">
        <v>915</v>
      </c>
      <c r="J510" s="83">
        <v>46098</v>
      </c>
      <c r="K510" s="12" t="s">
        <v>30</v>
      </c>
    </row>
    <row r="511" ht="16.5" hidden="1" spans="1:11">
      <c r="A511" s="12">
        <v>549</v>
      </c>
      <c r="B511" s="12" t="s">
        <v>45</v>
      </c>
      <c r="C511" s="12" t="str">
        <f>VLOOKUP(F511,[4]在职!$A:$E,5,0)</f>
        <v>湖北</v>
      </c>
      <c r="D511" s="12" t="str">
        <f>VLOOKUP(F511,[4]在职!$A:$G,7,0)</f>
        <v>湖北2部</v>
      </c>
      <c r="E511" s="12" t="str">
        <f>VLOOKUP(F511,[4]在职!$A:$M,13,0)</f>
        <v>陈晓辉</v>
      </c>
      <c r="F511" s="7" t="s">
        <v>1390</v>
      </c>
      <c r="G511" s="12" t="str">
        <f>VLOOKUP(F511,[4]在职!$A:$B,2,0)</f>
        <v>01320</v>
      </c>
      <c r="H511" s="12" t="str">
        <f>VLOOKUP(F511,[4]在职!$A:$I,9,0)</f>
        <v>三星销售顾问</v>
      </c>
      <c r="I511" s="7" t="s">
        <v>915</v>
      </c>
      <c r="J511" s="83">
        <v>46098</v>
      </c>
      <c r="K511" s="12" t="s">
        <v>30</v>
      </c>
    </row>
    <row r="512" ht="16.5" hidden="1" spans="1:11">
      <c r="A512" s="12">
        <v>550</v>
      </c>
      <c r="B512" s="12" t="s">
        <v>45</v>
      </c>
      <c r="C512" s="12" t="str">
        <f>VLOOKUP(F512,[4]在职!$A:$E,5,0)</f>
        <v>河南</v>
      </c>
      <c r="D512" s="12" t="str">
        <f>VLOOKUP(F512,[4]在职!$A:$G,7,0)</f>
        <v>河南销售部</v>
      </c>
      <c r="E512" s="12" t="str">
        <f>VLOOKUP(F512,[4]在职!$A:$M,13,0)</f>
        <v>余金梅</v>
      </c>
      <c r="F512" s="7" t="s">
        <v>1402</v>
      </c>
      <c r="G512" s="12" t="str">
        <f>VLOOKUP(F512,[4]在职!$A:$B,2,0)</f>
        <v>01421</v>
      </c>
      <c r="H512" s="12" t="str">
        <f>VLOOKUP(F512,[4]在职!$A:$I,9,0)</f>
        <v>二星销售顾问</v>
      </c>
      <c r="I512" s="7" t="s">
        <v>915</v>
      </c>
      <c r="J512" s="83">
        <v>46098</v>
      </c>
      <c r="K512" s="12" t="s">
        <v>30</v>
      </c>
    </row>
    <row r="513" ht="16.5" hidden="1" spans="1:11">
      <c r="A513" s="12">
        <v>551</v>
      </c>
      <c r="B513" s="12" t="s">
        <v>45</v>
      </c>
      <c r="C513" s="12" t="str">
        <f>VLOOKUP(F513,[4]在职!$A:$E,5,0)</f>
        <v>河北</v>
      </c>
      <c r="D513" s="12" t="str">
        <f>VLOOKUP(F513,[4]在职!$A:$G,7,0)</f>
        <v>河北销售部</v>
      </c>
      <c r="E513" s="12" t="str">
        <f>VLOOKUP(F513,[4]在职!$A:$M,13,0)</f>
        <v>李港一</v>
      </c>
      <c r="F513" s="7" t="s">
        <v>1420</v>
      </c>
      <c r="G513" s="12" t="str">
        <f>VLOOKUP(F513,[4]在职!$A:$B,2,0)</f>
        <v>01476</v>
      </c>
      <c r="H513" s="12" t="str">
        <f>VLOOKUP(F513,[4]在职!$A:$I,9,0)</f>
        <v>二星销售顾问</v>
      </c>
      <c r="I513" s="7" t="s">
        <v>915</v>
      </c>
      <c r="J513" s="83">
        <v>46098</v>
      </c>
      <c r="K513" s="12" t="s">
        <v>30</v>
      </c>
    </row>
    <row r="514" ht="16.5" hidden="1" spans="1:11">
      <c r="A514" s="12">
        <v>572</v>
      </c>
      <c r="B514" s="12" t="s">
        <v>45</v>
      </c>
      <c r="C514" s="12" t="str">
        <f>VLOOKUP(F514,[4]在职!$A:$E,5,0)</f>
        <v>河北</v>
      </c>
      <c r="D514" s="12" t="str">
        <f>VLOOKUP(F514,[4]在职!$A:$G,7,0)</f>
        <v>河北销售部</v>
      </c>
      <c r="E514" s="12" t="str">
        <f>VLOOKUP(F514,[4]在职!$A:$M,13,0)</f>
        <v>李港一</v>
      </c>
      <c r="F514" s="46" t="s">
        <v>1444</v>
      </c>
      <c r="G514" s="12" t="str">
        <f>VLOOKUP(F514,[4]在职!$A:$B,2,0)</f>
        <v>01850</v>
      </c>
      <c r="H514" s="12" t="str">
        <f>VLOOKUP(F514,[4]在职!$A:$I,9,0)</f>
        <v>一星销售顾问</v>
      </c>
      <c r="I514" s="46" t="s">
        <v>915</v>
      </c>
      <c r="J514" s="83">
        <v>46093</v>
      </c>
      <c r="K514" s="12" t="s">
        <v>27</v>
      </c>
    </row>
    <row r="515" ht="16.5" hidden="1" spans="1:11">
      <c r="A515" s="12">
        <v>573</v>
      </c>
      <c r="B515" s="12" t="s">
        <v>45</v>
      </c>
      <c r="C515" s="12" t="str">
        <f>VLOOKUP(F515,[4]在职!$A:$E,5,0)</f>
        <v>河北</v>
      </c>
      <c r="D515" s="12" t="str">
        <f>VLOOKUP(F515,[4]在职!$A:$G,7,0)</f>
        <v>河北销售部</v>
      </c>
      <c r="E515" s="12" t="str">
        <f>VLOOKUP(F515,[4]在职!$A:$M,13,0)</f>
        <v>李港一</v>
      </c>
      <c r="F515" s="46" t="s">
        <v>1445</v>
      </c>
      <c r="G515" s="12" t="str">
        <f>VLOOKUP(F515,[4]在职!$A:$B,2,0)</f>
        <v>01702</v>
      </c>
      <c r="H515" s="12" t="str">
        <f>VLOOKUP(F515,[4]在职!$A:$I,9,0)</f>
        <v>一星销售顾问</v>
      </c>
      <c r="I515" s="46" t="s">
        <v>915</v>
      </c>
      <c r="J515" s="83">
        <v>46093</v>
      </c>
      <c r="K515" s="12" t="s">
        <v>27</v>
      </c>
    </row>
    <row r="516" ht="16.5" hidden="1" spans="1:11">
      <c r="A516" s="12">
        <v>631</v>
      </c>
      <c r="B516" s="12" t="s">
        <v>45</v>
      </c>
      <c r="C516" s="12" t="str">
        <f>VLOOKUP(F516,[4]在职!$A:$E,5,0)</f>
        <v>河北</v>
      </c>
      <c r="D516" s="12" t="str">
        <f>VLOOKUP(F516,[4]在职!$A:$G,7,0)</f>
        <v>河北销售部</v>
      </c>
      <c r="E516" s="12" t="str">
        <f>VLOOKUP(F516,[4]在职!$A:$M,13,0)</f>
        <v>陈东2</v>
      </c>
      <c r="F516" s="5" t="s">
        <v>1313</v>
      </c>
      <c r="G516" s="12" t="str">
        <f>VLOOKUP(F516,[4]在职!$A:$B,2,0)</f>
        <v>01671</v>
      </c>
      <c r="H516" s="12" t="str">
        <f>VLOOKUP(F516,[4]在职!$A:$I,9,0)</f>
        <v>一星销售顾问</v>
      </c>
      <c r="I516" s="84" t="s">
        <v>907</v>
      </c>
      <c r="J516" s="83">
        <v>46093</v>
      </c>
      <c r="K516" s="12" t="s">
        <v>27</v>
      </c>
    </row>
    <row r="517" ht="16.5" hidden="1" spans="1:11">
      <c r="A517" s="12">
        <v>632</v>
      </c>
      <c r="B517" s="12" t="s">
        <v>45</v>
      </c>
      <c r="C517" s="12" t="str">
        <f>VLOOKUP(F517,[4]在职!$A:$E,5,0)</f>
        <v>河北</v>
      </c>
      <c r="D517" s="12" t="str">
        <f>VLOOKUP(F517,[4]在职!$A:$G,7,0)</f>
        <v>河北销售部</v>
      </c>
      <c r="E517" s="12" t="str">
        <f>VLOOKUP(F517,[4]在职!$A:$M,13,0)</f>
        <v>陈东2</v>
      </c>
      <c r="F517" s="5" t="s">
        <v>1477</v>
      </c>
      <c r="G517" s="12" t="str">
        <f>VLOOKUP(F517,[4]在职!$A:$B,2,0)</f>
        <v>01530</v>
      </c>
      <c r="H517" s="12" t="str">
        <f>VLOOKUP(F517,[4]在职!$A:$I,9,0)</f>
        <v>一星销售顾问</v>
      </c>
      <c r="I517" s="84" t="s">
        <v>907</v>
      </c>
      <c r="J517" s="83">
        <v>46093</v>
      </c>
      <c r="K517" s="12" t="s">
        <v>27</v>
      </c>
    </row>
    <row r="518" ht="16.5" hidden="1" spans="1:11">
      <c r="A518" s="12">
        <v>568</v>
      </c>
      <c r="B518" s="12" t="s">
        <v>45</v>
      </c>
      <c r="C518" s="12" t="str">
        <f>VLOOKUP(F518,[4]在职!$A:$E,5,0)</f>
        <v>河南</v>
      </c>
      <c r="D518" s="12" t="str">
        <f>VLOOKUP(F518,[4]在职!$A:$G,7,0)</f>
        <v>河南销售部</v>
      </c>
      <c r="E518" s="12" t="str">
        <f>VLOOKUP(F518,[4]在职!$A:$M,13,0)</f>
        <v>杜雄</v>
      </c>
      <c r="F518" s="46" t="s">
        <v>1442</v>
      </c>
      <c r="G518" s="12" t="str">
        <f>VLOOKUP(F518,[4]在职!$A:$B,2,0)</f>
        <v>01620</v>
      </c>
      <c r="H518" s="12" t="str">
        <f>VLOOKUP(F518,[4]在职!$A:$I,9,0)</f>
        <v>一星销售顾问</v>
      </c>
      <c r="I518" s="46" t="s">
        <v>915</v>
      </c>
      <c r="J518" s="83">
        <v>46093</v>
      </c>
      <c r="K518" s="12" t="s">
        <v>27</v>
      </c>
    </row>
    <row r="519" ht="16.5" hidden="1" spans="1:11">
      <c r="A519" s="12">
        <v>570</v>
      </c>
      <c r="B519" s="12" t="s">
        <v>45</v>
      </c>
      <c r="C519" s="12" t="str">
        <f>VLOOKUP(F519,[4]在职!$A:$E,5,0)</f>
        <v>河南</v>
      </c>
      <c r="D519" s="12" t="str">
        <f>VLOOKUP(F519,[4]在职!$A:$G,7,0)</f>
        <v>河南销售部</v>
      </c>
      <c r="E519" s="12" t="str">
        <f>VLOOKUP(F519,[4]在职!$A:$M,13,0)</f>
        <v>蒋吉勇</v>
      </c>
      <c r="F519" s="46" t="s">
        <v>962</v>
      </c>
      <c r="G519" s="12" t="str">
        <f>VLOOKUP(F519,[4]在职!$A:$B,2,0)</f>
        <v>01597</v>
      </c>
      <c r="H519" s="12" t="str">
        <f>VLOOKUP(F519,[4]在职!$A:$I,9,0)</f>
        <v>二星销售顾问</v>
      </c>
      <c r="I519" s="46" t="s">
        <v>915</v>
      </c>
      <c r="J519" s="83">
        <v>46093</v>
      </c>
      <c r="K519" s="12" t="s">
        <v>27</v>
      </c>
    </row>
    <row r="520" ht="16.5" hidden="1" spans="1:11">
      <c r="A520" s="12">
        <v>571</v>
      </c>
      <c r="B520" s="12" t="s">
        <v>45</v>
      </c>
      <c r="C520" s="12" t="str">
        <f>VLOOKUP(F520,[4]在职!$A:$E,5,0)</f>
        <v>河南</v>
      </c>
      <c r="D520" s="12" t="str">
        <f>VLOOKUP(F520,[4]在职!$A:$G,7,0)</f>
        <v>河南销售部</v>
      </c>
      <c r="E520" s="12" t="str">
        <f>VLOOKUP(F520,[4]在职!$A:$M,13,0)</f>
        <v>蒋吉勇</v>
      </c>
      <c r="F520" s="46" t="s">
        <v>1443</v>
      </c>
      <c r="G520" s="12" t="str">
        <f>VLOOKUP(F520,[4]在职!$A:$B,2,0)</f>
        <v>01541</v>
      </c>
      <c r="H520" s="12" t="str">
        <f>VLOOKUP(F520,[4]在职!$A:$I,9,0)</f>
        <v>一星销售顾问</v>
      </c>
      <c r="I520" s="46" t="s">
        <v>915</v>
      </c>
      <c r="J520" s="83">
        <v>46093</v>
      </c>
      <c r="K520" s="12" t="s">
        <v>27</v>
      </c>
    </row>
    <row r="521" ht="16.5" hidden="1" spans="1:11">
      <c r="A521" s="12">
        <v>589</v>
      </c>
      <c r="B521" s="12" t="s">
        <v>45</v>
      </c>
      <c r="C521" s="12" t="str">
        <f>VLOOKUP(F521,[4]在职!$A:$E,5,0)</f>
        <v>河南</v>
      </c>
      <c r="D521" s="12" t="str">
        <f>VLOOKUP(F521,[4]在职!$A:$G,7,0)</f>
        <v>河南销售部</v>
      </c>
      <c r="E521" s="12" t="str">
        <f>VLOOKUP(F521,[4]在职!$A:$M,13,0)</f>
        <v>吕涛</v>
      </c>
      <c r="F521" s="46" t="s">
        <v>1253</v>
      </c>
      <c r="G521" s="12" t="str">
        <f>VLOOKUP(F521,[4]在职!$A:$B,2,0)</f>
        <v>01762</v>
      </c>
      <c r="H521" s="12" t="str">
        <f>VLOOKUP(F521,[4]在职!$A:$I,9,0)</f>
        <v>一星销售顾问</v>
      </c>
      <c r="I521" s="46" t="s">
        <v>915</v>
      </c>
      <c r="J521" s="83">
        <v>46093</v>
      </c>
      <c r="K521" s="12" t="s">
        <v>27</v>
      </c>
    </row>
    <row r="522" ht="16.5" hidden="1" spans="1:11">
      <c r="A522" s="12">
        <v>590</v>
      </c>
      <c r="B522" s="12" t="s">
        <v>45</v>
      </c>
      <c r="C522" s="12" t="str">
        <f>VLOOKUP(F522,[4]在职!$A:$E,5,0)</f>
        <v>河南</v>
      </c>
      <c r="D522" s="12" t="str">
        <f>VLOOKUP(F522,[4]在职!$A:$G,7,0)</f>
        <v>河南销售部</v>
      </c>
      <c r="E522" s="12" t="str">
        <f>VLOOKUP(F522,[4]在职!$A:$M,13,0)</f>
        <v>吕涛</v>
      </c>
      <c r="F522" s="46" t="s">
        <v>1255</v>
      </c>
      <c r="G522" s="12" t="str">
        <f>VLOOKUP(F522,[4]在职!$A:$B,2,0)</f>
        <v>01766</v>
      </c>
      <c r="H522" s="12" t="str">
        <f>VLOOKUP(F522,[4]在职!$A:$I,9,0)</f>
        <v>一星销售顾问</v>
      </c>
      <c r="I522" s="46" t="s">
        <v>915</v>
      </c>
      <c r="J522" s="83">
        <v>46093</v>
      </c>
      <c r="K522" s="12" t="s">
        <v>27</v>
      </c>
    </row>
    <row r="523" ht="16.5" hidden="1" spans="1:11">
      <c r="A523" s="12">
        <v>595</v>
      </c>
      <c r="B523" s="12" t="s">
        <v>45</v>
      </c>
      <c r="C523" s="12" t="str">
        <f>VLOOKUP(F523,[4]在职!$A:$E,5,0)</f>
        <v>河南</v>
      </c>
      <c r="D523" s="12" t="str">
        <f>VLOOKUP(F523,[4]在职!$A:$G,7,0)</f>
        <v>河南销售部</v>
      </c>
      <c r="E523" s="12" t="str">
        <f>VLOOKUP(F523,[4]在职!$A:$M,13,0)</f>
        <v>任枭月</v>
      </c>
      <c r="F523" s="46" t="s">
        <v>1457</v>
      </c>
      <c r="G523" s="12" t="str">
        <f>VLOOKUP(F523,[4]在职!$A:$B,2,0)</f>
        <v>01626</v>
      </c>
      <c r="H523" s="12" t="str">
        <f>VLOOKUP(F523,[4]在职!$A:$I,9,0)</f>
        <v>一星销售顾问</v>
      </c>
      <c r="I523" s="46" t="s">
        <v>915</v>
      </c>
      <c r="J523" s="83">
        <v>46093</v>
      </c>
      <c r="K523" s="12" t="s">
        <v>27</v>
      </c>
    </row>
    <row r="524" ht="16.5" hidden="1" spans="1:11">
      <c r="A524" s="12">
        <v>621</v>
      </c>
      <c r="B524" s="12" t="s">
        <v>45</v>
      </c>
      <c r="C524" s="12" t="str">
        <f>VLOOKUP(F524,[4]在职!$A:$E,5,0)</f>
        <v>河南</v>
      </c>
      <c r="D524" s="12" t="str">
        <f>VLOOKUP(F524,[4]在职!$A:$G,7,0)</f>
        <v>河南销售部</v>
      </c>
      <c r="E524" s="12" t="str">
        <f>VLOOKUP(F524,[4]在职!$A:$M,13,0)</f>
        <v>余金梅</v>
      </c>
      <c r="F524" s="46" t="s">
        <v>1471</v>
      </c>
      <c r="G524" s="12" t="str">
        <f>VLOOKUP(F524,[4]在职!$A:$B,2,0)</f>
        <v>01545</v>
      </c>
      <c r="H524" s="12" t="str">
        <f>VLOOKUP(F524,[4]在职!$A:$I,9,0)</f>
        <v>一星销售顾问</v>
      </c>
      <c r="I524" s="46" t="s">
        <v>915</v>
      </c>
      <c r="J524" s="83">
        <v>46093</v>
      </c>
      <c r="K524" s="12" t="s">
        <v>27</v>
      </c>
    </row>
    <row r="525" ht="16.5" hidden="1" spans="1:11">
      <c r="A525" s="12">
        <v>667</v>
      </c>
      <c r="B525" s="12" t="s">
        <v>45</v>
      </c>
      <c r="C525" s="12" t="str">
        <f>VLOOKUP(F525,[4]在职!$A:$E,5,0)</f>
        <v>河南</v>
      </c>
      <c r="D525" s="12" t="str">
        <f>VLOOKUP(F525,[4]在职!$A:$G,7,0)</f>
        <v>河南销售部</v>
      </c>
      <c r="E525" s="12" t="str">
        <f>VLOOKUP(F525,[4]在职!$A:$M,13,0)</f>
        <v>周吉双</v>
      </c>
      <c r="F525" s="5" t="s">
        <v>1502</v>
      </c>
      <c r="G525" s="12" t="str">
        <f>VLOOKUP(F525,[4]在职!$A:$B,2,0)</f>
        <v>01529</v>
      </c>
      <c r="H525" s="12" t="str">
        <f>VLOOKUP(F525,[4]在职!$A:$I,9,0)</f>
        <v>一星销售顾问</v>
      </c>
      <c r="I525" s="84" t="s">
        <v>907</v>
      </c>
      <c r="J525" s="83">
        <v>46093</v>
      </c>
      <c r="K525" s="12" t="s">
        <v>27</v>
      </c>
    </row>
    <row r="526" ht="16.5" hidden="1" spans="1:11">
      <c r="A526" s="12">
        <v>580</v>
      </c>
      <c r="B526" s="12" t="s">
        <v>45</v>
      </c>
      <c r="C526" s="12" t="str">
        <f>VLOOKUP(F526,[4]在职!$A:$E,5,0)</f>
        <v>湖北</v>
      </c>
      <c r="D526" s="12" t="str">
        <f>VLOOKUP(F526,[4]在职!$A:$G,7,0)</f>
        <v>湖北1部</v>
      </c>
      <c r="E526" s="12" t="str">
        <f>VLOOKUP(F526,[4]在职!$A:$M,13,0)</f>
        <v>秦娅玲</v>
      </c>
      <c r="F526" s="46" t="s">
        <v>1450</v>
      </c>
      <c r="G526" s="12" t="str">
        <f>VLOOKUP(F526,[4]在职!$A:$B,2,0)</f>
        <v>01629</v>
      </c>
      <c r="H526" s="12" t="str">
        <f>VLOOKUP(F526,[4]在职!$A:$I,9,0)</f>
        <v>一星销售顾问</v>
      </c>
      <c r="I526" s="46" t="s">
        <v>915</v>
      </c>
      <c r="J526" s="83">
        <v>46093</v>
      </c>
      <c r="K526" s="12" t="s">
        <v>27</v>
      </c>
    </row>
    <row r="527" ht="16.5" hidden="1" spans="1:11">
      <c r="A527" s="12">
        <v>581</v>
      </c>
      <c r="B527" s="12" t="s">
        <v>45</v>
      </c>
      <c r="C527" s="12" t="str">
        <f>VLOOKUP(F527,[4]在职!$A:$E,5,0)</f>
        <v>湖北</v>
      </c>
      <c r="D527" s="12" t="str">
        <f>VLOOKUP(F527,[4]在职!$A:$G,7,0)</f>
        <v>湖北1部</v>
      </c>
      <c r="E527" s="12" t="str">
        <f>VLOOKUP(F527,[4]在职!$A:$M,13,0)</f>
        <v>蔺小燕</v>
      </c>
      <c r="F527" s="46" t="s">
        <v>1006</v>
      </c>
      <c r="G527" s="12" t="str">
        <f>VLOOKUP(F527,[4]在职!$A:$B,2,0)</f>
        <v>01537</v>
      </c>
      <c r="H527" s="12" t="str">
        <f>VLOOKUP(F527,[4]在职!$A:$I,9,0)</f>
        <v>一星销售顾问</v>
      </c>
      <c r="I527" s="46" t="s">
        <v>915</v>
      </c>
      <c r="J527" s="83">
        <v>46093</v>
      </c>
      <c r="K527" s="12" t="s">
        <v>27</v>
      </c>
    </row>
    <row r="528" ht="16.5" hidden="1" spans="1:11">
      <c r="A528" s="12">
        <v>582</v>
      </c>
      <c r="B528" s="12" t="s">
        <v>45</v>
      </c>
      <c r="C528" s="12" t="str">
        <f>VLOOKUP(F528,[4]在职!$A:$E,5,0)</f>
        <v>湖北</v>
      </c>
      <c r="D528" s="12" t="str">
        <f>VLOOKUP(F528,[4]在职!$A:$G,7,0)</f>
        <v>湖北1部</v>
      </c>
      <c r="E528" s="12" t="str">
        <f>VLOOKUP(F528,[4]在职!$A:$M,13,0)</f>
        <v>蔺小燕</v>
      </c>
      <c r="F528" s="46" t="s">
        <v>1068</v>
      </c>
      <c r="G528" s="12" t="str">
        <f>VLOOKUP(F528,[4]在职!$A:$B,2,0)</f>
        <v>01404</v>
      </c>
      <c r="H528" s="12" t="str">
        <f>VLOOKUP(F528,[4]在职!$A:$I,9,0)</f>
        <v>二星销售顾问</v>
      </c>
      <c r="I528" s="46" t="s">
        <v>915</v>
      </c>
      <c r="J528" s="83">
        <v>46093</v>
      </c>
      <c r="K528" s="12" t="s">
        <v>27</v>
      </c>
    </row>
    <row r="529" ht="16.5" hidden="1" spans="1:11">
      <c r="A529" s="12">
        <v>588</v>
      </c>
      <c r="B529" s="12" t="s">
        <v>45</v>
      </c>
      <c r="C529" s="12" t="str">
        <f>VLOOKUP(F529,[4]在职!$A:$E,5,0)</f>
        <v>湖北</v>
      </c>
      <c r="D529" s="12" t="str">
        <f>VLOOKUP(F529,[4]在职!$A:$G,7,0)</f>
        <v>湖北1部</v>
      </c>
      <c r="E529" s="12" t="str">
        <f>VLOOKUP(F529,[4]在职!$A:$M,13,0)</f>
        <v>骆志红</v>
      </c>
      <c r="F529" s="46" t="s">
        <v>1453</v>
      </c>
      <c r="G529" s="12" t="str">
        <f>VLOOKUP(F529,[4]在职!$A:$B,2,0)</f>
        <v>01632</v>
      </c>
      <c r="H529" s="12" t="str">
        <f>VLOOKUP(F529,[4]在职!$A:$I,9,0)</f>
        <v>一星销售顾问</v>
      </c>
      <c r="I529" s="46" t="s">
        <v>915</v>
      </c>
      <c r="J529" s="83">
        <v>46093</v>
      </c>
      <c r="K529" s="12" t="s">
        <v>27</v>
      </c>
    </row>
    <row r="530" ht="16.5" hidden="1" spans="1:11">
      <c r="A530" s="12">
        <v>593</v>
      </c>
      <c r="B530" s="12" t="s">
        <v>45</v>
      </c>
      <c r="C530" s="12" t="str">
        <f>VLOOKUP(F530,[4]在职!$A:$E,5,0)</f>
        <v>湖北</v>
      </c>
      <c r="D530" s="12" t="str">
        <f>VLOOKUP(F530,[4]在职!$A:$G,7,0)</f>
        <v>湖北1部</v>
      </c>
      <c r="E530" s="12" t="str">
        <f>VLOOKUP(F530,[4]在职!$A:$M,13,0)</f>
        <v>秦娅玲</v>
      </c>
      <c r="F530" s="46" t="s">
        <v>1456</v>
      </c>
      <c r="G530" s="12" t="str">
        <f>VLOOKUP(F530,[4]在职!$A:$B,2,0)</f>
        <v>01480</v>
      </c>
      <c r="H530" s="12" t="str">
        <f>VLOOKUP(F530,[4]在职!$A:$I,9,0)</f>
        <v>一星销售顾问</v>
      </c>
      <c r="I530" s="46" t="s">
        <v>915</v>
      </c>
      <c r="J530" s="83">
        <v>46093</v>
      </c>
      <c r="K530" s="12" t="s">
        <v>27</v>
      </c>
    </row>
    <row r="531" ht="16.5" hidden="1" spans="1:11">
      <c r="A531" s="12">
        <v>594</v>
      </c>
      <c r="B531" s="12" t="s">
        <v>45</v>
      </c>
      <c r="C531" s="12" t="str">
        <f>VLOOKUP(F531,[4]在职!$A:$E,5,0)</f>
        <v>湖北</v>
      </c>
      <c r="D531" s="12" t="str">
        <f>VLOOKUP(F531,[4]在职!$A:$G,7,0)</f>
        <v>湖北1部</v>
      </c>
      <c r="E531" s="12" t="str">
        <f>VLOOKUP(F531,[4]在职!$A:$M,13,0)</f>
        <v>秦娅玲</v>
      </c>
      <c r="F531" s="46" t="s">
        <v>1030</v>
      </c>
      <c r="G531" s="12" t="str">
        <f>VLOOKUP(F531,[4]在职!$A:$B,2,0)</f>
        <v>01187</v>
      </c>
      <c r="H531" s="12" t="str">
        <f>VLOOKUP(F531,[4]在职!$A:$I,9,0)</f>
        <v>二星销售顾问</v>
      </c>
      <c r="I531" s="46" t="s">
        <v>915</v>
      </c>
      <c r="J531" s="83">
        <v>46093</v>
      </c>
      <c r="K531" s="12" t="s">
        <v>27</v>
      </c>
    </row>
    <row r="532" ht="16.5" hidden="1" spans="1:11">
      <c r="A532" s="12">
        <v>596</v>
      </c>
      <c r="B532" s="12" t="s">
        <v>45</v>
      </c>
      <c r="C532" s="12" t="str">
        <f>VLOOKUP(F532,[4]在职!$A:$E,5,0)</f>
        <v>湖北</v>
      </c>
      <c r="D532" s="12" t="str">
        <f>VLOOKUP(F532,[4]在职!$A:$G,7,0)</f>
        <v>湖北1部</v>
      </c>
      <c r="E532" s="12" t="str">
        <f>VLOOKUP(F532,[4]在职!$A:$M,13,0)</f>
        <v>阮阳</v>
      </c>
      <c r="F532" s="46" t="s">
        <v>946</v>
      </c>
      <c r="G532" s="12" t="str">
        <f>VLOOKUP(F532,[4]在职!$A:$B,2,0)</f>
        <v>01636</v>
      </c>
      <c r="H532" s="12" t="str">
        <f>VLOOKUP(F532,[4]在职!$A:$I,9,0)</f>
        <v>一星销售顾问</v>
      </c>
      <c r="I532" s="46" t="s">
        <v>915</v>
      </c>
      <c r="J532" s="83">
        <v>46093</v>
      </c>
      <c r="K532" s="12" t="s">
        <v>27</v>
      </c>
    </row>
    <row r="533" ht="16.5" hidden="1" spans="1:11">
      <c r="A533" s="12">
        <v>625</v>
      </c>
      <c r="B533" s="12" t="s">
        <v>45</v>
      </c>
      <c r="C533" s="12" t="str">
        <f>VLOOKUP(F533,[4]在职!$A:$E,5,0)</f>
        <v>湖北</v>
      </c>
      <c r="D533" s="12" t="str">
        <f>VLOOKUP(F533,[4]在职!$A:$G,7,0)</f>
        <v>湖北1部</v>
      </c>
      <c r="E533" s="12" t="str">
        <f>VLOOKUP(F533,[4]在职!$A:$M,13,0)</f>
        <v>张宗铭</v>
      </c>
      <c r="F533" s="46" t="s">
        <v>926</v>
      </c>
      <c r="G533" s="12" t="str">
        <f>VLOOKUP(F533,[4]在职!$A:$B,2,0)</f>
        <v>01657</v>
      </c>
      <c r="H533" s="12" t="str">
        <f>VLOOKUP(F533,[4]在职!$A:$I,9,0)</f>
        <v>二星销售顾问</v>
      </c>
      <c r="I533" s="46" t="s">
        <v>915</v>
      </c>
      <c r="J533" s="83">
        <v>46093</v>
      </c>
      <c r="K533" s="12" t="s">
        <v>27</v>
      </c>
    </row>
    <row r="534" ht="16.5" hidden="1" spans="1:11">
      <c r="A534" s="12">
        <v>626</v>
      </c>
      <c r="B534" s="12" t="s">
        <v>45</v>
      </c>
      <c r="C534" s="12" t="str">
        <f>VLOOKUP(F534,[4]在职!$A:$E,5,0)</f>
        <v>湖北</v>
      </c>
      <c r="D534" s="12" t="str">
        <f>VLOOKUP(F534,[4]在职!$A:$G,7,0)</f>
        <v>湖北1部</v>
      </c>
      <c r="E534" s="12" t="str">
        <f>VLOOKUP(F534,[4]在职!$A:$M,13,0)</f>
        <v>张宗铭</v>
      </c>
      <c r="F534" s="46" t="s">
        <v>1474</v>
      </c>
      <c r="G534" s="12" t="str">
        <f>VLOOKUP(F534,[4]在职!$A:$B,2,0)</f>
        <v>01595</v>
      </c>
      <c r="H534" s="12" t="str">
        <f>VLOOKUP(F534,[4]在职!$A:$I,9,0)</f>
        <v>一星销售顾问</v>
      </c>
      <c r="I534" s="46" t="s">
        <v>915</v>
      </c>
      <c r="J534" s="83">
        <v>46093</v>
      </c>
      <c r="K534" s="12" t="s">
        <v>27</v>
      </c>
    </row>
    <row r="535" ht="16.5" hidden="1" spans="1:11">
      <c r="A535" s="12">
        <v>633</v>
      </c>
      <c r="B535" s="12" t="s">
        <v>45</v>
      </c>
      <c r="C535" s="12" t="str">
        <f>VLOOKUP(F535,[4]在职!$A:$E,5,0)</f>
        <v>湖北</v>
      </c>
      <c r="D535" s="12" t="str">
        <f>VLOOKUP(F535,[4]在职!$A:$G,7,0)</f>
        <v>湖北2部</v>
      </c>
      <c r="E535" s="12" t="str">
        <f>VLOOKUP(F535,[4]在职!$A:$M,13,0)</f>
        <v>陈竺</v>
      </c>
      <c r="F535" s="5" t="s">
        <v>1478</v>
      </c>
      <c r="G535" s="12" t="str">
        <f>VLOOKUP(F535,[4]在职!$A:$B,2,0)</f>
        <v>01685</v>
      </c>
      <c r="H535" s="12" t="str">
        <f>VLOOKUP(F535,[4]在职!$A:$I,9,0)</f>
        <v>一星销售顾问</v>
      </c>
      <c r="I535" s="84" t="s">
        <v>907</v>
      </c>
      <c r="J535" s="83">
        <v>46093</v>
      </c>
      <c r="K535" s="12" t="s">
        <v>27</v>
      </c>
    </row>
    <row r="536" ht="16.5" hidden="1" spans="1:11">
      <c r="A536" s="12">
        <v>604</v>
      </c>
      <c r="B536" s="12" t="s">
        <v>45</v>
      </c>
      <c r="C536" s="12" t="str">
        <f>VLOOKUP(F536,[4]在职!$A:$E,5,0)</f>
        <v>湖南</v>
      </c>
      <c r="D536" s="12" t="str">
        <f>VLOOKUP(F536,[4]在职!$A:$G,7,0)</f>
        <v>湖南销售部</v>
      </c>
      <c r="E536" s="12" t="str">
        <f>VLOOKUP(F536,[4]在职!$A:$M,13,0)</f>
        <v>孙小龙</v>
      </c>
      <c r="F536" s="46" t="s">
        <v>1461</v>
      </c>
      <c r="G536" s="12" t="str">
        <f>VLOOKUP(F536,[4]在职!$A:$B,2,0)</f>
        <v>01731</v>
      </c>
      <c r="H536" s="12" t="str">
        <f>VLOOKUP(F536,[4]在职!$A:$I,9,0)</f>
        <v>一星销售顾问</v>
      </c>
      <c r="I536" s="46" t="s">
        <v>915</v>
      </c>
      <c r="J536" s="83">
        <v>46093</v>
      </c>
      <c r="K536" s="12" t="s">
        <v>27</v>
      </c>
    </row>
    <row r="537" ht="16.5" hidden="1" spans="1:11">
      <c r="A537" s="12">
        <v>607</v>
      </c>
      <c r="B537" s="12" t="s">
        <v>45</v>
      </c>
      <c r="C537" s="12" t="str">
        <f>VLOOKUP(F537,[4]在职!$A:$E,5,0)</f>
        <v>湖南</v>
      </c>
      <c r="D537" s="12" t="str">
        <f>VLOOKUP(F537,[4]在职!$A:$G,7,0)</f>
        <v>湖南销售部</v>
      </c>
      <c r="E537" s="12" t="str">
        <f>VLOOKUP(F537,[4]在职!$A:$M,13,0)</f>
        <v>闫柏年</v>
      </c>
      <c r="F537" s="46" t="s">
        <v>1464</v>
      </c>
      <c r="G537" s="12" t="str">
        <f>VLOOKUP(F537,[4]在职!$A:$B,2,0)</f>
        <v>01683</v>
      </c>
      <c r="H537" s="12" t="str">
        <f>VLOOKUP(F537,[4]在职!$A:$I,9,0)</f>
        <v>一星销售顾问</v>
      </c>
      <c r="I537" s="46" t="s">
        <v>915</v>
      </c>
      <c r="J537" s="83">
        <v>46093</v>
      </c>
      <c r="K537" s="12" t="s">
        <v>27</v>
      </c>
    </row>
    <row r="538" ht="16.5" hidden="1" spans="1:11">
      <c r="A538" s="12">
        <v>650</v>
      </c>
      <c r="B538" s="12" t="s">
        <v>45</v>
      </c>
      <c r="C538" s="12" t="str">
        <f>VLOOKUP(F538,[4]在职!$A:$E,5,0)</f>
        <v>湖南</v>
      </c>
      <c r="D538" s="12" t="str">
        <f>VLOOKUP(F538,[4]在职!$A:$G,7,0)</f>
        <v>湖南销售部</v>
      </c>
      <c r="E538" s="12" t="str">
        <f>VLOOKUP(F538,[4]在职!$A:$M,13,0)</f>
        <v>孙小龙</v>
      </c>
      <c r="F538" s="5" t="s">
        <v>994</v>
      </c>
      <c r="G538" s="12" t="str">
        <f>VLOOKUP(F538,[4]在职!$A:$B,2,0)</f>
        <v>01477</v>
      </c>
      <c r="H538" s="12" t="str">
        <f>VLOOKUP(F538,[4]在职!$A:$I,9,0)</f>
        <v>二星销售顾问</v>
      </c>
      <c r="I538" s="84" t="s">
        <v>907</v>
      </c>
      <c r="J538" s="83">
        <v>46093</v>
      </c>
      <c r="K538" s="12" t="s">
        <v>27</v>
      </c>
    </row>
    <row r="539" ht="16.5" hidden="1" spans="1:11">
      <c r="A539" s="12">
        <v>599</v>
      </c>
      <c r="B539" s="12" t="s">
        <v>45</v>
      </c>
      <c r="C539" s="12" t="str">
        <f>VLOOKUP(F539,[4]在职!$A:$E,5,0)</f>
        <v>辽宁</v>
      </c>
      <c r="D539" s="12" t="str">
        <f>VLOOKUP(F539,[4]在职!$A:$G,7,0)</f>
        <v>辽宁销售部</v>
      </c>
      <c r="E539" s="12" t="str">
        <f>VLOOKUP(F539,[4]在职!$A:$M,13,0)</f>
        <v>孙科</v>
      </c>
      <c r="F539" s="46" t="s">
        <v>998</v>
      </c>
      <c r="G539" s="12" t="str">
        <f>VLOOKUP(F539,[4]在职!$A:$B,2,0)</f>
        <v>01542</v>
      </c>
      <c r="H539" s="12" t="str">
        <f>VLOOKUP(F539,[4]在职!$A:$I,9,0)</f>
        <v>一星销售顾问</v>
      </c>
      <c r="I539" s="46" t="s">
        <v>915</v>
      </c>
      <c r="J539" s="83">
        <v>46093</v>
      </c>
      <c r="K539" s="12" t="s">
        <v>27</v>
      </c>
    </row>
    <row r="540" ht="16.5" hidden="1" spans="1:11">
      <c r="A540" s="12">
        <v>600</v>
      </c>
      <c r="B540" s="12" t="s">
        <v>45</v>
      </c>
      <c r="C540" s="12" t="str">
        <f>VLOOKUP(F540,[4]在职!$A:$E,5,0)</f>
        <v>辽宁</v>
      </c>
      <c r="D540" s="12" t="str">
        <f>VLOOKUP(F540,[4]在职!$A:$G,7,0)</f>
        <v>辽宁销售部</v>
      </c>
      <c r="E540" s="12" t="str">
        <f>VLOOKUP(F540,[4]在职!$A:$M,13,0)</f>
        <v>孙科</v>
      </c>
      <c r="F540" s="46" t="s">
        <v>990</v>
      </c>
      <c r="G540" s="12" t="str">
        <f>VLOOKUP(F540,[4]在职!$A:$B,2,0)</f>
        <v>01426</v>
      </c>
      <c r="H540" s="12" t="str">
        <f>VLOOKUP(F540,[4]在职!$A:$I,9,0)</f>
        <v>二星销售顾问</v>
      </c>
      <c r="I540" s="46" t="s">
        <v>915</v>
      </c>
      <c r="J540" s="83">
        <v>46093</v>
      </c>
      <c r="K540" s="12" t="s">
        <v>27</v>
      </c>
    </row>
    <row r="541" ht="16.5" hidden="1" spans="1:11">
      <c r="A541" s="12">
        <v>554</v>
      </c>
      <c r="B541" s="12" t="s">
        <v>45</v>
      </c>
      <c r="C541" s="12" t="str">
        <f>VLOOKUP(F541,[4]在职!$A:$E,5,0)</f>
        <v>内蒙古</v>
      </c>
      <c r="D541" s="12" t="str">
        <f>VLOOKUP(F541,[4]在职!$A:$G,7,0)</f>
        <v>内蒙古销售部</v>
      </c>
      <c r="E541" s="12" t="str">
        <f>VLOOKUP(F541,[4]在职!$A:$M,13,0)</f>
        <v>安芮</v>
      </c>
      <c r="F541" s="46" t="s">
        <v>906</v>
      </c>
      <c r="G541" s="12" t="str">
        <f>VLOOKUP(F541,[4]在职!$A:$B,2,0)</f>
        <v>01011</v>
      </c>
      <c r="H541" s="12" t="str">
        <f>VLOOKUP(F541,[4]在职!$A:$I,9,0)</f>
        <v>一星销售顾问</v>
      </c>
      <c r="I541" s="46" t="s">
        <v>915</v>
      </c>
      <c r="J541" s="83">
        <v>46093</v>
      </c>
      <c r="K541" s="12" t="s">
        <v>27</v>
      </c>
    </row>
    <row r="542" ht="16.5" hidden="1" spans="1:11">
      <c r="A542" s="12">
        <v>555</v>
      </c>
      <c r="B542" s="12" t="s">
        <v>45</v>
      </c>
      <c r="C542" s="12" t="str">
        <f>VLOOKUP(F542,[4]在职!$A:$E,5,0)</f>
        <v>内蒙古</v>
      </c>
      <c r="D542" s="12" t="str">
        <f>VLOOKUP(F542,[4]在职!$A:$G,7,0)</f>
        <v>内蒙古销售部</v>
      </c>
      <c r="E542" s="12" t="str">
        <f>VLOOKUP(F542,[4]在职!$A:$M,13,0)</f>
        <v>安芮</v>
      </c>
      <c r="F542" s="46" t="s">
        <v>910</v>
      </c>
      <c r="G542" s="12" t="str">
        <f>VLOOKUP(F542,[4]在职!$A:$B,2,0)</f>
        <v>01423</v>
      </c>
      <c r="H542" s="12" t="str">
        <f>VLOOKUP(F542,[4]在职!$A:$I,9,0)</f>
        <v>二星销售顾问</v>
      </c>
      <c r="I542" s="46" t="s">
        <v>915</v>
      </c>
      <c r="J542" s="83">
        <v>46093</v>
      </c>
      <c r="K542" s="12" t="s">
        <v>27</v>
      </c>
    </row>
    <row r="543" ht="16.5" hidden="1" spans="1:11">
      <c r="A543" s="12">
        <v>556</v>
      </c>
      <c r="B543" s="12" t="s">
        <v>45</v>
      </c>
      <c r="C543" s="12" t="str">
        <f>VLOOKUP(F543,[4]在职!$A:$E,5,0)</f>
        <v>内蒙古</v>
      </c>
      <c r="D543" s="12" t="str">
        <f>VLOOKUP(F543,[4]在职!$A:$G,7,0)</f>
        <v>内蒙古销售部</v>
      </c>
      <c r="E543" s="12" t="str">
        <f>VLOOKUP(F543,[4]在职!$A:$M,13,0)</f>
        <v>安芮</v>
      </c>
      <c r="F543" s="46" t="s">
        <v>912</v>
      </c>
      <c r="G543" s="12" t="str">
        <f>VLOOKUP(F543,[4]在职!$A:$B,2,0)</f>
        <v>01412</v>
      </c>
      <c r="H543" s="12" t="str">
        <f>VLOOKUP(F543,[4]在职!$A:$I,9,0)</f>
        <v>一星销售顾问</v>
      </c>
      <c r="I543" s="46" t="s">
        <v>915</v>
      </c>
      <c r="J543" s="83">
        <v>46093</v>
      </c>
      <c r="K543" s="12" t="s">
        <v>27</v>
      </c>
    </row>
    <row r="544" ht="16.5" hidden="1" spans="1:11">
      <c r="A544" s="12">
        <v>598</v>
      </c>
      <c r="B544" s="12" t="s">
        <v>45</v>
      </c>
      <c r="C544" s="12" t="str">
        <f>VLOOKUP(F544,[4]在职!$A:$E,5,0)</f>
        <v>山东</v>
      </c>
      <c r="D544" s="12" t="str">
        <f>VLOOKUP(F544,[4]在职!$A:$G,7,0)</f>
        <v>山东销售部</v>
      </c>
      <c r="E544" s="12" t="str">
        <f>VLOOKUP(F544,[4]在职!$A:$M,13,0)</f>
        <v>苏晓青</v>
      </c>
      <c r="F544" s="46" t="s">
        <v>1458</v>
      </c>
      <c r="G544" s="12" t="str">
        <f>VLOOKUP(F544,[4]在职!$A:$B,2,0)</f>
        <v>01692</v>
      </c>
      <c r="H544" s="12" t="str">
        <f>VLOOKUP(F544,[4]在职!$A:$I,9,0)</f>
        <v>一星销售顾问</v>
      </c>
      <c r="I544" s="46" t="s">
        <v>915</v>
      </c>
      <c r="J544" s="83">
        <v>46093</v>
      </c>
      <c r="K544" s="12" t="s">
        <v>27</v>
      </c>
    </row>
    <row r="545" ht="16.5" hidden="1" spans="1:11">
      <c r="A545" s="12">
        <v>601</v>
      </c>
      <c r="B545" s="12" t="s">
        <v>45</v>
      </c>
      <c r="C545" s="12" t="str">
        <f>VLOOKUP(F545,[4]在职!$A:$E,5,0)</f>
        <v>山东</v>
      </c>
      <c r="D545" s="12" t="str">
        <f>VLOOKUP(F545,[4]在职!$A:$G,7,0)</f>
        <v>山东销售部</v>
      </c>
      <c r="E545" s="12" t="str">
        <f>VLOOKUP(F545,[4]在职!$A:$M,13,0)</f>
        <v>王杰</v>
      </c>
      <c r="F545" s="46" t="s">
        <v>1459</v>
      </c>
      <c r="G545" s="12" t="str">
        <f>VLOOKUP(F545,[4]在职!$A:$B,2,0)</f>
        <v>01664</v>
      </c>
      <c r="H545" s="12" t="str">
        <f>VLOOKUP(F545,[4]在职!$A:$I,9,0)</f>
        <v>一星销售顾问</v>
      </c>
      <c r="I545" s="46" t="s">
        <v>915</v>
      </c>
      <c r="J545" s="83">
        <v>46093</v>
      </c>
      <c r="K545" s="12" t="s">
        <v>27</v>
      </c>
    </row>
    <row r="546" ht="16.5" hidden="1" spans="1:11">
      <c r="A546" s="12">
        <v>605</v>
      </c>
      <c r="B546" s="12" t="s">
        <v>45</v>
      </c>
      <c r="C546" s="12" t="str">
        <f>VLOOKUP(F546,[4]在职!$A:$E,5,0)</f>
        <v>山东</v>
      </c>
      <c r="D546" s="12" t="str">
        <f>VLOOKUP(F546,[4]在职!$A:$G,7,0)</f>
        <v>山东销售部</v>
      </c>
      <c r="E546" s="12" t="str">
        <f>VLOOKUP(F546,[4]在职!$A:$M,13,0)</f>
        <v>吴江平</v>
      </c>
      <c r="F546" s="46" t="s">
        <v>1462</v>
      </c>
      <c r="G546" s="12" t="str">
        <f>VLOOKUP(F546,[4]在职!$A:$B,2,0)</f>
        <v>01561</v>
      </c>
      <c r="H546" s="12" t="str">
        <f>VLOOKUP(F546,[4]在职!$A:$I,9,0)</f>
        <v>一星销售顾问</v>
      </c>
      <c r="I546" s="46" t="s">
        <v>915</v>
      </c>
      <c r="J546" s="83">
        <v>46093</v>
      </c>
      <c r="K546" s="12" t="s">
        <v>27</v>
      </c>
    </row>
    <row r="547" ht="16.5" hidden="1" spans="1:11">
      <c r="A547" s="12">
        <v>653</v>
      </c>
      <c r="B547" s="12" t="s">
        <v>45</v>
      </c>
      <c r="C547" s="12" t="str">
        <f>VLOOKUP(F547,[4]在职!$A:$E,5,0)</f>
        <v>山东</v>
      </c>
      <c r="D547" s="12" t="str">
        <f>VLOOKUP(F547,[4]在职!$A:$G,7,0)</f>
        <v>山东销售部</v>
      </c>
      <c r="E547" s="12" t="str">
        <f>VLOOKUP(F547,[4]在职!$A:$M,13,0)</f>
        <v>肖佳</v>
      </c>
      <c r="F547" s="5" t="s">
        <v>1492</v>
      </c>
      <c r="G547" s="12" t="str">
        <f>VLOOKUP(F547,[4]在职!$A:$B,2,0)</f>
        <v>01849</v>
      </c>
      <c r="H547" s="12" t="str">
        <f>VLOOKUP(F547,[4]在职!$A:$I,9,0)</f>
        <v>一星销售顾问</v>
      </c>
      <c r="I547" s="84" t="s">
        <v>907</v>
      </c>
      <c r="J547" s="83">
        <v>46093</v>
      </c>
      <c r="K547" s="12" t="s">
        <v>27</v>
      </c>
    </row>
    <row r="548" ht="16.5" hidden="1" spans="1:11">
      <c r="A548" s="12">
        <v>654</v>
      </c>
      <c r="B548" s="12" t="s">
        <v>45</v>
      </c>
      <c r="C548" s="12" t="str">
        <f>VLOOKUP(F548,[4]在职!$A:$E,5,0)</f>
        <v>山东</v>
      </c>
      <c r="D548" s="12" t="str">
        <f>VLOOKUP(F548,[4]在职!$A:$G,7,0)</f>
        <v>山东销售部</v>
      </c>
      <c r="E548" s="12" t="str">
        <f>VLOOKUP(F548,[4]在职!$A:$M,13,0)</f>
        <v>肖佳</v>
      </c>
      <c r="F548" s="5" t="s">
        <v>1493</v>
      </c>
      <c r="G548" s="12" t="str">
        <f>VLOOKUP(F548,[4]在职!$A:$B,2,0)</f>
        <v>01705</v>
      </c>
      <c r="H548" s="12" t="str">
        <f>VLOOKUP(F548,[4]在职!$A:$I,9,0)</f>
        <v>一星销售顾问</v>
      </c>
      <c r="I548" s="84" t="s">
        <v>907</v>
      </c>
      <c r="J548" s="83">
        <v>46093</v>
      </c>
      <c r="K548" s="12" t="s">
        <v>27</v>
      </c>
    </row>
    <row r="549" ht="16.5" hidden="1" spans="1:11">
      <c r="A549" s="12">
        <v>655</v>
      </c>
      <c r="B549" s="12" t="s">
        <v>45</v>
      </c>
      <c r="C549" s="12" t="str">
        <f>VLOOKUP(F549,[4]在职!$A:$E,5,0)</f>
        <v>山东</v>
      </c>
      <c r="D549" s="12" t="str">
        <f>VLOOKUP(F549,[4]在职!$A:$G,7,0)</f>
        <v>山东销售部</v>
      </c>
      <c r="E549" s="12" t="str">
        <f>VLOOKUP(F549,[4]在职!$A:$M,13,0)</f>
        <v>肖佳</v>
      </c>
      <c r="F549" s="5" t="s">
        <v>1494</v>
      </c>
      <c r="G549" s="12" t="str">
        <f>VLOOKUP(F549,[4]在职!$A:$B,2,0)</f>
        <v>01679</v>
      </c>
      <c r="H549" s="12" t="str">
        <f>VLOOKUP(F549,[4]在职!$A:$I,9,0)</f>
        <v>一星销售顾问</v>
      </c>
      <c r="I549" s="84" t="s">
        <v>907</v>
      </c>
      <c r="J549" s="83">
        <v>46093</v>
      </c>
      <c r="K549" s="12" t="s">
        <v>27</v>
      </c>
    </row>
    <row r="550" ht="16.5" hidden="1" spans="1:11">
      <c r="A550" s="12">
        <v>552</v>
      </c>
      <c r="B550" s="12" t="s">
        <v>45</v>
      </c>
      <c r="C550" s="12" t="str">
        <f>VLOOKUP(F550,[4]在职!$A:$E,5,0)</f>
        <v>山西</v>
      </c>
      <c r="D550" s="12" t="str">
        <f>VLOOKUP(F550,[4]在职!$A:$G,7,0)</f>
        <v>山西销售部</v>
      </c>
      <c r="E550" s="12" t="str">
        <f>VLOOKUP(F550,[4]在职!$A:$M,13,0)</f>
        <v>艾林</v>
      </c>
      <c r="F550" s="46" t="s">
        <v>1434</v>
      </c>
      <c r="G550" s="12" t="str">
        <f>VLOOKUP(F550,[4]在职!$A:$B,2,0)</f>
        <v>01680</v>
      </c>
      <c r="H550" s="12" t="str">
        <f>VLOOKUP(F550,[4]在职!$A:$I,9,0)</f>
        <v>一星销售顾问</v>
      </c>
      <c r="I550" s="46" t="s">
        <v>915</v>
      </c>
      <c r="J550" s="83">
        <v>46093</v>
      </c>
      <c r="K550" s="12" t="s">
        <v>27</v>
      </c>
    </row>
    <row r="551" ht="16.5" hidden="1" spans="1:11">
      <c r="A551" s="12">
        <v>553</v>
      </c>
      <c r="B551" s="12" t="s">
        <v>45</v>
      </c>
      <c r="C551" s="12" t="str">
        <f>VLOOKUP(F551,[4]在职!$A:$E,5,0)</f>
        <v>山西</v>
      </c>
      <c r="D551" s="12" t="str">
        <f>VLOOKUP(F551,[4]在职!$A:$G,7,0)</f>
        <v>山西销售部</v>
      </c>
      <c r="E551" s="12" t="str">
        <f>VLOOKUP(F551,[4]在职!$A:$M,13,0)</f>
        <v>艾林</v>
      </c>
      <c r="F551" s="46" t="s">
        <v>1435</v>
      </c>
      <c r="G551" s="12" t="str">
        <f>VLOOKUP(F551,[4]在职!$A:$B,2,0)</f>
        <v>01531</v>
      </c>
      <c r="H551" s="12" t="str">
        <f>VLOOKUP(F551,[4]在职!$A:$I,9,0)</f>
        <v>一星销售顾问</v>
      </c>
      <c r="I551" s="46" t="s">
        <v>915</v>
      </c>
      <c r="J551" s="83">
        <v>46093</v>
      </c>
      <c r="K551" s="12" t="s">
        <v>27</v>
      </c>
    </row>
    <row r="552" ht="16.5" hidden="1" spans="1:11">
      <c r="A552" s="12">
        <v>566</v>
      </c>
      <c r="B552" s="12" t="s">
        <v>45</v>
      </c>
      <c r="C552" s="12" t="str">
        <f>VLOOKUP(F552,[4]在职!$A:$E,5,0)</f>
        <v>山西</v>
      </c>
      <c r="D552" s="12" t="str">
        <f>VLOOKUP(F552,[4]在职!$A:$G,7,0)</f>
        <v>山西销售部</v>
      </c>
      <c r="E552" s="12" t="str">
        <f>VLOOKUP(F552,[4]在职!$A:$M,13,0)</f>
        <v>邓富</v>
      </c>
      <c r="F552" s="46" t="s">
        <v>1440</v>
      </c>
      <c r="G552" s="12" t="str">
        <f>VLOOKUP(F552,[4]在职!$A:$B,2,0)</f>
        <v>01824</v>
      </c>
      <c r="H552" s="12" t="str">
        <f>VLOOKUP(F552,[4]在职!$A:$I,9,0)</f>
        <v>一星销售顾问</v>
      </c>
      <c r="I552" s="46" t="s">
        <v>915</v>
      </c>
      <c r="J552" s="83">
        <v>46093</v>
      </c>
      <c r="K552" s="12" t="s">
        <v>27</v>
      </c>
    </row>
    <row r="553" ht="16.5" hidden="1" spans="1:11">
      <c r="A553" s="12">
        <v>567</v>
      </c>
      <c r="B553" s="12" t="s">
        <v>45</v>
      </c>
      <c r="C553" s="12" t="str">
        <f>VLOOKUP(F553,[4]在职!$A:$E,5,0)</f>
        <v>山西</v>
      </c>
      <c r="D553" s="12" t="str">
        <f>VLOOKUP(F553,[4]在职!$A:$G,7,0)</f>
        <v>山西销售部</v>
      </c>
      <c r="E553" s="12" t="str">
        <f>VLOOKUP(F553,[4]在职!$A:$M,13,0)</f>
        <v>邓富</v>
      </c>
      <c r="F553" s="46" t="s">
        <v>1441</v>
      </c>
      <c r="G553" s="12" t="str">
        <f>VLOOKUP(F553,[4]在职!$A:$B,2,0)</f>
        <v>01814</v>
      </c>
      <c r="H553" s="12" t="str">
        <f>VLOOKUP(F553,[4]在职!$A:$I,9,0)</f>
        <v>一星销售顾问</v>
      </c>
      <c r="I553" s="46" t="s">
        <v>915</v>
      </c>
      <c r="J553" s="83">
        <v>46093</v>
      </c>
      <c r="K553" s="12" t="s">
        <v>27</v>
      </c>
    </row>
    <row r="554" ht="16.5" hidden="1" spans="1:11">
      <c r="A554" s="12">
        <v>578</v>
      </c>
      <c r="B554" s="12" t="s">
        <v>45</v>
      </c>
      <c r="C554" s="12" t="str">
        <f>VLOOKUP(F554,[4]在职!$A:$E,5,0)</f>
        <v>山西</v>
      </c>
      <c r="D554" s="12" t="str">
        <f>VLOOKUP(F554,[4]在职!$A:$G,7,0)</f>
        <v>山西销售部</v>
      </c>
      <c r="E554" s="12" t="str">
        <f>VLOOKUP(F554,[4]在职!$A:$M,13,0)</f>
        <v>李权益</v>
      </c>
      <c r="F554" s="46" t="s">
        <v>1448</v>
      </c>
      <c r="G554" s="12" t="str">
        <f>VLOOKUP(F554,[4]在职!$A:$B,2,0)</f>
        <v>01650</v>
      </c>
      <c r="H554" s="12" t="str">
        <f>VLOOKUP(F554,[4]在职!$A:$I,9,0)</f>
        <v>一星销售顾问</v>
      </c>
      <c r="I554" s="46" t="s">
        <v>915</v>
      </c>
      <c r="J554" s="83">
        <v>46093</v>
      </c>
      <c r="K554" s="12" t="s">
        <v>27</v>
      </c>
    </row>
    <row r="555" ht="16.5" hidden="1" spans="1:11">
      <c r="A555" s="12">
        <v>583</v>
      </c>
      <c r="B555" s="12" t="s">
        <v>45</v>
      </c>
      <c r="C555" s="12" t="str">
        <f>VLOOKUP(F555,[4]在职!$A:$E,5,0)</f>
        <v>山西</v>
      </c>
      <c r="D555" s="12" t="str">
        <f>VLOOKUP(F555,[4]在职!$A:$G,7,0)</f>
        <v>山西销售部</v>
      </c>
      <c r="E555" s="12" t="str">
        <f>VLOOKUP(F555,[4]在职!$A:$M,13,0)</f>
        <v>刘辉</v>
      </c>
      <c r="F555" s="46" t="s">
        <v>1451</v>
      </c>
      <c r="G555" s="12" t="str">
        <f>VLOOKUP(F555,[4]在职!$A:$B,2,0)</f>
        <v>01726</v>
      </c>
      <c r="H555" s="12" t="str">
        <f>VLOOKUP(F555,[4]在职!$A:$I,9,0)</f>
        <v>一星销售顾问</v>
      </c>
      <c r="I555" s="46" t="s">
        <v>915</v>
      </c>
      <c r="J555" s="83">
        <v>46093</v>
      </c>
      <c r="K555" s="12" t="s">
        <v>27</v>
      </c>
    </row>
    <row r="556" ht="16.5" hidden="1" spans="1:11">
      <c r="A556" s="12">
        <v>627</v>
      </c>
      <c r="B556" s="12" t="s">
        <v>45</v>
      </c>
      <c r="C556" s="12" t="str">
        <f>VLOOKUP(F556,[4]在职!$A:$E,5,0)</f>
        <v>山西</v>
      </c>
      <c r="D556" s="12" t="str">
        <f>VLOOKUP(F556,[4]在职!$A:$G,7,0)</f>
        <v>山西销售部</v>
      </c>
      <c r="E556" s="12" t="str">
        <f>VLOOKUP(F556,[4]在职!$A:$M,13,0)</f>
        <v>赵龙</v>
      </c>
      <c r="F556" s="46" t="s">
        <v>1475</v>
      </c>
      <c r="G556" s="12" t="str">
        <f>VLOOKUP(F556,[4]在职!$A:$B,2,0)</f>
        <v>01573</v>
      </c>
      <c r="H556" s="12" t="str">
        <f>VLOOKUP(F556,[4]在职!$A:$I,9,0)</f>
        <v>一星销售顾问</v>
      </c>
      <c r="I556" s="46" t="s">
        <v>915</v>
      </c>
      <c r="J556" s="83">
        <v>46093</v>
      </c>
      <c r="K556" s="12" t="s">
        <v>27</v>
      </c>
    </row>
    <row r="557" ht="16.5" hidden="1" spans="1:11">
      <c r="A557" s="12">
        <v>612</v>
      </c>
      <c r="B557" s="12" t="s">
        <v>45</v>
      </c>
      <c r="C557" s="12" t="str">
        <f>VLOOKUP(F557,[4]在职!$A:$E,5,0)</f>
        <v>陕西</v>
      </c>
      <c r="D557" s="12" t="str">
        <f>VLOOKUP(F557,[4]在职!$A:$G,7,0)</f>
        <v>陕西1部</v>
      </c>
      <c r="E557" s="12" t="str">
        <f>VLOOKUP(F557,[4]在职!$A:$M,13,0)</f>
        <v>杨应</v>
      </c>
      <c r="F557" s="46" t="s">
        <v>1466</v>
      </c>
      <c r="G557" s="12" t="str">
        <f>VLOOKUP(F557,[4]在职!$A:$B,2,0)</f>
        <v>01617</v>
      </c>
      <c r="H557" s="12" t="str">
        <f>VLOOKUP(F557,[4]在职!$A:$I,9,0)</f>
        <v>一星销售顾问</v>
      </c>
      <c r="I557" s="46" t="s">
        <v>915</v>
      </c>
      <c r="J557" s="83">
        <v>46093</v>
      </c>
      <c r="K557" s="12" t="s">
        <v>27</v>
      </c>
    </row>
    <row r="558" ht="16.5" hidden="1" spans="1:11">
      <c r="A558" s="12">
        <v>613</v>
      </c>
      <c r="B558" s="12" t="s">
        <v>45</v>
      </c>
      <c r="C558" s="12" t="str">
        <f>VLOOKUP(F558,[4]在职!$A:$E,5,0)</f>
        <v>陕西</v>
      </c>
      <c r="D558" s="12" t="str">
        <f>VLOOKUP(F558,[4]在职!$A:$G,7,0)</f>
        <v>陕西1部</v>
      </c>
      <c r="E558" s="12" t="str">
        <f>VLOOKUP(F558,[4]在职!$A:$M,13,0)</f>
        <v>杨应</v>
      </c>
      <c r="F558" s="46" t="s">
        <v>1467</v>
      </c>
      <c r="G558" s="12" t="str">
        <f>VLOOKUP(F558,[4]在职!$A:$B,2,0)</f>
        <v>01489</v>
      </c>
      <c r="H558" s="12" t="str">
        <f>VLOOKUP(F558,[4]在职!$A:$I,9,0)</f>
        <v>一星销售顾问</v>
      </c>
      <c r="I558" s="46" t="s">
        <v>915</v>
      </c>
      <c r="J558" s="83">
        <v>46093</v>
      </c>
      <c r="K558" s="12" t="s">
        <v>27</v>
      </c>
    </row>
    <row r="559" ht="16.5" hidden="1" spans="1:11">
      <c r="A559" s="12">
        <v>640</v>
      </c>
      <c r="B559" s="12" t="s">
        <v>45</v>
      </c>
      <c r="C559" s="12" t="str">
        <f>VLOOKUP(F559,[4]在职!$A:$E,5,0)</f>
        <v>陕西</v>
      </c>
      <c r="D559" s="12" t="str">
        <f>VLOOKUP(F559,[4]在职!$A:$G,7,0)</f>
        <v>陕西1部</v>
      </c>
      <c r="E559" s="12" t="str">
        <f>VLOOKUP(F559,[4]在职!$A:$M,13,0)</f>
        <v>刘聪</v>
      </c>
      <c r="F559" s="5" t="s">
        <v>1482</v>
      </c>
      <c r="G559" s="12" t="str">
        <f>VLOOKUP(F559,[4]在职!$A:$B,2,0)</f>
        <v>01665</v>
      </c>
      <c r="H559" s="12" t="str">
        <f>VLOOKUP(F559,[4]在职!$A:$I,9,0)</f>
        <v>一星销售顾问</v>
      </c>
      <c r="I559" s="84" t="s">
        <v>907</v>
      </c>
      <c r="J559" s="83">
        <v>46093</v>
      </c>
      <c r="K559" s="12" t="s">
        <v>27</v>
      </c>
    </row>
    <row r="560" ht="16.5" hidden="1" spans="1:11">
      <c r="A560" s="12">
        <v>641</v>
      </c>
      <c r="B560" s="12" t="s">
        <v>45</v>
      </c>
      <c r="C560" s="12" t="str">
        <f>VLOOKUP(F560,[4]在职!$A:$E,5,0)</f>
        <v>陕西</v>
      </c>
      <c r="D560" s="12" t="str">
        <f>VLOOKUP(F560,[4]在职!$A:$G,7,0)</f>
        <v>陕西1部</v>
      </c>
      <c r="E560" s="12" t="str">
        <f>VLOOKUP(F560,[4]在职!$A:$M,13,0)</f>
        <v>刘聪</v>
      </c>
      <c r="F560" s="5" t="s">
        <v>1483</v>
      </c>
      <c r="G560" s="12" t="str">
        <f>VLOOKUP(F560,[4]在职!$A:$B,2,0)</f>
        <v>01656</v>
      </c>
      <c r="H560" s="12" t="str">
        <f>VLOOKUP(F560,[4]在职!$A:$I,9,0)</f>
        <v>一星销售顾问</v>
      </c>
      <c r="I560" s="84" t="s">
        <v>907</v>
      </c>
      <c r="J560" s="83">
        <v>46093</v>
      </c>
      <c r="K560" s="12" t="s">
        <v>27</v>
      </c>
    </row>
    <row r="561" ht="16.5" hidden="1" spans="1:11">
      <c r="A561" s="12">
        <v>642</v>
      </c>
      <c r="B561" s="12" t="s">
        <v>45</v>
      </c>
      <c r="C561" s="12" t="str">
        <f>VLOOKUP(F561,[4]在职!$A:$E,5,0)</f>
        <v>陕西</v>
      </c>
      <c r="D561" s="12" t="str">
        <f>VLOOKUP(F561,[4]在职!$A:$G,7,0)</f>
        <v>陕西1部</v>
      </c>
      <c r="E561" s="12" t="str">
        <f>VLOOKUP(F561,[4]在职!$A:$M,13,0)</f>
        <v>刘聪</v>
      </c>
      <c r="F561" s="5" t="s">
        <v>1484</v>
      </c>
      <c r="G561" s="12" t="str">
        <f>VLOOKUP(F561,[4]在职!$A:$B,2,0)</f>
        <v>01653</v>
      </c>
      <c r="H561" s="12" t="str">
        <f>VLOOKUP(F561,[4]在职!$A:$I,9,0)</f>
        <v>一星销售顾问</v>
      </c>
      <c r="I561" s="84" t="s">
        <v>907</v>
      </c>
      <c r="J561" s="83">
        <v>46093</v>
      </c>
      <c r="K561" s="12" t="s">
        <v>27</v>
      </c>
    </row>
    <row r="562" ht="16.5" hidden="1" spans="1:11">
      <c r="A562" s="12">
        <v>663</v>
      </c>
      <c r="B562" s="12" t="s">
        <v>45</v>
      </c>
      <c r="C562" s="12" t="str">
        <f>VLOOKUP(F562,[4]在职!$A:$E,5,0)</f>
        <v>陕西</v>
      </c>
      <c r="D562" s="12" t="str">
        <f>VLOOKUP(F562,[4]在职!$A:$G,7,0)</f>
        <v>陕西1部</v>
      </c>
      <c r="E562" s="12" t="str">
        <f>VLOOKUP(F562,[4]在职!$A:$M,13,0)</f>
        <v>杨永梅</v>
      </c>
      <c r="F562" s="5" t="s">
        <v>1499</v>
      </c>
      <c r="G562" s="12" t="str">
        <f>VLOOKUP(F562,[4]在职!$A:$B,2,0)</f>
        <v>01589</v>
      </c>
      <c r="H562" s="12" t="str">
        <f>VLOOKUP(F562,[4]在职!$A:$I,9,0)</f>
        <v>一星销售顾问</v>
      </c>
      <c r="I562" s="84" t="s">
        <v>907</v>
      </c>
      <c r="J562" s="83">
        <v>46093</v>
      </c>
      <c r="K562" s="12" t="s">
        <v>27</v>
      </c>
    </row>
    <row r="563" ht="16.5" hidden="1" spans="1:11">
      <c r="A563" s="12">
        <v>569</v>
      </c>
      <c r="B563" s="12" t="s">
        <v>45</v>
      </c>
      <c r="C563" s="12" t="str">
        <f>VLOOKUP(F563,[4]在职!$A:$E,5,0)</f>
        <v>陕西</v>
      </c>
      <c r="D563" s="12" t="str">
        <f>VLOOKUP(F563,[4]在职!$A:$G,7,0)</f>
        <v>陕西2部</v>
      </c>
      <c r="E563" s="12" t="str">
        <f>VLOOKUP(F563,[4]在职!$A:$M,13,0)</f>
        <v>冀敏</v>
      </c>
      <c r="F563" s="46" t="s">
        <v>932</v>
      </c>
      <c r="G563" s="12" t="str">
        <f>VLOOKUP(F563,[4]在职!$A:$B,2,0)</f>
        <v>01654</v>
      </c>
      <c r="H563" s="12" t="str">
        <f>VLOOKUP(F563,[4]在职!$A:$I,9,0)</f>
        <v>一星销售顾问</v>
      </c>
      <c r="I563" s="46" t="s">
        <v>915</v>
      </c>
      <c r="J563" s="83">
        <v>46093</v>
      </c>
      <c r="K563" s="12" t="s">
        <v>27</v>
      </c>
    </row>
    <row r="564" ht="16.5" hidden="1" spans="1:11">
      <c r="A564" s="12">
        <v>579</v>
      </c>
      <c r="B564" s="12" t="s">
        <v>45</v>
      </c>
      <c r="C564" s="12" t="str">
        <f>VLOOKUP(F564,[4]在职!$A:$E,5,0)</f>
        <v>陕西</v>
      </c>
      <c r="D564" s="12" t="str">
        <f>VLOOKUP(F564,[4]在职!$A:$G,7,0)</f>
        <v>陕西2部</v>
      </c>
      <c r="E564" s="12" t="str">
        <f>VLOOKUP(F564,[4]在职!$A:$M,13,0)</f>
        <v>李耀</v>
      </c>
      <c r="F564" s="46" t="s">
        <v>1449</v>
      </c>
      <c r="G564" s="12" t="str">
        <f>VLOOKUP(F564,[4]在职!$A:$B,2,0)</f>
        <v>00583</v>
      </c>
      <c r="H564" s="12" t="str">
        <f>VLOOKUP(F564,[4]在职!$A:$I,9,0)</f>
        <v>一星销售顾问</v>
      </c>
      <c r="I564" s="46" t="s">
        <v>915</v>
      </c>
      <c r="J564" s="83">
        <v>46093</v>
      </c>
      <c r="K564" s="12" t="s">
        <v>27</v>
      </c>
    </row>
    <row r="565" ht="16.5" hidden="1" spans="1:11">
      <c r="A565" s="12">
        <v>587</v>
      </c>
      <c r="B565" s="12" t="s">
        <v>45</v>
      </c>
      <c r="C565" s="12" t="str">
        <f>VLOOKUP(F565,[4]在职!$A:$E,5,0)</f>
        <v>陕西</v>
      </c>
      <c r="D565" s="12" t="str">
        <f>VLOOKUP(F565,[4]在职!$A:$G,7,0)</f>
        <v>陕西2部</v>
      </c>
      <c r="E565" s="12" t="str">
        <f>VLOOKUP(F565,[4]在职!$A:$M,13,0)</f>
        <v>罗小花</v>
      </c>
      <c r="F565" s="46" t="s">
        <v>1452</v>
      </c>
      <c r="G565" s="12" t="str">
        <f>VLOOKUP(F565,[4]在职!$A:$B,2,0)</f>
        <v>01720</v>
      </c>
      <c r="H565" s="12" t="str">
        <f>VLOOKUP(F565,[4]在职!$A:$I,9,0)</f>
        <v>一星销售顾问</v>
      </c>
      <c r="I565" s="46" t="s">
        <v>915</v>
      </c>
      <c r="J565" s="83">
        <v>46093</v>
      </c>
      <c r="K565" s="12" t="s">
        <v>27</v>
      </c>
    </row>
    <row r="566" ht="16.5" hidden="1" spans="1:11">
      <c r="A566" s="12">
        <v>602</v>
      </c>
      <c r="B566" s="12" t="s">
        <v>45</v>
      </c>
      <c r="C566" s="12" t="str">
        <f>VLOOKUP(F566,[4]在职!$A:$E,5,0)</f>
        <v>陕西</v>
      </c>
      <c r="D566" s="12" t="str">
        <f>VLOOKUP(F566,[4]在职!$A:$G,7,0)</f>
        <v>陕西2部</v>
      </c>
      <c r="E566" s="12" t="str">
        <f>VLOOKUP(F566,[4]在职!$A:$M,13,0)</f>
        <v>王天成</v>
      </c>
      <c r="F566" s="46" t="s">
        <v>1460</v>
      </c>
      <c r="G566" s="12" t="str">
        <f>VLOOKUP(F566,[4]在职!$A:$B,2,0)</f>
        <v>01566</v>
      </c>
      <c r="H566" s="12" t="str">
        <f>VLOOKUP(F566,[4]在职!$A:$I,9,0)</f>
        <v>一星销售顾问</v>
      </c>
      <c r="I566" s="46" t="s">
        <v>915</v>
      </c>
      <c r="J566" s="83">
        <v>46093</v>
      </c>
      <c r="K566" s="12" t="s">
        <v>27</v>
      </c>
    </row>
    <row r="567" ht="16.5" hidden="1" spans="1:11">
      <c r="A567" s="12">
        <v>611</v>
      </c>
      <c r="B567" s="12" t="s">
        <v>45</v>
      </c>
      <c r="C567" s="12" t="str">
        <f>VLOOKUP(F567,[4]在职!$A:$E,5,0)</f>
        <v>陕西</v>
      </c>
      <c r="D567" s="12" t="str">
        <f>VLOOKUP(F567,[4]在职!$A:$G,7,0)</f>
        <v>陕西2部</v>
      </c>
      <c r="E567" s="12" t="str">
        <f>VLOOKUP(F567,[4]在职!$A:$M,13,0)</f>
        <v>王超2</v>
      </c>
      <c r="F567" s="46" t="s">
        <v>1465</v>
      </c>
      <c r="G567" s="12" t="str">
        <f>VLOOKUP(F567,[4]在职!$A:$B,2,0)</f>
        <v>01627</v>
      </c>
      <c r="H567" s="12" t="str">
        <f>VLOOKUP(F567,[4]在职!$A:$I,9,0)</f>
        <v>一星销售顾问</v>
      </c>
      <c r="I567" s="46" t="s">
        <v>915</v>
      </c>
      <c r="J567" s="83">
        <v>46093</v>
      </c>
      <c r="K567" s="12" t="s">
        <v>27</v>
      </c>
    </row>
    <row r="568" ht="16.5" hidden="1" spans="1:11">
      <c r="A568" s="12">
        <v>646</v>
      </c>
      <c r="B568" s="12" t="s">
        <v>45</v>
      </c>
      <c r="C568" s="12" t="str">
        <f>VLOOKUP(F568,[4]在职!$A:$E,5,0)</f>
        <v>陕西</v>
      </c>
      <c r="D568" s="12" t="str">
        <f>VLOOKUP(F568,[4]在职!$A:$G,7,0)</f>
        <v>陕西2部</v>
      </c>
      <c r="E568" s="12" t="str">
        <f>VLOOKUP(F568,[4]在职!$A:$M,13,0)</f>
        <v>乔磊</v>
      </c>
      <c r="F568" s="5" t="s">
        <v>1487</v>
      </c>
      <c r="G568" s="12" t="str">
        <f>VLOOKUP(F568,[4]在职!$A:$B,2,0)</f>
        <v>01770</v>
      </c>
      <c r="H568" s="12" t="str">
        <f>VLOOKUP(F568,[4]在职!$A:$I,9,0)</f>
        <v>一星销售顾问</v>
      </c>
      <c r="I568" s="84" t="s">
        <v>907</v>
      </c>
      <c r="J568" s="83">
        <v>46093</v>
      </c>
      <c r="K568" s="12" t="s">
        <v>27</v>
      </c>
    </row>
    <row r="569" ht="16.5" hidden="1" spans="1:11">
      <c r="A569" s="12">
        <v>647</v>
      </c>
      <c r="B569" s="12" t="s">
        <v>45</v>
      </c>
      <c r="C569" s="12" t="str">
        <f>VLOOKUP(F569,[4]在职!$A:$E,5,0)</f>
        <v>陕西</v>
      </c>
      <c r="D569" s="12" t="str">
        <f>VLOOKUP(F569,[4]在职!$A:$G,7,0)</f>
        <v>陕西2部</v>
      </c>
      <c r="E569" s="12" t="str">
        <f>VLOOKUP(F569,[4]在职!$A:$M,13,0)</f>
        <v>乔磊</v>
      </c>
      <c r="F569" s="5" t="s">
        <v>1488</v>
      </c>
      <c r="G569" s="12" t="str">
        <f>VLOOKUP(F569,[4]在职!$A:$B,2,0)</f>
        <v>01526</v>
      </c>
      <c r="H569" s="12" t="str">
        <f>VLOOKUP(F569,[4]在职!$A:$I,9,0)</f>
        <v>一星销售顾问</v>
      </c>
      <c r="I569" s="84" t="s">
        <v>907</v>
      </c>
      <c r="J569" s="83">
        <v>46093</v>
      </c>
      <c r="K569" s="12" t="s">
        <v>27</v>
      </c>
    </row>
    <row r="570" ht="16.5" hidden="1" spans="1:11">
      <c r="A570" s="12">
        <v>603</v>
      </c>
      <c r="B570" s="12" t="s">
        <v>45</v>
      </c>
      <c r="C570" s="12" t="str">
        <f>VLOOKUP(F570,[4]在职!$A:$E,5,0)</f>
        <v>西南总部</v>
      </c>
      <c r="D570" s="12" t="str">
        <f>VLOOKUP(F570,[4]在职!$A:$G,7,0)</f>
        <v>营业二部</v>
      </c>
      <c r="E570" s="12" t="str">
        <f>VLOOKUP(F570,[4]在职!$A:$M,13,0)</f>
        <v>文鹏羽</v>
      </c>
      <c r="F570" s="46" t="s">
        <v>1227</v>
      </c>
      <c r="G570" s="12" t="str">
        <f>VLOOKUP(F570,[4]在职!$A:$B,2,0)</f>
        <v>01764</v>
      </c>
      <c r="H570" s="12" t="str">
        <f>VLOOKUP(F570,[4]在职!$A:$I,9,0)</f>
        <v>一星销售顾问</v>
      </c>
      <c r="I570" s="46" t="s">
        <v>915</v>
      </c>
      <c r="J570" s="83">
        <v>46093</v>
      </c>
      <c r="K570" s="12" t="s">
        <v>27</v>
      </c>
    </row>
    <row r="571" ht="16.5" hidden="1" spans="1:11">
      <c r="A571" s="12">
        <v>610</v>
      </c>
      <c r="B571" s="12" t="s">
        <v>45</v>
      </c>
      <c r="C571" s="12" t="str">
        <f>VLOOKUP(F571,[4]在职!$A:$E,5,0)</f>
        <v>西南总部</v>
      </c>
      <c r="D571" s="12" t="str">
        <f>VLOOKUP(F571,[4]在职!$A:$G,7,0)</f>
        <v>营业二部</v>
      </c>
      <c r="E571" s="12" t="str">
        <f>VLOOKUP(F571,[4]在职!$A:$M,13,0)</f>
        <v>杨芊</v>
      </c>
      <c r="F571" s="46" t="s">
        <v>1036</v>
      </c>
      <c r="G571" s="12" t="str">
        <f>VLOOKUP(F571,[4]在职!$A:$B,2,0)</f>
        <v>01562</v>
      </c>
      <c r="H571" s="12" t="str">
        <f>VLOOKUP(F571,[4]在职!$A:$I,9,0)</f>
        <v>二星销售顾问</v>
      </c>
      <c r="I571" s="46" t="s">
        <v>915</v>
      </c>
      <c r="J571" s="83">
        <v>46093</v>
      </c>
      <c r="K571" s="12" t="s">
        <v>27</v>
      </c>
    </row>
    <row r="572" ht="16.5" hidden="1" spans="1:11">
      <c r="A572" s="12">
        <v>664</v>
      </c>
      <c r="B572" s="12" t="s">
        <v>45</v>
      </c>
      <c r="C572" s="12" t="str">
        <f>VLOOKUP(F572,[4]在职!$A:$E,5,0)</f>
        <v>西南总部</v>
      </c>
      <c r="D572" s="12" t="str">
        <f>VLOOKUP(F572,[4]在职!$A:$G,7,0)</f>
        <v>营业二部</v>
      </c>
      <c r="E572" s="12" t="str">
        <f>VLOOKUP(F572,[4]在职!$A:$M,13,0)</f>
        <v>张佩瑶</v>
      </c>
      <c r="F572" s="5" t="s">
        <v>1500</v>
      </c>
      <c r="G572" s="12" t="str">
        <f>VLOOKUP(F572,[4]在职!$A:$B,2,0)</f>
        <v>01785</v>
      </c>
      <c r="H572" s="12" t="str">
        <f>VLOOKUP(F572,[4]在职!$A:$I,9,0)</f>
        <v>一星销售顾问</v>
      </c>
      <c r="I572" s="84" t="s">
        <v>907</v>
      </c>
      <c r="J572" s="83">
        <v>46093</v>
      </c>
      <c r="K572" s="12" t="s">
        <v>27</v>
      </c>
    </row>
    <row r="573" ht="16.5" hidden="1" spans="1:11">
      <c r="A573" s="12">
        <v>665</v>
      </c>
      <c r="B573" s="12" t="s">
        <v>45</v>
      </c>
      <c r="C573" s="12" t="str">
        <f>VLOOKUP(F573,[4]在职!$A:$E,5,0)</f>
        <v>西南总部</v>
      </c>
      <c r="D573" s="12" t="str">
        <f>VLOOKUP(F573,[4]在职!$A:$G,7,0)</f>
        <v>营业二部</v>
      </c>
      <c r="E573" s="12" t="str">
        <f>VLOOKUP(F573,[4]在职!$A:$M,13,0)</f>
        <v>张佩瑶</v>
      </c>
      <c r="F573" s="5" t="s">
        <v>1064</v>
      </c>
      <c r="G573" s="12" t="str">
        <f>VLOOKUP(F573,[4]在职!$A:$B,2,0)</f>
        <v>00569</v>
      </c>
      <c r="H573" s="12" t="str">
        <f>VLOOKUP(F573,[4]在职!$A:$I,9,0)</f>
        <v>二星销售顾问</v>
      </c>
      <c r="I573" s="84" t="s">
        <v>907</v>
      </c>
      <c r="J573" s="83">
        <v>46093</v>
      </c>
      <c r="K573" s="12" t="s">
        <v>27</v>
      </c>
    </row>
    <row r="574" ht="16.5" hidden="1" spans="1:11">
      <c r="A574" s="12">
        <v>565</v>
      </c>
      <c r="B574" s="12" t="s">
        <v>45</v>
      </c>
      <c r="C574" s="12" t="str">
        <f>VLOOKUP(F574,[4]在职!$A:$E,5,0)</f>
        <v>西南总部</v>
      </c>
      <c r="D574" s="12" t="str">
        <f>VLOOKUP(F574,[4]在职!$A:$G,7,0)</f>
        <v>营业六部</v>
      </c>
      <c r="E574" s="12" t="str">
        <f>VLOOKUP(F574,[4]在职!$A:$M,13,0)</f>
        <v>党虹</v>
      </c>
      <c r="F574" s="46" t="s">
        <v>1439</v>
      </c>
      <c r="G574" s="12" t="str">
        <f>VLOOKUP(F574,[4]在职!$A:$B,2,0)</f>
        <v>01646</v>
      </c>
      <c r="H574" s="12" t="str">
        <f>VLOOKUP(F574,[4]在职!$A:$I,9,0)</f>
        <v>一星销售顾问</v>
      </c>
      <c r="I574" s="46" t="s">
        <v>915</v>
      </c>
      <c r="J574" s="83">
        <v>46093</v>
      </c>
      <c r="K574" s="12" t="s">
        <v>27</v>
      </c>
    </row>
    <row r="575" ht="16.5" hidden="1" spans="1:11">
      <c r="A575" s="12">
        <v>597</v>
      </c>
      <c r="B575" s="12" t="s">
        <v>45</v>
      </c>
      <c r="C575" s="12" t="str">
        <f>VLOOKUP(F575,[4]在职!$A:$E,5,0)</f>
        <v>西南总部</v>
      </c>
      <c r="D575" s="12" t="str">
        <f>VLOOKUP(F575,[4]在职!$A:$G,7,0)</f>
        <v>营业六部</v>
      </c>
      <c r="E575" s="12" t="str">
        <f>VLOOKUP(F575,[4]在职!$A:$M,13,0)</f>
        <v>税锐</v>
      </c>
      <c r="F575" s="46" t="s">
        <v>992</v>
      </c>
      <c r="G575" s="12" t="str">
        <f>VLOOKUP(F575,[4]在职!$A:$B,2,0)</f>
        <v>01398</v>
      </c>
      <c r="H575" s="12" t="str">
        <f>VLOOKUP(F575,[4]在职!$A:$I,9,0)</f>
        <v>二星销售顾问</v>
      </c>
      <c r="I575" s="46" t="s">
        <v>915</v>
      </c>
      <c r="J575" s="83">
        <v>46093</v>
      </c>
      <c r="K575" s="12" t="s">
        <v>27</v>
      </c>
    </row>
    <row r="576" ht="16.5" hidden="1" spans="1:11">
      <c r="A576" s="12">
        <v>628</v>
      </c>
      <c r="B576" s="12" t="s">
        <v>45</v>
      </c>
      <c r="C576" s="12" t="str">
        <f>VLOOKUP(F576,[4]在职!$A:$E,5,0)</f>
        <v>西南总部</v>
      </c>
      <c r="D576" s="12" t="str">
        <f>VLOOKUP(F576,[4]在职!$A:$G,7,0)</f>
        <v>营业六部</v>
      </c>
      <c r="E576" s="12" t="str">
        <f>VLOOKUP(F576,[4]在职!$A:$M,13,0)</f>
        <v>郑雄</v>
      </c>
      <c r="F576" s="46" t="s">
        <v>1016</v>
      </c>
      <c r="G576" s="12" t="str">
        <f>VLOOKUP(F576,[4]在职!$A:$B,2,0)</f>
        <v>01324</v>
      </c>
      <c r="H576" s="12" t="str">
        <f>VLOOKUP(F576,[4]在职!$A:$I,9,0)</f>
        <v>二星销售顾问</v>
      </c>
      <c r="I576" s="46" t="s">
        <v>915</v>
      </c>
      <c r="J576" s="83">
        <v>46093</v>
      </c>
      <c r="K576" s="12" t="s">
        <v>27</v>
      </c>
    </row>
    <row r="577" ht="16.5" hidden="1" spans="1:11">
      <c r="A577" s="12">
        <v>648</v>
      </c>
      <c r="B577" s="12" t="s">
        <v>45</v>
      </c>
      <c r="C577" s="12" t="str">
        <f>VLOOKUP(F577,[4]在职!$A:$E,5,0)</f>
        <v>西南总部</v>
      </c>
      <c r="D577" s="12" t="str">
        <f>VLOOKUP(F577,[4]在职!$A:$G,7,0)</f>
        <v>营业六部</v>
      </c>
      <c r="E577" s="12" t="str">
        <f>VLOOKUP(F577,[4]在职!$A:$M,13,0)</f>
        <v>税锐</v>
      </c>
      <c r="F577" s="5" t="s">
        <v>1489</v>
      </c>
      <c r="G577" s="12" t="str">
        <f>VLOOKUP(F577,[4]在职!$A:$B,2,0)</f>
        <v>01704</v>
      </c>
      <c r="H577" s="12" t="str">
        <f>VLOOKUP(F577,[4]在职!$A:$I,9,0)</f>
        <v>一星销售顾问</v>
      </c>
      <c r="I577" s="84" t="s">
        <v>907</v>
      </c>
      <c r="J577" s="83">
        <v>46093</v>
      </c>
      <c r="K577" s="12" t="s">
        <v>27</v>
      </c>
    </row>
    <row r="578" ht="16.5" hidden="1" spans="1:11">
      <c r="A578" s="12">
        <v>649</v>
      </c>
      <c r="B578" s="12" t="s">
        <v>45</v>
      </c>
      <c r="C578" s="12" t="str">
        <f>VLOOKUP(F578,[4]在职!$A:$E,5,0)</f>
        <v>西南总部</v>
      </c>
      <c r="D578" s="12" t="str">
        <f>VLOOKUP(F578,[4]在职!$A:$G,7,0)</f>
        <v>营业六部</v>
      </c>
      <c r="E578" s="12" t="str">
        <f>VLOOKUP(F578,[4]在职!$A:$M,13,0)</f>
        <v>税锐</v>
      </c>
      <c r="F578" s="5" t="s">
        <v>1490</v>
      </c>
      <c r="G578" s="12" t="str">
        <f>VLOOKUP(F578,[4]在职!$A:$B,2,0)</f>
        <v>01699</v>
      </c>
      <c r="H578" s="12" t="str">
        <f>VLOOKUP(F578,[4]在职!$A:$I,9,0)</f>
        <v>一星销售顾问</v>
      </c>
      <c r="I578" s="84" t="s">
        <v>907</v>
      </c>
      <c r="J578" s="83">
        <v>46093</v>
      </c>
      <c r="K578" s="12" t="s">
        <v>27</v>
      </c>
    </row>
    <row r="579" ht="16.5" hidden="1" spans="1:11">
      <c r="A579" s="12">
        <v>658</v>
      </c>
      <c r="B579" s="12" t="s">
        <v>45</v>
      </c>
      <c r="C579" s="12" t="str">
        <f>VLOOKUP(F579,[4]在职!$A:$E,5,0)</f>
        <v>西南总部</v>
      </c>
      <c r="D579" s="12" t="str">
        <f>VLOOKUP(F579,[4]在职!$A:$G,7,0)</f>
        <v>营业六部</v>
      </c>
      <c r="E579" s="12" t="str">
        <f>VLOOKUP(F579,[4]在职!$A:$M,13,0)</f>
        <v>杨翠茹</v>
      </c>
      <c r="F579" s="5" t="s">
        <v>1497</v>
      </c>
      <c r="G579" s="12" t="str">
        <f>VLOOKUP(F579,[4]在职!$A:$B,2,0)</f>
        <v>01739</v>
      </c>
      <c r="H579" s="12" t="str">
        <f>VLOOKUP(F579,[4]在职!$A:$I,9,0)</f>
        <v>一星销售顾问</v>
      </c>
      <c r="I579" s="84" t="s">
        <v>907</v>
      </c>
      <c r="J579" s="83">
        <v>46093</v>
      </c>
      <c r="K579" s="12" t="s">
        <v>27</v>
      </c>
    </row>
    <row r="580" ht="16.5" hidden="1" spans="1:11">
      <c r="A580" s="12">
        <v>659</v>
      </c>
      <c r="B580" s="12" t="s">
        <v>45</v>
      </c>
      <c r="C580" s="12" t="str">
        <f>VLOOKUP(F580,[4]在职!$A:$E,5,0)</f>
        <v>西南总部</v>
      </c>
      <c r="D580" s="12" t="str">
        <f>VLOOKUP(F580,[4]在职!$A:$G,7,0)</f>
        <v>营业六部</v>
      </c>
      <c r="E580" s="12" t="str">
        <f>VLOOKUP(F580,[4]在职!$A:$M,13,0)</f>
        <v>杨翠茹</v>
      </c>
      <c r="F580" s="5" t="s">
        <v>1022</v>
      </c>
      <c r="G580" s="12" t="str">
        <f>VLOOKUP(F580,[4]在职!$A:$B,2,0)</f>
        <v>01579</v>
      </c>
      <c r="H580" s="12" t="str">
        <f>VLOOKUP(F580,[4]在职!$A:$I,9,0)</f>
        <v>二星销售顾问</v>
      </c>
      <c r="I580" s="84" t="s">
        <v>907</v>
      </c>
      <c r="J580" s="83">
        <v>46093</v>
      </c>
      <c r="K580" s="12" t="s">
        <v>27</v>
      </c>
    </row>
    <row r="581" ht="16.5" hidden="1" spans="1:11">
      <c r="A581" s="12">
        <v>660</v>
      </c>
      <c r="B581" s="12" t="s">
        <v>45</v>
      </c>
      <c r="C581" s="12" t="str">
        <f>VLOOKUP(F581,[4]在职!$A:$E,5,0)</f>
        <v>西南总部</v>
      </c>
      <c r="D581" s="12" t="str">
        <f>VLOOKUP(F581,[4]在职!$A:$G,7,0)</f>
        <v>营业六部</v>
      </c>
      <c r="E581" s="12" t="str">
        <f>VLOOKUP(F581,[4]在职!$A:$M,13,0)</f>
        <v>杨威</v>
      </c>
      <c r="F581" s="5" t="s">
        <v>1498</v>
      </c>
      <c r="G581" s="12" t="str">
        <f>VLOOKUP(F581,[4]在职!$A:$B,2,0)</f>
        <v>01274</v>
      </c>
      <c r="H581" s="12" t="str">
        <f>VLOOKUP(F581,[4]在职!$A:$I,9,0)</f>
        <v>一星销售顾问</v>
      </c>
      <c r="I581" s="84" t="s">
        <v>907</v>
      </c>
      <c r="J581" s="83">
        <v>46093</v>
      </c>
      <c r="K581" s="12" t="s">
        <v>27</v>
      </c>
    </row>
    <row r="582" ht="16.5" hidden="1" spans="1:11">
      <c r="A582" s="12">
        <v>661</v>
      </c>
      <c r="B582" s="12" t="s">
        <v>45</v>
      </c>
      <c r="C582" s="12" t="str">
        <f>VLOOKUP(F582,[4]在职!$A:$E,5,0)</f>
        <v>西南总部</v>
      </c>
      <c r="D582" s="12" t="str">
        <f>VLOOKUP(F582,[4]在职!$A:$G,7,0)</f>
        <v>营业六部</v>
      </c>
      <c r="E582" s="12" t="str">
        <f>VLOOKUP(F582,[4]在职!$A:$M,13,0)</f>
        <v>杨威</v>
      </c>
      <c r="F582" s="5" t="s">
        <v>1040</v>
      </c>
      <c r="G582" s="12" t="str">
        <f>VLOOKUP(F582,[4]在职!$A:$B,2,0)</f>
        <v>01660</v>
      </c>
      <c r="H582" s="12" t="str">
        <f>VLOOKUP(F582,[4]在职!$A:$I,9,0)</f>
        <v>一星销售顾问</v>
      </c>
      <c r="I582" s="84" t="s">
        <v>907</v>
      </c>
      <c r="J582" s="83">
        <v>46093</v>
      </c>
      <c r="K582" s="12" t="s">
        <v>27</v>
      </c>
    </row>
    <row r="583" ht="16.5" hidden="1" spans="1:11">
      <c r="A583" s="12">
        <v>662</v>
      </c>
      <c r="B583" s="12" t="s">
        <v>45</v>
      </c>
      <c r="C583" s="12" t="str">
        <f>VLOOKUP(F583,[4]在职!$A:$E,5,0)</f>
        <v>西南总部</v>
      </c>
      <c r="D583" s="12" t="str">
        <f>VLOOKUP(F583,[4]在职!$A:$G,7,0)</f>
        <v>营业六部</v>
      </c>
      <c r="E583" s="12" t="str">
        <f>VLOOKUP(F583,[4]在职!$A:$M,13,0)</f>
        <v>杨威</v>
      </c>
      <c r="F583" s="5" t="s">
        <v>1042</v>
      </c>
      <c r="G583" s="12" t="str">
        <f>VLOOKUP(F583,[4]在职!$A:$B,2,0)</f>
        <v>01615</v>
      </c>
      <c r="H583" s="12" t="str">
        <f>VLOOKUP(F583,[4]在职!$A:$I,9,0)</f>
        <v>一星销售顾问</v>
      </c>
      <c r="I583" s="84" t="s">
        <v>907</v>
      </c>
      <c r="J583" s="83">
        <v>46093</v>
      </c>
      <c r="K583" s="12" t="s">
        <v>27</v>
      </c>
    </row>
    <row r="584" ht="16.5" hidden="1" spans="1:11">
      <c r="A584" s="12">
        <v>560</v>
      </c>
      <c r="B584" s="12" t="s">
        <v>45</v>
      </c>
      <c r="C584" s="12" t="str">
        <f>VLOOKUP(F584,[4]在职!$A:$E,5,0)</f>
        <v>西南总部</v>
      </c>
      <c r="D584" s="12" t="str">
        <f>VLOOKUP(F584,[4]在职!$A:$G,7,0)</f>
        <v>营业七部</v>
      </c>
      <c r="E584" s="12" t="str">
        <f>VLOOKUP(F584,[4]在职!$A:$M,13,0)</f>
        <v>陈彪</v>
      </c>
      <c r="F584" s="46" t="s">
        <v>1438</v>
      </c>
      <c r="G584" s="12" t="str">
        <f>VLOOKUP(F584,[4]在职!$A:$B,2,0)</f>
        <v>01732</v>
      </c>
      <c r="H584" s="12" t="str">
        <f>VLOOKUP(F584,[4]在职!$A:$I,9,0)</f>
        <v>一星销售顾问</v>
      </c>
      <c r="I584" s="46" t="s">
        <v>915</v>
      </c>
      <c r="J584" s="83">
        <v>46093</v>
      </c>
      <c r="K584" s="12" t="s">
        <v>27</v>
      </c>
    </row>
    <row r="585" ht="16.5" hidden="1" spans="1:11">
      <c r="A585" s="12">
        <v>561</v>
      </c>
      <c r="B585" s="12" t="s">
        <v>45</v>
      </c>
      <c r="C585" s="12" t="str">
        <f>VLOOKUP(F585,[4]在职!$A:$E,5,0)</f>
        <v>西南总部</v>
      </c>
      <c r="D585" s="12" t="str">
        <f>VLOOKUP(F585,[4]在职!$A:$G,7,0)</f>
        <v>营业七部</v>
      </c>
      <c r="E585" s="12" t="str">
        <f>VLOOKUP(F585,[4]在职!$A:$M,13,0)</f>
        <v>陈彪</v>
      </c>
      <c r="F585" s="46" t="s">
        <v>922</v>
      </c>
      <c r="G585" s="12" t="str">
        <f>VLOOKUP(F585,[4]在职!$A:$B,2,0)</f>
        <v>01500</v>
      </c>
      <c r="H585" s="12" t="str">
        <f>VLOOKUP(F585,[4]在职!$A:$I,9,0)</f>
        <v>一星销售顾问</v>
      </c>
      <c r="I585" s="46" t="s">
        <v>915</v>
      </c>
      <c r="J585" s="83">
        <v>46093</v>
      </c>
      <c r="K585" s="12" t="s">
        <v>27</v>
      </c>
    </row>
    <row r="586" ht="16.5" hidden="1" spans="1:11">
      <c r="A586" s="12">
        <v>584</v>
      </c>
      <c r="B586" s="12" t="s">
        <v>45</v>
      </c>
      <c r="C586" s="12" t="str">
        <f>VLOOKUP(F586,[4]在职!$A:$E,5,0)</f>
        <v>西南总部</v>
      </c>
      <c r="D586" s="12" t="str">
        <f>VLOOKUP(F586,[4]在职!$A:$G,7,0)</f>
        <v>营业七部</v>
      </c>
      <c r="E586" s="12" t="str">
        <f>VLOOKUP(F586,[4]在职!$A:$M,13,0)</f>
        <v>刘鹏</v>
      </c>
      <c r="F586" s="46" t="s">
        <v>1263</v>
      </c>
      <c r="G586" s="12" t="str">
        <f>VLOOKUP(F586,[4]在职!$A:$B,2,0)</f>
        <v>01723</v>
      </c>
      <c r="H586" s="12" t="str">
        <f>VLOOKUP(F586,[4]在职!$A:$I,9,0)</f>
        <v>一星销售顾问</v>
      </c>
      <c r="I586" s="46" t="s">
        <v>915</v>
      </c>
      <c r="J586" s="83">
        <v>46093</v>
      </c>
      <c r="K586" s="12" t="s">
        <v>27</v>
      </c>
    </row>
    <row r="587" ht="16.5" hidden="1" spans="1:11">
      <c r="A587" s="12">
        <v>585</v>
      </c>
      <c r="B587" s="12" t="s">
        <v>45</v>
      </c>
      <c r="C587" s="12" t="str">
        <f>VLOOKUP(F587,[4]在职!$A:$E,5,0)</f>
        <v>西南总部</v>
      </c>
      <c r="D587" s="12" t="str">
        <f>VLOOKUP(F587,[4]在职!$A:$G,7,0)</f>
        <v>营业七部</v>
      </c>
      <c r="E587" s="12" t="str">
        <f>VLOOKUP(F587,[4]在职!$A:$M,13,0)</f>
        <v>刘鹏</v>
      </c>
      <c r="F587" s="46" t="s">
        <v>972</v>
      </c>
      <c r="G587" s="12" t="str">
        <f>VLOOKUP(F587,[4]在职!$A:$B,2,0)</f>
        <v>01599</v>
      </c>
      <c r="H587" s="12" t="str">
        <f>VLOOKUP(F587,[4]在职!$A:$I,9,0)</f>
        <v>二星销售顾问</v>
      </c>
      <c r="I587" s="46" t="s">
        <v>915</v>
      </c>
      <c r="J587" s="83">
        <v>46093</v>
      </c>
      <c r="K587" s="12" t="s">
        <v>27</v>
      </c>
    </row>
    <row r="588" ht="16.5" hidden="1" spans="1:11">
      <c r="A588" s="12">
        <v>586</v>
      </c>
      <c r="B588" s="12" t="s">
        <v>45</v>
      </c>
      <c r="C588" s="12" t="str">
        <f>VLOOKUP(F588,[4]在职!$A:$E,5,0)</f>
        <v>西南总部</v>
      </c>
      <c r="D588" s="12" t="str">
        <f>VLOOKUP(F588,[4]在职!$A:$G,7,0)</f>
        <v>营业七部</v>
      </c>
      <c r="E588" s="12" t="str">
        <f>VLOOKUP(F588,[4]在职!$A:$M,13,0)</f>
        <v>刘鹏</v>
      </c>
      <c r="F588" s="46" t="s">
        <v>974</v>
      </c>
      <c r="G588" s="12" t="str">
        <f>VLOOKUP(F588,[4]在职!$A:$B,2,0)</f>
        <v>01465</v>
      </c>
      <c r="H588" s="12" t="str">
        <f>VLOOKUP(F588,[4]在职!$A:$I,9,0)</f>
        <v>二星销售顾问</v>
      </c>
      <c r="I588" s="46" t="s">
        <v>915</v>
      </c>
      <c r="J588" s="83">
        <v>46093</v>
      </c>
      <c r="K588" s="12" t="s">
        <v>27</v>
      </c>
    </row>
    <row r="589" ht="16.5" hidden="1" spans="1:11">
      <c r="A589" s="12">
        <v>591</v>
      </c>
      <c r="B589" s="12" t="s">
        <v>45</v>
      </c>
      <c r="C589" s="12" t="str">
        <f>VLOOKUP(F589,[4]在职!$A:$E,5,0)</f>
        <v>西南总部</v>
      </c>
      <c r="D589" s="12" t="str">
        <f>VLOOKUP(F589,[4]在职!$A:$G,7,0)</f>
        <v>营业七部</v>
      </c>
      <c r="E589" s="12" t="str">
        <f>VLOOKUP(F589,[4]在职!$A:$M,13,0)</f>
        <v>彭小琴</v>
      </c>
      <c r="F589" s="46" t="s">
        <v>1454</v>
      </c>
      <c r="G589" s="12" t="str">
        <f>VLOOKUP(F589,[4]在职!$A:$B,2,0)</f>
        <v>01693</v>
      </c>
      <c r="H589" s="12" t="str">
        <f>VLOOKUP(F589,[4]在职!$A:$I,9,0)</f>
        <v>一星销售顾问</v>
      </c>
      <c r="I589" s="46" t="s">
        <v>915</v>
      </c>
      <c r="J589" s="83">
        <v>46093</v>
      </c>
      <c r="K589" s="12" t="s">
        <v>27</v>
      </c>
    </row>
    <row r="590" ht="16.5" hidden="1" spans="1:11">
      <c r="A590" s="12">
        <v>592</v>
      </c>
      <c r="B590" s="12" t="s">
        <v>45</v>
      </c>
      <c r="C590" s="12" t="str">
        <f>VLOOKUP(F590,[4]在职!$A:$E,5,0)</f>
        <v>西南总部</v>
      </c>
      <c r="D590" s="12" t="str">
        <f>VLOOKUP(F590,[4]在职!$A:$G,7,0)</f>
        <v>营业七部</v>
      </c>
      <c r="E590" s="12" t="str">
        <f>VLOOKUP(F590,[4]在职!$A:$M,13,0)</f>
        <v>彭小琴</v>
      </c>
      <c r="F590" s="46" t="s">
        <v>1455</v>
      </c>
      <c r="G590" s="12" t="str">
        <f>VLOOKUP(F590,[4]在职!$A:$B,2,0)</f>
        <v>01675</v>
      </c>
      <c r="H590" s="12" t="str">
        <f>VLOOKUP(F590,[4]在职!$A:$I,9,0)</f>
        <v>一星销售顾问</v>
      </c>
      <c r="I590" s="46" t="s">
        <v>915</v>
      </c>
      <c r="J590" s="83">
        <v>46093</v>
      </c>
      <c r="K590" s="12" t="s">
        <v>27</v>
      </c>
    </row>
    <row r="591" ht="16.5" hidden="1" spans="1:11">
      <c r="A591" s="12">
        <v>606</v>
      </c>
      <c r="B591" s="12" t="s">
        <v>45</v>
      </c>
      <c r="C591" s="12" t="str">
        <f>VLOOKUP(F591,[4]在职!$A:$E,5,0)</f>
        <v>西南总部</v>
      </c>
      <c r="D591" s="12" t="str">
        <f>VLOOKUP(F591,[4]在职!$A:$G,7,0)</f>
        <v>营业七部</v>
      </c>
      <c r="E591" s="12" t="str">
        <f>VLOOKUP(F591,[4]在职!$A:$M,13,0)</f>
        <v>谢沁霜</v>
      </c>
      <c r="F591" s="46" t="s">
        <v>1463</v>
      </c>
      <c r="G591" s="12" t="str">
        <f>VLOOKUP(F591,[4]在职!$A:$B,2,0)</f>
        <v>01455</v>
      </c>
      <c r="H591" s="12" t="str">
        <f>VLOOKUP(F591,[4]在职!$A:$I,9,0)</f>
        <v>一星销售顾问</v>
      </c>
      <c r="I591" s="46" t="s">
        <v>915</v>
      </c>
      <c r="J591" s="83">
        <v>46093</v>
      </c>
      <c r="K591" s="12" t="s">
        <v>27</v>
      </c>
    </row>
    <row r="592" ht="16.5" hidden="1" spans="1:11">
      <c r="A592" s="12">
        <v>622</v>
      </c>
      <c r="B592" s="12" t="s">
        <v>45</v>
      </c>
      <c r="C592" s="12" t="str">
        <f>VLOOKUP(F592,[4]在职!$A:$E,5,0)</f>
        <v>西南总部</v>
      </c>
      <c r="D592" s="12" t="str">
        <f>VLOOKUP(F592,[4]在职!$A:$G,7,0)</f>
        <v>营业七部</v>
      </c>
      <c r="E592" s="12" t="str">
        <f>VLOOKUP(F592,[4]在职!$A:$M,13,0)</f>
        <v>张家涛</v>
      </c>
      <c r="F592" s="46" t="s">
        <v>1058</v>
      </c>
      <c r="G592" s="12" t="str">
        <f>VLOOKUP(F592,[4]在职!$A:$B,2,0)</f>
        <v>01581</v>
      </c>
      <c r="H592" s="12" t="str">
        <f>VLOOKUP(F592,[4]在职!$A:$I,9,0)</f>
        <v>一星销售顾问</v>
      </c>
      <c r="I592" s="46" t="s">
        <v>915</v>
      </c>
      <c r="J592" s="83">
        <v>46093</v>
      </c>
      <c r="K592" s="12" t="s">
        <v>27</v>
      </c>
    </row>
    <row r="593" ht="16.5" hidden="1" spans="1:11">
      <c r="A593" s="12">
        <v>637</v>
      </c>
      <c r="B593" s="12" t="s">
        <v>45</v>
      </c>
      <c r="C593" s="12" t="str">
        <f>VLOOKUP(F593,[4]在职!$A:$E,5,0)</f>
        <v>西南总部</v>
      </c>
      <c r="D593" s="12" t="str">
        <f>VLOOKUP(F593,[4]在职!$A:$G,7,0)</f>
        <v>营业七部</v>
      </c>
      <c r="E593" s="12" t="str">
        <f>VLOOKUP(F593,[4]在职!$A:$M,13,0)</f>
        <v>蒋杨</v>
      </c>
      <c r="F593" s="5" t="s">
        <v>964</v>
      </c>
      <c r="G593" s="12" t="str">
        <f>VLOOKUP(F593,[4]在职!$A:$B,2,0)</f>
        <v>01405</v>
      </c>
      <c r="H593" s="12" t="str">
        <f>VLOOKUP(F593,[4]在职!$A:$I,9,0)</f>
        <v>一星销售顾问</v>
      </c>
      <c r="I593" s="84" t="s">
        <v>907</v>
      </c>
      <c r="J593" s="83">
        <v>46093</v>
      </c>
      <c r="K593" s="12" t="s">
        <v>27</v>
      </c>
    </row>
    <row r="594" ht="16.5" hidden="1" spans="1:11">
      <c r="A594" s="12">
        <v>574</v>
      </c>
      <c r="B594" s="12" t="s">
        <v>45</v>
      </c>
      <c r="C594" s="12" t="str">
        <f>VLOOKUP(F594,[4]在职!$A:$E,5,0)</f>
        <v>西南总部</v>
      </c>
      <c r="D594" s="12" t="str">
        <f>VLOOKUP(F594,[4]在职!$A:$G,7,0)</f>
        <v>营业三部</v>
      </c>
      <c r="E594" s="12" t="str">
        <f>VLOOKUP(F594,[4]在职!$A:$M,13,0)</f>
        <v>李海艳</v>
      </c>
      <c r="F594" s="46" t="s">
        <v>1446</v>
      </c>
      <c r="G594" s="12" t="str">
        <f>VLOOKUP(F594,[4]在职!$A:$B,2,0)</f>
        <v>01631</v>
      </c>
      <c r="H594" s="12" t="str">
        <f>VLOOKUP(F594,[4]在职!$A:$I,9,0)</f>
        <v>一星销售顾问</v>
      </c>
      <c r="I594" s="46" t="s">
        <v>915</v>
      </c>
      <c r="J594" s="83">
        <v>46093</v>
      </c>
      <c r="K594" s="12" t="s">
        <v>27</v>
      </c>
    </row>
    <row r="595" ht="16.5" hidden="1" spans="1:11">
      <c r="A595" s="12">
        <v>614</v>
      </c>
      <c r="B595" s="12" t="s">
        <v>45</v>
      </c>
      <c r="C595" s="12" t="str">
        <f>VLOOKUP(F595,[4]在职!$A:$E,5,0)</f>
        <v>西南总部</v>
      </c>
      <c r="D595" s="12" t="str">
        <f>VLOOKUP(F595,[4]在职!$A:$G,7,0)</f>
        <v>营业三部</v>
      </c>
      <c r="E595" s="12" t="str">
        <f>VLOOKUP(F595,[4]在职!$A:$M,13,0)</f>
        <v>姚瑶</v>
      </c>
      <c r="F595" s="46" t="s">
        <v>1044</v>
      </c>
      <c r="G595" s="12" t="str">
        <f>VLOOKUP(F595,[4]在职!$A:$B,2,0)</f>
        <v>01658</v>
      </c>
      <c r="H595" s="12" t="str">
        <f>VLOOKUP(F595,[4]在职!$A:$I,9,0)</f>
        <v>一星销售顾问</v>
      </c>
      <c r="I595" s="46" t="s">
        <v>915</v>
      </c>
      <c r="J595" s="83">
        <v>46093</v>
      </c>
      <c r="K595" s="12" t="s">
        <v>27</v>
      </c>
    </row>
    <row r="596" ht="16.5" hidden="1" spans="1:11">
      <c r="A596" s="12">
        <v>615</v>
      </c>
      <c r="B596" s="12" t="s">
        <v>45</v>
      </c>
      <c r="C596" s="12" t="str">
        <f>VLOOKUP(F596,[4]在职!$A:$E,5,0)</f>
        <v>西南总部</v>
      </c>
      <c r="D596" s="12" t="str">
        <f>VLOOKUP(F596,[4]在职!$A:$G,7,0)</f>
        <v>营业三部</v>
      </c>
      <c r="E596" s="12" t="str">
        <f>VLOOKUP(F596,[4]在职!$A:$M,13,0)</f>
        <v>姚瑶</v>
      </c>
      <c r="F596" s="46" t="s">
        <v>1046</v>
      </c>
      <c r="G596" s="12" t="str">
        <f>VLOOKUP(F596,[4]在职!$A:$B,2,0)</f>
        <v>01525</v>
      </c>
      <c r="H596" s="12" t="str">
        <f>VLOOKUP(F596,[4]在职!$A:$I,9,0)</f>
        <v>一星销售顾问</v>
      </c>
      <c r="I596" s="46" t="s">
        <v>915</v>
      </c>
      <c r="J596" s="83">
        <v>46093</v>
      </c>
      <c r="K596" s="12" t="s">
        <v>27</v>
      </c>
    </row>
    <row r="597" ht="16.5" hidden="1" spans="1:11">
      <c r="A597" s="12">
        <v>618</v>
      </c>
      <c r="B597" s="12" t="s">
        <v>45</v>
      </c>
      <c r="C597" s="12" t="str">
        <f>VLOOKUP(F597,[4]在职!$A:$E,5,0)</f>
        <v>西南总部</v>
      </c>
      <c r="D597" s="12" t="str">
        <f>VLOOKUP(F597,[4]在职!$A:$G,7,0)</f>
        <v>营业三部</v>
      </c>
      <c r="E597" s="12" t="str">
        <f>VLOOKUP(F597,[4]在职!$A:$M,13,0)</f>
        <v>陶再阳</v>
      </c>
      <c r="F597" s="46" t="s">
        <v>1470</v>
      </c>
      <c r="G597" s="12" t="str">
        <f>VLOOKUP(F597,[4]在职!$A:$B,2,0)</f>
        <v>01667</v>
      </c>
      <c r="H597" s="12" t="str">
        <f>VLOOKUP(F597,[4]在职!$A:$I,9,0)</f>
        <v>一星销售顾问</v>
      </c>
      <c r="I597" s="46" t="s">
        <v>915</v>
      </c>
      <c r="J597" s="83">
        <v>46093</v>
      </c>
      <c r="K597" s="12" t="s">
        <v>27</v>
      </c>
    </row>
    <row r="598" ht="16.5" hidden="1" spans="1:11">
      <c r="A598" s="12">
        <v>623</v>
      </c>
      <c r="B598" s="12" t="s">
        <v>45</v>
      </c>
      <c r="C598" s="12" t="str">
        <f>VLOOKUP(F598,[4]在职!$A:$E,5,0)</f>
        <v>西南总部</v>
      </c>
      <c r="D598" s="12" t="str">
        <f>VLOOKUP(F598,[4]在职!$A:$G,7,0)</f>
        <v>营业三部</v>
      </c>
      <c r="E598" s="12" t="str">
        <f>VLOOKUP(F598,[4]在职!$A:$M,13,0)</f>
        <v>张萍</v>
      </c>
      <c r="F598" s="46" t="s">
        <v>1472</v>
      </c>
      <c r="G598" s="12" t="str">
        <f>VLOOKUP(F598,[4]在职!$A:$B,2,0)</f>
        <v>01736</v>
      </c>
      <c r="H598" s="12" t="str">
        <f>VLOOKUP(F598,[4]在职!$A:$I,9,0)</f>
        <v>一星销售顾问</v>
      </c>
      <c r="I598" s="46" t="s">
        <v>915</v>
      </c>
      <c r="J598" s="83">
        <v>46093</v>
      </c>
      <c r="K598" s="12" t="s">
        <v>27</v>
      </c>
    </row>
    <row r="599" ht="16.5" hidden="1" spans="1:11">
      <c r="A599" s="12">
        <v>636</v>
      </c>
      <c r="B599" s="12" t="s">
        <v>45</v>
      </c>
      <c r="C599" s="12" t="str">
        <f>VLOOKUP(F599,[4]在职!$A:$E,5,0)</f>
        <v>西南总部</v>
      </c>
      <c r="D599" s="12" t="str">
        <f>VLOOKUP(F599,[4]在职!$A:$G,7,0)</f>
        <v>营业三部</v>
      </c>
      <c r="E599" s="12" t="str">
        <f>VLOOKUP(F599,[4]在职!$A:$M,13,0)</f>
        <v>扈岭楠</v>
      </c>
      <c r="F599" s="5" t="s">
        <v>1479</v>
      </c>
      <c r="G599" s="12" t="str">
        <f>VLOOKUP(F599,[4]在职!$A:$B,2,0)</f>
        <v>01440</v>
      </c>
      <c r="H599" s="12" t="str">
        <f>VLOOKUP(F599,[4]在职!$A:$I,9,0)</f>
        <v>一星销售顾问</v>
      </c>
      <c r="I599" s="84" t="s">
        <v>907</v>
      </c>
      <c r="J599" s="83">
        <v>46093</v>
      </c>
      <c r="K599" s="12" t="s">
        <v>27</v>
      </c>
    </row>
    <row r="600" ht="16.5" hidden="1" spans="1:11">
      <c r="A600" s="12">
        <v>643</v>
      </c>
      <c r="B600" s="12" t="s">
        <v>45</v>
      </c>
      <c r="C600" s="12" t="str">
        <f>VLOOKUP(F600,[4]在职!$A:$E,5,0)</f>
        <v>西南总部</v>
      </c>
      <c r="D600" s="12" t="str">
        <f>VLOOKUP(F600,[4]在职!$A:$G,7,0)</f>
        <v>营业三部</v>
      </c>
      <c r="E600" s="12" t="str">
        <f>VLOOKUP(F600,[4]在职!$A:$M,13,0)</f>
        <v>刘佳</v>
      </c>
      <c r="F600" s="5" t="s">
        <v>1485</v>
      </c>
      <c r="G600" s="12" t="str">
        <f>VLOOKUP(F600,[4]在职!$A:$B,2,0)</f>
        <v>01740</v>
      </c>
      <c r="H600" s="12" t="str">
        <f>VLOOKUP(F600,[4]在职!$A:$I,9,0)</f>
        <v>一星销售顾问</v>
      </c>
      <c r="I600" s="84" t="s">
        <v>907</v>
      </c>
      <c r="J600" s="83">
        <v>46093</v>
      </c>
      <c r="K600" s="12" t="s">
        <v>27</v>
      </c>
    </row>
    <row r="601" ht="16.5" hidden="1" spans="1:11">
      <c r="A601" s="12">
        <v>644</v>
      </c>
      <c r="B601" s="12" t="s">
        <v>45</v>
      </c>
      <c r="C601" s="12" t="str">
        <f>VLOOKUP(F601,[4]在职!$A:$E,5,0)</f>
        <v>西南总部</v>
      </c>
      <c r="D601" s="12" t="str">
        <f>VLOOKUP(F601,[4]在职!$A:$G,7,0)</f>
        <v>营业三部</v>
      </c>
      <c r="E601" s="12" t="str">
        <f>VLOOKUP(F601,[4]在职!$A:$M,13,0)</f>
        <v>刘佳</v>
      </c>
      <c r="F601" s="5" t="s">
        <v>1486</v>
      </c>
      <c r="G601" s="12" t="str">
        <f>VLOOKUP(F601,[4]在职!$A:$B,2,0)</f>
        <v>01729</v>
      </c>
      <c r="H601" s="12" t="str">
        <f>VLOOKUP(F601,[4]在职!$A:$I,9,0)</f>
        <v>一星销售顾问</v>
      </c>
      <c r="I601" s="84" t="s">
        <v>907</v>
      </c>
      <c r="J601" s="83">
        <v>46093</v>
      </c>
      <c r="K601" s="12" t="s">
        <v>27</v>
      </c>
    </row>
    <row r="602" ht="16.5" hidden="1" spans="1:11">
      <c r="A602" s="12">
        <v>645</v>
      </c>
      <c r="B602" s="12" t="s">
        <v>45</v>
      </c>
      <c r="C602" s="12" t="str">
        <f>VLOOKUP(F602,[4]在职!$A:$E,5,0)</f>
        <v>西南总部</v>
      </c>
      <c r="D602" s="12" t="str">
        <f>VLOOKUP(F602,[4]在职!$A:$G,7,0)</f>
        <v>营业三部</v>
      </c>
      <c r="E602" s="12" t="str">
        <f>VLOOKUP(F602,[4]在职!$A:$M,13,0)</f>
        <v>刘佳</v>
      </c>
      <c r="F602" s="5" t="s">
        <v>970</v>
      </c>
      <c r="G602" s="12" t="str">
        <f>VLOOKUP(F602,[4]在职!$A:$B,2,0)</f>
        <v>01498</v>
      </c>
      <c r="H602" s="12" t="str">
        <f>VLOOKUP(F602,[4]在职!$A:$I,9,0)</f>
        <v>一星销售顾问</v>
      </c>
      <c r="I602" s="84" t="s">
        <v>907</v>
      </c>
      <c r="J602" s="83">
        <v>46093</v>
      </c>
      <c r="K602" s="12" t="s">
        <v>27</v>
      </c>
    </row>
    <row r="603" ht="16.5" hidden="1" spans="1:11">
      <c r="A603" s="12">
        <v>651</v>
      </c>
      <c r="B603" s="12" t="s">
        <v>45</v>
      </c>
      <c r="C603" s="12" t="str">
        <f>VLOOKUP(F603,[4]在职!$A:$E,5,0)</f>
        <v>西南总部</v>
      </c>
      <c r="D603" s="12" t="str">
        <f>VLOOKUP(F603,[4]在职!$A:$G,7,0)</f>
        <v>营业三部</v>
      </c>
      <c r="E603" s="12" t="str">
        <f>VLOOKUP(F603,[4]在职!$A:$M,13,0)</f>
        <v>陶再阳</v>
      </c>
      <c r="F603" s="5" t="s">
        <v>1491</v>
      </c>
      <c r="G603" s="12" t="str">
        <f>VLOOKUP(F603,[4]在职!$A:$B,2,0)</f>
        <v>01719</v>
      </c>
      <c r="H603" s="12" t="str">
        <f>VLOOKUP(F603,[4]在职!$A:$I,9,0)</f>
        <v>一星销售顾问</v>
      </c>
      <c r="I603" s="84" t="s">
        <v>907</v>
      </c>
      <c r="J603" s="83">
        <v>46093</v>
      </c>
      <c r="K603" s="12" t="s">
        <v>27</v>
      </c>
    </row>
    <row r="604" ht="16.5" hidden="1" spans="1:11">
      <c r="A604" s="12">
        <v>652</v>
      </c>
      <c r="B604" s="12" t="s">
        <v>45</v>
      </c>
      <c r="C604" s="12" t="str">
        <f>VLOOKUP(F604,[4]在职!$A:$E,5,0)</f>
        <v>西南总部</v>
      </c>
      <c r="D604" s="12" t="str">
        <f>VLOOKUP(F604,[4]在职!$A:$G,7,0)</f>
        <v>营业三部</v>
      </c>
      <c r="E604" s="12" t="str">
        <f>VLOOKUP(F604,[4]在职!$A:$M,13,0)</f>
        <v>吴建鑫</v>
      </c>
      <c r="F604" s="5" t="s">
        <v>1020</v>
      </c>
      <c r="G604" s="12" t="str">
        <f>VLOOKUP(F604,[4]在职!$A:$B,2,0)</f>
        <v>01575</v>
      </c>
      <c r="H604" s="12" t="str">
        <f>VLOOKUP(F604,[4]在职!$A:$I,9,0)</f>
        <v>一星销售顾问</v>
      </c>
      <c r="I604" s="84" t="s">
        <v>907</v>
      </c>
      <c r="J604" s="83">
        <v>46093</v>
      </c>
      <c r="K604" s="12" t="s">
        <v>27</v>
      </c>
    </row>
    <row r="605" ht="16.5" hidden="1" spans="1:11">
      <c r="A605" s="12">
        <v>666</v>
      </c>
      <c r="B605" s="12" t="s">
        <v>45</v>
      </c>
      <c r="C605" s="12" t="str">
        <f>VLOOKUP(F605,[4]在职!$A:$E,5,0)</f>
        <v>西南总部</v>
      </c>
      <c r="D605" s="12" t="str">
        <f>VLOOKUP(F605,[4]在职!$A:$G,7,0)</f>
        <v>营业三部</v>
      </c>
      <c r="E605" s="12" t="str">
        <f>VLOOKUP(F605,[4]在职!$A:$M,13,0)</f>
        <v>郑景慕</v>
      </c>
      <c r="F605" s="5" t="s">
        <v>1501</v>
      </c>
      <c r="G605" s="12" t="str">
        <f>VLOOKUP(F605,[4]在职!$A:$B,2,0)</f>
        <v>01540</v>
      </c>
      <c r="H605" s="12" t="str">
        <f>VLOOKUP(F605,[4]在职!$A:$I,9,0)</f>
        <v>一星销售顾问</v>
      </c>
      <c r="I605" s="84" t="s">
        <v>907</v>
      </c>
      <c r="J605" s="83">
        <v>46093</v>
      </c>
      <c r="K605" s="12" t="s">
        <v>27</v>
      </c>
    </row>
    <row r="606" ht="16.5" hidden="1" spans="1:11">
      <c r="A606" s="12">
        <v>562</v>
      </c>
      <c r="B606" s="12" t="s">
        <v>45</v>
      </c>
      <c r="C606" s="12" t="str">
        <f>VLOOKUP(F606,[4]在职!$A:$E,5,0)</f>
        <v>西南总部</v>
      </c>
      <c r="D606" s="12" t="str">
        <f>VLOOKUP(F606,[4]在职!$A:$G,7,0)</f>
        <v>营业四部</v>
      </c>
      <c r="E606" s="12" t="str">
        <f>VLOOKUP(F606,[4]在职!$A:$M,13,0)</f>
        <v>陈嘉文</v>
      </c>
      <c r="F606" s="46" t="s">
        <v>928</v>
      </c>
      <c r="G606" s="12" t="str">
        <f>VLOOKUP(F606,[4]在职!$A:$B,2,0)</f>
        <v>01634</v>
      </c>
      <c r="H606" s="12" t="str">
        <f>VLOOKUP(F606,[4]在职!$A:$I,9,0)</f>
        <v>一星销售顾问</v>
      </c>
      <c r="I606" s="46" t="s">
        <v>915</v>
      </c>
      <c r="J606" s="83">
        <v>46093</v>
      </c>
      <c r="K606" s="12" t="s">
        <v>27</v>
      </c>
    </row>
    <row r="607" ht="16.5" hidden="1" spans="1:11">
      <c r="A607" s="12">
        <v>563</v>
      </c>
      <c r="B607" s="12" t="s">
        <v>45</v>
      </c>
      <c r="C607" s="12" t="str">
        <f>VLOOKUP(F607,[4]在职!$A:$E,5,0)</f>
        <v>西南总部</v>
      </c>
      <c r="D607" s="12" t="str">
        <f>VLOOKUP(F607,[4]在职!$A:$G,7,0)</f>
        <v>营业四部</v>
      </c>
      <c r="E607" s="12" t="str">
        <f>VLOOKUP(F607,[4]在职!$A:$M,13,0)</f>
        <v>陈嘉文</v>
      </c>
      <c r="F607" s="46" t="s">
        <v>930</v>
      </c>
      <c r="G607" s="12" t="str">
        <f>VLOOKUP(F607,[4]在职!$A:$B,2,0)</f>
        <v>01488</v>
      </c>
      <c r="H607" s="12" t="str">
        <f>VLOOKUP(F607,[4]在职!$A:$I,9,0)</f>
        <v>二星销售顾问</v>
      </c>
      <c r="I607" s="46" t="s">
        <v>915</v>
      </c>
      <c r="J607" s="83">
        <v>46093</v>
      </c>
      <c r="K607" s="12" t="s">
        <v>27</v>
      </c>
    </row>
    <row r="608" ht="16.5" hidden="1" spans="1:11">
      <c r="A608" s="12">
        <v>564</v>
      </c>
      <c r="B608" s="12" t="s">
        <v>45</v>
      </c>
      <c r="C608" s="12" t="str">
        <f>VLOOKUP(F608,[4]在职!$A:$E,5,0)</f>
        <v>西南总部</v>
      </c>
      <c r="D608" s="12" t="str">
        <f>VLOOKUP(F608,[4]在职!$A:$G,7,0)</f>
        <v>营业四部</v>
      </c>
      <c r="E608" s="12" t="str">
        <f>VLOOKUP(F608,[4]在职!$A:$M,13,0)</f>
        <v>陈帅</v>
      </c>
      <c r="F608" s="46" t="s">
        <v>934</v>
      </c>
      <c r="G608" s="12" t="str">
        <f>VLOOKUP(F608,[4]在职!$A:$B,2,0)</f>
        <v>01547</v>
      </c>
      <c r="H608" s="12" t="str">
        <f>VLOOKUP(F608,[4]在职!$A:$I,9,0)</f>
        <v>一星销售顾问</v>
      </c>
      <c r="I608" s="46" t="s">
        <v>915</v>
      </c>
      <c r="J608" s="83">
        <v>46093</v>
      </c>
      <c r="K608" s="12" t="s">
        <v>27</v>
      </c>
    </row>
    <row r="609" ht="16.5" hidden="1" spans="1:11">
      <c r="A609" s="12">
        <v>575</v>
      </c>
      <c r="B609" s="12" t="s">
        <v>45</v>
      </c>
      <c r="C609" s="12" t="str">
        <f>VLOOKUP(F609,[4]在职!$A:$E,5,0)</f>
        <v>西南总部</v>
      </c>
      <c r="D609" s="12" t="str">
        <f>VLOOKUP(F609,[4]在职!$A:$G,7,0)</f>
        <v>营业四部</v>
      </c>
      <c r="E609" s="12" t="str">
        <f>VLOOKUP(F609,[4]在职!$A:$M,13,0)</f>
        <v>李培金</v>
      </c>
      <c r="F609" s="46" t="s">
        <v>1271</v>
      </c>
      <c r="G609" s="12" t="str">
        <f>VLOOKUP(F609,[4]在职!$A:$B,2,0)</f>
        <v>01790</v>
      </c>
      <c r="H609" s="12" t="str">
        <f>VLOOKUP(F609,[4]在职!$A:$I,9,0)</f>
        <v>一星销售顾问</v>
      </c>
      <c r="I609" s="46" t="s">
        <v>915</v>
      </c>
      <c r="J609" s="83">
        <v>46093</v>
      </c>
      <c r="K609" s="12" t="s">
        <v>27</v>
      </c>
    </row>
    <row r="610" ht="16.5" hidden="1" spans="1:11">
      <c r="A610" s="12">
        <v>576</v>
      </c>
      <c r="B610" s="12" t="s">
        <v>45</v>
      </c>
      <c r="C610" s="12" t="str">
        <f>VLOOKUP(F610,[4]在职!$A:$E,5,0)</f>
        <v>西南总部</v>
      </c>
      <c r="D610" s="12" t="str">
        <f>VLOOKUP(F610,[4]在职!$A:$G,7,0)</f>
        <v>营业四部</v>
      </c>
      <c r="E610" s="12" t="str">
        <f>VLOOKUP(F610,[4]在职!$A:$M,13,0)</f>
        <v>李培金</v>
      </c>
      <c r="F610" s="46" t="s">
        <v>1273</v>
      </c>
      <c r="G610" s="12" t="str">
        <f>VLOOKUP(F610,[4]在职!$A:$B,2,0)</f>
        <v>01767</v>
      </c>
      <c r="H610" s="12" t="str">
        <f>VLOOKUP(F610,[4]在职!$A:$I,9,0)</f>
        <v>一星销售顾问</v>
      </c>
      <c r="I610" s="46" t="s">
        <v>915</v>
      </c>
      <c r="J610" s="83">
        <v>46093</v>
      </c>
      <c r="K610" s="12" t="s">
        <v>27</v>
      </c>
    </row>
    <row r="611" ht="16.5" hidden="1" spans="1:11">
      <c r="A611" s="12">
        <v>577</v>
      </c>
      <c r="B611" s="12" t="s">
        <v>45</v>
      </c>
      <c r="C611" s="12" t="str">
        <f>VLOOKUP(F611,[4]在职!$A:$E,5,0)</f>
        <v>西南总部</v>
      </c>
      <c r="D611" s="12" t="str">
        <f>VLOOKUP(F611,[4]在职!$A:$G,7,0)</f>
        <v>营业四部</v>
      </c>
      <c r="E611" s="12" t="str">
        <f>VLOOKUP(F611,[4]在职!$A:$M,13,0)</f>
        <v>李培金</v>
      </c>
      <c r="F611" s="46" t="s">
        <v>1447</v>
      </c>
      <c r="G611" s="12" t="str">
        <f>VLOOKUP(F611,[4]在职!$A:$B,2,0)</f>
        <v>01735</v>
      </c>
      <c r="H611" s="12" t="str">
        <f>VLOOKUP(F611,[4]在职!$A:$I,9,0)</f>
        <v>一星销售顾问</v>
      </c>
      <c r="I611" s="46" t="s">
        <v>915</v>
      </c>
      <c r="J611" s="83">
        <v>46093</v>
      </c>
      <c r="K611" s="12" t="s">
        <v>27</v>
      </c>
    </row>
    <row r="612" ht="16.5" hidden="1" spans="1:11">
      <c r="A612" s="12">
        <v>608</v>
      </c>
      <c r="B612" s="12" t="s">
        <v>45</v>
      </c>
      <c r="C612" s="12" t="str">
        <f>VLOOKUP(F612,[4]在职!$A:$E,5,0)</f>
        <v>西南总部</v>
      </c>
      <c r="D612" s="12" t="str">
        <f>VLOOKUP(F612,[4]在职!$A:$G,7,0)</f>
        <v>营业五部</v>
      </c>
      <c r="E612" s="12" t="str">
        <f>VLOOKUP(F612,[4]在职!$A:$M,13,0)</f>
        <v>杨科</v>
      </c>
      <c r="F612" s="46" t="s">
        <v>1026</v>
      </c>
      <c r="G612" s="12" t="str">
        <f>VLOOKUP(F612,[4]在职!$A:$B,2,0)</f>
        <v>01587</v>
      </c>
      <c r="H612" s="12" t="str">
        <f>VLOOKUP(F612,[4]在职!$A:$I,9,0)</f>
        <v>二星销售顾问</v>
      </c>
      <c r="I612" s="46" t="s">
        <v>915</v>
      </c>
      <c r="J612" s="83">
        <v>46093</v>
      </c>
      <c r="K612" s="12" t="s">
        <v>27</v>
      </c>
    </row>
    <row r="613" ht="16.5" hidden="1" spans="1:11">
      <c r="A613" s="12">
        <v>609</v>
      </c>
      <c r="B613" s="12" t="s">
        <v>45</v>
      </c>
      <c r="C613" s="12" t="str">
        <f>VLOOKUP(F613,[4]在职!$A:$E,5,0)</f>
        <v>西南总部</v>
      </c>
      <c r="D613" s="12" t="str">
        <f>VLOOKUP(F613,[4]在职!$A:$G,7,0)</f>
        <v>营业五部</v>
      </c>
      <c r="E613" s="12" t="str">
        <f>VLOOKUP(F613,[4]在职!$A:$M,13,0)</f>
        <v>杨科</v>
      </c>
      <c r="F613" s="46" t="s">
        <v>1032</v>
      </c>
      <c r="G613" s="12" t="str">
        <f>VLOOKUP(F613,[4]在职!$A:$B,2,0)</f>
        <v>01514</v>
      </c>
      <c r="H613" s="12" t="str">
        <f>VLOOKUP(F613,[4]在职!$A:$I,9,0)</f>
        <v>一星销售顾问</v>
      </c>
      <c r="I613" s="46" t="s">
        <v>915</v>
      </c>
      <c r="J613" s="83">
        <v>46093</v>
      </c>
      <c r="K613" s="12" t="s">
        <v>27</v>
      </c>
    </row>
    <row r="614" ht="16.5" hidden="1" spans="1:11">
      <c r="A614" s="12">
        <v>616</v>
      </c>
      <c r="B614" s="12" t="s">
        <v>45</v>
      </c>
      <c r="C614" s="12" t="str">
        <f>VLOOKUP(F614,[4]在职!$A:$E,5,0)</f>
        <v>西南总部</v>
      </c>
      <c r="D614" s="12" t="str">
        <f>VLOOKUP(F614,[4]在职!$A:$G,7,0)</f>
        <v>营业五部</v>
      </c>
      <c r="E614" s="12" t="str">
        <f>VLOOKUP(F614,[4]在职!$A:$M,13,0)</f>
        <v>尹稳</v>
      </c>
      <c r="F614" s="46" t="s">
        <v>1468</v>
      </c>
      <c r="G614" s="12" t="str">
        <f>VLOOKUP(F614,[4]在职!$A:$B,2,0)</f>
        <v>01709</v>
      </c>
      <c r="H614" s="12" t="str">
        <f>VLOOKUP(F614,[4]在职!$A:$I,9,0)</f>
        <v>一星销售顾问</v>
      </c>
      <c r="I614" s="46" t="s">
        <v>915</v>
      </c>
      <c r="J614" s="83">
        <v>46093</v>
      </c>
      <c r="K614" s="12" t="s">
        <v>27</v>
      </c>
    </row>
    <row r="615" ht="16.5" hidden="1" spans="1:11">
      <c r="A615" s="12">
        <v>617</v>
      </c>
      <c r="B615" s="12" t="s">
        <v>45</v>
      </c>
      <c r="C615" s="12" t="str">
        <f>VLOOKUP(F615,[4]在职!$A:$E,5,0)</f>
        <v>西南总部</v>
      </c>
      <c r="D615" s="12" t="str">
        <f>VLOOKUP(F615,[4]在职!$A:$G,7,0)</f>
        <v>营业五部</v>
      </c>
      <c r="E615" s="12" t="str">
        <f>VLOOKUP(F615,[4]在职!$A:$M,13,0)</f>
        <v>尹稳</v>
      </c>
      <c r="F615" s="46" t="s">
        <v>1469</v>
      </c>
      <c r="G615" s="12" t="str">
        <f>VLOOKUP(F615,[4]在职!$A:$B,2,0)</f>
        <v>01703</v>
      </c>
      <c r="H615" s="12" t="str">
        <f>VLOOKUP(F615,[4]在职!$A:$I,9,0)</f>
        <v>一星销售顾问</v>
      </c>
      <c r="I615" s="46" t="s">
        <v>915</v>
      </c>
      <c r="J615" s="83">
        <v>46093</v>
      </c>
      <c r="K615" s="12" t="s">
        <v>27</v>
      </c>
    </row>
    <row r="616" ht="16.5" hidden="1" spans="1:11">
      <c r="A616" s="12">
        <v>619</v>
      </c>
      <c r="B616" s="12" t="s">
        <v>45</v>
      </c>
      <c r="C616" s="12" t="str">
        <f>VLOOKUP(F616,[4]在职!$A:$E,5,0)</f>
        <v>西南总部</v>
      </c>
      <c r="D616" s="12" t="str">
        <f>VLOOKUP(F616,[4]在职!$A:$G,7,0)</f>
        <v>营业五部</v>
      </c>
      <c r="E616" s="12" t="str">
        <f>VLOOKUP(F616,[4]在职!$A:$M,13,0)</f>
        <v>尹稳</v>
      </c>
      <c r="F616" s="46" t="s">
        <v>1048</v>
      </c>
      <c r="G616" s="12" t="str">
        <f>VLOOKUP(F616,[4]在职!$A:$B,2,0)</f>
        <v>01669</v>
      </c>
      <c r="H616" s="12" t="str">
        <f>VLOOKUP(F616,[4]在职!$A:$I,9,0)</f>
        <v>一星销售顾问</v>
      </c>
      <c r="I616" s="46" t="s">
        <v>915</v>
      </c>
      <c r="J616" s="83">
        <v>46093</v>
      </c>
      <c r="K616" s="12" t="s">
        <v>27</v>
      </c>
    </row>
    <row r="617" ht="16.5" hidden="1" spans="1:11">
      <c r="A617" s="12">
        <v>620</v>
      </c>
      <c r="B617" s="12" t="s">
        <v>45</v>
      </c>
      <c r="C617" s="12" t="str">
        <f>VLOOKUP(F617,[4]在职!$A:$E,5,0)</f>
        <v>西南总部</v>
      </c>
      <c r="D617" s="12" t="str">
        <f>VLOOKUP(F617,[4]在职!$A:$G,7,0)</f>
        <v>营业五部</v>
      </c>
      <c r="E617" s="12" t="str">
        <f>VLOOKUP(F617,[4]在职!$A:$M,13,0)</f>
        <v>尹稳</v>
      </c>
      <c r="F617" s="46" t="s">
        <v>1052</v>
      </c>
      <c r="G617" s="12" t="str">
        <f>VLOOKUP(F617,[4]在职!$A:$B,2,0)</f>
        <v>01600</v>
      </c>
      <c r="H617" s="12" t="str">
        <f>VLOOKUP(F617,[4]在职!$A:$I,9,0)</f>
        <v>二星销售顾问</v>
      </c>
      <c r="I617" s="46" t="s">
        <v>915</v>
      </c>
      <c r="J617" s="83">
        <v>46093</v>
      </c>
      <c r="K617" s="12" t="s">
        <v>27</v>
      </c>
    </row>
    <row r="618" ht="16.5" hidden="1" spans="1:11">
      <c r="A618" s="12">
        <v>638</v>
      </c>
      <c r="B618" s="12" t="s">
        <v>45</v>
      </c>
      <c r="C618" s="12" t="str">
        <f>VLOOKUP(F618,[4]在职!$A:$E,5,0)</f>
        <v>西南总部</v>
      </c>
      <c r="D618" s="12" t="str">
        <f>VLOOKUP(F618,[4]在职!$A:$G,7,0)</f>
        <v>营业五部</v>
      </c>
      <c r="E618" s="12" t="str">
        <f>VLOOKUP(F618,[4]在职!$A:$M,13,0)</f>
        <v>李敏</v>
      </c>
      <c r="F618" s="5" t="s">
        <v>1480</v>
      </c>
      <c r="G618" s="12" t="str">
        <f>VLOOKUP(F618,[4]在职!$A:$B,2,0)</f>
        <v>01724</v>
      </c>
      <c r="H618" s="12" t="str">
        <f>VLOOKUP(F618,[4]在职!$A:$I,9,0)</f>
        <v>一星销售顾问</v>
      </c>
      <c r="I618" s="84" t="s">
        <v>907</v>
      </c>
      <c r="J618" s="83">
        <v>46093</v>
      </c>
      <c r="K618" s="12" t="s">
        <v>27</v>
      </c>
    </row>
    <row r="619" ht="16.5" hidden="1" spans="1:11">
      <c r="A619" s="12">
        <v>639</v>
      </c>
      <c r="B619" s="12" t="s">
        <v>45</v>
      </c>
      <c r="C619" s="12" t="str">
        <f>VLOOKUP(F619,[4]在职!$A:$E,5,0)</f>
        <v>西南总部</v>
      </c>
      <c r="D619" s="12" t="str">
        <f>VLOOKUP(F619,[4]在职!$A:$G,7,0)</f>
        <v>营业五部</v>
      </c>
      <c r="E619" s="12" t="str">
        <f>VLOOKUP(F619,[4]在职!$A:$M,13,0)</f>
        <v>李敏</v>
      </c>
      <c r="F619" s="5" t="s">
        <v>1481</v>
      </c>
      <c r="G619" s="12" t="str">
        <f>VLOOKUP(F619,[4]在职!$A:$B,2,0)</f>
        <v>01710</v>
      </c>
      <c r="H619" s="12" t="str">
        <f>VLOOKUP(F619,[4]在职!$A:$I,9,0)</f>
        <v>一星销售顾问</v>
      </c>
      <c r="I619" s="84" t="s">
        <v>907</v>
      </c>
      <c r="J619" s="83">
        <v>46093</v>
      </c>
      <c r="K619" s="12" t="s">
        <v>27</v>
      </c>
    </row>
    <row r="620" ht="16.5" hidden="1" spans="1:11">
      <c r="A620" s="12">
        <v>656</v>
      </c>
      <c r="B620" s="12" t="s">
        <v>45</v>
      </c>
      <c r="C620" s="12" t="str">
        <f>VLOOKUP(F620,[4]在职!$A:$E,5,0)</f>
        <v>西南总部</v>
      </c>
      <c r="D620" s="12" t="str">
        <f>VLOOKUP(F620,[4]在职!$A:$G,7,0)</f>
        <v>营业五部</v>
      </c>
      <c r="E620" s="12" t="str">
        <f>VLOOKUP(F620,[4]在职!$A:$M,13,0)</f>
        <v>谢敏</v>
      </c>
      <c r="F620" s="5" t="s">
        <v>1495</v>
      </c>
      <c r="G620" s="12" t="str">
        <f>VLOOKUP(F620,[4]在职!$A:$B,2,0)</f>
        <v>01652</v>
      </c>
      <c r="H620" s="12" t="str">
        <f>VLOOKUP(F620,[4]在职!$A:$I,9,0)</f>
        <v>一星销售顾问</v>
      </c>
      <c r="I620" s="84" t="s">
        <v>907</v>
      </c>
      <c r="J620" s="83">
        <v>46093</v>
      </c>
      <c r="K620" s="12" t="s">
        <v>27</v>
      </c>
    </row>
    <row r="621" ht="16.5" hidden="1" spans="1:11">
      <c r="A621" s="12">
        <v>657</v>
      </c>
      <c r="B621" s="12" t="s">
        <v>45</v>
      </c>
      <c r="C621" s="12" t="str">
        <f>VLOOKUP(F621,[4]在职!$A:$E,5,0)</f>
        <v>西南总部</v>
      </c>
      <c r="D621" s="12" t="str">
        <f>VLOOKUP(F621,[4]在职!$A:$G,7,0)</f>
        <v>营业五部</v>
      </c>
      <c r="E621" s="12" t="str">
        <f>VLOOKUP(F621,[4]在职!$A:$M,13,0)</f>
        <v>谢敏</v>
      </c>
      <c r="F621" s="5" t="s">
        <v>1496</v>
      </c>
      <c r="G621" s="12" t="str">
        <f>VLOOKUP(F621,[4]在职!$A:$B,2,0)</f>
        <v>01557</v>
      </c>
      <c r="H621" s="12" t="str">
        <f>VLOOKUP(F621,[4]在职!$A:$I,9,0)</f>
        <v>一星销售顾问</v>
      </c>
      <c r="I621" s="84" t="s">
        <v>907</v>
      </c>
      <c r="J621" s="83">
        <v>46093</v>
      </c>
      <c r="K621" s="12" t="s">
        <v>27</v>
      </c>
    </row>
    <row r="622" ht="16.5" hidden="1" spans="1:11">
      <c r="A622" s="12">
        <v>668</v>
      </c>
      <c r="B622" s="12" t="s">
        <v>45</v>
      </c>
      <c r="C622" s="12" t="str">
        <f>VLOOKUP(F622,[4]在职!$A:$E,5,0)</f>
        <v>西南总部</v>
      </c>
      <c r="D622" s="12" t="str">
        <f>VLOOKUP(F622,[4]在职!$A:$G,7,0)</f>
        <v>营业五部</v>
      </c>
      <c r="E622" s="12" t="str">
        <f>VLOOKUP(F622,[4]在职!$A:$M,13,0)</f>
        <v>周远芮</v>
      </c>
      <c r="F622" s="5" t="s">
        <v>1503</v>
      </c>
      <c r="G622" s="12" t="str">
        <f>VLOOKUP(F622,[4]在职!$A:$B,2,0)</f>
        <v>01560</v>
      </c>
      <c r="H622" s="12" t="str">
        <f>VLOOKUP(F622,[4]在职!$A:$I,9,0)</f>
        <v>一星销售顾问</v>
      </c>
      <c r="I622" s="84" t="s">
        <v>907</v>
      </c>
      <c r="J622" s="83">
        <v>46093</v>
      </c>
      <c r="K622" s="12" t="s">
        <v>27</v>
      </c>
    </row>
    <row r="623" ht="16.5" hidden="1" spans="1:11">
      <c r="A623" s="12">
        <v>557</v>
      </c>
      <c r="B623" s="12" t="s">
        <v>45</v>
      </c>
      <c r="C623" s="12" t="str">
        <f>VLOOKUP(F623,[4]在职!$A:$E,5,0)</f>
        <v>西南总部</v>
      </c>
      <c r="D623" s="12" t="str">
        <f>VLOOKUP(F623,[4]在职!$A:$G,7,0)</f>
        <v>营业一部</v>
      </c>
      <c r="E623" s="12" t="str">
        <f>VLOOKUP(F623,[4]在职!$A:$M,13,0)</f>
        <v>白世根</v>
      </c>
      <c r="F623" s="46" t="s">
        <v>1436</v>
      </c>
      <c r="G623" s="12" t="str">
        <f>VLOOKUP(F623,[4]在职!$A:$B,2,0)</f>
        <v>01763</v>
      </c>
      <c r="H623" s="12" t="str">
        <f>VLOOKUP(F623,[4]在职!$A:$I,9,0)</f>
        <v>一星销售顾问</v>
      </c>
      <c r="I623" s="46" t="s">
        <v>915</v>
      </c>
      <c r="J623" s="83">
        <v>46093</v>
      </c>
      <c r="K623" s="12" t="s">
        <v>27</v>
      </c>
    </row>
    <row r="624" ht="16.5" hidden="1" spans="1:11">
      <c r="A624" s="12">
        <v>558</v>
      </c>
      <c r="B624" s="12" t="s">
        <v>45</v>
      </c>
      <c r="C624" s="12" t="str">
        <f>VLOOKUP(F624,[4]在职!$A:$E,5,0)</f>
        <v>西南总部</v>
      </c>
      <c r="D624" s="12" t="str">
        <f>VLOOKUP(F624,[4]在职!$A:$G,7,0)</f>
        <v>营业一部</v>
      </c>
      <c r="E624" s="12" t="str">
        <f>VLOOKUP(F624,[4]在职!$A:$M,13,0)</f>
        <v>白世根</v>
      </c>
      <c r="F624" s="46" t="s">
        <v>1437</v>
      </c>
      <c r="G624" s="12" t="str">
        <f>VLOOKUP(F624,[4]在职!$A:$B,2,0)</f>
        <v>01753</v>
      </c>
      <c r="H624" s="12" t="str">
        <f>VLOOKUP(F624,[4]在职!$A:$I,9,0)</f>
        <v>一星销售顾问</v>
      </c>
      <c r="I624" s="46" t="s">
        <v>915</v>
      </c>
      <c r="J624" s="83">
        <v>46093</v>
      </c>
      <c r="K624" s="12" t="s">
        <v>27</v>
      </c>
    </row>
    <row r="625" ht="16.5" hidden="1" spans="1:11">
      <c r="A625" s="12">
        <v>559</v>
      </c>
      <c r="B625" s="12" t="s">
        <v>45</v>
      </c>
      <c r="C625" s="12" t="str">
        <f>VLOOKUP(F625,[4]在职!$A:$E,5,0)</f>
        <v>西南总部</v>
      </c>
      <c r="D625" s="12" t="str">
        <f>VLOOKUP(F625,[4]在职!$A:$G,7,0)</f>
        <v>营业一部</v>
      </c>
      <c r="E625" s="12" t="str">
        <f>VLOOKUP(F625,[4]在职!$A:$M,13,0)</f>
        <v>白世根</v>
      </c>
      <c r="F625" s="46" t="s">
        <v>919</v>
      </c>
      <c r="G625" s="12" t="str">
        <f>VLOOKUP(F625,[4]在职!$A:$B,2,0)</f>
        <v>01512</v>
      </c>
      <c r="H625" s="12" t="str">
        <f>VLOOKUP(F625,[4]在职!$A:$I,9,0)</f>
        <v>二星销售顾问</v>
      </c>
      <c r="I625" s="46" t="s">
        <v>915</v>
      </c>
      <c r="J625" s="83">
        <v>46093</v>
      </c>
      <c r="K625" s="12" t="s">
        <v>27</v>
      </c>
    </row>
    <row r="626" ht="16.5" hidden="1" spans="1:11">
      <c r="A626" s="12">
        <v>624</v>
      </c>
      <c r="B626" s="12" t="s">
        <v>45</v>
      </c>
      <c r="C626" s="12" t="str">
        <f>VLOOKUP(F626,[4]在职!$A:$E,5,0)</f>
        <v>西南总部</v>
      </c>
      <c r="D626" s="12" t="str">
        <f>VLOOKUP(F626,[4]在职!$A:$G,7,0)</f>
        <v>营业一部</v>
      </c>
      <c r="E626" s="12" t="str">
        <f>VLOOKUP(F626,[4]在职!$A:$M,13,0)</f>
        <v>张圣梁</v>
      </c>
      <c r="F626" s="46" t="s">
        <v>1473</v>
      </c>
      <c r="G626" s="12" t="str">
        <f>VLOOKUP(F626,[4]在职!$A:$B,2,0)</f>
        <v>01369</v>
      </c>
      <c r="H626" s="12" t="str">
        <f>VLOOKUP(F626,[4]在职!$A:$I,9,0)</f>
        <v>一星销售顾问</v>
      </c>
      <c r="I626" s="46" t="s">
        <v>915</v>
      </c>
      <c r="J626" s="83">
        <v>46093</v>
      </c>
      <c r="K626" s="12" t="s">
        <v>27</v>
      </c>
    </row>
    <row r="627" ht="16.5" hidden="1" spans="1:11">
      <c r="A627" s="12">
        <v>629</v>
      </c>
      <c r="B627" s="12" t="s">
        <v>45</v>
      </c>
      <c r="C627" s="12" t="str">
        <f>VLOOKUP(F627,[4]在职!$A:$E,5,0)</f>
        <v>西南总部</v>
      </c>
      <c r="D627" s="12" t="str">
        <f>VLOOKUP(F627,[4]在职!$A:$G,7,0)</f>
        <v>营业一部</v>
      </c>
      <c r="E627" s="12" t="str">
        <f>VLOOKUP(F627,[4]在职!$A:$M,13,0)</f>
        <v>朱家艳</v>
      </c>
      <c r="F627" s="83" t="s">
        <v>1476</v>
      </c>
      <c r="G627" s="12" t="str">
        <f>VLOOKUP(F627,[4]在职!$A:$B,2,0)</f>
        <v>01682</v>
      </c>
      <c r="H627" s="12" t="str">
        <f>VLOOKUP(F627,[4]在职!$A:$I,9,0)</f>
        <v>一星销售顾问</v>
      </c>
      <c r="I627" s="83" t="s">
        <v>915</v>
      </c>
      <c r="J627" s="83">
        <v>46093</v>
      </c>
      <c r="K627" s="12" t="s">
        <v>27</v>
      </c>
    </row>
    <row r="628" ht="16.5" hidden="1" spans="1:11">
      <c r="A628" s="12">
        <v>630</v>
      </c>
      <c r="B628" s="12" t="s">
        <v>45</v>
      </c>
      <c r="C628" s="12" t="str">
        <f>VLOOKUP(F628,[4]在职!$A:$E,5,0)</f>
        <v>西南总部</v>
      </c>
      <c r="D628" s="12" t="str">
        <f>VLOOKUP(F628,[4]在职!$A:$G,7,0)</f>
        <v>营业一部</v>
      </c>
      <c r="E628" s="12" t="str">
        <f>VLOOKUP(F628,[4]在职!$A:$M,13,0)</f>
        <v>白世根</v>
      </c>
      <c r="F628" s="5" t="s">
        <v>1321</v>
      </c>
      <c r="G628" s="12" t="str">
        <f>VLOOKUP(F628,[4]在职!$A:$B,2,0)</f>
        <v>01821</v>
      </c>
      <c r="H628" s="12" t="str">
        <f>VLOOKUP(F628,[4]在职!$A:$I,9,0)</f>
        <v>一星销售顾问</v>
      </c>
      <c r="I628" s="84" t="s">
        <v>907</v>
      </c>
      <c r="J628" s="83">
        <v>46093</v>
      </c>
      <c r="K628" s="12" t="s">
        <v>27</v>
      </c>
    </row>
    <row r="629" ht="16.5" hidden="1" spans="1:11">
      <c r="A629" s="12">
        <v>634</v>
      </c>
      <c r="B629" s="12" t="s">
        <v>45</v>
      </c>
      <c r="C629" s="12" t="str">
        <f>VLOOKUP(F629,[4]在职!$A:$E,5,0)</f>
        <v>西南总部</v>
      </c>
      <c r="D629" s="12" t="str">
        <f>VLOOKUP(F629,[4]在职!$A:$G,7,0)</f>
        <v>营业一部</v>
      </c>
      <c r="E629" s="12" t="str">
        <f>VLOOKUP(F629,[4]在职!$A:$M,13,0)</f>
        <v>胡雪梅</v>
      </c>
      <c r="F629" s="5" t="s">
        <v>952</v>
      </c>
      <c r="G629" s="12" t="str">
        <f>VLOOKUP(F629,[4]在职!$A:$B,2,0)</f>
        <v>01690</v>
      </c>
      <c r="H629" s="12" t="str">
        <f>VLOOKUP(F629,[4]在职!$A:$I,9,0)</f>
        <v>一星销售顾问</v>
      </c>
      <c r="I629" s="84" t="s">
        <v>907</v>
      </c>
      <c r="J629" s="83">
        <v>46093</v>
      </c>
      <c r="K629" s="12" t="s">
        <v>27</v>
      </c>
    </row>
    <row r="630" ht="16.5" hidden="1" spans="1:11">
      <c r="A630" s="12">
        <v>635</v>
      </c>
      <c r="B630" s="12" t="s">
        <v>45</v>
      </c>
      <c r="C630" s="12" t="str">
        <f>VLOOKUP(F630,[4]在职!$A:$E,5,0)</f>
        <v>西南总部</v>
      </c>
      <c r="D630" s="12" t="str">
        <f>VLOOKUP(F630,[4]在职!$A:$G,7,0)</f>
        <v>营业一部</v>
      </c>
      <c r="E630" s="12" t="str">
        <f>VLOOKUP(F630,[4]在职!$A:$M,13,0)</f>
        <v>胡雪梅</v>
      </c>
      <c r="F630" s="5" t="s">
        <v>954</v>
      </c>
      <c r="G630" s="12" t="str">
        <f>VLOOKUP(F630,[4]在职!$A:$B,2,0)</f>
        <v>01307</v>
      </c>
      <c r="H630" s="12" t="str">
        <f>VLOOKUP(F630,[4]在职!$A:$I,9,0)</f>
        <v>二星销售顾问</v>
      </c>
      <c r="I630" s="84" t="s">
        <v>907</v>
      </c>
      <c r="J630" s="83">
        <v>46093</v>
      </c>
      <c r="K630" s="12" t="s">
        <v>27</v>
      </c>
    </row>
    <row r="631" ht="16.5" spans="1:11">
      <c r="A631" s="12">
        <v>669</v>
      </c>
      <c r="B631" s="12" t="s">
        <v>45</v>
      </c>
      <c r="C631" s="12" t="str">
        <f>VLOOKUP(F631,[4]在职!$A:$E,5,0)</f>
        <v>河北</v>
      </c>
      <c r="D631" s="12">
        <f>VLOOKUP(F631,[4]在职!$A:$G,7,0)</f>
        <v>0</v>
      </c>
      <c r="E631" s="12" t="str">
        <f>VLOOKUP(F631,[4]在职!$A:$M,13,0)</f>
        <v>张冀</v>
      </c>
      <c r="F631" s="46" t="s">
        <v>1541</v>
      </c>
      <c r="G631" s="12" t="str">
        <f>VLOOKUP(F631,[4]在职!$A:$B,2,0)</f>
        <v>01915</v>
      </c>
      <c r="H631" s="12" t="str">
        <f>VLOOKUP(F631,[4]在职!$A:$I,9,0)</f>
        <v>办公室主任</v>
      </c>
      <c r="I631" s="46" t="s">
        <v>915</v>
      </c>
      <c r="J631" s="83">
        <v>46106</v>
      </c>
      <c r="K631" s="46" t="s">
        <v>25</v>
      </c>
    </row>
    <row r="632" ht="16.5" spans="1:11">
      <c r="A632" s="12">
        <v>670</v>
      </c>
      <c r="B632" s="12" t="s">
        <v>45</v>
      </c>
      <c r="C632" s="12" t="str">
        <f>VLOOKUP(F632,[4]在职!$A:$E,5,0)</f>
        <v>河南</v>
      </c>
      <c r="D632" s="12" t="str">
        <f>VLOOKUP(F632,[4]在职!$A:$G,7,0)</f>
        <v>河南销售部</v>
      </c>
      <c r="E632" s="12" t="str">
        <f>VLOOKUP(F632,[4]在职!$A:$M,13,0)</f>
        <v>杜雄</v>
      </c>
      <c r="F632" s="46" t="s">
        <v>1506</v>
      </c>
      <c r="G632" s="12" t="str">
        <f>VLOOKUP(F632,[4]在职!$A:$B,2,0)</f>
        <v>00866</v>
      </c>
      <c r="H632" s="12" t="str">
        <f>VLOOKUP(F632,[4]在职!$A:$I,9,0)</f>
        <v>实习销售</v>
      </c>
      <c r="I632" s="46" t="s">
        <v>915</v>
      </c>
      <c r="J632" s="83">
        <v>46106</v>
      </c>
      <c r="K632" s="46" t="s">
        <v>25</v>
      </c>
    </row>
    <row r="633" ht="16.5" spans="1:11">
      <c r="A633" s="12">
        <v>671</v>
      </c>
      <c r="B633" s="12" t="s">
        <v>45</v>
      </c>
      <c r="C633" s="12" t="str">
        <f>VLOOKUP(F633,[4]在职!$A:$E,5,0)</f>
        <v>河南</v>
      </c>
      <c r="D633" s="12" t="str">
        <f>VLOOKUP(F633,[4]在职!$A:$G,7,0)</f>
        <v>河南销售部</v>
      </c>
      <c r="E633" s="12" t="str">
        <f>VLOOKUP(F633,[4]在职!$A:$M,13,0)</f>
        <v>蒋吉勇</v>
      </c>
      <c r="F633" s="46" t="s">
        <v>1279</v>
      </c>
      <c r="G633" s="12" t="str">
        <f>VLOOKUP(F633,[4]在职!$A:$B,2,0)</f>
        <v>01610</v>
      </c>
      <c r="H633" s="12" t="str">
        <f>VLOOKUP(F633,[4]在职!$A:$I,9,0)</f>
        <v>实习销售</v>
      </c>
      <c r="I633" s="46" t="s">
        <v>907</v>
      </c>
      <c r="J633" s="83">
        <v>46106</v>
      </c>
      <c r="K633" s="46" t="s">
        <v>25</v>
      </c>
    </row>
    <row r="634" ht="16.5" spans="1:11">
      <c r="A634" s="12">
        <v>672</v>
      </c>
      <c r="B634" s="12" t="s">
        <v>45</v>
      </c>
      <c r="C634" s="12" t="str">
        <f>VLOOKUP(F634,[4]在职!$A:$E,5,0)</f>
        <v>河南</v>
      </c>
      <c r="D634" s="12">
        <f>VLOOKUP(F634,[4]在职!$A:$G,7,0)</f>
        <v>0</v>
      </c>
      <c r="E634" s="12" t="str">
        <f>VLOOKUP(F634,[4]在职!$A:$M,13,0)</f>
        <v>廖静</v>
      </c>
      <c r="F634" s="46" t="s">
        <v>1543</v>
      </c>
      <c r="G634" s="12" t="str">
        <f>VLOOKUP(F634,[4]在职!$A:$B,2,0)</f>
        <v>01917</v>
      </c>
      <c r="H634" s="12" t="str">
        <f>VLOOKUP(F634,[4]在职!$A:$I,9,0)</f>
        <v>办公室主任</v>
      </c>
      <c r="I634" s="46" t="s">
        <v>915</v>
      </c>
      <c r="J634" s="83">
        <v>46106</v>
      </c>
      <c r="K634" s="46" t="s">
        <v>25</v>
      </c>
    </row>
    <row r="635" ht="16.5" spans="1:11">
      <c r="A635" s="12">
        <v>673</v>
      </c>
      <c r="B635" s="12" t="s">
        <v>45</v>
      </c>
      <c r="C635" s="12" t="str">
        <f>VLOOKUP(F635,[4]在职!$A:$E,5,0)</f>
        <v>河南</v>
      </c>
      <c r="D635" s="12" t="str">
        <f>VLOOKUP(F635,[4]在职!$A:$G,7,0)</f>
        <v>河南销售部</v>
      </c>
      <c r="E635" s="12" t="str">
        <f>VLOOKUP(F635,[4]在职!$A:$M,13,0)</f>
        <v>余金梅</v>
      </c>
      <c r="F635" s="46" t="s">
        <v>1205</v>
      </c>
      <c r="G635" s="12" t="str">
        <f>VLOOKUP(F635,[4]在职!$A:$B,2,0)</f>
        <v>01870</v>
      </c>
      <c r="H635" s="12" t="str">
        <f>VLOOKUP(F635,[4]在职!$A:$I,9,0)</f>
        <v>实习销售</v>
      </c>
      <c r="I635" s="46" t="s">
        <v>915</v>
      </c>
      <c r="J635" s="83">
        <v>46106</v>
      </c>
      <c r="K635" s="46" t="s">
        <v>25</v>
      </c>
    </row>
    <row r="636" ht="16.5" spans="1:11">
      <c r="A636" s="12">
        <v>674</v>
      </c>
      <c r="B636" s="12" t="s">
        <v>45</v>
      </c>
      <c r="C636" s="12" t="str">
        <f>VLOOKUP(F636,[4]在职!$A:$E,5,0)</f>
        <v>湖北</v>
      </c>
      <c r="D636" s="12" t="str">
        <f>VLOOKUP(F636,[4]在职!$A:$G,7,0)</f>
        <v>湖北1部</v>
      </c>
      <c r="E636" s="12" t="str">
        <f>VLOOKUP(F636,[4]在职!$A:$M,13,0)</f>
        <v>黄俊</v>
      </c>
      <c r="F636" s="46" t="s">
        <v>1507</v>
      </c>
      <c r="G636" s="12" t="str">
        <f>VLOOKUP(F636,[4]在职!$A:$B,2,0)</f>
        <v>01944</v>
      </c>
      <c r="H636" s="12" t="str">
        <f>VLOOKUP(F636,[4]在职!$A:$I,9,0)</f>
        <v>实习销售</v>
      </c>
      <c r="I636" s="46" t="s">
        <v>907</v>
      </c>
      <c r="J636" s="83">
        <v>46106</v>
      </c>
      <c r="K636" s="46" t="s">
        <v>25</v>
      </c>
    </row>
    <row r="637" ht="16.5" spans="1:11">
      <c r="A637" s="12">
        <v>675</v>
      </c>
      <c r="B637" s="12" t="s">
        <v>45</v>
      </c>
      <c r="C637" s="12" t="str">
        <f>VLOOKUP(F637,[4]在职!$A:$E,5,0)</f>
        <v>湖北</v>
      </c>
      <c r="D637" s="12" t="str">
        <f>VLOOKUP(F637,[4]在职!$A:$G,7,0)</f>
        <v>湖北2部</v>
      </c>
      <c r="E637" s="12" t="str">
        <f>VLOOKUP(F637,[4]在职!$A:$M,13,0)</f>
        <v>马超</v>
      </c>
      <c r="F637" s="46" t="s">
        <v>1508</v>
      </c>
      <c r="G637" s="12" t="str">
        <f>VLOOKUP(F637,[4]在职!$A:$B,2,0)</f>
        <v>01942</v>
      </c>
      <c r="H637" s="12" t="str">
        <f>VLOOKUP(F637,[4]在职!$A:$I,9,0)</f>
        <v>实习销售</v>
      </c>
      <c r="I637" s="46" t="s">
        <v>915</v>
      </c>
      <c r="J637" s="83">
        <v>46106</v>
      </c>
      <c r="K637" s="46" t="s">
        <v>25</v>
      </c>
    </row>
    <row r="638" ht="16.5" spans="1:11">
      <c r="A638" s="12">
        <v>676</v>
      </c>
      <c r="B638" s="12" t="s">
        <v>45</v>
      </c>
      <c r="C638" s="12" t="str">
        <f>VLOOKUP(F638,[4]在职!$A:$E,5,0)</f>
        <v>湖北</v>
      </c>
      <c r="D638" s="12" t="str">
        <f>VLOOKUP(F638,[4]在职!$A:$G,7,0)</f>
        <v>湖北1部</v>
      </c>
      <c r="E638" s="12" t="str">
        <f>VLOOKUP(F638,[4]在职!$A:$M,13,0)</f>
        <v>秦娅玲</v>
      </c>
      <c r="F638" s="46" t="s">
        <v>1509</v>
      </c>
      <c r="G638" s="12" t="str">
        <f>VLOOKUP(F638,[4]在职!$A:$B,2,0)</f>
        <v>01946</v>
      </c>
      <c r="H638" s="12" t="str">
        <f>VLOOKUP(F638,[4]在职!$A:$I,9,0)</f>
        <v>实习销售</v>
      </c>
      <c r="I638" s="46" t="s">
        <v>915</v>
      </c>
      <c r="J638" s="83">
        <v>46106</v>
      </c>
      <c r="K638" s="46" t="s">
        <v>25</v>
      </c>
    </row>
    <row r="639" ht="16.5" spans="1:11">
      <c r="A639" s="12">
        <v>677</v>
      </c>
      <c r="B639" s="12" t="s">
        <v>45</v>
      </c>
      <c r="C639" s="12" t="str">
        <f>VLOOKUP(F639,[4]在职!$A:$E,5,0)</f>
        <v>湖北</v>
      </c>
      <c r="D639" s="12" t="str">
        <f>VLOOKUP(F639,[4]在职!$A:$G,7,0)</f>
        <v>湖北1部</v>
      </c>
      <c r="E639" s="12" t="str">
        <f>VLOOKUP(F639,[4]在职!$A:$M,13,0)</f>
        <v>张宗铭</v>
      </c>
      <c r="F639" s="46" t="s">
        <v>1510</v>
      </c>
      <c r="G639" s="12" t="str">
        <f>VLOOKUP(F639,[4]在职!$A:$B,2,0)</f>
        <v>01977</v>
      </c>
      <c r="H639" s="12" t="str">
        <f>VLOOKUP(F639,[4]在职!$A:$I,9,0)</f>
        <v>实习销售</v>
      </c>
      <c r="I639" s="46" t="s">
        <v>915</v>
      </c>
      <c r="J639" s="83">
        <v>46106</v>
      </c>
      <c r="K639" s="46" t="s">
        <v>25</v>
      </c>
    </row>
    <row r="640" ht="16.5" spans="1:11">
      <c r="A640" s="12">
        <v>678</v>
      </c>
      <c r="B640" s="12" t="s">
        <v>45</v>
      </c>
      <c r="C640" s="12" t="str">
        <f>VLOOKUP(F640,[4]在职!$A:$E,5,0)</f>
        <v>湖南</v>
      </c>
      <c r="D640" s="12" t="str">
        <f>VLOOKUP(F640,[4]在职!$A:$G,7,0)</f>
        <v>湖南销售部</v>
      </c>
      <c r="E640" s="12" t="str">
        <f>VLOOKUP(F640,[4]在职!$A:$M,13,0)</f>
        <v>扈岭楠</v>
      </c>
      <c r="F640" s="46" t="s">
        <v>1511</v>
      </c>
      <c r="G640" s="12" t="str">
        <f>VLOOKUP(F640,[4]在职!$A:$B,2,0)</f>
        <v>01926</v>
      </c>
      <c r="H640" s="12" t="str">
        <f>VLOOKUP(F640,[4]在职!$A:$I,9,0)</f>
        <v>实习销售</v>
      </c>
      <c r="I640" s="46" t="s">
        <v>915</v>
      </c>
      <c r="J640" s="83">
        <v>46106</v>
      </c>
      <c r="K640" s="46" t="s">
        <v>25</v>
      </c>
    </row>
    <row r="641" ht="16.5" spans="1:11">
      <c r="A641" s="12">
        <v>679</v>
      </c>
      <c r="B641" s="12" t="s">
        <v>45</v>
      </c>
      <c r="C641" s="12" t="str">
        <f>VLOOKUP(F641,[4]在职!$A:$E,5,0)</f>
        <v>湖南</v>
      </c>
      <c r="D641" s="12" t="str">
        <f>VLOOKUP(F641,[4]在职!$A:$G,7,0)</f>
        <v>湖南销售部</v>
      </c>
      <c r="E641" s="12" t="str">
        <f>VLOOKUP(F641,[4]在职!$A:$M,13,0)</f>
        <v>刘元发</v>
      </c>
      <c r="F641" s="46" t="s">
        <v>1261</v>
      </c>
      <c r="G641" s="12" t="str">
        <f>VLOOKUP(F641,[4]在职!$A:$B,2,0)</f>
        <v>01907</v>
      </c>
      <c r="H641" s="12" t="str">
        <f>VLOOKUP(F641,[4]在职!$A:$I,9,0)</f>
        <v>实习销售</v>
      </c>
      <c r="I641" s="46" t="s">
        <v>915</v>
      </c>
      <c r="J641" s="83">
        <v>46106</v>
      </c>
      <c r="K641" s="46" t="s">
        <v>25</v>
      </c>
    </row>
    <row r="642" ht="16.5" spans="1:11">
      <c r="A642" s="12">
        <v>680</v>
      </c>
      <c r="B642" s="12" t="s">
        <v>45</v>
      </c>
      <c r="C642" s="12" t="str">
        <f>VLOOKUP(F642,[4]在职!$A:$E,5,0)</f>
        <v>湖南</v>
      </c>
      <c r="D642" s="12" t="str">
        <f>VLOOKUP(F642,[4]在职!$A:$G,7,0)</f>
        <v>湖南销售部</v>
      </c>
      <c r="E642" s="12" t="str">
        <f>VLOOKUP(F642,[4]在职!$A:$M,13,0)</f>
        <v>杨超群</v>
      </c>
      <c r="F642" s="46" t="s">
        <v>1259</v>
      </c>
      <c r="G642" s="12" t="str">
        <f>VLOOKUP(F642,[4]在职!$A:$B,2,0)</f>
        <v>01873</v>
      </c>
      <c r="H642" s="12" t="str">
        <f>VLOOKUP(F642,[4]在职!$A:$I,9,0)</f>
        <v>实习销售</v>
      </c>
      <c r="I642" s="46" t="s">
        <v>915</v>
      </c>
      <c r="J642" s="83">
        <v>46106</v>
      </c>
      <c r="K642" s="46" t="s">
        <v>25</v>
      </c>
    </row>
    <row r="643" ht="16.5" spans="1:11">
      <c r="A643" s="12">
        <v>681</v>
      </c>
      <c r="B643" s="12" t="s">
        <v>45</v>
      </c>
      <c r="C643" s="12" t="str">
        <f>VLOOKUP(F643,[4]在职!$A:$E,5,0)</f>
        <v>湖南</v>
      </c>
      <c r="D643" s="12" t="str">
        <f>VLOOKUP(F643,[4]在职!$A:$G,7,0)</f>
        <v>湖南销售部</v>
      </c>
      <c r="E643" s="12" t="str">
        <f>VLOOKUP(F643,[4]在职!$A:$M,13,0)</f>
        <v>庄素芳</v>
      </c>
      <c r="F643" s="46" t="s">
        <v>1512</v>
      </c>
      <c r="G643" s="12" t="str">
        <f>VLOOKUP(F643,[4]在职!$A:$B,2,0)</f>
        <v>01920</v>
      </c>
      <c r="H643" s="12" t="str">
        <f>VLOOKUP(F643,[4]在职!$A:$I,9,0)</f>
        <v>实习销售</v>
      </c>
      <c r="I643" s="46" t="s">
        <v>915</v>
      </c>
      <c r="J643" s="83">
        <v>46106</v>
      </c>
      <c r="K643" s="46" t="s">
        <v>25</v>
      </c>
    </row>
    <row r="644" ht="16.5" spans="1:11">
      <c r="A644" s="12">
        <v>682</v>
      </c>
      <c r="B644" s="12" t="s">
        <v>45</v>
      </c>
      <c r="C644" s="12" t="str">
        <f>VLOOKUP(F644,[4]在职!$A:$E,5,0)</f>
        <v>集团职能</v>
      </c>
      <c r="D644" s="12" t="str">
        <f>VLOOKUP(F644,[4]在职!$A:$G,7,0)</f>
        <v>人资行政部</v>
      </c>
      <c r="E644" s="12" t="str">
        <f>VLOOKUP(F644,[4]在职!$A:$M,13,0)</f>
        <v>黄芳</v>
      </c>
      <c r="F644" s="46" t="s">
        <v>1355</v>
      </c>
      <c r="G644" s="12" t="str">
        <f>VLOOKUP(F644,[4]在职!$A:$B,2,0)</f>
        <v>01918</v>
      </c>
      <c r="H644" s="12" t="str">
        <f>VLOOKUP(F644,[4]在职!$A:$I,9,0)</f>
        <v>人资行政经理</v>
      </c>
      <c r="I644" s="46" t="s">
        <v>907</v>
      </c>
      <c r="J644" s="83">
        <v>46106</v>
      </c>
      <c r="K644" s="46" t="s">
        <v>25</v>
      </c>
    </row>
    <row r="645" ht="16.5" spans="1:11">
      <c r="A645" s="12">
        <v>683</v>
      </c>
      <c r="B645" s="12" t="s">
        <v>45</v>
      </c>
      <c r="C645" s="12" t="str">
        <f>VLOOKUP(F645,[4]在职!$A:$E,5,0)</f>
        <v>集团职能</v>
      </c>
      <c r="D645" s="12" t="str">
        <f>VLOOKUP(F645,[4]在职!$A:$G,7,0)</f>
        <v>人资行政部</v>
      </c>
      <c r="E645" s="12" t="str">
        <f>VLOOKUP(F645,[4]在职!$A:$M,13,0)</f>
        <v>孔群慧</v>
      </c>
      <c r="F645" s="46" t="s">
        <v>1537</v>
      </c>
      <c r="G645" s="12" t="str">
        <f>VLOOKUP(F645,[4]在职!$A:$B,2,0)</f>
        <v>01948</v>
      </c>
      <c r="H645" s="12" t="str">
        <f>VLOOKUP(F645,[4]在职!$A:$I,9,0)</f>
        <v>行政专员</v>
      </c>
      <c r="I645" s="46" t="s">
        <v>915</v>
      </c>
      <c r="J645" s="83">
        <v>46106</v>
      </c>
      <c r="K645" s="46" t="s">
        <v>25</v>
      </c>
    </row>
    <row r="646" ht="16.5" spans="1:11">
      <c r="A646" s="12">
        <v>684</v>
      </c>
      <c r="B646" s="12" t="s">
        <v>45</v>
      </c>
      <c r="C646" s="12" t="str">
        <f>VLOOKUP(F646,[4]在职!$A:$E,5,0)</f>
        <v>集团职能</v>
      </c>
      <c r="D646" s="12" t="str">
        <f>VLOOKUP(F646,[4]在职!$A:$G,7,0)</f>
        <v>人资行政部</v>
      </c>
      <c r="E646" s="12" t="str">
        <f>VLOOKUP(F646,[4]在职!$A:$M,13,0)</f>
        <v>孔群慧</v>
      </c>
      <c r="F646" s="46" t="s">
        <v>1538</v>
      </c>
      <c r="G646" s="12" t="str">
        <f>VLOOKUP(F646,[4]在职!$A:$B,2,0)</f>
        <v>01937</v>
      </c>
      <c r="H646" s="12" t="str">
        <f>VLOOKUP(F646,[4]在职!$A:$I,9,0)</f>
        <v>采购专员</v>
      </c>
      <c r="I646" s="46" t="s">
        <v>915</v>
      </c>
      <c r="J646" s="83">
        <v>46106</v>
      </c>
      <c r="K646" s="46" t="s">
        <v>25</v>
      </c>
    </row>
    <row r="647" ht="16.5" spans="1:11">
      <c r="A647" s="12">
        <v>685</v>
      </c>
      <c r="B647" s="12" t="s">
        <v>45</v>
      </c>
      <c r="C647" s="12" t="str">
        <f>VLOOKUP(F647,[4]在职!$A:$E,5,0)</f>
        <v>集团职能</v>
      </c>
      <c r="D647" s="12" t="str">
        <f>VLOOKUP(F647,[4]在职!$A:$G,7,0)</f>
        <v>停车场运营部</v>
      </c>
      <c r="E647" s="12" t="str">
        <f>VLOOKUP(F647,[4]在职!$A:$M,13,0)</f>
        <v>刘文宇</v>
      </c>
      <c r="F647" s="46" t="s">
        <v>1539</v>
      </c>
      <c r="G647" s="12" t="str">
        <f>VLOOKUP(F647,[4]在职!$A:$B,2,0)</f>
        <v>01928</v>
      </c>
      <c r="H647" s="12" t="str">
        <f>VLOOKUP(F647,[4]在职!$A:$I,9,0)</f>
        <v>停车场运营经理</v>
      </c>
      <c r="I647" s="46" t="s">
        <v>915</v>
      </c>
      <c r="J647" s="83">
        <v>46106</v>
      </c>
      <c r="K647" s="46" t="s">
        <v>25</v>
      </c>
    </row>
    <row r="648" ht="16.5" spans="1:11">
      <c r="A648" s="12">
        <v>686</v>
      </c>
      <c r="B648" s="12" t="s">
        <v>45</v>
      </c>
      <c r="C648" s="12" t="str">
        <f>VLOOKUP(F648,[4]在职!$A:$E,5,0)</f>
        <v>辽宁</v>
      </c>
      <c r="D648" s="12" t="str">
        <f>VLOOKUP(F648,[4]在职!$A:$G,7,0)</f>
        <v>辽宁销售部</v>
      </c>
      <c r="E648" s="12" t="str">
        <f>VLOOKUP(F648,[4]在职!$A:$M,13,0)</f>
        <v>孙科</v>
      </c>
      <c r="F648" s="46" t="s">
        <v>1513</v>
      </c>
      <c r="G648" s="12" t="str">
        <f>VLOOKUP(F648,[4]在职!$A:$B,2,0)</f>
        <v>01961</v>
      </c>
      <c r="H648" s="12" t="str">
        <f>VLOOKUP(F648,[4]在职!$A:$I,9,0)</f>
        <v>实习销售</v>
      </c>
      <c r="I648" s="46" t="s">
        <v>915</v>
      </c>
      <c r="J648" s="83">
        <v>46106</v>
      </c>
      <c r="K648" s="46" t="s">
        <v>25</v>
      </c>
    </row>
    <row r="649" ht="16.5" spans="1:11">
      <c r="A649" s="12">
        <v>687</v>
      </c>
      <c r="B649" s="12" t="s">
        <v>45</v>
      </c>
      <c r="C649" s="12" t="str">
        <f>VLOOKUP(F649,[4]在职!$A:$E,5,0)</f>
        <v>辽宁</v>
      </c>
      <c r="D649" s="12" t="str">
        <f>VLOOKUP(F649,[4]在职!$A:$G,7,0)</f>
        <v>辽宁销售部</v>
      </c>
      <c r="E649" s="12" t="str">
        <f>VLOOKUP(F649,[4]在职!$A:$M,13,0)</f>
        <v>孙科</v>
      </c>
      <c r="F649" s="46" t="s">
        <v>1514</v>
      </c>
      <c r="G649" s="12" t="str">
        <f>VLOOKUP(F649,[4]在职!$A:$B,2,0)</f>
        <v>01925</v>
      </c>
      <c r="H649" s="12" t="str">
        <f>VLOOKUP(F649,[4]在职!$A:$I,9,0)</f>
        <v>实习销售</v>
      </c>
      <c r="I649" s="46" t="s">
        <v>915</v>
      </c>
      <c r="J649" s="83">
        <v>46106</v>
      </c>
      <c r="K649" s="46" t="s">
        <v>25</v>
      </c>
    </row>
    <row r="650" ht="16.5" spans="1:11">
      <c r="A650" s="12">
        <v>688</v>
      </c>
      <c r="B650" s="12" t="s">
        <v>45</v>
      </c>
      <c r="C650" s="12" t="str">
        <f>VLOOKUP(F650,[4]在职!$A:$E,5,0)</f>
        <v>山东</v>
      </c>
      <c r="D650" s="12" t="str">
        <f>VLOOKUP(F650,[4]在职!$A:$G,7,0)</f>
        <v>山东销售部</v>
      </c>
      <c r="E650" s="12" t="str">
        <f>VLOOKUP(F650,[4]在职!$A:$M,13,0)</f>
        <v>赵文涛</v>
      </c>
      <c r="F650" s="46" t="s">
        <v>1515</v>
      </c>
      <c r="G650" s="12" t="str">
        <f>VLOOKUP(F650,[4]在职!$A:$B,2,0)</f>
        <v>01936</v>
      </c>
      <c r="H650" s="12" t="str">
        <f>VLOOKUP(F650,[4]在职!$A:$I,9,0)</f>
        <v>实习销售</v>
      </c>
      <c r="I650" s="46" t="s">
        <v>915</v>
      </c>
      <c r="J650" s="83">
        <v>46106</v>
      </c>
      <c r="K650" s="46" t="s">
        <v>25</v>
      </c>
    </row>
    <row r="651" ht="16.5" spans="1:11">
      <c r="A651" s="12">
        <v>689</v>
      </c>
      <c r="B651" s="12" t="s">
        <v>45</v>
      </c>
      <c r="C651" s="12" t="str">
        <f>VLOOKUP(F651,[4]在职!$A:$E,5,0)</f>
        <v>山东</v>
      </c>
      <c r="D651" s="12" t="str">
        <f>VLOOKUP(F651,[4]在职!$A:$G,7,0)</f>
        <v>山东销售部</v>
      </c>
      <c r="E651" s="12" t="str">
        <f>VLOOKUP(F651,[4]在职!$A:$M,13,0)</f>
        <v>周涛</v>
      </c>
      <c r="F651" s="46" t="s">
        <v>1516</v>
      </c>
      <c r="G651" s="12" t="str">
        <f>VLOOKUP(F651,[4]在职!$A:$B,2,0)</f>
        <v>01947</v>
      </c>
      <c r="H651" s="12" t="str">
        <f>VLOOKUP(F651,[4]在职!$A:$I,9,0)</f>
        <v>实习销售</v>
      </c>
      <c r="I651" s="46" t="s">
        <v>915</v>
      </c>
      <c r="J651" s="83">
        <v>46106</v>
      </c>
      <c r="K651" s="46" t="s">
        <v>25</v>
      </c>
    </row>
    <row r="652" ht="16.5" spans="1:11">
      <c r="A652" s="12">
        <v>690</v>
      </c>
      <c r="B652" s="12" t="s">
        <v>45</v>
      </c>
      <c r="C652" s="12" t="str">
        <f>VLOOKUP(F652,[4]在职!$A:$E,5,0)</f>
        <v>陕西</v>
      </c>
      <c r="D652" s="12" t="str">
        <f>VLOOKUP(F652,[4]在职!$A:$G,7,0)</f>
        <v>陕西1部</v>
      </c>
      <c r="E652" s="12" t="str">
        <f>VLOOKUP(F652,[4]在职!$A:$M,13,0)</f>
        <v>吕瑞仙</v>
      </c>
      <c r="F652" s="46" t="s">
        <v>1517</v>
      </c>
      <c r="G652" s="12" t="str">
        <f>VLOOKUP(F652,[4]在职!$A:$B,2,0)</f>
        <v>01973</v>
      </c>
      <c r="H652" s="12" t="str">
        <f>VLOOKUP(F652,[4]在职!$A:$I,9,0)</f>
        <v>实习销售</v>
      </c>
      <c r="I652" s="46" t="s">
        <v>915</v>
      </c>
      <c r="J652" s="83">
        <v>46106</v>
      </c>
      <c r="K652" s="46" t="s">
        <v>25</v>
      </c>
    </row>
    <row r="653" ht="16.5" spans="1:11">
      <c r="A653" s="12">
        <v>691</v>
      </c>
      <c r="B653" s="12" t="s">
        <v>45</v>
      </c>
      <c r="C653" s="12" t="str">
        <f>VLOOKUP(F653,[4]在职!$A:$E,5,0)</f>
        <v>陕西</v>
      </c>
      <c r="D653" s="12" t="str">
        <f>VLOOKUP(F653,[4]在职!$A:$G,7,0)</f>
        <v>陕西2部</v>
      </c>
      <c r="E653" s="12" t="str">
        <f>VLOOKUP(F653,[4]在职!$A:$M,13,0)</f>
        <v>乔磊</v>
      </c>
      <c r="F653" s="46" t="s">
        <v>1518</v>
      </c>
      <c r="G653" s="12" t="str">
        <f>VLOOKUP(F653,[4]在职!$A:$B,2,0)</f>
        <v>01930</v>
      </c>
      <c r="H653" s="12" t="str">
        <f>VLOOKUP(F653,[4]在职!$A:$I,9,0)</f>
        <v>实习销售</v>
      </c>
      <c r="I653" s="46" t="s">
        <v>915</v>
      </c>
      <c r="J653" s="83">
        <v>46106</v>
      </c>
      <c r="K653" s="46" t="s">
        <v>25</v>
      </c>
    </row>
    <row r="654" ht="16.5" spans="1:11">
      <c r="A654" s="12">
        <v>692</v>
      </c>
      <c r="B654" s="12" t="s">
        <v>45</v>
      </c>
      <c r="C654" s="12" t="str">
        <f>VLOOKUP(F654,[4]在职!$A:$E,5,0)</f>
        <v>陕西</v>
      </c>
      <c r="D654" s="12" t="str">
        <f>VLOOKUP(F654,[4]在职!$A:$G,7,0)</f>
        <v>陕西2部</v>
      </c>
      <c r="E654" s="12" t="str">
        <f>VLOOKUP(F654,[4]在职!$A:$M,13,0)</f>
        <v>王超2</v>
      </c>
      <c r="F654" s="46" t="s">
        <v>1519</v>
      </c>
      <c r="G654" s="12" t="str">
        <f>VLOOKUP(F654,[4]在职!$A:$B,2,0)</f>
        <v>01943</v>
      </c>
      <c r="H654" s="12" t="str">
        <f>VLOOKUP(F654,[4]在职!$A:$I,9,0)</f>
        <v>实习销售</v>
      </c>
      <c r="I654" s="46" t="s">
        <v>915</v>
      </c>
      <c r="J654" s="83">
        <v>46106</v>
      </c>
      <c r="K654" s="46" t="s">
        <v>25</v>
      </c>
    </row>
    <row r="655" ht="16.5" spans="1:11">
      <c r="A655" s="12">
        <v>693</v>
      </c>
      <c r="B655" s="12" t="s">
        <v>45</v>
      </c>
      <c r="C655" s="12" t="str">
        <f>VLOOKUP(F655,[4]在职!$A:$E,5,0)</f>
        <v>陕西</v>
      </c>
      <c r="D655" s="12" t="str">
        <f>VLOOKUP(F655,[4]在职!$A:$G,7,0)</f>
        <v>陕西1部</v>
      </c>
      <c r="E655" s="12" t="str">
        <f>VLOOKUP(F655,[4]在职!$A:$M,13,0)</f>
        <v>叶湑</v>
      </c>
      <c r="F655" s="46" t="s">
        <v>1520</v>
      </c>
      <c r="G655" s="12" t="str">
        <f>VLOOKUP(F655,[4]在职!$A:$B,2,0)</f>
        <v>01955</v>
      </c>
      <c r="H655" s="12" t="str">
        <f>VLOOKUP(F655,[4]在职!$A:$I,9,0)</f>
        <v>实习销售</v>
      </c>
      <c r="I655" s="46" t="s">
        <v>915</v>
      </c>
      <c r="J655" s="83">
        <v>46106</v>
      </c>
      <c r="K655" s="46" t="s">
        <v>25</v>
      </c>
    </row>
    <row r="656" ht="16.5" spans="1:11">
      <c r="A656" s="12">
        <v>694</v>
      </c>
      <c r="B656" s="12" t="s">
        <v>45</v>
      </c>
      <c r="C656" s="12" t="str">
        <f>VLOOKUP(F656,[4]在职!$A:$E,5,0)</f>
        <v>陕西</v>
      </c>
      <c r="D656" s="12" t="str">
        <f>VLOOKUP(F656,[4]在职!$A:$G,7,0)</f>
        <v>陕西2部</v>
      </c>
      <c r="E656" s="12" t="str">
        <f>VLOOKUP(F656,[4]在职!$A:$M,13,0)</f>
        <v>朱全兰</v>
      </c>
      <c r="F656" s="46" t="s">
        <v>1521</v>
      </c>
      <c r="G656" s="12" t="str">
        <f>VLOOKUP(F656,[4]在职!$A:$B,2,0)</f>
        <v>01932</v>
      </c>
      <c r="H656" s="12" t="str">
        <f>VLOOKUP(F656,[4]在职!$A:$I,9,0)</f>
        <v>实习销售</v>
      </c>
      <c r="I656" s="46" t="s">
        <v>915</v>
      </c>
      <c r="J656" s="83">
        <v>46106</v>
      </c>
      <c r="K656" s="46" t="s">
        <v>25</v>
      </c>
    </row>
    <row r="657" ht="16.5" spans="1:11">
      <c r="A657" s="12">
        <v>695</v>
      </c>
      <c r="B657" s="12" t="s">
        <v>45</v>
      </c>
      <c r="C657" s="12" t="str">
        <f>VLOOKUP(F657,[4]在职!$A:$E,5,0)</f>
        <v>西南总部</v>
      </c>
      <c r="D657" s="12" t="str">
        <f>VLOOKUP(F657,[4]在职!$A:$G,7,0)</f>
        <v>营业一部</v>
      </c>
      <c r="E657" s="12" t="str">
        <f>VLOOKUP(F657,[4]在职!$A:$M,13,0)</f>
        <v>白世根</v>
      </c>
      <c r="F657" s="46" t="s">
        <v>1522</v>
      </c>
      <c r="G657" s="12" t="str">
        <f>VLOOKUP(F657,[4]在职!$A:$B,2,0)</f>
        <v>01978</v>
      </c>
      <c r="H657" s="12" t="str">
        <f>VLOOKUP(F657,[4]在职!$A:$I,9,0)</f>
        <v>实习销售</v>
      </c>
      <c r="I657" s="46" t="s">
        <v>915</v>
      </c>
      <c r="J657" s="83">
        <v>46106</v>
      </c>
      <c r="K657" s="46" t="s">
        <v>25</v>
      </c>
    </row>
    <row r="658" ht="16.5" spans="1:11">
      <c r="A658" s="12">
        <v>696</v>
      </c>
      <c r="B658" s="12" t="s">
        <v>45</v>
      </c>
      <c r="C658" s="12" t="str">
        <f>VLOOKUP(F658,[4]在职!$A:$E,5,0)</f>
        <v>西南总部</v>
      </c>
      <c r="D658" s="12" t="str">
        <f>VLOOKUP(F658,[4]在职!$A:$G,7,0)</f>
        <v>营业一部</v>
      </c>
      <c r="E658" s="12" t="str">
        <f>VLOOKUP(F658,[4]在职!$A:$M,13,0)</f>
        <v>白世根</v>
      </c>
      <c r="F658" s="46" t="s">
        <v>1523</v>
      </c>
      <c r="G658" s="12" t="str">
        <f>VLOOKUP(F658,[4]在职!$A:$B,2,0)</f>
        <v>01963</v>
      </c>
      <c r="H658" s="12" t="str">
        <f>VLOOKUP(F658,[4]在职!$A:$I,9,0)</f>
        <v>实习销售</v>
      </c>
      <c r="I658" s="46" t="s">
        <v>915</v>
      </c>
      <c r="J658" s="83">
        <v>46106</v>
      </c>
      <c r="K658" s="46" t="s">
        <v>25</v>
      </c>
    </row>
    <row r="659" ht="16.5" spans="1:11">
      <c r="A659" s="12">
        <v>697</v>
      </c>
      <c r="B659" s="12" t="s">
        <v>45</v>
      </c>
      <c r="C659" s="12" t="str">
        <f>VLOOKUP(F659,[4]在职!$A:$E,5,0)</f>
        <v>西南总部</v>
      </c>
      <c r="D659" s="12" t="str">
        <f>VLOOKUP(F659,[4]在职!$A:$G,7,0)</f>
        <v>营业一部</v>
      </c>
      <c r="E659" s="12" t="str">
        <f>VLOOKUP(F659,[4]在职!$A:$M,13,0)</f>
        <v>白世根</v>
      </c>
      <c r="F659" s="46" t="s">
        <v>1524</v>
      </c>
      <c r="G659" s="12" t="str">
        <f>VLOOKUP(F659,[4]在职!$A:$B,2,0)</f>
        <v>01964</v>
      </c>
      <c r="H659" s="12" t="str">
        <f>VLOOKUP(F659,[4]在职!$A:$I,9,0)</f>
        <v>实习销售</v>
      </c>
      <c r="I659" s="46" t="s">
        <v>915</v>
      </c>
      <c r="J659" s="83">
        <v>46106</v>
      </c>
      <c r="K659" s="46" t="s">
        <v>25</v>
      </c>
    </row>
    <row r="660" ht="16.5" spans="1:11">
      <c r="A660" s="12">
        <v>698</v>
      </c>
      <c r="B660" s="12" t="s">
        <v>45</v>
      </c>
      <c r="C660" s="12" t="str">
        <f>VLOOKUP(F660,[4]在职!$A:$E,5,0)</f>
        <v>西南总部</v>
      </c>
      <c r="D660" s="12" t="str">
        <f>VLOOKUP(F660,[4]在职!$A:$G,7,0)</f>
        <v>营业一部</v>
      </c>
      <c r="E660" s="12" t="str">
        <f>VLOOKUP(F660,[4]在职!$A:$M,13,0)</f>
        <v>白世根</v>
      </c>
      <c r="F660" s="46" t="s">
        <v>1525</v>
      </c>
      <c r="G660" s="12" t="str">
        <f>VLOOKUP(F660,[4]在职!$A:$B,2,0)</f>
        <v>01929</v>
      </c>
      <c r="H660" s="12" t="str">
        <f>VLOOKUP(F660,[4]在职!$A:$I,9,0)</f>
        <v>实习销售</v>
      </c>
      <c r="I660" s="46" t="s">
        <v>915</v>
      </c>
      <c r="J660" s="83">
        <v>46106</v>
      </c>
      <c r="K660" s="46" t="s">
        <v>25</v>
      </c>
    </row>
    <row r="661" ht="16.5" spans="1:11">
      <c r="A661" s="12">
        <v>699</v>
      </c>
      <c r="B661" s="12" t="s">
        <v>45</v>
      </c>
      <c r="C661" s="12" t="str">
        <f>VLOOKUP(F661,[4]在职!$A:$E,5,0)</f>
        <v>西南总部</v>
      </c>
      <c r="D661" s="12" t="str">
        <f>VLOOKUP(F661,[4]在职!$A:$G,7,0)</f>
        <v>营业一部</v>
      </c>
      <c r="E661" s="12" t="str">
        <f>VLOOKUP(F661,[4]在职!$A:$M,13,0)</f>
        <v>白世根</v>
      </c>
      <c r="F661" s="46" t="s">
        <v>1437</v>
      </c>
      <c r="G661" s="12" t="str">
        <f>VLOOKUP(F661,[4]在职!$A:$B,2,0)</f>
        <v>01753</v>
      </c>
      <c r="H661" s="12" t="str">
        <f>VLOOKUP(F661,[4]在职!$A:$I,9,0)</f>
        <v>一星销售顾问</v>
      </c>
      <c r="I661" s="46" t="s">
        <v>915</v>
      </c>
      <c r="J661" s="83">
        <v>46106</v>
      </c>
      <c r="K661" s="46" t="s">
        <v>25</v>
      </c>
    </row>
    <row r="662" ht="16.5" spans="1:11">
      <c r="A662" s="12">
        <v>700</v>
      </c>
      <c r="B662" s="12" t="s">
        <v>45</v>
      </c>
      <c r="C662" s="12" t="str">
        <f>VLOOKUP(F662,[4]在职!$A:$E,5,0)</f>
        <v>西南总部</v>
      </c>
      <c r="D662" s="12" t="str">
        <f>VLOOKUP(F662,[4]在职!$A:$G,7,0)</f>
        <v>营业一部</v>
      </c>
      <c r="E662" s="12" t="str">
        <f>VLOOKUP(F662,[4]在职!$A:$M,13,0)</f>
        <v>白世根</v>
      </c>
      <c r="F662" s="46" t="s">
        <v>1321</v>
      </c>
      <c r="G662" s="12" t="str">
        <f>VLOOKUP(F662,[4]在职!$A:$B,2,0)</f>
        <v>01821</v>
      </c>
      <c r="H662" s="12" t="str">
        <f>VLOOKUP(F662,[4]在职!$A:$I,9,0)</f>
        <v>一星销售顾问</v>
      </c>
      <c r="I662" s="46" t="s">
        <v>915</v>
      </c>
      <c r="J662" s="83">
        <v>46106</v>
      </c>
      <c r="K662" s="46" t="s">
        <v>25</v>
      </c>
    </row>
    <row r="663" ht="16.5" spans="1:11">
      <c r="A663" s="12">
        <v>701</v>
      </c>
      <c r="B663" s="12" t="s">
        <v>45</v>
      </c>
      <c r="C663" s="12" t="str">
        <f>VLOOKUP(F663,[4]在职!$A:$E,5,0)</f>
        <v>西南总部</v>
      </c>
      <c r="D663" s="12" t="str">
        <f>VLOOKUP(F663,[4]在职!$A:$G,7,0)</f>
        <v>营业一部</v>
      </c>
      <c r="E663" s="12" t="str">
        <f>VLOOKUP(F663,[4]在职!$A:$M,13,0)</f>
        <v>白世根</v>
      </c>
      <c r="F663" s="46" t="s">
        <v>1436</v>
      </c>
      <c r="G663" s="12" t="str">
        <f>VLOOKUP(F663,[4]在职!$A:$B,2,0)</f>
        <v>01763</v>
      </c>
      <c r="H663" s="12" t="str">
        <f>VLOOKUP(F663,[4]在职!$A:$I,9,0)</f>
        <v>一星销售顾问</v>
      </c>
      <c r="I663" s="46" t="s">
        <v>915</v>
      </c>
      <c r="J663" s="83">
        <v>46106</v>
      </c>
      <c r="K663" s="46" t="s">
        <v>25</v>
      </c>
    </row>
    <row r="664" ht="16.5" spans="1:11">
      <c r="A664" s="12">
        <v>702</v>
      </c>
      <c r="B664" s="12" t="s">
        <v>45</v>
      </c>
      <c r="C664" s="12" t="str">
        <f>VLOOKUP(F664,[4]在职!$A:$E,5,0)</f>
        <v>西南总部</v>
      </c>
      <c r="D664" s="12" t="str">
        <f>VLOOKUP(F664,[4]在职!$A:$G,7,0)</f>
        <v>营业六部</v>
      </c>
      <c r="E664" s="12" t="str">
        <f>VLOOKUP(F664,[4]在职!$A:$M,13,0)</f>
        <v>韩颖</v>
      </c>
      <c r="F664" s="46" t="s">
        <v>1293</v>
      </c>
      <c r="G664" s="12" t="str">
        <f>VLOOKUP(F664,[4]在职!$A:$B,2,0)</f>
        <v>01901</v>
      </c>
      <c r="H664" s="12" t="str">
        <f>VLOOKUP(F664,[4]在职!$A:$I,9,0)</f>
        <v>实习销售</v>
      </c>
      <c r="I664" s="46" t="s">
        <v>915</v>
      </c>
      <c r="J664" s="83">
        <v>46106</v>
      </c>
      <c r="K664" s="46" t="s">
        <v>25</v>
      </c>
    </row>
    <row r="665" ht="16.5" spans="1:11">
      <c r="A665" s="12">
        <v>703</v>
      </c>
      <c r="B665" s="12" t="s">
        <v>45</v>
      </c>
      <c r="C665" s="12" t="str">
        <f>VLOOKUP(F665,[4]在职!$A:$E,5,0)</f>
        <v>西南总部</v>
      </c>
      <c r="D665" s="12" t="str">
        <f>VLOOKUP(F665,[4]在职!$A:$G,7,0)</f>
        <v>营业六部</v>
      </c>
      <c r="E665" s="12" t="str">
        <f>VLOOKUP(F665,[4]在职!$A:$M,13,0)</f>
        <v>韩颖</v>
      </c>
      <c r="F665" s="46" t="s">
        <v>1295</v>
      </c>
      <c r="G665" s="12" t="str">
        <f>VLOOKUP(F665,[4]在职!$A:$B,2,0)</f>
        <v>01792</v>
      </c>
      <c r="H665" s="12" t="str">
        <f>VLOOKUP(F665,[4]在职!$A:$I,9,0)</f>
        <v>实习销售</v>
      </c>
      <c r="I665" s="46" t="s">
        <v>915</v>
      </c>
      <c r="J665" s="83">
        <v>46106</v>
      </c>
      <c r="K665" s="46" t="s">
        <v>25</v>
      </c>
    </row>
    <row r="666" ht="16.5" spans="1:11">
      <c r="A666" s="12">
        <v>704</v>
      </c>
      <c r="B666" s="12" t="s">
        <v>45</v>
      </c>
      <c r="C666" s="12" t="str">
        <f>VLOOKUP(F666,[4]在职!$A:$E,5,0)</f>
        <v>西南总部</v>
      </c>
      <c r="D666" s="12" t="str">
        <f>VLOOKUP(F666,[4]在职!$A:$G,7,0)</f>
        <v>营业一部</v>
      </c>
      <c r="E666" s="12" t="str">
        <f>VLOOKUP(F666,[4]在职!$A:$M,13,0)</f>
        <v>胡雪梅</v>
      </c>
      <c r="F666" s="46" t="s">
        <v>1526</v>
      </c>
      <c r="G666" s="12" t="str">
        <f>VLOOKUP(F666,[4]在职!$A:$B,2,0)</f>
        <v>01966</v>
      </c>
      <c r="H666" s="12" t="str">
        <f>VLOOKUP(F666,[4]在职!$A:$I,9,0)</f>
        <v>实习销售</v>
      </c>
      <c r="I666" s="46" t="s">
        <v>915</v>
      </c>
      <c r="J666" s="83">
        <v>46106</v>
      </c>
      <c r="K666" s="46" t="s">
        <v>25</v>
      </c>
    </row>
    <row r="667" ht="16.5" spans="1:11">
      <c r="A667" s="12">
        <v>705</v>
      </c>
      <c r="B667" s="12" t="s">
        <v>45</v>
      </c>
      <c r="C667" s="12" t="str">
        <f>VLOOKUP(F667,[4]在职!$A:$E,5,0)</f>
        <v>河北</v>
      </c>
      <c r="D667" s="12" t="str">
        <f>VLOOKUP(F667,[4]在职!$A:$G,7,0)</f>
        <v>河北销售部</v>
      </c>
      <c r="E667" s="12" t="str">
        <f>VLOOKUP(F667,[4]在职!$A:$M,13,0)</f>
        <v>扈岭楠</v>
      </c>
      <c r="F667" s="46" t="s">
        <v>1283</v>
      </c>
      <c r="G667" s="12" t="str">
        <f>VLOOKUP(F667,[4]在职!$A:$B,2,0)</f>
        <v>01880</v>
      </c>
      <c r="H667" s="12" t="str">
        <f>VLOOKUP(F667,[4]在职!$A:$I,9,0)</f>
        <v>实习销售</v>
      </c>
      <c r="I667" s="46" t="s">
        <v>915</v>
      </c>
      <c r="J667" s="83">
        <v>46106</v>
      </c>
      <c r="K667" s="46" t="s">
        <v>25</v>
      </c>
    </row>
    <row r="668" ht="16.5" spans="1:11">
      <c r="A668" s="12">
        <v>706</v>
      </c>
      <c r="B668" s="12" t="s">
        <v>45</v>
      </c>
      <c r="C668" s="12" t="str">
        <f>VLOOKUP(F668,[4]在职!$A:$E,5,0)</f>
        <v>河北</v>
      </c>
      <c r="D668" s="12" t="str">
        <f>VLOOKUP(F668,[4]在职!$A:$G,7,0)</f>
        <v>河北销售部</v>
      </c>
      <c r="E668" s="12" t="str">
        <f>VLOOKUP(F668,[4]在职!$A:$M,13,0)</f>
        <v>扈岭楠</v>
      </c>
      <c r="F668" s="46" t="s">
        <v>1285</v>
      </c>
      <c r="G668" s="12" t="str">
        <f>VLOOKUP(F668,[4]在职!$A:$B,2,0)</f>
        <v>01817</v>
      </c>
      <c r="H668" s="12" t="str">
        <f>VLOOKUP(F668,[4]在职!$A:$I,9,0)</f>
        <v>实习销售</v>
      </c>
      <c r="I668" s="46" t="s">
        <v>915</v>
      </c>
      <c r="J668" s="83">
        <v>46106</v>
      </c>
      <c r="K668" s="46" t="s">
        <v>25</v>
      </c>
    </row>
    <row r="669" ht="16.5" spans="1:11">
      <c r="A669" s="12">
        <v>707</v>
      </c>
      <c r="B669" s="12" t="s">
        <v>45</v>
      </c>
      <c r="C669" s="12" t="str">
        <f>VLOOKUP(F669,[4]在职!$A:$E,5,0)</f>
        <v>西南总部</v>
      </c>
      <c r="D669" s="12" t="str">
        <f>VLOOKUP(F669,[4]在职!$A:$G,7,0)</f>
        <v>营业七部</v>
      </c>
      <c r="E669" s="12" t="str">
        <f>VLOOKUP(F669,[4]在职!$A:$M,13,0)</f>
        <v>刘鹏</v>
      </c>
      <c r="F669" s="46" t="s">
        <v>1263</v>
      </c>
      <c r="G669" s="12" t="str">
        <f>VLOOKUP(F669,[4]在职!$A:$B,2,0)</f>
        <v>01723</v>
      </c>
      <c r="H669" s="12" t="str">
        <f>VLOOKUP(F669,[4]在职!$A:$I,9,0)</f>
        <v>一星销售顾问</v>
      </c>
      <c r="I669" s="46" t="s">
        <v>907</v>
      </c>
      <c r="J669" s="83">
        <v>46106</v>
      </c>
      <c r="K669" s="46" t="s">
        <v>25</v>
      </c>
    </row>
    <row r="670" ht="16.5" spans="1:11">
      <c r="A670" s="12">
        <v>708</v>
      </c>
      <c r="B670" s="12" t="s">
        <v>45</v>
      </c>
      <c r="C670" s="12" t="str">
        <f>VLOOKUP(F670,[4]在职!$A:$E,5,0)</f>
        <v>西南总部</v>
      </c>
      <c r="D670" s="12" t="str">
        <f>VLOOKUP(F670,[4]在职!$A:$G,7,0)</f>
        <v>营业七部</v>
      </c>
      <c r="E670" s="12" t="str">
        <f>VLOOKUP(F670,[4]在职!$A:$M,13,0)</f>
        <v>刘鹏</v>
      </c>
      <c r="F670" s="46" t="s">
        <v>1197</v>
      </c>
      <c r="G670" s="12" t="str">
        <f>VLOOKUP(F670,[4]在职!$A:$B,2,0)</f>
        <v>01900</v>
      </c>
      <c r="H670" s="12" t="str">
        <f>VLOOKUP(F670,[4]在职!$A:$I,9,0)</f>
        <v>实习销售</v>
      </c>
      <c r="I670" s="46" t="s">
        <v>907</v>
      </c>
      <c r="J670" s="83">
        <v>46106</v>
      </c>
      <c r="K670" s="46" t="s">
        <v>25</v>
      </c>
    </row>
    <row r="671" ht="16.5" spans="1:11">
      <c r="A671" s="12">
        <v>709</v>
      </c>
      <c r="B671" s="12" t="s">
        <v>45</v>
      </c>
      <c r="C671" s="12" t="str">
        <f>VLOOKUP(F671,[4]在职!$A:$E,5,0)</f>
        <v>西南总部</v>
      </c>
      <c r="D671" s="12" t="str">
        <f>VLOOKUP(F671,[4]在职!$A:$G,7,0)</f>
        <v>营业六部</v>
      </c>
      <c r="E671" s="12" t="str">
        <f>VLOOKUP(F671,[4]在职!$A:$M,13,0)</f>
        <v>毛富林</v>
      </c>
      <c r="F671" s="46" t="s">
        <v>1527</v>
      </c>
      <c r="G671" s="12" t="str">
        <f>VLOOKUP(F671,[4]在职!$A:$B,2,0)</f>
        <v>01969</v>
      </c>
      <c r="H671" s="12" t="str">
        <f>VLOOKUP(F671,[4]在职!$A:$I,9,0)</f>
        <v>实习销售</v>
      </c>
      <c r="I671" s="46" t="s">
        <v>915</v>
      </c>
      <c r="J671" s="83">
        <v>46106</v>
      </c>
      <c r="K671" s="46" t="s">
        <v>25</v>
      </c>
    </row>
    <row r="672" ht="16.5" spans="1:11">
      <c r="A672" s="12">
        <v>710</v>
      </c>
      <c r="B672" s="12" t="s">
        <v>45</v>
      </c>
      <c r="C672" s="12" t="str">
        <f>VLOOKUP(F672,[4]在职!$A:$E,5,0)</f>
        <v>西南总部</v>
      </c>
      <c r="D672" s="12" t="str">
        <f>VLOOKUP(F672,[4]在职!$A:$G,7,0)</f>
        <v>营业七部</v>
      </c>
      <c r="E672" s="12" t="str">
        <f>VLOOKUP(F672,[4]在职!$A:$M,13,0)</f>
        <v>彭小琴</v>
      </c>
      <c r="F672" s="46" t="s">
        <v>1528</v>
      </c>
      <c r="G672" s="12" t="str">
        <f>VLOOKUP(F672,[4]在职!$A:$B,2,0)</f>
        <v>01959</v>
      </c>
      <c r="H672" s="12" t="str">
        <f>VLOOKUP(F672,[4]在职!$A:$I,9,0)</f>
        <v>实习销售</v>
      </c>
      <c r="I672" s="46" t="s">
        <v>915</v>
      </c>
      <c r="J672" s="83">
        <v>46106</v>
      </c>
      <c r="K672" s="46" t="s">
        <v>25</v>
      </c>
    </row>
    <row r="673" ht="16.5" spans="1:11">
      <c r="A673" s="12">
        <v>711</v>
      </c>
      <c r="B673" s="12" t="s">
        <v>45</v>
      </c>
      <c r="C673" s="12" t="str">
        <f>VLOOKUP(F673,[4]在职!$A:$E,5,0)</f>
        <v>西南总部</v>
      </c>
      <c r="D673" s="12" t="str">
        <f>VLOOKUP(F673,[4]在职!$A:$G,7,0)</f>
        <v>营业七部</v>
      </c>
      <c r="E673" s="12" t="str">
        <f>VLOOKUP(F673,[4]在职!$A:$M,13,0)</f>
        <v>彭小琴</v>
      </c>
      <c r="F673" s="46" t="s">
        <v>1529</v>
      </c>
      <c r="G673" s="12" t="str">
        <f>VLOOKUP(F673,[4]在职!$A:$B,2,0)</f>
        <v>01958</v>
      </c>
      <c r="H673" s="12" t="str">
        <f>VLOOKUP(F673,[4]在职!$A:$I,9,0)</f>
        <v>实习销售</v>
      </c>
      <c r="I673" s="46" t="s">
        <v>915</v>
      </c>
      <c r="J673" s="83">
        <v>46106</v>
      </c>
      <c r="K673" s="46" t="s">
        <v>25</v>
      </c>
    </row>
    <row r="674" ht="16.5" spans="1:11">
      <c r="A674" s="12">
        <v>712</v>
      </c>
      <c r="B674" s="12" t="s">
        <v>45</v>
      </c>
      <c r="C674" s="12" t="str">
        <f>VLOOKUP(F674,[4]在职!$A:$E,5,0)</f>
        <v>西南总部</v>
      </c>
      <c r="D674" s="12" t="str">
        <f>VLOOKUP(F674,[4]在职!$A:$G,7,0)</f>
        <v>营业三部</v>
      </c>
      <c r="E674" s="12" t="str">
        <f>VLOOKUP(F674,[4]在职!$A:$M,13,0)</f>
        <v>吴建鑫</v>
      </c>
      <c r="F674" s="46" t="s">
        <v>1530</v>
      </c>
      <c r="G674" s="12" t="str">
        <f>VLOOKUP(F674,[4]在职!$A:$B,2,0)</f>
        <v>01970</v>
      </c>
      <c r="H674" s="12" t="str">
        <f>VLOOKUP(F674,[4]在职!$A:$I,9,0)</f>
        <v>实习销售</v>
      </c>
      <c r="I674" s="46" t="s">
        <v>915</v>
      </c>
      <c r="J674" s="83">
        <v>46106</v>
      </c>
      <c r="K674" s="46" t="s">
        <v>25</v>
      </c>
    </row>
    <row r="675" ht="16.5" spans="1:11">
      <c r="A675" s="12">
        <v>713</v>
      </c>
      <c r="B675" s="12" t="s">
        <v>45</v>
      </c>
      <c r="C675" s="12" t="str">
        <f>VLOOKUP(F675,[4]在职!$A:$E,5,0)</f>
        <v>西南总部</v>
      </c>
      <c r="D675" s="12" t="str">
        <f>VLOOKUP(F675,[4]在职!$A:$G,7,0)</f>
        <v>营业六部</v>
      </c>
      <c r="E675" s="12" t="str">
        <f>VLOOKUP(F675,[4]在职!$A:$M,13,0)</f>
        <v>杨翠茹</v>
      </c>
      <c r="F675" s="46" t="s">
        <v>1215</v>
      </c>
      <c r="G675" s="12" t="str">
        <f>VLOOKUP(F675,[4]在职!$A:$B,2,0)</f>
        <v>01854</v>
      </c>
      <c r="H675" s="12" t="str">
        <f>VLOOKUP(F675,[4]在职!$A:$I,9,0)</f>
        <v>实习销售</v>
      </c>
      <c r="I675" s="46" t="s">
        <v>915</v>
      </c>
      <c r="J675" s="83">
        <v>46106</v>
      </c>
      <c r="K675" s="46" t="s">
        <v>25</v>
      </c>
    </row>
    <row r="676" ht="16.5" hidden="1" spans="1:11">
      <c r="A676" s="12">
        <v>714</v>
      </c>
      <c r="B676" s="12" t="s">
        <v>45</v>
      </c>
      <c r="C676" s="12" t="str">
        <f>VLOOKUP(F676,[4]在职!$A:$E,5,0)</f>
        <v>西南总部</v>
      </c>
      <c r="D676" s="12" t="str">
        <f>VLOOKUP(F676,[4]在职!$A:$G,7,0)</f>
        <v>杨薇</v>
      </c>
      <c r="E676" s="12" t="str">
        <f>VLOOKUP(F676,[4]在职!$A:$M,13,0)</f>
        <v>杨薇</v>
      </c>
      <c r="F676" s="46" t="s">
        <v>1531</v>
      </c>
      <c r="G676" s="12" t="str">
        <f>VLOOKUP(F676,[4]在职!$A:$B,2,0)</f>
        <v>01938</v>
      </c>
      <c r="H676" s="12" t="str">
        <f>VLOOKUP(F676,[4]在职!$A:$I,9,0)</f>
        <v>实习销售</v>
      </c>
      <c r="I676" s="46" t="s">
        <v>915</v>
      </c>
      <c r="J676" s="83">
        <v>46106</v>
      </c>
      <c r="K676" s="46" t="s">
        <v>25</v>
      </c>
    </row>
    <row r="677" ht="16.5" spans="1:11">
      <c r="A677" s="12">
        <v>715</v>
      </c>
      <c r="B677" s="12" t="s">
        <v>45</v>
      </c>
      <c r="C677" s="12" t="str">
        <f>VLOOKUP(F677,[4]在职!$A:$E,5,0)</f>
        <v>西南总部</v>
      </c>
      <c r="D677" s="12" t="str">
        <f>VLOOKUP(F677,[4]在职!$A:$G,7,0)</f>
        <v>营业五部</v>
      </c>
      <c r="E677" s="12" t="str">
        <f>VLOOKUP(F677,[4]在职!$A:$M,13,0)</f>
        <v>张萍2</v>
      </c>
      <c r="F677" s="46" t="s">
        <v>1171</v>
      </c>
      <c r="G677" s="12" t="str">
        <f>VLOOKUP(F677,[4]在职!$A:$B,2,0)</f>
        <v>01876</v>
      </c>
      <c r="H677" s="12" t="str">
        <f>VLOOKUP(F677,[4]在职!$A:$I,9,0)</f>
        <v>实习销售</v>
      </c>
      <c r="I677" s="46" t="s">
        <v>915</v>
      </c>
      <c r="J677" s="83">
        <v>46106</v>
      </c>
      <c r="K677" s="46" t="s">
        <v>25</v>
      </c>
    </row>
    <row r="678" ht="16.5" spans="1:11">
      <c r="A678" s="12">
        <v>716</v>
      </c>
      <c r="B678" s="12" t="s">
        <v>45</v>
      </c>
      <c r="C678" s="12" t="str">
        <f>VLOOKUP(F678,[4]在职!$A:$E,5,0)</f>
        <v>西南总部</v>
      </c>
      <c r="D678" s="12" t="str">
        <f>VLOOKUP(F678,[4]在职!$A:$G,7,0)</f>
        <v>营业五部</v>
      </c>
      <c r="E678" s="12" t="str">
        <f>VLOOKUP(F678,[4]在职!$A:$M,13,0)</f>
        <v>张萍2</v>
      </c>
      <c r="F678" s="46" t="s">
        <v>1195</v>
      </c>
      <c r="G678" s="12" t="str">
        <f>VLOOKUP(F678,[4]在职!$A:$B,2,0)</f>
        <v>01765</v>
      </c>
      <c r="H678" s="12" t="str">
        <f>VLOOKUP(F678,[4]在职!$A:$I,9,0)</f>
        <v>实习销售</v>
      </c>
      <c r="I678" s="46" t="s">
        <v>907</v>
      </c>
      <c r="J678" s="83">
        <v>46106</v>
      </c>
      <c r="K678" s="46" t="s">
        <v>25</v>
      </c>
    </row>
    <row r="679" ht="16.5" spans="1:11">
      <c r="A679" s="12">
        <v>717</v>
      </c>
      <c r="B679" s="12" t="s">
        <v>45</v>
      </c>
      <c r="C679" s="12" t="str">
        <f>VLOOKUP(F679,[4]在职!$A:$E,5,0)</f>
        <v>西南总部</v>
      </c>
      <c r="D679" s="12" t="str">
        <f>VLOOKUP(F679,[4]在职!$A:$G,7,0)</f>
        <v>营业五部</v>
      </c>
      <c r="E679" s="12" t="str">
        <f>VLOOKUP(F679,[4]在职!$A:$M,13,0)</f>
        <v>张萍2</v>
      </c>
      <c r="F679" s="46" t="s">
        <v>1193</v>
      </c>
      <c r="G679" s="12" t="str">
        <f>VLOOKUP(F679,[4]在职!$A:$B,2,0)</f>
        <v>01881</v>
      </c>
      <c r="H679" s="12" t="str">
        <f>VLOOKUP(F679,[4]在职!$A:$I,9,0)</f>
        <v>实习销售</v>
      </c>
      <c r="I679" s="46" t="s">
        <v>907</v>
      </c>
      <c r="J679" s="83">
        <v>46106</v>
      </c>
      <c r="K679" s="46" t="s">
        <v>25</v>
      </c>
    </row>
    <row r="680" ht="16.5" spans="1:11">
      <c r="A680" s="12">
        <v>718</v>
      </c>
      <c r="B680" s="12" t="s">
        <v>45</v>
      </c>
      <c r="C680" s="12" t="str">
        <f>VLOOKUP(F680,[4]在职!$A:$E,5,0)</f>
        <v>西南总部</v>
      </c>
      <c r="D680" s="12" t="str">
        <f>VLOOKUP(F680,[4]在职!$A:$G,7,0)</f>
        <v>营业一部</v>
      </c>
      <c r="E680" s="12" t="str">
        <f>VLOOKUP(F680,[4]在职!$A:$M,13,0)</f>
        <v>张圣梁</v>
      </c>
      <c r="F680" s="46" t="s">
        <v>1532</v>
      </c>
      <c r="G680" s="12" t="str">
        <f>VLOOKUP(F680,[4]在职!$A:$B,2,0)</f>
        <v>01924</v>
      </c>
      <c r="H680" s="12" t="str">
        <f>VLOOKUP(F680,[4]在职!$A:$I,9,0)</f>
        <v>实习销售</v>
      </c>
      <c r="I680" s="46" t="s">
        <v>915</v>
      </c>
      <c r="J680" s="83">
        <v>46106</v>
      </c>
      <c r="K680" s="46" t="s">
        <v>25</v>
      </c>
    </row>
    <row r="681" ht="16.5" spans="1:11">
      <c r="A681" s="12">
        <v>719</v>
      </c>
      <c r="B681" s="12" t="s">
        <v>45</v>
      </c>
      <c r="C681" s="12" t="str">
        <f>VLOOKUP(F681,[4]在职!$A:$E,5,0)</f>
        <v>西南总部</v>
      </c>
      <c r="D681" s="12" t="str">
        <f>VLOOKUP(F681,[4]在职!$A:$G,7,0)</f>
        <v>营业三部</v>
      </c>
      <c r="E681" s="12" t="str">
        <f>VLOOKUP(F681,[4]在职!$A:$M,13,0)</f>
        <v>郑景慕</v>
      </c>
      <c r="F681" s="46" t="s">
        <v>1184</v>
      </c>
      <c r="G681" s="12" t="str">
        <f>VLOOKUP(F681,[4]在职!$A:$B,2,0)</f>
        <v>01893</v>
      </c>
      <c r="H681" s="12" t="str">
        <f>VLOOKUP(F681,[4]在职!$A:$I,9,0)</f>
        <v>实习销售</v>
      </c>
      <c r="I681" s="46" t="s">
        <v>915</v>
      </c>
      <c r="J681" s="83">
        <v>46106</v>
      </c>
      <c r="K681" s="46" t="s">
        <v>25</v>
      </c>
    </row>
    <row r="682" ht="16.5" spans="1:11">
      <c r="A682" s="12">
        <v>720</v>
      </c>
      <c r="B682" s="12" t="s">
        <v>45</v>
      </c>
      <c r="C682" s="12" t="str">
        <f>VLOOKUP(F682,[4]在职!$A:$E,5,0)</f>
        <v>山东</v>
      </c>
      <c r="D682" s="12" t="str">
        <f>VLOOKUP(F682,[4]在职!$A:$G,7,0)</f>
        <v>山东销售部</v>
      </c>
      <c r="E682" s="12" t="str">
        <f>VLOOKUP(F682,[4]在职!$A:$M,13,0)</f>
        <v>肖佳</v>
      </c>
      <c r="F682" s="46" t="s">
        <v>1535</v>
      </c>
      <c r="G682" s="12" t="str">
        <f>VLOOKUP(F682,[4]在职!$A:$B,2,0)</f>
        <v>01956</v>
      </c>
      <c r="H682" s="12" t="str">
        <f>VLOOKUP(F682,[4]在职!$A:$I,9,0)</f>
        <v>实习销售</v>
      </c>
      <c r="I682" s="46" t="s">
        <v>915</v>
      </c>
      <c r="J682" s="83">
        <v>46106</v>
      </c>
      <c r="K682" s="46" t="s">
        <v>25</v>
      </c>
    </row>
    <row r="683" ht="16.5" spans="1:11">
      <c r="A683" s="12">
        <v>721</v>
      </c>
      <c r="B683" s="12" t="s">
        <v>45</v>
      </c>
      <c r="C683" s="12" t="s">
        <v>1607</v>
      </c>
      <c r="D683" s="12" t="s">
        <v>1547</v>
      </c>
      <c r="E683" s="12" t="s">
        <v>1355</v>
      </c>
      <c r="F683" s="46" t="s">
        <v>1545</v>
      </c>
      <c r="G683" s="170" t="s">
        <v>1546</v>
      </c>
      <c r="H683" s="46" t="s">
        <v>1547</v>
      </c>
      <c r="I683" s="46" t="s">
        <v>915</v>
      </c>
      <c r="J683" s="83">
        <v>46106</v>
      </c>
      <c r="K683" s="46" t="s">
        <v>25</v>
      </c>
    </row>
    <row r="684" ht="16.5" spans="1:11">
      <c r="A684" s="12">
        <v>722</v>
      </c>
      <c r="B684" s="12" t="s">
        <v>45</v>
      </c>
      <c r="C684" s="12" t="str">
        <f>VLOOKUP(F684,[4]在职!$A:$E,5,0)</f>
        <v>集团职能</v>
      </c>
      <c r="D684" s="12" t="str">
        <f>VLOOKUP(F684,[4]在职!$A:$G,7,0)</f>
        <v>人资行政部</v>
      </c>
      <c r="E684" s="12" t="str">
        <f>VLOOKUP(F684,[4]在职!$A:$M,13,0)</f>
        <v>孔群慧</v>
      </c>
      <c r="F684" s="46" t="s">
        <v>1549</v>
      </c>
      <c r="G684" s="12" t="str">
        <f>VLOOKUP(F684,[4]在职!$A:$B,2,0)</f>
        <v>01984</v>
      </c>
      <c r="H684" s="12" t="str">
        <f>VLOOKUP(F684,[4]在职!$A:$I,9,0)</f>
        <v>人事专员</v>
      </c>
      <c r="I684" s="46" t="s">
        <v>915</v>
      </c>
      <c r="J684" s="83">
        <v>46106</v>
      </c>
      <c r="K684" s="46" t="s">
        <v>25</v>
      </c>
    </row>
    <row r="685" ht="16.5" spans="1:11">
      <c r="A685" s="12">
        <v>723</v>
      </c>
      <c r="B685" s="12" t="s">
        <v>45</v>
      </c>
      <c r="C685" s="12" t="str">
        <f>VLOOKUP(F685,[4]在职!$A:$E,5,0)</f>
        <v>集团职能</v>
      </c>
      <c r="D685" s="12" t="str">
        <f>VLOOKUP(F685,[4]在职!$A:$G,7,0)</f>
        <v>人资行政部</v>
      </c>
      <c r="E685" s="12" t="str">
        <f>VLOOKUP(F685,[4]在职!$A:$M,13,0)</f>
        <v>孔群慧</v>
      </c>
      <c r="F685" s="46" t="s">
        <v>1540</v>
      </c>
      <c r="G685" s="12" t="str">
        <f>VLOOKUP(F685,[4]在职!$A:$B,2,0)</f>
        <v>02001</v>
      </c>
      <c r="H685" s="12" t="str">
        <f>VLOOKUP(F685,[4]在职!$A:$I,9,0)</f>
        <v>薪酬专员</v>
      </c>
      <c r="I685" s="46" t="s">
        <v>915</v>
      </c>
      <c r="J685" s="83">
        <v>46106</v>
      </c>
      <c r="K685" s="46" t="s">
        <v>25</v>
      </c>
    </row>
    <row r="686" ht="16.5" spans="1:11">
      <c r="A686" s="12">
        <v>724</v>
      </c>
      <c r="B686" s="12" t="s">
        <v>45</v>
      </c>
      <c r="C686" s="12" t="str">
        <f>VLOOKUP(F686,[4]在职!$A:$E,5,0)</f>
        <v>河北</v>
      </c>
      <c r="D686" s="12" t="str">
        <f>VLOOKUP(F686,[4]在职!$A:$G,7,0)</f>
        <v>河北销售部</v>
      </c>
      <c r="E686" s="12" t="str">
        <f>VLOOKUP(F686,[4]在职!$A:$M,13,0)</f>
        <v>陈东2</v>
      </c>
      <c r="F686" s="46" t="s">
        <v>1550</v>
      </c>
      <c r="G686" s="12" t="str">
        <f>VLOOKUP(F686,[4]在职!$A:$B,2,0)</f>
        <v>01962</v>
      </c>
      <c r="H686" s="12" t="str">
        <f>VLOOKUP(F686,[4]在职!$A:$I,9,0)</f>
        <v>实习销售</v>
      </c>
      <c r="I686" s="46" t="s">
        <v>907</v>
      </c>
      <c r="J686" s="83">
        <v>46106</v>
      </c>
      <c r="K686" s="46" t="s">
        <v>25</v>
      </c>
    </row>
    <row r="687" ht="16.5" spans="1:11">
      <c r="A687" s="12">
        <v>725</v>
      </c>
      <c r="B687" s="12" t="s">
        <v>45</v>
      </c>
      <c r="C687" s="12" t="str">
        <f>VLOOKUP(F687,[4]在职!$A:$E,5,0)</f>
        <v>河北</v>
      </c>
      <c r="D687" s="12" t="str">
        <f>VLOOKUP(F687,[4]在职!$A:$G,7,0)</f>
        <v>河北销售部</v>
      </c>
      <c r="E687" s="12" t="str">
        <f>VLOOKUP(F687,[4]在职!$A:$M,13,0)</f>
        <v>陈东2</v>
      </c>
      <c r="F687" s="46" t="s">
        <v>1309</v>
      </c>
      <c r="G687" s="12" t="str">
        <f>VLOOKUP(F687,[4]在职!$A:$B,2,0)</f>
        <v>01902</v>
      </c>
      <c r="H687" s="12" t="str">
        <f>VLOOKUP(F687,[4]在职!$A:$I,9,0)</f>
        <v>实习销售</v>
      </c>
      <c r="I687" s="46" t="s">
        <v>907</v>
      </c>
      <c r="J687" s="83">
        <v>46106</v>
      </c>
      <c r="K687" s="46" t="s">
        <v>25</v>
      </c>
    </row>
    <row r="688" ht="16.5" spans="1:11">
      <c r="A688" s="12">
        <v>726</v>
      </c>
      <c r="B688" s="12" t="s">
        <v>45</v>
      </c>
      <c r="C688" s="12" t="str">
        <f>VLOOKUP(F688,[4]在职!$A:$E,5,0)</f>
        <v>西南总部</v>
      </c>
      <c r="D688" s="12" t="str">
        <f>VLOOKUP(F688,[4]在职!$A:$G,7,0)</f>
        <v>营业四部</v>
      </c>
      <c r="E688" s="12" t="str">
        <f>VLOOKUP(F688,[4]在职!$A:$M,13,0)</f>
        <v>贾萍</v>
      </c>
      <c r="F688" s="46" t="s">
        <v>1551</v>
      </c>
      <c r="G688" s="12" t="str">
        <f>VLOOKUP(F688,[4]在职!$A:$B,2,0)</f>
        <v>01922</v>
      </c>
      <c r="H688" s="12" t="str">
        <f>VLOOKUP(F688,[4]在职!$A:$I,9,0)</f>
        <v>实习销售</v>
      </c>
      <c r="I688" s="46" t="s">
        <v>907</v>
      </c>
      <c r="J688" s="83">
        <v>46106</v>
      </c>
      <c r="K688" s="46" t="s">
        <v>25</v>
      </c>
    </row>
    <row r="689" ht="16.5" spans="1:11">
      <c r="A689" s="12">
        <v>727</v>
      </c>
      <c r="B689" s="12" t="s">
        <v>45</v>
      </c>
      <c r="C689" s="12" t="str">
        <f>VLOOKUP(F689,[4]在职!$A:$E,5,0)</f>
        <v>湖南</v>
      </c>
      <c r="D689" s="12" t="str">
        <f>VLOOKUP(F689,[4]在职!$A:$G,7,0)</f>
        <v>湖南销售部</v>
      </c>
      <c r="E689" s="12" t="str">
        <f>VLOOKUP(F689,[4]在职!$A:$M,13,0)</f>
        <v>孙小龙</v>
      </c>
      <c r="F689" s="46" t="s">
        <v>1461</v>
      </c>
      <c r="G689" s="12" t="str">
        <f>VLOOKUP(F689,[4]在职!$A:$B,2,0)</f>
        <v>01731</v>
      </c>
      <c r="H689" s="12" t="str">
        <f>VLOOKUP(F689,[4]在职!$A:$I,9,0)</f>
        <v>一星销售顾问</v>
      </c>
      <c r="I689" s="46" t="s">
        <v>907</v>
      </c>
      <c r="J689" s="83">
        <v>46106</v>
      </c>
      <c r="K689" s="46" t="s">
        <v>25</v>
      </c>
    </row>
    <row r="690" ht="16.5" spans="1:11">
      <c r="A690" s="12">
        <v>728</v>
      </c>
      <c r="B690" s="12" t="s">
        <v>45</v>
      </c>
      <c r="C690" s="12" t="str">
        <f>VLOOKUP(F690,[4]在职!$A:$E,5,0)</f>
        <v>西南总部</v>
      </c>
      <c r="D690" s="12" t="str">
        <f>VLOOKUP(F690,[4]在职!$A:$G,7,0)</f>
        <v>营业七部</v>
      </c>
      <c r="E690" s="12" t="str">
        <f>VLOOKUP(F690,[4]在职!$A:$M,13,0)</f>
        <v>蒋杨</v>
      </c>
      <c r="F690" s="46" t="s">
        <v>1552</v>
      </c>
      <c r="G690" s="12" t="str">
        <f>VLOOKUP(F690,[4]在职!$A:$B,2,0)</f>
        <v>01933</v>
      </c>
      <c r="H690" s="12" t="str">
        <f>VLOOKUP(F690,[4]在职!$A:$I,9,0)</f>
        <v>实习销售</v>
      </c>
      <c r="I690" s="46" t="s">
        <v>907</v>
      </c>
      <c r="J690" s="83">
        <v>46106</v>
      </c>
      <c r="K690" s="46" t="s">
        <v>25</v>
      </c>
    </row>
    <row r="691" ht="16.5" spans="1:11">
      <c r="A691" s="12">
        <v>729</v>
      </c>
      <c r="B691" s="12" t="s">
        <v>45</v>
      </c>
      <c r="C691" s="12" t="str">
        <f>VLOOKUP(F691,[4]在职!$A:$E,5,0)</f>
        <v>西南总部</v>
      </c>
      <c r="D691" s="12" t="str">
        <f>VLOOKUP(F691,[4]在职!$A:$G,7,0)</f>
        <v>营业四部</v>
      </c>
      <c r="E691" s="12" t="str">
        <f>VLOOKUP(F691,[4]在职!$A:$M,13,0)</f>
        <v>陈帅</v>
      </c>
      <c r="F691" s="46" t="s">
        <v>1307</v>
      </c>
      <c r="G691" s="12" t="str">
        <f>VLOOKUP(F691,[4]在职!$A:$B,2,0)</f>
        <v>01758</v>
      </c>
      <c r="H691" s="12" t="str">
        <f>VLOOKUP(F691,[4]在职!$A:$I,9,0)</f>
        <v>实习销售</v>
      </c>
      <c r="I691" s="46" t="s">
        <v>907</v>
      </c>
      <c r="J691" s="83">
        <v>46106</v>
      </c>
      <c r="K691" s="46" t="s">
        <v>25</v>
      </c>
    </row>
    <row r="692" ht="16.5" spans="1:11">
      <c r="A692" s="12">
        <v>730</v>
      </c>
      <c r="B692" s="12" t="s">
        <v>45</v>
      </c>
      <c r="C692" s="12" t="str">
        <f>VLOOKUP(F692,[4]在职!$A:$E,5,0)</f>
        <v>西南总部</v>
      </c>
      <c r="D692" s="12" t="str">
        <f>VLOOKUP(F692,[4]在职!$A:$G,7,0)</f>
        <v>营业四部</v>
      </c>
      <c r="E692" s="12" t="str">
        <f>VLOOKUP(F692,[4]在职!$A:$M,13,0)</f>
        <v>陈帅</v>
      </c>
      <c r="F692" s="46" t="s">
        <v>1303</v>
      </c>
      <c r="G692" s="12" t="str">
        <f>VLOOKUP(F692,[4]在职!$A:$B,2,0)</f>
        <v>01882</v>
      </c>
      <c r="H692" s="12" t="str">
        <f>VLOOKUP(F692,[4]在职!$A:$I,9,0)</f>
        <v>实习销售</v>
      </c>
      <c r="I692" s="46" t="s">
        <v>907</v>
      </c>
      <c r="J692" s="83">
        <v>46106</v>
      </c>
      <c r="K692" s="46" t="s">
        <v>25</v>
      </c>
    </row>
    <row r="693" ht="16.5" spans="1:11">
      <c r="A693" s="12">
        <v>731</v>
      </c>
      <c r="B693" s="12" t="s">
        <v>45</v>
      </c>
      <c r="C693" s="12" t="str">
        <f>VLOOKUP(F693,[4]在职!$A:$E,5,0)</f>
        <v>西南总部</v>
      </c>
      <c r="D693" s="12" t="str">
        <f>VLOOKUP(F693,[4]在职!$A:$G,7,0)</f>
        <v>营业七部</v>
      </c>
      <c r="E693" s="12" t="str">
        <f>VLOOKUP(F693,[4]在职!$A:$M,13,0)</f>
        <v>程新浩</v>
      </c>
      <c r="F693" s="46" t="s">
        <v>1553</v>
      </c>
      <c r="G693" s="12" t="str">
        <f>VLOOKUP(F693,[4]在职!$A:$B,2,0)</f>
        <v>01945</v>
      </c>
      <c r="H693" s="12" t="str">
        <f>VLOOKUP(F693,[4]在职!$A:$I,9,0)</f>
        <v>实习销售</v>
      </c>
      <c r="I693" s="46" t="s">
        <v>907</v>
      </c>
      <c r="J693" s="83">
        <v>46106</v>
      </c>
      <c r="K693" s="46" t="s">
        <v>25</v>
      </c>
    </row>
    <row r="694" ht="16.5" spans="1:11">
      <c r="A694" s="12">
        <v>732</v>
      </c>
      <c r="B694" s="12" t="s">
        <v>45</v>
      </c>
      <c r="C694" s="12" t="str">
        <f>VLOOKUP(F694,[4]在职!$A:$E,5,0)</f>
        <v>西南总部</v>
      </c>
      <c r="D694" s="12" t="str">
        <f>VLOOKUP(F694,[4]在职!$A:$G,7,0)</f>
        <v>营业七部</v>
      </c>
      <c r="E694" s="12" t="str">
        <f>VLOOKUP(F694,[4]在职!$A:$M,13,0)</f>
        <v>程新浩</v>
      </c>
      <c r="F694" s="46" t="s">
        <v>1554</v>
      </c>
      <c r="G694" s="12" t="str">
        <f>VLOOKUP(F694,[4]在职!$A:$B,2,0)</f>
        <v>01916</v>
      </c>
      <c r="H694" s="12" t="str">
        <f>VLOOKUP(F694,[4]在职!$A:$I,9,0)</f>
        <v>实习销售</v>
      </c>
      <c r="I694" s="46" t="s">
        <v>907</v>
      </c>
      <c r="J694" s="83">
        <v>46106</v>
      </c>
      <c r="K694" s="46" t="s">
        <v>25</v>
      </c>
    </row>
    <row r="695" ht="16.5" spans="1:11">
      <c r="A695" s="12">
        <v>733</v>
      </c>
      <c r="B695" s="12" t="s">
        <v>45</v>
      </c>
      <c r="C695" s="12" t="str">
        <f>VLOOKUP(F695,[4]在职!$A:$E,5,0)</f>
        <v>西南总部</v>
      </c>
      <c r="D695" s="12" t="str">
        <f>VLOOKUP(F695,[4]在职!$A:$G,7,0)</f>
        <v>营业七部</v>
      </c>
      <c r="E695" s="12" t="str">
        <f>VLOOKUP(F695,[4]在职!$A:$M,13,0)</f>
        <v>申慧</v>
      </c>
      <c r="F695" s="46" t="s">
        <v>1555</v>
      </c>
      <c r="G695" s="12" t="str">
        <f>VLOOKUP(F695,[4]在职!$A:$B,2,0)</f>
        <v>01951</v>
      </c>
      <c r="H695" s="12" t="str">
        <f>VLOOKUP(F695,[4]在职!$A:$I,9,0)</f>
        <v>实习销售</v>
      </c>
      <c r="I695" s="46" t="s">
        <v>907</v>
      </c>
      <c r="J695" s="83">
        <v>46106</v>
      </c>
      <c r="K695" s="46" t="s">
        <v>25</v>
      </c>
    </row>
    <row r="696" ht="16.5" spans="1:11">
      <c r="A696" s="12">
        <v>734</v>
      </c>
      <c r="B696" s="12" t="s">
        <v>45</v>
      </c>
      <c r="C696" s="12" t="str">
        <f>VLOOKUP(F696,[4]在职!$A:$E,5,0)</f>
        <v>西南总部</v>
      </c>
      <c r="D696" s="12" t="str">
        <f>VLOOKUP(F696,[4]在职!$A:$G,7,0)</f>
        <v>营业三部</v>
      </c>
      <c r="E696" s="12" t="str">
        <f>VLOOKUP(F696,[4]在职!$A:$M,13,0)</f>
        <v>李海艳</v>
      </c>
      <c r="F696" s="46" t="s">
        <v>1556</v>
      </c>
      <c r="G696" s="12" t="str">
        <f>VLOOKUP(F696,[4]在职!$A:$B,2,0)</f>
        <v>01927</v>
      </c>
      <c r="H696" s="12" t="str">
        <f>VLOOKUP(F696,[4]在职!$A:$I,9,0)</f>
        <v>实习销售</v>
      </c>
      <c r="I696" s="46" t="s">
        <v>907</v>
      </c>
      <c r="J696" s="83">
        <v>46106</v>
      </c>
      <c r="K696" s="46" t="s">
        <v>25</v>
      </c>
    </row>
    <row r="697" ht="16.5" spans="1:11">
      <c r="A697" s="12">
        <v>735</v>
      </c>
      <c r="B697" s="12" t="s">
        <v>45</v>
      </c>
      <c r="C697" s="12" t="str">
        <f>VLOOKUP(F697,[4]在职!$A:$E,5,0)</f>
        <v>西南总部</v>
      </c>
      <c r="D697" s="12" t="str">
        <f>VLOOKUP(F697,[4]在职!$A:$G,7,0)</f>
        <v>营业四部</v>
      </c>
      <c r="E697" s="12" t="str">
        <f>VLOOKUP(F697,[4]在职!$A:$M,13,0)</f>
        <v>李培金</v>
      </c>
      <c r="F697" s="46" t="s">
        <v>1271</v>
      </c>
      <c r="G697" s="12" t="str">
        <f>VLOOKUP(F697,[4]在职!$A:$B,2,0)</f>
        <v>01790</v>
      </c>
      <c r="H697" s="12" t="str">
        <f>VLOOKUP(F697,[4]在职!$A:$I,9,0)</f>
        <v>一星销售顾问</v>
      </c>
      <c r="I697" s="46" t="s">
        <v>907</v>
      </c>
      <c r="J697" s="83">
        <v>46106</v>
      </c>
      <c r="K697" s="46" t="s">
        <v>25</v>
      </c>
    </row>
    <row r="698" ht="16.5" spans="1:11">
      <c r="A698" s="12">
        <v>736</v>
      </c>
      <c r="B698" s="12" t="s">
        <v>45</v>
      </c>
      <c r="C698" s="12" t="str">
        <f>VLOOKUP(F698,[4]在职!$A:$E,5,0)</f>
        <v>西南总部</v>
      </c>
      <c r="D698" s="12" t="str">
        <f>VLOOKUP(F698,[4]在职!$A:$G,7,0)</f>
        <v>营业一部</v>
      </c>
      <c r="E698" s="12" t="str">
        <f>VLOOKUP(F698,[4]在职!$A:$M,13,0)</f>
        <v>唐浪波</v>
      </c>
      <c r="F698" s="46" t="s">
        <v>1243</v>
      </c>
      <c r="G698" s="12" t="str">
        <f>VLOOKUP(F698,[4]在职!$A:$B,2,0)</f>
        <v>01909</v>
      </c>
      <c r="H698" s="12" t="str">
        <f>VLOOKUP(F698,[4]在职!$A:$I,9,0)</f>
        <v>实习销售</v>
      </c>
      <c r="I698" s="46" t="s">
        <v>907</v>
      </c>
      <c r="J698" s="83">
        <v>46106</v>
      </c>
      <c r="K698" s="46" t="s">
        <v>25</v>
      </c>
    </row>
    <row r="699" ht="16.5" spans="1:11">
      <c r="A699" s="12">
        <v>737</v>
      </c>
      <c r="B699" s="12" t="s">
        <v>45</v>
      </c>
      <c r="C699" s="12" t="str">
        <f>VLOOKUP(F699,[4]在职!$A:$E,5,0)</f>
        <v>西南总部</v>
      </c>
      <c r="D699" s="12" t="str">
        <f>VLOOKUP(F699,[4]在职!$A:$G,7,0)</f>
        <v>营业二部</v>
      </c>
      <c r="E699" s="12" t="str">
        <f>VLOOKUP(F699,[4]在职!$A:$M,13,0)</f>
        <v>王彬力</v>
      </c>
      <c r="F699" s="46" t="s">
        <v>1557</v>
      </c>
      <c r="G699" s="12" t="str">
        <f>VLOOKUP(F699,[4]在职!$A:$B,2,0)</f>
        <v>01965</v>
      </c>
      <c r="H699" s="12" t="str">
        <f>VLOOKUP(F699,[4]在职!$A:$I,9,0)</f>
        <v>实习销售</v>
      </c>
      <c r="I699" s="46" t="s">
        <v>907</v>
      </c>
      <c r="J699" s="83">
        <v>46106</v>
      </c>
      <c r="K699" s="46" t="s">
        <v>25</v>
      </c>
    </row>
    <row r="700" ht="16.5" spans="1:11">
      <c r="A700" s="12">
        <v>738</v>
      </c>
      <c r="B700" s="12" t="s">
        <v>45</v>
      </c>
      <c r="C700" s="12" t="str">
        <f>VLOOKUP(F700,[4]在职!$A:$E,5,0)</f>
        <v>西南总部</v>
      </c>
      <c r="D700" s="12" t="str">
        <f>VLOOKUP(F700,[4]在职!$A:$G,7,0)</f>
        <v>营业二部</v>
      </c>
      <c r="E700" s="12" t="str">
        <f>VLOOKUP(F700,[4]在职!$A:$M,13,0)</f>
        <v>魏飞翔</v>
      </c>
      <c r="F700" s="46" t="s">
        <v>1558</v>
      </c>
      <c r="G700" s="12" t="str">
        <f>VLOOKUP(F700,[4]在职!$A:$B,2,0)</f>
        <v>01967</v>
      </c>
      <c r="H700" s="12" t="str">
        <f>VLOOKUP(F700,[4]在职!$A:$I,9,0)</f>
        <v>实习销售</v>
      </c>
      <c r="I700" s="46" t="s">
        <v>907</v>
      </c>
      <c r="J700" s="83">
        <v>46106</v>
      </c>
      <c r="K700" s="46" t="s">
        <v>25</v>
      </c>
    </row>
    <row r="701" ht="16.5" spans="1:11">
      <c r="A701" s="12">
        <v>739</v>
      </c>
      <c r="B701" s="12" t="s">
        <v>45</v>
      </c>
      <c r="C701" s="12" t="str">
        <f>VLOOKUP(F701,[4]在职!$A:$E,5,0)</f>
        <v>西南总部</v>
      </c>
      <c r="D701" s="12" t="str">
        <f>VLOOKUP(F701,[4]在职!$A:$G,7,0)</f>
        <v>营业二部</v>
      </c>
      <c r="E701" s="12" t="str">
        <f>VLOOKUP(F701,[4]在职!$A:$M,13,0)</f>
        <v>魏飞翔</v>
      </c>
      <c r="F701" s="46" t="s">
        <v>1559</v>
      </c>
      <c r="G701" s="12" t="str">
        <f>VLOOKUP(F701,[4]在职!$A:$B,2,0)</f>
        <v>01935</v>
      </c>
      <c r="H701" s="12" t="str">
        <f>VLOOKUP(F701,[4]在职!$A:$I,9,0)</f>
        <v>实习销售</v>
      </c>
      <c r="I701" s="46" t="s">
        <v>907</v>
      </c>
      <c r="J701" s="83">
        <v>46106</v>
      </c>
      <c r="K701" s="46" t="s">
        <v>25</v>
      </c>
    </row>
    <row r="702" ht="16.5" spans="1:11">
      <c r="A702" s="12">
        <v>740</v>
      </c>
      <c r="B702" s="12" t="s">
        <v>45</v>
      </c>
      <c r="C702" s="12" t="str">
        <f>VLOOKUP(F702,[4]在职!$A:$E,5,0)</f>
        <v>西南总部</v>
      </c>
      <c r="D702" s="12" t="str">
        <f>VLOOKUP(F702,[4]在职!$A:$G,7,0)</f>
        <v>营业二部</v>
      </c>
      <c r="E702" s="12" t="str">
        <f>VLOOKUP(F702,[4]在职!$A:$M,13,0)</f>
        <v>文鹏羽</v>
      </c>
      <c r="F702" s="46" t="s">
        <v>1560</v>
      </c>
      <c r="G702" s="12" t="str">
        <f>VLOOKUP(F702,[4]在职!$A:$B,2,0)</f>
        <v>01919</v>
      </c>
      <c r="H702" s="12" t="str">
        <f>VLOOKUP(F702,[4]在职!$A:$I,9,0)</f>
        <v>实习销售</v>
      </c>
      <c r="I702" s="46" t="s">
        <v>907</v>
      </c>
      <c r="J702" s="83">
        <v>46106</v>
      </c>
      <c r="K702" s="46" t="s">
        <v>25</v>
      </c>
    </row>
    <row r="703" ht="16.5" spans="1:11">
      <c r="A703" s="12">
        <v>741</v>
      </c>
      <c r="B703" s="12" t="s">
        <v>45</v>
      </c>
      <c r="C703" s="12" t="str">
        <f>VLOOKUP(F703,[4]在职!$A:$E,5,0)</f>
        <v>西南总部</v>
      </c>
      <c r="D703" s="12" t="str">
        <f>VLOOKUP(F703,[4]在职!$A:$G,7,0)</f>
        <v>营业二部</v>
      </c>
      <c r="E703" s="12" t="str">
        <f>VLOOKUP(F703,[4]在职!$A:$M,13,0)</f>
        <v>文鹏羽</v>
      </c>
      <c r="F703" s="46" t="s">
        <v>1227</v>
      </c>
      <c r="G703" s="12" t="str">
        <f>VLOOKUP(F703,[4]在职!$A:$B,2,0)</f>
        <v>01764</v>
      </c>
      <c r="H703" s="12" t="str">
        <f>VLOOKUP(F703,[4]在职!$A:$I,9,0)</f>
        <v>一星销售顾问</v>
      </c>
      <c r="I703" s="46" t="s">
        <v>907</v>
      </c>
      <c r="J703" s="83">
        <v>46106</v>
      </c>
      <c r="K703" s="46" t="s">
        <v>25</v>
      </c>
    </row>
    <row r="704" ht="16.5" spans="1:11">
      <c r="A704" s="12">
        <v>742</v>
      </c>
      <c r="B704" s="12" t="s">
        <v>45</v>
      </c>
      <c r="C704" s="12" t="str">
        <f>VLOOKUP(F704,[4]在职!$A:$E,5,0)</f>
        <v>西南总部</v>
      </c>
      <c r="D704" s="12" t="str">
        <f>VLOOKUP(F704,[4]在职!$A:$G,7,0)</f>
        <v>营业五部</v>
      </c>
      <c r="E704" s="12" t="str">
        <f>VLOOKUP(F704,[4]在职!$A:$M,13,0)</f>
        <v>杨科</v>
      </c>
      <c r="F704" s="46" t="s">
        <v>1561</v>
      </c>
      <c r="G704" s="12" t="str">
        <f>VLOOKUP(F704,[4]在职!$A:$B,2,0)</f>
        <v>01934</v>
      </c>
      <c r="H704" s="12" t="str">
        <f>VLOOKUP(F704,[4]在职!$A:$I,9,0)</f>
        <v>实习销售</v>
      </c>
      <c r="I704" s="46" t="s">
        <v>907</v>
      </c>
      <c r="J704" s="83">
        <v>46106</v>
      </c>
      <c r="K704" s="46" t="s">
        <v>25</v>
      </c>
    </row>
    <row r="705" ht="16.5" spans="1:11">
      <c r="A705" s="12">
        <v>743</v>
      </c>
      <c r="B705" s="12" t="s">
        <v>45</v>
      </c>
      <c r="C705" s="12" t="str">
        <f>VLOOKUP(F705,[4]在职!$A:$E,5,0)</f>
        <v>西南总部</v>
      </c>
      <c r="D705" s="12" t="str">
        <f>VLOOKUP(F705,[4]在职!$A:$G,7,0)</f>
        <v>营业六部</v>
      </c>
      <c r="E705" s="12" t="str">
        <f>VLOOKUP(F705,[4]在职!$A:$M,13,0)</f>
        <v>袁华</v>
      </c>
      <c r="F705" s="46" t="s">
        <v>1562</v>
      </c>
      <c r="G705" s="12" t="str">
        <f>VLOOKUP(F705,[4]在职!$A:$B,2,0)</f>
        <v>01975</v>
      </c>
      <c r="H705" s="12" t="str">
        <f>VLOOKUP(F705,[4]在职!$A:$I,9,0)</f>
        <v>实习销售</v>
      </c>
      <c r="I705" s="46" t="s">
        <v>907</v>
      </c>
      <c r="J705" s="83">
        <v>46106</v>
      </c>
      <c r="K705" s="46" t="s">
        <v>25</v>
      </c>
    </row>
    <row r="706" ht="16.5" spans="1:11">
      <c r="A706" s="12">
        <v>744</v>
      </c>
      <c r="B706" s="12" t="s">
        <v>45</v>
      </c>
      <c r="C706" s="12" t="str">
        <f>VLOOKUP(F706,[4]在职!$A:$E,5,0)</f>
        <v>西南总部</v>
      </c>
      <c r="D706" s="12" t="str">
        <f>VLOOKUP(F706,[4]在职!$A:$G,7,0)</f>
        <v>营业六部</v>
      </c>
      <c r="E706" s="12" t="str">
        <f>VLOOKUP(F706,[4]在职!$A:$M,13,0)</f>
        <v>袁华</v>
      </c>
      <c r="F706" s="46" t="s">
        <v>1563</v>
      </c>
      <c r="G706" s="12" t="str">
        <f>VLOOKUP(F706,[4]在职!$A:$B,2,0)</f>
        <v>01974</v>
      </c>
      <c r="H706" s="12" t="str">
        <f>VLOOKUP(F706,[4]在职!$A:$I,9,0)</f>
        <v>实习销售</v>
      </c>
      <c r="I706" s="46" t="s">
        <v>907</v>
      </c>
      <c r="J706" s="83">
        <v>46106</v>
      </c>
      <c r="K706" s="46" t="s">
        <v>25</v>
      </c>
    </row>
    <row r="707" ht="16.5" spans="1:11">
      <c r="A707" s="12">
        <v>745</v>
      </c>
      <c r="B707" s="12" t="s">
        <v>45</v>
      </c>
      <c r="C707" s="12" t="str">
        <f>VLOOKUP(F707,[4]在职!$A:$E,5,0)</f>
        <v>西南总部</v>
      </c>
      <c r="D707" s="12" t="str">
        <f>VLOOKUP(F707,[4]在职!$A:$G,7,0)</f>
        <v>营业六部</v>
      </c>
      <c r="E707" s="12" t="str">
        <f>VLOOKUP(F707,[4]在职!$A:$M,13,0)</f>
        <v>袁华</v>
      </c>
      <c r="F707" s="46" t="s">
        <v>1564</v>
      </c>
      <c r="G707" s="12" t="str">
        <f>VLOOKUP(F707,[4]在职!$A:$B,2,0)</f>
        <v>01971</v>
      </c>
      <c r="H707" s="12" t="str">
        <f>VLOOKUP(F707,[4]在职!$A:$I,9,0)</f>
        <v>实习销售</v>
      </c>
      <c r="I707" s="46" t="s">
        <v>907</v>
      </c>
      <c r="J707" s="83">
        <v>46106</v>
      </c>
      <c r="K707" s="46" t="s">
        <v>25</v>
      </c>
    </row>
    <row r="708" ht="16.5" spans="1:11">
      <c r="A708" s="12">
        <v>746</v>
      </c>
      <c r="B708" s="12" t="s">
        <v>45</v>
      </c>
      <c r="C708" s="12" t="str">
        <f>VLOOKUP(F708,[4]在职!$A:$E,5,0)</f>
        <v>西南总部</v>
      </c>
      <c r="D708" s="12" t="str">
        <f>VLOOKUP(F708,[4]在职!$A:$G,7,0)</f>
        <v>营业六部</v>
      </c>
      <c r="E708" s="12" t="str">
        <f>VLOOKUP(F708,[4]在职!$A:$M,13,0)</f>
        <v>袁华</v>
      </c>
      <c r="F708" s="46" t="s">
        <v>1203</v>
      </c>
      <c r="G708" s="12" t="str">
        <f>VLOOKUP(F708,[4]在职!$A:$B,2,0)</f>
        <v>01835</v>
      </c>
      <c r="H708" s="12" t="str">
        <f>VLOOKUP(F708,[4]在职!$A:$I,9,0)</f>
        <v>实习销售</v>
      </c>
      <c r="I708" s="46" t="s">
        <v>907</v>
      </c>
      <c r="J708" s="83">
        <v>46106</v>
      </c>
      <c r="K708" s="46" t="s">
        <v>25</v>
      </c>
    </row>
    <row r="709" ht="16.5" spans="1:11">
      <c r="A709" s="12">
        <v>747</v>
      </c>
      <c r="B709" s="12" t="s">
        <v>45</v>
      </c>
      <c r="C709" s="12" t="str">
        <f>VLOOKUP(F709,[4]在职!$A:$E,5,0)</f>
        <v>西南总部</v>
      </c>
      <c r="D709" s="12" t="str">
        <f>VLOOKUP(F709,[4]在职!$A:$G,7,0)</f>
        <v>营业五部</v>
      </c>
      <c r="E709" s="12" t="str">
        <f>VLOOKUP(F709,[4]在职!$A:$M,13,0)</f>
        <v>杨科</v>
      </c>
      <c r="F709" s="46" t="s">
        <v>1211</v>
      </c>
      <c r="G709" s="12" t="str">
        <f>VLOOKUP(F709,[4]在职!$A:$B,2,0)</f>
        <v>01866</v>
      </c>
      <c r="H709" s="12" t="str">
        <f>VLOOKUP(F709,[4]在职!$A:$I,9,0)</f>
        <v>实习销售</v>
      </c>
      <c r="I709" s="46" t="s">
        <v>907</v>
      </c>
      <c r="J709" s="83">
        <v>46106</v>
      </c>
      <c r="K709" s="46" t="s">
        <v>25</v>
      </c>
    </row>
    <row r="710" ht="16.5" spans="1:11">
      <c r="A710" s="12">
        <v>748</v>
      </c>
      <c r="B710" s="12" t="s">
        <v>45</v>
      </c>
      <c r="C710" s="12" t="str">
        <f>VLOOKUP(F710,[4]在职!$A:$E,5,0)</f>
        <v>西南总部</v>
      </c>
      <c r="D710" s="12" t="str">
        <f>VLOOKUP(F710,[4]在职!$A:$G,7,0)</f>
        <v>营业五部</v>
      </c>
      <c r="E710" s="12" t="str">
        <f>VLOOKUP(F710,[4]在职!$A:$M,13,0)</f>
        <v>杨科</v>
      </c>
      <c r="F710" s="46" t="s">
        <v>1213</v>
      </c>
      <c r="G710" s="12" t="str">
        <f>VLOOKUP(F710,[4]在职!$A:$B,2,0)</f>
        <v>01673</v>
      </c>
      <c r="H710" s="12" t="str">
        <f>VLOOKUP(F710,[4]在职!$A:$I,9,0)</f>
        <v>实习销售</v>
      </c>
      <c r="I710" s="46" t="s">
        <v>907</v>
      </c>
      <c r="J710" s="83">
        <v>46106</v>
      </c>
      <c r="K710" s="46" t="s">
        <v>25</v>
      </c>
    </row>
    <row r="711" ht="16.5" spans="1:11">
      <c r="A711" s="12">
        <v>749</v>
      </c>
      <c r="B711" s="12" t="s">
        <v>45</v>
      </c>
      <c r="C711" s="12" t="str">
        <f>VLOOKUP(F711,[4]在职!$A:$E,5,0)</f>
        <v>西南总部</v>
      </c>
      <c r="D711" s="12" t="str">
        <f>VLOOKUP(F711,[4]在职!$A:$G,7,0)</f>
        <v>营业五部</v>
      </c>
      <c r="E711" s="12" t="str">
        <f>VLOOKUP(F711,[4]在职!$A:$M,13,0)</f>
        <v>杨科</v>
      </c>
      <c r="F711" s="46" t="s">
        <v>1209</v>
      </c>
      <c r="G711" s="12" t="str">
        <f>VLOOKUP(F711,[4]在职!$A:$B,2,0)</f>
        <v>01886</v>
      </c>
      <c r="H711" s="12" t="str">
        <f>VLOOKUP(F711,[4]在职!$A:$I,9,0)</f>
        <v>实习销售</v>
      </c>
      <c r="I711" s="46" t="s">
        <v>907</v>
      </c>
      <c r="J711" s="83">
        <v>46106</v>
      </c>
      <c r="K711" s="46" t="s">
        <v>25</v>
      </c>
    </row>
    <row r="712" ht="16.5" spans="1:11">
      <c r="A712" s="12">
        <v>750</v>
      </c>
      <c r="B712" s="12" t="s">
        <v>45</v>
      </c>
      <c r="C712" s="12" t="str">
        <f>VLOOKUP(F712,[4]在职!$A:$E,5,0)</f>
        <v>西南总部</v>
      </c>
      <c r="D712" s="12" t="str">
        <f>VLOOKUP(F712,[4]在职!$A:$G,7,0)</f>
        <v>营业五部</v>
      </c>
      <c r="E712" s="12" t="str">
        <f>VLOOKUP(F712,[4]在职!$A:$M,13,0)</f>
        <v>杨科</v>
      </c>
      <c r="F712" s="46" t="s">
        <v>1207</v>
      </c>
      <c r="G712" s="12" t="str">
        <f>VLOOKUP(F712,[4]在职!$A:$B,2,0)</f>
        <v>01892</v>
      </c>
      <c r="H712" s="12" t="str">
        <f>VLOOKUP(F712,[4]在职!$A:$I,9,0)</f>
        <v>实习销售</v>
      </c>
      <c r="I712" s="46" t="s">
        <v>907</v>
      </c>
      <c r="J712" s="83">
        <v>46106</v>
      </c>
      <c r="K712" s="46" t="s">
        <v>25</v>
      </c>
    </row>
    <row r="713" ht="16.5" spans="1:11">
      <c r="A713" s="12">
        <v>751</v>
      </c>
      <c r="B713" s="12" t="s">
        <v>45</v>
      </c>
      <c r="C713" s="12" t="str">
        <f>VLOOKUP(F713,[4]在职!$A:$E,5,0)</f>
        <v>西南总部</v>
      </c>
      <c r="D713" s="12" t="str">
        <f>VLOOKUP(F713,[4]在职!$A:$G,7,0)</f>
        <v>营业五部</v>
      </c>
      <c r="E713" s="12" t="str">
        <f>VLOOKUP(F713,[4]在职!$A:$M,13,0)</f>
        <v>尹稳</v>
      </c>
      <c r="F713" s="46" t="s">
        <v>1565</v>
      </c>
      <c r="G713" s="12" t="str">
        <f>VLOOKUP(F713,[4]在职!$A:$B,2,0)</f>
        <v>01960</v>
      </c>
      <c r="H713" s="12" t="str">
        <f>VLOOKUP(F713,[4]在职!$A:$I,9,0)</f>
        <v>实习销售</v>
      </c>
      <c r="I713" s="46" t="s">
        <v>907</v>
      </c>
      <c r="J713" s="83">
        <v>46106</v>
      </c>
      <c r="K713" s="46" t="s">
        <v>25</v>
      </c>
    </row>
    <row r="714" ht="16.5" spans="1:11">
      <c r="A714" s="12">
        <v>752</v>
      </c>
      <c r="B714" s="12" t="s">
        <v>45</v>
      </c>
      <c r="C714" s="12" t="str">
        <f>VLOOKUP(F714,[4]在职!$A:$E,5,0)</f>
        <v>西南总部</v>
      </c>
      <c r="D714" s="12" t="str">
        <f>VLOOKUP(F714,[4]在职!$A:$G,7,0)</f>
        <v>营业七部</v>
      </c>
      <c r="E714" s="12" t="str">
        <f>VLOOKUP(F714,[4]在职!$A:$M,13,0)</f>
        <v>张家涛</v>
      </c>
      <c r="F714" s="46" t="s">
        <v>1201</v>
      </c>
      <c r="G714" s="12" t="str">
        <f>VLOOKUP(F714,[4]在职!$A:$B,2,0)</f>
        <v>01905</v>
      </c>
      <c r="H714" s="12" t="str">
        <f>VLOOKUP(F714,[4]在职!$A:$I,9,0)</f>
        <v>实习销售</v>
      </c>
      <c r="I714" s="46" t="s">
        <v>907</v>
      </c>
      <c r="J714" s="83">
        <v>46106</v>
      </c>
      <c r="K714" s="46" t="s">
        <v>25</v>
      </c>
    </row>
    <row r="715" ht="16.5" spans="1:11">
      <c r="A715" s="12">
        <v>753</v>
      </c>
      <c r="B715" s="12" t="s">
        <v>45</v>
      </c>
      <c r="C715" s="12" t="str">
        <f>VLOOKUP(F715,[4]在职!$A:$E,5,0)</f>
        <v>西南总部</v>
      </c>
      <c r="D715" s="12" t="str">
        <f>VLOOKUP(F715,[4]在职!$A:$G,7,0)</f>
        <v>营业六部</v>
      </c>
      <c r="E715" s="12" t="str">
        <f>VLOOKUP(F715,[4]在职!$A:$M,13,0)</f>
        <v>郑雄</v>
      </c>
      <c r="F715" s="46" t="s">
        <v>1566</v>
      </c>
      <c r="G715" s="12" t="str">
        <f>VLOOKUP(F715,[4]在职!$A:$B,2,0)</f>
        <v>01953</v>
      </c>
      <c r="H715" s="12" t="str">
        <f>VLOOKUP(F715,[4]在职!$A:$I,9,0)</f>
        <v>实习销售</v>
      </c>
      <c r="I715" s="46" t="s">
        <v>907</v>
      </c>
      <c r="J715" s="83">
        <v>46106</v>
      </c>
      <c r="K715" s="46" t="s">
        <v>25</v>
      </c>
    </row>
    <row r="716" ht="16.5" spans="1:11">
      <c r="A716" s="12">
        <v>754</v>
      </c>
      <c r="B716" s="12" t="s">
        <v>45</v>
      </c>
      <c r="C716" s="12" t="str">
        <f>VLOOKUP(F716,[4]在职!$A:$E,5,0)</f>
        <v>西南总部</v>
      </c>
      <c r="D716" s="12" t="str">
        <f>VLOOKUP(F716,[4]在职!$A:$G,7,0)</f>
        <v>营业六部</v>
      </c>
      <c r="E716" s="12" t="str">
        <f>VLOOKUP(F716,[4]在职!$A:$M,13,0)</f>
        <v>郑雄</v>
      </c>
      <c r="F716" s="46" t="s">
        <v>1182</v>
      </c>
      <c r="G716" s="12" t="str">
        <f>VLOOKUP(F716,[4]在职!$A:$B,2,0)</f>
        <v>01864</v>
      </c>
      <c r="H716" s="12" t="str">
        <f>VLOOKUP(F716,[4]在职!$A:$I,9,0)</f>
        <v>实习销售</v>
      </c>
      <c r="I716" s="46" t="s">
        <v>907</v>
      </c>
      <c r="J716" s="83">
        <v>46106</v>
      </c>
      <c r="K716" s="46" t="s">
        <v>25</v>
      </c>
    </row>
    <row r="717" ht="16.5" spans="1:11">
      <c r="A717" s="12">
        <v>755</v>
      </c>
      <c r="B717" s="12" t="s">
        <v>45</v>
      </c>
      <c r="C717" s="12" t="str">
        <f>VLOOKUP(F717,[4]在职!$A:$E,5,0)</f>
        <v>西南总部</v>
      </c>
      <c r="D717" s="12" t="str">
        <f>VLOOKUP(F717,[4]在职!$A:$G,7,0)</f>
        <v>营业五部</v>
      </c>
      <c r="E717" s="12" t="str">
        <f>VLOOKUP(F717,[4]在职!$A:$M,13,0)</f>
        <v>周远芮</v>
      </c>
      <c r="F717" s="46" t="s">
        <v>1503</v>
      </c>
      <c r="G717" s="12" t="str">
        <f>VLOOKUP(F717,[4]在职!$A:$B,2,0)</f>
        <v>01560</v>
      </c>
      <c r="H717" s="12" t="str">
        <f>VLOOKUP(F717,[4]在职!$A:$I,9,0)</f>
        <v>一星销售顾问</v>
      </c>
      <c r="I717" s="46" t="s">
        <v>907</v>
      </c>
      <c r="J717" s="83">
        <v>46106</v>
      </c>
      <c r="K717" s="46" t="s">
        <v>25</v>
      </c>
    </row>
    <row r="718" ht="16.5" spans="1:11">
      <c r="A718" s="12">
        <v>756</v>
      </c>
      <c r="B718" s="12" t="s">
        <v>45</v>
      </c>
      <c r="C718" s="12" t="str">
        <f>VLOOKUP(F718,[4]在职!$A:$E,5,0)</f>
        <v>西南总部</v>
      </c>
      <c r="D718" s="12" t="str">
        <f>VLOOKUP(F718,[4]在职!$A:$G,7,0)</f>
        <v>营业一部</v>
      </c>
      <c r="E718" s="12" t="str">
        <f>VLOOKUP(F718,[4]在职!$A:$M,13,0)</f>
        <v>朱家艳</v>
      </c>
      <c r="F718" s="46" t="s">
        <v>1533</v>
      </c>
      <c r="G718" s="12" t="str">
        <f>VLOOKUP(F718,[4]在职!$A:$B,2,0)</f>
        <v>01939</v>
      </c>
      <c r="H718" s="12" t="str">
        <f>VLOOKUP(F718,[4]在职!$A:$I,9,0)</f>
        <v>实习销售</v>
      </c>
      <c r="I718" s="46" t="s">
        <v>907</v>
      </c>
      <c r="J718" s="83">
        <v>46106</v>
      </c>
      <c r="K718" s="46" t="s">
        <v>25</v>
      </c>
    </row>
    <row r="719" ht="16.5" spans="1:11">
      <c r="A719" s="12">
        <v>757</v>
      </c>
      <c r="B719" s="12" t="s">
        <v>45</v>
      </c>
      <c r="C719" s="12" t="str">
        <f>VLOOKUP(F719,[4]在职!$A:$E,5,0)</f>
        <v>西南总部</v>
      </c>
      <c r="D719" s="12" t="str">
        <f>VLOOKUP(F719,[4]在职!$A:$G,7,0)</f>
        <v>营业一部</v>
      </c>
      <c r="E719" s="12" t="str">
        <f>VLOOKUP(F719,[4]在职!$A:$M,13,0)</f>
        <v>朱家艳</v>
      </c>
      <c r="F719" s="46" t="s">
        <v>1534</v>
      </c>
      <c r="G719" s="12" t="str">
        <f>VLOOKUP(F719,[4]在职!$A:$B,2,0)</f>
        <v>01921</v>
      </c>
      <c r="H719" s="12" t="str">
        <f>VLOOKUP(F719,[4]在职!$A:$I,9,0)</f>
        <v>实习销售</v>
      </c>
      <c r="I719" s="46" t="s">
        <v>907</v>
      </c>
      <c r="J719" s="83">
        <v>46106</v>
      </c>
      <c r="K719" s="46" t="s">
        <v>25</v>
      </c>
    </row>
    <row r="720" ht="16.5" spans="1:11">
      <c r="A720" s="12">
        <v>758</v>
      </c>
      <c r="B720" s="12" t="s">
        <v>45</v>
      </c>
      <c r="C720" s="12" t="str">
        <f>VLOOKUP(F720,[4]在职!$A:$E,5,0)</f>
        <v>西南总部</v>
      </c>
      <c r="D720" s="12" t="str">
        <f>VLOOKUP(F720,[4]在职!$A:$G,7,0)</f>
        <v>营业一部</v>
      </c>
      <c r="E720" s="12" t="str">
        <f>VLOOKUP(F720,[4]在职!$A:$M,13,0)</f>
        <v>朱家艳</v>
      </c>
      <c r="F720" s="46" t="s">
        <v>1476</v>
      </c>
      <c r="G720" s="12" t="str">
        <f>VLOOKUP(F720,[4]在职!$A:$B,2,0)</f>
        <v>01682</v>
      </c>
      <c r="H720" s="12" t="str">
        <f>VLOOKUP(F720,[4]在职!$A:$I,9,0)</f>
        <v>一星销售顾问</v>
      </c>
      <c r="I720" s="46" t="s">
        <v>907</v>
      </c>
      <c r="J720" s="83">
        <v>46106</v>
      </c>
      <c r="K720" s="46" t="s">
        <v>25</v>
      </c>
    </row>
    <row r="721" ht="16.5" spans="1:11">
      <c r="A721" s="12">
        <v>759</v>
      </c>
      <c r="B721" s="12" t="s">
        <v>45</v>
      </c>
      <c r="C721" s="12" t="str">
        <f>VLOOKUP(F721,[4]在职!$A:$E,5,0)</f>
        <v>西南总部</v>
      </c>
      <c r="D721" s="12" t="str">
        <f>VLOOKUP(F721,[4]在职!$A:$G,7,0)</f>
        <v>营业五部</v>
      </c>
      <c r="E721" s="12" t="str">
        <f>VLOOKUP(F721,[4]在职!$A:$M,13,0)</f>
        <v>张萍2</v>
      </c>
      <c r="F721" s="46" t="s">
        <v>1191</v>
      </c>
      <c r="G721" s="12" t="str">
        <f>VLOOKUP(F721,[4]在职!$A:$B,2,0)</f>
        <v>01898</v>
      </c>
      <c r="H721" s="12" t="str">
        <f>VLOOKUP(F721,[4]在职!$A:$I,9,0)</f>
        <v>实习销售</v>
      </c>
      <c r="I721" s="46" t="s">
        <v>907</v>
      </c>
      <c r="J721" s="83">
        <v>46106</v>
      </c>
      <c r="K721" s="46" t="s">
        <v>25</v>
      </c>
    </row>
  </sheetData>
  <autoFilter xmlns:etc="http://www.wps.cn/officeDocument/2017/etCustomData" ref="A2:K721" etc:filterBottomFollowUsedRange="0">
    <filterColumn colId="1">
      <filters>
        <filter val="3月"/>
      </filters>
    </filterColumn>
    <filterColumn colId="3">
      <filters>
        <filter val="湖北2部"/>
        <filter val="人资行政部"/>
        <filter val="陕西2部"/>
        <filter val="辽宁销售部"/>
        <filter val="营业七部"/>
        <filter val="营业四部"/>
        <filter val="山东销售部"/>
        <filter val="营业一部"/>
        <filter val="营业二部"/>
        <filter val="营业五部"/>
        <filter val="停车场运营部"/>
        <filter val="0"/>
        <filter val="河北销售部"/>
        <filter val="河南销售部"/>
        <filter val="湖南销售部"/>
        <filter val="湖北1部"/>
        <filter val="营业三部"/>
        <filter val="营业六部"/>
        <filter val="陕西1部"/>
      </filters>
    </filterColumn>
    <filterColumn colId="10">
      <filters>
        <filter val="销售新人入职培训"/>
      </filters>
    </filterColumn>
    <sortState ref="A3:K721">
      <sortCondition ref="D2"/>
    </sortState>
    <extLst/>
  </autoFilter>
  <mergeCells count="1">
    <mergeCell ref="A1:K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229"/>
  <sheetViews>
    <sheetView tabSelected="1" zoomScale="93" zoomScaleNormal="93" workbookViewId="0">
      <pane ySplit="2" topLeftCell="A3" activePane="bottomLeft" state="frozen"/>
      <selection/>
      <selection pane="bottomLeft" activeCell="G162" sqref="G162"/>
    </sheetView>
  </sheetViews>
  <sheetFormatPr defaultColWidth="8.89166666666667" defaultRowHeight="13.5" outlineLevelCol="7"/>
  <cols>
    <col min="1" max="1" width="6.66666666666667" customWidth="1"/>
    <col min="2" max="2" width="13.8916666666667" customWidth="1"/>
    <col min="3" max="3" width="16.4416666666667" customWidth="1"/>
    <col min="4" max="4" width="17.775" customWidth="1"/>
    <col min="5" max="5" width="21.6666666666667" customWidth="1"/>
    <col min="6" max="7" width="13.8916666666667" customWidth="1"/>
    <col min="8" max="8" width="13.3333333333333" customWidth="1"/>
  </cols>
  <sheetData>
    <row r="1" ht="29" customHeight="1" spans="1:8">
      <c r="A1" s="1" t="s">
        <v>1610</v>
      </c>
      <c r="B1" s="1"/>
      <c r="C1" s="1"/>
      <c r="D1" s="1"/>
      <c r="E1" s="1"/>
      <c r="F1" s="1"/>
      <c r="G1" s="1"/>
      <c r="H1" s="1"/>
    </row>
    <row r="2" ht="17.25" spans="1:8">
      <c r="A2" s="72" t="s">
        <v>2</v>
      </c>
      <c r="B2" s="72" t="s">
        <v>3</v>
      </c>
      <c r="C2" s="72" t="s">
        <v>50</v>
      </c>
      <c r="D2" s="72" t="s">
        <v>1580</v>
      </c>
      <c r="E2" s="73" t="s">
        <v>894</v>
      </c>
      <c r="F2" s="72" t="s">
        <v>1611</v>
      </c>
      <c r="G2" s="72" t="s">
        <v>1612</v>
      </c>
      <c r="H2" s="72" t="s">
        <v>1571</v>
      </c>
    </row>
    <row r="3" ht="16.5" hidden="1" spans="1:8">
      <c r="A3" s="12" t="s">
        <v>23</v>
      </c>
      <c r="B3" s="12" t="s">
        <v>38</v>
      </c>
      <c r="C3" s="12" t="s">
        <v>1329</v>
      </c>
      <c r="D3" s="74" t="s">
        <v>25</v>
      </c>
      <c r="E3" s="75">
        <v>46051</v>
      </c>
      <c r="F3" s="12">
        <f>COUNTIFS([1]《授课类型》维度的参训明细!B:B,A3,[1]《授课类型》维度的参训明细!C:C,B3,[1]《授课类型》维度的参训明细!D:D,C3,[1]《授课类型》维度的参训明细!K:K,D3)</f>
        <v>6</v>
      </c>
      <c r="G3" s="12">
        <f>COUNTIFS([1]《授课类型》维度的参训明细!B:B,A3,[1]《授课类型》维度的参训明细!C:C,B3,[1]《授课类型》维度的参训明细!D:D,C3,[1]《授课类型》维度的参训明细!K:K,D3,[1]《授课类型》维度的参训明细!I:I,"已签到")</f>
        <v>5</v>
      </c>
      <c r="H3" s="76">
        <f>G3/F3</f>
        <v>0.833333333333333</v>
      </c>
    </row>
    <row r="4" ht="16.5" hidden="1" spans="1:8">
      <c r="A4" s="12" t="s">
        <v>23</v>
      </c>
      <c r="B4" s="12" t="s">
        <v>32</v>
      </c>
      <c r="C4" s="12" t="s">
        <v>105</v>
      </c>
      <c r="D4" s="74" t="s">
        <v>25</v>
      </c>
      <c r="E4" s="75">
        <v>46051</v>
      </c>
      <c r="F4" s="12">
        <f>COUNTIFS([1]《授课类型》维度的参训明细!B:B,A4,[1]《授课类型》维度的参训明细!C:C,B4,[1]《授课类型》维度的参训明细!D:D,C4,[1]《授课类型》维度的参训明细!K:K,D4)</f>
        <v>6</v>
      </c>
      <c r="G4" s="12">
        <f>COUNTIFS([1]《授课类型》维度的参训明细!B:B,A4,[1]《授课类型》维度的参训明细!C:C,B4,[1]《授课类型》维度的参训明细!D:D,C4,[1]《授课类型》维度的参训明细!K:K,D4,[1]《授课类型》维度的参训明细!I:I,"已签到")</f>
        <v>3</v>
      </c>
      <c r="H4" s="76">
        <f t="shared" ref="H3:H66" si="0">G4/F4</f>
        <v>0.5</v>
      </c>
    </row>
    <row r="5" ht="16.5" hidden="1" spans="1:8">
      <c r="A5" s="12" t="s">
        <v>23</v>
      </c>
      <c r="B5" s="12" t="s">
        <v>37</v>
      </c>
      <c r="C5" s="12" t="s">
        <v>109</v>
      </c>
      <c r="D5" s="74" t="s">
        <v>25</v>
      </c>
      <c r="E5" s="75">
        <v>46051</v>
      </c>
      <c r="F5" s="12">
        <f>COUNTIFS([1]《授课类型》维度的参训明细!B:B,A5,[1]《授课类型》维度的参训明细!C:C,B5,[1]《授课类型》维度的参训明细!D:D,C5,[1]《授课类型》维度的参训明细!K:K,D5)</f>
        <v>4</v>
      </c>
      <c r="G5" s="12">
        <f>COUNTIFS([1]《授课类型》维度的参训明细!B:B,A5,[1]《授课类型》维度的参训明细!C:C,B5,[1]《授课类型》维度的参训明细!D:D,C5,[1]《授课类型》维度的参训明细!K:K,D5,[1]《授课类型》维度的参训明细!I:I,"已签到")</f>
        <v>4</v>
      </c>
      <c r="H5" s="76">
        <f t="shared" si="0"/>
        <v>1</v>
      </c>
    </row>
    <row r="6" ht="16.5" hidden="1" spans="1:8">
      <c r="A6" s="12" t="s">
        <v>23</v>
      </c>
      <c r="B6" s="12" t="s">
        <v>38</v>
      </c>
      <c r="C6" s="12" t="s">
        <v>220</v>
      </c>
      <c r="D6" s="74" t="s">
        <v>25</v>
      </c>
      <c r="E6" s="75">
        <v>46051</v>
      </c>
      <c r="F6" s="12">
        <f>COUNTIFS([1]《授课类型》维度的参训明细!B:B,A6,[1]《授课类型》维度的参训明细!C:C,B6,[1]《授课类型》维度的参训明细!D:D,C6,[1]《授课类型》维度的参训明细!K:K,D6)</f>
        <v>7</v>
      </c>
      <c r="G6" s="12">
        <f>COUNTIFS([1]《授课类型》维度的参训明细!B:B,A6,[1]《授课类型》维度的参训明细!C:C,B6,[1]《授课类型》维度的参训明细!D:D,C6,[1]《授课类型》维度的参训明细!K:K,D6,[1]《授课类型》维度的参训明细!I:I,"已签到")</f>
        <v>4</v>
      </c>
      <c r="H6" s="76">
        <f t="shared" si="0"/>
        <v>0.571428571428571</v>
      </c>
    </row>
    <row r="7" ht="16.5" hidden="1" spans="1:8">
      <c r="A7" s="12" t="s">
        <v>23</v>
      </c>
      <c r="B7" s="12" t="s">
        <v>38</v>
      </c>
      <c r="C7" s="12" t="s">
        <v>75</v>
      </c>
      <c r="D7" s="74" t="s">
        <v>25</v>
      </c>
      <c r="E7" s="75">
        <v>46051</v>
      </c>
      <c r="F7" s="12">
        <f>COUNTIFS([1]《授课类型》维度的参训明细!B:B,A7,[1]《授课类型》维度的参训明细!C:C,B7,[1]《授课类型》维度的参训明细!D:D,C7,[1]《授课类型》维度的参训明细!K:K,D7)</f>
        <v>7</v>
      </c>
      <c r="G7" s="12">
        <f>COUNTIFS([1]《授课类型》维度的参训明细!B:B,A7,[1]《授课类型》维度的参训明细!C:C,B7,[1]《授课类型》维度的参训明细!D:D,C7,[1]《授课类型》维度的参训明细!K:K,D7,[1]《授课类型》维度的参训明细!I:I,"已签到")</f>
        <v>3</v>
      </c>
      <c r="H7" s="76">
        <f t="shared" si="0"/>
        <v>0.428571428571429</v>
      </c>
    </row>
    <row r="8" ht="16.5" hidden="1" spans="1:8">
      <c r="A8" s="12" t="s">
        <v>23</v>
      </c>
      <c r="B8" s="12" t="s">
        <v>38</v>
      </c>
      <c r="C8" s="12" t="s">
        <v>70</v>
      </c>
      <c r="D8" s="74" t="s">
        <v>25</v>
      </c>
      <c r="E8" s="75">
        <v>46051</v>
      </c>
      <c r="F8" s="12">
        <f>COUNTIFS([1]《授课类型》维度的参训明细!B:B,A8,[1]《授课类型》维度的参训明细!C:C,B8,[1]《授课类型》维度的参训明细!D:D,C8,[1]《授课类型》维度的参训明细!K:K,D8)</f>
        <v>6</v>
      </c>
      <c r="G8" s="12">
        <f>COUNTIFS([1]《授课类型》维度的参训明细!B:B,A8,[1]《授课类型》维度的参训明细!C:C,B8,[1]《授课类型》维度的参训明细!D:D,C8,[1]《授课类型》维度的参训明细!K:K,D8,[1]《授课类型》维度的参训明细!I:I,"已签到")</f>
        <v>2</v>
      </c>
      <c r="H8" s="76">
        <f t="shared" si="0"/>
        <v>0.333333333333333</v>
      </c>
    </row>
    <row r="9" ht="16.5" hidden="1" spans="1:8">
      <c r="A9" s="12" t="s">
        <v>23</v>
      </c>
      <c r="B9" s="12" t="s">
        <v>29</v>
      </c>
      <c r="C9" s="12" t="s">
        <v>130</v>
      </c>
      <c r="D9" s="74" t="s">
        <v>25</v>
      </c>
      <c r="E9" s="75">
        <v>46051</v>
      </c>
      <c r="F9" s="12">
        <f>COUNTIFS([1]《授课类型》维度的参训明细!B:B,A9,[1]《授课类型》维度的参训明细!C:C,B9,[1]《授课类型》维度的参训明细!D:D,C9,[1]《授课类型》维度的参训明细!K:K,D9)</f>
        <v>6</v>
      </c>
      <c r="G9" s="12">
        <f>COUNTIFS([1]《授课类型》维度的参训明细!B:B,A9,[1]《授课类型》维度的参训明细!C:C,B9,[1]《授课类型》维度的参训明细!D:D,C9,[1]《授课类型》维度的参训明细!K:K,D9,[1]《授课类型》维度的参训明细!I:I,"已签到")</f>
        <v>5</v>
      </c>
      <c r="H9" s="76">
        <f t="shared" si="0"/>
        <v>0.833333333333333</v>
      </c>
    </row>
    <row r="10" ht="16.5" hidden="1" spans="1:8">
      <c r="A10" s="12" t="s">
        <v>23</v>
      </c>
      <c r="B10" s="12" t="s">
        <v>38</v>
      </c>
      <c r="C10" s="12" t="s">
        <v>148</v>
      </c>
      <c r="D10" s="74" t="s">
        <v>25</v>
      </c>
      <c r="E10" s="75">
        <v>46051</v>
      </c>
      <c r="F10" s="12">
        <f>COUNTIFS([1]《授课类型》维度的参训明细!B:B,A10,[1]《授课类型》维度的参训明细!C:C,B10,[1]《授课类型》维度的参训明细!D:D,C10,[1]《授课类型》维度的参训明细!K:K,D10)</f>
        <v>7</v>
      </c>
      <c r="G10" s="12">
        <f>COUNTIFS([1]《授课类型》维度的参训明细!B:B,A10,[1]《授课类型》维度的参训明细!C:C,B10,[1]《授课类型》维度的参训明细!D:D,C10,[1]《授课类型》维度的参训明细!K:K,D10,[1]《授课类型》维度的参训明细!I:I,"已签到")</f>
        <v>2</v>
      </c>
      <c r="H10" s="76">
        <f t="shared" si="0"/>
        <v>0.285714285714286</v>
      </c>
    </row>
    <row r="11" ht="16.5" hidden="1" spans="1:8">
      <c r="A11" s="12" t="s">
        <v>23</v>
      </c>
      <c r="B11" s="12" t="s">
        <v>38</v>
      </c>
      <c r="C11" s="12" t="s">
        <v>144</v>
      </c>
      <c r="D11" s="74" t="s">
        <v>25</v>
      </c>
      <c r="E11" s="75">
        <v>46051</v>
      </c>
      <c r="F11" s="12">
        <f>COUNTIFS([1]《授课类型》维度的参训明细!B:B,A11,[1]《授课类型》维度的参训明细!C:C,B11,[1]《授课类型》维度的参训明细!D:D,C11,[1]《授课类型》维度的参训明细!K:K,D11)</f>
        <v>5</v>
      </c>
      <c r="G11" s="12">
        <f>COUNTIFS([1]《授课类型》维度的参训明细!B:B,A11,[1]《授课类型》维度的参训明细!C:C,B11,[1]《授课类型》维度的参训明细!D:D,C11,[1]《授课类型》维度的参训明细!K:K,D11,[1]《授课类型》维度的参训明细!I:I,"已签到")</f>
        <v>1</v>
      </c>
      <c r="H11" s="76">
        <f t="shared" si="0"/>
        <v>0.2</v>
      </c>
    </row>
    <row r="12" ht="16.5" hidden="1" spans="1:8">
      <c r="A12" s="12" t="s">
        <v>23</v>
      </c>
      <c r="B12" s="12" t="s">
        <v>31</v>
      </c>
      <c r="C12" s="12" t="s">
        <v>90</v>
      </c>
      <c r="D12" s="74" t="s">
        <v>25</v>
      </c>
      <c r="E12" s="75">
        <v>46051</v>
      </c>
      <c r="F12" s="12">
        <f>COUNTIFS([1]《授课类型》维度的参训明细!B:B,A12,[1]《授课类型》维度的参训明细!C:C,B12,[1]《授课类型》维度的参训明细!D:D,C12,[1]《授课类型》维度的参训明细!K:K,D12)</f>
        <v>1</v>
      </c>
      <c r="G12" s="12">
        <f>COUNTIFS([1]《授课类型》维度的参训明细!B:B,A12,[1]《授课类型》维度的参训明细!C:C,B12,[1]《授课类型》维度的参训明细!D:D,C12,[1]《授课类型》维度的参训明细!K:K,D12,[1]《授课类型》维度的参训明细!I:I,"已签到")</f>
        <v>1</v>
      </c>
      <c r="H12" s="76">
        <f t="shared" si="0"/>
        <v>1</v>
      </c>
    </row>
    <row r="13" ht="16.5" hidden="1" spans="1:8">
      <c r="A13" s="12" t="s">
        <v>23</v>
      </c>
      <c r="B13" s="12" t="s">
        <v>24</v>
      </c>
      <c r="C13" s="12" t="s">
        <v>101</v>
      </c>
      <c r="D13" s="74" t="s">
        <v>25</v>
      </c>
      <c r="E13" s="75">
        <v>46051</v>
      </c>
      <c r="F13" s="12">
        <f>COUNTIFS([1]《授课类型》维度的参训明细!B:B,A13,[1]《授课类型》维度的参训明细!C:C,B13,[1]《授课类型》维度的参训明细!D:D,C13,[1]《授课类型》维度的参训明细!K:K,D13)</f>
        <v>1</v>
      </c>
      <c r="G13" s="12">
        <f>COUNTIFS([1]《授课类型》维度的参训明细!B:B,A13,[1]《授课类型》维度的参训明细!C:C,B13,[1]《授课类型》维度的参训明细!D:D,C13,[1]《授课类型》维度的参训明细!K:K,D13,[1]《授课类型》维度的参训明细!I:I,"已签到")</f>
        <v>1</v>
      </c>
      <c r="H13" s="76">
        <f t="shared" si="0"/>
        <v>1</v>
      </c>
    </row>
    <row r="14" ht="16.5" hidden="1" spans="1:8">
      <c r="A14" s="12" t="s">
        <v>23</v>
      </c>
      <c r="B14" s="12" t="s">
        <v>35</v>
      </c>
      <c r="C14" s="12" t="s">
        <v>125</v>
      </c>
      <c r="D14" s="74" t="s">
        <v>25</v>
      </c>
      <c r="E14" s="75">
        <v>46051</v>
      </c>
      <c r="F14" s="12">
        <f>COUNTIFS([1]《授课类型》维度的参训明细!B:B,A14,[1]《授课类型》维度的参训明细!C:C,B14,[1]《授课类型》维度的参训明细!D:D,C14,[1]《授课类型》维度的参训明细!K:K,D14)</f>
        <v>2</v>
      </c>
      <c r="G14" s="12">
        <f>COUNTIFS([1]《授课类型》维度的参训明细!B:B,A14,[1]《授课类型》维度的参训明细!C:C,B14,[1]《授课类型》维度的参训明细!D:D,C14,[1]《授课类型》维度的参训明细!K:K,D14,[1]《授课类型》维度的参训明细!I:I,"已签到")</f>
        <v>2</v>
      </c>
      <c r="H14" s="76">
        <f t="shared" si="0"/>
        <v>1</v>
      </c>
    </row>
    <row r="15" ht="16.5" hidden="1" spans="1:8">
      <c r="A15" s="12" t="s">
        <v>23</v>
      </c>
      <c r="B15" s="12" t="s">
        <v>34</v>
      </c>
      <c r="C15" s="12" t="s">
        <v>351</v>
      </c>
      <c r="D15" s="74" t="s">
        <v>25</v>
      </c>
      <c r="E15" s="75">
        <v>46051</v>
      </c>
      <c r="F15" s="12">
        <f>COUNTIFS([1]《授课类型》维度的参训明细!B:B,A15,[1]《授课类型》维度的参训明细!C:C,B15,[1]《授课类型》维度的参训明细!D:D,C15,[1]《授课类型》维度的参训明细!K:K,D15)</f>
        <v>3</v>
      </c>
      <c r="G15" s="12">
        <f>COUNTIFS([1]《授课类型》维度的参训明细!B:B,A15,[1]《授课类型》维度的参训明细!C:C,B15,[1]《授课类型》维度的参训明细!D:D,C15,[1]《授课类型》维度的参训明细!K:K,D15,[1]《授课类型》维度的参训明细!I:I,"已签到")</f>
        <v>3</v>
      </c>
      <c r="H15" s="76">
        <f t="shared" si="0"/>
        <v>1</v>
      </c>
    </row>
    <row r="16" ht="16.5" hidden="1" spans="1:8">
      <c r="A16" s="12" t="s">
        <v>23</v>
      </c>
      <c r="B16" s="12" t="s">
        <v>31</v>
      </c>
      <c r="C16" s="12" t="s">
        <v>79</v>
      </c>
      <c r="D16" s="74" t="s">
        <v>25</v>
      </c>
      <c r="E16" s="75">
        <v>46051</v>
      </c>
      <c r="F16" s="12">
        <f>COUNTIFS([1]《授课类型》维度的参训明细!B:B,A16,[1]《授课类型》维度的参训明细!C:C,B16,[1]《授课类型》维度的参训明细!D:D,C16,[1]《授课类型》维度的参训明细!K:K,D16)</f>
        <v>2</v>
      </c>
      <c r="G16" s="12">
        <f>COUNTIFS([1]《授课类型》维度的参训明细!B:B,A16,[1]《授课类型》维度的参训明细!C:C,B16,[1]《授课类型》维度的参训明细!D:D,C16,[1]《授课类型》维度的参训明细!K:K,D16,[1]《授课类型》维度的参训明细!I:I,"已签到")</f>
        <v>2</v>
      </c>
      <c r="H16" s="76">
        <f t="shared" si="0"/>
        <v>1</v>
      </c>
    </row>
    <row r="17" ht="16.5" hidden="1" spans="1:8">
      <c r="A17" s="12" t="s">
        <v>23</v>
      </c>
      <c r="B17" s="12" t="s">
        <v>38</v>
      </c>
      <c r="C17" s="12" t="s">
        <v>63</v>
      </c>
      <c r="D17" s="74" t="s">
        <v>25</v>
      </c>
      <c r="E17" s="75">
        <v>46051</v>
      </c>
      <c r="F17" s="12">
        <f>COUNTIFS([1]《授课类型》维度的参训明细!B:B,A17,[1]《授课类型》维度的参训明细!C:C,B17,[1]《授课类型》维度的参训明细!D:D,C17,[1]《授课类型》维度的参训明细!K:K,D17)</f>
        <v>8</v>
      </c>
      <c r="G17" s="12">
        <f>COUNTIFS([1]《授课类型》维度的参训明细!B:B,A17,[1]《授课类型》维度的参训明细!C:C,B17,[1]《授课类型》维度的参训明细!D:D,C17,[1]《授课类型》维度的参训明细!K:K,D17,[1]《授课类型》维度的参训明细!I:I,"已签到")</f>
        <v>0</v>
      </c>
      <c r="H17" s="76">
        <f t="shared" si="0"/>
        <v>0</v>
      </c>
    </row>
    <row r="18" ht="16.5" hidden="1" spans="1:8">
      <c r="A18" s="12" t="s">
        <v>23</v>
      </c>
      <c r="B18" s="12" t="s">
        <v>26</v>
      </c>
      <c r="C18" s="12" t="s">
        <v>121</v>
      </c>
      <c r="D18" s="74" t="s">
        <v>25</v>
      </c>
      <c r="E18" s="75">
        <v>46051</v>
      </c>
      <c r="F18" s="12">
        <f>COUNTIFS([1]《授课类型》维度的参训明细!B:B,A18,[1]《授课类型》维度的参训明细!C:C,B18,[1]《授课类型》维度的参训明细!D:D,C18,[1]《授课类型》维度的参训明细!K:K,D18)</f>
        <v>4</v>
      </c>
      <c r="G18" s="12">
        <f>COUNTIFS([1]《授课类型》维度的参训明细!B:B,A18,[1]《授课类型》维度的参训明细!C:C,B18,[1]《授课类型》维度的参训明细!D:D,C18,[1]《授课类型》维度的参训明细!K:K,D18,[1]《授课类型》维度的参训明细!I:I,"已签到")</f>
        <v>3</v>
      </c>
      <c r="H18" s="76">
        <f t="shared" si="0"/>
        <v>0.75</v>
      </c>
    </row>
    <row r="19" ht="16.5" hidden="1" spans="1:8">
      <c r="A19" s="12" t="s">
        <v>23</v>
      </c>
      <c r="B19" s="12" t="s">
        <v>38</v>
      </c>
      <c r="C19" s="12" t="s">
        <v>168</v>
      </c>
      <c r="D19" s="74" t="s">
        <v>25</v>
      </c>
      <c r="E19" s="75">
        <v>46051</v>
      </c>
      <c r="F19" s="12">
        <f>COUNTIFS([1]《授课类型》维度的参训明细!B:B,A19,[1]《授课类型》维度的参训明细!C:C,B19,[1]《授课类型》维度的参训明细!D:D,C19,[1]《授课类型》维度的参训明细!K:K,D19)</f>
        <v>8</v>
      </c>
      <c r="G19" s="12">
        <f>COUNTIFS([1]《授课类型》维度的参训明细!B:B,A19,[1]《授课类型》维度的参训明细!C:C,B19,[1]《授课类型》维度的参训明细!D:D,C19,[1]《授课类型》维度的参训明细!K:K,D19,[1]《授课类型》维度的参训明细!I:I,"已签到")</f>
        <v>0</v>
      </c>
      <c r="H19" s="76">
        <f t="shared" si="0"/>
        <v>0</v>
      </c>
    </row>
    <row r="20" ht="16.5" hidden="1" spans="1:8">
      <c r="A20" s="12" t="s">
        <v>23</v>
      </c>
      <c r="B20" s="12" t="s">
        <v>38</v>
      </c>
      <c r="C20" s="12" t="s">
        <v>70</v>
      </c>
      <c r="D20" s="74" t="s">
        <v>28</v>
      </c>
      <c r="E20" s="75">
        <v>46043</v>
      </c>
      <c r="F20" s="12">
        <f>COUNTIFS([1]《授课类型》维度的参训明细!B:B,A20,[1]《授课类型》维度的参训明细!C:C,B20,[1]《授课类型》维度的参训明细!D:D,C20,[1]《授课类型》维度的参训明细!K:K,D20)</f>
        <v>2</v>
      </c>
      <c r="G20" s="12">
        <f>COUNTIFS([1]《授课类型》维度的参训明细!B:B,A20,[1]《授课类型》维度的参训明细!C:C,B20,[1]《授课类型》维度的参训明细!D:D,C20,[1]《授课类型》维度的参训明细!K:K,D20,[1]《授课类型》维度的参训明细!I:I,"已签到")</f>
        <v>2</v>
      </c>
      <c r="H20" s="76">
        <f t="shared" si="0"/>
        <v>1</v>
      </c>
    </row>
    <row r="21" ht="16.5" hidden="1" spans="1:8">
      <c r="A21" s="12" t="s">
        <v>23</v>
      </c>
      <c r="B21" s="12" t="s">
        <v>38</v>
      </c>
      <c r="C21" s="12" t="s">
        <v>75</v>
      </c>
      <c r="D21" s="74" t="s">
        <v>28</v>
      </c>
      <c r="E21" s="75">
        <v>46043</v>
      </c>
      <c r="F21" s="12">
        <f>COUNTIFS([1]《授课类型》维度的参训明细!B:B,A21,[1]《授课类型》维度的参训明细!C:C,B21,[1]《授课类型》维度的参训明细!D:D,C21,[1]《授课类型》维度的参训明细!K:K,D21)</f>
        <v>2</v>
      </c>
      <c r="G21" s="12">
        <f>COUNTIFS([1]《授课类型》维度的参训明细!B:B,A21,[1]《授课类型》维度的参训明细!C:C,B21,[1]《授课类型》维度的参训明细!D:D,C21,[1]《授课类型》维度的参训明细!K:K,D21,[1]《授课类型》维度的参训明细!I:I,"已签到")</f>
        <v>2</v>
      </c>
      <c r="H21" s="76">
        <f t="shared" si="0"/>
        <v>1</v>
      </c>
    </row>
    <row r="22" ht="16.5" hidden="1" spans="1:8">
      <c r="A22" s="12" t="s">
        <v>23</v>
      </c>
      <c r="B22" s="12" t="s">
        <v>38</v>
      </c>
      <c r="C22" s="12" t="s">
        <v>148</v>
      </c>
      <c r="D22" s="74" t="s">
        <v>28</v>
      </c>
      <c r="E22" s="75">
        <v>46043</v>
      </c>
      <c r="F22" s="12">
        <f>COUNTIFS([1]《授课类型》维度的参训明细!B:B,A22,[1]《授课类型》维度的参训明细!C:C,B22,[1]《授课类型》维度的参训明细!D:D,C22,[1]《授课类型》维度的参训明细!K:K,D22)</f>
        <v>1</v>
      </c>
      <c r="G22" s="12">
        <f>COUNTIFS([1]《授课类型》维度的参训明细!B:B,A22,[1]《授课类型》维度的参训明细!C:C,B22,[1]《授课类型》维度的参训明细!D:D,C22,[1]《授课类型》维度的参训明细!K:K,D22,[1]《授课类型》维度的参训明细!I:I,"已签到")</f>
        <v>1</v>
      </c>
      <c r="H22" s="76">
        <f t="shared" si="0"/>
        <v>1</v>
      </c>
    </row>
    <row r="23" ht="16.5" hidden="1" spans="1:8">
      <c r="A23" s="12" t="s">
        <v>23</v>
      </c>
      <c r="B23" s="12" t="s">
        <v>38</v>
      </c>
      <c r="C23" s="12" t="s">
        <v>220</v>
      </c>
      <c r="D23" s="74" t="s">
        <v>28</v>
      </c>
      <c r="E23" s="75">
        <v>46043</v>
      </c>
      <c r="F23" s="12">
        <f>COUNTIFS([1]《授课类型》维度的参训明细!B:B,A23,[1]《授课类型》维度的参训明细!C:C,B23,[1]《授课类型》维度的参训明细!D:D,C23,[1]《授课类型》维度的参训明细!K:K,D23)</f>
        <v>2</v>
      </c>
      <c r="G23" s="12">
        <f>COUNTIFS([1]《授课类型》维度的参训明细!B:B,A23,[1]《授课类型》维度的参训明细!C:C,B23,[1]《授课类型》维度的参训明细!D:D,C23,[1]《授课类型》维度的参训明细!K:K,D23,[1]《授课类型》维度的参训明细!I:I,"已签到")</f>
        <v>2</v>
      </c>
      <c r="H23" s="76">
        <f t="shared" si="0"/>
        <v>1</v>
      </c>
    </row>
    <row r="24" ht="16.5" hidden="1" spans="1:8">
      <c r="A24" s="12" t="s">
        <v>23</v>
      </c>
      <c r="B24" s="12" t="s">
        <v>38</v>
      </c>
      <c r="C24" s="12" t="s">
        <v>144</v>
      </c>
      <c r="D24" s="74" t="s">
        <v>28</v>
      </c>
      <c r="E24" s="75">
        <v>46043</v>
      </c>
      <c r="F24" s="12">
        <f>COUNTIFS([1]《授课类型》维度的参训明细!B:B,A24,[1]《授课类型》维度的参训明细!C:C,B24,[1]《授课类型》维度的参训明细!D:D,C24,[1]《授课类型》维度的参训明细!K:K,D24)</f>
        <v>1</v>
      </c>
      <c r="G24" s="12">
        <f>COUNTIFS([1]《授课类型》维度的参训明细!B:B,A24,[1]《授课类型》维度的参训明细!C:C,B24,[1]《授课类型》维度的参训明细!D:D,C24,[1]《授课类型》维度的参训明细!K:K,D24,[1]《授课类型》维度的参训明细!I:I,"已签到")</f>
        <v>1</v>
      </c>
      <c r="H24" s="76">
        <f t="shared" si="0"/>
        <v>1</v>
      </c>
    </row>
    <row r="25" ht="16.5" hidden="1" spans="1:8">
      <c r="A25" s="12" t="s">
        <v>23</v>
      </c>
      <c r="B25" s="12" t="s">
        <v>38</v>
      </c>
      <c r="C25" s="12" t="s">
        <v>168</v>
      </c>
      <c r="D25" s="74" t="s">
        <v>28</v>
      </c>
      <c r="E25" s="75">
        <v>46043</v>
      </c>
      <c r="F25" s="12">
        <f>COUNTIFS([1]《授课类型》维度的参训明细!B:B,A25,[1]《授课类型》维度的参训明细!C:C,B25,[1]《授课类型》维度的参训明细!D:D,C25,[1]《授课类型》维度的参训明细!K:K,D25)</f>
        <v>2</v>
      </c>
      <c r="G25" s="12">
        <f>COUNTIFS([1]《授课类型》维度的参训明细!B:B,A25,[1]《授课类型》维度的参训明细!C:C,B25,[1]《授课类型》维度的参训明细!D:D,C25,[1]《授课类型》维度的参训明细!K:K,D25,[1]《授课类型》维度的参训明细!I:I,"已签到")</f>
        <v>2</v>
      </c>
      <c r="H25" s="76">
        <f t="shared" si="0"/>
        <v>1</v>
      </c>
    </row>
    <row r="26" ht="16.5" hidden="1" spans="1:8">
      <c r="A26" s="12" t="s">
        <v>23</v>
      </c>
      <c r="B26" s="12" t="s">
        <v>38</v>
      </c>
      <c r="C26" s="12" t="s">
        <v>63</v>
      </c>
      <c r="D26" s="74" t="s">
        <v>28</v>
      </c>
      <c r="E26" s="75">
        <v>46043</v>
      </c>
      <c r="F26" s="12">
        <f>COUNTIFS([1]《授课类型》维度的参训明细!B:B,A26,[1]《授课类型》维度的参训明细!C:C,B26,[1]《授课类型》维度的参训明细!D:D,C26,[1]《授课类型》维度的参训明细!K:K,D26)</f>
        <v>1</v>
      </c>
      <c r="G26" s="12">
        <f>COUNTIFS([1]《授课类型》维度的参训明细!B:B,A26,[1]《授课类型》维度的参训明细!C:C,B26,[1]《授课类型》维度的参训明细!D:D,C26,[1]《授课类型》维度的参训明细!K:K,D26,[1]《授课类型》维度的参训明细!I:I,"已签到")</f>
        <v>1</v>
      </c>
      <c r="H26" s="76">
        <f t="shared" si="0"/>
        <v>1</v>
      </c>
    </row>
    <row r="27" ht="16.5" hidden="1" spans="1:8">
      <c r="A27" s="12" t="s">
        <v>23</v>
      </c>
      <c r="B27" s="12" t="s">
        <v>37</v>
      </c>
      <c r="C27" s="12" t="s">
        <v>109</v>
      </c>
      <c r="D27" s="74" t="s">
        <v>28</v>
      </c>
      <c r="E27" s="75">
        <v>46043</v>
      </c>
      <c r="F27" s="12">
        <f>COUNTIFS([1]《授课类型》维度的参训明细!B:B,A27,[1]《授课类型》维度的参训明细!C:C,B27,[1]《授课类型》维度的参训明细!D:D,C27,[1]《授课类型》维度的参训明细!K:K,D27)</f>
        <v>2</v>
      </c>
      <c r="G27" s="12">
        <f>COUNTIFS([1]《授课类型》维度的参训明细!B:B,A27,[1]《授课类型》维度的参训明细!C:C,B27,[1]《授课类型》维度的参训明细!D:D,C27,[1]《授课类型》维度的参训明细!K:K,D27,[1]《授课类型》维度的参训明细!I:I,"已签到")</f>
        <v>2</v>
      </c>
      <c r="H27" s="76">
        <f t="shared" si="0"/>
        <v>1</v>
      </c>
    </row>
    <row r="28" ht="16.5" hidden="1" spans="1:8">
      <c r="A28" s="12" t="s">
        <v>23</v>
      </c>
      <c r="B28" s="12" t="s">
        <v>37</v>
      </c>
      <c r="C28" s="12" t="s">
        <v>152</v>
      </c>
      <c r="D28" s="74" t="s">
        <v>28</v>
      </c>
      <c r="E28" s="75">
        <v>46043</v>
      </c>
      <c r="F28" s="12">
        <f>COUNTIFS([1]《授课类型》维度的参训明细!B:B,A28,[1]《授课类型》维度的参训明细!C:C,B28,[1]《授课类型》维度的参训明细!D:D,C28,[1]《授课类型》维度的参训明细!K:K,D28)</f>
        <v>2</v>
      </c>
      <c r="G28" s="12">
        <f>COUNTIFS([1]《授课类型》维度的参训明细!B:B,A28,[1]《授课类型》维度的参训明细!C:C,B28,[1]《授课类型》维度的参训明细!D:D,C28,[1]《授课类型》维度的参训明细!K:K,D28,[1]《授课类型》维度的参训明细!I:I,"已签到")</f>
        <v>2</v>
      </c>
      <c r="H28" s="76">
        <f t="shared" si="0"/>
        <v>1</v>
      </c>
    </row>
    <row r="29" ht="16.5" hidden="1" spans="1:8">
      <c r="A29" s="12" t="s">
        <v>23</v>
      </c>
      <c r="B29" s="12" t="s">
        <v>36</v>
      </c>
      <c r="C29" s="12" t="s">
        <v>173</v>
      </c>
      <c r="D29" s="74" t="s">
        <v>28</v>
      </c>
      <c r="E29" s="75">
        <v>46043</v>
      </c>
      <c r="F29" s="12">
        <f>COUNTIFS([1]《授课类型》维度的参训明细!B:B,A29,[1]《授课类型》维度的参训明细!C:C,B29,[1]《授课类型》维度的参训明细!D:D,C29,[1]《授课类型》维度的参训明细!K:K,D29)</f>
        <v>3</v>
      </c>
      <c r="G29" s="12">
        <f>COUNTIFS([1]《授课类型》维度的参训明细!B:B,A29,[1]《授课类型》维度的参训明细!C:C,B29,[1]《授课类型》维度的参训明细!D:D,C29,[1]《授课类型》维度的参训明细!K:K,D29,[1]《授课类型》维度的参训明细!I:I,"已签到")</f>
        <v>3</v>
      </c>
      <c r="H29" s="76">
        <f t="shared" si="0"/>
        <v>1</v>
      </c>
    </row>
    <row r="30" ht="16.5" hidden="1" spans="1:8">
      <c r="A30" s="12" t="s">
        <v>23</v>
      </c>
      <c r="B30" s="12" t="s">
        <v>35</v>
      </c>
      <c r="C30" s="12" t="s">
        <v>125</v>
      </c>
      <c r="D30" s="74" t="s">
        <v>28</v>
      </c>
      <c r="E30" s="75">
        <v>46043</v>
      </c>
      <c r="F30" s="12">
        <f>COUNTIFS([1]《授课类型》维度的参训明细!B:B,A30,[1]《授课类型》维度的参训明细!C:C,B30,[1]《授课类型》维度的参训明细!D:D,C30,[1]《授课类型》维度的参训明细!K:K,D30)</f>
        <v>3</v>
      </c>
      <c r="G30" s="12">
        <f>COUNTIFS([1]《授课类型》维度的参训明细!B:B,A30,[1]《授课类型》维度的参训明细!C:C,B30,[1]《授课类型》维度的参训明细!D:D,C30,[1]《授课类型》维度的参训明细!K:K,D30,[1]《授课类型》维度的参训明细!I:I,"已签到")</f>
        <v>3</v>
      </c>
      <c r="H30" s="76">
        <f t="shared" si="0"/>
        <v>1</v>
      </c>
    </row>
    <row r="31" ht="16.5" hidden="1" spans="1:8">
      <c r="A31" s="12" t="s">
        <v>23</v>
      </c>
      <c r="B31" s="12" t="s">
        <v>33</v>
      </c>
      <c r="C31" s="12" t="s">
        <v>537</v>
      </c>
      <c r="D31" s="74" t="s">
        <v>28</v>
      </c>
      <c r="E31" s="75">
        <v>46043</v>
      </c>
      <c r="F31" s="12">
        <f>COUNTIFS([1]《授课类型》维度的参训明细!B:B,A31,[1]《授课类型》维度的参训明细!C:C,B31,[1]《授课类型》维度的参训明细!D:D,C31,[1]《授课类型》维度的参训明细!K:K,D31)</f>
        <v>2</v>
      </c>
      <c r="G31" s="12">
        <f>COUNTIFS([1]《授课类型》维度的参训明细!B:B,A31,[1]《授课类型》维度的参训明细!C:C,B31,[1]《授课类型》维度的参训明细!D:D,C31,[1]《授课类型》维度的参训明细!K:K,D31,[1]《授课类型》维度的参训明细!I:I,"已签到")</f>
        <v>2</v>
      </c>
      <c r="H31" s="76">
        <f t="shared" si="0"/>
        <v>1</v>
      </c>
    </row>
    <row r="32" ht="16.5" hidden="1" spans="1:8">
      <c r="A32" s="12" t="s">
        <v>23</v>
      </c>
      <c r="B32" s="12" t="s">
        <v>32</v>
      </c>
      <c r="C32" s="12" t="s">
        <v>105</v>
      </c>
      <c r="D32" s="74" t="s">
        <v>28</v>
      </c>
      <c r="E32" s="75">
        <v>46043</v>
      </c>
      <c r="F32" s="12">
        <f>COUNTIFS([1]《授课类型》维度的参训明细!B:B,A32,[1]《授课类型》维度的参训明细!C:C,B32,[1]《授课类型》维度的参训明细!D:D,C32,[1]《授课类型》维度的参训明细!K:K,D32)</f>
        <v>4</v>
      </c>
      <c r="G32" s="12">
        <f>COUNTIFS([1]《授课类型》维度的参训明细!B:B,A32,[1]《授课类型》维度的参训明细!C:C,B32,[1]《授课类型》维度的参训明细!D:D,C32,[1]《授课类型》维度的参训明细!K:K,D32,[1]《授课类型》维度的参训明细!I:I,"已签到")</f>
        <v>4</v>
      </c>
      <c r="H32" s="76">
        <f t="shared" si="0"/>
        <v>1</v>
      </c>
    </row>
    <row r="33" ht="16.5" hidden="1" spans="1:8">
      <c r="A33" s="12" t="s">
        <v>23</v>
      </c>
      <c r="B33" s="12" t="s">
        <v>31</v>
      </c>
      <c r="C33" s="12" t="s">
        <v>90</v>
      </c>
      <c r="D33" s="74" t="s">
        <v>28</v>
      </c>
      <c r="E33" s="75">
        <v>46043</v>
      </c>
      <c r="F33" s="12">
        <f>COUNTIFS([1]《授课类型》维度的参训明细!B:B,A33,[1]《授课类型》维度的参训明细!C:C,B33,[1]《授课类型》维度的参训明细!D:D,C33,[1]《授课类型》维度的参训明细!K:K,D33)</f>
        <v>1</v>
      </c>
      <c r="G33" s="12">
        <f>COUNTIFS([1]《授课类型》维度的参训明细!B:B,A33,[1]《授课类型》维度的参训明细!C:C,B33,[1]《授课类型》维度的参训明细!D:D,C33,[1]《授课类型》维度的参训明细!K:K,D33,[1]《授课类型》维度的参训明细!I:I,"已签到")</f>
        <v>1</v>
      </c>
      <c r="H33" s="76">
        <f t="shared" si="0"/>
        <v>1</v>
      </c>
    </row>
    <row r="34" ht="16.5" hidden="1" spans="1:8">
      <c r="A34" s="12" t="s">
        <v>23</v>
      </c>
      <c r="B34" s="12" t="s">
        <v>31</v>
      </c>
      <c r="C34" s="12" t="s">
        <v>79</v>
      </c>
      <c r="D34" s="74" t="s">
        <v>28</v>
      </c>
      <c r="E34" s="75">
        <v>46043</v>
      </c>
      <c r="F34" s="12">
        <f>COUNTIFS([1]《授课类型》维度的参训明细!B:B,A34,[1]《授课类型》维度的参训明细!C:C,B34,[1]《授课类型》维度的参训明细!D:D,C34,[1]《授课类型》维度的参训明细!K:K,D34)</f>
        <v>2</v>
      </c>
      <c r="G34" s="12">
        <f>COUNTIFS([1]《授课类型》维度的参训明细!B:B,A34,[1]《授课类型》维度的参训明细!C:C,B34,[1]《授课类型》维度的参训明细!D:D,C34,[1]《授课类型》维度的参训明细!K:K,D34,[1]《授课类型》维度的参训明细!I:I,"已签到")</f>
        <v>2</v>
      </c>
      <c r="H34" s="76">
        <f t="shared" si="0"/>
        <v>1</v>
      </c>
    </row>
    <row r="35" ht="16.5" hidden="1" spans="1:8">
      <c r="A35" s="12" t="s">
        <v>23</v>
      </c>
      <c r="B35" s="12" t="s">
        <v>29</v>
      </c>
      <c r="C35" s="12" t="s">
        <v>130</v>
      </c>
      <c r="D35" s="74" t="s">
        <v>28</v>
      </c>
      <c r="E35" s="75">
        <v>46043</v>
      </c>
      <c r="F35" s="12">
        <f>COUNTIFS([1]《授课类型》维度的参训明细!B:B,A35,[1]《授课类型》维度的参训明细!C:C,B35,[1]《授课类型》维度的参训明细!D:D,C35,[1]《授课类型》维度的参训明细!K:K,D35)</f>
        <v>3</v>
      </c>
      <c r="G35" s="12">
        <f>COUNTIFS([1]《授课类型》维度的参训明细!B:B,A35,[1]《授课类型》维度的参训明细!C:C,B35,[1]《授课类型》维度的参训明细!D:D,C35,[1]《授课类型》维度的参训明细!K:K,D35,[1]《授课类型》维度的参训明细!I:I,"已签到")</f>
        <v>3</v>
      </c>
      <c r="H35" s="76">
        <f t="shared" si="0"/>
        <v>1</v>
      </c>
    </row>
    <row r="36" ht="16.5" hidden="1" spans="1:8">
      <c r="A36" s="12" t="s">
        <v>23</v>
      </c>
      <c r="B36" s="12" t="s">
        <v>26</v>
      </c>
      <c r="C36" s="12" t="s">
        <v>121</v>
      </c>
      <c r="D36" s="74" t="s">
        <v>28</v>
      </c>
      <c r="E36" s="75">
        <v>46043</v>
      </c>
      <c r="F36" s="12">
        <f>COUNTIFS([1]《授课类型》维度的参训明细!B:B,A36,[1]《授课类型》维度的参训明细!C:C,B36,[1]《授课类型》维度的参训明细!D:D,C36,[1]《授课类型》维度的参训明细!K:K,D36)</f>
        <v>2</v>
      </c>
      <c r="G36" s="12">
        <f>COUNTIFS([1]《授课类型》维度的参训明细!B:B,A36,[1]《授课类型》维度的参训明细!C:C,B36,[1]《授课类型》维度的参训明细!D:D,C36,[1]《授课类型》维度的参训明细!K:K,D36,[1]《授课类型》维度的参训明细!I:I,"已签到")</f>
        <v>2</v>
      </c>
      <c r="H36" s="76">
        <f t="shared" si="0"/>
        <v>1</v>
      </c>
    </row>
    <row r="37" ht="16.5" hidden="1" spans="1:8">
      <c r="A37" s="12" t="s">
        <v>23</v>
      </c>
      <c r="B37" s="12" t="s">
        <v>36</v>
      </c>
      <c r="C37" s="12" t="s">
        <v>173</v>
      </c>
      <c r="D37" s="74" t="s">
        <v>30</v>
      </c>
      <c r="E37" s="75">
        <v>46031</v>
      </c>
      <c r="F37" s="12">
        <f>COUNTIFS([1]《授课类型》维度的参训明细!B:B,A37,[1]《授课类型》维度的参训明细!C:C,B37,[1]《授课类型》维度的参训明细!D:D,C37,[1]《授课类型》维度的参训明细!K:K,D37,[1]《授课类型》维度的参训明细!J:J,E37)</f>
        <v>1</v>
      </c>
      <c r="G37" s="12">
        <f>COUNTIFS([1]《授课类型》维度的参训明细!B:B,A37,[1]《授课类型》维度的参训明细!C:C,B37,[1]《授课类型》维度的参训明细!D:D,C37,[1]《授课类型》维度的参训明细!K:K,D37,[1]《授课类型》维度的参训明细!J:J,E37,[1]《授课类型》维度的参训明细!I:I,"已签到")</f>
        <v>1</v>
      </c>
      <c r="H37" s="76">
        <f t="shared" si="0"/>
        <v>1</v>
      </c>
    </row>
    <row r="38" ht="16.5" hidden="1" spans="1:8">
      <c r="A38" s="12" t="s">
        <v>23</v>
      </c>
      <c r="B38" s="12" t="s">
        <v>38</v>
      </c>
      <c r="C38" s="12" t="s">
        <v>148</v>
      </c>
      <c r="D38" s="74" t="s">
        <v>30</v>
      </c>
      <c r="E38" s="75">
        <v>46031</v>
      </c>
      <c r="F38" s="12">
        <f>COUNTIFS([1]《授课类型》维度的参训明细!B:B,A38,[1]《授课类型》维度的参训明细!C:C,B38,[1]《授课类型》维度的参训明细!D:D,C38,[1]《授课类型》维度的参训明细!K:K,D38,[1]《授课类型》维度的参训明细!J:J,E38)</f>
        <v>3</v>
      </c>
      <c r="G38" s="12">
        <f>COUNTIFS([1]《授课类型》维度的参训明细!B:B,A38,[1]《授课类型》维度的参训明细!C:C,B38,[1]《授课类型》维度的参训明细!D:D,C38,[1]《授课类型》维度的参训明细!K:K,D38,[1]《授课类型》维度的参训明细!J:J,E38,[1]《授课类型》维度的参训明细!I:I,"已签到")</f>
        <v>3</v>
      </c>
      <c r="H38" s="76">
        <f t="shared" si="0"/>
        <v>1</v>
      </c>
    </row>
    <row r="39" ht="16.5" hidden="1" spans="1:8">
      <c r="A39" s="12" t="s">
        <v>23</v>
      </c>
      <c r="B39" s="12" t="s">
        <v>35</v>
      </c>
      <c r="C39" s="12" t="s">
        <v>125</v>
      </c>
      <c r="D39" s="74" t="s">
        <v>30</v>
      </c>
      <c r="E39" s="75">
        <v>46031</v>
      </c>
      <c r="F39" s="12">
        <f>COUNTIFS([1]《授课类型》维度的参训明细!B:B,A39,[1]《授课类型》维度的参训明细!C:C,B39,[1]《授课类型》维度的参训明细!D:D,C39,[1]《授课类型》维度的参训明细!K:K,D39,[1]《授课类型》维度的参训明细!J:J,E39)</f>
        <v>3</v>
      </c>
      <c r="G39" s="12">
        <f>COUNTIFS([1]《授课类型》维度的参训明细!B:B,A39,[1]《授课类型》维度的参训明细!C:C,B39,[1]《授课类型》维度的参训明细!D:D,C39,[1]《授课类型》维度的参训明细!K:K,D39,[1]《授课类型》维度的参训明细!J:J,E39,[1]《授课类型》维度的参训明细!I:I,"已签到")</f>
        <v>3</v>
      </c>
      <c r="H39" s="76">
        <f t="shared" si="0"/>
        <v>1</v>
      </c>
    </row>
    <row r="40" ht="16.5" hidden="1" spans="1:8">
      <c r="A40" s="12" t="s">
        <v>23</v>
      </c>
      <c r="B40" s="12" t="s">
        <v>32</v>
      </c>
      <c r="C40" s="12" t="s">
        <v>105</v>
      </c>
      <c r="D40" s="74" t="s">
        <v>30</v>
      </c>
      <c r="E40" s="75">
        <v>46031</v>
      </c>
      <c r="F40" s="12">
        <f>COUNTIFS([1]《授课类型》维度的参训明细!B:B,A40,[1]《授课类型》维度的参训明细!C:C,B40,[1]《授课类型》维度的参训明细!D:D,C40,[1]《授课类型》维度的参训明细!K:K,D40,[1]《授课类型》维度的参训明细!J:J,E40)</f>
        <v>3</v>
      </c>
      <c r="G40" s="12">
        <f>COUNTIFS([1]《授课类型》维度的参训明细!B:B,A40,[1]《授课类型》维度的参训明细!C:C,B40,[1]《授课类型》维度的参训明细!D:D,C40,[1]《授课类型》维度的参训明细!K:K,D40,[1]《授课类型》维度的参训明细!J:J,E40,[1]《授课类型》维度的参训明细!I:I,"已签到")</f>
        <v>3</v>
      </c>
      <c r="H40" s="76">
        <f t="shared" si="0"/>
        <v>1</v>
      </c>
    </row>
    <row r="41" ht="16.5" hidden="1" spans="1:8">
      <c r="A41" s="12" t="s">
        <v>23</v>
      </c>
      <c r="B41" s="12" t="s">
        <v>38</v>
      </c>
      <c r="C41" s="12" t="s">
        <v>220</v>
      </c>
      <c r="D41" s="74" t="s">
        <v>30</v>
      </c>
      <c r="E41" s="75">
        <v>46031</v>
      </c>
      <c r="F41" s="12">
        <f>COUNTIFS([1]《授课类型》维度的参训明细!B:B,A41,[1]《授课类型》维度的参训明细!C:C,B41,[1]《授课类型》维度的参训明细!D:D,C41,[1]《授课类型》维度的参训明细!K:K,D41,[1]《授课类型》维度的参训明细!J:J,E41)</f>
        <v>1</v>
      </c>
      <c r="G41" s="12">
        <f>COUNTIFS([1]《授课类型》维度的参训明细!B:B,A41,[1]《授课类型》维度的参训明细!C:C,B41,[1]《授课类型》维度的参训明细!D:D,C41,[1]《授课类型》维度的参训明细!K:K,D41,[1]《授课类型》维度的参训明细!J:J,E41,[1]《授课类型》维度的参训明细!I:I,"已签到")</f>
        <v>1</v>
      </c>
      <c r="H41" s="76">
        <f t="shared" si="0"/>
        <v>1</v>
      </c>
    </row>
    <row r="42" ht="16.5" hidden="1" spans="1:8">
      <c r="A42" s="12" t="s">
        <v>23</v>
      </c>
      <c r="B42" s="12" t="s">
        <v>38</v>
      </c>
      <c r="C42" s="12" t="s">
        <v>168</v>
      </c>
      <c r="D42" s="74" t="s">
        <v>30</v>
      </c>
      <c r="E42" s="75">
        <v>46031</v>
      </c>
      <c r="F42" s="12">
        <f>COUNTIFS([1]《授课类型》维度的参训明细!B:B,A42,[1]《授课类型》维度的参训明细!C:C,B42,[1]《授课类型》维度的参训明细!D:D,C42,[1]《授课类型》维度的参训明细!K:K,D42,[1]《授课类型》维度的参训明细!J:J,E42)</f>
        <v>1</v>
      </c>
      <c r="G42" s="12">
        <f>COUNTIFS([1]《授课类型》维度的参训明细!B:B,A42,[1]《授课类型》维度的参训明细!C:C,B42,[1]《授课类型》维度的参训明细!D:D,C42,[1]《授课类型》维度的参训明细!K:K,D42,[1]《授课类型》维度的参训明细!J:J,E42,[1]《授课类型》维度的参训明细!I:I,"已签到")</f>
        <v>1</v>
      </c>
      <c r="H42" s="76">
        <f t="shared" si="0"/>
        <v>1</v>
      </c>
    </row>
    <row r="43" ht="16.5" hidden="1" spans="1:8">
      <c r="A43" s="12" t="s">
        <v>23</v>
      </c>
      <c r="B43" s="12" t="s">
        <v>38</v>
      </c>
      <c r="C43" s="12" t="s">
        <v>63</v>
      </c>
      <c r="D43" s="74" t="s">
        <v>30</v>
      </c>
      <c r="E43" s="75">
        <v>46031</v>
      </c>
      <c r="F43" s="12">
        <f>COUNTIFS([1]《授课类型》维度的参训明细!B:B,A43,[1]《授课类型》维度的参训明细!C:C,B43,[1]《授课类型》维度的参训明细!D:D,C43,[1]《授课类型》维度的参训明细!K:K,D43,[1]《授课类型》维度的参训明细!J:J,E43)</f>
        <v>3</v>
      </c>
      <c r="G43" s="12">
        <f>COUNTIFS([1]《授课类型》维度的参训明细!B:B,A43,[1]《授课类型》维度的参训明细!C:C,B43,[1]《授课类型》维度的参训明细!D:D,C43,[1]《授课类型》维度的参训明细!K:K,D43,[1]《授课类型》维度的参训明细!J:J,E43,[1]《授课类型》维度的参训明细!I:I,"已签到")</f>
        <v>3</v>
      </c>
      <c r="H43" s="76">
        <f t="shared" si="0"/>
        <v>1</v>
      </c>
    </row>
    <row r="44" ht="16.5" hidden="1" spans="1:8">
      <c r="A44" s="12" t="s">
        <v>23</v>
      </c>
      <c r="B44" s="12" t="s">
        <v>31</v>
      </c>
      <c r="C44" s="12" t="s">
        <v>79</v>
      </c>
      <c r="D44" s="74" t="s">
        <v>30</v>
      </c>
      <c r="E44" s="75">
        <v>46031</v>
      </c>
      <c r="F44" s="12">
        <f>COUNTIFS([1]《授课类型》维度的参训明细!B:B,A44,[1]《授课类型》维度的参训明细!C:C,B44,[1]《授课类型》维度的参训明细!D:D,C44,[1]《授课类型》维度的参训明细!K:K,D44,[1]《授课类型》维度的参训明细!J:J,E44)</f>
        <v>2</v>
      </c>
      <c r="G44" s="12">
        <f>COUNTIFS([1]《授课类型》维度的参训明细!B:B,A44,[1]《授课类型》维度的参训明细!C:C,B44,[1]《授课类型》维度的参训明细!D:D,C44,[1]《授课类型》维度的参训明细!K:K,D44,[1]《授课类型》维度的参训明细!J:J,E44,[1]《授课类型》维度的参训明细!I:I,"已签到")</f>
        <v>2</v>
      </c>
      <c r="H44" s="76">
        <f t="shared" si="0"/>
        <v>1</v>
      </c>
    </row>
    <row r="45" ht="16.5" hidden="1" spans="1:8">
      <c r="A45" s="12" t="s">
        <v>23</v>
      </c>
      <c r="B45" s="12" t="s">
        <v>37</v>
      </c>
      <c r="C45" s="12" t="s">
        <v>109</v>
      </c>
      <c r="D45" s="74" t="s">
        <v>30</v>
      </c>
      <c r="E45" s="75">
        <v>46031</v>
      </c>
      <c r="F45" s="12">
        <f>COUNTIFS([1]《授课类型》维度的参训明细!B:B,A45,[1]《授课类型》维度的参训明细!C:C,B45,[1]《授课类型》维度的参训明细!D:D,C45,[1]《授课类型》维度的参训明细!K:K,D45,[1]《授课类型》维度的参训明细!J:J,E45)</f>
        <v>3</v>
      </c>
      <c r="G45" s="12">
        <f>COUNTIFS([1]《授课类型》维度的参训明细!B:B,A45,[1]《授课类型》维度的参训明细!C:C,B45,[1]《授课类型》维度的参训明细!D:D,C45,[1]《授课类型》维度的参训明细!K:K,D45,[1]《授课类型》维度的参训明细!J:J,E45,[1]《授课类型》维度的参训明细!I:I,"已签到")</f>
        <v>3</v>
      </c>
      <c r="H45" s="76">
        <f t="shared" si="0"/>
        <v>1</v>
      </c>
    </row>
    <row r="46" ht="16.5" hidden="1" spans="1:8">
      <c r="A46" s="12" t="s">
        <v>23</v>
      </c>
      <c r="B46" s="12" t="s">
        <v>35</v>
      </c>
      <c r="C46" s="12" t="s">
        <v>125</v>
      </c>
      <c r="D46" s="74" t="s">
        <v>30</v>
      </c>
      <c r="E46" s="75">
        <v>46037</v>
      </c>
      <c r="F46" s="12">
        <f>COUNTIFS([1]《授课类型》维度的参训明细!B:B,A46,[1]《授课类型》维度的参训明细!C:C,B46,[1]《授课类型》维度的参训明细!D:D,C46,[1]《授课类型》维度的参训明细!K:K,D46,[1]《授课类型》维度的参训明细!J:J,E46)</f>
        <v>3</v>
      </c>
      <c r="G46" s="12">
        <f>COUNTIFS([1]《授课类型》维度的参训明细!B:B,A46,[1]《授课类型》维度的参训明细!C:C,B46,[1]《授课类型》维度的参训明细!D:D,C46,[1]《授课类型》维度的参训明细!K:K,D46,[1]《授课类型》维度的参训明细!J:J,E46,[1]《授课类型》维度的参训明细!I:I,"已签到")</f>
        <v>3</v>
      </c>
      <c r="H46" s="76">
        <f t="shared" si="0"/>
        <v>1</v>
      </c>
    </row>
    <row r="47" ht="16.5" hidden="1" spans="1:8">
      <c r="A47" s="12" t="s">
        <v>23</v>
      </c>
      <c r="B47" s="12" t="s">
        <v>38</v>
      </c>
      <c r="C47" s="12" t="s">
        <v>168</v>
      </c>
      <c r="D47" s="74" t="s">
        <v>30</v>
      </c>
      <c r="E47" s="75">
        <v>46037</v>
      </c>
      <c r="F47" s="12">
        <f>COUNTIFS([1]《授课类型》维度的参训明细!B:B,A47,[1]《授课类型》维度的参训明细!C:C,B47,[1]《授课类型》维度的参训明细!D:D,C47,[1]《授课类型》维度的参训明细!K:K,D47,[1]《授课类型》维度的参训明细!J:J,E47)</f>
        <v>1</v>
      </c>
      <c r="G47" s="12">
        <f>COUNTIFS([1]《授课类型》维度的参训明细!B:B,A47,[1]《授课类型》维度的参训明细!C:C,B47,[1]《授课类型》维度的参训明细!D:D,C47,[1]《授课类型》维度的参训明细!K:K,D47,[1]《授课类型》维度的参训明细!J:J,E47,[1]《授课类型》维度的参训明细!I:I,"已签到")</f>
        <v>1</v>
      </c>
      <c r="H47" s="76">
        <f t="shared" si="0"/>
        <v>1</v>
      </c>
    </row>
    <row r="48" ht="16.5" hidden="1" spans="1:8">
      <c r="A48" s="12" t="s">
        <v>23</v>
      </c>
      <c r="B48" s="12" t="s">
        <v>38</v>
      </c>
      <c r="C48" s="12" t="s">
        <v>220</v>
      </c>
      <c r="D48" s="74" t="s">
        <v>30</v>
      </c>
      <c r="E48" s="75">
        <v>46037</v>
      </c>
      <c r="F48" s="12">
        <f>COUNTIFS([1]《授课类型》维度的参训明细!B:B,A48,[1]《授课类型》维度的参训明细!C:C,B48,[1]《授课类型》维度的参训明细!D:D,C48,[1]《授课类型》维度的参训明细!K:K,D48,[1]《授课类型》维度的参训明细!J:J,E48)</f>
        <v>1</v>
      </c>
      <c r="G48" s="12">
        <f>COUNTIFS([1]《授课类型》维度的参训明细!B:B,A48,[1]《授课类型》维度的参训明细!C:C,B48,[1]《授课类型》维度的参训明细!D:D,C48,[1]《授课类型》维度的参训明细!K:K,D48,[1]《授课类型》维度的参训明细!J:J,E48,[1]《授课类型》维度的参训明细!I:I,"已签到")</f>
        <v>1</v>
      </c>
      <c r="H48" s="76">
        <f t="shared" si="0"/>
        <v>1</v>
      </c>
    </row>
    <row r="49" ht="16.5" hidden="1" spans="1:8">
      <c r="A49" s="12" t="s">
        <v>23</v>
      </c>
      <c r="B49" s="12" t="s">
        <v>38</v>
      </c>
      <c r="C49" s="12" t="s">
        <v>148</v>
      </c>
      <c r="D49" s="74" t="s">
        <v>30</v>
      </c>
      <c r="E49" s="75">
        <v>46037</v>
      </c>
      <c r="F49" s="12">
        <f>COUNTIFS([1]《授课类型》维度的参训明细!B:B,A49,[1]《授课类型》维度的参训明细!C:C,B49,[1]《授课类型》维度的参训明细!D:D,C49,[1]《授课类型》维度的参训明细!K:K,D49,[1]《授课类型》维度的参训明细!J:J,E49)</f>
        <v>3</v>
      </c>
      <c r="G49" s="12">
        <f>COUNTIFS([1]《授课类型》维度的参训明细!B:B,A49,[1]《授课类型》维度的参训明细!C:C,B49,[1]《授课类型》维度的参训明细!D:D,C49,[1]《授课类型》维度的参训明细!K:K,D49,[1]《授课类型》维度的参训明细!J:J,E49,[1]《授课类型》维度的参训明细!I:I,"已签到")</f>
        <v>3</v>
      </c>
      <c r="H49" s="76">
        <f t="shared" si="0"/>
        <v>1</v>
      </c>
    </row>
    <row r="50" ht="16.5" hidden="1" spans="1:8">
      <c r="A50" s="12" t="s">
        <v>23</v>
      </c>
      <c r="B50" s="12" t="s">
        <v>32</v>
      </c>
      <c r="C50" s="12" t="s">
        <v>105</v>
      </c>
      <c r="D50" s="74" t="s">
        <v>30</v>
      </c>
      <c r="E50" s="75">
        <v>46037</v>
      </c>
      <c r="F50" s="12">
        <f>COUNTIFS([1]《授课类型》维度的参训明细!B:B,A50,[1]《授课类型》维度的参训明细!C:C,B50,[1]《授课类型》维度的参训明细!D:D,C50,[1]《授课类型》维度的参训明细!K:K,D50,[1]《授课类型》维度的参训明细!J:J,E50)</f>
        <v>3</v>
      </c>
      <c r="G50" s="12">
        <f>COUNTIFS([1]《授课类型》维度的参训明细!B:B,A50,[1]《授课类型》维度的参训明细!C:C,B50,[1]《授课类型》维度的参训明细!D:D,C50,[1]《授课类型》维度的参训明细!K:K,D50,[1]《授课类型》维度的参训明细!J:J,E50,[1]《授课类型》维度的参训明细!I:I,"已签到")</f>
        <v>3</v>
      </c>
      <c r="H50" s="76">
        <f t="shared" si="0"/>
        <v>1</v>
      </c>
    </row>
    <row r="51" ht="16.5" hidden="1" spans="1:8">
      <c r="A51" s="12" t="s">
        <v>23</v>
      </c>
      <c r="B51" s="12" t="s">
        <v>36</v>
      </c>
      <c r="C51" s="12" t="s">
        <v>173</v>
      </c>
      <c r="D51" s="74" t="s">
        <v>30</v>
      </c>
      <c r="E51" s="75">
        <v>46037</v>
      </c>
      <c r="F51" s="12">
        <f>COUNTIFS([1]《授课类型》维度的参训明细!B:B,A51,[1]《授课类型》维度的参训明细!C:C,B51,[1]《授课类型》维度的参训明细!D:D,C51,[1]《授课类型》维度的参训明细!K:K,D51,[1]《授课类型》维度的参训明细!J:J,E51)</f>
        <v>1</v>
      </c>
      <c r="G51" s="12">
        <f>COUNTIFS([1]《授课类型》维度的参训明细!B:B,A51,[1]《授课类型》维度的参训明细!C:C,B51,[1]《授课类型》维度的参训明细!D:D,C51,[1]《授课类型》维度的参训明细!K:K,D51,[1]《授课类型》维度的参训明细!J:J,E51,[1]《授课类型》维度的参训明细!I:I,"已签到")</f>
        <v>1</v>
      </c>
      <c r="H51" s="76">
        <f t="shared" si="0"/>
        <v>1</v>
      </c>
    </row>
    <row r="52" ht="16.5" hidden="1" spans="1:8">
      <c r="A52" s="12" t="s">
        <v>23</v>
      </c>
      <c r="B52" s="12" t="s">
        <v>38</v>
      </c>
      <c r="C52" s="12" t="s">
        <v>63</v>
      </c>
      <c r="D52" s="74" t="s">
        <v>30</v>
      </c>
      <c r="E52" s="75">
        <v>46037</v>
      </c>
      <c r="F52" s="12">
        <f>COUNTIFS([1]《授课类型》维度的参训明细!B:B,A52,[1]《授课类型》维度的参训明细!C:C,B52,[1]《授课类型》维度的参训明细!D:D,C52,[1]《授课类型》维度的参训明细!K:K,D52,[1]《授课类型》维度的参训明细!J:J,E52)</f>
        <v>4</v>
      </c>
      <c r="G52" s="12">
        <f>COUNTIFS([1]《授课类型》维度的参训明细!B:B,A52,[1]《授课类型》维度的参训明细!C:C,B52,[1]《授课类型》维度的参训明细!D:D,C52,[1]《授课类型》维度的参训明细!K:K,D52,[1]《授课类型》维度的参训明细!J:J,E52,[1]《授课类型》维度的参训明细!I:I,"已签到")</f>
        <v>4</v>
      </c>
      <c r="H52" s="76">
        <f t="shared" si="0"/>
        <v>1</v>
      </c>
    </row>
    <row r="53" ht="16.5" hidden="1" spans="1:8">
      <c r="A53" s="12" t="s">
        <v>23</v>
      </c>
      <c r="B53" s="12" t="s">
        <v>31</v>
      </c>
      <c r="C53" s="12" t="s">
        <v>79</v>
      </c>
      <c r="D53" s="74" t="s">
        <v>30</v>
      </c>
      <c r="E53" s="75">
        <v>46037</v>
      </c>
      <c r="F53" s="12">
        <f>COUNTIFS([1]《授课类型》维度的参训明细!B:B,A53,[1]《授课类型》维度的参训明细!C:C,B53,[1]《授课类型》维度的参训明细!D:D,C53,[1]《授课类型》维度的参训明细!K:K,D53,[1]《授课类型》维度的参训明细!J:J,E53)</f>
        <v>2</v>
      </c>
      <c r="G53" s="12">
        <f>COUNTIFS([1]《授课类型》维度的参训明细!B:B,A53,[1]《授课类型》维度的参训明细!C:C,B53,[1]《授课类型》维度的参训明细!D:D,C53,[1]《授课类型》维度的参训明细!K:K,D53,[1]《授课类型》维度的参训明细!J:J,E53,[1]《授课类型》维度的参训明细!I:I,"已签到")</f>
        <v>2</v>
      </c>
      <c r="H53" s="76">
        <f t="shared" si="0"/>
        <v>1</v>
      </c>
    </row>
    <row r="54" ht="16.5" hidden="1" spans="1:8">
      <c r="A54" s="12" t="s">
        <v>23</v>
      </c>
      <c r="B54" s="12" t="s">
        <v>37</v>
      </c>
      <c r="C54" s="12" t="s">
        <v>109</v>
      </c>
      <c r="D54" s="74" t="s">
        <v>30</v>
      </c>
      <c r="E54" s="75">
        <v>46037</v>
      </c>
      <c r="F54" s="12">
        <f>COUNTIFS([1]《授课类型》维度的参训明细!B:B,A54,[1]《授课类型》维度的参训明细!C:C,B54,[1]《授课类型》维度的参训明细!D:D,C54,[1]《授课类型》维度的参训明细!K:K,D54,[1]《授课类型》维度的参训明细!J:J,E54)</f>
        <v>3</v>
      </c>
      <c r="G54" s="12">
        <f>COUNTIFS([1]《授课类型》维度的参训明细!B:B,A54,[1]《授课类型》维度的参训明细!C:C,B54,[1]《授课类型》维度的参训明细!D:D,C54,[1]《授课类型》维度的参训明细!K:K,D54,[1]《授课类型》维度的参训明细!J:J,E54,[1]《授课类型》维度的参训明细!I:I,"已签到")</f>
        <v>3</v>
      </c>
      <c r="H54" s="76">
        <f t="shared" si="0"/>
        <v>1</v>
      </c>
    </row>
    <row r="55" ht="16.5" hidden="1" spans="1:8">
      <c r="A55" s="12" t="s">
        <v>23</v>
      </c>
      <c r="B55" s="12" t="s">
        <v>38</v>
      </c>
      <c r="C55" s="12" t="s">
        <v>148</v>
      </c>
      <c r="D55" s="74" t="s">
        <v>30</v>
      </c>
      <c r="E55" s="75">
        <v>46036</v>
      </c>
      <c r="F55" s="12">
        <f>COUNTIFS([1]《授课类型》维度的参训明细!B:B,A55,[1]《授课类型》维度的参训明细!C:C,B55,[1]《授课类型》维度的参训明细!D:D,C55,[1]《授课类型》维度的参训明细!K:K,D55,[1]《授课类型》维度的参训明细!J:J,E55)</f>
        <v>3</v>
      </c>
      <c r="G55" s="12">
        <f>COUNTIFS([1]《授课类型》维度的参训明细!B:B,A55,[1]《授课类型》维度的参训明细!C:C,B55,[1]《授课类型》维度的参训明细!D:D,C55,[1]《授课类型》维度的参训明细!K:K,D55,[1]《授课类型》维度的参训明细!J:J,E55,[1]《授课类型》维度的参训明细!I:I,"已签到")</f>
        <v>3</v>
      </c>
      <c r="H55" s="76">
        <f t="shared" si="0"/>
        <v>1</v>
      </c>
    </row>
    <row r="56" ht="16.5" hidden="1" spans="1:8">
      <c r="A56" s="12" t="s">
        <v>23</v>
      </c>
      <c r="B56" s="12" t="s">
        <v>35</v>
      </c>
      <c r="C56" s="12" t="s">
        <v>125</v>
      </c>
      <c r="D56" s="74" t="s">
        <v>30</v>
      </c>
      <c r="E56" s="75">
        <v>46036</v>
      </c>
      <c r="F56" s="12">
        <f>COUNTIFS([1]《授课类型》维度的参训明细!B:B,A56,[1]《授课类型》维度的参训明细!C:C,B56,[1]《授课类型》维度的参训明细!D:D,C56,[1]《授课类型》维度的参训明细!K:K,D56,[1]《授课类型》维度的参训明细!J:J,E56)</f>
        <v>3</v>
      </c>
      <c r="G56" s="12">
        <f>COUNTIFS([1]《授课类型》维度的参训明细!B:B,A56,[1]《授课类型》维度的参训明细!C:C,B56,[1]《授课类型》维度的参训明细!D:D,C56,[1]《授课类型》维度的参训明细!K:K,D56,[1]《授课类型》维度的参训明细!J:J,E56,[1]《授课类型》维度的参训明细!I:I,"已签到")</f>
        <v>3</v>
      </c>
      <c r="H56" s="76">
        <f t="shared" si="0"/>
        <v>1</v>
      </c>
    </row>
    <row r="57" ht="16.5" hidden="1" spans="1:8">
      <c r="A57" s="12" t="s">
        <v>23</v>
      </c>
      <c r="B57" s="12" t="s">
        <v>38</v>
      </c>
      <c r="C57" s="12" t="s">
        <v>168</v>
      </c>
      <c r="D57" s="74" t="s">
        <v>30</v>
      </c>
      <c r="E57" s="75">
        <v>46036</v>
      </c>
      <c r="F57" s="12">
        <f>COUNTIFS([1]《授课类型》维度的参训明细!B:B,A57,[1]《授课类型》维度的参训明细!C:C,B57,[1]《授课类型》维度的参训明细!D:D,C57,[1]《授课类型》维度的参训明细!K:K,D57,[1]《授课类型》维度的参训明细!J:J,E57)</f>
        <v>1</v>
      </c>
      <c r="G57" s="12">
        <f>COUNTIFS([1]《授课类型》维度的参训明细!B:B,A57,[1]《授课类型》维度的参训明细!C:C,B57,[1]《授课类型》维度的参训明细!D:D,C57,[1]《授课类型》维度的参训明细!K:K,D57,[1]《授课类型》维度的参训明细!J:J,E57,[1]《授课类型》维度的参训明细!I:I,"已签到")</f>
        <v>1</v>
      </c>
      <c r="H57" s="76">
        <f t="shared" si="0"/>
        <v>1</v>
      </c>
    </row>
    <row r="58" ht="16.5" hidden="1" spans="1:8">
      <c r="A58" s="12" t="s">
        <v>23</v>
      </c>
      <c r="B58" s="12" t="s">
        <v>38</v>
      </c>
      <c r="C58" s="12" t="s">
        <v>220</v>
      </c>
      <c r="D58" s="74" t="s">
        <v>30</v>
      </c>
      <c r="E58" s="75">
        <v>46036</v>
      </c>
      <c r="F58" s="12">
        <f>COUNTIFS([1]《授课类型》维度的参训明细!B:B,A58,[1]《授课类型》维度的参训明细!C:C,B58,[1]《授课类型》维度的参训明细!D:D,C58,[1]《授课类型》维度的参训明细!K:K,D58,[1]《授课类型》维度的参训明细!J:J,E58)</f>
        <v>1</v>
      </c>
      <c r="G58" s="12">
        <f>COUNTIFS([1]《授课类型》维度的参训明细!B:B,A58,[1]《授课类型》维度的参训明细!C:C,B58,[1]《授课类型》维度的参训明细!D:D,C58,[1]《授课类型》维度的参训明细!K:K,D58,[1]《授课类型》维度的参训明细!J:J,E58,[1]《授课类型》维度的参训明细!I:I,"已签到")</f>
        <v>1</v>
      </c>
      <c r="H58" s="76">
        <f t="shared" si="0"/>
        <v>1</v>
      </c>
    </row>
    <row r="59" ht="16.5" hidden="1" spans="1:8">
      <c r="A59" s="12" t="s">
        <v>23</v>
      </c>
      <c r="B59" s="12" t="s">
        <v>32</v>
      </c>
      <c r="C59" s="12" t="s">
        <v>105</v>
      </c>
      <c r="D59" s="74" t="s">
        <v>30</v>
      </c>
      <c r="E59" s="75">
        <v>46036</v>
      </c>
      <c r="F59" s="12">
        <f>COUNTIFS([1]《授课类型》维度的参训明细!B:B,A59,[1]《授课类型》维度的参训明细!C:C,B59,[1]《授课类型》维度的参训明细!D:D,C59,[1]《授课类型》维度的参训明细!K:K,D59,[1]《授课类型》维度的参训明细!J:J,E59)</f>
        <v>3</v>
      </c>
      <c r="G59" s="12">
        <f>COUNTIFS([1]《授课类型》维度的参训明细!B:B,A59,[1]《授课类型》维度的参训明细!C:C,B59,[1]《授课类型》维度的参训明细!D:D,C59,[1]《授课类型》维度的参训明细!K:K,D59,[1]《授课类型》维度的参训明细!J:J,E59,[1]《授课类型》维度的参训明细!I:I,"已签到")</f>
        <v>3</v>
      </c>
      <c r="H59" s="76">
        <f t="shared" si="0"/>
        <v>1</v>
      </c>
    </row>
    <row r="60" ht="16.5" hidden="1" spans="1:8">
      <c r="A60" s="12" t="s">
        <v>23</v>
      </c>
      <c r="B60" s="12" t="s">
        <v>36</v>
      </c>
      <c r="C60" s="12" t="s">
        <v>173</v>
      </c>
      <c r="D60" s="74" t="s">
        <v>30</v>
      </c>
      <c r="E60" s="75">
        <v>46036</v>
      </c>
      <c r="F60" s="12">
        <f>COUNTIFS([1]《授课类型》维度的参训明细!B:B,A60,[1]《授课类型》维度的参训明细!C:C,B60,[1]《授课类型》维度的参训明细!D:D,C60,[1]《授课类型》维度的参训明细!K:K,D60,[1]《授课类型》维度的参训明细!J:J,E60)</f>
        <v>1</v>
      </c>
      <c r="G60" s="12">
        <f>COUNTIFS([1]《授课类型》维度的参训明细!B:B,A60,[1]《授课类型》维度的参训明细!C:C,B60,[1]《授课类型》维度的参训明细!D:D,C60,[1]《授课类型》维度的参训明细!K:K,D60,[1]《授课类型》维度的参训明细!J:J,E60,[1]《授课类型》维度的参训明细!I:I,"已签到")</f>
        <v>1</v>
      </c>
      <c r="H60" s="76">
        <f t="shared" si="0"/>
        <v>1</v>
      </c>
    </row>
    <row r="61" ht="16.5" hidden="1" spans="1:8">
      <c r="A61" s="12" t="s">
        <v>23</v>
      </c>
      <c r="B61" s="12" t="s">
        <v>38</v>
      </c>
      <c r="C61" s="12" t="s">
        <v>63</v>
      </c>
      <c r="D61" s="74" t="s">
        <v>30</v>
      </c>
      <c r="E61" s="75">
        <v>46036</v>
      </c>
      <c r="F61" s="12">
        <f>COUNTIFS([1]《授课类型》维度的参训明细!B:B,A61,[1]《授课类型》维度的参训明细!C:C,B61,[1]《授课类型》维度的参训明细!D:D,C61,[1]《授课类型》维度的参训明细!K:K,D61,[1]《授课类型》维度的参训明细!J:J,E61)</f>
        <v>4</v>
      </c>
      <c r="G61" s="12">
        <f>COUNTIFS([1]《授课类型》维度的参训明细!B:B,A61,[1]《授课类型》维度的参训明细!C:C,B61,[1]《授课类型》维度的参训明细!D:D,C61,[1]《授课类型》维度的参训明细!K:K,D61,[1]《授课类型》维度的参训明细!J:J,E61,[1]《授课类型》维度的参训明细!I:I,"已签到")</f>
        <v>4</v>
      </c>
      <c r="H61" s="76">
        <f t="shared" si="0"/>
        <v>1</v>
      </c>
    </row>
    <row r="62" ht="16.5" hidden="1" spans="1:8">
      <c r="A62" s="12" t="s">
        <v>23</v>
      </c>
      <c r="B62" s="12" t="s">
        <v>31</v>
      </c>
      <c r="C62" s="12" t="s">
        <v>79</v>
      </c>
      <c r="D62" s="74" t="s">
        <v>30</v>
      </c>
      <c r="E62" s="75">
        <v>46036</v>
      </c>
      <c r="F62" s="12">
        <f>COUNTIFS([1]《授课类型》维度的参训明细!B:B,A62,[1]《授课类型》维度的参训明细!C:C,B62,[1]《授课类型》维度的参训明细!D:D,C62,[1]《授课类型》维度的参训明细!K:K,D62,[1]《授课类型》维度的参训明细!J:J,E62)</f>
        <v>2</v>
      </c>
      <c r="G62" s="12">
        <f>COUNTIFS([1]《授课类型》维度的参训明细!B:B,A62,[1]《授课类型》维度的参训明细!C:C,B62,[1]《授课类型》维度的参训明细!D:D,C62,[1]《授课类型》维度的参训明细!K:K,D62,[1]《授课类型》维度的参训明细!J:J,E62,[1]《授课类型》维度的参训明细!I:I,"已签到")</f>
        <v>2</v>
      </c>
      <c r="H62" s="76">
        <f t="shared" si="0"/>
        <v>1</v>
      </c>
    </row>
    <row r="63" ht="16.5" hidden="1" spans="1:8">
      <c r="A63" s="12" t="s">
        <v>23</v>
      </c>
      <c r="B63" s="12" t="s">
        <v>37</v>
      </c>
      <c r="C63" s="12" t="s">
        <v>109</v>
      </c>
      <c r="D63" s="74" t="s">
        <v>30</v>
      </c>
      <c r="E63" s="75">
        <v>46036</v>
      </c>
      <c r="F63" s="12">
        <f>COUNTIFS([1]《授课类型》维度的参训明细!B:B,A63,[1]《授课类型》维度的参训明细!C:C,B63,[1]《授课类型》维度的参训明细!D:D,C63,[1]《授课类型》维度的参训明细!K:K,D63,[1]《授课类型》维度的参训明细!J:J,E63)</f>
        <v>3</v>
      </c>
      <c r="G63" s="12">
        <f>COUNTIFS([1]《授课类型》维度的参训明细!B:B,A63,[1]《授课类型》维度的参训明细!C:C,B63,[1]《授课类型》维度的参训明细!D:D,C63,[1]《授课类型》维度的参训明细!K:K,D63,[1]《授课类型》维度的参训明细!J:J,E63,[1]《授课类型》维度的参训明细!I:I,"已签到")</f>
        <v>3</v>
      </c>
      <c r="H63" s="76">
        <f t="shared" si="0"/>
        <v>1</v>
      </c>
    </row>
    <row r="64" ht="16.5" hidden="1" spans="1:8">
      <c r="A64" s="12" t="s">
        <v>23</v>
      </c>
      <c r="B64" s="12" t="s">
        <v>38</v>
      </c>
      <c r="C64" s="12" t="s">
        <v>70</v>
      </c>
      <c r="D64" s="74" t="s">
        <v>30</v>
      </c>
      <c r="E64" s="75">
        <v>46050</v>
      </c>
      <c r="F64" s="12">
        <f>COUNTIFS([1]《授课类型》维度的参训明细!B:B,A64,[1]《授课类型》维度的参训明细!C:C,B64,[1]《授课类型》维度的参训明细!D:D,C64,[1]《授课类型》维度的参训明细!K:K,D64,[1]《授课类型》维度的参训明细!J:J,E64)</f>
        <v>1</v>
      </c>
      <c r="G64" s="12">
        <f>COUNTIFS([1]《授课类型》维度的参训明细!B:B,A64,[1]《授课类型》维度的参训明细!C:C,B64,[1]《授课类型》维度的参训明细!D:D,C64,[1]《授课类型》维度的参训明细!K:K,D64,[1]《授课类型》维度的参训明细!J:J,E64,[1]《授课类型》维度的参训明细!I:I,"已签到")</f>
        <v>1</v>
      </c>
      <c r="H64" s="76">
        <f t="shared" si="0"/>
        <v>1</v>
      </c>
    </row>
    <row r="65" ht="16.5" hidden="1" spans="1:8">
      <c r="A65" s="12" t="s">
        <v>23</v>
      </c>
      <c r="B65" s="12" t="s">
        <v>35</v>
      </c>
      <c r="C65" s="12" t="s">
        <v>125</v>
      </c>
      <c r="D65" s="74" t="s">
        <v>30</v>
      </c>
      <c r="E65" s="75">
        <v>46050</v>
      </c>
      <c r="F65" s="12">
        <f>COUNTIFS([1]《授课类型》维度的参训明细!B:B,A65,[1]《授课类型》维度的参训明细!C:C,B65,[1]《授课类型》维度的参训明细!D:D,C65,[1]《授课类型》维度的参训明细!K:K,D65,[1]《授课类型》维度的参训明细!J:J,E65)</f>
        <v>3</v>
      </c>
      <c r="G65" s="12">
        <f>COUNTIFS([1]《授课类型》维度的参训明细!B:B,A65,[1]《授课类型》维度的参训明细!C:C,B65,[1]《授课类型》维度的参训明细!D:D,C65,[1]《授课类型》维度的参训明细!K:K,D65,[1]《授课类型》维度的参训明细!J:J,E65,[1]《授课类型》维度的参训明细!I:I,"已签到")</f>
        <v>3</v>
      </c>
      <c r="H65" s="76">
        <f t="shared" si="0"/>
        <v>1</v>
      </c>
    </row>
    <row r="66" ht="16.5" hidden="1" spans="1:8">
      <c r="A66" s="12" t="s">
        <v>23</v>
      </c>
      <c r="B66" s="12" t="s">
        <v>38</v>
      </c>
      <c r="C66" s="12" t="s">
        <v>168</v>
      </c>
      <c r="D66" s="74" t="s">
        <v>30</v>
      </c>
      <c r="E66" s="75">
        <v>46050</v>
      </c>
      <c r="F66" s="12">
        <f>COUNTIFS([1]《授课类型》维度的参训明细!B:B,A66,[1]《授课类型》维度的参训明细!C:C,B66,[1]《授课类型》维度的参训明细!D:D,C66,[1]《授课类型》维度的参训明细!K:K,D66,[1]《授课类型》维度的参训明细!J:J,E66)</f>
        <v>1</v>
      </c>
      <c r="G66" s="12">
        <f>COUNTIFS([1]《授课类型》维度的参训明细!B:B,A66,[1]《授课类型》维度的参训明细!C:C,B66,[1]《授课类型》维度的参训明细!D:D,C66,[1]《授课类型》维度的参训明细!K:K,D66,[1]《授课类型》维度的参训明细!J:J,E66,[1]《授课类型》维度的参训明细!I:I,"已签到")</f>
        <v>1</v>
      </c>
      <c r="H66" s="76">
        <f t="shared" si="0"/>
        <v>1</v>
      </c>
    </row>
    <row r="67" ht="16.5" hidden="1" spans="1:8">
      <c r="A67" s="12" t="s">
        <v>23</v>
      </c>
      <c r="B67" s="12" t="s">
        <v>38</v>
      </c>
      <c r="C67" s="12" t="s">
        <v>220</v>
      </c>
      <c r="D67" s="74" t="s">
        <v>30</v>
      </c>
      <c r="E67" s="75">
        <v>46050</v>
      </c>
      <c r="F67" s="12">
        <f>COUNTIFS([1]《授课类型》维度的参训明细!B:B,A67,[1]《授课类型》维度的参训明细!C:C,B67,[1]《授课类型》维度的参训明细!D:D,C67,[1]《授课类型》维度的参训明细!K:K,D67,[1]《授课类型》维度的参训明细!J:J,E67)</f>
        <v>1</v>
      </c>
      <c r="G67" s="12">
        <f>COUNTIFS([1]《授课类型》维度的参训明细!B:B,A67,[1]《授课类型》维度的参训明细!C:C,B67,[1]《授课类型》维度的参训明细!D:D,C67,[1]《授课类型》维度的参训明细!K:K,D67,[1]《授课类型》维度的参训明细!J:J,E67,[1]《授课类型》维度的参训明细!I:I,"已签到")</f>
        <v>1</v>
      </c>
      <c r="H67" s="76">
        <f t="shared" ref="H67:H125" si="1">G67/F67</f>
        <v>1</v>
      </c>
    </row>
    <row r="68" ht="16.5" hidden="1" spans="1:8">
      <c r="A68" s="12" t="s">
        <v>23</v>
      </c>
      <c r="B68" s="12" t="s">
        <v>38</v>
      </c>
      <c r="C68" s="12" t="s">
        <v>148</v>
      </c>
      <c r="D68" s="74" t="s">
        <v>30</v>
      </c>
      <c r="E68" s="75">
        <v>46050</v>
      </c>
      <c r="F68" s="12">
        <f>COUNTIFS([1]《授课类型》维度的参训明细!B:B,A68,[1]《授课类型》维度的参训明细!C:C,B68,[1]《授课类型》维度的参训明细!D:D,C68,[1]《授课类型》维度的参训明细!K:K,D68,[1]《授课类型》维度的参训明细!J:J,E68)</f>
        <v>2</v>
      </c>
      <c r="G68" s="12">
        <f>COUNTIFS([1]《授课类型》维度的参训明细!B:B,A68,[1]《授课类型》维度的参训明细!C:C,B68,[1]《授课类型》维度的参训明细!D:D,C68,[1]《授课类型》维度的参训明细!K:K,D68,[1]《授课类型》维度的参训明细!J:J,E68,[1]《授课类型》维度的参训明细!I:I,"已签到")</f>
        <v>2</v>
      </c>
      <c r="H68" s="76">
        <f t="shared" si="1"/>
        <v>1</v>
      </c>
    </row>
    <row r="69" ht="16.5" hidden="1" spans="1:8">
      <c r="A69" s="12" t="s">
        <v>23</v>
      </c>
      <c r="B69" s="12" t="s">
        <v>32</v>
      </c>
      <c r="C69" s="12" t="s">
        <v>105</v>
      </c>
      <c r="D69" s="74" t="s">
        <v>30</v>
      </c>
      <c r="E69" s="75">
        <v>46050</v>
      </c>
      <c r="F69" s="12">
        <f>COUNTIFS([1]《授课类型》维度的参训明细!B:B,A69,[1]《授课类型》维度的参训明细!C:C,B69,[1]《授课类型》维度的参训明细!D:D,C69,[1]《授课类型》维度的参训明细!K:K,D69,[1]《授课类型》维度的参训明细!J:J,E69)</f>
        <v>3</v>
      </c>
      <c r="G69" s="12">
        <f>COUNTIFS([1]《授课类型》维度的参训明细!B:B,A69,[1]《授课类型》维度的参训明细!C:C,B69,[1]《授课类型》维度的参训明细!D:D,C69,[1]《授课类型》维度的参训明细!K:K,D69,[1]《授课类型》维度的参训明细!J:J,E69,[1]《授课类型》维度的参训明细!I:I,"已签到")</f>
        <v>3</v>
      </c>
      <c r="H69" s="76">
        <f t="shared" si="1"/>
        <v>1</v>
      </c>
    </row>
    <row r="70" ht="16.5" hidden="1" spans="1:8">
      <c r="A70" s="12" t="s">
        <v>23</v>
      </c>
      <c r="B70" s="12" t="s">
        <v>36</v>
      </c>
      <c r="C70" s="12" t="s">
        <v>173</v>
      </c>
      <c r="D70" s="74" t="s">
        <v>30</v>
      </c>
      <c r="E70" s="75">
        <v>46050</v>
      </c>
      <c r="F70" s="12">
        <f>COUNTIFS([1]《授课类型》维度的参训明细!B:B,A70,[1]《授课类型》维度的参训明细!C:C,B70,[1]《授课类型》维度的参训明细!D:D,C70,[1]《授课类型》维度的参训明细!K:K,D70,[1]《授课类型》维度的参训明细!J:J,E70)</f>
        <v>1</v>
      </c>
      <c r="G70" s="12">
        <f>COUNTIFS([1]《授课类型》维度的参训明细!B:B,A70,[1]《授课类型》维度的参训明细!C:C,B70,[1]《授课类型》维度的参训明细!D:D,C70,[1]《授课类型》维度的参训明细!K:K,D70,[1]《授课类型》维度的参训明细!J:J,E70,[1]《授课类型》维度的参训明细!I:I,"已签到")</f>
        <v>1</v>
      </c>
      <c r="H70" s="76">
        <f t="shared" si="1"/>
        <v>1</v>
      </c>
    </row>
    <row r="71" ht="16.5" hidden="1" spans="1:8">
      <c r="A71" s="12" t="s">
        <v>23</v>
      </c>
      <c r="B71" s="12" t="s">
        <v>38</v>
      </c>
      <c r="C71" s="12" t="s">
        <v>63</v>
      </c>
      <c r="D71" s="74" t="s">
        <v>30</v>
      </c>
      <c r="E71" s="75">
        <v>46050</v>
      </c>
      <c r="F71" s="12">
        <f>COUNTIFS([1]《授课类型》维度的参训明细!B:B,A71,[1]《授课类型》维度的参训明细!C:C,B71,[1]《授课类型》维度的参训明细!D:D,C71,[1]《授课类型》维度的参训明细!K:K,D71,[1]《授课类型》维度的参训明细!J:J,E71)</f>
        <v>3</v>
      </c>
      <c r="G71" s="12">
        <f>COUNTIFS([1]《授课类型》维度的参训明细!B:B,A71,[1]《授课类型》维度的参训明细!C:C,B71,[1]《授课类型》维度的参训明细!D:D,C71,[1]《授课类型》维度的参训明细!K:K,D71,[1]《授课类型》维度的参训明细!J:J,E71,[1]《授课类型》维度的参训明细!I:I,"已签到")</f>
        <v>3</v>
      </c>
      <c r="H71" s="76">
        <f t="shared" si="1"/>
        <v>1</v>
      </c>
    </row>
    <row r="72" ht="16.5" hidden="1" spans="1:8">
      <c r="A72" s="12" t="s">
        <v>23</v>
      </c>
      <c r="B72" s="12" t="s">
        <v>31</v>
      </c>
      <c r="C72" s="12" t="s">
        <v>79</v>
      </c>
      <c r="D72" s="74" t="s">
        <v>30</v>
      </c>
      <c r="E72" s="75">
        <v>46050</v>
      </c>
      <c r="F72" s="12">
        <f>COUNTIFS([1]《授课类型》维度的参训明细!B:B,A72,[1]《授课类型》维度的参训明细!C:C,B72,[1]《授课类型》维度的参训明细!D:D,C72,[1]《授课类型》维度的参训明细!K:K,D72,[1]《授课类型》维度的参训明细!J:J,E72)</f>
        <v>2</v>
      </c>
      <c r="G72" s="12">
        <f>COUNTIFS([1]《授课类型》维度的参训明细!B:B,A72,[1]《授课类型》维度的参训明细!C:C,B72,[1]《授课类型》维度的参训明细!D:D,C72,[1]《授课类型》维度的参训明细!K:K,D72,[1]《授课类型》维度的参训明细!J:J,E72,[1]《授课类型》维度的参训明细!I:I,"已签到")</f>
        <v>2</v>
      </c>
      <c r="H72" s="76">
        <f t="shared" si="1"/>
        <v>1</v>
      </c>
    </row>
    <row r="73" ht="16.5" hidden="1" spans="1:8">
      <c r="A73" s="12" t="s">
        <v>23</v>
      </c>
      <c r="B73" s="12" t="s">
        <v>29</v>
      </c>
      <c r="C73" s="12" t="s">
        <v>130</v>
      </c>
      <c r="D73" s="74" t="s">
        <v>30</v>
      </c>
      <c r="E73" s="75">
        <v>46050</v>
      </c>
      <c r="F73" s="12">
        <f>COUNTIFS([1]《授课类型》维度的参训明细!B:B,A73,[1]《授课类型》维度的参训明细!C:C,B73,[1]《授课类型》维度的参训明细!D:D,C73,[1]《授课类型》维度的参训明细!K:K,D73,[1]《授课类型》维度的参训明细!J:J,E73)</f>
        <v>1</v>
      </c>
      <c r="G73" s="12">
        <f>COUNTIFS([1]《授课类型》维度的参训明细!B:B,A73,[1]《授课类型》维度的参训明细!C:C,B73,[1]《授课类型》维度的参训明细!D:D,C73,[1]《授课类型》维度的参训明细!K:K,D73,[1]《授课类型》维度的参训明细!J:J,E73,[1]《授课类型》维度的参训明细!I:I,"已签到")</f>
        <v>1</v>
      </c>
      <c r="H73" s="76">
        <f t="shared" si="1"/>
        <v>1</v>
      </c>
    </row>
    <row r="74" ht="16.5" hidden="1" spans="1:8">
      <c r="A74" s="12" t="s">
        <v>23</v>
      </c>
      <c r="B74" s="12" t="s">
        <v>37</v>
      </c>
      <c r="C74" s="12" t="s">
        <v>152</v>
      </c>
      <c r="D74" s="74" t="s">
        <v>30</v>
      </c>
      <c r="E74" s="75">
        <v>46050</v>
      </c>
      <c r="F74" s="12">
        <f>COUNTIFS([1]《授课类型》维度的参训明细!B:B,A74,[1]《授课类型》维度的参训明细!C:C,B74,[1]《授课类型》维度的参训明细!D:D,C74,[1]《授课类型》维度的参训明细!K:K,D74,[1]《授课类型》维度的参训明细!J:J,E74)</f>
        <v>2</v>
      </c>
      <c r="G74" s="12">
        <f>COUNTIFS([1]《授课类型》维度的参训明细!B:B,A74,[1]《授课类型》维度的参训明细!C:C,B74,[1]《授课类型》维度的参训明细!D:D,C74,[1]《授课类型》维度的参训明细!K:K,D74,[1]《授课类型》维度的参训明细!J:J,E74,[1]《授课类型》维度的参训明细!I:I,"已签到")</f>
        <v>2</v>
      </c>
      <c r="H74" s="76">
        <f t="shared" si="1"/>
        <v>1</v>
      </c>
    </row>
    <row r="75" ht="16.5" hidden="1" spans="1:8">
      <c r="A75" s="12" t="s">
        <v>23</v>
      </c>
      <c r="B75" s="12" t="s">
        <v>37</v>
      </c>
      <c r="C75" s="12" t="s">
        <v>109</v>
      </c>
      <c r="D75" s="74" t="s">
        <v>30</v>
      </c>
      <c r="E75" s="75">
        <v>46050</v>
      </c>
      <c r="F75" s="12">
        <f>COUNTIFS([1]《授课类型》维度的参训明细!B:B,A75,[1]《授课类型》维度的参训明细!C:C,B75,[1]《授课类型》维度的参训明细!D:D,C75,[1]《授课类型》维度的参训明细!K:K,D75,[1]《授课类型》维度的参训明细!J:J,E75)</f>
        <v>1</v>
      </c>
      <c r="G75" s="12">
        <f>COUNTIFS([1]《授课类型》维度的参训明细!B:B,A75,[1]《授课类型》维度的参训明细!C:C,B75,[1]《授课类型》维度的参训明细!D:D,C75,[1]《授课类型》维度的参训明细!K:K,D75,[1]《授课类型》维度的参训明细!J:J,E75,[1]《授课类型》维度的参训明细!I:I,"已签到")</f>
        <v>1</v>
      </c>
      <c r="H75" s="76">
        <f t="shared" si="1"/>
        <v>1</v>
      </c>
    </row>
    <row r="76" ht="16.5" hidden="1" spans="1:8">
      <c r="A76" s="12" t="s">
        <v>23</v>
      </c>
      <c r="B76" s="12" t="s">
        <v>35</v>
      </c>
      <c r="C76" s="12" t="s">
        <v>125</v>
      </c>
      <c r="D76" s="74" t="s">
        <v>30</v>
      </c>
      <c r="E76" s="75">
        <v>46049</v>
      </c>
      <c r="F76" s="12">
        <f>COUNTIFS([1]《授课类型》维度的参训明细!B:B,A76,[1]《授课类型》维度的参训明细!C:C,B76,[1]《授课类型》维度的参训明细!D:D,C76,[1]《授课类型》维度的参训明细!K:K,D76,[1]《授课类型》维度的参训明细!J:J,E76)</f>
        <v>3</v>
      </c>
      <c r="G76" s="12">
        <f>COUNTIFS([1]《授课类型》维度的参训明细!B:B,A76,[1]《授课类型》维度的参训明细!C:C,B76,[1]《授课类型》维度的参训明细!D:D,C76,[1]《授课类型》维度的参训明细!K:K,D76,[1]《授课类型》维度的参训明细!J:J,E76,[1]《授课类型》维度的参训明细!I:I,"已签到")</f>
        <v>3</v>
      </c>
      <c r="H76" s="76">
        <f t="shared" si="1"/>
        <v>1</v>
      </c>
    </row>
    <row r="77" ht="16.5" hidden="1" spans="1:8">
      <c r="A77" s="12" t="s">
        <v>23</v>
      </c>
      <c r="B77" s="12" t="s">
        <v>38</v>
      </c>
      <c r="C77" s="12" t="s">
        <v>168</v>
      </c>
      <c r="D77" s="74" t="s">
        <v>30</v>
      </c>
      <c r="E77" s="75">
        <v>46049</v>
      </c>
      <c r="F77" s="12">
        <f>COUNTIFS([1]《授课类型》维度的参训明细!B:B,A77,[1]《授课类型》维度的参训明细!C:C,B77,[1]《授课类型》维度的参训明细!D:D,C77,[1]《授课类型》维度的参训明细!K:K,D77,[1]《授课类型》维度的参训明细!J:J,E77)</f>
        <v>1</v>
      </c>
      <c r="G77" s="12">
        <f>COUNTIFS([1]《授课类型》维度的参训明细!B:B,A77,[1]《授课类型》维度的参训明细!C:C,B77,[1]《授课类型》维度的参训明细!D:D,C77,[1]《授课类型》维度的参训明细!K:K,D77,[1]《授课类型》维度的参训明细!J:J,E77,[1]《授课类型》维度的参训明细!I:I,"已签到")</f>
        <v>1</v>
      </c>
      <c r="H77" s="76">
        <f t="shared" si="1"/>
        <v>1</v>
      </c>
    </row>
    <row r="78" ht="16.5" hidden="1" spans="1:8">
      <c r="A78" s="12" t="s">
        <v>23</v>
      </c>
      <c r="B78" s="12" t="s">
        <v>38</v>
      </c>
      <c r="C78" s="12" t="s">
        <v>220</v>
      </c>
      <c r="D78" s="74" t="s">
        <v>30</v>
      </c>
      <c r="E78" s="75">
        <v>46049</v>
      </c>
      <c r="F78" s="12">
        <f>COUNTIFS([1]《授课类型》维度的参训明细!B:B,A78,[1]《授课类型》维度的参训明细!C:C,B78,[1]《授课类型》维度的参训明细!D:D,C78,[1]《授课类型》维度的参训明细!K:K,D78,[1]《授课类型》维度的参训明细!J:J,E78)</f>
        <v>1</v>
      </c>
      <c r="G78" s="12">
        <f>COUNTIFS([1]《授课类型》维度的参训明细!B:B,A78,[1]《授课类型》维度的参训明细!C:C,B78,[1]《授课类型》维度的参训明细!D:D,C78,[1]《授课类型》维度的参训明细!K:K,D78,[1]《授课类型》维度的参训明细!J:J,E78,[1]《授课类型》维度的参训明细!I:I,"已签到")</f>
        <v>1</v>
      </c>
      <c r="H78" s="76">
        <f t="shared" si="1"/>
        <v>1</v>
      </c>
    </row>
    <row r="79" ht="16.5" hidden="1" spans="1:8">
      <c r="A79" s="12" t="s">
        <v>23</v>
      </c>
      <c r="B79" s="12" t="s">
        <v>38</v>
      </c>
      <c r="C79" s="12" t="s">
        <v>148</v>
      </c>
      <c r="D79" s="74" t="s">
        <v>30</v>
      </c>
      <c r="E79" s="75">
        <v>46049</v>
      </c>
      <c r="F79" s="12">
        <f>COUNTIFS([1]《授课类型》维度的参训明细!B:B,A79,[1]《授课类型》维度的参训明细!C:C,B79,[1]《授课类型》维度的参训明细!D:D,C79,[1]《授课类型》维度的参训明细!K:K,D79,[1]《授课类型》维度的参训明细!J:J,E79)</f>
        <v>2</v>
      </c>
      <c r="G79" s="12">
        <f>COUNTIFS([1]《授课类型》维度的参训明细!B:B,A79,[1]《授课类型》维度的参训明细!C:C,B79,[1]《授课类型》维度的参训明细!D:D,C79,[1]《授课类型》维度的参训明细!K:K,D79,[1]《授课类型》维度的参训明细!J:J,E79,[1]《授课类型》维度的参训明细!I:I,"已签到")</f>
        <v>2</v>
      </c>
      <c r="H79" s="76">
        <f t="shared" si="1"/>
        <v>1</v>
      </c>
    </row>
    <row r="80" ht="16.5" hidden="1" spans="1:8">
      <c r="A80" s="12" t="s">
        <v>23</v>
      </c>
      <c r="B80" s="12" t="s">
        <v>32</v>
      </c>
      <c r="C80" s="12" t="s">
        <v>105</v>
      </c>
      <c r="D80" s="74" t="s">
        <v>30</v>
      </c>
      <c r="E80" s="75">
        <v>46049</v>
      </c>
      <c r="F80" s="12">
        <f>COUNTIFS([1]《授课类型》维度的参训明细!B:B,A80,[1]《授课类型》维度的参训明细!C:C,B80,[1]《授课类型》维度的参训明细!D:D,C80,[1]《授课类型》维度的参训明细!K:K,D80,[1]《授课类型》维度的参训明细!J:J,E80)</f>
        <v>3</v>
      </c>
      <c r="G80" s="12">
        <f>COUNTIFS([1]《授课类型》维度的参训明细!B:B,A80,[1]《授课类型》维度的参训明细!C:C,B80,[1]《授课类型》维度的参训明细!D:D,C80,[1]《授课类型》维度的参训明细!K:K,D80,[1]《授课类型》维度的参训明细!J:J,E80,[1]《授课类型》维度的参训明细!I:I,"已签到")</f>
        <v>3</v>
      </c>
      <c r="H80" s="76">
        <f t="shared" si="1"/>
        <v>1</v>
      </c>
    </row>
    <row r="81" ht="16.5" hidden="1" spans="1:8">
      <c r="A81" s="12" t="s">
        <v>23</v>
      </c>
      <c r="B81" s="12" t="s">
        <v>36</v>
      </c>
      <c r="C81" s="12" t="s">
        <v>173</v>
      </c>
      <c r="D81" s="74" t="s">
        <v>30</v>
      </c>
      <c r="E81" s="75">
        <v>46049</v>
      </c>
      <c r="F81" s="12">
        <f>COUNTIFS([1]《授课类型》维度的参训明细!B:B,A81,[1]《授课类型》维度的参训明细!C:C,B81,[1]《授课类型》维度的参训明细!D:D,C81,[1]《授课类型》维度的参训明细!K:K,D81,[1]《授课类型》维度的参训明细!J:J,E81)</f>
        <v>1</v>
      </c>
      <c r="G81" s="12">
        <f>COUNTIFS([1]《授课类型》维度的参训明细!B:B,A81,[1]《授课类型》维度的参训明细!C:C,B81,[1]《授课类型》维度的参训明细!D:D,C81,[1]《授课类型》维度的参训明细!K:K,D81,[1]《授课类型》维度的参训明细!J:J,E81,[1]《授课类型》维度的参训明细!I:I,"已签到")</f>
        <v>1</v>
      </c>
      <c r="H81" s="76">
        <f t="shared" si="1"/>
        <v>1</v>
      </c>
    </row>
    <row r="82" ht="16.5" hidden="1" spans="1:8">
      <c r="A82" s="12" t="s">
        <v>23</v>
      </c>
      <c r="B82" s="12" t="s">
        <v>38</v>
      </c>
      <c r="C82" s="12" t="s">
        <v>63</v>
      </c>
      <c r="D82" s="74" t="s">
        <v>30</v>
      </c>
      <c r="E82" s="75">
        <v>46049</v>
      </c>
      <c r="F82" s="12">
        <f>COUNTIFS([1]《授课类型》维度的参训明细!B:B,A82,[1]《授课类型》维度的参训明细!C:C,B82,[1]《授课类型》维度的参训明细!D:D,C82,[1]《授课类型》维度的参训明细!K:K,D82,[1]《授课类型》维度的参训明细!J:J,E82)</f>
        <v>3</v>
      </c>
      <c r="G82" s="12">
        <f>COUNTIFS([1]《授课类型》维度的参训明细!B:B,A82,[1]《授课类型》维度的参训明细!C:C,B82,[1]《授课类型》维度的参训明细!D:D,C82,[1]《授课类型》维度的参训明细!K:K,D82,[1]《授课类型》维度的参训明细!J:J,E82,[1]《授课类型》维度的参训明细!I:I,"已签到")</f>
        <v>3</v>
      </c>
      <c r="H82" s="76">
        <f t="shared" si="1"/>
        <v>1</v>
      </c>
    </row>
    <row r="83" ht="16.5" hidden="1" spans="1:8">
      <c r="A83" s="12" t="s">
        <v>23</v>
      </c>
      <c r="B83" s="12" t="s">
        <v>31</v>
      </c>
      <c r="C83" s="12" t="s">
        <v>79</v>
      </c>
      <c r="D83" s="74" t="s">
        <v>30</v>
      </c>
      <c r="E83" s="75">
        <v>46049</v>
      </c>
      <c r="F83" s="12">
        <f>COUNTIFS([1]《授课类型》维度的参训明细!B:B,A83,[1]《授课类型》维度的参训明细!C:C,B83,[1]《授课类型》维度的参训明细!D:D,C83,[1]《授课类型》维度的参训明细!K:K,D83,[1]《授课类型》维度的参训明细!J:J,E83)</f>
        <v>2</v>
      </c>
      <c r="G83" s="12">
        <f>COUNTIFS([1]《授课类型》维度的参训明细!B:B,A83,[1]《授课类型》维度的参训明细!C:C,B83,[1]《授课类型》维度的参训明细!D:D,C83,[1]《授课类型》维度的参训明细!K:K,D83,[1]《授课类型》维度的参训明细!J:J,E83,[1]《授课类型》维度的参训明细!I:I,"已签到")</f>
        <v>2</v>
      </c>
      <c r="H83" s="76">
        <f t="shared" si="1"/>
        <v>1</v>
      </c>
    </row>
    <row r="84" ht="16.5" hidden="1" spans="1:8">
      <c r="A84" s="12" t="s">
        <v>23</v>
      </c>
      <c r="B84" s="12" t="s">
        <v>29</v>
      </c>
      <c r="C84" s="12" t="s">
        <v>130</v>
      </c>
      <c r="D84" s="74" t="s">
        <v>30</v>
      </c>
      <c r="E84" s="75">
        <v>46049</v>
      </c>
      <c r="F84" s="12">
        <f>COUNTIFS([1]《授课类型》维度的参训明细!B:B,A84,[1]《授课类型》维度的参训明细!C:C,B84,[1]《授课类型》维度的参训明细!D:D,C84,[1]《授课类型》维度的参训明细!K:K,D84,[1]《授课类型》维度的参训明细!J:J,E84)</f>
        <v>1</v>
      </c>
      <c r="G84" s="12">
        <f>COUNTIFS([1]《授课类型》维度的参训明细!B:B,A84,[1]《授课类型》维度的参训明细!C:C,B84,[1]《授课类型》维度的参训明细!D:D,C84,[1]《授课类型》维度的参训明细!K:K,D84,[1]《授课类型》维度的参训明细!J:J,E84,[1]《授课类型》维度的参训明细!I:I,"已签到")</f>
        <v>1</v>
      </c>
      <c r="H84" s="76">
        <f t="shared" si="1"/>
        <v>1</v>
      </c>
    </row>
    <row r="85" ht="16.5" hidden="1" spans="1:8">
      <c r="A85" s="12" t="s">
        <v>23</v>
      </c>
      <c r="B85" s="12" t="s">
        <v>37</v>
      </c>
      <c r="C85" s="12" t="s">
        <v>152</v>
      </c>
      <c r="D85" s="74" t="s">
        <v>30</v>
      </c>
      <c r="E85" s="75">
        <v>46049</v>
      </c>
      <c r="F85" s="12">
        <f>COUNTIFS([1]《授课类型》维度的参训明细!B:B,A85,[1]《授课类型》维度的参训明细!C:C,B85,[1]《授课类型》维度的参训明细!D:D,C85,[1]《授课类型》维度的参训明细!K:K,D85,[1]《授课类型》维度的参训明细!J:J,E85)</f>
        <v>2</v>
      </c>
      <c r="G85" s="12">
        <f>COUNTIFS([1]《授课类型》维度的参训明细!B:B,A85,[1]《授课类型》维度的参训明细!C:C,B85,[1]《授课类型》维度的参训明细!D:D,C85,[1]《授课类型》维度的参训明细!K:K,D85,[1]《授课类型》维度的参训明细!J:J,E85,[1]《授课类型》维度的参训明细!I:I,"已签到")</f>
        <v>2</v>
      </c>
      <c r="H85" s="76">
        <f t="shared" si="1"/>
        <v>1</v>
      </c>
    </row>
    <row r="86" ht="16.5" hidden="1" spans="1:8">
      <c r="A86" s="12" t="s">
        <v>23</v>
      </c>
      <c r="B86" s="12" t="s">
        <v>37</v>
      </c>
      <c r="C86" s="12" t="s">
        <v>109</v>
      </c>
      <c r="D86" s="74" t="s">
        <v>30</v>
      </c>
      <c r="E86" s="75">
        <v>46049</v>
      </c>
      <c r="F86" s="12">
        <f>COUNTIFS([1]《授课类型》维度的参训明细!B:B,A86,[1]《授课类型》维度的参训明细!C:C,B86,[1]《授课类型》维度的参训明细!D:D,C86,[1]《授课类型》维度的参训明细!K:K,D86,[1]《授课类型》维度的参训明细!J:J,E86)</f>
        <v>1</v>
      </c>
      <c r="G86" s="12">
        <f>COUNTIFS([1]《授课类型》维度的参训明细!B:B,A86,[1]《授课类型》维度的参训明细!C:C,B86,[1]《授课类型》维度的参训明细!D:D,C86,[1]《授课类型》维度的参训明细!K:K,D86,[1]《授课类型》维度的参训明细!J:J,E86,[1]《授课类型》维度的参训明细!I:I,"已签到")</f>
        <v>1</v>
      </c>
      <c r="H86" s="76">
        <f t="shared" si="1"/>
        <v>1</v>
      </c>
    </row>
    <row r="87" ht="16.5" hidden="1" spans="1:8">
      <c r="A87" s="12" t="s">
        <v>23</v>
      </c>
      <c r="B87" s="12" t="s">
        <v>38</v>
      </c>
      <c r="C87" s="12" t="s">
        <v>70</v>
      </c>
      <c r="D87" s="74" t="s">
        <v>30</v>
      </c>
      <c r="E87" s="75">
        <v>46049</v>
      </c>
      <c r="F87" s="12">
        <f>COUNTIFS([1]《授课类型》维度的参训明细!B:B,A87,[1]《授课类型》维度的参训明细!C:C,B87,[1]《授课类型》维度的参训明细!D:D,C87,[1]《授课类型》维度的参训明细!K:K,D87,[1]《授课类型》维度的参训明细!J:J,E87)</f>
        <v>1</v>
      </c>
      <c r="G87" s="12">
        <f>COUNTIFS([1]《授课类型》维度的参训明细!B:B,A87,[1]《授课类型》维度的参训明细!C:C,B87,[1]《授课类型》维度的参训明细!D:D,C87,[1]《授课类型》维度的参训明细!K:K,D87,[1]《授课类型》维度的参训明细!J:J,E87,[1]《授课类型》维度的参训明细!I:I,"已签到")</f>
        <v>1</v>
      </c>
      <c r="H87" s="76">
        <f t="shared" si="1"/>
        <v>1</v>
      </c>
    </row>
    <row r="88" ht="16.5" hidden="1" spans="1:8">
      <c r="A88" s="12" t="s">
        <v>23</v>
      </c>
      <c r="B88" s="12" t="s">
        <v>38</v>
      </c>
      <c r="C88" s="12" t="s">
        <v>70</v>
      </c>
      <c r="D88" s="74" t="s">
        <v>30</v>
      </c>
      <c r="E88" s="75">
        <v>46044</v>
      </c>
      <c r="F88" s="12">
        <f>COUNTIFS([1]《授课类型》维度的参训明细!B:B,A88,[1]《授课类型》维度的参训明细!C:C,B88,[1]《授课类型》维度的参训明细!D:D,C88,[1]《授课类型》维度的参训明细!K:K,D88,[1]《授课类型》维度的参训明细!J:J,E88)</f>
        <v>1</v>
      </c>
      <c r="G88" s="12">
        <f>COUNTIFS([1]《授课类型》维度的参训明细!B:B,A88,[1]《授课类型》维度的参训明细!C:C,B88,[1]《授课类型》维度的参训明细!D:D,C88,[1]《授课类型》维度的参训明细!K:K,D88,[1]《授课类型》维度的参训明细!J:J,E88,[1]《授课类型》维度的参训明细!I:I,"已签到")</f>
        <v>1</v>
      </c>
      <c r="H88" s="76">
        <f t="shared" si="1"/>
        <v>1</v>
      </c>
    </row>
    <row r="89" ht="16.5" hidden="1" spans="1:8">
      <c r="A89" s="12" t="s">
        <v>23</v>
      </c>
      <c r="B89" s="12" t="s">
        <v>35</v>
      </c>
      <c r="C89" s="12" t="s">
        <v>125</v>
      </c>
      <c r="D89" s="74" t="s">
        <v>30</v>
      </c>
      <c r="E89" s="75">
        <v>46044</v>
      </c>
      <c r="F89" s="12">
        <f>COUNTIFS([1]《授课类型》维度的参训明细!B:B,A89,[1]《授课类型》维度的参训明细!C:C,B89,[1]《授课类型》维度的参训明细!D:D,C89,[1]《授课类型》维度的参训明细!K:K,D89,[1]《授课类型》维度的参训明细!J:J,E89)</f>
        <v>3</v>
      </c>
      <c r="G89" s="12">
        <f>COUNTIFS([1]《授课类型》维度的参训明细!B:B,A89,[1]《授课类型》维度的参训明细!C:C,B89,[1]《授课类型》维度的参训明细!D:D,C89,[1]《授课类型》维度的参训明细!K:K,D89,[1]《授课类型》维度的参训明细!J:J,E89,[1]《授课类型》维度的参训明细!I:I,"已签到")</f>
        <v>3</v>
      </c>
      <c r="H89" s="76">
        <f t="shared" si="1"/>
        <v>1</v>
      </c>
    </row>
    <row r="90" ht="16.5" hidden="1" spans="1:8">
      <c r="A90" s="12" t="s">
        <v>23</v>
      </c>
      <c r="B90" s="12" t="s">
        <v>38</v>
      </c>
      <c r="C90" s="12" t="s">
        <v>168</v>
      </c>
      <c r="D90" s="74" t="s">
        <v>30</v>
      </c>
      <c r="E90" s="75">
        <v>46044</v>
      </c>
      <c r="F90" s="12">
        <f>COUNTIFS([1]《授课类型》维度的参训明细!B:B,A90,[1]《授课类型》维度的参训明细!C:C,B90,[1]《授课类型》维度的参训明细!D:D,C90,[1]《授课类型》维度的参训明细!K:K,D90,[1]《授课类型》维度的参训明细!J:J,E90)</f>
        <v>1</v>
      </c>
      <c r="G90" s="12">
        <f>COUNTIFS([1]《授课类型》维度的参训明细!B:B,A90,[1]《授课类型》维度的参训明细!C:C,B90,[1]《授课类型》维度的参训明细!D:D,C90,[1]《授课类型》维度的参训明细!K:K,D90,[1]《授课类型》维度的参训明细!J:J,E90,[1]《授课类型》维度的参训明细!I:I,"已签到")</f>
        <v>1</v>
      </c>
      <c r="H90" s="76">
        <f t="shared" si="1"/>
        <v>1</v>
      </c>
    </row>
    <row r="91" ht="16.5" hidden="1" spans="1:8">
      <c r="A91" s="12" t="s">
        <v>23</v>
      </c>
      <c r="B91" s="12" t="s">
        <v>38</v>
      </c>
      <c r="C91" s="12" t="s">
        <v>220</v>
      </c>
      <c r="D91" s="74" t="s">
        <v>30</v>
      </c>
      <c r="E91" s="75">
        <v>46044</v>
      </c>
      <c r="F91" s="12">
        <f>COUNTIFS([1]《授课类型》维度的参训明细!B:B,A91,[1]《授课类型》维度的参训明细!C:C,B91,[1]《授课类型》维度的参训明细!D:D,C91,[1]《授课类型》维度的参训明细!K:K,D91,[1]《授课类型》维度的参训明细!J:J,E91)</f>
        <v>1</v>
      </c>
      <c r="G91" s="12">
        <f>COUNTIFS([1]《授课类型》维度的参训明细!B:B,A91,[1]《授课类型》维度的参训明细!C:C,B91,[1]《授课类型》维度的参训明细!D:D,C91,[1]《授课类型》维度的参训明细!K:K,D91,[1]《授课类型》维度的参训明细!J:J,E91,[1]《授课类型》维度的参训明细!I:I,"已签到")</f>
        <v>1</v>
      </c>
      <c r="H91" s="76">
        <f t="shared" si="1"/>
        <v>1</v>
      </c>
    </row>
    <row r="92" ht="16.5" hidden="1" spans="1:8">
      <c r="A92" s="12" t="s">
        <v>23</v>
      </c>
      <c r="B92" s="12" t="s">
        <v>38</v>
      </c>
      <c r="C92" s="12" t="s">
        <v>148</v>
      </c>
      <c r="D92" s="74" t="s">
        <v>30</v>
      </c>
      <c r="E92" s="75">
        <v>46044</v>
      </c>
      <c r="F92" s="12">
        <f>COUNTIFS([1]《授课类型》维度的参训明细!B:B,A92,[1]《授课类型》维度的参训明细!C:C,B92,[1]《授课类型》维度的参训明细!D:D,C92,[1]《授课类型》维度的参训明细!K:K,D92,[1]《授课类型》维度的参训明细!J:J,E92)</f>
        <v>2</v>
      </c>
      <c r="G92" s="12">
        <f>COUNTIFS([1]《授课类型》维度的参训明细!B:B,A92,[1]《授课类型》维度的参训明细!C:C,B92,[1]《授课类型》维度的参训明细!D:D,C92,[1]《授课类型》维度的参训明细!K:K,D92,[1]《授课类型》维度的参训明细!J:J,E92,[1]《授课类型》维度的参训明细!I:I,"已签到")</f>
        <v>2</v>
      </c>
      <c r="H92" s="76">
        <f t="shared" si="1"/>
        <v>1</v>
      </c>
    </row>
    <row r="93" ht="16.5" hidden="1" spans="1:8">
      <c r="A93" s="12" t="s">
        <v>23</v>
      </c>
      <c r="B93" s="12" t="s">
        <v>32</v>
      </c>
      <c r="C93" s="12" t="s">
        <v>105</v>
      </c>
      <c r="D93" s="74" t="s">
        <v>30</v>
      </c>
      <c r="E93" s="75">
        <v>46044</v>
      </c>
      <c r="F93" s="12">
        <f>COUNTIFS([1]《授课类型》维度的参训明细!B:B,A93,[1]《授课类型》维度的参训明细!C:C,B93,[1]《授课类型》维度的参训明细!D:D,C93,[1]《授课类型》维度的参训明细!K:K,D93,[1]《授课类型》维度的参训明细!J:J,E93)</f>
        <v>3</v>
      </c>
      <c r="G93" s="12">
        <f>COUNTIFS([1]《授课类型》维度的参训明细!B:B,A93,[1]《授课类型》维度的参训明细!C:C,B93,[1]《授课类型》维度的参训明细!D:D,C93,[1]《授课类型》维度的参训明细!K:K,D93,[1]《授课类型》维度的参训明细!J:J,E93,[1]《授课类型》维度的参训明细!I:I,"已签到")</f>
        <v>3</v>
      </c>
      <c r="H93" s="76">
        <f t="shared" si="1"/>
        <v>1</v>
      </c>
    </row>
    <row r="94" ht="16.5" hidden="1" spans="1:8">
      <c r="A94" s="12" t="s">
        <v>23</v>
      </c>
      <c r="B94" s="12" t="s">
        <v>36</v>
      </c>
      <c r="C94" s="12" t="s">
        <v>173</v>
      </c>
      <c r="D94" s="74" t="s">
        <v>30</v>
      </c>
      <c r="E94" s="75">
        <v>46044</v>
      </c>
      <c r="F94" s="12">
        <f>COUNTIFS([1]《授课类型》维度的参训明细!B:B,A94,[1]《授课类型》维度的参训明细!C:C,B94,[1]《授课类型》维度的参训明细!D:D,C94,[1]《授课类型》维度的参训明细!K:K,D94,[1]《授课类型》维度的参训明细!J:J,E94)</f>
        <v>1</v>
      </c>
      <c r="G94" s="12">
        <f>COUNTIFS([1]《授课类型》维度的参训明细!B:B,A94,[1]《授课类型》维度的参训明细!C:C,B94,[1]《授课类型》维度的参训明细!D:D,C94,[1]《授课类型》维度的参训明细!K:K,D94,[1]《授课类型》维度的参训明细!J:J,E94,[1]《授课类型》维度的参训明细!I:I,"已签到")</f>
        <v>1</v>
      </c>
      <c r="H94" s="76">
        <f t="shared" si="1"/>
        <v>1</v>
      </c>
    </row>
    <row r="95" ht="16.5" hidden="1" spans="1:8">
      <c r="A95" s="12" t="s">
        <v>23</v>
      </c>
      <c r="B95" s="12" t="s">
        <v>38</v>
      </c>
      <c r="C95" s="12" t="s">
        <v>63</v>
      </c>
      <c r="D95" s="74" t="s">
        <v>30</v>
      </c>
      <c r="E95" s="75">
        <v>46044</v>
      </c>
      <c r="F95" s="12">
        <f>COUNTIFS([1]《授课类型》维度的参训明细!B:B,A95,[1]《授课类型》维度的参训明细!C:C,B95,[1]《授课类型》维度的参训明细!D:D,C95,[1]《授课类型》维度的参训明细!K:K,D95,[1]《授课类型》维度的参训明细!J:J,E95)</f>
        <v>3</v>
      </c>
      <c r="G95" s="12">
        <f>COUNTIFS([1]《授课类型》维度的参训明细!B:B,A95,[1]《授课类型》维度的参训明细!C:C,B95,[1]《授课类型》维度的参训明细!D:D,C95,[1]《授课类型》维度的参训明细!K:K,D95,[1]《授课类型》维度的参训明细!J:J,E95,[1]《授课类型》维度的参训明细!I:I,"已签到")</f>
        <v>3</v>
      </c>
      <c r="H95" s="76">
        <f t="shared" si="1"/>
        <v>1</v>
      </c>
    </row>
    <row r="96" ht="16.5" hidden="1" spans="1:8">
      <c r="A96" s="12" t="s">
        <v>23</v>
      </c>
      <c r="B96" s="12" t="s">
        <v>31</v>
      </c>
      <c r="C96" s="12" t="s">
        <v>79</v>
      </c>
      <c r="D96" s="74" t="s">
        <v>30</v>
      </c>
      <c r="E96" s="75">
        <v>46044</v>
      </c>
      <c r="F96" s="12">
        <f>COUNTIFS([1]《授课类型》维度的参训明细!B:B,A96,[1]《授课类型》维度的参训明细!C:C,B96,[1]《授课类型》维度的参训明细!D:D,C96,[1]《授课类型》维度的参训明细!K:K,D96,[1]《授课类型》维度的参训明细!J:J,E96)</f>
        <v>2</v>
      </c>
      <c r="G96" s="12">
        <f>COUNTIFS([1]《授课类型》维度的参训明细!B:B,A96,[1]《授课类型》维度的参训明细!C:C,B96,[1]《授课类型》维度的参训明细!D:D,C96,[1]《授课类型》维度的参训明细!K:K,D96,[1]《授课类型》维度的参训明细!J:J,E96,[1]《授课类型》维度的参训明细!I:I,"已签到")</f>
        <v>2</v>
      </c>
      <c r="H96" s="76">
        <f t="shared" si="1"/>
        <v>1</v>
      </c>
    </row>
    <row r="97" ht="16.5" hidden="1" spans="1:8">
      <c r="A97" s="12" t="s">
        <v>23</v>
      </c>
      <c r="B97" s="12" t="s">
        <v>29</v>
      </c>
      <c r="C97" s="12" t="s">
        <v>130</v>
      </c>
      <c r="D97" s="74" t="s">
        <v>30</v>
      </c>
      <c r="E97" s="75">
        <v>46044</v>
      </c>
      <c r="F97" s="12">
        <f>COUNTIFS([1]《授课类型》维度的参训明细!B:B,A97,[1]《授课类型》维度的参训明细!C:C,B97,[1]《授课类型》维度的参训明细!D:D,C97,[1]《授课类型》维度的参训明细!K:K,D97,[1]《授课类型》维度的参训明细!J:J,E97)</f>
        <v>1</v>
      </c>
      <c r="G97" s="12">
        <f>COUNTIFS([1]《授课类型》维度的参训明细!B:B,A97,[1]《授课类型》维度的参训明细!C:C,B97,[1]《授课类型》维度的参训明细!D:D,C97,[1]《授课类型》维度的参训明细!K:K,D97,[1]《授课类型》维度的参训明细!J:J,E97,[1]《授课类型》维度的参训明细!I:I,"已签到")</f>
        <v>1</v>
      </c>
      <c r="H97" s="76">
        <f t="shared" si="1"/>
        <v>1</v>
      </c>
    </row>
    <row r="98" ht="16.5" hidden="1" spans="1:8">
      <c r="A98" s="12" t="s">
        <v>23</v>
      </c>
      <c r="B98" s="12" t="s">
        <v>37</v>
      </c>
      <c r="C98" s="12" t="s">
        <v>152</v>
      </c>
      <c r="D98" s="74" t="s">
        <v>30</v>
      </c>
      <c r="E98" s="75">
        <v>46044</v>
      </c>
      <c r="F98" s="12">
        <f>COUNTIFS([1]《授课类型》维度的参训明细!B:B,A98,[1]《授课类型》维度的参训明细!C:C,B98,[1]《授课类型》维度的参训明细!D:D,C98,[1]《授课类型》维度的参训明细!K:K,D98,[1]《授课类型》维度的参训明细!J:J,E98)</f>
        <v>2</v>
      </c>
      <c r="G98" s="12">
        <f>COUNTIFS([1]《授课类型》维度的参训明细!B:B,A98,[1]《授课类型》维度的参训明细!C:C,B98,[1]《授课类型》维度的参训明细!D:D,C98,[1]《授课类型》维度的参训明细!K:K,D98,[1]《授课类型》维度的参训明细!J:J,E98,[1]《授课类型》维度的参训明细!I:I,"已签到")</f>
        <v>2</v>
      </c>
      <c r="H98" s="76">
        <f t="shared" si="1"/>
        <v>1</v>
      </c>
    </row>
    <row r="99" ht="16.5" hidden="1" spans="1:8">
      <c r="A99" s="12" t="s">
        <v>23</v>
      </c>
      <c r="B99" s="12" t="s">
        <v>37</v>
      </c>
      <c r="C99" s="12" t="s">
        <v>109</v>
      </c>
      <c r="D99" s="74" t="s">
        <v>30</v>
      </c>
      <c r="E99" s="75">
        <v>46044</v>
      </c>
      <c r="F99" s="12">
        <f>COUNTIFS([1]《授课类型》维度的参训明细!B:B,A99,[1]《授课类型》维度的参训明细!C:C,B99,[1]《授课类型》维度的参训明细!D:D,C99,[1]《授课类型》维度的参训明细!K:K,D99,[1]《授课类型》维度的参训明细!J:J,E99)</f>
        <v>1</v>
      </c>
      <c r="G99" s="12">
        <f>COUNTIFS([1]《授课类型》维度的参训明细!B:B,A99,[1]《授课类型》维度的参训明细!C:C,B99,[1]《授课类型》维度的参训明细!D:D,C99,[1]《授课类型》维度的参训明细!K:K,D99,[1]《授课类型》维度的参训明细!J:J,E99,[1]《授课类型》维度的参训明细!I:I,"已签到")</f>
        <v>1</v>
      </c>
      <c r="H99" s="76">
        <f t="shared" si="1"/>
        <v>1</v>
      </c>
    </row>
    <row r="100" ht="16.5" hidden="1" spans="1:8">
      <c r="A100" s="46" t="s">
        <v>23</v>
      </c>
      <c r="B100" s="46" t="s">
        <v>38</v>
      </c>
      <c r="C100" s="46" t="s">
        <v>220</v>
      </c>
      <c r="D100" s="7" t="s">
        <v>27</v>
      </c>
      <c r="E100" s="75">
        <v>46035</v>
      </c>
      <c r="F100" s="46">
        <f>COUNTIFS([1]《授课类型》维度的参训明细!B:B,A100,[1]《授课类型》维度的参训明细!C:C,B100,[1]《授课类型》维度的参训明细!D:D,C100,[1]《授课类型》维度的参训明细!K:K,D100,[1]《授课类型》维度的参训明细!J:J,E100)</f>
        <v>7</v>
      </c>
      <c r="G100" s="46">
        <f>COUNTIFS([1]《授课类型》维度的参训明细!B:B,A100,[1]《授课类型》维度的参训明细!C:C,B100,[1]《授课类型》维度的参训明细!D:D,C100,[1]《授课类型》维度的参训明细!K:K,D100,[1]《授课类型》维度的参训明细!J:J,E100,[1]《授课类型》维度的参训明细!I:I,"已签到")</f>
        <v>3</v>
      </c>
      <c r="H100" s="77">
        <f t="shared" si="1"/>
        <v>0.428571428571429</v>
      </c>
    </row>
    <row r="101" ht="16.5" hidden="1" spans="1:8">
      <c r="A101" s="46" t="s">
        <v>23</v>
      </c>
      <c r="B101" s="46" t="s">
        <v>38</v>
      </c>
      <c r="C101" s="46" t="s">
        <v>70</v>
      </c>
      <c r="D101" s="7" t="s">
        <v>27</v>
      </c>
      <c r="E101" s="75">
        <v>46035</v>
      </c>
      <c r="F101" s="46">
        <f>COUNTIFS([1]《授课类型》维度的参训明细!B:B,A101,[1]《授课类型》维度的参训明细!C:C,B101,[1]《授课类型》维度的参训明细!D:D,C101,[1]《授课类型》维度的参训明细!K:K,D101,[1]《授课类型》维度的参训明细!J:J,E101)</f>
        <v>10</v>
      </c>
      <c r="G101" s="46">
        <f>COUNTIFS([1]《授课类型》维度的参训明细!B:B,A101,[1]《授课类型》维度的参训明细!C:C,B101,[1]《授课类型》维度的参训明细!D:D,C101,[1]《授课类型》维度的参训明细!K:K,D101,[1]《授课类型》维度的参训明细!J:J,E101,[1]《授课类型》维度的参训明细!I:I,"已签到")</f>
        <v>4</v>
      </c>
      <c r="H101" s="77">
        <f t="shared" si="1"/>
        <v>0.4</v>
      </c>
    </row>
    <row r="102" ht="16.5" hidden="1" spans="1:8">
      <c r="A102" s="12" t="s">
        <v>23</v>
      </c>
      <c r="B102" s="12" t="s">
        <v>37</v>
      </c>
      <c r="C102" s="12" t="s">
        <v>109</v>
      </c>
      <c r="D102" s="74" t="s">
        <v>27</v>
      </c>
      <c r="E102" s="75">
        <v>46035</v>
      </c>
      <c r="F102" s="12">
        <f>COUNTIFS([1]《授课类型》维度的参训明细!B:B,A102,[1]《授课类型》维度的参训明细!C:C,B102,[1]《授课类型》维度的参训明细!D:D,C102,[1]《授课类型》维度的参训明细!K:K,D102,[1]《授课类型》维度的参训明细!J:J,E102)</f>
        <v>3</v>
      </c>
      <c r="G102" s="12">
        <f>COUNTIFS([1]《授课类型》维度的参训明细!B:B,A102,[1]《授课类型》维度的参训明细!C:C,B102,[1]《授课类型》维度的参训明细!D:D,C102,[1]《授课类型》维度的参训明细!K:K,D102,[1]《授课类型》维度的参训明细!J:J,E102,[1]《授课类型》维度的参训明细!I:I,"已签到")</f>
        <v>2</v>
      </c>
      <c r="H102" s="76">
        <f t="shared" si="1"/>
        <v>0.666666666666667</v>
      </c>
    </row>
    <row r="103" ht="16.5" hidden="1" spans="1:8">
      <c r="A103" s="46" t="s">
        <v>23</v>
      </c>
      <c r="B103" s="46" t="s">
        <v>38</v>
      </c>
      <c r="C103" s="46" t="s">
        <v>75</v>
      </c>
      <c r="D103" s="7" t="s">
        <v>27</v>
      </c>
      <c r="E103" s="75">
        <v>46035</v>
      </c>
      <c r="F103" s="46">
        <f>COUNTIFS([1]《授课类型》维度的参训明细!B:B,A103,[1]《授课类型》维度的参训明细!C:C,B103,[1]《授课类型》维度的参训明细!D:D,C103,[1]《授课类型》维度的参训明细!K:K,D103,[1]《授课类型》维度的参训明细!J:J,E103)</f>
        <v>10</v>
      </c>
      <c r="G103" s="46">
        <f>COUNTIFS([1]《授课类型》维度的参训明细!B:B,A103,[1]《授课类型》维度的参训明细!C:C,B103,[1]《授课类型》维度的参训明细!D:D,C103,[1]《授课类型》维度的参训明细!K:K,D103,[1]《授课类型》维度的参训明细!J:J,E103,[1]《授课类型》维度的参训明细!I:I,"已签到")</f>
        <v>4</v>
      </c>
      <c r="H103" s="77">
        <f t="shared" si="1"/>
        <v>0.4</v>
      </c>
    </row>
    <row r="104" ht="16.5" hidden="1" spans="1:8">
      <c r="A104" s="46" t="s">
        <v>23</v>
      </c>
      <c r="B104" s="46" t="s">
        <v>38</v>
      </c>
      <c r="C104" s="46" t="s">
        <v>148</v>
      </c>
      <c r="D104" s="7" t="s">
        <v>27</v>
      </c>
      <c r="E104" s="75">
        <v>46035</v>
      </c>
      <c r="F104" s="46">
        <f>COUNTIFS([1]《授课类型》维度的参训明细!B:B,A104,[1]《授课类型》维度的参训明细!C:C,B104,[1]《授课类型》维度的参训明细!D:D,C104,[1]《授课类型》维度的参训明细!K:K,D104,[1]《授课类型》维度的参训明细!J:J,E104)</f>
        <v>6</v>
      </c>
      <c r="G104" s="46">
        <f>COUNTIFS([1]《授课类型》维度的参训明细!B:B,A104,[1]《授课类型》维度的参训明细!C:C,B104,[1]《授课类型》维度的参训明细!D:D,C104,[1]《授课类型》维度的参训明细!K:K,D104,[1]《授课类型》维度的参训明细!J:J,E104,[1]《授课类型》维度的参训明细!I:I,"已签到")</f>
        <v>2</v>
      </c>
      <c r="H104" s="77">
        <f t="shared" si="1"/>
        <v>0.333333333333333</v>
      </c>
    </row>
    <row r="105" ht="16.5" hidden="1" spans="1:8">
      <c r="A105" s="46" t="s">
        <v>23</v>
      </c>
      <c r="B105" s="46" t="s">
        <v>38</v>
      </c>
      <c r="C105" s="78" t="s">
        <v>168</v>
      </c>
      <c r="D105" s="7" t="s">
        <v>27</v>
      </c>
      <c r="E105" s="75">
        <v>46035</v>
      </c>
      <c r="F105" s="46">
        <f>COUNTIFS([1]《授课类型》维度的参训明细!B:B,A105,[1]《授课类型》维度的参训明细!C:C,B105,[1]《授课类型》维度的参训明细!D:D,C105,[1]《授课类型》维度的参训明细!K:K,D105,[1]《授课类型》维度的参训明细!J:J,E105)</f>
        <v>7</v>
      </c>
      <c r="G105" s="46">
        <f>COUNTIFS([1]《授课类型》维度的参训明细!B:B,A105,[1]《授课类型》维度的参训明细!C:C,B105,[1]《授课类型》维度的参训明细!D:D,C105,[1]《授课类型》维度的参训明细!K:K,D105,[1]《授课类型》维度的参训明细!J:J,E105,[1]《授课类型》维度的参训明细!I:I,"已签到")</f>
        <v>2</v>
      </c>
      <c r="H105" s="79">
        <f t="shared" si="1"/>
        <v>0.285714285714286</v>
      </c>
    </row>
    <row r="106" ht="16.5" hidden="1" spans="1:8">
      <c r="A106" s="12" t="s">
        <v>23</v>
      </c>
      <c r="B106" s="12" t="s">
        <v>31</v>
      </c>
      <c r="C106" s="12" t="s">
        <v>79</v>
      </c>
      <c r="D106" s="74" t="s">
        <v>27</v>
      </c>
      <c r="E106" s="75">
        <v>46035</v>
      </c>
      <c r="F106" s="12">
        <f>COUNTIFS([1]《授课类型》维度的参训明细!B:B,A106,[1]《授课类型》维度的参训明细!C:C,B106,[1]《授课类型》维度的参训明细!D:D,C106,[1]《授课类型》维度的参训明细!K:K,D106,[1]《授课类型》维度的参训明细!J:J,E106)</f>
        <v>5</v>
      </c>
      <c r="G106" s="12">
        <f>COUNTIFS([1]《授课类型》维度的参训明细!B:B,A106,[1]《授课类型》维度的参训明细!C:C,B106,[1]《授课类型》维度的参训明细!D:D,C106,[1]《授课类型》维度的参训明细!K:K,D106,[1]《授课类型》维度的参训明细!J:J,E106,[1]《授课类型》维度的参训明细!I:I,"已签到")</f>
        <v>0</v>
      </c>
      <c r="H106" s="76">
        <f t="shared" si="1"/>
        <v>0</v>
      </c>
    </row>
    <row r="107" ht="16.5" hidden="1" spans="1:8">
      <c r="A107" s="12" t="s">
        <v>23</v>
      </c>
      <c r="B107" s="12" t="s">
        <v>29</v>
      </c>
      <c r="C107" s="12" t="s">
        <v>130</v>
      </c>
      <c r="D107" s="74" t="s">
        <v>27</v>
      </c>
      <c r="E107" s="75">
        <v>46035</v>
      </c>
      <c r="F107" s="12">
        <f>COUNTIFS([1]《授课类型》维度的参训明细!B:B,A107,[1]《授课类型》维度的参训明细!C:C,B107,[1]《授课类型》维度的参训明细!D:D,C107,[1]《授课类型》维度的参训明细!K:K,D107,[1]《授课类型》维度的参训明细!J:J,E107)</f>
        <v>3</v>
      </c>
      <c r="G107" s="12">
        <f>COUNTIFS([1]《授课类型》维度的参训明细!B:B,A107,[1]《授课类型》维度的参训明细!C:C,B107,[1]《授课类型》维度的参训明细!D:D,C107,[1]《授课类型》维度的参训明细!K:K,D107,[1]《授课类型》维度的参训明细!J:J,E107,[1]《授课类型》维度的参训明细!I:I,"已签到")</f>
        <v>3</v>
      </c>
      <c r="H107" s="76">
        <f t="shared" si="1"/>
        <v>1</v>
      </c>
    </row>
    <row r="108" ht="16.5" hidden="1" spans="1:8">
      <c r="A108" s="12" t="s">
        <v>23</v>
      </c>
      <c r="B108" s="12" t="s">
        <v>36</v>
      </c>
      <c r="C108" s="12" t="s">
        <v>173</v>
      </c>
      <c r="D108" s="74" t="s">
        <v>27</v>
      </c>
      <c r="E108" s="75">
        <v>46035</v>
      </c>
      <c r="F108" s="12">
        <f>COUNTIFS([1]《授课类型》维度的参训明细!B:B,A108,[1]《授课类型》维度的参训明细!C:C,B108,[1]《授课类型》维度的参训明细!D:D,C108,[1]《授课类型》维度的参训明细!K:K,D108,[1]《授课类型》维度的参训明细!J:J,E108)</f>
        <v>6</v>
      </c>
      <c r="G108" s="12">
        <f>COUNTIFS([1]《授课类型》维度的参训明细!B:B,A108,[1]《授课类型》维度的参训明细!C:C,B108,[1]《授课类型》维度的参训明细!D:D,C108,[1]《授课类型》维度的参训明细!K:K,D108,[1]《授课类型》维度的参训明细!J:J,E108,[1]《授课类型》维度的参训明细!I:I,"已签到")</f>
        <v>6</v>
      </c>
      <c r="H108" s="76">
        <f t="shared" si="1"/>
        <v>1</v>
      </c>
    </row>
    <row r="109" ht="16.5" hidden="1" spans="1:8">
      <c r="A109" s="46" t="s">
        <v>23</v>
      </c>
      <c r="B109" s="46" t="s">
        <v>38</v>
      </c>
      <c r="C109" s="78" t="s">
        <v>144</v>
      </c>
      <c r="D109" s="7" t="s">
        <v>27</v>
      </c>
      <c r="E109" s="75">
        <v>46035</v>
      </c>
      <c r="F109" s="46">
        <f>COUNTIFS([1]《授课类型》维度的参训明细!B:B,A109,[1]《授课类型》维度的参训明细!C:C,B109,[1]《授课类型》维度的参训明细!D:D,C109,[1]《授课类型》维度的参训明细!K:K,D109,[1]《授课类型》维度的参训明细!J:J,E109)</f>
        <v>4</v>
      </c>
      <c r="G109" s="46">
        <f>COUNTIFS([1]《授课类型》维度的参训明细!B:B,A109,[1]《授课类型》维度的参训明细!C:C,B109,[1]《授课类型》维度的参训明细!D:D,C109,[1]《授课类型》维度的参训明细!K:K,D109,[1]《授课类型》维度的参训明细!J:J,E109,[1]《授课类型》维度的参训明细!I:I,"已签到")</f>
        <v>1</v>
      </c>
      <c r="H109" s="79">
        <f t="shared" si="1"/>
        <v>0.25</v>
      </c>
    </row>
    <row r="110" ht="16.5" hidden="1" spans="1:8">
      <c r="A110" s="46" t="s">
        <v>23</v>
      </c>
      <c r="B110" s="46" t="s">
        <v>38</v>
      </c>
      <c r="C110" s="78" t="s">
        <v>63</v>
      </c>
      <c r="D110" s="7" t="s">
        <v>27</v>
      </c>
      <c r="E110" s="75">
        <v>46035</v>
      </c>
      <c r="F110" s="46">
        <f>COUNTIFS([1]《授课类型》维度的参训明细!B:B,A110,[1]《授课类型》维度的参训明细!C:C,B110,[1]《授课类型》维度的参训明细!D:D,C110,[1]《授课类型》维度的参训明细!K:K,D110,[1]《授课类型》维度的参训明细!J:J,E110)</f>
        <v>11</v>
      </c>
      <c r="G110" s="46">
        <f>COUNTIFS([1]《授课类型》维度的参训明细!B:B,A110,[1]《授课类型》维度的参训明细!C:C,B110,[1]《授课类型》维度的参训明细!D:D,C110,[1]《授课类型》维度的参训明细!K:K,D110,[1]《授课类型》维度的参训明细!J:J,E110,[1]《授课类型》维度的参训明细!I:I,"已签到")</f>
        <v>2</v>
      </c>
      <c r="H110" s="79">
        <f t="shared" si="1"/>
        <v>0.181818181818182</v>
      </c>
    </row>
    <row r="111" ht="16.5" hidden="1" spans="1:8">
      <c r="A111" s="12" t="s">
        <v>23</v>
      </c>
      <c r="B111" s="12" t="s">
        <v>35</v>
      </c>
      <c r="C111" s="12" t="s">
        <v>125</v>
      </c>
      <c r="D111" s="74" t="s">
        <v>27</v>
      </c>
      <c r="E111" s="75">
        <v>46035</v>
      </c>
      <c r="F111" s="12">
        <f>COUNTIFS([1]《授课类型》维度的参训明细!B:B,A111,[1]《授课类型》维度的参训明细!C:C,B111,[1]《授课类型》维度的参训明细!D:D,C111,[1]《授课类型》维度的参训明细!K:K,D111,[1]《授课类型》维度的参训明细!J:J,E111)</f>
        <v>6</v>
      </c>
      <c r="G111" s="12">
        <f>COUNTIFS([1]《授课类型》维度的参训明细!B:B,A111,[1]《授课类型》维度的参训明细!C:C,B111,[1]《授课类型》维度的参训明细!D:D,C111,[1]《授课类型》维度的参训明细!K:K,D111,[1]《授课类型》维度的参训明细!J:J,E111,[1]《授课类型》维度的参训明细!I:I,"已签到")</f>
        <v>6</v>
      </c>
      <c r="H111" s="76">
        <f t="shared" si="1"/>
        <v>1</v>
      </c>
    </row>
    <row r="112" ht="16.5" hidden="1" spans="1:8">
      <c r="A112" s="12" t="s">
        <v>23</v>
      </c>
      <c r="B112" s="12" t="s">
        <v>26</v>
      </c>
      <c r="C112" s="12" t="s">
        <v>121</v>
      </c>
      <c r="D112" s="74" t="s">
        <v>27</v>
      </c>
      <c r="E112" s="75">
        <v>46035</v>
      </c>
      <c r="F112" s="12">
        <f>COUNTIFS([1]《授课类型》维度的参训明细!B:B,A112,[1]《授课类型》维度的参训明细!C:C,B112,[1]《授课类型》维度的参训明细!D:D,C112,[1]《授课类型》维度的参训明细!K:K,D112,[1]《授课类型》维度的参训明细!J:J,E112)</f>
        <v>2</v>
      </c>
      <c r="G112" s="12">
        <f>COUNTIFS([1]《授课类型》维度的参训明细!B:B,A112,[1]《授课类型》维度的参训明细!C:C,B112,[1]《授课类型》维度的参训明细!D:D,C112,[1]《授课类型》维度的参训明细!K:K,D112,[1]《授课类型》维度的参训明细!J:J,E112,[1]《授课类型》维度的参训明细!I:I,"已签到")</f>
        <v>2</v>
      </c>
      <c r="H112" s="76">
        <f t="shared" si="1"/>
        <v>1</v>
      </c>
    </row>
    <row r="113" ht="16.5" hidden="1" spans="1:8">
      <c r="A113" s="12" t="s">
        <v>23</v>
      </c>
      <c r="B113" s="12" t="s">
        <v>32</v>
      </c>
      <c r="C113" s="12" t="s">
        <v>105</v>
      </c>
      <c r="D113" s="74" t="s">
        <v>27</v>
      </c>
      <c r="E113" s="75">
        <v>46035</v>
      </c>
      <c r="F113" s="12">
        <f>COUNTIFS([1]《授课类型》维度的参训明细!B:B,A113,[1]《授课类型》维度的参训明细!C:C,B113,[1]《授课类型》维度的参训明细!D:D,C113,[1]《授课类型》维度的参训明细!K:K,D113,[1]《授课类型》维度的参训明细!J:J,E113)</f>
        <v>2</v>
      </c>
      <c r="G113" s="12">
        <f>COUNTIFS([1]《授课类型》维度的参训明细!B:B,A113,[1]《授课类型》维度的参训明细!C:C,B113,[1]《授课类型》维度的参训明细!D:D,C113,[1]《授课类型》维度的参训明细!K:K,D113,[1]《授课类型》维度的参训明细!J:J,E113,[1]《授课类型》维度的参训明细!I:I,"已签到")</f>
        <v>2</v>
      </c>
      <c r="H113" s="76">
        <f t="shared" si="1"/>
        <v>1</v>
      </c>
    </row>
    <row r="114" ht="16.5" hidden="1" spans="1:8">
      <c r="A114" s="12" t="s">
        <v>23</v>
      </c>
      <c r="B114" s="12" t="s">
        <v>37</v>
      </c>
      <c r="C114" s="12" t="s">
        <v>152</v>
      </c>
      <c r="D114" s="74" t="s">
        <v>27</v>
      </c>
      <c r="E114" s="75">
        <v>46035</v>
      </c>
      <c r="F114" s="12">
        <f>COUNTIFS([1]《授课类型》维度的参训明细!B:B,A114,[1]《授课类型》维度的参训明细!C:C,B114,[1]《授课类型》维度的参训明细!D:D,C114,[1]《授课类型》维度的参训明细!K:K,D114,[1]《授课类型》维度的参训明细!J:J,E114)</f>
        <v>1</v>
      </c>
      <c r="G114" s="12">
        <f>COUNTIFS([1]《授课类型》维度的参训明细!B:B,A114,[1]《授课类型》维度的参训明细!C:C,B114,[1]《授课类型》维度的参训明细!D:D,C114,[1]《授课类型》维度的参训明细!K:K,D114,[1]《授课类型》维度的参训明细!J:J,E114,[1]《授课类型》维度的参训明细!I:I,"已签到")</f>
        <v>1</v>
      </c>
      <c r="H114" s="76">
        <f t="shared" si="1"/>
        <v>1</v>
      </c>
    </row>
    <row r="115" ht="16.5" hidden="1" spans="1:8">
      <c r="A115" s="12" t="s">
        <v>23</v>
      </c>
      <c r="B115" s="12" t="s">
        <v>33</v>
      </c>
      <c r="C115" s="12" t="s">
        <v>537</v>
      </c>
      <c r="D115" s="74" t="s">
        <v>27</v>
      </c>
      <c r="E115" s="75">
        <v>46035</v>
      </c>
      <c r="F115" s="12">
        <f>COUNTIFS([1]《授课类型》维度的参训明细!B:B,A115,[1]《授课类型》维度的参训明细!C:C,B115,[1]《授课类型》维度的参训明细!D:D,C115,[1]《授课类型》维度的参训明细!K:K,D115,[1]《授课类型》维度的参训明细!J:J,E115)</f>
        <v>1</v>
      </c>
      <c r="G115" s="12">
        <f>COUNTIFS([1]《授课类型》维度的参训明细!B:B,A115,[1]《授课类型》维度的参训明细!C:C,B115,[1]《授课类型》维度的参训明细!D:D,C115,[1]《授课类型》维度的参训明细!K:K,D115,[1]《授课类型》维度的参训明细!J:J,E115,[1]《授课类型》维度的参训明细!I:I,"已签到")</f>
        <v>1</v>
      </c>
      <c r="H115" s="76">
        <f t="shared" si="1"/>
        <v>1</v>
      </c>
    </row>
    <row r="116" ht="16.5" hidden="1" spans="1:8">
      <c r="A116" s="12" t="s">
        <v>39</v>
      </c>
      <c r="B116" s="12" t="s">
        <v>38</v>
      </c>
      <c r="C116" s="8" t="s">
        <v>1329</v>
      </c>
      <c r="D116" s="74" t="s">
        <v>1349</v>
      </c>
      <c r="E116" s="75">
        <v>46077</v>
      </c>
      <c r="F116" s="12">
        <f>COUNTIFS('2026年度培训主表'!N:N,C116,'2026年度培训主表'!E:E,D116)/2</f>
        <v>10</v>
      </c>
      <c r="G116" s="12">
        <f>COUNTIFS('2026年度培训主表'!N:N,C116,'2026年度培训主表'!E:E,D116,'2026年度培训主表'!L:L,"已签到")/2</f>
        <v>10</v>
      </c>
      <c r="H116" s="76">
        <f t="shared" si="1"/>
        <v>1</v>
      </c>
    </row>
    <row r="117" ht="16.5" hidden="1" spans="1:8">
      <c r="A117" s="12" t="s">
        <v>39</v>
      </c>
      <c r="B117" s="12" t="s">
        <v>44</v>
      </c>
      <c r="C117" s="8" t="s">
        <v>1353</v>
      </c>
      <c r="D117" s="74" t="s">
        <v>1349</v>
      </c>
      <c r="E117" s="75">
        <v>46077</v>
      </c>
      <c r="F117" s="12">
        <f>COUNTIFS('2026年度培训主表'!N:N,C117,'2026年度培训主表'!E:E,D117)/2</f>
        <v>1</v>
      </c>
      <c r="G117" s="12">
        <f>COUNTIFS('2026年度培训主表'!N:N,C117,'2026年度培训主表'!E:E,D117,'2026年度培训主表'!L:L,"已签到")/2</f>
        <v>1</v>
      </c>
      <c r="H117" s="76">
        <f t="shared" si="1"/>
        <v>1</v>
      </c>
    </row>
    <row r="118" ht="16.5" hidden="1" spans="1:8">
      <c r="A118" s="12" t="s">
        <v>39</v>
      </c>
      <c r="B118" s="12" t="s">
        <v>38</v>
      </c>
      <c r="C118" s="8" t="s">
        <v>1573</v>
      </c>
      <c r="D118" s="74" t="s">
        <v>1349</v>
      </c>
      <c r="E118" s="75">
        <v>46077</v>
      </c>
      <c r="F118" s="12">
        <f>COUNTIFS('2026年度培训主表'!N:N,C118,'2026年度培训主表'!E:E,D118)/2</f>
        <v>1</v>
      </c>
      <c r="G118" s="12">
        <f>COUNTIFS('2026年度培训主表'!N:N,C118,'2026年度培训主表'!E:E,D118,'2026年度培训主表'!L:L,"已签到")/2</f>
        <v>1</v>
      </c>
      <c r="H118" s="76">
        <f t="shared" si="1"/>
        <v>1</v>
      </c>
    </row>
    <row r="119" ht="16.5" hidden="1" spans="1:8">
      <c r="A119" s="12" t="s">
        <v>39</v>
      </c>
      <c r="B119" s="12" t="s">
        <v>26</v>
      </c>
      <c r="C119" s="8" t="s">
        <v>121</v>
      </c>
      <c r="D119" s="74" t="s">
        <v>1349</v>
      </c>
      <c r="E119" s="75">
        <v>46077</v>
      </c>
      <c r="F119" s="12">
        <f>COUNTIFS('2026年度培训主表'!N:N,C119,'2026年度培训主表'!E:E,D119)/2</f>
        <v>1</v>
      </c>
      <c r="G119" s="12">
        <f>COUNTIFS('2026年度培训主表'!N:N,C119,'2026年度培训主表'!E:E,D119,'2026年度培训主表'!L:L,"已签到")/2</f>
        <v>1</v>
      </c>
      <c r="H119" s="76">
        <f t="shared" si="1"/>
        <v>1</v>
      </c>
    </row>
    <row r="120" ht="16.5" hidden="1" spans="1:8">
      <c r="A120" s="12" t="s">
        <v>39</v>
      </c>
      <c r="B120" s="12" t="s">
        <v>37</v>
      </c>
      <c r="C120" s="8" t="s">
        <v>109</v>
      </c>
      <c r="D120" s="74" t="s">
        <v>1349</v>
      </c>
      <c r="E120" s="75">
        <v>46077</v>
      </c>
      <c r="F120" s="12">
        <f>COUNTIFS('2026年度培训主表'!N:N,C120,'2026年度培训主表'!E:E,D120)/2</f>
        <v>1</v>
      </c>
      <c r="G120" s="12">
        <f>COUNTIFS('2026年度培训主表'!N:N,C120,'2026年度培训主表'!E:E,D120,'2026年度培训主表'!L:L,"已签到")/2</f>
        <v>1</v>
      </c>
      <c r="H120" s="76">
        <f t="shared" si="1"/>
        <v>1</v>
      </c>
    </row>
    <row r="121" ht="16.5" hidden="1" spans="1:8">
      <c r="A121" s="12" t="s">
        <v>39</v>
      </c>
      <c r="B121" s="12" t="s">
        <v>32</v>
      </c>
      <c r="C121" s="8" t="s">
        <v>105</v>
      </c>
      <c r="D121" s="74" t="s">
        <v>1349</v>
      </c>
      <c r="E121" s="75">
        <v>46077</v>
      </c>
      <c r="F121" s="12">
        <f>COUNTIFS('2026年度培训主表'!N:N,C121,'2026年度培训主表'!E:E,D121)/2</f>
        <v>3</v>
      </c>
      <c r="G121" s="12">
        <f>COUNTIFS('2026年度培训主表'!N:N,C121,'2026年度培训主表'!E:E,D121,'2026年度培训主表'!L:L,"已签到")/2</f>
        <v>3</v>
      </c>
      <c r="H121" s="76">
        <f t="shared" si="1"/>
        <v>1</v>
      </c>
    </row>
    <row r="122" ht="16.5" hidden="1" spans="1:8">
      <c r="A122" s="12" t="s">
        <v>39</v>
      </c>
      <c r="B122" s="12" t="s">
        <v>29</v>
      </c>
      <c r="C122" s="8" t="s">
        <v>130</v>
      </c>
      <c r="D122" s="74" t="s">
        <v>1349</v>
      </c>
      <c r="E122" s="75">
        <v>46077</v>
      </c>
      <c r="F122" s="12">
        <f>COUNTIFS('2026年度培训主表'!N:N,C122,'2026年度培训主表'!E:E,D122)/2</f>
        <v>1</v>
      </c>
      <c r="G122" s="12">
        <f>COUNTIFS('2026年度培训主表'!N:N,C122,'2026年度培训主表'!E:E,D122,'2026年度培训主表'!L:L,"已签到")/2</f>
        <v>1</v>
      </c>
      <c r="H122" s="76">
        <f t="shared" si="1"/>
        <v>1</v>
      </c>
    </row>
    <row r="123" ht="16.5" hidden="1" spans="1:8">
      <c r="A123" s="12" t="s">
        <v>39</v>
      </c>
      <c r="B123" s="12" t="s">
        <v>33</v>
      </c>
      <c r="C123" s="8" t="s">
        <v>537</v>
      </c>
      <c r="D123" s="74" t="s">
        <v>1349</v>
      </c>
      <c r="E123" s="75">
        <v>46077</v>
      </c>
      <c r="F123" s="12">
        <f>COUNTIFS('2026年度培训主表'!N:N,C123,'2026年度培训主表'!E:E,D123)/2</f>
        <v>0</v>
      </c>
      <c r="G123" s="12">
        <f>COUNTIFS('2026年度培训主表'!N:N,C123,'2026年度培训主表'!E:E,D123,'2026年度培训主表'!L:L,"已签到")/2</f>
        <v>0</v>
      </c>
      <c r="H123" s="76" t="e">
        <f t="shared" si="1"/>
        <v>#DIV/0!</v>
      </c>
    </row>
    <row r="124" ht="16.5" hidden="1" spans="1:8">
      <c r="A124" s="12" t="s">
        <v>39</v>
      </c>
      <c r="B124" s="12" t="s">
        <v>24</v>
      </c>
      <c r="C124" s="8" t="s">
        <v>1359</v>
      </c>
      <c r="D124" s="74" t="s">
        <v>1349</v>
      </c>
      <c r="E124" s="75">
        <v>46077</v>
      </c>
      <c r="F124" s="12">
        <f>COUNTIFS('2026年度培训主表'!N:N,C124,'2026年度培训主表'!E:E,D124)/2</f>
        <v>1</v>
      </c>
      <c r="G124" s="12">
        <f>COUNTIFS('2026年度培训主表'!N:N,C124,'2026年度培训主表'!E:E,D124,'2026年度培训主表'!L:L,"已签到")/2</f>
        <v>1</v>
      </c>
      <c r="H124" s="76">
        <f t="shared" si="1"/>
        <v>1</v>
      </c>
    </row>
    <row r="125" ht="16.5" hidden="1" spans="1:8">
      <c r="A125" s="12" t="s">
        <v>39</v>
      </c>
      <c r="B125" s="12" t="s">
        <v>37</v>
      </c>
      <c r="C125" s="8" t="s">
        <v>152</v>
      </c>
      <c r="D125" s="74" t="s">
        <v>1349</v>
      </c>
      <c r="E125" s="75">
        <v>46077</v>
      </c>
      <c r="F125" s="12">
        <f>COUNTIFS('2026年度培训主表'!N:N,C125,'2026年度培训主表'!E:E,D125)/2</f>
        <v>2</v>
      </c>
      <c r="G125" s="12">
        <f>COUNTIFS('2026年度培训主表'!N:N,C125,'2026年度培训主表'!E:E,D125,'2026年度培训主表'!L:L,"已签到")/2</f>
        <v>2</v>
      </c>
      <c r="H125" s="76">
        <f t="shared" si="1"/>
        <v>1</v>
      </c>
    </row>
    <row r="126" ht="16.5" hidden="1" spans="1:8">
      <c r="A126" s="12" t="s">
        <v>39</v>
      </c>
      <c r="B126" s="12" t="s">
        <v>38</v>
      </c>
      <c r="C126" s="8" t="s">
        <v>1576</v>
      </c>
      <c r="D126" s="74" t="s">
        <v>1349</v>
      </c>
      <c r="E126" s="75">
        <v>46077</v>
      </c>
      <c r="F126" s="12">
        <f>COUNTIFS('2026年度培训主表'!N:N,C126,'2026年度培训主表'!E:E,D126)/2</f>
        <v>2</v>
      </c>
      <c r="G126" s="12">
        <f>COUNTIFS('2026年度培训主表'!N:N,C126,'2026年度培训主表'!E:E,D126,'2026年度培训主表'!L:L,"已签到")/2</f>
        <v>2</v>
      </c>
      <c r="H126" s="76">
        <f t="shared" ref="H126:H147" si="2">G126/F126</f>
        <v>1</v>
      </c>
    </row>
    <row r="127" ht="16.5" hidden="1" spans="1:8">
      <c r="A127" s="12" t="s">
        <v>39</v>
      </c>
      <c r="B127" s="12" t="s">
        <v>38</v>
      </c>
      <c r="C127" s="8" t="s">
        <v>148</v>
      </c>
      <c r="D127" s="74" t="s">
        <v>1349</v>
      </c>
      <c r="E127" s="75">
        <v>46077</v>
      </c>
      <c r="F127" s="12">
        <f>COUNTIFS('2026年度培训主表'!N:N,C127,'2026年度培训主表'!E:E,D127)/2</f>
        <v>2</v>
      </c>
      <c r="G127" s="12">
        <f>COUNTIFS('2026年度培训主表'!N:N,C127,'2026年度培训主表'!E:E,D127,'2026年度培训主表'!L:L,"已签到")/2</f>
        <v>2</v>
      </c>
      <c r="H127" s="76">
        <f t="shared" si="2"/>
        <v>1</v>
      </c>
    </row>
    <row r="128" ht="16.5" hidden="1" spans="1:8">
      <c r="A128" s="12" t="s">
        <v>39</v>
      </c>
      <c r="B128" s="12" t="s">
        <v>38</v>
      </c>
      <c r="C128" s="8" t="s">
        <v>220</v>
      </c>
      <c r="D128" s="74" t="s">
        <v>1349</v>
      </c>
      <c r="E128" s="75">
        <v>46077</v>
      </c>
      <c r="F128" s="12">
        <f>COUNTIFS('2026年度培训主表'!N:N,C128,'2026年度培训主表'!E:E,D128)/2</f>
        <v>1</v>
      </c>
      <c r="G128" s="12">
        <f>COUNTIFS('2026年度培训主表'!N:N,C128,'2026年度培训主表'!E:E,D128,'2026年度培训主表'!L:L,"已签到")/2</f>
        <v>1</v>
      </c>
      <c r="H128" s="76">
        <f t="shared" si="2"/>
        <v>1</v>
      </c>
    </row>
    <row r="129" ht="16.5" hidden="1" spans="1:8">
      <c r="A129" s="12" t="s">
        <v>39</v>
      </c>
      <c r="B129" s="12" t="s">
        <v>34</v>
      </c>
      <c r="C129" s="8" t="s">
        <v>1365</v>
      </c>
      <c r="D129" s="74" t="s">
        <v>1349</v>
      </c>
      <c r="E129" s="75">
        <v>46077</v>
      </c>
      <c r="F129" s="12">
        <f>COUNTIFS('2026年度培训主表'!N:N,C129,'2026年度培训主表'!E:E,D129)/2</f>
        <v>1</v>
      </c>
      <c r="G129" s="12">
        <f>COUNTIFS('2026年度培训主表'!N:N,C129,'2026年度培训主表'!E:E,D129,'2026年度培训主表'!L:L,"已签到")/2</f>
        <v>1</v>
      </c>
      <c r="H129" s="76">
        <f t="shared" si="2"/>
        <v>1</v>
      </c>
    </row>
    <row r="130" ht="16.5" hidden="1" spans="1:8">
      <c r="A130" s="12" t="s">
        <v>39</v>
      </c>
      <c r="B130" s="12" t="s">
        <v>36</v>
      </c>
      <c r="C130" s="8" t="s">
        <v>173</v>
      </c>
      <c r="D130" s="74" t="s">
        <v>1349</v>
      </c>
      <c r="E130" s="75">
        <v>46077</v>
      </c>
      <c r="F130" s="12">
        <f>COUNTIFS('2026年度培训主表'!N:N,C130,'2026年度培训主表'!E:E,D130)/2</f>
        <v>1</v>
      </c>
      <c r="G130" s="12">
        <f>COUNTIFS('2026年度培训主表'!N:N,C130,'2026年度培训主表'!E:E,D130,'2026年度培训主表'!L:L,"已签到")/2</f>
        <v>1</v>
      </c>
      <c r="H130" s="76">
        <f t="shared" si="2"/>
        <v>1</v>
      </c>
    </row>
    <row r="131" ht="16.5" hidden="1" spans="1:8">
      <c r="A131" s="12" t="s">
        <v>39</v>
      </c>
      <c r="B131" s="12" t="s">
        <v>38</v>
      </c>
      <c r="C131" s="8" t="s">
        <v>63</v>
      </c>
      <c r="D131" s="74" t="s">
        <v>1349</v>
      </c>
      <c r="E131" s="75">
        <v>46077</v>
      </c>
      <c r="F131" s="12">
        <f>COUNTIFS('2026年度培训主表'!N:N,C131,'2026年度培训主表'!E:E,D131)/2</f>
        <v>2</v>
      </c>
      <c r="G131" s="12">
        <f>COUNTIFS('2026年度培训主表'!N:N,C131,'2026年度培训主表'!E:E,D131,'2026年度培训主表'!L:L,"已签到")/2</f>
        <v>2</v>
      </c>
      <c r="H131" s="76">
        <f t="shared" si="2"/>
        <v>1</v>
      </c>
    </row>
    <row r="132" ht="16.5" hidden="1" spans="1:8">
      <c r="A132" s="12" t="s">
        <v>39</v>
      </c>
      <c r="B132" s="12" t="s">
        <v>38</v>
      </c>
      <c r="C132" s="8" t="s">
        <v>1575</v>
      </c>
      <c r="D132" s="74" t="s">
        <v>1349</v>
      </c>
      <c r="E132" s="75">
        <v>46077</v>
      </c>
      <c r="F132" s="12">
        <f>COUNTIFS('2026年度培训主表'!N:N,C132,'2026年度培训主表'!E:E,D132)/2</f>
        <v>1</v>
      </c>
      <c r="G132" s="12">
        <f>COUNTIFS('2026年度培训主表'!N:N,C132,'2026年度培训主表'!E:E,D132,'2026年度培训主表'!L:L,"已签到")/2</f>
        <v>1</v>
      </c>
      <c r="H132" s="76">
        <f t="shared" si="2"/>
        <v>1</v>
      </c>
    </row>
    <row r="133" ht="16.5" hidden="1" spans="1:8">
      <c r="A133" s="12" t="s">
        <v>39</v>
      </c>
      <c r="B133" s="12" t="s">
        <v>38</v>
      </c>
      <c r="C133" s="8" t="s">
        <v>1574</v>
      </c>
      <c r="D133" s="74" t="s">
        <v>1349</v>
      </c>
      <c r="E133" s="75">
        <v>46077</v>
      </c>
      <c r="F133" s="12">
        <f>COUNTIFS('2026年度培训主表'!N:N,C133,'2026年度培训主表'!E:E,D133)/2</f>
        <v>1</v>
      </c>
      <c r="G133" s="12">
        <f>COUNTIFS('2026年度培训主表'!N:N,C133,'2026年度培训主表'!E:E,D133,'2026年度培训主表'!L:L,"已签到")/2</f>
        <v>1</v>
      </c>
      <c r="H133" s="76">
        <f t="shared" si="2"/>
        <v>1</v>
      </c>
    </row>
    <row r="134" ht="16.5" hidden="1" spans="1:8">
      <c r="A134" s="12" t="s">
        <v>39</v>
      </c>
      <c r="B134" s="12" t="s">
        <v>32</v>
      </c>
      <c r="C134" s="8" t="s">
        <v>1370</v>
      </c>
      <c r="D134" s="74" t="s">
        <v>1349</v>
      </c>
      <c r="E134" s="75">
        <v>46077</v>
      </c>
      <c r="F134" s="12">
        <f>COUNTIFS('2026年度培训主表'!N:N,C134,'2026年度培训主表'!E:E,D134)/2</f>
        <v>1</v>
      </c>
      <c r="G134" s="12">
        <f>COUNTIFS('2026年度培训主表'!N:N,C134,'2026年度培训主表'!E:E,D134,'2026年度培训主表'!L:L,"已签到")/2</f>
        <v>1</v>
      </c>
      <c r="H134" s="76">
        <f t="shared" si="2"/>
        <v>1</v>
      </c>
    </row>
    <row r="135" ht="16.5" hidden="1" spans="1:8">
      <c r="A135" s="12" t="s">
        <v>39</v>
      </c>
      <c r="B135" s="12" t="s">
        <v>38</v>
      </c>
      <c r="C135" s="8" t="s">
        <v>75</v>
      </c>
      <c r="D135" s="74" t="s">
        <v>1349</v>
      </c>
      <c r="E135" s="75">
        <v>46077</v>
      </c>
      <c r="F135" s="12">
        <f>COUNTIFS('2026年度培训主表'!N:N,C135,'2026年度培训主表'!E:E,D135)/2</f>
        <v>1</v>
      </c>
      <c r="G135" s="12">
        <f>COUNTIFS('2026年度培训主表'!N:N,C135,'2026年度培训主表'!E:E,D135,'2026年度培训主表'!L:L,"已签到")/2</f>
        <v>1</v>
      </c>
      <c r="H135" s="76">
        <f t="shared" si="2"/>
        <v>1</v>
      </c>
    </row>
    <row r="136" ht="16.5" hidden="1" spans="1:8">
      <c r="A136" s="12" t="s">
        <v>39</v>
      </c>
      <c r="B136" s="12" t="s">
        <v>38</v>
      </c>
      <c r="C136" s="8" t="s">
        <v>168</v>
      </c>
      <c r="D136" s="74" t="s">
        <v>1349</v>
      </c>
      <c r="E136" s="75">
        <v>46077</v>
      </c>
      <c r="F136" s="12">
        <f>COUNTIFS('2026年度培训主表'!N:N,C136,'2026年度培训主表'!E:E,D136)/2</f>
        <v>1</v>
      </c>
      <c r="G136" s="12">
        <f>COUNTIFS('2026年度培训主表'!N:N,C136,'2026年度培训主表'!E:E,D136,'2026年度培训主表'!L:L,"已签到")/2</f>
        <v>1</v>
      </c>
      <c r="H136" s="76">
        <f t="shared" si="2"/>
        <v>1</v>
      </c>
    </row>
    <row r="137" ht="16.5" hidden="1" spans="1:8">
      <c r="A137" s="12" t="s">
        <v>39</v>
      </c>
      <c r="B137" s="12" t="s">
        <v>35</v>
      </c>
      <c r="C137" s="8" t="s">
        <v>125</v>
      </c>
      <c r="D137" s="74" t="s">
        <v>1349</v>
      </c>
      <c r="E137" s="75">
        <v>46077</v>
      </c>
      <c r="F137" s="12">
        <f>COUNTIFS('2026年度培训主表'!N:N,C137,'2026年度培训主表'!E:E,D137)/2</f>
        <v>3</v>
      </c>
      <c r="G137" s="12">
        <f>COUNTIFS('2026年度培训主表'!N:N,C137,'2026年度培训主表'!E:E,D137,'2026年度培训主表'!L:L,"已签到")/2</f>
        <v>3</v>
      </c>
      <c r="H137" s="76">
        <f t="shared" si="2"/>
        <v>1</v>
      </c>
    </row>
    <row r="138" ht="16.5" hidden="1" spans="1:8">
      <c r="A138" s="12" t="s">
        <v>39</v>
      </c>
      <c r="B138" s="12" t="s">
        <v>35</v>
      </c>
      <c r="C138" s="8" t="s">
        <v>1373</v>
      </c>
      <c r="D138" s="74" t="s">
        <v>1349</v>
      </c>
      <c r="E138" s="75">
        <v>46077</v>
      </c>
      <c r="F138" s="12">
        <f>COUNTIFS('2026年度培训主表'!N:N,C138,'2026年度培训主表'!E:E,D138)/2</f>
        <v>1</v>
      </c>
      <c r="G138" s="12">
        <f>COUNTIFS('2026年度培训主表'!N:N,C138,'2026年度培训主表'!E:E,D138,'2026年度培训主表'!L:L,"已签到")/2</f>
        <v>1</v>
      </c>
      <c r="H138" s="76">
        <f t="shared" si="2"/>
        <v>1</v>
      </c>
    </row>
    <row r="139" ht="16.5" hidden="1" spans="1:8">
      <c r="A139" s="12" t="s">
        <v>39</v>
      </c>
      <c r="B139" s="12" t="s">
        <v>26</v>
      </c>
      <c r="C139" s="8" t="s">
        <v>1357</v>
      </c>
      <c r="D139" s="74" t="s">
        <v>1349</v>
      </c>
      <c r="E139" s="75">
        <v>46077</v>
      </c>
      <c r="F139" s="12">
        <f>COUNTIFS('2026年度培训主表'!N:N,C139,'2026年度培训主表'!E:E,D139)/2</f>
        <v>2</v>
      </c>
      <c r="G139" s="12">
        <f>COUNTIFS('2026年度培训主表'!N:N,C139,'2026年度培训主表'!E:E,D139,'2026年度培训主表'!L:L,"已签到")/2</f>
        <v>2</v>
      </c>
      <c r="H139" s="76">
        <f t="shared" si="2"/>
        <v>1</v>
      </c>
    </row>
    <row r="140" ht="16.5" hidden="1" spans="1:8">
      <c r="A140" s="12" t="s">
        <v>39</v>
      </c>
      <c r="B140" s="12" t="s">
        <v>38</v>
      </c>
      <c r="C140" s="8" t="s">
        <v>70</v>
      </c>
      <c r="D140" s="74" t="s">
        <v>1349</v>
      </c>
      <c r="E140" s="75">
        <v>46077</v>
      </c>
      <c r="F140" s="12">
        <f>COUNTIFS('2026年度培训主表'!N:N,C140,'2026年度培训主表'!E:E,D140)/2</f>
        <v>2</v>
      </c>
      <c r="G140" s="12">
        <f>COUNTIFS('2026年度培训主表'!N:N,C140,'2026年度培训主表'!E:E,D140,'2026年度培训主表'!L:L,"已签到")/2</f>
        <v>2</v>
      </c>
      <c r="H140" s="76">
        <f t="shared" si="2"/>
        <v>1</v>
      </c>
    </row>
    <row r="141" ht="16.5" hidden="1" spans="1:8">
      <c r="A141" s="12" t="s">
        <v>39</v>
      </c>
      <c r="B141" s="12" t="s">
        <v>31</v>
      </c>
      <c r="C141" s="8" t="s">
        <v>90</v>
      </c>
      <c r="D141" s="74" t="s">
        <v>1349</v>
      </c>
      <c r="E141" s="75">
        <v>46077</v>
      </c>
      <c r="F141" s="12">
        <f>COUNTIFS('2026年度培训主表'!N:N,C141,'2026年度培训主表'!E:E,D141)/2</f>
        <v>1</v>
      </c>
      <c r="G141" s="12">
        <f>COUNTIFS('2026年度培训主表'!N:N,C141,'2026年度培训主表'!E:E,D141,'2026年度培训主表'!L:L,"已签到")/2</f>
        <v>1</v>
      </c>
      <c r="H141" s="76">
        <f t="shared" si="2"/>
        <v>1</v>
      </c>
    </row>
    <row r="142" ht="16.5" hidden="1" spans="1:8">
      <c r="A142" s="12" t="s">
        <v>39</v>
      </c>
      <c r="B142" s="12" t="s">
        <v>29</v>
      </c>
      <c r="C142" s="8" t="s">
        <v>1377</v>
      </c>
      <c r="D142" s="74" t="s">
        <v>1349</v>
      </c>
      <c r="E142" s="75">
        <v>46077</v>
      </c>
      <c r="F142" s="12">
        <f>COUNTIFS('2026年度培训主表'!N:N,C142,'2026年度培训主表'!E:E,D142)/2</f>
        <v>1</v>
      </c>
      <c r="G142" s="12">
        <f>COUNTIFS('2026年度培训主表'!N:N,C142,'2026年度培训主表'!E:E,D142,'2026年度培训主表'!L:L,"已签到")/2</f>
        <v>1</v>
      </c>
      <c r="H142" s="76">
        <f t="shared" si="2"/>
        <v>1</v>
      </c>
    </row>
    <row r="143" ht="16.5" hidden="1" spans="1:8">
      <c r="A143" s="12" t="s">
        <v>39</v>
      </c>
      <c r="B143" s="12" t="s">
        <v>38</v>
      </c>
      <c r="C143" s="8" t="s">
        <v>144</v>
      </c>
      <c r="D143" s="74" t="s">
        <v>1349</v>
      </c>
      <c r="E143" s="75">
        <v>46077</v>
      </c>
      <c r="F143" s="12">
        <f>COUNTIFS('2026年度培训主表'!N:N,C143,'2026年度培训主表'!E:E,D143)/2</f>
        <v>1</v>
      </c>
      <c r="G143" s="12">
        <f>COUNTIFS('2026年度培训主表'!N:N,C143,'2026年度培训主表'!E:E,D143,'2026年度培训主表'!L:L,"已签到")/2</f>
        <v>1</v>
      </c>
      <c r="H143" s="76">
        <f t="shared" si="2"/>
        <v>1</v>
      </c>
    </row>
    <row r="144" ht="16.5" hidden="1" spans="1:8">
      <c r="A144" s="12" t="s">
        <v>39</v>
      </c>
      <c r="B144" s="12" t="s">
        <v>43</v>
      </c>
      <c r="C144" s="8" t="s">
        <v>1380</v>
      </c>
      <c r="D144" s="74" t="s">
        <v>1349</v>
      </c>
      <c r="E144" s="75">
        <v>46077</v>
      </c>
      <c r="F144" s="12">
        <f>COUNTIFS('2026年度培训主表'!N:N,C144,'2026年度培训主表'!E:E,D144)/2</f>
        <v>1</v>
      </c>
      <c r="G144" s="12">
        <f>COUNTIFS('2026年度培训主表'!N:N,C144,'2026年度培训主表'!E:E,D144,'2026年度培训主表'!L:L,"已签到")/2</f>
        <v>1</v>
      </c>
      <c r="H144" s="76">
        <f t="shared" si="2"/>
        <v>1</v>
      </c>
    </row>
    <row r="145" ht="16.5" hidden="1" spans="1:8">
      <c r="A145" s="12" t="s">
        <v>39</v>
      </c>
      <c r="B145" s="12" t="s">
        <v>31</v>
      </c>
      <c r="C145" s="8" t="s">
        <v>79</v>
      </c>
      <c r="D145" s="74" t="s">
        <v>1349</v>
      </c>
      <c r="E145" s="75">
        <v>46077</v>
      </c>
      <c r="F145" s="12">
        <f>COUNTIFS('2026年度培训主表'!N:N,C145,'2026年度培训主表'!E:E,D145)/2</f>
        <v>2</v>
      </c>
      <c r="G145" s="12">
        <f>COUNTIFS('2026年度培训主表'!N:N,C145,'2026年度培训主表'!E:E,D145,'2026年度培训主表'!L:L,"已签到")/2</f>
        <v>2</v>
      </c>
      <c r="H145" s="76">
        <f t="shared" si="2"/>
        <v>1</v>
      </c>
    </row>
    <row r="146" ht="16.5" hidden="1" spans="1:8">
      <c r="A146" s="12" t="s">
        <v>39</v>
      </c>
      <c r="B146" s="12" t="s">
        <v>33</v>
      </c>
      <c r="C146" s="8" t="s">
        <v>1384</v>
      </c>
      <c r="D146" s="74" t="s">
        <v>1349</v>
      </c>
      <c r="E146" s="75">
        <v>46077</v>
      </c>
      <c r="F146" s="12">
        <f>COUNTIFS('2026年度培训主表'!N:N,C146,'2026年度培训主表'!E:E,D146)/2</f>
        <v>1</v>
      </c>
      <c r="G146" s="12">
        <f>COUNTIFS('2026年度培训主表'!N:N,C146,'2026年度培训主表'!E:E,D146,'2026年度培训主表'!L:L,"已签到")/2</f>
        <v>1</v>
      </c>
      <c r="H146" s="76">
        <f t="shared" si="2"/>
        <v>1</v>
      </c>
    </row>
    <row r="147" ht="16.5" spans="1:8">
      <c r="A147" s="12" t="s">
        <v>45</v>
      </c>
      <c r="B147" s="12" t="s">
        <v>26</v>
      </c>
      <c r="C147" s="12" t="s">
        <v>121</v>
      </c>
      <c r="D147" s="12" t="s">
        <v>25</v>
      </c>
      <c r="E147" s="75">
        <v>46106</v>
      </c>
      <c r="F147" s="80">
        <f>COUNTIFS(《授课类型》维度的参训明细!J:J,E147,《授课类型》维度的参训明细!D:D,C147,《授课类型》维度的参训明细!K:K,D147)</f>
        <v>4</v>
      </c>
      <c r="G147" s="80">
        <f>COUNTIFS(《授课类型》维度的参训明细!J:J,E147,《授课类型》维度的参训明细!D:D,C147,《授课类型》维度的参训明细!K:K,D147,《授课类型》维度的参训明细!I:I,"已签到")</f>
        <v>2</v>
      </c>
      <c r="H147" s="76">
        <f>G147/F147</f>
        <v>0.5</v>
      </c>
    </row>
    <row r="148" ht="16.5" spans="1:8">
      <c r="A148" s="12" t="s">
        <v>45</v>
      </c>
      <c r="B148" s="12" t="s">
        <v>29</v>
      </c>
      <c r="C148" s="12" t="s">
        <v>130</v>
      </c>
      <c r="D148" s="12" t="s">
        <v>25</v>
      </c>
      <c r="E148" s="75">
        <v>46106</v>
      </c>
      <c r="F148" s="80">
        <f>COUNTIFS(《授课类型》维度的参训明细!J:J,E148,《授课类型》维度的参训明细!D:D,C148,《授课类型》维度的参训明细!K:K,D148)</f>
        <v>3</v>
      </c>
      <c r="G148" s="80">
        <f>COUNTIFS(《授课类型》维度的参训明细!J:J,E148,《授课类型》维度的参训明细!D:D,C148,《授课类型》维度的参训明细!K:K,D148,《授课类型》维度的参训明细!I:I,"已签到")</f>
        <v>2</v>
      </c>
      <c r="H148" s="76">
        <f t="shared" ref="H148:H162" si="3">G148/F148</f>
        <v>0.666666666666667</v>
      </c>
    </row>
    <row r="149" ht="16.5" spans="1:8">
      <c r="A149" s="12" t="s">
        <v>45</v>
      </c>
      <c r="B149" s="12" t="s">
        <v>31</v>
      </c>
      <c r="C149" s="12" t="s">
        <v>79</v>
      </c>
      <c r="D149" s="12" t="s">
        <v>25</v>
      </c>
      <c r="E149" s="75">
        <v>46106</v>
      </c>
      <c r="F149" s="80">
        <f>COUNTIFS(《授课类型》维度的参训明细!J:J,E149,《授课类型》维度的参训明细!D:D,C149,《授课类型》维度的参训明细!K:K,D149)</f>
        <v>3</v>
      </c>
      <c r="G149" s="80">
        <f>COUNTIFS(《授课类型》维度的参训明细!J:J,E149,《授课类型》维度的参训明细!D:D,C149,《授课类型》维度的参训明细!K:K,D149,《授课类型》维度的参训明细!I:I,"已签到")</f>
        <v>2</v>
      </c>
      <c r="H149" s="76">
        <f t="shared" si="3"/>
        <v>0.666666666666667</v>
      </c>
    </row>
    <row r="150" ht="16.5" spans="1:8">
      <c r="A150" s="12" t="s">
        <v>45</v>
      </c>
      <c r="B150" s="12" t="s">
        <v>31</v>
      </c>
      <c r="C150" s="12" t="s">
        <v>90</v>
      </c>
      <c r="D150" s="12" t="s">
        <v>25</v>
      </c>
      <c r="E150" s="75">
        <v>46106</v>
      </c>
      <c r="F150" s="80">
        <f>COUNTIFS(《授课类型》维度的参训明细!J:J,E150,《授课类型》维度的参训明细!D:D,C150,《授课类型》维度的参训明细!K:K,D150)</f>
        <v>1</v>
      </c>
      <c r="G150" s="80">
        <f>COUNTIFS(《授课类型》维度的参训明细!J:J,E150,《授课类型》维度的参训明细!D:D,C150,《授课类型》维度的参训明细!K:K,D150,《授课类型》维度的参训明细!I:I,"已签到")</f>
        <v>1</v>
      </c>
      <c r="H150" s="76">
        <f t="shared" si="3"/>
        <v>1</v>
      </c>
    </row>
    <row r="151" ht="16.5" spans="1:8">
      <c r="A151" s="12" t="s">
        <v>45</v>
      </c>
      <c r="B151" s="12" t="s">
        <v>32</v>
      </c>
      <c r="C151" s="12" t="s">
        <v>105</v>
      </c>
      <c r="D151" s="12" t="s">
        <v>25</v>
      </c>
      <c r="E151" s="75">
        <v>46106</v>
      </c>
      <c r="F151" s="80">
        <f>COUNTIFS(《授课类型》维度的参训明细!J:J,E151,《授课类型》维度的参训明细!D:D,C151,《授课类型》维度的参训明细!K:K,D151)</f>
        <v>5</v>
      </c>
      <c r="G151" s="80">
        <f>COUNTIFS(《授课类型》维度的参训明细!J:J,E151,《授课类型》维度的参训明细!D:D,C151,《授课类型》维度的参训明细!K:K,D151,《授课类型》维度的参训明细!I:I,"已签到")</f>
        <v>4</v>
      </c>
      <c r="H151" s="76">
        <f t="shared" si="3"/>
        <v>0.8</v>
      </c>
    </row>
    <row r="152" ht="16.5" spans="1:8">
      <c r="A152" s="12" t="s">
        <v>45</v>
      </c>
      <c r="B152" s="12" t="s">
        <v>33</v>
      </c>
      <c r="C152" s="12" t="s">
        <v>537</v>
      </c>
      <c r="D152" s="12" t="s">
        <v>25</v>
      </c>
      <c r="E152" s="75">
        <v>46106</v>
      </c>
      <c r="F152" s="80">
        <f>COUNTIFS(《授课类型》维度的参训明细!J:J,E152,《授课类型》维度的参训明细!D:D,C152,《授课类型》维度的参训明细!K:K,D152)</f>
        <v>2</v>
      </c>
      <c r="G152" s="80">
        <f>COUNTIFS(《授课类型》维度的参训明细!J:J,E152,《授课类型》维度的参训明细!D:D,C152,《授课类型》维度的参训明细!K:K,D152,《授课类型》维度的参训明细!I:I,"已签到")</f>
        <v>2</v>
      </c>
      <c r="H152" s="76">
        <f t="shared" si="3"/>
        <v>1</v>
      </c>
    </row>
    <row r="153" ht="16.5" spans="1:8">
      <c r="A153" s="12" t="s">
        <v>45</v>
      </c>
      <c r="B153" s="12" t="s">
        <v>35</v>
      </c>
      <c r="C153" s="12" t="s">
        <v>125</v>
      </c>
      <c r="D153" s="12" t="s">
        <v>25</v>
      </c>
      <c r="E153" s="75">
        <v>46106</v>
      </c>
      <c r="F153" s="80">
        <f>COUNTIFS(《授课类型》维度的参训明细!J:J,E153,《授课类型》维度的参训明细!D:D,C153,《授课类型》维度的参训明细!K:K,D153)</f>
        <v>3</v>
      </c>
      <c r="G153" s="80">
        <f>COUNTIFS(《授课类型》维度的参训明细!J:J,E153,《授课类型》维度的参训明细!D:D,C153,《授课类型》维度的参训明细!K:K,D153,《授课类型》维度的参训明细!I:I,"已签到")</f>
        <v>3</v>
      </c>
      <c r="H153" s="76">
        <f t="shared" si="3"/>
        <v>1</v>
      </c>
    </row>
    <row r="154" ht="16.5" spans="1:8">
      <c r="A154" s="12" t="s">
        <v>45</v>
      </c>
      <c r="B154" s="12" t="s">
        <v>37</v>
      </c>
      <c r="C154" s="12" t="s">
        <v>152</v>
      </c>
      <c r="D154" s="12" t="s">
        <v>25</v>
      </c>
      <c r="E154" s="75">
        <v>46106</v>
      </c>
      <c r="F154" s="80">
        <f>COUNTIFS(《授课类型》维度的参训明细!J:J,E154,《授课类型》维度的参训明细!D:D,C154,《授课类型》维度的参训明细!K:K,D154)</f>
        <v>2</v>
      </c>
      <c r="G154" s="80">
        <f>COUNTIFS(《授课类型》维度的参训明细!J:J,E154,《授课类型》维度的参训明细!D:D,C154,《授课类型》维度的参训明细!K:K,D154,《授课类型》维度的参训明细!I:I,"已签到")</f>
        <v>2</v>
      </c>
      <c r="H154" s="76">
        <f t="shared" si="3"/>
        <v>1</v>
      </c>
    </row>
    <row r="155" ht="16.5" spans="1:8">
      <c r="A155" s="12" t="s">
        <v>45</v>
      </c>
      <c r="B155" s="12" t="s">
        <v>37</v>
      </c>
      <c r="C155" s="12" t="s">
        <v>109</v>
      </c>
      <c r="D155" s="12" t="s">
        <v>25</v>
      </c>
      <c r="E155" s="75">
        <v>46106</v>
      </c>
      <c r="F155" s="80">
        <f>COUNTIFS(《授课类型》维度的参训明细!J:J,E155,《授课类型》维度的参训明细!D:D,C155,《授课类型》维度的参训明细!K:K,D155)</f>
        <v>3</v>
      </c>
      <c r="G155" s="80">
        <f>COUNTIFS(《授课类型》维度的参训明细!J:J,E155,《授课类型》维度的参训明细!D:D,C155,《授课类型》维度的参训明细!K:K,D155,《授课类型》维度的参训明细!I:I,"已签到")</f>
        <v>3</v>
      </c>
      <c r="H155" s="76">
        <f t="shared" si="3"/>
        <v>1</v>
      </c>
    </row>
    <row r="156" ht="16.5" spans="1:8">
      <c r="A156" s="12" t="s">
        <v>45</v>
      </c>
      <c r="B156" s="12" t="s">
        <v>38</v>
      </c>
      <c r="C156" s="12" t="s">
        <v>70</v>
      </c>
      <c r="D156" s="12" t="s">
        <v>25</v>
      </c>
      <c r="E156" s="75">
        <v>46106</v>
      </c>
      <c r="F156" s="80">
        <f>COUNTIFS(《授课类型》维度的参训明细!J:J,E156,《授课类型》维度的参训明细!D:D,C156,《授课类型》维度的参训明细!K:K,D156)</f>
        <v>5</v>
      </c>
      <c r="G156" s="80">
        <f>COUNTIFS(《授课类型》维度的参训明细!J:J,E156,《授课类型》维度的参训明细!D:D,C156,《授课类型》维度的参训明细!K:K,D156,《授课类型》维度的参训明细!I:I,"已签到")</f>
        <v>0</v>
      </c>
      <c r="H156" s="76">
        <f t="shared" si="3"/>
        <v>0</v>
      </c>
    </row>
    <row r="157" ht="16.5" spans="1:8">
      <c r="A157" s="12" t="s">
        <v>45</v>
      </c>
      <c r="B157" s="12" t="s">
        <v>38</v>
      </c>
      <c r="C157" s="12" t="s">
        <v>168</v>
      </c>
      <c r="D157" s="12" t="s">
        <v>25</v>
      </c>
      <c r="E157" s="75">
        <v>46106</v>
      </c>
      <c r="F157" s="80">
        <f>COUNTIFS(《授课类型》维度的参训明细!J:J,E157,《授课类型》维度的参训明细!D:D,C157,《授课类型》维度的参训明细!K:K,D157)</f>
        <v>10</v>
      </c>
      <c r="G157" s="80">
        <f>COUNTIFS(《授课类型》维度的参训明细!J:J,E157,《授课类型》维度的参训明细!D:D,C157,《授课类型》维度的参训明细!K:K,D157,《授课类型》维度的参训明细!I:I,"已签到")</f>
        <v>4</v>
      </c>
      <c r="H157" s="76">
        <f t="shared" si="3"/>
        <v>0.4</v>
      </c>
    </row>
    <row r="158" ht="16.5" spans="1:8">
      <c r="A158" s="12" t="s">
        <v>45</v>
      </c>
      <c r="B158" s="12" t="s">
        <v>38</v>
      </c>
      <c r="C158" s="12" t="s">
        <v>75</v>
      </c>
      <c r="D158" s="12" t="s">
        <v>25</v>
      </c>
      <c r="E158" s="75">
        <v>46106</v>
      </c>
      <c r="F158" s="80">
        <f>COUNTIFS(《授课类型》维度的参训明细!J:J,E158,《授课类型》维度的参训明细!D:D,C158,《授课类型》维度的参训明细!K:K,D158)</f>
        <v>9</v>
      </c>
      <c r="G158" s="80">
        <f>COUNTIFS(《授课类型》维度的参训明细!J:J,E158,《授课类型》维度的参训明细!D:D,C158,《授课类型》维度的参训明细!K:K,D158,《授课类型》维度的参训明细!I:I,"已签到")</f>
        <v>2</v>
      </c>
      <c r="H158" s="76">
        <f t="shared" si="3"/>
        <v>0.222222222222222</v>
      </c>
    </row>
    <row r="159" ht="16.5" spans="1:8">
      <c r="A159" s="12" t="s">
        <v>45</v>
      </c>
      <c r="B159" s="12" t="s">
        <v>38</v>
      </c>
      <c r="C159" s="12" t="s">
        <v>148</v>
      </c>
      <c r="D159" s="12" t="s">
        <v>25</v>
      </c>
      <c r="E159" s="75">
        <v>46106</v>
      </c>
      <c r="F159" s="80">
        <f>COUNTIFS(《授课类型》维度的参训明细!J:J,E159,《授课类型》维度的参训明细!D:D,C159,《授课类型》维度的参训明细!K:K,D159)</f>
        <v>3</v>
      </c>
      <c r="G159" s="80">
        <f>COUNTIFS(《授课类型》维度的参训明细!J:J,E159,《授课类型》维度的参训明细!D:D,C159,《授课类型》维度的参训明细!K:K,D159,《授课类型》维度的参训明细!I:I,"已签到")</f>
        <v>2</v>
      </c>
      <c r="H159" s="76">
        <f t="shared" si="3"/>
        <v>0.666666666666667</v>
      </c>
    </row>
    <row r="160" ht="16.5" spans="1:8">
      <c r="A160" s="12" t="s">
        <v>45</v>
      </c>
      <c r="B160" s="12" t="s">
        <v>38</v>
      </c>
      <c r="C160" s="12" t="s">
        <v>144</v>
      </c>
      <c r="D160" s="12" t="s">
        <v>25</v>
      </c>
      <c r="E160" s="75">
        <v>46106</v>
      </c>
      <c r="F160" s="80">
        <f>COUNTIFS(《授课类型》维度的参训明细!J:J,E160,《授课类型》维度的参训明细!D:D,C160,《授课类型》维度的参训明细!K:K,D160)</f>
        <v>4</v>
      </c>
      <c r="G160" s="80">
        <f>COUNTIFS(《授课类型》维度的参训明细!J:J,E160,《授课类型》维度的参训明细!D:D,C160,《授课类型》维度的参训明细!K:K,D160,《授课类型》维度的参训明细!I:I,"已签到")</f>
        <v>0</v>
      </c>
      <c r="H160" s="76">
        <f t="shared" si="3"/>
        <v>0</v>
      </c>
    </row>
    <row r="161" ht="16.5" spans="1:8">
      <c r="A161" s="12" t="s">
        <v>45</v>
      </c>
      <c r="B161" s="12" t="s">
        <v>38</v>
      </c>
      <c r="C161" s="12" t="s">
        <v>63</v>
      </c>
      <c r="D161" s="12" t="s">
        <v>25</v>
      </c>
      <c r="E161" s="75">
        <v>46106</v>
      </c>
      <c r="F161" s="80">
        <f>COUNTIFS(《授课类型》维度的参训明细!J:J,E161,《授课类型》维度的参训明细!D:D,C161,《授课类型》维度的参训明细!K:K,D161)</f>
        <v>11</v>
      </c>
      <c r="G161" s="80">
        <f>COUNTIFS(《授课类型》维度的参训明细!J:J,E161,《授课类型》维度的参训明细!D:D,C161,《授课类型》维度的参训明细!K:K,D161,《授课类型》维度的参训明细!I:I,"已签到")</f>
        <v>1</v>
      </c>
      <c r="H161" s="76">
        <f t="shared" si="3"/>
        <v>0.0909090909090909</v>
      </c>
    </row>
    <row r="162" ht="16.5" spans="1:8">
      <c r="A162" s="12" t="s">
        <v>45</v>
      </c>
      <c r="B162" s="12" t="s">
        <v>38</v>
      </c>
      <c r="C162" s="12" t="s">
        <v>220</v>
      </c>
      <c r="D162" s="12" t="s">
        <v>25</v>
      </c>
      <c r="E162" s="75">
        <v>46106</v>
      </c>
      <c r="F162" s="80">
        <f>COUNTIFS(《授课类型》维度的参训明细!J:J,E162,《授课类型》维度的参训明细!D:D,C162,《授课类型》维度的参训明细!K:K,D162)</f>
        <v>13</v>
      </c>
      <c r="G162" s="80">
        <f>COUNTIFS(《授课类型》维度的参训明细!J:J,E162,《授课类型》维度的参训明细!D:D,C162,《授课类型》维度的参训明细!K:K,D162,《授课类型》维度的参训明细!I:I,"已签到")</f>
        <v>9</v>
      </c>
      <c r="H162" s="76">
        <f t="shared" si="3"/>
        <v>0.692307692307692</v>
      </c>
    </row>
    <row r="163" ht="16.5" spans="1:8">
      <c r="A163" s="12" t="s">
        <v>45</v>
      </c>
      <c r="B163" s="12" t="s">
        <v>38</v>
      </c>
      <c r="C163" s="12" t="s">
        <v>1329</v>
      </c>
      <c r="D163" s="12" t="s">
        <v>25</v>
      </c>
      <c r="E163" s="75">
        <v>46106</v>
      </c>
      <c r="F163" s="81"/>
      <c r="G163" s="81"/>
      <c r="H163" s="82"/>
    </row>
    <row r="164" ht="16.5" spans="1:8">
      <c r="A164" s="12" t="s">
        <v>45</v>
      </c>
      <c r="B164" s="12" t="s">
        <v>26</v>
      </c>
      <c r="C164" s="12" t="s">
        <v>121</v>
      </c>
      <c r="D164" s="12" t="s">
        <v>27</v>
      </c>
      <c r="E164" s="75">
        <v>46093</v>
      </c>
      <c r="F164" s="80">
        <f>COUNTIFS(《授课类型》维度的参训明细!J:J,E164,《授课类型》维度的参训明细!D:D,C164,《授课类型》维度的参训明细!K:K,D164)</f>
        <v>4</v>
      </c>
      <c r="G164" s="80">
        <f>COUNTIFS(《授课类型》维度的参训明细!J:J,E164,《授课类型》维度的参训明细!D:D,C164,《授课类型》维度的参训明细!K:K,D164,《授课类型》维度的参训明细!I:I,"已签到")</f>
        <v>2</v>
      </c>
      <c r="H164" s="76">
        <f>G164/F164</f>
        <v>0.5</v>
      </c>
    </row>
    <row r="165" ht="16.5" spans="1:8">
      <c r="A165" s="12" t="s">
        <v>45</v>
      </c>
      <c r="B165" s="12" t="s">
        <v>29</v>
      </c>
      <c r="C165" s="12" t="s">
        <v>130</v>
      </c>
      <c r="D165" s="12" t="s">
        <v>27</v>
      </c>
      <c r="E165" s="75">
        <v>46093</v>
      </c>
      <c r="F165" s="80">
        <f>COUNTIFS(《授课类型》维度的参训明细!J:J,E165,《授课类型》维度的参训明细!D:D,C165,《授课类型》维度的参训明细!K:K,D165)</f>
        <v>8</v>
      </c>
      <c r="G165" s="80">
        <f>COUNTIFS(《授课类型》维度的参训明细!J:J,E165,《授课类型》维度的参训明细!D:D,C165,《授课类型》维度的参训明细!K:K,D165,《授课类型》维度的参训明细!I:I,"已签到")</f>
        <v>7</v>
      </c>
      <c r="H165" s="76">
        <f t="shared" ref="H165:H181" si="4">G165/F165</f>
        <v>0.875</v>
      </c>
    </row>
    <row r="166" ht="16.5" spans="1:8">
      <c r="A166" s="12" t="s">
        <v>45</v>
      </c>
      <c r="B166" s="12" t="s">
        <v>31</v>
      </c>
      <c r="C166" s="12" t="s">
        <v>79</v>
      </c>
      <c r="D166" s="12" t="s">
        <v>27</v>
      </c>
      <c r="E166" s="75">
        <v>46093</v>
      </c>
      <c r="F166" s="80">
        <f>COUNTIFS(《授课类型》维度的参训明细!J:J,E166,《授课类型》维度的参训明细!D:D,C166,《授课类型》维度的参训明细!K:K,D166)</f>
        <v>9</v>
      </c>
      <c r="G166" s="80">
        <f>COUNTIFS(《授课类型》维度的参训明细!J:J,E166,《授课类型》维度的参训明细!D:D,C166,《授课类型》维度的参训明细!K:K,D166,《授课类型》维度的参训明细!I:I,"已签到")</f>
        <v>9</v>
      </c>
      <c r="H166" s="76">
        <f t="shared" si="4"/>
        <v>1</v>
      </c>
    </row>
    <row r="167" ht="16.5" spans="1:8">
      <c r="A167" s="12" t="s">
        <v>45</v>
      </c>
      <c r="B167" s="12" t="s">
        <v>31</v>
      </c>
      <c r="C167" s="12" t="s">
        <v>90</v>
      </c>
      <c r="D167" s="12" t="s">
        <v>27</v>
      </c>
      <c r="E167" s="75">
        <v>46093</v>
      </c>
      <c r="F167" s="80">
        <f>COUNTIFS(《授课类型》维度的参训明细!J:J,E167,《授课类型》维度的参训明细!D:D,C167,《授课类型》维度的参训明细!K:K,D167)</f>
        <v>1</v>
      </c>
      <c r="G167" s="80">
        <f>COUNTIFS(《授课类型》维度的参训明细!J:J,E167,《授课类型》维度的参训明细!D:D,C167,《授课类型》维度的参训明细!K:K,D167,《授课类型》维度的参训明细!I:I,"已签到")</f>
        <v>0</v>
      </c>
      <c r="H167" s="76">
        <f t="shared" si="4"/>
        <v>0</v>
      </c>
    </row>
    <row r="168" ht="16.5" spans="1:8">
      <c r="A168" s="12" t="s">
        <v>45</v>
      </c>
      <c r="B168" s="12" t="s">
        <v>32</v>
      </c>
      <c r="C168" s="12" t="s">
        <v>105</v>
      </c>
      <c r="D168" s="12" t="s">
        <v>27</v>
      </c>
      <c r="E168" s="75">
        <v>46093</v>
      </c>
      <c r="F168" s="80">
        <f>COUNTIFS(《授课类型》维度的参训明细!J:J,E168,《授课类型》维度的参训明细!D:D,C168,《授课类型》维度的参训明细!K:K,D168)</f>
        <v>3</v>
      </c>
      <c r="G168" s="80">
        <f>COUNTIFS(《授课类型》维度的参训明细!J:J,E168,《授课类型》维度的参训明细!D:D,C168,《授课类型》维度的参训明细!K:K,D168,《授课类型》维度的参训明细!I:I,"已签到")</f>
        <v>2</v>
      </c>
      <c r="H168" s="76">
        <f t="shared" si="4"/>
        <v>0.666666666666667</v>
      </c>
    </row>
    <row r="169" ht="16.5" spans="1:8">
      <c r="A169" s="12" t="s">
        <v>45</v>
      </c>
      <c r="B169" s="12" t="s">
        <v>33</v>
      </c>
      <c r="C169" s="12" t="s">
        <v>537</v>
      </c>
      <c r="D169" s="12" t="s">
        <v>27</v>
      </c>
      <c r="E169" s="75">
        <v>46093</v>
      </c>
      <c r="F169" s="80">
        <f>COUNTIFS(《授课类型》维度的参训明细!J:J,E169,《授课类型》维度的参训明细!D:D,C169,《授课类型》维度的参训明细!K:K,D169)</f>
        <v>2</v>
      </c>
      <c r="G169" s="80">
        <f>COUNTIFS(《授课类型》维度的参训明细!J:J,E169,《授课类型》维度的参训明细!D:D,C169,《授课类型》维度的参训明细!K:K,D169,《授课类型》维度的参训明细!I:I,"已签到")</f>
        <v>2</v>
      </c>
      <c r="H169" s="76">
        <f t="shared" si="4"/>
        <v>1</v>
      </c>
    </row>
    <row r="170" ht="16.5" spans="1:8">
      <c r="A170" s="12" t="s">
        <v>45</v>
      </c>
      <c r="B170" s="12" t="s">
        <v>34</v>
      </c>
      <c r="C170" s="12" t="s">
        <v>351</v>
      </c>
      <c r="D170" s="12" t="s">
        <v>27</v>
      </c>
      <c r="E170" s="75">
        <v>46093</v>
      </c>
      <c r="F170" s="80">
        <f>COUNTIFS(《授课类型》维度的参训明细!J:J,E170,《授课类型》维度的参训明细!D:D,C170,《授课类型》维度的参训明细!K:K,D170)</f>
        <v>3</v>
      </c>
      <c r="G170" s="80">
        <f>COUNTIFS(《授课类型》维度的参训明细!J:J,E170,《授课类型》维度的参训明细!D:D,C170,《授课类型》维度的参训明细!K:K,D170,《授课类型》维度的参训明细!I:I,"已签到")</f>
        <v>3</v>
      </c>
      <c r="H170" s="76">
        <f t="shared" si="4"/>
        <v>1</v>
      </c>
    </row>
    <row r="171" ht="16.5" spans="1:8">
      <c r="A171" s="12" t="s">
        <v>45</v>
      </c>
      <c r="B171" s="12" t="s">
        <v>35</v>
      </c>
      <c r="C171" s="12" t="s">
        <v>125</v>
      </c>
      <c r="D171" s="12" t="s">
        <v>27</v>
      </c>
      <c r="E171" s="75">
        <v>46093</v>
      </c>
      <c r="F171" s="80">
        <f>COUNTIFS(《授课类型》维度的参训明细!J:J,E171,《授课类型》维度的参训明细!D:D,C171,《授课类型》维度的参训明细!K:K,D171)</f>
        <v>6</v>
      </c>
      <c r="G171" s="80">
        <f>COUNTIFS(《授课类型》维度的参训明细!J:J,E171,《授课类型》维度的参训明细!D:D,C171,《授课类型》维度的参训明细!K:K,D171,《授课类型》维度的参训明细!I:I,"已签到")</f>
        <v>3</v>
      </c>
      <c r="H171" s="76">
        <f t="shared" si="4"/>
        <v>0.5</v>
      </c>
    </row>
    <row r="172" ht="16.5" spans="1:8">
      <c r="A172" s="12" t="s">
        <v>45</v>
      </c>
      <c r="B172" s="12" t="s">
        <v>36</v>
      </c>
      <c r="C172" s="12" t="s">
        <v>173</v>
      </c>
      <c r="D172" s="12" t="s">
        <v>27</v>
      </c>
      <c r="E172" s="75">
        <v>46093</v>
      </c>
      <c r="F172" s="80">
        <f>COUNTIFS(《授课类型》维度的参训明细!J:J,E172,《授课类型》维度的参训明细!D:D,C172,《授课类型》维度的参训明细!K:K,D172)</f>
        <v>7</v>
      </c>
      <c r="G172" s="80">
        <f>COUNTIFS(《授课类型》维度的参训明细!J:J,E172,《授课类型》维度的参训明细!D:D,C172,《授课类型》维度的参训明细!K:K,D172,《授课类型》维度的参训明细!I:I,"已签到")</f>
        <v>7</v>
      </c>
      <c r="H172" s="76">
        <f t="shared" si="4"/>
        <v>1</v>
      </c>
    </row>
    <row r="173" ht="16.5" spans="1:8">
      <c r="A173" s="12" t="s">
        <v>45</v>
      </c>
      <c r="B173" s="12" t="s">
        <v>37</v>
      </c>
      <c r="C173" s="12" t="s">
        <v>152</v>
      </c>
      <c r="D173" s="12" t="s">
        <v>27</v>
      </c>
      <c r="E173" s="75">
        <v>46093</v>
      </c>
      <c r="F173" s="80">
        <f>COUNTIFS(《授课类型》维度的参训明细!J:J,E173,《授课类型》维度的参训明细!D:D,C173,《授课类型》维度的参训明细!K:K,D173)</f>
        <v>6</v>
      </c>
      <c r="G173" s="80">
        <f>COUNTIFS(《授课类型》维度的参训明细!J:J,E173,《授课类型》维度的参训明细!D:D,C173,《授课类型》维度的参训明细!K:K,D173,《授课类型》维度的参训明细!I:I,"已签到")</f>
        <v>2</v>
      </c>
      <c r="H173" s="76">
        <f t="shared" si="4"/>
        <v>0.333333333333333</v>
      </c>
    </row>
    <row r="174" ht="16.5" spans="1:8">
      <c r="A174" s="12" t="s">
        <v>45</v>
      </c>
      <c r="B174" s="12" t="s">
        <v>37</v>
      </c>
      <c r="C174" s="12" t="s">
        <v>109</v>
      </c>
      <c r="D174" s="12" t="s">
        <v>27</v>
      </c>
      <c r="E174" s="75">
        <v>46093</v>
      </c>
      <c r="F174" s="80">
        <f>COUNTIFS(《授课类型》维度的参训明细!J:J,E174,《授课类型》维度的参训明细!D:D,C174,《授课类型》维度的参训明细!K:K,D174)</f>
        <v>7</v>
      </c>
      <c r="G174" s="80">
        <f>COUNTIFS(《授课类型》维度的参训明细!J:J,E174,《授课类型》维度的参训明细!D:D,C174,《授课类型》维度的参训明细!K:K,D174,《授课类型》维度的参训明细!I:I,"已签到")</f>
        <v>5</v>
      </c>
      <c r="H174" s="76">
        <f t="shared" si="4"/>
        <v>0.714285714285714</v>
      </c>
    </row>
    <row r="175" ht="16.5" spans="1:8">
      <c r="A175" s="12" t="s">
        <v>45</v>
      </c>
      <c r="B175" s="12" t="s">
        <v>38</v>
      </c>
      <c r="C175" s="12" t="s">
        <v>70</v>
      </c>
      <c r="D175" s="12" t="s">
        <v>27</v>
      </c>
      <c r="E175" s="75">
        <v>46093</v>
      </c>
      <c r="F175" s="80">
        <f>COUNTIFS(《授课类型》维度的参训明细!J:J,E175,《授课类型》维度的参训明细!D:D,C175,《授课类型》维度的参训明细!K:K,D175)</f>
        <v>4</v>
      </c>
      <c r="G175" s="80">
        <f>COUNTIFS(《授课类型》维度的参训明细!J:J,E175,《授课类型》维度的参训明细!D:D,C175,《授课类型》维度的参训明细!K:K,D175,《授课类型》维度的参训明细!I:I,"已签到")</f>
        <v>2</v>
      </c>
      <c r="H175" s="76">
        <f t="shared" si="4"/>
        <v>0.5</v>
      </c>
    </row>
    <row r="176" ht="16.5" spans="1:8">
      <c r="A176" s="12" t="s">
        <v>45</v>
      </c>
      <c r="B176" s="12" t="s">
        <v>38</v>
      </c>
      <c r="C176" s="12" t="s">
        <v>168</v>
      </c>
      <c r="D176" s="12" t="s">
        <v>27</v>
      </c>
      <c r="E176" s="75">
        <v>46093</v>
      </c>
      <c r="F176" s="80">
        <f>COUNTIFS(《授课类型》维度的参训明细!J:J,E176,《授课类型》维度的参训明细!D:D,C176,《授课类型》维度的参训明细!K:K,D176)</f>
        <v>10</v>
      </c>
      <c r="G176" s="80">
        <f>COUNTIFS(《授课类型》维度的参训明细!J:J,E176,《授课类型》维度的参训明细!D:D,C176,《授课类型》维度的参训明细!K:K,D176,《授课类型》维度的参训明细!I:I,"已签到")</f>
        <v>3</v>
      </c>
      <c r="H176" s="76">
        <f t="shared" si="4"/>
        <v>0.3</v>
      </c>
    </row>
    <row r="177" ht="16.5" spans="1:8">
      <c r="A177" s="12" t="s">
        <v>45</v>
      </c>
      <c r="B177" s="12" t="s">
        <v>38</v>
      </c>
      <c r="C177" s="12" t="s">
        <v>75</v>
      </c>
      <c r="D177" s="12" t="s">
        <v>27</v>
      </c>
      <c r="E177" s="75">
        <v>46093</v>
      </c>
      <c r="F177" s="80">
        <f>COUNTIFS(《授课类型》维度的参训明细!J:J,E177,《授课类型》维度的参训明细!D:D,C177,《授课类型》维度的参训明细!K:K,D177)</f>
        <v>10</v>
      </c>
      <c r="G177" s="80">
        <f>COUNTIFS(《授课类型》维度的参训明细!J:J,E177,《授课类型》维度的参训明细!D:D,C177,《授课类型》维度的参训明细!K:K,D177,《授课类型》维度的参训明细!I:I,"已签到")</f>
        <v>9</v>
      </c>
      <c r="H177" s="76">
        <f t="shared" si="4"/>
        <v>0.9</v>
      </c>
    </row>
    <row r="178" ht="16.5" spans="1:8">
      <c r="A178" s="12" t="s">
        <v>45</v>
      </c>
      <c r="B178" s="12" t="s">
        <v>38</v>
      </c>
      <c r="C178" s="12" t="s">
        <v>148</v>
      </c>
      <c r="D178" s="12" t="s">
        <v>27</v>
      </c>
      <c r="E178" s="75">
        <v>46093</v>
      </c>
      <c r="F178" s="80">
        <f>COUNTIFS(《授课类型》维度的参训明细!J:J,E178,《授课类型》维度的参训明细!D:D,C178,《授课类型》维度的参训明细!K:K,D178)</f>
        <v>12</v>
      </c>
      <c r="G178" s="80">
        <f>COUNTIFS(《授课类型》维度的参训明细!J:J,E178,《授课类型》维度的参训明细!D:D,C178,《授课类型》维度的参训明细!K:K,D178,《授课类型》维度的参训明细!I:I,"已签到")</f>
        <v>5</v>
      </c>
      <c r="H178" s="76">
        <f t="shared" si="4"/>
        <v>0.416666666666667</v>
      </c>
    </row>
    <row r="179" ht="16.5" spans="1:8">
      <c r="A179" s="12" t="s">
        <v>45</v>
      </c>
      <c r="B179" s="12" t="s">
        <v>38</v>
      </c>
      <c r="C179" s="12" t="s">
        <v>144</v>
      </c>
      <c r="D179" s="12" t="s">
        <v>27</v>
      </c>
      <c r="E179" s="75">
        <v>46093</v>
      </c>
      <c r="F179" s="80">
        <f>COUNTIFS(《授课类型》维度的参训明细!J:J,E179,《授课类型》维度的参训明细!D:D,C179,《授课类型》维度的参训明细!K:K,D179)</f>
        <v>6</v>
      </c>
      <c r="G179" s="80">
        <f>COUNTIFS(《授课类型》维度的参训明细!J:J,E179,《授课类型》维度的参训明细!D:D,C179,《授课类型》维度的参训明细!K:K,D179,《授课类型》维度的参训明细!I:I,"已签到")</f>
        <v>6</v>
      </c>
      <c r="H179" s="76">
        <f t="shared" si="4"/>
        <v>1</v>
      </c>
    </row>
    <row r="180" ht="16.5" spans="1:8">
      <c r="A180" s="12" t="s">
        <v>45</v>
      </c>
      <c r="B180" s="12" t="s">
        <v>38</v>
      </c>
      <c r="C180" s="12" t="s">
        <v>63</v>
      </c>
      <c r="D180" s="12" t="s">
        <v>27</v>
      </c>
      <c r="E180" s="75">
        <v>46093</v>
      </c>
      <c r="F180" s="80">
        <f>COUNTIFS(《授课类型》维度的参训明细!J:J,E180,《授课类型》维度的参训明细!D:D,C180,《授课类型》维度的参训明细!K:K,D180)</f>
        <v>11</v>
      </c>
      <c r="G180" s="80">
        <f>COUNTIFS(《授课类型》维度的参训明细!J:J,E180,《授课类型》维度的参训明细!D:D,C180,《授课类型》维度的参训明细!K:K,D180,《授课类型》维度的参训明细!I:I,"已签到")</f>
        <v>6</v>
      </c>
      <c r="H180" s="76">
        <f t="shared" si="4"/>
        <v>0.545454545454545</v>
      </c>
    </row>
    <row r="181" ht="16.5" spans="1:8">
      <c r="A181" s="12" t="s">
        <v>45</v>
      </c>
      <c r="B181" s="12" t="s">
        <v>38</v>
      </c>
      <c r="C181" s="12" t="s">
        <v>220</v>
      </c>
      <c r="D181" s="12" t="s">
        <v>27</v>
      </c>
      <c r="E181" s="75">
        <v>46093</v>
      </c>
      <c r="F181" s="80">
        <f>COUNTIFS(《授课类型》维度的参训明细!J:J,E181,《授课类型》维度的参训明细!D:D,C181,《授课类型》维度的参训明细!K:K,D181)</f>
        <v>8</v>
      </c>
      <c r="G181" s="80">
        <f>COUNTIFS(《授课类型》维度的参训明细!J:J,E181,《授课类型》维度的参训明细!D:D,C181,《授课类型》维度的参训明细!K:K,D181,《授课类型》维度的参训明细!I:I,"已签到")</f>
        <v>5</v>
      </c>
      <c r="H181" s="76">
        <f t="shared" si="4"/>
        <v>0.625</v>
      </c>
    </row>
    <row r="182" ht="16.5" hidden="1" spans="1:8">
      <c r="A182" s="12" t="s">
        <v>45</v>
      </c>
      <c r="B182" s="12" t="s">
        <v>26</v>
      </c>
      <c r="C182" s="12" t="s">
        <v>121</v>
      </c>
      <c r="D182" s="46" t="s">
        <v>30</v>
      </c>
      <c r="E182" s="75">
        <v>46084</v>
      </c>
      <c r="F182" s="80">
        <f>COUNTIFS(《授课类型》维度的参训明细!J:J,E182,《授课类型》维度的参训明细!D:D,C182,《授课类型》维度的参训明细!K:K,D182)</f>
        <v>1</v>
      </c>
      <c r="G182" s="80">
        <f>COUNTIFS(《授课类型》维度的参训明细!J:J,E182,《授课类型》维度的参训明细!D:D,C182,《授课类型》维度的参训明细!K:K,D182,《授课类型》维度的参训明细!I:I,"已签到")</f>
        <v>1</v>
      </c>
      <c r="H182" s="76">
        <f>G182/F182</f>
        <v>1</v>
      </c>
    </row>
    <row r="183" ht="16.5" hidden="1" spans="1:8">
      <c r="A183" s="12" t="s">
        <v>45</v>
      </c>
      <c r="B183" s="12" t="s">
        <v>29</v>
      </c>
      <c r="C183" s="12" t="s">
        <v>130</v>
      </c>
      <c r="D183" s="46" t="s">
        <v>30</v>
      </c>
      <c r="E183" s="75">
        <v>46084</v>
      </c>
      <c r="F183" s="80">
        <f>COUNTIFS(《授课类型》维度的参训明细!J:J,E183,《授课类型》维度的参训明细!D:D,C183,《授课类型》维度的参训明细!K:K,D183)</f>
        <v>2</v>
      </c>
      <c r="G183" s="80">
        <f>COUNTIFS(《授课类型》维度的参训明细!J:J,E183,《授课类型》维度的参训明细!D:D,C183,《授课类型》维度的参训明细!K:K,D183,《授课类型》维度的参训明细!I:I,"已签到")</f>
        <v>2</v>
      </c>
      <c r="H183" s="76">
        <f t="shared" ref="H183:H194" si="5">G183/F183</f>
        <v>1</v>
      </c>
    </row>
    <row r="184" ht="16.5" hidden="1" spans="1:8">
      <c r="A184" s="12" t="s">
        <v>45</v>
      </c>
      <c r="B184" s="12" t="s">
        <v>31</v>
      </c>
      <c r="C184" s="12" t="s">
        <v>90</v>
      </c>
      <c r="D184" s="46" t="s">
        <v>30</v>
      </c>
      <c r="E184" s="75">
        <v>46084</v>
      </c>
      <c r="F184" s="80">
        <f>COUNTIFS(《授课类型》维度的参训明细!J:J,E184,《授课类型》维度的参训明细!D:D,C184,《授课类型》维度的参训明细!K:K,D184)</f>
        <v>1</v>
      </c>
      <c r="G184" s="80">
        <f>COUNTIFS(《授课类型》维度的参训明细!J:J,E184,《授课类型》维度的参训明细!D:D,C184,《授课类型》维度的参训明细!K:K,D184,《授课类型》维度的参训明细!I:I,"已签到")</f>
        <v>1</v>
      </c>
      <c r="H184" s="76">
        <f t="shared" si="5"/>
        <v>1</v>
      </c>
    </row>
    <row r="185" ht="16.5" hidden="1" spans="1:8">
      <c r="A185" s="12" t="s">
        <v>45</v>
      </c>
      <c r="B185" s="12" t="s">
        <v>32</v>
      </c>
      <c r="C185" s="12" t="s">
        <v>105</v>
      </c>
      <c r="D185" s="46" t="s">
        <v>30</v>
      </c>
      <c r="E185" s="75">
        <v>46084</v>
      </c>
      <c r="F185" s="80">
        <f>COUNTIFS(《授课类型》维度的参训明细!J:J,E185,《授课类型》维度的参训明细!D:D,C185,《授课类型》维度的参训明细!K:K,D185)</f>
        <v>2</v>
      </c>
      <c r="G185" s="80">
        <f>COUNTIFS(《授课类型》维度的参训明细!J:J,E185,《授课类型》维度的参训明细!D:D,C185,《授课类型》维度的参训明细!K:K,D185,《授课类型》维度的参训明细!I:I,"已签到")</f>
        <v>2</v>
      </c>
      <c r="H185" s="76">
        <f t="shared" si="5"/>
        <v>1</v>
      </c>
    </row>
    <row r="186" ht="16.5" hidden="1" spans="1:8">
      <c r="A186" s="12" t="s">
        <v>45</v>
      </c>
      <c r="B186" s="12" t="s">
        <v>35</v>
      </c>
      <c r="C186" s="12" t="s">
        <v>125</v>
      </c>
      <c r="D186" s="46" t="s">
        <v>30</v>
      </c>
      <c r="E186" s="75">
        <v>46084</v>
      </c>
      <c r="F186" s="80">
        <f>COUNTIFS(《授课类型》维度的参训明细!J:J,E186,《授课类型》维度的参训明细!D:D,C186,《授课类型》维度的参训明细!K:K,D186)</f>
        <v>1</v>
      </c>
      <c r="G186" s="80">
        <f>COUNTIFS(《授课类型》维度的参训明细!J:J,E186,《授课类型》维度的参训明细!D:D,C186,《授课类型》维度的参训明细!K:K,D186,《授课类型》维度的参训明细!I:I,"已签到")</f>
        <v>1</v>
      </c>
      <c r="H186" s="76">
        <f t="shared" si="5"/>
        <v>1</v>
      </c>
    </row>
    <row r="187" ht="16.5" hidden="1" spans="1:8">
      <c r="A187" s="12" t="s">
        <v>45</v>
      </c>
      <c r="B187" s="12" t="s">
        <v>36</v>
      </c>
      <c r="C187" s="12" t="s">
        <v>173</v>
      </c>
      <c r="D187" s="46" t="s">
        <v>30</v>
      </c>
      <c r="E187" s="75">
        <v>46084</v>
      </c>
      <c r="F187" s="80">
        <f>COUNTIFS(《授课类型》维度的参训明细!J:J,E187,《授课类型》维度的参训明细!D:D,C187,《授课类型》维度的参训明细!K:K,D187)</f>
        <v>1</v>
      </c>
      <c r="G187" s="80">
        <f>COUNTIFS(《授课类型》维度的参训明细!J:J,E187,《授课类型》维度的参训明细!D:D,C187,《授课类型》维度的参训明细!K:K,D187,《授课类型》维度的参训明细!I:I,"已签到")</f>
        <v>1</v>
      </c>
      <c r="H187" s="76">
        <f t="shared" si="5"/>
        <v>1</v>
      </c>
    </row>
    <row r="188" ht="16.5" hidden="1" spans="1:8">
      <c r="A188" s="12" t="s">
        <v>45</v>
      </c>
      <c r="B188" s="12" t="s">
        <v>37</v>
      </c>
      <c r="C188" s="12" t="s">
        <v>152</v>
      </c>
      <c r="D188" s="46" t="s">
        <v>30</v>
      </c>
      <c r="E188" s="75">
        <v>46084</v>
      </c>
      <c r="F188" s="80">
        <f>COUNTIFS(《授课类型》维度的参训明细!J:J,E188,《授课类型》维度的参训明细!D:D,C188,《授课类型》维度的参训明细!K:K,D188)</f>
        <v>1</v>
      </c>
      <c r="G188" s="80">
        <f>COUNTIFS(《授课类型》维度的参训明细!J:J,E188,《授课类型》维度的参训明细!D:D,C188,《授课类型》维度的参训明细!K:K,D188,《授课类型》维度的参训明细!I:I,"已签到")</f>
        <v>1</v>
      </c>
      <c r="H188" s="76">
        <f t="shared" si="5"/>
        <v>1</v>
      </c>
    </row>
    <row r="189" ht="16.5" hidden="1" spans="1:8">
      <c r="A189" s="12" t="s">
        <v>45</v>
      </c>
      <c r="B189" s="12" t="s">
        <v>37</v>
      </c>
      <c r="C189" s="12" t="s">
        <v>109</v>
      </c>
      <c r="D189" s="46" t="s">
        <v>30</v>
      </c>
      <c r="E189" s="75">
        <v>46084</v>
      </c>
      <c r="F189" s="80">
        <f>COUNTIFS(《授课类型》维度的参训明细!J:J,E189,《授课类型》维度的参训明细!D:D,C189,《授课类型》维度的参训明细!K:K,D189)</f>
        <v>2</v>
      </c>
      <c r="G189" s="80">
        <f>COUNTIFS(《授课类型》维度的参训明细!J:J,E189,《授课类型》维度的参训明细!D:D,C189,《授课类型》维度的参训明细!K:K,D189,《授课类型》维度的参训明细!I:I,"已签到")</f>
        <v>2</v>
      </c>
      <c r="H189" s="76">
        <f t="shared" si="5"/>
        <v>1</v>
      </c>
    </row>
    <row r="190" ht="16.5" hidden="1" spans="1:8">
      <c r="A190" s="12" t="s">
        <v>45</v>
      </c>
      <c r="B190" s="12" t="s">
        <v>38</v>
      </c>
      <c r="C190" s="12" t="s">
        <v>70</v>
      </c>
      <c r="D190" s="46" t="s">
        <v>30</v>
      </c>
      <c r="E190" s="75">
        <v>46084</v>
      </c>
      <c r="F190" s="80">
        <f>COUNTIFS(《授课类型》维度的参训明细!J:J,E190,《授课类型》维度的参训明细!D:D,C190,《授课类型》维度的参训明细!K:K,D190)</f>
        <v>3</v>
      </c>
      <c r="G190" s="80">
        <f>COUNTIFS(《授课类型》维度的参训明细!J:J,E190,《授课类型》维度的参训明细!D:D,C190,《授课类型》维度的参训明细!K:K,D190,《授课类型》维度的参训明细!I:I,"已签到")</f>
        <v>3</v>
      </c>
      <c r="H190" s="76">
        <f t="shared" si="5"/>
        <v>1</v>
      </c>
    </row>
    <row r="191" ht="16.5" hidden="1" spans="1:8">
      <c r="A191" s="12" t="s">
        <v>45</v>
      </c>
      <c r="B191" s="12" t="s">
        <v>38</v>
      </c>
      <c r="C191" s="12" t="s">
        <v>168</v>
      </c>
      <c r="D191" s="46" t="s">
        <v>30</v>
      </c>
      <c r="E191" s="75">
        <v>46084</v>
      </c>
      <c r="F191" s="80">
        <f>COUNTIFS(《授课类型》维度的参训明细!J:J,E191,《授课类型》维度的参训明细!D:D,C191,《授课类型》维度的参训明细!K:K,D191)</f>
        <v>1</v>
      </c>
      <c r="G191" s="80">
        <f>COUNTIFS(《授课类型》维度的参训明细!J:J,E191,《授课类型》维度的参训明细!D:D,C191,《授课类型》维度的参训明细!K:K,D191,《授课类型》维度的参训明细!I:I,"已签到")</f>
        <v>1</v>
      </c>
      <c r="H191" s="76">
        <f t="shared" si="5"/>
        <v>1</v>
      </c>
    </row>
    <row r="192" ht="16.5" hidden="1" spans="1:8">
      <c r="A192" s="12" t="s">
        <v>45</v>
      </c>
      <c r="B192" s="12" t="s">
        <v>38</v>
      </c>
      <c r="C192" s="12" t="s">
        <v>75</v>
      </c>
      <c r="D192" s="46" t="s">
        <v>30</v>
      </c>
      <c r="E192" s="75">
        <v>46084</v>
      </c>
      <c r="F192" s="80">
        <f>COUNTIFS(《授课类型》维度的参训明细!J:J,E192,《授课类型》维度的参训明细!D:D,C192,《授课类型》维度的参训明细!K:K,D192)</f>
        <v>2</v>
      </c>
      <c r="G192" s="80">
        <f>COUNTIFS(《授课类型》维度的参训明细!J:J,E192,《授课类型》维度的参训明细!D:D,C192,《授课类型》维度的参训明细!K:K,D192,《授课类型》维度的参训明细!I:I,"已签到")</f>
        <v>2</v>
      </c>
      <c r="H192" s="76">
        <f t="shared" si="5"/>
        <v>1</v>
      </c>
    </row>
    <row r="193" ht="16.5" hidden="1" spans="1:8">
      <c r="A193" s="12" t="s">
        <v>45</v>
      </c>
      <c r="B193" s="12" t="s">
        <v>38</v>
      </c>
      <c r="C193" s="12" t="s">
        <v>144</v>
      </c>
      <c r="D193" s="46" t="s">
        <v>30</v>
      </c>
      <c r="E193" s="75">
        <v>46084</v>
      </c>
      <c r="F193" s="80">
        <f>COUNTIFS(《授课类型》维度的参训明细!J:J,E193,《授课类型》维度的参训明细!D:D,C193,《授课类型》维度的参训明细!K:K,D193)</f>
        <v>1</v>
      </c>
      <c r="G193" s="80">
        <f>COUNTIFS(《授课类型》维度的参训明细!J:J,E193,《授课类型》维度的参训明细!D:D,C193,《授课类型》维度的参训明细!K:K,D193,《授课类型》维度的参训明细!I:I,"已签到")</f>
        <v>1</v>
      </c>
      <c r="H193" s="76">
        <f t="shared" si="5"/>
        <v>1</v>
      </c>
    </row>
    <row r="194" ht="16.5" hidden="1" spans="1:8">
      <c r="A194" s="12" t="s">
        <v>45</v>
      </c>
      <c r="B194" s="12" t="s">
        <v>38</v>
      </c>
      <c r="C194" s="12" t="s">
        <v>63</v>
      </c>
      <c r="D194" s="46" t="s">
        <v>30</v>
      </c>
      <c r="E194" s="75">
        <v>46084</v>
      </c>
      <c r="F194" s="80">
        <f>COUNTIFS(《授课类型》维度的参训明细!J:J,E194,《授课类型》维度的参训明细!D:D,C194,《授课类型》维度的参训明细!K:K,D194)</f>
        <v>2</v>
      </c>
      <c r="G194" s="80">
        <f>COUNTIFS(《授课类型》维度的参训明细!J:J,E194,《授课类型》维度的参训明细!D:D,C194,《授课类型》维度的参训明细!K:K,D194,《授课类型》维度的参训明细!I:I,"已签到")</f>
        <v>2</v>
      </c>
      <c r="H194" s="76">
        <f t="shared" si="5"/>
        <v>1</v>
      </c>
    </row>
    <row r="195" ht="16.5" hidden="1" spans="1:8">
      <c r="A195" s="12" t="s">
        <v>45</v>
      </c>
      <c r="B195" s="12" t="s">
        <v>26</v>
      </c>
      <c r="C195" s="12" t="s">
        <v>121</v>
      </c>
      <c r="D195" s="46" t="s">
        <v>30</v>
      </c>
      <c r="E195" s="75">
        <v>46085</v>
      </c>
      <c r="F195" s="80">
        <f>COUNTIFS(《授课类型》维度的参训明细!J:J,E195,《授课类型》维度的参训明细!D:D,C195,《授课类型》维度的参训明细!K:K,D195)</f>
        <v>1</v>
      </c>
      <c r="G195" s="80">
        <f>COUNTIFS(《授课类型》维度的参训明细!J:J,E195,《授课类型》维度的参训明细!D:D,C195,《授课类型》维度的参训明细!K:K,D195,《授课类型》维度的参训明细!I:I,"已签到")</f>
        <v>1</v>
      </c>
      <c r="H195" s="76">
        <f>G195/F195</f>
        <v>1</v>
      </c>
    </row>
    <row r="196" ht="16.5" hidden="1" spans="1:8">
      <c r="A196" s="12" t="s">
        <v>45</v>
      </c>
      <c r="B196" s="12" t="s">
        <v>29</v>
      </c>
      <c r="C196" s="12" t="s">
        <v>130</v>
      </c>
      <c r="D196" s="46" t="s">
        <v>30</v>
      </c>
      <c r="E196" s="75">
        <v>46085</v>
      </c>
      <c r="F196" s="80">
        <f>COUNTIFS(《授课类型》维度的参训明细!J:J,E196,《授课类型》维度的参训明细!D:D,C196,《授课类型》维度的参训明细!K:K,D196)</f>
        <v>2</v>
      </c>
      <c r="G196" s="80">
        <f>COUNTIFS(《授课类型》维度的参训明细!J:J,E196,《授课类型》维度的参训明细!D:D,C196,《授课类型》维度的参训明细!K:K,D196,《授课类型》维度的参训明细!I:I,"已签到")</f>
        <v>2</v>
      </c>
      <c r="H196" s="76">
        <f t="shared" ref="H196:H207" si="6">G196/F196</f>
        <v>1</v>
      </c>
    </row>
    <row r="197" ht="16.5" hidden="1" spans="1:8">
      <c r="A197" s="12" t="s">
        <v>45</v>
      </c>
      <c r="B197" s="12" t="s">
        <v>31</v>
      </c>
      <c r="C197" s="12" t="s">
        <v>90</v>
      </c>
      <c r="D197" s="46" t="s">
        <v>30</v>
      </c>
      <c r="E197" s="75">
        <v>46085</v>
      </c>
      <c r="F197" s="80">
        <f>COUNTIFS(《授课类型》维度的参训明细!J:J,E197,《授课类型》维度的参训明细!D:D,C197,《授课类型》维度的参训明细!K:K,D197)</f>
        <v>1</v>
      </c>
      <c r="G197" s="80">
        <f>COUNTIFS(《授课类型》维度的参训明细!J:J,E197,《授课类型》维度的参训明细!D:D,C197,《授课类型》维度的参训明细!K:K,D197,《授课类型》维度的参训明细!I:I,"已签到")</f>
        <v>1</v>
      </c>
      <c r="H197" s="76">
        <f t="shared" si="6"/>
        <v>1</v>
      </c>
    </row>
    <row r="198" ht="16.5" hidden="1" spans="1:8">
      <c r="A198" s="12" t="s">
        <v>45</v>
      </c>
      <c r="B198" s="12" t="s">
        <v>32</v>
      </c>
      <c r="C198" s="12" t="s">
        <v>105</v>
      </c>
      <c r="D198" s="46" t="s">
        <v>30</v>
      </c>
      <c r="E198" s="75">
        <v>46085</v>
      </c>
      <c r="F198" s="80">
        <f>COUNTIFS(《授课类型》维度的参训明细!J:J,E198,《授课类型》维度的参训明细!D:D,C198,《授课类型》维度的参训明细!K:K,D198)</f>
        <v>2</v>
      </c>
      <c r="G198" s="80">
        <f>COUNTIFS(《授课类型》维度的参训明细!J:J,E198,《授课类型》维度的参训明细!D:D,C198,《授课类型》维度的参训明细!K:K,D198,《授课类型》维度的参训明细!I:I,"已签到")</f>
        <v>2</v>
      </c>
      <c r="H198" s="76">
        <f t="shared" si="6"/>
        <v>1</v>
      </c>
    </row>
    <row r="199" ht="16.5" hidden="1" spans="1:8">
      <c r="A199" s="12" t="s">
        <v>45</v>
      </c>
      <c r="B199" s="12" t="s">
        <v>35</v>
      </c>
      <c r="C199" s="12" t="s">
        <v>125</v>
      </c>
      <c r="D199" s="46" t="s">
        <v>30</v>
      </c>
      <c r="E199" s="75">
        <v>46085</v>
      </c>
      <c r="F199" s="80">
        <f>COUNTIFS(《授课类型》维度的参训明细!J:J,E199,《授课类型》维度的参训明细!D:D,C199,《授课类型》维度的参训明细!K:K,D199)</f>
        <v>1</v>
      </c>
      <c r="G199" s="80">
        <f>COUNTIFS(《授课类型》维度的参训明细!J:J,E199,《授课类型》维度的参训明细!D:D,C199,《授课类型》维度的参训明细!K:K,D199,《授课类型》维度的参训明细!I:I,"已签到")</f>
        <v>1</v>
      </c>
      <c r="H199" s="76">
        <f t="shared" si="6"/>
        <v>1</v>
      </c>
    </row>
    <row r="200" ht="16.5" hidden="1" spans="1:8">
      <c r="A200" s="12" t="s">
        <v>45</v>
      </c>
      <c r="B200" s="12" t="s">
        <v>36</v>
      </c>
      <c r="C200" s="12" t="s">
        <v>173</v>
      </c>
      <c r="D200" s="46" t="s">
        <v>30</v>
      </c>
      <c r="E200" s="75">
        <v>46085</v>
      </c>
      <c r="F200" s="80">
        <f>COUNTIFS(《授课类型》维度的参训明细!J:J,E200,《授课类型》维度的参训明细!D:D,C200,《授课类型》维度的参训明细!K:K,D200)</f>
        <v>1</v>
      </c>
      <c r="G200" s="80">
        <f>COUNTIFS(《授课类型》维度的参训明细!J:J,E200,《授课类型》维度的参训明细!D:D,C200,《授课类型》维度的参训明细!K:K,D200,《授课类型》维度的参训明细!I:I,"已签到")</f>
        <v>1</v>
      </c>
      <c r="H200" s="76">
        <f t="shared" si="6"/>
        <v>1</v>
      </c>
    </row>
    <row r="201" ht="16.5" hidden="1" spans="1:8">
      <c r="A201" s="12" t="s">
        <v>45</v>
      </c>
      <c r="B201" s="12" t="s">
        <v>37</v>
      </c>
      <c r="C201" s="12" t="s">
        <v>152</v>
      </c>
      <c r="D201" s="46" t="s">
        <v>30</v>
      </c>
      <c r="E201" s="75">
        <v>46085</v>
      </c>
      <c r="F201" s="80">
        <f>COUNTIFS(《授课类型》维度的参训明细!J:J,E201,《授课类型》维度的参训明细!D:D,C201,《授课类型》维度的参训明细!K:K,D201)</f>
        <v>1</v>
      </c>
      <c r="G201" s="80">
        <f>COUNTIFS(《授课类型》维度的参训明细!J:J,E201,《授课类型》维度的参训明细!D:D,C201,《授课类型》维度的参训明细!K:K,D201,《授课类型》维度的参训明细!I:I,"已签到")</f>
        <v>1</v>
      </c>
      <c r="H201" s="76">
        <f t="shared" si="6"/>
        <v>1</v>
      </c>
    </row>
    <row r="202" ht="16.5" hidden="1" spans="1:8">
      <c r="A202" s="12" t="s">
        <v>45</v>
      </c>
      <c r="B202" s="12" t="s">
        <v>37</v>
      </c>
      <c r="C202" s="12" t="s">
        <v>109</v>
      </c>
      <c r="D202" s="46" t="s">
        <v>30</v>
      </c>
      <c r="E202" s="75">
        <v>46085</v>
      </c>
      <c r="F202" s="80">
        <f>COUNTIFS(《授课类型》维度的参训明细!J:J,E202,《授课类型》维度的参训明细!D:D,C202,《授课类型》维度的参训明细!K:K,D202)</f>
        <v>2</v>
      </c>
      <c r="G202" s="80">
        <f>COUNTIFS(《授课类型》维度的参训明细!J:J,E202,《授课类型》维度的参训明细!D:D,C202,《授课类型》维度的参训明细!K:K,D202,《授课类型》维度的参训明细!I:I,"已签到")</f>
        <v>2</v>
      </c>
      <c r="H202" s="76">
        <f t="shared" si="6"/>
        <v>1</v>
      </c>
    </row>
    <row r="203" ht="16.5" hidden="1" spans="1:8">
      <c r="A203" s="12" t="s">
        <v>45</v>
      </c>
      <c r="B203" s="12" t="s">
        <v>38</v>
      </c>
      <c r="C203" s="12" t="s">
        <v>70</v>
      </c>
      <c r="D203" s="46" t="s">
        <v>30</v>
      </c>
      <c r="E203" s="75">
        <v>46085</v>
      </c>
      <c r="F203" s="80">
        <f>COUNTIFS(《授课类型》维度的参训明细!J:J,E203,《授课类型》维度的参训明细!D:D,C203,《授课类型》维度的参训明细!K:K,D203)</f>
        <v>3</v>
      </c>
      <c r="G203" s="80">
        <f>COUNTIFS(《授课类型》维度的参训明细!J:J,E203,《授课类型》维度的参训明细!D:D,C203,《授课类型》维度的参训明细!K:K,D203,《授课类型》维度的参训明细!I:I,"已签到")</f>
        <v>3</v>
      </c>
      <c r="H203" s="76">
        <f t="shared" si="6"/>
        <v>1</v>
      </c>
    </row>
    <row r="204" ht="16.5" hidden="1" spans="1:8">
      <c r="A204" s="12" t="s">
        <v>45</v>
      </c>
      <c r="B204" s="12" t="s">
        <v>38</v>
      </c>
      <c r="C204" s="12" t="s">
        <v>168</v>
      </c>
      <c r="D204" s="46" t="s">
        <v>30</v>
      </c>
      <c r="E204" s="75">
        <v>46085</v>
      </c>
      <c r="F204" s="80">
        <f>COUNTIFS(《授课类型》维度的参训明细!J:J,E204,《授课类型》维度的参训明细!D:D,C204,《授课类型》维度的参训明细!K:K,D204)</f>
        <v>1</v>
      </c>
      <c r="G204" s="80">
        <f>COUNTIFS(《授课类型》维度的参训明细!J:J,E204,《授课类型》维度的参训明细!D:D,C204,《授课类型》维度的参训明细!K:K,D204,《授课类型》维度的参训明细!I:I,"已签到")</f>
        <v>1</v>
      </c>
      <c r="H204" s="76">
        <f t="shared" si="6"/>
        <v>1</v>
      </c>
    </row>
    <row r="205" ht="16.5" hidden="1" spans="1:8">
      <c r="A205" s="12" t="s">
        <v>45</v>
      </c>
      <c r="B205" s="12" t="s">
        <v>38</v>
      </c>
      <c r="C205" s="12" t="s">
        <v>75</v>
      </c>
      <c r="D205" s="46" t="s">
        <v>30</v>
      </c>
      <c r="E205" s="75">
        <v>46085</v>
      </c>
      <c r="F205" s="80">
        <f>COUNTIFS(《授课类型》维度的参训明细!J:J,E205,《授课类型》维度的参训明细!D:D,C205,《授课类型》维度的参训明细!K:K,D205)</f>
        <v>2</v>
      </c>
      <c r="G205" s="80">
        <f>COUNTIFS(《授课类型》维度的参训明细!J:J,E205,《授课类型》维度的参训明细!D:D,C205,《授课类型》维度的参训明细!K:K,D205,《授课类型》维度的参训明细!I:I,"已签到")</f>
        <v>2</v>
      </c>
      <c r="H205" s="76">
        <f t="shared" si="6"/>
        <v>1</v>
      </c>
    </row>
    <row r="206" ht="16.5" hidden="1" spans="1:8">
      <c r="A206" s="12" t="s">
        <v>45</v>
      </c>
      <c r="B206" s="12" t="s">
        <v>38</v>
      </c>
      <c r="C206" s="12" t="s">
        <v>144</v>
      </c>
      <c r="D206" s="46" t="s">
        <v>30</v>
      </c>
      <c r="E206" s="75">
        <v>46085</v>
      </c>
      <c r="F206" s="80">
        <f>COUNTIFS(《授课类型》维度的参训明细!J:J,E206,《授课类型》维度的参训明细!D:D,C206,《授课类型》维度的参训明细!K:K,D206)</f>
        <v>1</v>
      </c>
      <c r="G206" s="80">
        <f>COUNTIFS(《授课类型》维度的参训明细!J:J,E206,《授课类型》维度的参训明细!D:D,C206,《授课类型》维度的参训明细!K:K,D206,《授课类型》维度的参训明细!I:I,"已签到")</f>
        <v>1</v>
      </c>
      <c r="H206" s="76">
        <f t="shared" si="6"/>
        <v>1</v>
      </c>
    </row>
    <row r="207" ht="16.5" hidden="1" spans="1:8">
      <c r="A207" s="12" t="s">
        <v>45</v>
      </c>
      <c r="B207" s="12" t="s">
        <v>38</v>
      </c>
      <c r="C207" s="12" t="s">
        <v>63</v>
      </c>
      <c r="D207" s="46" t="s">
        <v>30</v>
      </c>
      <c r="E207" s="75">
        <v>46085</v>
      </c>
      <c r="F207" s="80">
        <f>COUNTIFS(《授课类型》维度的参训明细!J:J,E207,《授课类型》维度的参训明细!D:D,C207,《授课类型》维度的参训明细!K:K,D207)</f>
        <v>2</v>
      </c>
      <c r="G207" s="80">
        <f>COUNTIFS(《授课类型》维度的参训明细!J:J,E207,《授课类型》维度的参训明细!D:D,C207,《授课类型》维度的参训明细!K:K,D207,《授课类型》维度的参训明细!I:I,"已签到")</f>
        <v>2</v>
      </c>
      <c r="H207" s="76">
        <f t="shared" si="6"/>
        <v>1</v>
      </c>
    </row>
    <row r="208" ht="16.5" hidden="1" spans="1:8">
      <c r="A208" s="12" t="s">
        <v>45</v>
      </c>
      <c r="B208" s="12" t="s">
        <v>26</v>
      </c>
      <c r="C208" s="12" t="s">
        <v>121</v>
      </c>
      <c r="D208" s="46" t="s">
        <v>30</v>
      </c>
      <c r="E208" s="75">
        <v>46097</v>
      </c>
      <c r="F208" s="80">
        <f>COUNTIFS(《授课类型》维度的参训明细!J:J,E208,《授课类型》维度的参训明细!D:D,C208,《授课类型》维度的参训明细!K:K,D208)</f>
        <v>1</v>
      </c>
      <c r="G208" s="80">
        <f>COUNTIFS(《授课类型》维度的参训明细!J:J,E208,《授课类型》维度的参训明细!D:D,C208,《授课类型》维度的参训明细!K:K,D208,《授课类型》维度的参训明细!I:I,"已签到")</f>
        <v>1</v>
      </c>
      <c r="H208" s="76">
        <f t="shared" ref="H208:H218" si="7">G208/F208</f>
        <v>1</v>
      </c>
    </row>
    <row r="209" ht="16.5" hidden="1" spans="1:8">
      <c r="A209" s="12" t="s">
        <v>45</v>
      </c>
      <c r="B209" s="12" t="s">
        <v>29</v>
      </c>
      <c r="C209" s="12" t="s">
        <v>130</v>
      </c>
      <c r="D209" s="46" t="s">
        <v>30</v>
      </c>
      <c r="E209" s="75">
        <v>46097</v>
      </c>
      <c r="F209" s="80">
        <f>COUNTIFS(《授课类型》维度的参训明细!J:J,E209,《授课类型》维度的参训明细!D:D,C209,《授课类型》维度的参训明细!K:K,D209)</f>
        <v>1</v>
      </c>
      <c r="G209" s="80">
        <f>COUNTIFS(《授课类型》维度的参训明细!J:J,E209,《授课类型》维度的参训明细!D:D,C209,《授课类型》维度的参训明细!K:K,D209,《授课类型》维度的参训明细!I:I,"已签到")</f>
        <v>1</v>
      </c>
      <c r="H209" s="76">
        <f t="shared" si="7"/>
        <v>1</v>
      </c>
    </row>
    <row r="210" ht="16.5" hidden="1" spans="1:8">
      <c r="A210" s="12" t="s">
        <v>45</v>
      </c>
      <c r="B210" s="12" t="s">
        <v>31</v>
      </c>
      <c r="C210" s="12" t="s">
        <v>90</v>
      </c>
      <c r="D210" s="46" t="s">
        <v>30</v>
      </c>
      <c r="E210" s="75">
        <v>46097</v>
      </c>
      <c r="F210" s="80">
        <f>COUNTIFS(《授课类型》维度的参训明细!J:J,E210,《授课类型》维度的参训明细!D:D,C210,《授课类型》维度的参训明细!K:K,D210)</f>
        <v>1</v>
      </c>
      <c r="G210" s="80">
        <f>COUNTIFS(《授课类型》维度的参训明细!J:J,E210,《授课类型》维度的参训明细!D:D,C210,《授课类型》维度的参训明细!K:K,D210,《授课类型》维度的参训明细!I:I,"已签到")</f>
        <v>1</v>
      </c>
      <c r="H210" s="76">
        <f t="shared" si="7"/>
        <v>1</v>
      </c>
    </row>
    <row r="211" ht="16.5" hidden="1" spans="1:8">
      <c r="A211" s="12" t="s">
        <v>45</v>
      </c>
      <c r="B211" s="12" t="s">
        <v>32</v>
      </c>
      <c r="C211" s="12" t="s">
        <v>105</v>
      </c>
      <c r="D211" s="46" t="s">
        <v>30</v>
      </c>
      <c r="E211" s="75">
        <v>46097</v>
      </c>
      <c r="F211" s="80">
        <f>COUNTIFS(《授课类型》维度的参训明细!J:J,E211,《授课类型》维度的参训明细!D:D,C211,《授课类型》维度的参训明细!K:K,D211)</f>
        <v>1</v>
      </c>
      <c r="G211" s="80">
        <f>COUNTIFS(《授课类型》维度的参训明细!J:J,E211,《授课类型》维度的参训明细!D:D,C211,《授课类型》维度的参训明细!K:K,D211,《授课类型》维度的参训明细!I:I,"已签到")</f>
        <v>1</v>
      </c>
      <c r="H211" s="76">
        <f t="shared" si="7"/>
        <v>1</v>
      </c>
    </row>
    <row r="212" ht="16.5" hidden="1" spans="1:8">
      <c r="A212" s="12" t="s">
        <v>45</v>
      </c>
      <c r="B212" s="12" t="s">
        <v>35</v>
      </c>
      <c r="C212" s="12" t="s">
        <v>125</v>
      </c>
      <c r="D212" s="46" t="s">
        <v>30</v>
      </c>
      <c r="E212" s="75">
        <v>46097</v>
      </c>
      <c r="F212" s="80">
        <f>COUNTIFS(《授课类型》维度的参训明细!J:J,E212,《授课类型》维度的参训明细!D:D,C212,《授课类型》维度的参训明细!K:K,D212)</f>
        <v>1</v>
      </c>
      <c r="G212" s="80">
        <f>COUNTIFS(《授课类型》维度的参训明细!J:J,E212,《授课类型》维度的参训明细!D:D,C212,《授课类型》维度的参训明细!K:K,D212,《授课类型》维度的参训明细!I:I,"已签到")</f>
        <v>1</v>
      </c>
      <c r="H212" s="76">
        <f t="shared" si="7"/>
        <v>1</v>
      </c>
    </row>
    <row r="213" ht="16.5" hidden="1" spans="1:8">
      <c r="A213" s="12" t="s">
        <v>45</v>
      </c>
      <c r="B213" s="12" t="s">
        <v>36</v>
      </c>
      <c r="C213" s="12" t="s">
        <v>173</v>
      </c>
      <c r="D213" s="46" t="s">
        <v>30</v>
      </c>
      <c r="E213" s="75">
        <v>46097</v>
      </c>
      <c r="F213" s="80">
        <f>COUNTIFS(《授课类型》维度的参训明细!J:J,E213,《授课类型》维度的参训明细!D:D,C213,《授课类型》维度的参训明细!K:K,D213)</f>
        <v>1</v>
      </c>
      <c r="G213" s="80">
        <f>COUNTIFS(《授课类型》维度的参训明细!J:J,E213,《授课类型》维度的参训明细!D:D,C213,《授课类型》维度的参训明细!K:K,D213,《授课类型》维度的参训明细!I:I,"已签到")</f>
        <v>1</v>
      </c>
      <c r="H213" s="76">
        <f t="shared" si="7"/>
        <v>1</v>
      </c>
    </row>
    <row r="214" ht="16.5" hidden="1" spans="1:8">
      <c r="A214" s="12" t="s">
        <v>45</v>
      </c>
      <c r="B214" s="12" t="s">
        <v>37</v>
      </c>
      <c r="C214" s="12" t="s">
        <v>152</v>
      </c>
      <c r="D214" s="46" t="s">
        <v>30</v>
      </c>
      <c r="E214" s="75">
        <v>46097</v>
      </c>
      <c r="F214" s="80">
        <f>COUNTIFS(《授课类型》维度的参训明细!J:J,E214,《授课类型》维度的参训明细!D:D,C214,《授课类型》维度的参训明细!K:K,D214)</f>
        <v>1</v>
      </c>
      <c r="G214" s="80">
        <f>COUNTIFS(《授课类型》维度的参训明细!J:J,E214,《授课类型》维度的参训明细!D:D,C214,《授课类型》维度的参训明细!K:K,D214,《授课类型》维度的参训明细!I:I,"已签到")</f>
        <v>1</v>
      </c>
      <c r="H214" s="76">
        <f t="shared" si="7"/>
        <v>1</v>
      </c>
    </row>
    <row r="215" ht="16.5" hidden="1" spans="1:8">
      <c r="A215" s="12" t="s">
        <v>45</v>
      </c>
      <c r="B215" s="12" t="s">
        <v>38</v>
      </c>
      <c r="C215" s="12" t="s">
        <v>70</v>
      </c>
      <c r="D215" s="46" t="s">
        <v>30</v>
      </c>
      <c r="E215" s="75">
        <v>46097</v>
      </c>
      <c r="F215" s="80">
        <f>COUNTIFS(《授课类型》维度的参训明细!J:J,E215,《授课类型》维度的参训明细!D:D,C215,《授课类型》维度的参训明细!K:K,D215)</f>
        <v>3</v>
      </c>
      <c r="G215" s="80">
        <f>COUNTIFS(《授课类型》维度的参训明细!J:J,E215,《授课类型》维度的参训明细!D:D,C215,《授课类型》维度的参训明细!K:K,D215,《授课类型》维度的参训明细!I:I,"已签到")</f>
        <v>3</v>
      </c>
      <c r="H215" s="76">
        <f t="shared" si="7"/>
        <v>1</v>
      </c>
    </row>
    <row r="216" ht="16.5" hidden="1" spans="1:8">
      <c r="A216" s="12" t="s">
        <v>45</v>
      </c>
      <c r="B216" s="12" t="s">
        <v>38</v>
      </c>
      <c r="C216" s="12" t="s">
        <v>168</v>
      </c>
      <c r="D216" s="46" t="s">
        <v>30</v>
      </c>
      <c r="E216" s="75">
        <v>46097</v>
      </c>
      <c r="F216" s="80">
        <f>COUNTIFS(《授课类型》维度的参训明细!J:J,E216,《授课类型》维度的参训明细!D:D,C216,《授课类型》维度的参训明细!K:K,D216)</f>
        <v>1</v>
      </c>
      <c r="G216" s="80">
        <f>COUNTIFS(《授课类型》维度的参训明细!J:J,E216,《授课类型》维度的参训明细!D:D,C216,《授课类型》维度的参训明细!K:K,D216,《授课类型》维度的参训明细!I:I,"已签到")</f>
        <v>1</v>
      </c>
      <c r="H216" s="76">
        <f t="shared" si="7"/>
        <v>1</v>
      </c>
    </row>
    <row r="217" ht="16.5" hidden="1" spans="1:8">
      <c r="A217" s="12" t="s">
        <v>45</v>
      </c>
      <c r="B217" s="12" t="s">
        <v>38</v>
      </c>
      <c r="C217" s="12" t="s">
        <v>75</v>
      </c>
      <c r="D217" s="46" t="s">
        <v>30</v>
      </c>
      <c r="E217" s="75">
        <v>46097</v>
      </c>
      <c r="F217" s="80">
        <f>COUNTIFS(《授课类型》维度的参训明细!J:J,E217,《授课类型》维度的参训明细!D:D,C217,《授课类型》维度的参训明细!K:K,D217)</f>
        <v>2</v>
      </c>
      <c r="G217" s="80">
        <f>COUNTIFS(《授课类型》维度的参训明细!J:J,E217,《授课类型》维度的参训明细!D:D,C217,《授课类型》维度的参训明细!K:K,D217,《授课类型》维度的参训明细!I:I,"已签到")</f>
        <v>2</v>
      </c>
      <c r="H217" s="76">
        <f t="shared" si="7"/>
        <v>1</v>
      </c>
    </row>
    <row r="218" ht="16.5" hidden="1" spans="1:8">
      <c r="A218" s="12" t="s">
        <v>45</v>
      </c>
      <c r="B218" s="12" t="s">
        <v>38</v>
      </c>
      <c r="C218" s="12" t="s">
        <v>63</v>
      </c>
      <c r="D218" s="46" t="s">
        <v>30</v>
      </c>
      <c r="E218" s="75">
        <v>46097</v>
      </c>
      <c r="F218" s="80">
        <f>COUNTIFS(《授课类型》维度的参训明细!J:J,E218,《授课类型》维度的参训明细!D:D,C218,《授课类型》维度的参训明细!K:K,D218)</f>
        <v>2</v>
      </c>
      <c r="G218" s="80">
        <f>COUNTIFS(《授课类型》维度的参训明细!J:J,E218,《授课类型》维度的参训明细!D:D,C218,《授课类型》维度的参训明细!K:K,D218,《授课类型》维度的参训明细!I:I,"已签到")</f>
        <v>2</v>
      </c>
      <c r="H218" s="76">
        <f t="shared" si="7"/>
        <v>1</v>
      </c>
    </row>
    <row r="219" ht="16.5" hidden="1" spans="1:8">
      <c r="A219" s="12" t="s">
        <v>45</v>
      </c>
      <c r="B219" s="12" t="s">
        <v>26</v>
      </c>
      <c r="C219" s="12" t="s">
        <v>121</v>
      </c>
      <c r="D219" s="46" t="s">
        <v>30</v>
      </c>
      <c r="E219" s="75">
        <v>46098</v>
      </c>
      <c r="F219" s="80">
        <f>COUNTIFS(《授课类型》维度的参训明细!J:J,E219,《授课类型》维度的参训明细!D:D,C219,《授课类型》维度的参训明细!K:K,D219)</f>
        <v>1</v>
      </c>
      <c r="G219" s="80">
        <f>COUNTIFS(《授课类型》维度的参训明细!J:J,E219,《授课类型》维度的参训明细!D:D,C219,《授课类型》维度的参训明细!K:K,D219,《授课类型》维度的参训明细!I:I,"已签到")</f>
        <v>1</v>
      </c>
      <c r="H219" s="76">
        <f t="shared" ref="H219:H229" si="8">G219/F219</f>
        <v>1</v>
      </c>
    </row>
    <row r="220" ht="16.5" hidden="1" spans="1:8">
      <c r="A220" s="12" t="s">
        <v>45</v>
      </c>
      <c r="B220" s="12" t="s">
        <v>29</v>
      </c>
      <c r="C220" s="12" t="s">
        <v>130</v>
      </c>
      <c r="D220" s="46" t="s">
        <v>30</v>
      </c>
      <c r="E220" s="75">
        <v>46098</v>
      </c>
      <c r="F220" s="80">
        <f>COUNTIFS(《授课类型》维度的参训明细!J:J,E220,《授课类型》维度的参训明细!D:D,C220,《授课类型》维度的参训明细!K:K,D220)</f>
        <v>1</v>
      </c>
      <c r="G220" s="80">
        <f>COUNTIFS(《授课类型》维度的参训明细!J:J,E220,《授课类型》维度的参训明细!D:D,C220,《授课类型》维度的参训明细!K:K,D220,《授课类型》维度的参训明细!I:I,"已签到")</f>
        <v>1</v>
      </c>
      <c r="H220" s="76">
        <f t="shared" si="8"/>
        <v>1</v>
      </c>
    </row>
    <row r="221" ht="16.5" hidden="1" spans="1:8">
      <c r="A221" s="12" t="s">
        <v>45</v>
      </c>
      <c r="B221" s="12" t="s">
        <v>31</v>
      </c>
      <c r="C221" s="12" t="s">
        <v>90</v>
      </c>
      <c r="D221" s="46" t="s">
        <v>30</v>
      </c>
      <c r="E221" s="75">
        <v>46098</v>
      </c>
      <c r="F221" s="80">
        <f>COUNTIFS(《授课类型》维度的参训明细!J:J,E221,《授课类型》维度的参训明细!D:D,C221,《授课类型》维度的参训明细!K:K,D221)</f>
        <v>1</v>
      </c>
      <c r="G221" s="80">
        <f>COUNTIFS(《授课类型》维度的参训明细!J:J,E221,《授课类型》维度的参训明细!D:D,C221,《授课类型》维度的参训明细!K:K,D221,《授课类型》维度的参训明细!I:I,"已签到")</f>
        <v>1</v>
      </c>
      <c r="H221" s="76">
        <f t="shared" si="8"/>
        <v>1</v>
      </c>
    </row>
    <row r="222" ht="16.5" hidden="1" spans="1:8">
      <c r="A222" s="12" t="s">
        <v>45</v>
      </c>
      <c r="B222" s="12" t="s">
        <v>32</v>
      </c>
      <c r="C222" s="12" t="s">
        <v>105</v>
      </c>
      <c r="D222" s="46" t="s">
        <v>30</v>
      </c>
      <c r="E222" s="75">
        <v>46098</v>
      </c>
      <c r="F222" s="80">
        <f>COUNTIFS(《授课类型》维度的参训明细!J:J,E222,《授课类型》维度的参训明细!D:D,C222,《授课类型》维度的参训明细!K:K,D222)</f>
        <v>1</v>
      </c>
      <c r="G222" s="80">
        <f>COUNTIFS(《授课类型》维度的参训明细!J:J,E222,《授课类型》维度的参训明细!D:D,C222,《授课类型》维度的参训明细!K:K,D222,《授课类型》维度的参训明细!I:I,"已签到")</f>
        <v>1</v>
      </c>
      <c r="H222" s="76">
        <f t="shared" si="8"/>
        <v>1</v>
      </c>
    </row>
    <row r="223" ht="16.5" hidden="1" spans="1:8">
      <c r="A223" s="12" t="s">
        <v>45</v>
      </c>
      <c r="B223" s="12" t="s">
        <v>35</v>
      </c>
      <c r="C223" s="12" t="s">
        <v>125</v>
      </c>
      <c r="D223" s="46" t="s">
        <v>30</v>
      </c>
      <c r="E223" s="75">
        <v>46098</v>
      </c>
      <c r="F223" s="80">
        <f>COUNTIFS(《授课类型》维度的参训明细!J:J,E223,《授课类型》维度的参训明细!D:D,C223,《授课类型》维度的参训明细!K:K,D223)</f>
        <v>1</v>
      </c>
      <c r="G223" s="80">
        <f>COUNTIFS(《授课类型》维度的参训明细!J:J,E223,《授课类型》维度的参训明细!D:D,C223,《授课类型》维度的参训明细!K:K,D223,《授课类型》维度的参训明细!I:I,"已签到")</f>
        <v>1</v>
      </c>
      <c r="H223" s="76">
        <f t="shared" si="8"/>
        <v>1</v>
      </c>
    </row>
    <row r="224" ht="16.5" hidden="1" spans="1:8">
      <c r="A224" s="12" t="s">
        <v>45</v>
      </c>
      <c r="B224" s="12" t="s">
        <v>36</v>
      </c>
      <c r="C224" s="12" t="s">
        <v>173</v>
      </c>
      <c r="D224" s="46" t="s">
        <v>30</v>
      </c>
      <c r="E224" s="75">
        <v>46098</v>
      </c>
      <c r="F224" s="80">
        <f>COUNTIFS(《授课类型》维度的参训明细!J:J,E224,《授课类型》维度的参训明细!D:D,C224,《授课类型》维度的参训明细!K:K,D224)</f>
        <v>1</v>
      </c>
      <c r="G224" s="80">
        <f>COUNTIFS(《授课类型》维度的参训明细!J:J,E224,《授课类型》维度的参训明细!D:D,C224,《授课类型》维度的参训明细!K:K,D224,《授课类型》维度的参训明细!I:I,"已签到")</f>
        <v>1</v>
      </c>
      <c r="H224" s="76">
        <f t="shared" si="8"/>
        <v>1</v>
      </c>
    </row>
    <row r="225" ht="16.5" hidden="1" spans="1:8">
      <c r="A225" s="12" t="s">
        <v>45</v>
      </c>
      <c r="B225" s="12" t="s">
        <v>37</v>
      </c>
      <c r="C225" s="12" t="s">
        <v>152</v>
      </c>
      <c r="D225" s="46" t="s">
        <v>30</v>
      </c>
      <c r="E225" s="75">
        <v>46098</v>
      </c>
      <c r="F225" s="80">
        <f>COUNTIFS(《授课类型》维度的参训明细!J:J,E225,《授课类型》维度的参训明细!D:D,C225,《授课类型》维度的参训明细!K:K,D225)</f>
        <v>1</v>
      </c>
      <c r="G225" s="80">
        <f>COUNTIFS(《授课类型》维度的参训明细!J:J,E225,《授课类型》维度的参训明细!D:D,C225,《授课类型》维度的参训明细!K:K,D225,《授课类型》维度的参训明细!I:I,"已签到")</f>
        <v>1</v>
      </c>
      <c r="H225" s="76">
        <f t="shared" si="8"/>
        <v>1</v>
      </c>
    </row>
    <row r="226" ht="16.5" hidden="1" spans="1:8">
      <c r="A226" s="12" t="s">
        <v>45</v>
      </c>
      <c r="B226" s="12" t="s">
        <v>38</v>
      </c>
      <c r="C226" s="12" t="s">
        <v>70</v>
      </c>
      <c r="D226" s="46" t="s">
        <v>30</v>
      </c>
      <c r="E226" s="75">
        <v>46098</v>
      </c>
      <c r="F226" s="80">
        <f>COUNTIFS(《授课类型》维度的参训明细!J:J,E226,《授课类型》维度的参训明细!D:D,C226,《授课类型》维度的参训明细!K:K,D226)</f>
        <v>3</v>
      </c>
      <c r="G226" s="80">
        <f>COUNTIFS(《授课类型》维度的参训明细!J:J,E226,《授课类型》维度的参训明细!D:D,C226,《授课类型》维度的参训明细!K:K,D226,《授课类型》维度的参训明细!I:I,"已签到")</f>
        <v>3</v>
      </c>
      <c r="H226" s="76">
        <f t="shared" si="8"/>
        <v>1</v>
      </c>
    </row>
    <row r="227" ht="16.5" hidden="1" spans="1:8">
      <c r="A227" s="12" t="s">
        <v>45</v>
      </c>
      <c r="B227" s="12" t="s">
        <v>38</v>
      </c>
      <c r="C227" s="12" t="s">
        <v>168</v>
      </c>
      <c r="D227" s="46" t="s">
        <v>30</v>
      </c>
      <c r="E227" s="75">
        <v>46098</v>
      </c>
      <c r="F227" s="80">
        <f>COUNTIFS(《授课类型》维度的参训明细!J:J,E227,《授课类型》维度的参训明细!D:D,C227,《授课类型》维度的参训明细!K:K,D227)</f>
        <v>1</v>
      </c>
      <c r="G227" s="80">
        <f>COUNTIFS(《授课类型》维度的参训明细!J:J,E227,《授课类型》维度的参训明细!D:D,C227,《授课类型》维度的参训明细!K:K,D227,《授课类型》维度的参训明细!I:I,"已签到")</f>
        <v>1</v>
      </c>
      <c r="H227" s="76">
        <f t="shared" si="8"/>
        <v>1</v>
      </c>
    </row>
    <row r="228" ht="16.5" hidden="1" spans="1:8">
      <c r="A228" s="12" t="s">
        <v>45</v>
      </c>
      <c r="B228" s="12" t="s">
        <v>38</v>
      </c>
      <c r="C228" s="12" t="s">
        <v>75</v>
      </c>
      <c r="D228" s="46" t="s">
        <v>30</v>
      </c>
      <c r="E228" s="75">
        <v>46098</v>
      </c>
      <c r="F228" s="80">
        <f>COUNTIFS(《授课类型》维度的参训明细!J:J,E228,《授课类型》维度的参训明细!D:D,C228,《授课类型》维度的参训明细!K:K,D228)</f>
        <v>2</v>
      </c>
      <c r="G228" s="80">
        <f>COUNTIFS(《授课类型》维度的参训明细!J:J,E228,《授课类型》维度的参训明细!D:D,C228,《授课类型》维度的参训明细!K:K,D228,《授课类型》维度的参训明细!I:I,"已签到")</f>
        <v>2</v>
      </c>
      <c r="H228" s="76">
        <f t="shared" si="8"/>
        <v>1</v>
      </c>
    </row>
    <row r="229" ht="16.5" hidden="1" spans="1:8">
      <c r="A229" s="12" t="s">
        <v>45</v>
      </c>
      <c r="B229" s="12" t="s">
        <v>38</v>
      </c>
      <c r="C229" s="12" t="s">
        <v>63</v>
      </c>
      <c r="D229" s="46" t="s">
        <v>30</v>
      </c>
      <c r="E229" s="75">
        <v>46098</v>
      </c>
      <c r="F229" s="80">
        <f>COUNTIFS(《授课类型》维度的参训明细!J:J,E229,《授课类型》维度的参训明细!D:D,C229,《授课类型》维度的参训明细!K:K,D229)</f>
        <v>2</v>
      </c>
      <c r="G229" s="80">
        <f>COUNTIFS(《授课类型》维度的参训明细!J:J,E229,《授课类型》维度的参训明细!D:D,C229,《授课类型》维度的参训明细!K:K,D229,《授课类型》维度的参训明细!I:I,"已签到")</f>
        <v>2</v>
      </c>
      <c r="H229" s="76">
        <f t="shared" si="8"/>
        <v>1</v>
      </c>
    </row>
  </sheetData>
  <autoFilter xmlns:etc="http://www.wps.cn/officeDocument/2017/etCustomData" ref="A2:H229" etc:filterBottomFollowUsedRange="0">
    <filterColumn colId="0">
      <filters>
        <filter val="3月"/>
      </filters>
    </filterColumn>
    <filterColumn colId="3">
      <filters>
        <filter val="销售提升训"/>
        <filter val="销售新人入职培训"/>
      </filters>
    </filterColumn>
    <extLst/>
  </autoFilter>
  <mergeCells count="1">
    <mergeCell ref="A1:H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"/>
  <sheetViews>
    <sheetView topLeftCell="A28" workbookViewId="0">
      <selection activeCell="G62" sqref="G62"/>
    </sheetView>
  </sheetViews>
  <sheetFormatPr defaultColWidth="8.89166666666667" defaultRowHeight="13.5" outlineLevelCol="7"/>
  <cols>
    <col min="2" max="2" width="10.1083333333333" customWidth="1"/>
    <col min="3" max="3" width="11.4416666666667" customWidth="1"/>
    <col min="4" max="4" width="33" customWidth="1"/>
    <col min="5" max="6" width="15.1083333333333" customWidth="1"/>
    <col min="7" max="7" width="10.225" customWidth="1"/>
    <col min="8" max="8" width="13.4416666666667" customWidth="1"/>
  </cols>
  <sheetData>
    <row r="1" ht="36" customHeight="1" spans="1:8">
      <c r="A1" s="52" t="s">
        <v>1613</v>
      </c>
      <c r="B1" s="52"/>
      <c r="C1" s="52"/>
      <c r="D1" s="52"/>
      <c r="E1" s="52"/>
      <c r="F1" s="52"/>
      <c r="G1" s="52"/>
      <c r="H1" s="52"/>
    </row>
    <row r="2" ht="16.5" spans="1:8">
      <c r="A2" s="38" t="s">
        <v>887</v>
      </c>
      <c r="B2" s="38" t="s">
        <v>1614</v>
      </c>
      <c r="C2" s="38" t="s">
        <v>2</v>
      </c>
      <c r="D2" s="38" t="s">
        <v>51</v>
      </c>
      <c r="E2" s="38" t="s">
        <v>49</v>
      </c>
      <c r="F2" s="38" t="s">
        <v>3</v>
      </c>
      <c r="G2" s="38" t="s">
        <v>1615</v>
      </c>
      <c r="H2" s="38" t="s">
        <v>1616</v>
      </c>
    </row>
    <row r="3" ht="16.5" spans="1:8">
      <c r="A3" s="53">
        <v>1</v>
      </c>
      <c r="B3" s="53">
        <v>2026</v>
      </c>
      <c r="C3" s="53" t="s">
        <v>23</v>
      </c>
      <c r="D3" s="53" t="s">
        <v>1617</v>
      </c>
      <c r="E3" s="53" t="s">
        <v>481</v>
      </c>
      <c r="F3" s="53" t="str">
        <f>VLOOKUP(E3,[3]在职!$A:$E,5,0)</f>
        <v>西南总部</v>
      </c>
      <c r="G3" s="53">
        <v>3</v>
      </c>
      <c r="H3" s="54">
        <v>46026</v>
      </c>
    </row>
    <row r="4" ht="16.5" spans="1:8">
      <c r="A4" s="53">
        <v>2</v>
      </c>
      <c r="B4" s="53">
        <v>2026</v>
      </c>
      <c r="C4" s="53" t="s">
        <v>23</v>
      </c>
      <c r="D4" s="55" t="s">
        <v>259</v>
      </c>
      <c r="E4" s="55" t="s">
        <v>258</v>
      </c>
      <c r="F4" s="53" t="str">
        <f>VLOOKUP(E4,[3]在职!$A:$E,5,0)</f>
        <v>西南总部</v>
      </c>
      <c r="G4" s="55">
        <v>6</v>
      </c>
      <c r="H4" s="54">
        <v>46026</v>
      </c>
    </row>
    <row r="5" ht="16.5" spans="1:8">
      <c r="A5" s="53">
        <v>3</v>
      </c>
      <c r="B5" s="53">
        <v>2026</v>
      </c>
      <c r="C5" s="56" t="s">
        <v>23</v>
      </c>
      <c r="D5" s="55" t="s">
        <v>1618</v>
      </c>
      <c r="E5" s="55" t="s">
        <v>195</v>
      </c>
      <c r="F5" s="53" t="str">
        <f>VLOOKUP(E5,[3]在职!$A:$E,5,0)</f>
        <v>湖南</v>
      </c>
      <c r="G5" s="55">
        <v>3</v>
      </c>
      <c r="H5" s="57">
        <v>46026</v>
      </c>
    </row>
    <row r="6" ht="16.5" spans="1:8">
      <c r="A6" s="53">
        <v>4</v>
      </c>
      <c r="B6" s="53">
        <v>2026</v>
      </c>
      <c r="C6" s="53" t="s">
        <v>23</v>
      </c>
      <c r="D6" s="53" t="s">
        <v>1619</v>
      </c>
      <c r="E6" s="53" t="s">
        <v>540</v>
      </c>
      <c r="F6" s="53" t="str">
        <f>VLOOKUP(E6,[3]在职!$A:$E,5,0)</f>
        <v>西南总部</v>
      </c>
      <c r="G6" s="53">
        <v>3</v>
      </c>
      <c r="H6" s="58">
        <v>46027</v>
      </c>
    </row>
    <row r="7" ht="16.5" spans="1:8">
      <c r="A7" s="53">
        <v>5</v>
      </c>
      <c r="B7" s="53">
        <v>2026</v>
      </c>
      <c r="C7" s="59" t="s">
        <v>23</v>
      </c>
      <c r="D7" s="60" t="s">
        <v>1620</v>
      </c>
      <c r="E7" s="60" t="s">
        <v>242</v>
      </c>
      <c r="F7" s="53" t="str">
        <f>VLOOKUP(E7,[3]在职!$A:$E,5,0)</f>
        <v>西南总部</v>
      </c>
      <c r="G7" s="60">
        <v>6</v>
      </c>
      <c r="H7" s="61">
        <v>46028</v>
      </c>
    </row>
    <row r="8" ht="16.5" spans="1:8">
      <c r="A8" s="53">
        <v>6</v>
      </c>
      <c r="B8" s="53">
        <v>2026</v>
      </c>
      <c r="C8" s="62" t="s">
        <v>23</v>
      </c>
      <c r="D8" s="53" t="s">
        <v>1621</v>
      </c>
      <c r="E8" s="53" t="s">
        <v>205</v>
      </c>
      <c r="F8" s="53" t="str">
        <f>VLOOKUP(E8,[3]在职!$A:$E,5,0)</f>
        <v>西南总部</v>
      </c>
      <c r="G8" s="55">
        <v>2</v>
      </c>
      <c r="H8" s="58">
        <v>46030</v>
      </c>
    </row>
    <row r="9" ht="16.5" spans="1:8">
      <c r="A9" s="53">
        <v>7</v>
      </c>
      <c r="B9" s="53">
        <v>2026</v>
      </c>
      <c r="C9" s="62" t="s">
        <v>23</v>
      </c>
      <c r="D9" s="53" t="s">
        <v>279</v>
      </c>
      <c r="E9" s="62" t="s">
        <v>278</v>
      </c>
      <c r="F9" s="53" t="str">
        <f>VLOOKUP(E9,[3]在职!$A:$E,5,0)</f>
        <v>西南总部</v>
      </c>
      <c r="G9" s="53">
        <v>4</v>
      </c>
      <c r="H9" s="54">
        <v>46030</v>
      </c>
    </row>
    <row r="10" ht="16.5" spans="1:8">
      <c r="A10" s="53">
        <v>8</v>
      </c>
      <c r="B10" s="53">
        <v>2026</v>
      </c>
      <c r="C10" s="56" t="s">
        <v>23</v>
      </c>
      <c r="D10" s="53" t="s">
        <v>1622</v>
      </c>
      <c r="E10" s="62" t="s">
        <v>584</v>
      </c>
      <c r="F10" s="53" t="str">
        <f>VLOOKUP(E10,[3]在职!$A:$E,5,0)</f>
        <v>山东</v>
      </c>
      <c r="G10" s="53">
        <v>4</v>
      </c>
      <c r="H10" s="54">
        <v>46031</v>
      </c>
    </row>
    <row r="11" ht="16.5" spans="1:8">
      <c r="A11" s="53">
        <v>9</v>
      </c>
      <c r="B11" s="53">
        <v>2026</v>
      </c>
      <c r="C11" s="62" t="s">
        <v>23</v>
      </c>
      <c r="D11" s="63" t="s">
        <v>659</v>
      </c>
      <c r="E11" s="59" t="s">
        <v>371</v>
      </c>
      <c r="F11" s="53" t="str">
        <f>VLOOKUP(E11,[3]在职!$A:$E,5,0)</f>
        <v>西南总部</v>
      </c>
      <c r="G11" s="53">
        <v>5</v>
      </c>
      <c r="H11" s="54">
        <v>46031</v>
      </c>
    </row>
    <row r="12" ht="16.5" spans="1:8">
      <c r="A12" s="53">
        <v>10</v>
      </c>
      <c r="B12" s="53">
        <v>2026</v>
      </c>
      <c r="C12" s="56" t="s">
        <v>23</v>
      </c>
      <c r="D12" s="55" t="s">
        <v>1623</v>
      </c>
      <c r="E12" s="55" t="s">
        <v>176</v>
      </c>
      <c r="F12" s="53" t="str">
        <f>VLOOKUP(E12,[3]在职!$A:$E,5,0)</f>
        <v>西南总部</v>
      </c>
      <c r="G12" s="60">
        <v>6</v>
      </c>
      <c r="H12" s="64">
        <v>46031</v>
      </c>
    </row>
    <row r="13" ht="16.5" spans="1:8">
      <c r="A13" s="53">
        <v>11</v>
      </c>
      <c r="B13" s="53">
        <v>2026</v>
      </c>
      <c r="C13" s="62" t="s">
        <v>23</v>
      </c>
      <c r="D13" s="55" t="s">
        <v>1624</v>
      </c>
      <c r="E13" s="55" t="s">
        <v>493</v>
      </c>
      <c r="F13" s="53" t="str">
        <f>VLOOKUP(E13,[3]在职!$A:$E,5,0)</f>
        <v>山东</v>
      </c>
      <c r="G13" s="56">
        <v>3</v>
      </c>
      <c r="H13" s="58">
        <v>46031</v>
      </c>
    </row>
    <row r="14" ht="16.5" spans="1:8">
      <c r="A14" s="53">
        <v>12</v>
      </c>
      <c r="B14" s="53">
        <v>2026</v>
      </c>
      <c r="C14" s="56" t="s">
        <v>23</v>
      </c>
      <c r="D14" s="53" t="s">
        <v>1625</v>
      </c>
      <c r="E14" s="65" t="s">
        <v>167</v>
      </c>
      <c r="F14" s="53" t="str">
        <f>VLOOKUP(E14,[3]在职!$A:$E,5,0)</f>
        <v>西南总部</v>
      </c>
      <c r="G14" s="62">
        <v>4</v>
      </c>
      <c r="H14" s="54">
        <v>46032</v>
      </c>
    </row>
    <row r="15" ht="16.5" spans="1:8">
      <c r="A15" s="53">
        <v>13</v>
      </c>
      <c r="B15" s="53">
        <v>2026</v>
      </c>
      <c r="C15" s="62" t="s">
        <v>23</v>
      </c>
      <c r="D15" s="55" t="s">
        <v>1626</v>
      </c>
      <c r="E15" s="66" t="s">
        <v>620</v>
      </c>
      <c r="F15" s="53" t="str">
        <f>VLOOKUP(E15,[3]在职!$A:$E,5,0)</f>
        <v>西南总部</v>
      </c>
      <c r="G15" s="66">
        <v>4</v>
      </c>
      <c r="H15" s="54">
        <v>46032</v>
      </c>
    </row>
    <row r="16" ht="16.5" spans="1:8">
      <c r="A16" s="53">
        <v>14</v>
      </c>
      <c r="B16" s="53">
        <v>2026</v>
      </c>
      <c r="C16" s="56" t="s">
        <v>23</v>
      </c>
      <c r="D16" s="55" t="s">
        <v>1627</v>
      </c>
      <c r="E16" s="67" t="s">
        <v>628</v>
      </c>
      <c r="F16" s="53" t="str">
        <f>VLOOKUP(E16,[3]在职!$A:$E,5,0)</f>
        <v>西南总部</v>
      </c>
      <c r="G16" s="53">
        <v>4</v>
      </c>
      <c r="H16" s="61">
        <v>46035</v>
      </c>
    </row>
    <row r="17" ht="16.5" spans="1:8">
      <c r="A17" s="53">
        <v>15</v>
      </c>
      <c r="B17" s="53">
        <v>2026</v>
      </c>
      <c r="C17" s="62" t="s">
        <v>23</v>
      </c>
      <c r="D17" s="53" t="s">
        <v>800</v>
      </c>
      <c r="E17" s="53" t="s">
        <v>437</v>
      </c>
      <c r="F17" s="53" t="str">
        <f>VLOOKUP(E17,[3]在职!$A:$E,5,0)</f>
        <v>西南总部</v>
      </c>
      <c r="G17" s="65">
        <v>5</v>
      </c>
      <c r="H17" s="57">
        <v>46035</v>
      </c>
    </row>
    <row r="18" ht="16.5" spans="1:8">
      <c r="A18" s="53">
        <v>16</v>
      </c>
      <c r="B18" s="53">
        <v>2026</v>
      </c>
      <c r="C18" s="56" t="s">
        <v>23</v>
      </c>
      <c r="D18" s="53" t="s">
        <v>238</v>
      </c>
      <c r="E18" s="53" t="s">
        <v>237</v>
      </c>
      <c r="F18" s="53" t="str">
        <f>VLOOKUP(E18,[3]在职!$A:$E,5,0)</f>
        <v>陕西</v>
      </c>
      <c r="G18" s="68">
        <v>3</v>
      </c>
      <c r="H18" s="61">
        <v>46035</v>
      </c>
    </row>
    <row r="19" ht="16.5" spans="1:8">
      <c r="A19" s="53">
        <v>17</v>
      </c>
      <c r="B19" s="53">
        <v>2026</v>
      </c>
      <c r="C19" s="62" t="s">
        <v>23</v>
      </c>
      <c r="D19" s="53" t="s">
        <v>1628</v>
      </c>
      <c r="E19" s="62" t="s">
        <v>564</v>
      </c>
      <c r="F19" s="53" t="str">
        <f>VLOOKUP(E19,[3]在职!$A:$E,5,0)</f>
        <v>西南总部</v>
      </c>
      <c r="G19" s="53">
        <v>6</v>
      </c>
      <c r="H19" s="54">
        <v>46035</v>
      </c>
    </row>
    <row r="20" ht="16.5" spans="1:8">
      <c r="A20" s="53">
        <v>18</v>
      </c>
      <c r="B20" s="53">
        <v>2026</v>
      </c>
      <c r="C20" s="56" t="s">
        <v>23</v>
      </c>
      <c r="D20" s="53" t="s">
        <v>393</v>
      </c>
      <c r="E20" s="62" t="s">
        <v>392</v>
      </c>
      <c r="F20" s="53" t="str">
        <f>VLOOKUP(E20,[3]在职!$A:$E,5,0)</f>
        <v>西南总部</v>
      </c>
      <c r="G20" s="53">
        <v>5</v>
      </c>
      <c r="H20" s="54">
        <v>46036</v>
      </c>
    </row>
    <row r="21" ht="16.5" spans="1:8">
      <c r="A21" s="53">
        <v>19</v>
      </c>
      <c r="B21" s="53">
        <v>2026</v>
      </c>
      <c r="C21" s="56" t="s">
        <v>23</v>
      </c>
      <c r="D21" s="53" t="s">
        <v>551</v>
      </c>
      <c r="E21" s="62" t="s">
        <v>400</v>
      </c>
      <c r="F21" s="53" t="str">
        <f>VLOOKUP(E21,[3]在职!$A:$E,5,0)</f>
        <v>西南总部</v>
      </c>
      <c r="G21" s="53">
        <v>4</v>
      </c>
      <c r="H21" s="54">
        <v>46036</v>
      </c>
    </row>
    <row r="22" ht="16.5" spans="1:8">
      <c r="A22" s="53">
        <v>20</v>
      </c>
      <c r="B22" s="53">
        <v>2026</v>
      </c>
      <c r="C22" s="62" t="s">
        <v>23</v>
      </c>
      <c r="D22" s="60" t="s">
        <v>369</v>
      </c>
      <c r="E22" s="69" t="s">
        <v>368</v>
      </c>
      <c r="F22" s="53" t="str">
        <f>VLOOKUP(E22,[3]在职!$A:$E,5,0)</f>
        <v>西南总部</v>
      </c>
      <c r="G22" s="60">
        <v>5</v>
      </c>
      <c r="H22" s="70">
        <v>46036</v>
      </c>
    </row>
    <row r="23" ht="16.5" spans="1:8">
      <c r="A23" s="53">
        <v>21</v>
      </c>
      <c r="B23" s="53">
        <v>2026</v>
      </c>
      <c r="C23" s="56" t="s">
        <v>23</v>
      </c>
      <c r="D23" s="53" t="s">
        <v>1629</v>
      </c>
      <c r="E23" s="53" t="s">
        <v>256</v>
      </c>
      <c r="F23" s="53" t="str">
        <f>VLOOKUP(E23,[3]在职!$A:$E,5,0)</f>
        <v>湖南</v>
      </c>
      <c r="G23" s="53">
        <v>4</v>
      </c>
      <c r="H23" s="54">
        <v>46037</v>
      </c>
    </row>
    <row r="24" ht="16.5" spans="1:8">
      <c r="A24" s="53">
        <v>22</v>
      </c>
      <c r="B24" s="53">
        <v>2026</v>
      </c>
      <c r="C24" s="56" t="s">
        <v>23</v>
      </c>
      <c r="D24" s="53" t="s">
        <v>248</v>
      </c>
      <c r="E24" s="53" t="s">
        <v>247</v>
      </c>
      <c r="F24" s="53" t="str">
        <f>VLOOKUP(E24,[3]在职!$A:$E,5,0)</f>
        <v>西南总部</v>
      </c>
      <c r="G24" s="53" t="s">
        <v>1630</v>
      </c>
      <c r="H24" s="55"/>
    </row>
    <row r="25" ht="16.5" spans="1:8">
      <c r="A25" s="53">
        <v>23</v>
      </c>
      <c r="B25" s="53">
        <v>2026</v>
      </c>
      <c r="C25" s="56" t="s">
        <v>23</v>
      </c>
      <c r="D25" s="53" t="s">
        <v>1631</v>
      </c>
      <c r="E25" s="53" t="s">
        <v>319</v>
      </c>
      <c r="F25" s="53" t="str">
        <f>VLOOKUP(E25,[3]在职!$A:$E,5,0)</f>
        <v>西南总部</v>
      </c>
      <c r="G25" s="53">
        <v>6</v>
      </c>
      <c r="H25" s="54">
        <v>46038</v>
      </c>
    </row>
    <row r="26" ht="16.5" spans="1:8">
      <c r="A26" s="53">
        <v>24</v>
      </c>
      <c r="B26" s="53">
        <v>2026</v>
      </c>
      <c r="C26" s="62" t="s">
        <v>23</v>
      </c>
      <c r="D26" s="53" t="s">
        <v>1632</v>
      </c>
      <c r="E26" s="53" t="s">
        <v>1633</v>
      </c>
      <c r="F26" s="53" t="e">
        <f>VLOOKUP(E26,[3]在职!$A:$E,5,0)</f>
        <v>#N/A</v>
      </c>
      <c r="G26" s="53">
        <v>5</v>
      </c>
      <c r="H26" s="54">
        <v>46038</v>
      </c>
    </row>
    <row r="27" ht="16.5" spans="1:8">
      <c r="A27" s="53">
        <v>25</v>
      </c>
      <c r="B27" s="53">
        <v>2026</v>
      </c>
      <c r="C27" s="56" t="s">
        <v>23</v>
      </c>
      <c r="D27" s="53" t="s">
        <v>1634</v>
      </c>
      <c r="E27" s="53" t="s">
        <v>219</v>
      </c>
      <c r="F27" s="53" t="str">
        <f>VLOOKUP(E27,[3]在职!$A:$E,5,0)</f>
        <v>西南总部</v>
      </c>
      <c r="G27" s="53">
        <v>4</v>
      </c>
      <c r="H27" s="54">
        <v>46038</v>
      </c>
    </row>
    <row r="28" ht="16.5" spans="1:8">
      <c r="A28" s="53">
        <v>26</v>
      </c>
      <c r="B28" s="53">
        <v>2026</v>
      </c>
      <c r="C28" s="56" t="s">
        <v>23</v>
      </c>
      <c r="D28" s="60" t="s">
        <v>1635</v>
      </c>
      <c r="E28" s="60" t="s">
        <v>62</v>
      </c>
      <c r="F28" s="53" t="str">
        <f>VLOOKUP(E28,[3]在职!$A:$E,5,0)</f>
        <v>西南总部</v>
      </c>
      <c r="G28" s="66">
        <v>3</v>
      </c>
      <c r="H28" s="58">
        <v>46039</v>
      </c>
    </row>
    <row r="29" ht="16.5" spans="1:8">
      <c r="A29" s="53">
        <v>27</v>
      </c>
      <c r="B29" s="53">
        <v>2026</v>
      </c>
      <c r="C29" s="53" t="s">
        <v>23</v>
      </c>
      <c r="D29" s="53" t="s">
        <v>283</v>
      </c>
      <c r="E29" s="53" t="s">
        <v>282</v>
      </c>
      <c r="F29" s="53" t="str">
        <f>VLOOKUP(E29,[3]在职!$A:$E,5,0)</f>
        <v>西南总部</v>
      </c>
      <c r="G29" s="53">
        <v>6</v>
      </c>
      <c r="H29" s="54">
        <v>46039</v>
      </c>
    </row>
    <row r="30" ht="16.5" spans="1:8">
      <c r="A30" s="53">
        <v>28</v>
      </c>
      <c r="B30" s="53">
        <v>2026</v>
      </c>
      <c r="C30" s="56" t="s">
        <v>23</v>
      </c>
      <c r="D30" s="53" t="s">
        <v>321</v>
      </c>
      <c r="E30" s="53" t="s">
        <v>320</v>
      </c>
      <c r="F30" s="53" t="str">
        <f>VLOOKUP(E30,[3]在职!$A:$E,5,0)</f>
        <v>山西</v>
      </c>
      <c r="G30" s="53">
        <v>4</v>
      </c>
      <c r="H30" s="54">
        <v>46042</v>
      </c>
    </row>
    <row r="31" ht="16.5" spans="1:8">
      <c r="A31" s="53">
        <v>29</v>
      </c>
      <c r="B31" s="53">
        <v>2026</v>
      </c>
      <c r="C31" s="53" t="s">
        <v>23</v>
      </c>
      <c r="D31" s="53" t="s">
        <v>1636</v>
      </c>
      <c r="E31" s="53" t="s">
        <v>233</v>
      </c>
      <c r="F31" s="53" t="str">
        <f>VLOOKUP(E31,[3]在职!$A:$E,5,0)</f>
        <v>西南总部</v>
      </c>
      <c r="G31" s="53">
        <v>4</v>
      </c>
      <c r="H31" s="54">
        <v>46043</v>
      </c>
    </row>
    <row r="32" ht="16.5" spans="1:8">
      <c r="A32" s="53">
        <v>30</v>
      </c>
      <c r="B32" s="53">
        <v>2026</v>
      </c>
      <c r="C32" s="53" t="s">
        <v>23</v>
      </c>
      <c r="D32" s="55" t="s">
        <v>1637</v>
      </c>
      <c r="E32" s="68" t="s">
        <v>245</v>
      </c>
      <c r="F32" s="53" t="str">
        <f>VLOOKUP(E32,[3]在职!$A:$E,5,0)</f>
        <v>湖北</v>
      </c>
      <c r="G32" s="53">
        <v>3</v>
      </c>
      <c r="H32" s="54">
        <v>46043</v>
      </c>
    </row>
    <row r="33" ht="16.5" spans="1:8">
      <c r="A33" s="53">
        <v>31</v>
      </c>
      <c r="B33" s="53">
        <v>2026</v>
      </c>
      <c r="C33" s="56" t="s">
        <v>23</v>
      </c>
      <c r="D33" s="53" t="s">
        <v>1638</v>
      </c>
      <c r="E33" s="53" t="s">
        <v>78</v>
      </c>
      <c r="F33" s="53" t="str">
        <f>VLOOKUP(E33,[3]在职!$A:$E,5,0)</f>
        <v>湖北</v>
      </c>
      <c r="G33" s="68">
        <v>2</v>
      </c>
      <c r="H33" s="54">
        <v>46043</v>
      </c>
    </row>
    <row r="34" ht="16.5" spans="1:8">
      <c r="A34" s="53">
        <v>32</v>
      </c>
      <c r="B34" s="53">
        <v>2026</v>
      </c>
      <c r="C34" s="62" t="s">
        <v>23</v>
      </c>
      <c r="D34" s="53" t="s">
        <v>1639</v>
      </c>
      <c r="E34" s="53" t="s">
        <v>347</v>
      </c>
      <c r="F34" s="53" t="str">
        <f>VLOOKUP(E34,[3]在职!$A:$E,5,0)</f>
        <v>西南总部</v>
      </c>
      <c r="G34" s="53">
        <v>5</v>
      </c>
      <c r="H34" s="70">
        <v>46044</v>
      </c>
    </row>
    <row r="35" ht="16.5" spans="1:8">
      <c r="A35" s="53">
        <v>33</v>
      </c>
      <c r="B35" s="53">
        <v>2026</v>
      </c>
      <c r="C35" s="62" t="s">
        <v>23</v>
      </c>
      <c r="D35" s="53" t="s">
        <v>201</v>
      </c>
      <c r="E35" s="53" t="s">
        <v>200</v>
      </c>
      <c r="F35" s="53" t="str">
        <f>VLOOKUP(E35,[3]在职!$A:$E,5,0)</f>
        <v>西南总部</v>
      </c>
      <c r="G35" s="65">
        <v>4</v>
      </c>
      <c r="H35" s="57">
        <v>46044</v>
      </c>
    </row>
    <row r="36" ht="16.5" spans="1:8">
      <c r="A36" s="53">
        <v>34</v>
      </c>
      <c r="B36" s="53">
        <v>2026</v>
      </c>
      <c r="C36" s="56" t="s">
        <v>23</v>
      </c>
      <c r="D36" s="55" t="s">
        <v>1640</v>
      </c>
      <c r="E36" s="68" t="s">
        <v>298</v>
      </c>
      <c r="F36" s="53" t="str">
        <f>VLOOKUP(E36,[3]在职!$A:$E,5,0)</f>
        <v>西南总部</v>
      </c>
      <c r="G36" s="55">
        <v>5</v>
      </c>
      <c r="H36" s="58">
        <v>46044</v>
      </c>
    </row>
    <row r="37" ht="16.5" spans="1:8">
      <c r="A37" s="53">
        <v>35</v>
      </c>
      <c r="B37" s="53">
        <v>2026</v>
      </c>
      <c r="C37" s="62" t="s">
        <v>23</v>
      </c>
      <c r="D37" s="53" t="s">
        <v>1641</v>
      </c>
      <c r="E37" s="53" t="s">
        <v>527</v>
      </c>
      <c r="F37" s="53" t="str">
        <f>VLOOKUP(E37,[3]在职!$A:$E,5,0)</f>
        <v>陕西</v>
      </c>
      <c r="G37" s="53">
        <v>5</v>
      </c>
      <c r="H37" s="54">
        <v>46044</v>
      </c>
    </row>
    <row r="38" ht="16.5" spans="1:8">
      <c r="A38" s="53">
        <v>36</v>
      </c>
      <c r="B38" s="53">
        <v>2026</v>
      </c>
      <c r="C38" s="62" t="s">
        <v>23</v>
      </c>
      <c r="D38" s="53" t="s">
        <v>1642</v>
      </c>
      <c r="E38" s="53" t="s">
        <v>340</v>
      </c>
      <c r="F38" s="53" t="str">
        <f>VLOOKUP(E38,[3]在职!$A:$E,5,0)</f>
        <v>西南总部</v>
      </c>
      <c r="G38" s="53">
        <v>5</v>
      </c>
      <c r="H38" s="54">
        <v>46046</v>
      </c>
    </row>
    <row r="39" ht="16.5" spans="1:8">
      <c r="A39" s="53">
        <v>37</v>
      </c>
      <c r="B39" s="53">
        <v>2026</v>
      </c>
      <c r="C39" s="56" t="s">
        <v>23</v>
      </c>
      <c r="D39" s="63" t="s">
        <v>352</v>
      </c>
      <c r="E39" s="63" t="s">
        <v>350</v>
      </c>
      <c r="F39" s="53" t="str">
        <f>VLOOKUP(E39,[3]在职!$A:$E,5,0)</f>
        <v>内蒙古</v>
      </c>
      <c r="G39" s="63">
        <v>4</v>
      </c>
      <c r="H39" s="71">
        <v>46048</v>
      </c>
    </row>
    <row r="40" ht="16.5" spans="1:8">
      <c r="A40" s="53">
        <v>38</v>
      </c>
      <c r="B40" s="53">
        <v>2026</v>
      </c>
      <c r="C40" s="62" t="s">
        <v>23</v>
      </c>
      <c r="D40" s="63" t="s">
        <v>166</v>
      </c>
      <c r="E40" s="63" t="s">
        <v>1643</v>
      </c>
      <c r="F40" s="53" t="e">
        <f>VLOOKUP(E40,[3]在职!$A:$E,5,0)</f>
        <v>#N/A</v>
      </c>
      <c r="G40" s="63">
        <v>2</v>
      </c>
      <c r="H40" s="71">
        <v>46049</v>
      </c>
    </row>
    <row r="41" ht="16.5" spans="1:8">
      <c r="A41" s="53">
        <v>39</v>
      </c>
      <c r="B41" s="53">
        <v>2026</v>
      </c>
      <c r="C41" s="53" t="s">
        <v>23</v>
      </c>
      <c r="D41" s="55" t="s">
        <v>1644</v>
      </c>
      <c r="E41" s="53" t="s">
        <v>185</v>
      </c>
      <c r="F41" s="53" t="str">
        <f>VLOOKUP(E41,[3]在职!$A:$E,5,0)</f>
        <v>西南总部</v>
      </c>
      <c r="G41" s="53">
        <v>6</v>
      </c>
      <c r="H41" s="71">
        <v>46051</v>
      </c>
    </row>
    <row r="42" ht="16.5" spans="1:8">
      <c r="A42" s="53">
        <v>40</v>
      </c>
      <c r="B42" s="53">
        <v>2026</v>
      </c>
      <c r="C42" s="56" t="s">
        <v>23</v>
      </c>
      <c r="D42" s="55" t="s">
        <v>1645</v>
      </c>
      <c r="E42" s="55" t="s">
        <v>306</v>
      </c>
      <c r="F42" s="53" t="str">
        <f>VLOOKUP(E42,[3]在职!$A:$E,5,0)</f>
        <v>西南总部</v>
      </c>
      <c r="G42" s="55">
        <v>4</v>
      </c>
      <c r="H42" s="64">
        <v>46051</v>
      </c>
    </row>
    <row r="43" ht="16.5" spans="1:8">
      <c r="A43" s="53">
        <v>41</v>
      </c>
      <c r="B43" s="62">
        <v>2026</v>
      </c>
      <c r="C43" s="53" t="s">
        <v>23</v>
      </c>
      <c r="D43" s="53" t="s">
        <v>1646</v>
      </c>
      <c r="E43" s="53" t="s">
        <v>74</v>
      </c>
      <c r="F43" s="53" t="str">
        <f>VLOOKUP(E43,[3]在职!$A:$E,5,0)</f>
        <v>西南总部</v>
      </c>
      <c r="G43" s="53">
        <v>4</v>
      </c>
      <c r="H43" s="54">
        <v>46051</v>
      </c>
    </row>
    <row r="44" ht="16.5" spans="1:8">
      <c r="A44" s="53">
        <v>42</v>
      </c>
      <c r="B44" s="62">
        <v>2026</v>
      </c>
      <c r="C44" s="53" t="s">
        <v>23</v>
      </c>
      <c r="D44" s="55" t="s">
        <v>1647</v>
      </c>
      <c r="E44" s="55" t="s">
        <v>253</v>
      </c>
      <c r="F44" s="53" t="str">
        <f>VLOOKUP(E44,[3]在职!$A:$E,5,0)</f>
        <v>河南</v>
      </c>
      <c r="G44" s="53">
        <v>4</v>
      </c>
      <c r="H44" s="71">
        <v>46051</v>
      </c>
    </row>
    <row r="45" ht="16.5" spans="1:8">
      <c r="A45" s="53">
        <v>43</v>
      </c>
      <c r="B45" s="62">
        <v>2026</v>
      </c>
      <c r="C45" s="53" t="s">
        <v>23</v>
      </c>
      <c r="D45" s="53" t="s">
        <v>1648</v>
      </c>
      <c r="E45" s="53" t="s">
        <v>500</v>
      </c>
      <c r="F45" s="53" t="str">
        <f>VLOOKUP(E45,[3]在职!$A:$E,5,0)</f>
        <v>西南总部</v>
      </c>
      <c r="G45" s="53">
        <v>4</v>
      </c>
      <c r="H45" s="54">
        <v>46052</v>
      </c>
    </row>
    <row r="46" ht="16.5" spans="1:8">
      <c r="A46" s="53">
        <v>44</v>
      </c>
      <c r="B46" s="62">
        <v>2026</v>
      </c>
      <c r="C46" s="53" t="s">
        <v>23</v>
      </c>
      <c r="D46" s="55" t="s">
        <v>1649</v>
      </c>
      <c r="E46" s="55" t="s">
        <v>371</v>
      </c>
      <c r="F46" s="53" t="str">
        <f>VLOOKUP(E46,[3]在职!$A:$E,5,0)</f>
        <v>西南总部</v>
      </c>
      <c r="G46" s="55">
        <v>5</v>
      </c>
      <c r="H46" s="58">
        <v>46052</v>
      </c>
    </row>
    <row r="47" ht="16.5" spans="1:8">
      <c r="A47" s="53">
        <v>45</v>
      </c>
      <c r="B47" s="62">
        <v>2026</v>
      </c>
      <c r="C47" s="53" t="s">
        <v>23</v>
      </c>
      <c r="D47" s="53" t="s">
        <v>1650</v>
      </c>
      <c r="E47" s="53" t="s">
        <v>192</v>
      </c>
      <c r="F47" s="53" t="str">
        <f>VLOOKUP(E47,[3]在职!$A:$E,5,0)</f>
        <v>湖南</v>
      </c>
      <c r="G47" s="62">
        <v>3</v>
      </c>
      <c r="H47" s="54">
        <v>46053</v>
      </c>
    </row>
    <row r="48" ht="16.5" spans="1:8">
      <c r="A48" s="53">
        <v>1</v>
      </c>
      <c r="B48" s="53">
        <v>2026</v>
      </c>
      <c r="C48" s="53" t="s">
        <v>39</v>
      </c>
      <c r="D48" s="53" t="s">
        <v>1651</v>
      </c>
      <c r="E48" s="53" t="s">
        <v>69</v>
      </c>
      <c r="F48" s="53" t="s">
        <v>38</v>
      </c>
      <c r="G48" s="53">
        <v>5</v>
      </c>
      <c r="H48" s="54">
        <v>46055</v>
      </c>
    </row>
    <row r="49" ht="16.5" spans="1:8">
      <c r="A49" s="53">
        <v>2</v>
      </c>
      <c r="B49" s="53">
        <v>2026</v>
      </c>
      <c r="C49" s="53" t="s">
        <v>39</v>
      </c>
      <c r="D49" s="53" t="s">
        <v>1652</v>
      </c>
      <c r="E49" s="53" t="s">
        <v>216</v>
      </c>
      <c r="F49" s="53" t="s">
        <v>38</v>
      </c>
      <c r="G49" s="53">
        <v>5</v>
      </c>
      <c r="H49" s="54">
        <v>46055</v>
      </c>
    </row>
    <row r="50" ht="16.5" spans="1:8">
      <c r="A50" s="53">
        <v>3</v>
      </c>
      <c r="B50" s="53">
        <v>2026</v>
      </c>
      <c r="C50" s="53" t="s">
        <v>39</v>
      </c>
      <c r="D50" s="53" t="s">
        <v>228</v>
      </c>
      <c r="E50" s="53" t="s">
        <v>227</v>
      </c>
      <c r="F50" s="53" t="s">
        <v>38</v>
      </c>
      <c r="G50" s="53">
        <v>5</v>
      </c>
      <c r="H50" s="54">
        <v>46055</v>
      </c>
    </row>
    <row r="51" ht="16.5" spans="1:8">
      <c r="A51" s="53">
        <v>4</v>
      </c>
      <c r="B51" s="53">
        <v>2026</v>
      </c>
      <c r="C51" s="53" t="s">
        <v>39</v>
      </c>
      <c r="D51" s="53" t="s">
        <v>1653</v>
      </c>
      <c r="E51" s="53" t="s">
        <v>531</v>
      </c>
      <c r="F51" s="53" t="s">
        <v>38</v>
      </c>
      <c r="G51" s="53">
        <v>7</v>
      </c>
      <c r="H51" s="54">
        <v>46056</v>
      </c>
    </row>
    <row r="52" ht="16.5" spans="1:8">
      <c r="A52" s="53">
        <v>5</v>
      </c>
      <c r="B52" s="53">
        <v>2026</v>
      </c>
      <c r="C52" s="53" t="s">
        <v>39</v>
      </c>
      <c r="D52" s="53" t="s">
        <v>1654</v>
      </c>
      <c r="E52" s="53" t="s">
        <v>481</v>
      </c>
      <c r="F52" s="53" t="s">
        <v>38</v>
      </c>
      <c r="G52" s="53">
        <v>2</v>
      </c>
      <c r="H52" s="54">
        <v>46056</v>
      </c>
    </row>
    <row r="53" ht="16.5" spans="1:8">
      <c r="A53" s="53">
        <v>6</v>
      </c>
      <c r="B53" s="53">
        <v>2026</v>
      </c>
      <c r="C53" s="53" t="s">
        <v>39</v>
      </c>
      <c r="D53" s="53" t="s">
        <v>1655</v>
      </c>
      <c r="E53" s="53" t="s">
        <v>441</v>
      </c>
      <c r="F53" s="53" t="s">
        <v>38</v>
      </c>
      <c r="G53" s="53">
        <v>6</v>
      </c>
      <c r="H53" s="54">
        <v>46056</v>
      </c>
    </row>
    <row r="54" ht="16.5" spans="1:8">
      <c r="A54" s="53">
        <v>7</v>
      </c>
      <c r="B54" s="53">
        <v>2026</v>
      </c>
      <c r="C54" s="53" t="s">
        <v>39</v>
      </c>
      <c r="D54" s="53" t="s">
        <v>1656</v>
      </c>
      <c r="E54" s="53" t="s">
        <v>540</v>
      </c>
      <c r="F54" s="53" t="s">
        <v>38</v>
      </c>
      <c r="G54" s="53">
        <v>4</v>
      </c>
      <c r="H54" s="54">
        <v>46058</v>
      </c>
    </row>
    <row r="55" ht="16.5" spans="1:8">
      <c r="A55" s="53">
        <v>8</v>
      </c>
      <c r="B55" s="53">
        <v>2026</v>
      </c>
      <c r="C55" s="53" t="s">
        <v>39</v>
      </c>
      <c r="D55" s="53" t="s">
        <v>1657</v>
      </c>
      <c r="E55" s="53" t="s">
        <v>143</v>
      </c>
      <c r="F55" s="53" t="s">
        <v>38</v>
      </c>
      <c r="G55" s="53">
        <v>3</v>
      </c>
      <c r="H55" s="54">
        <v>46059</v>
      </c>
    </row>
    <row r="56" ht="16.5" spans="1:8">
      <c r="A56" s="53">
        <v>9</v>
      </c>
      <c r="B56" s="53">
        <v>2026</v>
      </c>
      <c r="C56" s="53" t="s">
        <v>39</v>
      </c>
      <c r="D56" s="53" t="s">
        <v>852</v>
      </c>
      <c r="E56" s="53" t="s">
        <v>312</v>
      </c>
      <c r="F56" s="53" t="s">
        <v>32</v>
      </c>
      <c r="G56" s="53">
        <v>4</v>
      </c>
      <c r="H56" s="54">
        <v>46059</v>
      </c>
    </row>
    <row r="57" ht="16.5" spans="1:8">
      <c r="A57" s="53">
        <v>10</v>
      </c>
      <c r="B57" s="53">
        <v>2026</v>
      </c>
      <c r="C57" s="53" t="s">
        <v>39</v>
      </c>
      <c r="D57" s="53" t="s">
        <v>720</v>
      </c>
      <c r="E57" s="53" t="s">
        <v>176</v>
      </c>
      <c r="F57" s="53" t="s">
        <v>38</v>
      </c>
      <c r="G57" s="53">
        <v>3</v>
      </c>
      <c r="H57" s="54">
        <v>46061</v>
      </c>
    </row>
    <row r="58" ht="16.5" spans="1:8">
      <c r="A58" s="53">
        <v>11</v>
      </c>
      <c r="B58" s="53">
        <v>2026</v>
      </c>
      <c r="C58" s="53" t="s">
        <v>39</v>
      </c>
      <c r="D58" s="53" t="s">
        <v>1658</v>
      </c>
      <c r="E58" s="53" t="s">
        <v>620</v>
      </c>
      <c r="F58" s="53" t="s">
        <v>38</v>
      </c>
      <c r="G58" s="53">
        <v>3</v>
      </c>
      <c r="H58" s="54">
        <v>46063</v>
      </c>
    </row>
    <row r="59" ht="16.5" spans="1:8">
      <c r="A59" s="53">
        <v>12</v>
      </c>
      <c r="B59" s="53">
        <v>2026</v>
      </c>
      <c r="C59" s="53" t="s">
        <v>39</v>
      </c>
      <c r="D59" s="53" t="s">
        <v>1659</v>
      </c>
      <c r="E59" s="53" t="s">
        <v>205</v>
      </c>
      <c r="F59" s="53" t="s">
        <v>38</v>
      </c>
      <c r="G59" s="53">
        <v>2</v>
      </c>
      <c r="H59" s="54">
        <v>46078</v>
      </c>
    </row>
    <row r="60" ht="16.5" spans="1:8">
      <c r="A60" s="53">
        <v>13</v>
      </c>
      <c r="B60" s="53">
        <v>2026</v>
      </c>
      <c r="C60" s="53" t="s">
        <v>39</v>
      </c>
      <c r="D60" s="53" t="s">
        <v>1660</v>
      </c>
      <c r="E60" s="53" t="s">
        <v>493</v>
      </c>
      <c r="F60" s="53" t="s">
        <v>35</v>
      </c>
      <c r="G60" s="53">
        <v>5</v>
      </c>
      <c r="H60" s="54">
        <v>46081</v>
      </c>
    </row>
  </sheetData>
  <mergeCells count="1">
    <mergeCell ref="A1:H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pane ySplit="2" topLeftCell="A3" activePane="bottomLeft" state="frozen"/>
      <selection/>
      <selection pane="bottomLeft" activeCell="A1" sqref="A1:G20"/>
    </sheetView>
  </sheetViews>
  <sheetFormatPr defaultColWidth="8.89166666666667" defaultRowHeight="13.5" outlineLevelCol="6"/>
  <cols>
    <col min="1" max="2" width="11.775" customWidth="1"/>
    <col min="3" max="3" width="15.5583333333333" customWidth="1"/>
    <col min="4" max="4" width="16.225" customWidth="1"/>
    <col min="5" max="5" width="16" customWidth="1"/>
    <col min="6" max="6" width="15.775" customWidth="1"/>
    <col min="7" max="7" width="15.225" customWidth="1"/>
  </cols>
  <sheetData>
    <row r="1" ht="32" customHeight="1" spans="1:7">
      <c r="A1" s="41" t="s">
        <v>1661</v>
      </c>
      <c r="B1" s="42"/>
      <c r="C1" s="42"/>
      <c r="D1" s="42"/>
      <c r="E1" s="42"/>
      <c r="F1" s="42"/>
      <c r="G1" s="43"/>
    </row>
    <row r="2" ht="40" customHeight="1" spans="1:7">
      <c r="A2" s="44" t="s">
        <v>2</v>
      </c>
      <c r="B2" s="44" t="s">
        <v>3</v>
      </c>
      <c r="C2" s="44" t="s">
        <v>1662</v>
      </c>
      <c r="D2" s="44" t="s">
        <v>1663</v>
      </c>
      <c r="E2" s="44" t="s">
        <v>1664</v>
      </c>
      <c r="F2" s="45" t="s">
        <v>1665</v>
      </c>
      <c r="G2" s="44" t="s">
        <v>1666</v>
      </c>
    </row>
    <row r="3" customFormat="1" ht="16.5" spans="1:7">
      <c r="A3" s="46" t="s">
        <v>23</v>
      </c>
      <c r="B3" s="46" t="s">
        <v>38</v>
      </c>
      <c r="C3" s="46">
        <v>22</v>
      </c>
      <c r="D3" s="46">
        <v>6</v>
      </c>
      <c r="E3" s="47">
        <f>D3/C3</f>
        <v>0.272727272727273</v>
      </c>
      <c r="F3" s="46">
        <v>19</v>
      </c>
      <c r="G3" s="46">
        <v>32</v>
      </c>
    </row>
    <row r="4" customFormat="1" ht="16.5" spans="1:7">
      <c r="A4" s="46" t="s">
        <v>23</v>
      </c>
      <c r="B4" s="46" t="s">
        <v>37</v>
      </c>
      <c r="C4" s="46">
        <v>1</v>
      </c>
      <c r="D4" s="46">
        <v>0</v>
      </c>
      <c r="E4" s="47">
        <f>D4/C4</f>
        <v>0</v>
      </c>
      <c r="F4" s="46">
        <v>6</v>
      </c>
      <c r="G4" s="46">
        <v>2</v>
      </c>
    </row>
    <row r="5" customFormat="1" ht="16.5" spans="1:7">
      <c r="A5" s="46" t="s">
        <v>23</v>
      </c>
      <c r="B5" s="46" t="s">
        <v>36</v>
      </c>
      <c r="C5" s="46">
        <v>0</v>
      </c>
      <c r="D5" s="46">
        <v>0</v>
      </c>
      <c r="E5" s="47">
        <v>0</v>
      </c>
      <c r="F5" s="46">
        <v>3</v>
      </c>
      <c r="G5" s="46">
        <v>1</v>
      </c>
    </row>
    <row r="6" customFormat="1" ht="16.5" spans="1:7">
      <c r="A6" s="46" t="s">
        <v>23</v>
      </c>
      <c r="B6" s="46" t="s">
        <v>35</v>
      </c>
      <c r="C6" s="46">
        <v>1</v>
      </c>
      <c r="D6" s="46">
        <v>1</v>
      </c>
      <c r="E6" s="47">
        <f>D6/C6</f>
        <v>1</v>
      </c>
      <c r="F6" s="46">
        <v>1</v>
      </c>
      <c r="G6" s="46">
        <v>2</v>
      </c>
    </row>
    <row r="7" customFormat="1" ht="16.5" spans="1:7">
      <c r="A7" s="46" t="s">
        <v>23</v>
      </c>
      <c r="B7" s="46" t="s">
        <v>33</v>
      </c>
      <c r="C7" s="46">
        <v>1</v>
      </c>
      <c r="D7" s="46">
        <v>0</v>
      </c>
      <c r="E7" s="47">
        <f>D7/C7</f>
        <v>0</v>
      </c>
      <c r="F7" s="46">
        <v>0</v>
      </c>
      <c r="G7" s="46">
        <v>0</v>
      </c>
    </row>
    <row r="8" customFormat="1" ht="16.5" spans="1:7">
      <c r="A8" s="46" t="s">
        <v>23</v>
      </c>
      <c r="B8" s="46" t="s">
        <v>32</v>
      </c>
      <c r="C8" s="46">
        <v>6</v>
      </c>
      <c r="D8" s="46">
        <v>1</v>
      </c>
      <c r="E8" s="47">
        <f>D8/C8</f>
        <v>0.166666666666667</v>
      </c>
      <c r="F8" s="46">
        <v>2</v>
      </c>
      <c r="G8" s="46">
        <v>4</v>
      </c>
    </row>
    <row r="9" customFormat="1" ht="16.5" spans="1:7">
      <c r="A9" s="46" t="s">
        <v>23</v>
      </c>
      <c r="B9" s="46" t="s">
        <v>31</v>
      </c>
      <c r="C9" s="46">
        <v>0</v>
      </c>
      <c r="D9" s="46">
        <v>0</v>
      </c>
      <c r="E9" s="47">
        <v>0</v>
      </c>
      <c r="F9" s="46">
        <v>1</v>
      </c>
      <c r="G9" s="46">
        <v>2</v>
      </c>
    </row>
    <row r="10" customFormat="1" ht="16.5" spans="1:7">
      <c r="A10" s="46" t="s">
        <v>23</v>
      </c>
      <c r="B10" s="46" t="s">
        <v>29</v>
      </c>
      <c r="C10" s="46">
        <v>2</v>
      </c>
      <c r="D10" s="46">
        <v>0</v>
      </c>
      <c r="E10" s="47">
        <f>D10/C10</f>
        <v>0</v>
      </c>
      <c r="F10" s="46">
        <v>4</v>
      </c>
      <c r="G10" s="46">
        <v>1</v>
      </c>
    </row>
    <row r="11" customFormat="1" ht="16.5" spans="1:7">
      <c r="A11" s="46" t="s">
        <v>23</v>
      </c>
      <c r="B11" s="46" t="s">
        <v>26</v>
      </c>
      <c r="C11" s="46">
        <v>3</v>
      </c>
      <c r="D11" s="46">
        <v>1</v>
      </c>
      <c r="E11" s="47">
        <f>D11/C11</f>
        <v>0.333333333333333</v>
      </c>
      <c r="F11" s="46">
        <v>0</v>
      </c>
      <c r="G11" s="46">
        <v>0</v>
      </c>
    </row>
    <row r="12" ht="17" customHeight="1" spans="1:7">
      <c r="A12" s="48" t="s">
        <v>1667</v>
      </c>
      <c r="B12" s="48"/>
      <c r="C12" s="49">
        <v>36</v>
      </c>
      <c r="D12" s="49">
        <v>9</v>
      </c>
      <c r="E12" s="50">
        <f>D12/C12</f>
        <v>0.25</v>
      </c>
      <c r="F12" s="49">
        <v>36</v>
      </c>
      <c r="G12" s="49">
        <v>44</v>
      </c>
    </row>
    <row r="13" ht="16.5" spans="1:7">
      <c r="A13" s="46" t="s">
        <v>39</v>
      </c>
      <c r="B13" s="47" t="s">
        <v>26</v>
      </c>
      <c r="C13" s="46">
        <v>0</v>
      </c>
      <c r="D13" s="46">
        <v>0</v>
      </c>
      <c r="E13" s="47">
        <v>0</v>
      </c>
      <c r="F13" s="51">
        <v>1</v>
      </c>
      <c r="G13" s="12">
        <v>0</v>
      </c>
    </row>
    <row r="14" ht="16.5" spans="1:7">
      <c r="A14" s="46" t="s">
        <v>39</v>
      </c>
      <c r="B14" s="47" t="s">
        <v>29</v>
      </c>
      <c r="C14" s="46">
        <v>0</v>
      </c>
      <c r="D14" s="46">
        <v>0</v>
      </c>
      <c r="E14" s="47">
        <v>0</v>
      </c>
      <c r="F14" s="51">
        <v>1</v>
      </c>
      <c r="G14" s="12">
        <v>0</v>
      </c>
    </row>
    <row r="15" ht="16.5" spans="1:7">
      <c r="A15" s="46" t="s">
        <v>39</v>
      </c>
      <c r="B15" s="47" t="s">
        <v>35</v>
      </c>
      <c r="C15" s="46">
        <v>2</v>
      </c>
      <c r="D15" s="46">
        <v>1</v>
      </c>
      <c r="E15" s="47">
        <f>D15/C15</f>
        <v>0.5</v>
      </c>
      <c r="F15" s="51">
        <v>2</v>
      </c>
      <c r="G15" s="12">
        <v>1</v>
      </c>
    </row>
    <row r="16" ht="16.5" spans="1:7">
      <c r="A16" s="46" t="s">
        <v>39</v>
      </c>
      <c r="B16" s="47" t="s">
        <v>36</v>
      </c>
      <c r="C16" s="46">
        <v>0</v>
      </c>
      <c r="D16" s="46">
        <v>0</v>
      </c>
      <c r="E16" s="47">
        <v>0</v>
      </c>
      <c r="F16" s="51">
        <v>3</v>
      </c>
      <c r="G16" s="12">
        <v>0</v>
      </c>
    </row>
    <row r="17" ht="16.5" spans="1:7">
      <c r="A17" s="46" t="s">
        <v>39</v>
      </c>
      <c r="B17" s="47" t="s">
        <v>37</v>
      </c>
      <c r="C17" s="46">
        <v>2</v>
      </c>
      <c r="D17" s="46">
        <v>0</v>
      </c>
      <c r="E17" s="47">
        <f>D17/C17</f>
        <v>0</v>
      </c>
      <c r="F17" s="51">
        <v>4</v>
      </c>
      <c r="G17" s="12">
        <v>0</v>
      </c>
    </row>
    <row r="18" ht="16.5" spans="1:7">
      <c r="A18" s="46" t="s">
        <v>39</v>
      </c>
      <c r="B18" s="47" t="s">
        <v>38</v>
      </c>
      <c r="C18" s="46">
        <v>5</v>
      </c>
      <c r="D18" s="46">
        <v>2</v>
      </c>
      <c r="E18" s="47">
        <f>D18/C18</f>
        <v>0.4</v>
      </c>
      <c r="F18" s="51">
        <v>9</v>
      </c>
      <c r="G18" s="12">
        <v>11</v>
      </c>
    </row>
    <row r="19" ht="16.5" spans="1:7">
      <c r="A19" s="46" t="s">
        <v>39</v>
      </c>
      <c r="B19" s="8" t="s">
        <v>32</v>
      </c>
      <c r="C19" s="46">
        <v>0</v>
      </c>
      <c r="D19" s="46">
        <v>0</v>
      </c>
      <c r="E19" s="47">
        <v>0</v>
      </c>
      <c r="F19" s="51">
        <v>0</v>
      </c>
      <c r="G19" s="51">
        <v>1</v>
      </c>
    </row>
    <row r="20" ht="15" spans="1:7">
      <c r="A20" s="48" t="s">
        <v>1667</v>
      </c>
      <c r="B20" s="48"/>
      <c r="C20" s="49">
        <f>SUM(C13:C18)</f>
        <v>9</v>
      </c>
      <c r="D20" s="49">
        <f>SUM(D13:D18)</f>
        <v>3</v>
      </c>
      <c r="E20" s="50">
        <f>D20/C20</f>
        <v>0.333333333333333</v>
      </c>
      <c r="F20" s="49">
        <f>SUM(F13:F18)</f>
        <v>20</v>
      </c>
      <c r="G20" s="49">
        <v>13</v>
      </c>
    </row>
  </sheetData>
  <autoFilter xmlns:etc="http://www.wps.cn/officeDocument/2017/etCustomData" ref="A2:G20" etc:filterBottomFollowUsedRange="0">
    <sortState ref="A2:G20">
      <sortCondition ref="B2" descending="1"/>
    </sortState>
    <extLst/>
  </autoFilter>
  <mergeCells count="3">
    <mergeCell ref="A1:G1"/>
    <mergeCell ref="A12:B12"/>
    <mergeCell ref="A20:B20"/>
  </mergeCells>
  <pageMargins left="0.75" right="0.75" top="1" bottom="1" header="0.5" footer="0.5"/>
  <headerFooter/>
  <ignoredErrors>
    <ignoredError sqref="D20:E20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7"/>
  <sheetViews>
    <sheetView zoomScale="75" zoomScaleNormal="75" topLeftCell="A19" workbookViewId="0">
      <selection activeCell="V36" sqref="V36"/>
    </sheetView>
  </sheetViews>
  <sheetFormatPr defaultColWidth="8.89166666666667" defaultRowHeight="13.5"/>
  <cols>
    <col min="1" max="1" width="6.10833333333333" customWidth="1"/>
    <col min="2" max="2" width="8.66666666666667" customWidth="1"/>
    <col min="3" max="3" width="7.89166666666667" customWidth="1"/>
    <col min="4" max="4" width="13.3333333333333" customWidth="1"/>
    <col min="5" max="5" width="10.4416666666667" customWidth="1"/>
    <col min="6" max="6" width="7.55833333333333" customWidth="1"/>
    <col min="7" max="7" width="8.66666666666667" customWidth="1"/>
    <col min="8" max="8" width="8.44166666666667" customWidth="1"/>
    <col min="9" max="9" width="7.66666666666667" customWidth="1"/>
    <col min="10" max="10" width="9.44166666666667" customWidth="1"/>
    <col min="11" max="11" width="13.8916666666667" customWidth="1"/>
    <col min="12" max="12" width="8.33333333333333" customWidth="1"/>
    <col min="13" max="14" width="15.6666666666667" customWidth="1"/>
    <col min="15" max="16" width="10.6666666666667" customWidth="1"/>
    <col min="17" max="17" width="17.6666666666667" customWidth="1"/>
    <col min="18" max="21" width="10.6666666666667" customWidth="1"/>
    <col min="22" max="22" width="31.225" customWidth="1"/>
    <col min="23" max="23" width="90.6333333333333" customWidth="1"/>
    <col min="24" max="24" width="186.633333333333" style="15" customWidth="1"/>
    <col min="25" max="16384" width="8.89166666666667" style="15"/>
  </cols>
  <sheetData>
    <row r="1" ht="35" customHeight="1" spans="1:24">
      <c r="A1" s="1" t="s">
        <v>1668</v>
      </c>
      <c r="B1" s="1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7"/>
    </row>
    <row r="2" s="13" customFormat="1" ht="54" spans="1:24">
      <c r="A2" s="18" t="s">
        <v>887</v>
      </c>
      <c r="B2" s="18" t="s">
        <v>3</v>
      </c>
      <c r="C2" s="18" t="s">
        <v>2</v>
      </c>
      <c r="D2" s="18" t="s">
        <v>1669</v>
      </c>
      <c r="E2" s="18" t="s">
        <v>1670</v>
      </c>
      <c r="F2" s="18" t="s">
        <v>1671</v>
      </c>
      <c r="G2" s="18" t="s">
        <v>1672</v>
      </c>
      <c r="H2" s="19" t="s">
        <v>1673</v>
      </c>
      <c r="I2" s="18" t="s">
        <v>1616</v>
      </c>
      <c r="J2" s="18" t="s">
        <v>1674</v>
      </c>
      <c r="K2" s="18" t="s">
        <v>1675</v>
      </c>
      <c r="L2" s="18" t="s">
        <v>1676</v>
      </c>
      <c r="M2" s="18" t="s">
        <v>1677</v>
      </c>
      <c r="N2" s="18" t="s">
        <v>1678</v>
      </c>
      <c r="O2" s="18" t="s">
        <v>1679</v>
      </c>
      <c r="P2" s="18" t="s">
        <v>1680</v>
      </c>
      <c r="Q2" s="18" t="s">
        <v>1681</v>
      </c>
      <c r="R2" s="18" t="s">
        <v>1682</v>
      </c>
      <c r="S2" s="18" t="s">
        <v>1683</v>
      </c>
      <c r="T2" s="18" t="s">
        <v>1684</v>
      </c>
      <c r="U2" s="18" t="s">
        <v>1685</v>
      </c>
      <c r="V2" s="20" t="s">
        <v>1686</v>
      </c>
      <c r="W2" s="21" t="s">
        <v>1687</v>
      </c>
      <c r="X2" s="22" t="s">
        <v>1688</v>
      </c>
    </row>
    <row r="3" s="14" customFormat="1" ht="50" customHeight="1" spans="1:24">
      <c r="A3" s="23">
        <v>1</v>
      </c>
      <c r="B3" s="23" t="s">
        <v>32</v>
      </c>
      <c r="C3" s="23" t="s">
        <v>23</v>
      </c>
      <c r="D3" s="23" t="s">
        <v>1689</v>
      </c>
      <c r="E3" s="23" t="s">
        <v>1233</v>
      </c>
      <c r="F3" s="23" t="s">
        <v>1690</v>
      </c>
      <c r="G3" s="23">
        <v>20</v>
      </c>
      <c r="H3" s="24" t="s">
        <v>1691</v>
      </c>
      <c r="I3" s="24">
        <v>0.416666666666667</v>
      </c>
      <c r="J3" s="23" t="s">
        <v>1692</v>
      </c>
      <c r="K3" s="23" t="s">
        <v>1083</v>
      </c>
      <c r="L3" s="23" t="s">
        <v>1693</v>
      </c>
      <c r="M3" s="23" t="s">
        <v>487</v>
      </c>
      <c r="N3" s="23">
        <v>91</v>
      </c>
      <c r="O3" s="23" t="s">
        <v>1694</v>
      </c>
      <c r="P3" s="23">
        <v>90</v>
      </c>
      <c r="Q3" s="23" t="s">
        <v>1695</v>
      </c>
      <c r="R3" s="23"/>
      <c r="S3" s="23"/>
      <c r="T3" s="23"/>
      <c r="U3" s="23" t="s">
        <v>1351</v>
      </c>
      <c r="V3" s="25"/>
      <c r="W3" s="26" t="s">
        <v>1696</v>
      </c>
      <c r="X3" s="27" t="s">
        <v>1697</v>
      </c>
    </row>
    <row r="4" s="14" customFormat="1" ht="50" customHeight="1" spans="1:24">
      <c r="A4" s="23">
        <v>2</v>
      </c>
      <c r="B4" s="23" t="s">
        <v>32</v>
      </c>
      <c r="C4" s="23" t="s">
        <v>23</v>
      </c>
      <c r="D4" s="23" t="s">
        <v>1689</v>
      </c>
      <c r="E4" s="23" t="s">
        <v>1698</v>
      </c>
      <c r="F4" s="23" t="s">
        <v>1690</v>
      </c>
      <c r="G4" s="23">
        <v>26</v>
      </c>
      <c r="H4" s="24" t="s">
        <v>1699</v>
      </c>
      <c r="I4" s="24">
        <v>0.625</v>
      </c>
      <c r="J4" s="23" t="s">
        <v>1700</v>
      </c>
      <c r="K4" s="23" t="s">
        <v>1083</v>
      </c>
      <c r="L4" s="23" t="s">
        <v>1693</v>
      </c>
      <c r="M4" s="23" t="s">
        <v>179</v>
      </c>
      <c r="N4" s="23">
        <v>91</v>
      </c>
      <c r="O4" s="23" t="s">
        <v>1701</v>
      </c>
      <c r="P4" s="23">
        <v>91</v>
      </c>
      <c r="Q4" s="23" t="s">
        <v>1695</v>
      </c>
      <c r="R4" s="23"/>
      <c r="S4" s="23"/>
      <c r="T4" s="23"/>
      <c r="U4" s="23" t="s">
        <v>1351</v>
      </c>
      <c r="V4" s="25"/>
      <c r="W4" s="26" t="s">
        <v>1696</v>
      </c>
      <c r="X4" s="27" t="s">
        <v>1702</v>
      </c>
    </row>
    <row r="5" s="14" customFormat="1" ht="50" customHeight="1" spans="1:24">
      <c r="A5" s="23">
        <v>3</v>
      </c>
      <c r="B5" s="23" t="s">
        <v>1703</v>
      </c>
      <c r="C5" s="23" t="s">
        <v>23</v>
      </c>
      <c r="D5" s="23" t="s">
        <v>1704</v>
      </c>
      <c r="E5" s="23" t="s">
        <v>1219</v>
      </c>
      <c r="F5" s="23" t="s">
        <v>1705</v>
      </c>
      <c r="G5" s="23">
        <v>30</v>
      </c>
      <c r="H5" s="24" t="s">
        <v>1706</v>
      </c>
      <c r="I5" s="24">
        <v>0.583333333333333</v>
      </c>
      <c r="J5" s="23" t="s">
        <v>1707</v>
      </c>
      <c r="K5" s="23" t="s">
        <v>1083</v>
      </c>
      <c r="L5" s="23" t="s">
        <v>1693</v>
      </c>
      <c r="M5" s="23" t="s">
        <v>347</v>
      </c>
      <c r="N5" s="23">
        <v>91</v>
      </c>
      <c r="O5" s="23" t="s">
        <v>1708</v>
      </c>
      <c r="P5" s="23">
        <v>90</v>
      </c>
      <c r="Q5" s="23" t="s">
        <v>1695</v>
      </c>
      <c r="R5" s="23"/>
      <c r="S5" s="23"/>
      <c r="T5" s="23"/>
      <c r="U5" s="23" t="s">
        <v>1351</v>
      </c>
      <c r="V5" s="25"/>
      <c r="W5" s="28" t="s">
        <v>1709</v>
      </c>
      <c r="X5" s="27" t="s">
        <v>1710</v>
      </c>
    </row>
    <row r="6" s="14" customFormat="1" ht="50" customHeight="1" spans="1:24">
      <c r="A6" s="23">
        <v>4</v>
      </c>
      <c r="B6" s="23" t="s">
        <v>1703</v>
      </c>
      <c r="C6" s="23" t="s">
        <v>23</v>
      </c>
      <c r="D6" s="23" t="s">
        <v>1704</v>
      </c>
      <c r="E6" s="23" t="s">
        <v>1293</v>
      </c>
      <c r="F6" s="23" t="s">
        <v>1690</v>
      </c>
      <c r="G6" s="23">
        <v>31</v>
      </c>
      <c r="H6" s="24" t="s">
        <v>1706</v>
      </c>
      <c r="I6" s="24">
        <v>0.611111111111111</v>
      </c>
      <c r="J6" s="23" t="s">
        <v>1711</v>
      </c>
      <c r="K6" s="23" t="s">
        <v>1083</v>
      </c>
      <c r="L6" s="23" t="s">
        <v>1693</v>
      </c>
      <c r="M6" s="23" t="s">
        <v>319</v>
      </c>
      <c r="N6" s="23">
        <v>93</v>
      </c>
      <c r="O6" s="23" t="s">
        <v>1712</v>
      </c>
      <c r="P6" s="23">
        <v>90</v>
      </c>
      <c r="Q6" s="23" t="s">
        <v>1695</v>
      </c>
      <c r="R6" s="23"/>
      <c r="S6" s="23"/>
      <c r="T6" s="23"/>
      <c r="U6" s="23" t="s">
        <v>1351</v>
      </c>
      <c r="V6" s="25"/>
      <c r="W6" s="26" t="s">
        <v>1696</v>
      </c>
      <c r="X6" s="27" t="s">
        <v>1713</v>
      </c>
    </row>
    <row r="7" s="14" customFormat="1" ht="50" customHeight="1" spans="1:24">
      <c r="A7" s="23">
        <v>5</v>
      </c>
      <c r="B7" s="23" t="s">
        <v>1703</v>
      </c>
      <c r="C7" s="23" t="s">
        <v>23</v>
      </c>
      <c r="D7" s="23" t="s">
        <v>1704</v>
      </c>
      <c r="E7" s="23" t="s">
        <v>1191</v>
      </c>
      <c r="F7" s="23" t="s">
        <v>1690</v>
      </c>
      <c r="G7" s="23">
        <v>35</v>
      </c>
      <c r="H7" s="24" t="s">
        <v>1706</v>
      </c>
      <c r="I7" s="24">
        <v>0.638888888888889</v>
      </c>
      <c r="J7" s="23" t="s">
        <v>1327</v>
      </c>
      <c r="K7" s="23" t="s">
        <v>1083</v>
      </c>
      <c r="L7" s="23" t="s">
        <v>1693</v>
      </c>
      <c r="M7" s="23" t="s">
        <v>430</v>
      </c>
      <c r="N7" s="23">
        <v>93</v>
      </c>
      <c r="O7" s="23" t="s">
        <v>1714</v>
      </c>
      <c r="P7" s="23">
        <v>92</v>
      </c>
      <c r="Q7" s="23" t="s">
        <v>1695</v>
      </c>
      <c r="R7" s="23"/>
      <c r="S7" s="23"/>
      <c r="T7" s="23"/>
      <c r="U7" s="23" t="s">
        <v>1351</v>
      </c>
      <c r="V7" s="25"/>
      <c r="W7" s="26" t="s">
        <v>1696</v>
      </c>
      <c r="X7" s="27" t="s">
        <v>1715</v>
      </c>
    </row>
    <row r="8" s="14" customFormat="1" ht="50" customHeight="1" spans="1:24">
      <c r="A8" s="23">
        <v>6</v>
      </c>
      <c r="B8" s="23" t="s">
        <v>1703</v>
      </c>
      <c r="C8" s="23" t="s">
        <v>23</v>
      </c>
      <c r="D8" s="23" t="s">
        <v>1704</v>
      </c>
      <c r="E8" s="23" t="s">
        <v>1291</v>
      </c>
      <c r="F8" s="23" t="s">
        <v>1690</v>
      </c>
      <c r="G8" s="23">
        <v>28</v>
      </c>
      <c r="H8" s="24" t="s">
        <v>1699</v>
      </c>
      <c r="I8" s="24">
        <v>0.666666666666667</v>
      </c>
      <c r="J8" s="23" t="s">
        <v>1711</v>
      </c>
      <c r="K8" s="23" t="s">
        <v>1083</v>
      </c>
      <c r="L8" s="23" t="s">
        <v>1693</v>
      </c>
      <c r="M8" s="23" t="s">
        <v>319</v>
      </c>
      <c r="N8" s="23">
        <v>93</v>
      </c>
      <c r="O8" s="23" t="s">
        <v>1712</v>
      </c>
      <c r="P8" s="23">
        <v>90</v>
      </c>
      <c r="Q8" s="23" t="s">
        <v>1695</v>
      </c>
      <c r="R8" s="23"/>
      <c r="S8" s="23"/>
      <c r="T8" s="23"/>
      <c r="U8" s="23" t="s">
        <v>1351</v>
      </c>
      <c r="V8" s="25"/>
      <c r="W8" s="26" t="s">
        <v>1696</v>
      </c>
      <c r="X8" s="27" t="s">
        <v>1716</v>
      </c>
    </row>
    <row r="9" s="14" customFormat="1" ht="50" customHeight="1" spans="1:24">
      <c r="A9" s="23">
        <v>7</v>
      </c>
      <c r="B9" s="23" t="s">
        <v>1703</v>
      </c>
      <c r="C9" s="23" t="s">
        <v>23</v>
      </c>
      <c r="D9" s="23" t="s">
        <v>1717</v>
      </c>
      <c r="E9" s="23" t="s">
        <v>1197</v>
      </c>
      <c r="F9" s="23" t="s">
        <v>1690</v>
      </c>
      <c r="G9" s="23">
        <v>21</v>
      </c>
      <c r="H9" s="24" t="s">
        <v>1706</v>
      </c>
      <c r="I9" s="24">
        <v>0.583333333333333</v>
      </c>
      <c r="J9" s="23" t="s">
        <v>1700</v>
      </c>
      <c r="K9" s="23" t="s">
        <v>1083</v>
      </c>
      <c r="L9" s="23" t="s">
        <v>1693</v>
      </c>
      <c r="M9" s="23" t="s">
        <v>347</v>
      </c>
      <c r="N9" s="23">
        <v>92</v>
      </c>
      <c r="O9" s="23" t="s">
        <v>1708</v>
      </c>
      <c r="P9" s="23">
        <v>90</v>
      </c>
      <c r="Q9" s="23" t="s">
        <v>1695</v>
      </c>
      <c r="R9" s="23"/>
      <c r="S9" s="23"/>
      <c r="T9" s="23"/>
      <c r="U9" s="23" t="s">
        <v>1351</v>
      </c>
      <c r="V9" s="25"/>
      <c r="W9" s="28" t="s">
        <v>1718</v>
      </c>
      <c r="X9" s="27" t="s">
        <v>1719</v>
      </c>
    </row>
    <row r="10" s="14" customFormat="1" ht="50" customHeight="1" spans="1:24">
      <c r="A10" s="23">
        <v>8</v>
      </c>
      <c r="B10" s="23" t="s">
        <v>26</v>
      </c>
      <c r="C10" s="23" t="s">
        <v>23</v>
      </c>
      <c r="D10" s="23" t="s">
        <v>1720</v>
      </c>
      <c r="E10" s="23" t="s">
        <v>1309</v>
      </c>
      <c r="F10" s="23" t="s">
        <v>1690</v>
      </c>
      <c r="G10" s="23">
        <v>29</v>
      </c>
      <c r="H10" s="24" t="s">
        <v>1699</v>
      </c>
      <c r="I10" s="24">
        <v>0.583333333333333</v>
      </c>
      <c r="J10" s="23" t="s">
        <v>1707</v>
      </c>
      <c r="K10" s="23" t="s">
        <v>1083</v>
      </c>
      <c r="L10" s="23" t="s">
        <v>1693</v>
      </c>
      <c r="M10" s="23" t="s">
        <v>333</v>
      </c>
      <c r="N10" s="23">
        <v>94</v>
      </c>
      <c r="O10" s="23" t="s">
        <v>1721</v>
      </c>
      <c r="P10" s="23">
        <v>90</v>
      </c>
      <c r="Q10" s="23" t="s">
        <v>1695</v>
      </c>
      <c r="R10" s="23"/>
      <c r="S10" s="23"/>
      <c r="T10" s="23"/>
      <c r="U10" s="23" t="s">
        <v>1351</v>
      </c>
      <c r="V10" s="25"/>
      <c r="W10" s="28" t="s">
        <v>1722</v>
      </c>
      <c r="X10" s="27" t="s">
        <v>1723</v>
      </c>
    </row>
    <row r="11" s="14" customFormat="1" ht="50" customHeight="1" spans="1:24">
      <c r="A11" s="23">
        <v>9</v>
      </c>
      <c r="B11" s="23" t="s">
        <v>29</v>
      </c>
      <c r="C11" s="23" t="s">
        <v>23</v>
      </c>
      <c r="D11" s="23" t="s">
        <v>1720</v>
      </c>
      <c r="E11" s="23" t="s">
        <v>1301</v>
      </c>
      <c r="F11" s="23" t="s">
        <v>1690</v>
      </c>
      <c r="G11" s="23">
        <v>24</v>
      </c>
      <c r="H11" s="24" t="s">
        <v>1699</v>
      </c>
      <c r="I11" s="24">
        <v>0.604166666666667</v>
      </c>
      <c r="J11" s="23" t="s">
        <v>1707</v>
      </c>
      <c r="K11" s="23" t="s">
        <v>1083</v>
      </c>
      <c r="L11" s="23" t="s">
        <v>1693</v>
      </c>
      <c r="M11" s="23" t="s">
        <v>469</v>
      </c>
      <c r="N11" s="23">
        <v>96</v>
      </c>
      <c r="O11" s="23" t="s">
        <v>470</v>
      </c>
      <c r="P11" s="23">
        <v>91</v>
      </c>
      <c r="Q11" s="23" t="s">
        <v>1695</v>
      </c>
      <c r="R11" s="23"/>
      <c r="S11" s="23"/>
      <c r="T11" s="23"/>
      <c r="U11" s="23" t="s">
        <v>1351</v>
      </c>
      <c r="V11" s="25"/>
      <c r="W11" s="26" t="s">
        <v>1696</v>
      </c>
      <c r="X11" s="27" t="s">
        <v>1724</v>
      </c>
    </row>
    <row r="12" s="14" customFormat="1" ht="50" customHeight="1" spans="1:24">
      <c r="A12" s="23">
        <v>10</v>
      </c>
      <c r="B12" s="23" t="s">
        <v>29</v>
      </c>
      <c r="C12" s="23" t="s">
        <v>23</v>
      </c>
      <c r="D12" s="23" t="s">
        <v>1720</v>
      </c>
      <c r="E12" s="23" t="s">
        <v>1247</v>
      </c>
      <c r="F12" s="23" t="s">
        <v>1705</v>
      </c>
      <c r="G12" s="23">
        <v>22</v>
      </c>
      <c r="H12" s="24" t="s">
        <v>1699</v>
      </c>
      <c r="I12" s="24">
        <v>0.625</v>
      </c>
      <c r="J12" s="23" t="s">
        <v>1725</v>
      </c>
      <c r="K12" s="23" t="s">
        <v>1083</v>
      </c>
      <c r="L12" s="23" t="s">
        <v>1693</v>
      </c>
      <c r="M12" s="23" t="s">
        <v>390</v>
      </c>
      <c r="N12" s="23">
        <v>100</v>
      </c>
      <c r="O12" s="23" t="s">
        <v>1726</v>
      </c>
      <c r="P12" s="23">
        <v>90</v>
      </c>
      <c r="Q12" s="23" t="s">
        <v>1695</v>
      </c>
      <c r="R12" s="23"/>
      <c r="S12" s="23"/>
      <c r="T12" s="23"/>
      <c r="U12" s="23" t="s">
        <v>1351</v>
      </c>
      <c r="V12" s="25"/>
      <c r="W12" s="26" t="s">
        <v>1696</v>
      </c>
      <c r="X12" s="27" t="s">
        <v>1727</v>
      </c>
    </row>
    <row r="13" s="14" customFormat="1" ht="50" customHeight="1" spans="1:24">
      <c r="A13" s="23">
        <v>11</v>
      </c>
      <c r="B13" s="23" t="s">
        <v>1703</v>
      </c>
      <c r="C13" s="23" t="s">
        <v>23</v>
      </c>
      <c r="D13" s="23" t="s">
        <v>1720</v>
      </c>
      <c r="E13" s="23" t="s">
        <v>1728</v>
      </c>
      <c r="F13" s="23" t="s">
        <v>1690</v>
      </c>
      <c r="G13" s="23">
        <v>35</v>
      </c>
      <c r="H13" s="24" t="s">
        <v>1706</v>
      </c>
      <c r="I13" s="24">
        <v>0.666666666666667</v>
      </c>
      <c r="J13" s="23" t="s">
        <v>1725</v>
      </c>
      <c r="K13" s="23" t="s">
        <v>1083</v>
      </c>
      <c r="L13" s="23" t="s">
        <v>1693</v>
      </c>
      <c r="M13" s="23" t="s">
        <v>216</v>
      </c>
      <c r="N13" s="23">
        <v>90</v>
      </c>
      <c r="O13" s="23" t="s">
        <v>1729</v>
      </c>
      <c r="P13" s="29">
        <v>82</v>
      </c>
      <c r="Q13" s="23" t="s">
        <v>1730</v>
      </c>
      <c r="R13" s="23"/>
      <c r="S13" s="23"/>
      <c r="T13" s="23"/>
      <c r="U13" s="23" t="s">
        <v>1351</v>
      </c>
      <c r="V13" s="25"/>
      <c r="W13" s="26" t="s">
        <v>1696</v>
      </c>
      <c r="X13" s="27" t="s">
        <v>1731</v>
      </c>
    </row>
    <row r="14" s="14" customFormat="1" ht="50" customHeight="1" spans="1:24">
      <c r="A14" s="23">
        <v>12</v>
      </c>
      <c r="B14" s="23" t="s">
        <v>1703</v>
      </c>
      <c r="C14" s="23" t="s">
        <v>23</v>
      </c>
      <c r="D14" s="23" t="s">
        <v>1732</v>
      </c>
      <c r="E14" s="23" t="s">
        <v>1201</v>
      </c>
      <c r="F14" s="23" t="s">
        <v>1705</v>
      </c>
      <c r="G14" s="23">
        <v>38</v>
      </c>
      <c r="H14" s="24" t="s">
        <v>1706</v>
      </c>
      <c r="I14" s="24">
        <v>0.541666666666667</v>
      </c>
      <c r="J14" s="23" t="s">
        <v>1711</v>
      </c>
      <c r="K14" s="23" t="s">
        <v>1083</v>
      </c>
      <c r="L14" s="23" t="s">
        <v>1693</v>
      </c>
      <c r="M14" s="23" t="s">
        <v>376</v>
      </c>
      <c r="N14" s="23">
        <v>90</v>
      </c>
      <c r="O14" s="23" t="s">
        <v>1733</v>
      </c>
      <c r="P14" s="23">
        <v>91</v>
      </c>
      <c r="Q14" s="23" t="s">
        <v>1695</v>
      </c>
      <c r="R14" s="23"/>
      <c r="S14" s="23"/>
      <c r="T14" s="23"/>
      <c r="U14" s="23" t="s">
        <v>1351</v>
      </c>
      <c r="V14" s="25"/>
      <c r="W14" s="26" t="s">
        <v>1696</v>
      </c>
      <c r="X14" s="27" t="s">
        <v>1734</v>
      </c>
    </row>
    <row r="15" s="14" customFormat="1" ht="50" customHeight="1" spans="1:24">
      <c r="A15" s="23">
        <v>13</v>
      </c>
      <c r="B15" s="23" t="s">
        <v>1703</v>
      </c>
      <c r="C15" s="23" t="s">
        <v>23</v>
      </c>
      <c r="D15" s="23" t="s">
        <v>1732</v>
      </c>
      <c r="E15" s="23" t="s">
        <v>1735</v>
      </c>
      <c r="F15" s="23" t="s">
        <v>1690</v>
      </c>
      <c r="G15" s="23">
        <v>36</v>
      </c>
      <c r="H15" s="24" t="s">
        <v>1699</v>
      </c>
      <c r="I15" s="24">
        <v>0.5625</v>
      </c>
      <c r="J15" s="23" t="s">
        <v>1327</v>
      </c>
      <c r="K15" s="23" t="s">
        <v>1083</v>
      </c>
      <c r="L15" s="23" t="s">
        <v>1693</v>
      </c>
      <c r="M15" s="23" t="s">
        <v>347</v>
      </c>
      <c r="N15" s="23">
        <v>89</v>
      </c>
      <c r="O15" s="23" t="s">
        <v>1708</v>
      </c>
      <c r="P15" s="29">
        <v>86</v>
      </c>
      <c r="Q15" s="23" t="s">
        <v>1730</v>
      </c>
      <c r="R15" s="23"/>
      <c r="S15" s="23"/>
      <c r="T15" s="23"/>
      <c r="U15" s="23" t="s">
        <v>1351</v>
      </c>
      <c r="V15" s="25"/>
      <c r="W15" s="26" t="s">
        <v>1696</v>
      </c>
      <c r="X15" s="27" t="s">
        <v>1736</v>
      </c>
    </row>
    <row r="16" s="14" customFormat="1" ht="50" customHeight="1" spans="1:24">
      <c r="A16" s="23">
        <v>14</v>
      </c>
      <c r="B16" s="23" t="s">
        <v>1703</v>
      </c>
      <c r="C16" s="23" t="s">
        <v>23</v>
      </c>
      <c r="D16" s="23" t="s">
        <v>1732</v>
      </c>
      <c r="E16" s="23" t="s">
        <v>1737</v>
      </c>
      <c r="F16" s="23" t="s">
        <v>1705</v>
      </c>
      <c r="G16" s="23">
        <v>36</v>
      </c>
      <c r="H16" s="24" t="s">
        <v>1706</v>
      </c>
      <c r="I16" s="24">
        <v>0.645833333333333</v>
      </c>
      <c r="J16" s="23" t="s">
        <v>1725</v>
      </c>
      <c r="K16" s="23" t="s">
        <v>1083</v>
      </c>
      <c r="L16" s="23" t="s">
        <v>1693</v>
      </c>
      <c r="M16" s="23" t="s">
        <v>494</v>
      </c>
      <c r="N16" s="23">
        <v>90</v>
      </c>
      <c r="O16" s="23" t="s">
        <v>1738</v>
      </c>
      <c r="P16" s="29">
        <v>84</v>
      </c>
      <c r="Q16" s="23" t="s">
        <v>1730</v>
      </c>
      <c r="R16" s="23"/>
      <c r="S16" s="23"/>
      <c r="T16" s="23"/>
      <c r="U16" s="23" t="s">
        <v>1351</v>
      </c>
      <c r="V16" s="25"/>
      <c r="W16" s="26" t="s">
        <v>1696</v>
      </c>
      <c r="X16" s="27" t="s">
        <v>1739</v>
      </c>
    </row>
    <row r="17" s="14" customFormat="1" ht="50" customHeight="1" spans="1:24">
      <c r="A17" s="23">
        <v>15</v>
      </c>
      <c r="B17" s="23" t="s">
        <v>37</v>
      </c>
      <c r="C17" s="23" t="s">
        <v>23</v>
      </c>
      <c r="D17" s="23" t="s">
        <v>1740</v>
      </c>
      <c r="E17" s="23" t="s">
        <v>1231</v>
      </c>
      <c r="F17" s="23" t="s">
        <v>1705</v>
      </c>
      <c r="G17" s="23">
        <v>28</v>
      </c>
      <c r="H17" s="24" t="s">
        <v>1699</v>
      </c>
      <c r="I17" s="24">
        <v>0.583333333333333</v>
      </c>
      <c r="J17" s="23" t="s">
        <v>1707</v>
      </c>
      <c r="K17" s="23" t="s">
        <v>1083</v>
      </c>
      <c r="L17" s="23" t="s">
        <v>1741</v>
      </c>
      <c r="M17" s="23" t="s">
        <v>482</v>
      </c>
      <c r="N17" s="23">
        <v>93</v>
      </c>
      <c r="O17" s="23" t="s">
        <v>1742</v>
      </c>
      <c r="P17" s="23">
        <v>90</v>
      </c>
      <c r="Q17" s="23" t="s">
        <v>1695</v>
      </c>
      <c r="R17" s="23"/>
      <c r="S17" s="23"/>
      <c r="T17" s="23"/>
      <c r="U17" s="23" t="s">
        <v>1351</v>
      </c>
      <c r="V17" s="25"/>
      <c r="W17" s="26" t="s">
        <v>1696</v>
      </c>
      <c r="X17" s="27" t="s">
        <v>1743</v>
      </c>
    </row>
    <row r="18" s="14" customFormat="1" ht="50" customHeight="1" spans="1:24">
      <c r="A18" s="23">
        <v>16</v>
      </c>
      <c r="B18" s="23" t="s">
        <v>32</v>
      </c>
      <c r="C18" s="23" t="s">
        <v>23</v>
      </c>
      <c r="D18" s="23" t="s">
        <v>1740</v>
      </c>
      <c r="E18" s="23" t="s">
        <v>1261</v>
      </c>
      <c r="F18" s="23" t="s">
        <v>1705</v>
      </c>
      <c r="G18" s="23">
        <v>36</v>
      </c>
      <c r="H18" s="24" t="s">
        <v>1699</v>
      </c>
      <c r="I18" s="24">
        <v>0.625</v>
      </c>
      <c r="J18" s="23" t="s">
        <v>1327</v>
      </c>
      <c r="K18" s="23" t="s">
        <v>1083</v>
      </c>
      <c r="L18" s="23" t="s">
        <v>1693</v>
      </c>
      <c r="M18" s="23" t="s">
        <v>195</v>
      </c>
      <c r="N18" s="23">
        <v>91</v>
      </c>
      <c r="O18" s="23" t="s">
        <v>196</v>
      </c>
      <c r="P18" s="23">
        <v>91</v>
      </c>
      <c r="Q18" s="23" t="s">
        <v>1695</v>
      </c>
      <c r="R18" s="23"/>
      <c r="S18" s="23"/>
      <c r="T18" s="23"/>
      <c r="U18" s="23"/>
      <c r="V18" s="25"/>
      <c r="W18" s="26" t="s">
        <v>1696</v>
      </c>
      <c r="X18" s="27" t="s">
        <v>1744</v>
      </c>
    </row>
    <row r="19" s="14" customFormat="1" ht="50" customHeight="1" spans="1:24">
      <c r="A19" s="23">
        <v>17</v>
      </c>
      <c r="B19" s="23" t="s">
        <v>26</v>
      </c>
      <c r="C19" s="23" t="s">
        <v>23</v>
      </c>
      <c r="D19" s="23" t="s">
        <v>1740</v>
      </c>
      <c r="E19" s="23" t="s">
        <v>1745</v>
      </c>
      <c r="F19" s="23" t="s">
        <v>1690</v>
      </c>
      <c r="G19" s="23">
        <v>32</v>
      </c>
      <c r="H19" s="23" t="s">
        <v>1699</v>
      </c>
      <c r="I19" s="24">
        <v>0.611111111111111</v>
      </c>
      <c r="J19" s="23" t="s">
        <v>1711</v>
      </c>
      <c r="K19" s="23" t="s">
        <v>1083</v>
      </c>
      <c r="L19" s="23" t="s">
        <v>1741</v>
      </c>
      <c r="M19" s="23" t="s">
        <v>333</v>
      </c>
      <c r="N19" s="23">
        <v>90</v>
      </c>
      <c r="O19" s="23" t="s">
        <v>1721</v>
      </c>
      <c r="P19" s="29">
        <v>88</v>
      </c>
      <c r="Q19" s="23" t="s">
        <v>1730</v>
      </c>
      <c r="R19" s="23"/>
      <c r="S19" s="23"/>
      <c r="T19" s="23"/>
      <c r="U19" s="23" t="s">
        <v>1351</v>
      </c>
      <c r="V19" s="25"/>
      <c r="W19" s="28" t="s">
        <v>1746</v>
      </c>
      <c r="X19" s="27" t="s">
        <v>1747</v>
      </c>
    </row>
    <row r="20" s="14" customFormat="1" ht="50" customHeight="1" spans="1:24">
      <c r="A20" s="23">
        <v>18</v>
      </c>
      <c r="B20" s="23" t="s">
        <v>1703</v>
      </c>
      <c r="C20" s="23" t="s">
        <v>23</v>
      </c>
      <c r="D20" s="23" t="s">
        <v>1740</v>
      </c>
      <c r="E20" s="23" t="s">
        <v>1243</v>
      </c>
      <c r="F20" s="23" t="s">
        <v>1690</v>
      </c>
      <c r="G20" s="23">
        <v>27</v>
      </c>
      <c r="H20" s="23" t="s">
        <v>1699</v>
      </c>
      <c r="I20" s="24">
        <v>0.583333333333333</v>
      </c>
      <c r="J20" s="23" t="s">
        <v>1700</v>
      </c>
      <c r="K20" s="23" t="s">
        <v>1083</v>
      </c>
      <c r="L20" s="23" t="s">
        <v>1693</v>
      </c>
      <c r="M20" s="23" t="s">
        <v>95</v>
      </c>
      <c r="N20" s="23">
        <v>92</v>
      </c>
      <c r="O20" s="23" t="s">
        <v>1632</v>
      </c>
      <c r="P20" s="23">
        <v>90</v>
      </c>
      <c r="Q20" s="23" t="s">
        <v>1695</v>
      </c>
      <c r="R20" s="23"/>
      <c r="S20" s="23"/>
      <c r="T20" s="23"/>
      <c r="U20" s="23"/>
      <c r="V20" s="25"/>
      <c r="W20" s="26" t="s">
        <v>1696</v>
      </c>
      <c r="X20" s="27" t="s">
        <v>1748</v>
      </c>
    </row>
    <row r="21" s="14" customFormat="1" ht="50" customHeight="1" spans="1:24">
      <c r="A21" s="23">
        <v>19</v>
      </c>
      <c r="B21" s="23" t="s">
        <v>1703</v>
      </c>
      <c r="C21" s="23" t="s">
        <v>23</v>
      </c>
      <c r="D21" s="23" t="s">
        <v>1749</v>
      </c>
      <c r="E21" s="23" t="s">
        <v>1287</v>
      </c>
      <c r="F21" s="23" t="s">
        <v>1690</v>
      </c>
      <c r="G21" s="23">
        <v>24</v>
      </c>
      <c r="H21" s="23" t="s">
        <v>1706</v>
      </c>
      <c r="I21" s="24">
        <v>0.583333333333333</v>
      </c>
      <c r="J21" s="23" t="s">
        <v>1700</v>
      </c>
      <c r="K21" s="23" t="s">
        <v>1083</v>
      </c>
      <c r="L21" s="23" t="s">
        <v>1741</v>
      </c>
      <c r="M21" s="23" t="s">
        <v>614</v>
      </c>
      <c r="N21" s="23">
        <v>92</v>
      </c>
      <c r="O21" s="23" t="s">
        <v>1750</v>
      </c>
      <c r="P21" s="23">
        <v>90</v>
      </c>
      <c r="Q21" s="23" t="s">
        <v>1695</v>
      </c>
      <c r="R21" s="23"/>
      <c r="S21" s="23"/>
      <c r="T21" s="23"/>
      <c r="U21" s="23" t="s">
        <v>1351</v>
      </c>
      <c r="V21" s="25"/>
      <c r="W21" s="28" t="s">
        <v>1751</v>
      </c>
      <c r="X21" s="27" t="s">
        <v>1752</v>
      </c>
    </row>
    <row r="22" s="14" customFormat="1" ht="50" customHeight="1" spans="1:24">
      <c r="A22" s="23">
        <v>20</v>
      </c>
      <c r="B22" s="23" t="s">
        <v>1703</v>
      </c>
      <c r="C22" s="23" t="s">
        <v>23</v>
      </c>
      <c r="D22" s="23" t="s">
        <v>1753</v>
      </c>
      <c r="E22" s="23" t="s">
        <v>1754</v>
      </c>
      <c r="F22" s="23" t="s">
        <v>1690</v>
      </c>
      <c r="G22" s="23">
        <v>35</v>
      </c>
      <c r="H22" s="23" t="s">
        <v>1699</v>
      </c>
      <c r="I22" s="24">
        <v>0.625</v>
      </c>
      <c r="J22" s="23" t="s">
        <v>1711</v>
      </c>
      <c r="K22" s="23" t="s">
        <v>1083</v>
      </c>
      <c r="L22" s="23" t="s">
        <v>1693</v>
      </c>
      <c r="M22" s="23" t="s">
        <v>82</v>
      </c>
      <c r="N22" s="23">
        <v>92</v>
      </c>
      <c r="O22" s="23" t="s">
        <v>1755</v>
      </c>
      <c r="P22" s="29">
        <v>84</v>
      </c>
      <c r="Q22" s="23" t="s">
        <v>1730</v>
      </c>
      <c r="R22" s="23"/>
      <c r="S22" s="23"/>
      <c r="T22" s="23"/>
      <c r="U22" s="23" t="s">
        <v>1351</v>
      </c>
      <c r="V22" s="25"/>
      <c r="W22" s="26" t="s">
        <v>1696</v>
      </c>
      <c r="X22" s="27" t="s">
        <v>1756</v>
      </c>
    </row>
    <row r="23" s="14" customFormat="1" ht="50" customHeight="1" spans="1:24">
      <c r="A23" s="23">
        <v>21</v>
      </c>
      <c r="B23" s="23" t="s">
        <v>26</v>
      </c>
      <c r="C23" s="23" t="s">
        <v>23</v>
      </c>
      <c r="D23" s="23" t="s">
        <v>1757</v>
      </c>
      <c r="E23" s="23" t="s">
        <v>1297</v>
      </c>
      <c r="F23" s="23" t="s">
        <v>1690</v>
      </c>
      <c r="G23" s="23">
        <v>31</v>
      </c>
      <c r="H23" s="23" t="s">
        <v>1706</v>
      </c>
      <c r="I23" s="24">
        <v>0.583333333333333</v>
      </c>
      <c r="J23" s="23" t="s">
        <v>1692</v>
      </c>
      <c r="K23" s="23" t="s">
        <v>1083</v>
      </c>
      <c r="L23" s="23" t="s">
        <v>1693</v>
      </c>
      <c r="M23" s="23" t="s">
        <v>617</v>
      </c>
      <c r="N23" s="23">
        <v>97</v>
      </c>
      <c r="O23" s="23" t="s">
        <v>618</v>
      </c>
      <c r="P23" s="23">
        <v>90</v>
      </c>
      <c r="Q23" s="23" t="s">
        <v>1695</v>
      </c>
      <c r="R23" s="23"/>
      <c r="S23" s="23"/>
      <c r="T23" s="23"/>
      <c r="U23" s="23" t="s">
        <v>1351</v>
      </c>
      <c r="V23" s="25"/>
      <c r="W23" s="26" t="s">
        <v>1696</v>
      </c>
      <c r="X23" s="27" t="s">
        <v>1758</v>
      </c>
    </row>
    <row r="24" s="14" customFormat="1" ht="50" customHeight="1" spans="1:24">
      <c r="A24" s="23">
        <v>22</v>
      </c>
      <c r="B24" s="23" t="s">
        <v>35</v>
      </c>
      <c r="C24" s="23" t="s">
        <v>23</v>
      </c>
      <c r="D24" s="23" t="s">
        <v>1757</v>
      </c>
      <c r="E24" s="23" t="s">
        <v>1759</v>
      </c>
      <c r="F24" s="23" t="s">
        <v>1690</v>
      </c>
      <c r="G24" s="23">
        <v>27</v>
      </c>
      <c r="H24" s="23" t="s">
        <v>1699</v>
      </c>
      <c r="I24" s="24">
        <v>0.645833333333333</v>
      </c>
      <c r="J24" s="23" t="s">
        <v>1700</v>
      </c>
      <c r="K24" s="23" t="s">
        <v>1083</v>
      </c>
      <c r="L24" s="23" t="s">
        <v>1693</v>
      </c>
      <c r="M24" s="23" t="s">
        <v>124</v>
      </c>
      <c r="N24" s="23">
        <v>90</v>
      </c>
      <c r="O24" s="23" t="s">
        <v>478</v>
      </c>
      <c r="P24" s="29">
        <v>80</v>
      </c>
      <c r="Q24" s="23" t="s">
        <v>1730</v>
      </c>
      <c r="R24" s="23"/>
      <c r="S24" s="23"/>
      <c r="T24" s="23"/>
      <c r="U24" s="23" t="s">
        <v>1351</v>
      </c>
      <c r="V24" s="25"/>
      <c r="W24" s="26" t="s">
        <v>1696</v>
      </c>
      <c r="X24" s="27" t="s">
        <v>1760</v>
      </c>
    </row>
    <row r="25" s="14" customFormat="1" ht="50" customHeight="1" spans="1:24">
      <c r="A25" s="23">
        <v>23</v>
      </c>
      <c r="B25" s="23" t="s">
        <v>32</v>
      </c>
      <c r="C25" s="23" t="s">
        <v>23</v>
      </c>
      <c r="D25" s="23" t="s">
        <v>1761</v>
      </c>
      <c r="E25" s="23" t="s">
        <v>1174</v>
      </c>
      <c r="F25" s="23" t="s">
        <v>1690</v>
      </c>
      <c r="G25" s="23">
        <v>31</v>
      </c>
      <c r="H25" s="23" t="s">
        <v>1699</v>
      </c>
      <c r="I25" s="24">
        <v>0.395833333333333</v>
      </c>
      <c r="J25" s="23" t="s">
        <v>1725</v>
      </c>
      <c r="K25" s="23" t="s">
        <v>1083</v>
      </c>
      <c r="L25" s="30" t="s">
        <v>1762</v>
      </c>
      <c r="M25" s="23" t="s">
        <v>179</v>
      </c>
      <c r="N25" s="23">
        <v>90</v>
      </c>
      <c r="O25" s="23" t="s">
        <v>1763</v>
      </c>
      <c r="P25" s="31" t="s">
        <v>1764</v>
      </c>
      <c r="Q25" s="32" t="s">
        <v>1765</v>
      </c>
      <c r="R25" s="30"/>
      <c r="S25" s="30"/>
      <c r="T25" s="30"/>
      <c r="U25" s="30" t="s">
        <v>1766</v>
      </c>
      <c r="V25" s="25"/>
      <c r="W25" s="28" t="s">
        <v>1767</v>
      </c>
      <c r="X25" s="27" t="s">
        <v>1768</v>
      </c>
    </row>
    <row r="26" s="14" customFormat="1" ht="50" customHeight="1" spans="1:24">
      <c r="A26" s="23">
        <v>24</v>
      </c>
      <c r="B26" s="23" t="s">
        <v>1703</v>
      </c>
      <c r="C26" s="23" t="s">
        <v>23</v>
      </c>
      <c r="D26" s="23" t="s">
        <v>1769</v>
      </c>
      <c r="E26" s="23" t="s">
        <v>1770</v>
      </c>
      <c r="F26" s="23" t="s">
        <v>1690</v>
      </c>
      <c r="G26" s="23">
        <v>27</v>
      </c>
      <c r="H26" s="23" t="s">
        <v>1699</v>
      </c>
      <c r="I26" s="24">
        <v>0.395833333333333</v>
      </c>
      <c r="J26" s="23" t="s">
        <v>1327</v>
      </c>
      <c r="K26" s="23" t="s">
        <v>1083</v>
      </c>
      <c r="L26" s="23" t="s">
        <v>1693</v>
      </c>
      <c r="M26" s="23" t="s">
        <v>437</v>
      </c>
      <c r="N26" s="23">
        <v>84</v>
      </c>
      <c r="O26" s="23" t="s">
        <v>800</v>
      </c>
      <c r="P26" s="29">
        <v>80</v>
      </c>
      <c r="Q26" s="30" t="s">
        <v>1730</v>
      </c>
      <c r="R26" s="23"/>
      <c r="S26" s="23"/>
      <c r="T26" s="23"/>
      <c r="U26" s="23" t="s">
        <v>1351</v>
      </c>
      <c r="V26" s="25"/>
      <c r="W26" s="26" t="s">
        <v>1696</v>
      </c>
      <c r="X26" s="27" t="s">
        <v>1771</v>
      </c>
    </row>
    <row r="27" s="14" customFormat="1" ht="50" customHeight="1" spans="1:24">
      <c r="A27" s="23">
        <v>25</v>
      </c>
      <c r="B27" s="23" t="s">
        <v>1703</v>
      </c>
      <c r="C27" s="23" t="s">
        <v>23</v>
      </c>
      <c r="D27" s="23" t="s">
        <v>1769</v>
      </c>
      <c r="E27" s="23" t="s">
        <v>1772</v>
      </c>
      <c r="F27" s="23" t="s">
        <v>1705</v>
      </c>
      <c r="G27" s="23">
        <v>33</v>
      </c>
      <c r="H27" s="23" t="s">
        <v>1699</v>
      </c>
      <c r="I27" s="24">
        <v>0.625</v>
      </c>
      <c r="J27" s="23" t="s">
        <v>1711</v>
      </c>
      <c r="K27" s="23" t="s">
        <v>1083</v>
      </c>
      <c r="L27" s="23" t="s">
        <v>1693</v>
      </c>
      <c r="M27" s="23" t="s">
        <v>282</v>
      </c>
      <c r="N27" s="23">
        <v>90</v>
      </c>
      <c r="O27" s="23" t="s">
        <v>283</v>
      </c>
      <c r="P27" s="29">
        <v>88</v>
      </c>
      <c r="Q27" s="30" t="s">
        <v>1730</v>
      </c>
      <c r="R27" s="23"/>
      <c r="S27" s="23"/>
      <c r="T27" s="23"/>
      <c r="U27" s="23" t="s">
        <v>1773</v>
      </c>
      <c r="V27" s="25"/>
      <c r="W27" s="28" t="s">
        <v>1774</v>
      </c>
      <c r="X27" s="27" t="s">
        <v>1775</v>
      </c>
    </row>
    <row r="28" s="14" customFormat="1" ht="50" customHeight="1" spans="1:24">
      <c r="A28" s="23">
        <v>26</v>
      </c>
      <c r="B28" s="23" t="s">
        <v>1703</v>
      </c>
      <c r="C28" s="23" t="s">
        <v>23</v>
      </c>
      <c r="D28" s="23" t="s">
        <v>1776</v>
      </c>
      <c r="E28" s="23" t="s">
        <v>1554</v>
      </c>
      <c r="F28" s="23" t="s">
        <v>1690</v>
      </c>
      <c r="G28" s="23">
        <v>32</v>
      </c>
      <c r="H28" s="23" t="s">
        <v>1699</v>
      </c>
      <c r="I28" s="24">
        <v>0.395833333333333</v>
      </c>
      <c r="J28" s="23" t="s">
        <v>1692</v>
      </c>
      <c r="K28" s="23" t="s">
        <v>1083</v>
      </c>
      <c r="L28" s="23" t="s">
        <v>1693</v>
      </c>
      <c r="M28" s="23" t="s">
        <v>143</v>
      </c>
      <c r="N28" s="23">
        <v>94</v>
      </c>
      <c r="O28" s="23" t="s">
        <v>1777</v>
      </c>
      <c r="P28" s="23">
        <v>91</v>
      </c>
      <c r="Q28" s="23" t="s">
        <v>1695</v>
      </c>
      <c r="R28" s="23"/>
      <c r="S28" s="23"/>
      <c r="T28" s="23"/>
      <c r="U28" s="23" t="s">
        <v>1351</v>
      </c>
      <c r="V28" s="25"/>
      <c r="W28" s="26" t="s">
        <v>1696</v>
      </c>
      <c r="X28" s="27" t="s">
        <v>1778</v>
      </c>
    </row>
    <row r="29" s="14" customFormat="1" ht="50" customHeight="1" spans="1:24">
      <c r="A29" s="23">
        <v>27</v>
      </c>
      <c r="B29" s="23" t="s">
        <v>32</v>
      </c>
      <c r="C29" s="23" t="s">
        <v>23</v>
      </c>
      <c r="D29" s="23" t="s">
        <v>1779</v>
      </c>
      <c r="E29" s="23" t="s">
        <v>1780</v>
      </c>
      <c r="F29" s="23" t="s">
        <v>1690</v>
      </c>
      <c r="G29" s="23">
        <v>36</v>
      </c>
      <c r="H29" s="23" t="s">
        <v>1706</v>
      </c>
      <c r="I29" s="24">
        <v>0.583333333333333</v>
      </c>
      <c r="J29" s="23" t="s">
        <v>1707</v>
      </c>
      <c r="K29" s="23" t="s">
        <v>1083</v>
      </c>
      <c r="L29" s="23" t="s">
        <v>1693</v>
      </c>
      <c r="M29" s="23" t="s">
        <v>556</v>
      </c>
      <c r="N29" s="23">
        <v>90</v>
      </c>
      <c r="O29" s="23" t="s">
        <v>1781</v>
      </c>
      <c r="P29" s="29">
        <v>88</v>
      </c>
      <c r="Q29" s="23" t="s">
        <v>1730</v>
      </c>
      <c r="R29" s="23"/>
      <c r="S29" s="23"/>
      <c r="T29" s="23"/>
      <c r="U29" s="23" t="s">
        <v>1351</v>
      </c>
      <c r="V29" s="25"/>
      <c r="W29" s="26" t="s">
        <v>1696</v>
      </c>
      <c r="X29" s="27" t="s">
        <v>1782</v>
      </c>
    </row>
    <row r="30" s="14" customFormat="1" ht="50" customHeight="1" spans="1:24">
      <c r="A30" s="23">
        <v>28</v>
      </c>
      <c r="B30" s="23" t="s">
        <v>1703</v>
      </c>
      <c r="C30" s="23" t="s">
        <v>23</v>
      </c>
      <c r="D30" s="23" t="s">
        <v>1783</v>
      </c>
      <c r="E30" s="23" t="s">
        <v>1560</v>
      </c>
      <c r="F30" s="23" t="s">
        <v>1690</v>
      </c>
      <c r="G30" s="23">
        <v>23</v>
      </c>
      <c r="H30" s="23" t="s">
        <v>1699</v>
      </c>
      <c r="I30" s="24">
        <v>0.625</v>
      </c>
      <c r="J30" s="23" t="s">
        <v>1692</v>
      </c>
      <c r="K30" s="23" t="s">
        <v>1083</v>
      </c>
      <c r="L30" s="23" t="s">
        <v>1693</v>
      </c>
      <c r="M30" s="23" t="s">
        <v>441</v>
      </c>
      <c r="N30" s="23">
        <v>92</v>
      </c>
      <c r="O30" s="23" t="s">
        <v>1784</v>
      </c>
      <c r="P30" s="23">
        <v>90</v>
      </c>
      <c r="Q30" s="23" t="s">
        <v>1695</v>
      </c>
      <c r="R30" s="23"/>
      <c r="S30" s="23"/>
      <c r="T30" s="23"/>
      <c r="U30" s="23" t="s">
        <v>1351</v>
      </c>
      <c r="V30" s="25"/>
      <c r="W30" s="26" t="s">
        <v>1696</v>
      </c>
      <c r="X30" s="27" t="s">
        <v>1785</v>
      </c>
    </row>
    <row r="31" s="14" customFormat="1" ht="50" customHeight="1" spans="1:24">
      <c r="A31" s="23">
        <v>29</v>
      </c>
      <c r="B31" s="23" t="s">
        <v>32</v>
      </c>
      <c r="C31" s="23" t="s">
        <v>23</v>
      </c>
      <c r="D31" s="23" t="s">
        <v>1786</v>
      </c>
      <c r="E31" s="23" t="s">
        <v>1512</v>
      </c>
      <c r="F31" s="23" t="s">
        <v>1690</v>
      </c>
      <c r="G31" s="23">
        <v>29</v>
      </c>
      <c r="H31" s="23" t="s">
        <v>1699</v>
      </c>
      <c r="I31" s="24">
        <v>0.458333333333333</v>
      </c>
      <c r="J31" s="23" t="s">
        <v>1725</v>
      </c>
      <c r="K31" s="23" t="s">
        <v>1083</v>
      </c>
      <c r="L31" s="23" t="s">
        <v>1693</v>
      </c>
      <c r="M31" s="23" t="s">
        <v>179</v>
      </c>
      <c r="N31" s="23">
        <v>90</v>
      </c>
      <c r="O31" s="23" t="s">
        <v>1763</v>
      </c>
      <c r="P31" s="23">
        <v>90</v>
      </c>
      <c r="Q31" s="23" t="s">
        <v>1695</v>
      </c>
      <c r="R31" s="23"/>
      <c r="S31" s="23"/>
      <c r="T31" s="23"/>
      <c r="U31" s="23" t="s">
        <v>1787</v>
      </c>
      <c r="V31" s="25"/>
      <c r="W31" s="26" t="s">
        <v>1696</v>
      </c>
      <c r="X31" s="27" t="s">
        <v>1788</v>
      </c>
    </row>
    <row r="32" s="14" customFormat="1" ht="50" customHeight="1" spans="1:24">
      <c r="A32" s="23">
        <v>30</v>
      </c>
      <c r="B32" s="23" t="s">
        <v>1703</v>
      </c>
      <c r="C32" s="23" t="s">
        <v>23</v>
      </c>
      <c r="D32" s="23" t="s">
        <v>1789</v>
      </c>
      <c r="E32" s="23" t="s">
        <v>1790</v>
      </c>
      <c r="F32" s="23" t="s">
        <v>1690</v>
      </c>
      <c r="G32" s="23">
        <v>32</v>
      </c>
      <c r="H32" s="23" t="s">
        <v>1699</v>
      </c>
      <c r="I32" s="24">
        <v>0.458333333333333</v>
      </c>
      <c r="J32" s="23" t="s">
        <v>1711</v>
      </c>
      <c r="K32" s="23" t="s">
        <v>1083</v>
      </c>
      <c r="L32" s="23" t="s">
        <v>1693</v>
      </c>
      <c r="M32" s="23" t="s">
        <v>413</v>
      </c>
      <c r="N32" s="23">
        <v>93</v>
      </c>
      <c r="O32" s="23" t="s">
        <v>414</v>
      </c>
      <c r="P32" s="23">
        <v>90</v>
      </c>
      <c r="Q32" s="23" t="s">
        <v>1695</v>
      </c>
      <c r="R32" s="23"/>
      <c r="S32" s="23"/>
      <c r="T32" s="23"/>
      <c r="U32" s="23" t="s">
        <v>1351</v>
      </c>
      <c r="V32" s="25"/>
      <c r="W32" s="26" t="s">
        <v>1696</v>
      </c>
      <c r="X32" s="27" t="s">
        <v>1791</v>
      </c>
    </row>
    <row r="33" s="14" customFormat="1" ht="50" customHeight="1" spans="1:24">
      <c r="A33" s="23">
        <v>31</v>
      </c>
      <c r="B33" s="23" t="s">
        <v>1703</v>
      </c>
      <c r="C33" s="23" t="s">
        <v>23</v>
      </c>
      <c r="D33" s="23" t="s">
        <v>1792</v>
      </c>
      <c r="E33" s="23" t="s">
        <v>1556</v>
      </c>
      <c r="F33" s="23" t="s">
        <v>1690</v>
      </c>
      <c r="G33" s="23">
        <v>34</v>
      </c>
      <c r="H33" s="23" t="s">
        <v>1706</v>
      </c>
      <c r="I33" s="24">
        <v>0.541666666666667</v>
      </c>
      <c r="J33" s="23" t="s">
        <v>1711</v>
      </c>
      <c r="K33" s="23" t="s">
        <v>1083</v>
      </c>
      <c r="L33" s="23" t="s">
        <v>1693</v>
      </c>
      <c r="M33" s="23" t="s">
        <v>396</v>
      </c>
      <c r="N33" s="23">
        <v>96</v>
      </c>
      <c r="O33" s="23" t="s">
        <v>1793</v>
      </c>
      <c r="P33" s="31">
        <v>87</v>
      </c>
      <c r="Q33" s="23" t="s">
        <v>1794</v>
      </c>
      <c r="R33" s="23"/>
      <c r="S33" s="23"/>
      <c r="T33" s="23"/>
      <c r="U33" s="23" t="s">
        <v>1351</v>
      </c>
      <c r="V33" s="25"/>
      <c r="W33" s="26" t="s">
        <v>1696</v>
      </c>
      <c r="X33" s="27" t="s">
        <v>1795</v>
      </c>
    </row>
    <row r="34" s="14" customFormat="1" ht="50" customHeight="1" spans="1:24">
      <c r="A34" s="23">
        <v>32</v>
      </c>
      <c r="B34" s="23" t="s">
        <v>1703</v>
      </c>
      <c r="C34" s="23" t="s">
        <v>23</v>
      </c>
      <c r="D34" s="23" t="s">
        <v>1792</v>
      </c>
      <c r="E34" s="23" t="s">
        <v>1532</v>
      </c>
      <c r="F34" s="23" t="s">
        <v>1705</v>
      </c>
      <c r="G34" s="23">
        <v>36</v>
      </c>
      <c r="H34" s="23" t="s">
        <v>1706</v>
      </c>
      <c r="I34" s="24">
        <v>0.5625</v>
      </c>
      <c r="J34" s="23" t="s">
        <v>1327</v>
      </c>
      <c r="K34" s="23" t="s">
        <v>1083</v>
      </c>
      <c r="L34" s="23" t="s">
        <v>1693</v>
      </c>
      <c r="M34" s="23" t="s">
        <v>167</v>
      </c>
      <c r="N34" s="23">
        <v>90</v>
      </c>
      <c r="O34" s="23" t="s">
        <v>1625</v>
      </c>
      <c r="P34" s="23">
        <v>90</v>
      </c>
      <c r="Q34" s="23" t="s">
        <v>1695</v>
      </c>
      <c r="R34" s="23"/>
      <c r="S34" s="23"/>
      <c r="T34" s="23"/>
      <c r="U34" s="23" t="s">
        <v>1351</v>
      </c>
      <c r="V34" s="25"/>
      <c r="W34" s="26" t="s">
        <v>1696</v>
      </c>
      <c r="X34" s="27" t="s">
        <v>1796</v>
      </c>
    </row>
    <row r="35" s="14" customFormat="1" ht="50" customHeight="1" spans="1:24">
      <c r="A35" s="23">
        <v>33</v>
      </c>
      <c r="B35" s="23" t="s">
        <v>1703</v>
      </c>
      <c r="C35" s="23" t="s">
        <v>23</v>
      </c>
      <c r="D35" s="23" t="s">
        <v>1792</v>
      </c>
      <c r="E35" s="23" t="s">
        <v>1551</v>
      </c>
      <c r="F35" s="23" t="s">
        <v>1705</v>
      </c>
      <c r="G35" s="23">
        <v>38</v>
      </c>
      <c r="H35" s="23" t="s">
        <v>1706</v>
      </c>
      <c r="I35" s="24">
        <v>0.625</v>
      </c>
      <c r="J35" s="23" t="s">
        <v>1725</v>
      </c>
      <c r="K35" s="23" t="s">
        <v>1083</v>
      </c>
      <c r="L35" s="23" t="s">
        <v>1693</v>
      </c>
      <c r="M35" s="23" t="s">
        <v>143</v>
      </c>
      <c r="N35" s="23">
        <v>92</v>
      </c>
      <c r="O35" s="23" t="s">
        <v>1777</v>
      </c>
      <c r="P35" s="23">
        <v>90</v>
      </c>
      <c r="Q35" s="23" t="s">
        <v>1695</v>
      </c>
      <c r="R35" s="23"/>
      <c r="S35" s="23"/>
      <c r="T35" s="23"/>
      <c r="U35" s="23" t="s">
        <v>1351</v>
      </c>
      <c r="V35" s="25"/>
      <c r="W35" s="26" t="s">
        <v>1696</v>
      </c>
      <c r="X35" s="27" t="s">
        <v>1797</v>
      </c>
    </row>
    <row r="36" s="14" customFormat="1" ht="50" customHeight="1" spans="1:24">
      <c r="A36" s="23">
        <v>34</v>
      </c>
      <c r="B36" s="23" t="s">
        <v>1703</v>
      </c>
      <c r="C36" s="23" t="s">
        <v>23</v>
      </c>
      <c r="D36" s="23" t="s">
        <v>1792</v>
      </c>
      <c r="E36" s="23" t="s">
        <v>1525</v>
      </c>
      <c r="F36" s="23" t="s">
        <v>1705</v>
      </c>
      <c r="G36" s="23">
        <v>33</v>
      </c>
      <c r="H36" s="23" t="s">
        <v>1699</v>
      </c>
      <c r="I36" s="24">
        <v>0.645833333333333</v>
      </c>
      <c r="J36" s="23" t="s">
        <v>1711</v>
      </c>
      <c r="K36" s="23" t="s">
        <v>1083</v>
      </c>
      <c r="L36" s="23" t="s">
        <v>1693</v>
      </c>
      <c r="M36" s="23" t="s">
        <v>620</v>
      </c>
      <c r="N36" s="23">
        <v>90</v>
      </c>
      <c r="O36" s="23" t="s">
        <v>1798</v>
      </c>
      <c r="P36" s="31">
        <v>84</v>
      </c>
      <c r="Q36" s="23" t="s">
        <v>1794</v>
      </c>
      <c r="R36" s="23"/>
      <c r="S36" s="23"/>
      <c r="T36" s="23"/>
      <c r="U36" s="23" t="s">
        <v>1351</v>
      </c>
      <c r="V36" s="25"/>
      <c r="W36" s="28" t="s">
        <v>1799</v>
      </c>
      <c r="X36" s="27" t="s">
        <v>1800</v>
      </c>
    </row>
    <row r="37" s="14" customFormat="1" ht="50" customHeight="1" spans="1:24">
      <c r="A37" s="23">
        <v>35</v>
      </c>
      <c r="B37" s="23" t="s">
        <v>33</v>
      </c>
      <c r="C37" s="23" t="s">
        <v>23</v>
      </c>
      <c r="D37" s="23" t="s">
        <v>1801</v>
      </c>
      <c r="E37" s="23" t="s">
        <v>1514</v>
      </c>
      <c r="F37" s="23" t="s">
        <v>1690</v>
      </c>
      <c r="G37" s="23">
        <v>29</v>
      </c>
      <c r="H37" s="23" t="s">
        <v>1699</v>
      </c>
      <c r="I37" s="24">
        <v>0.583333333333333</v>
      </c>
      <c r="J37" s="23" t="s">
        <v>1327</v>
      </c>
      <c r="K37" s="23" t="s">
        <v>1083</v>
      </c>
      <c r="L37" s="23" t="s">
        <v>1693</v>
      </c>
      <c r="M37" s="23" t="s">
        <v>536</v>
      </c>
      <c r="N37" s="23">
        <v>96</v>
      </c>
      <c r="O37" s="23" t="s">
        <v>1802</v>
      </c>
      <c r="P37" s="23">
        <v>91</v>
      </c>
      <c r="Q37" s="23" t="s">
        <v>1695</v>
      </c>
      <c r="R37" s="23"/>
      <c r="S37" s="23"/>
      <c r="T37" s="23"/>
      <c r="U37" s="23" t="s">
        <v>1351</v>
      </c>
      <c r="V37" s="25"/>
      <c r="W37" s="26" t="s">
        <v>1696</v>
      </c>
      <c r="X37" s="27" t="s">
        <v>1803</v>
      </c>
    </row>
    <row r="38" s="14" customFormat="1" ht="50" customHeight="1" spans="1:24">
      <c r="A38" s="23">
        <v>36</v>
      </c>
      <c r="B38" s="23" t="s">
        <v>1703</v>
      </c>
      <c r="C38" s="23" t="s">
        <v>23</v>
      </c>
      <c r="D38" s="23" t="s">
        <v>1801</v>
      </c>
      <c r="E38" s="23" t="s">
        <v>1511</v>
      </c>
      <c r="F38" s="23" t="s">
        <v>1690</v>
      </c>
      <c r="G38" s="23">
        <v>35</v>
      </c>
      <c r="H38" s="23" t="s">
        <v>1706</v>
      </c>
      <c r="I38" s="24">
        <v>0.604166666666667</v>
      </c>
      <c r="J38" s="23" t="s">
        <v>1707</v>
      </c>
      <c r="K38" s="23" t="s">
        <v>1083</v>
      </c>
      <c r="L38" s="23" t="s">
        <v>1693</v>
      </c>
      <c r="M38" s="23" t="s">
        <v>531</v>
      </c>
      <c r="N38" s="23">
        <v>95</v>
      </c>
      <c r="O38" s="23" t="s">
        <v>1804</v>
      </c>
      <c r="P38" s="23">
        <v>90</v>
      </c>
      <c r="Q38" s="23" t="s">
        <v>1695</v>
      </c>
      <c r="R38" s="23"/>
      <c r="S38" s="23"/>
      <c r="T38" s="23"/>
      <c r="U38" s="23" t="s">
        <v>1351</v>
      </c>
      <c r="V38" s="25"/>
      <c r="W38" s="26" t="s">
        <v>1696</v>
      </c>
      <c r="X38" s="27" t="s">
        <v>1805</v>
      </c>
    </row>
    <row r="39" ht="50" customHeight="1" spans="1:24">
      <c r="A39" s="23">
        <v>37</v>
      </c>
      <c r="B39" s="23" t="s">
        <v>37</v>
      </c>
      <c r="C39" s="23" t="s">
        <v>39</v>
      </c>
      <c r="D39" s="24" t="s">
        <v>1806</v>
      </c>
      <c r="E39" s="23" t="s">
        <v>1121</v>
      </c>
      <c r="F39" s="23" t="s">
        <v>1705</v>
      </c>
      <c r="G39" s="23">
        <v>30</v>
      </c>
      <c r="H39" s="23" t="s">
        <v>1706</v>
      </c>
      <c r="I39" s="24">
        <v>0.583333333333333</v>
      </c>
      <c r="J39" s="23" t="s">
        <v>1692</v>
      </c>
      <c r="K39" s="23" t="s">
        <v>1083</v>
      </c>
      <c r="L39" s="23" t="s">
        <v>1693</v>
      </c>
      <c r="M39" s="23" t="s">
        <v>230</v>
      </c>
      <c r="N39" s="23">
        <v>96</v>
      </c>
      <c r="O39" s="23" t="s">
        <v>1807</v>
      </c>
      <c r="P39" s="23">
        <v>90</v>
      </c>
      <c r="Q39" s="23" t="s">
        <v>1695</v>
      </c>
      <c r="R39" s="23"/>
      <c r="S39" s="23"/>
      <c r="T39" s="23"/>
      <c r="U39" s="23" t="s">
        <v>1351</v>
      </c>
      <c r="V39" s="25"/>
      <c r="W39" s="26" t="s">
        <v>1696</v>
      </c>
      <c r="X39" s="27" t="s">
        <v>1808</v>
      </c>
    </row>
    <row r="40" ht="50" customHeight="1" spans="1:24">
      <c r="A40" s="23">
        <v>38</v>
      </c>
      <c r="B40" s="23" t="s">
        <v>37</v>
      </c>
      <c r="C40" s="23" t="s">
        <v>39</v>
      </c>
      <c r="D40" s="23" t="s">
        <v>1809</v>
      </c>
      <c r="E40" s="23" t="s">
        <v>1521</v>
      </c>
      <c r="F40" s="23" t="s">
        <v>1705</v>
      </c>
      <c r="G40" s="23">
        <v>31</v>
      </c>
      <c r="H40" s="23" t="s">
        <v>1699</v>
      </c>
      <c r="I40" s="24">
        <v>0.395833333333333</v>
      </c>
      <c r="J40" s="23" t="s">
        <v>1327</v>
      </c>
      <c r="K40" s="23" t="s">
        <v>1083</v>
      </c>
      <c r="L40" s="23" t="s">
        <v>1741</v>
      </c>
      <c r="M40" s="23" t="s">
        <v>270</v>
      </c>
      <c r="N40" s="23">
        <v>94</v>
      </c>
      <c r="O40" s="23" t="s">
        <v>1810</v>
      </c>
      <c r="P40" s="23">
        <v>90</v>
      </c>
      <c r="Q40" s="23" t="s">
        <v>1695</v>
      </c>
      <c r="R40" s="23"/>
      <c r="S40" s="23"/>
      <c r="T40" s="23"/>
      <c r="U40" s="23" t="s">
        <v>1351</v>
      </c>
      <c r="V40" s="25"/>
      <c r="W40" s="28" t="s">
        <v>1811</v>
      </c>
      <c r="X40" s="27" t="s">
        <v>1812</v>
      </c>
    </row>
    <row r="41" ht="50" customHeight="1" spans="1:24">
      <c r="A41" s="23">
        <v>39</v>
      </c>
      <c r="B41" s="23" t="s">
        <v>1703</v>
      </c>
      <c r="C41" s="23" t="s">
        <v>39</v>
      </c>
      <c r="D41" s="23" t="s">
        <v>1809</v>
      </c>
      <c r="E41" s="23" t="s">
        <v>1552</v>
      </c>
      <c r="F41" s="23" t="s">
        <v>1690</v>
      </c>
      <c r="G41" s="23">
        <v>27</v>
      </c>
      <c r="H41" s="23" t="s">
        <v>1706</v>
      </c>
      <c r="I41" s="24">
        <v>0.458333333333333</v>
      </c>
      <c r="J41" s="23" t="s">
        <v>1707</v>
      </c>
      <c r="K41" s="23" t="s">
        <v>1083</v>
      </c>
      <c r="L41" s="23" t="s">
        <v>1741</v>
      </c>
      <c r="M41" s="23" t="s">
        <v>278</v>
      </c>
      <c r="N41" s="23">
        <v>86</v>
      </c>
      <c r="O41" s="23" t="s">
        <v>279</v>
      </c>
      <c r="P41" s="23">
        <v>90</v>
      </c>
      <c r="Q41" s="23" t="s">
        <v>1695</v>
      </c>
      <c r="R41" s="23"/>
      <c r="S41" s="23"/>
      <c r="T41" s="23"/>
      <c r="U41" s="23" t="s">
        <v>1351</v>
      </c>
      <c r="V41" s="25"/>
      <c r="W41" s="26" t="s">
        <v>1696</v>
      </c>
      <c r="X41" s="27" t="s">
        <v>1813</v>
      </c>
    </row>
    <row r="42" ht="50" customHeight="1" spans="1:24">
      <c r="A42" s="23">
        <v>40</v>
      </c>
      <c r="B42" s="23" t="s">
        <v>1703</v>
      </c>
      <c r="C42" s="23" t="s">
        <v>39</v>
      </c>
      <c r="D42" s="23" t="s">
        <v>1809</v>
      </c>
      <c r="E42" s="23" t="s">
        <v>1814</v>
      </c>
      <c r="F42" s="23" t="s">
        <v>1690</v>
      </c>
      <c r="G42" s="23">
        <v>35</v>
      </c>
      <c r="H42" s="23" t="s">
        <v>1706</v>
      </c>
      <c r="I42" s="24">
        <v>0.625</v>
      </c>
      <c r="J42" s="23" t="s">
        <v>1711</v>
      </c>
      <c r="K42" s="23" t="s">
        <v>1083</v>
      </c>
      <c r="L42" s="23" t="s">
        <v>1741</v>
      </c>
      <c r="M42" s="23" t="s">
        <v>69</v>
      </c>
      <c r="N42" s="23">
        <v>94</v>
      </c>
      <c r="O42" s="23" t="s">
        <v>71</v>
      </c>
      <c r="P42" s="29">
        <v>85</v>
      </c>
      <c r="Q42" s="23" t="s">
        <v>1815</v>
      </c>
      <c r="R42" s="23"/>
      <c r="S42" s="23"/>
      <c r="T42" s="23"/>
      <c r="U42" s="23" t="s">
        <v>1351</v>
      </c>
      <c r="V42" s="25"/>
      <c r="W42" s="28" t="s">
        <v>1816</v>
      </c>
      <c r="X42" s="27" t="s">
        <v>1817</v>
      </c>
    </row>
    <row r="43" ht="50" customHeight="1" spans="1:24">
      <c r="A43" s="23">
        <v>41</v>
      </c>
      <c r="B43" s="23" t="s">
        <v>35</v>
      </c>
      <c r="C43" s="23" t="s">
        <v>39</v>
      </c>
      <c r="D43" s="23" t="s">
        <v>1818</v>
      </c>
      <c r="E43" s="23" t="s">
        <v>1819</v>
      </c>
      <c r="F43" s="23" t="s">
        <v>1690</v>
      </c>
      <c r="G43" s="23">
        <v>35</v>
      </c>
      <c r="H43" s="23" t="s">
        <v>1699</v>
      </c>
      <c r="I43" s="24">
        <v>0.416666666666667</v>
      </c>
      <c r="J43" s="23" t="s">
        <v>1692</v>
      </c>
      <c r="K43" s="23" t="s">
        <v>1083</v>
      </c>
      <c r="L43" s="23" t="s">
        <v>1741</v>
      </c>
      <c r="M43" s="23" t="s">
        <v>444</v>
      </c>
      <c r="N43" s="23">
        <v>90</v>
      </c>
      <c r="O43" s="23" t="s">
        <v>445</v>
      </c>
      <c r="P43" s="29">
        <v>88</v>
      </c>
      <c r="Q43" s="23" t="s">
        <v>1815</v>
      </c>
      <c r="R43" s="23"/>
      <c r="S43" s="23"/>
      <c r="T43" s="23"/>
      <c r="U43" s="23" t="s">
        <v>1351</v>
      </c>
      <c r="V43" s="25"/>
      <c r="W43" s="26" t="s">
        <v>1696</v>
      </c>
      <c r="X43" s="27" t="s">
        <v>1820</v>
      </c>
    </row>
    <row r="44" ht="50" customHeight="1" spans="1:24">
      <c r="A44" s="23">
        <v>42</v>
      </c>
      <c r="B44" s="23" t="s">
        <v>1703</v>
      </c>
      <c r="C44" s="23" t="s">
        <v>39</v>
      </c>
      <c r="D44" s="23" t="s">
        <v>1818</v>
      </c>
      <c r="E44" s="23" t="s">
        <v>1561</v>
      </c>
      <c r="F44" s="23" t="s">
        <v>1705</v>
      </c>
      <c r="G44" s="23">
        <v>31</v>
      </c>
      <c r="H44" s="23" t="s">
        <v>1706</v>
      </c>
      <c r="I44" s="24">
        <v>0.583333333333333</v>
      </c>
      <c r="J44" s="23" t="s">
        <v>1725</v>
      </c>
      <c r="K44" s="23" t="s">
        <v>1083</v>
      </c>
      <c r="L44" s="23" t="s">
        <v>1741</v>
      </c>
      <c r="M44" s="23" t="s">
        <v>602</v>
      </c>
      <c r="N44" s="23">
        <v>93</v>
      </c>
      <c r="O44" s="23" t="s">
        <v>1821</v>
      </c>
      <c r="P44" s="23">
        <v>90</v>
      </c>
      <c r="Q44" s="23" t="s">
        <v>1695</v>
      </c>
      <c r="R44" s="23"/>
      <c r="S44" s="23"/>
      <c r="T44" s="23"/>
      <c r="U44" s="23" t="s">
        <v>1351</v>
      </c>
      <c r="V44" s="23" t="s">
        <v>1026</v>
      </c>
      <c r="W44" s="26" t="s">
        <v>1696</v>
      </c>
      <c r="X44" s="33" t="s">
        <v>1822</v>
      </c>
    </row>
    <row r="45" ht="50" customHeight="1" spans="1:24">
      <c r="A45" s="23">
        <v>43</v>
      </c>
      <c r="B45" s="23" t="s">
        <v>1703</v>
      </c>
      <c r="C45" s="23" t="s">
        <v>39</v>
      </c>
      <c r="D45" s="23" t="s">
        <v>1823</v>
      </c>
      <c r="E45" s="23" t="s">
        <v>1824</v>
      </c>
      <c r="F45" s="23" t="s">
        <v>1705</v>
      </c>
      <c r="G45" s="23">
        <v>40</v>
      </c>
      <c r="H45" s="23" t="s">
        <v>1699</v>
      </c>
      <c r="I45" s="24">
        <v>0.416666666666667</v>
      </c>
      <c r="J45" s="23" t="s">
        <v>1700</v>
      </c>
      <c r="K45" s="23" t="s">
        <v>1083</v>
      </c>
      <c r="L45" s="23" t="s">
        <v>1741</v>
      </c>
      <c r="M45" s="23" t="s">
        <v>233</v>
      </c>
      <c r="N45" s="23">
        <v>90</v>
      </c>
      <c r="O45" s="23" t="s">
        <v>1636</v>
      </c>
      <c r="P45" s="29">
        <v>86</v>
      </c>
      <c r="Q45" s="23" t="s">
        <v>1815</v>
      </c>
      <c r="R45" s="23"/>
      <c r="S45" s="23"/>
      <c r="T45" s="23"/>
      <c r="U45" s="23" t="s">
        <v>1351</v>
      </c>
      <c r="V45" s="23" t="s">
        <v>1825</v>
      </c>
      <c r="W45" s="28" t="s">
        <v>1826</v>
      </c>
      <c r="X45" s="33" t="s">
        <v>1827</v>
      </c>
    </row>
    <row r="46" ht="50" customHeight="1" spans="1:24">
      <c r="A46" s="34">
        <v>44</v>
      </c>
      <c r="B46" s="34" t="s">
        <v>1703</v>
      </c>
      <c r="C46" s="34" t="s">
        <v>39</v>
      </c>
      <c r="D46" s="34" t="s">
        <v>1823</v>
      </c>
      <c r="E46" s="34" t="s">
        <v>1559</v>
      </c>
      <c r="F46" s="34" t="s">
        <v>1705</v>
      </c>
      <c r="G46" s="34">
        <v>32</v>
      </c>
      <c r="H46" s="34" t="s">
        <v>1706</v>
      </c>
      <c r="I46" s="35">
        <v>0.583333333333333</v>
      </c>
      <c r="J46" s="34" t="s">
        <v>1700</v>
      </c>
      <c r="K46" s="34" t="s">
        <v>1083</v>
      </c>
      <c r="L46" s="34" t="s">
        <v>1741</v>
      </c>
      <c r="M46" s="34" t="s">
        <v>376</v>
      </c>
      <c r="N46" s="36">
        <v>90</v>
      </c>
      <c r="O46" s="34" t="s">
        <v>1828</v>
      </c>
      <c r="P46" s="36">
        <v>90</v>
      </c>
      <c r="Q46" s="34" t="s">
        <v>1829</v>
      </c>
      <c r="R46" s="34"/>
      <c r="S46" s="34"/>
      <c r="T46" s="34"/>
      <c r="U46" s="34" t="s">
        <v>1351</v>
      </c>
      <c r="V46" s="34" t="s">
        <v>1830</v>
      </c>
      <c r="W46" s="37" t="s">
        <v>1696</v>
      </c>
      <c r="X46" s="33" t="s">
        <v>1831</v>
      </c>
    </row>
    <row r="47" ht="50" customHeight="1" spans="1:24">
      <c r="A47" s="38">
        <v>45</v>
      </c>
      <c r="B47" s="30" t="s">
        <v>35</v>
      </c>
      <c r="C47" s="30" t="s">
        <v>39</v>
      </c>
      <c r="D47" s="30" t="s">
        <v>1832</v>
      </c>
      <c r="E47" s="30" t="s">
        <v>1515</v>
      </c>
      <c r="F47" s="30" t="s">
        <v>1690</v>
      </c>
      <c r="G47" s="30">
        <v>36</v>
      </c>
      <c r="H47" s="30" t="s">
        <v>1699</v>
      </c>
      <c r="I47" s="39">
        <v>0.458333333333333</v>
      </c>
      <c r="J47" s="30" t="s">
        <v>1707</v>
      </c>
      <c r="K47" s="30" t="s">
        <v>1083</v>
      </c>
      <c r="L47" s="30" t="s">
        <v>1833</v>
      </c>
      <c r="M47" s="30" t="s">
        <v>597</v>
      </c>
      <c r="N47" s="30">
        <v>95</v>
      </c>
      <c r="O47" s="30" t="s">
        <v>1834</v>
      </c>
      <c r="P47" s="30">
        <v>94</v>
      </c>
      <c r="Q47" s="30" t="s">
        <v>1829</v>
      </c>
      <c r="R47" s="30"/>
      <c r="S47" s="30"/>
      <c r="T47" s="30"/>
      <c r="U47" s="30" t="s">
        <v>1351</v>
      </c>
      <c r="V47" s="30" t="s">
        <v>1835</v>
      </c>
      <c r="W47" s="28" t="s">
        <v>1696</v>
      </c>
      <c r="X47" s="40" t="s">
        <v>1836</v>
      </c>
    </row>
  </sheetData>
  <autoFilter xmlns:etc="http://www.wps.cn/officeDocument/2017/etCustomData" ref="A2:X47" etc:filterBottomFollowUsedRange="0">
    <extLst/>
  </autoFilter>
  <mergeCells count="1">
    <mergeCell ref="A1:W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7"/>
  <sheetViews>
    <sheetView workbookViewId="0">
      <pane ySplit="2" topLeftCell="A180" activePane="bottomLeft" state="frozen"/>
      <selection/>
      <selection pane="bottomLeft" activeCell="I213" sqref="I213"/>
    </sheetView>
  </sheetViews>
  <sheetFormatPr defaultColWidth="8.89166666666667" defaultRowHeight="13.5"/>
  <cols>
    <col min="1" max="1" width="10.3333333333333" customWidth="1"/>
    <col min="2" max="2" width="8.66666666666667" customWidth="1"/>
    <col min="3" max="3" width="13.6666666666667" customWidth="1"/>
    <col min="4" max="4" width="9.225" customWidth="1"/>
    <col min="5" max="5" width="12.8916666666667" customWidth="1"/>
    <col min="6" max="6" width="10.6666666666667" customWidth="1"/>
    <col min="7" max="7" width="11.1083333333333" customWidth="1"/>
    <col min="8" max="8" width="6.10833333333333" customWidth="1"/>
    <col min="9" max="9" width="10.6666666666667" customWidth="1"/>
    <col min="10" max="12" width="20.775" customWidth="1"/>
    <col min="13" max="13" width="15.6666666666667" customWidth="1"/>
    <col min="14" max="14" width="10.6666666666667" customWidth="1"/>
    <col min="15" max="15" width="14.6666666666667" customWidth="1"/>
    <col min="16" max="16" width="18.4416666666667" customWidth="1"/>
    <col min="17" max="17" width="15" customWidth="1"/>
  </cols>
  <sheetData>
    <row r="1" ht="25" customHeight="1" spans="1:17">
      <c r="A1" s="1" t="s">
        <v>1837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8" spans="1:17">
      <c r="A2" s="3" t="s">
        <v>1838</v>
      </c>
      <c r="B2" s="3" t="s">
        <v>897</v>
      </c>
      <c r="C2" s="3" t="s">
        <v>1682</v>
      </c>
      <c r="D2" s="4" t="s">
        <v>1839</v>
      </c>
      <c r="E2" s="4" t="s">
        <v>50</v>
      </c>
      <c r="F2" s="4" t="s">
        <v>1579</v>
      </c>
      <c r="G2" s="4" t="s">
        <v>1840</v>
      </c>
      <c r="H2" s="3" t="s">
        <v>1671</v>
      </c>
      <c r="I2" s="4" t="s">
        <v>1841</v>
      </c>
      <c r="J2" s="4" t="s">
        <v>1842</v>
      </c>
      <c r="K2" s="4" t="s">
        <v>1684</v>
      </c>
      <c r="L2" s="4" t="s">
        <v>1843</v>
      </c>
      <c r="M2" s="3" t="s">
        <v>1844</v>
      </c>
      <c r="N2" s="3" t="s">
        <v>1845</v>
      </c>
      <c r="O2" s="4" t="s">
        <v>1846</v>
      </c>
      <c r="P2" s="3" t="s">
        <v>1847</v>
      </c>
      <c r="Q2" s="3" t="s">
        <v>1848</v>
      </c>
    </row>
    <row r="3" ht="16.5" spans="1:17">
      <c r="A3" s="5" t="s">
        <v>1790</v>
      </c>
      <c r="B3" s="5" t="s">
        <v>1849</v>
      </c>
      <c r="C3" s="6">
        <v>46048</v>
      </c>
      <c r="D3" s="7" t="s">
        <v>38</v>
      </c>
      <c r="E3" s="7" t="s">
        <v>220</v>
      </c>
      <c r="F3" s="7" t="s">
        <v>441</v>
      </c>
      <c r="G3" s="7" t="s">
        <v>1173</v>
      </c>
      <c r="H3" s="7" t="s">
        <v>1690</v>
      </c>
      <c r="I3" s="8" t="s">
        <v>1850</v>
      </c>
      <c r="J3" s="6">
        <v>46055</v>
      </c>
      <c r="K3" s="8">
        <v>0</v>
      </c>
      <c r="L3" s="9">
        <v>0.233333333333333</v>
      </c>
      <c r="M3" s="6"/>
      <c r="N3" s="8"/>
      <c r="O3" s="10"/>
      <c r="P3" s="11"/>
      <c r="Q3" s="12"/>
    </row>
    <row r="4" ht="16.5" spans="1:17">
      <c r="A4" s="5" t="s">
        <v>1512</v>
      </c>
      <c r="B4" s="5" t="s">
        <v>1851</v>
      </c>
      <c r="C4" s="6">
        <v>46048</v>
      </c>
      <c r="D4" s="7" t="s">
        <v>32</v>
      </c>
      <c r="E4" s="7" t="s">
        <v>105</v>
      </c>
      <c r="F4" s="7" t="s">
        <v>556</v>
      </c>
      <c r="G4" s="7" t="s">
        <v>1173</v>
      </c>
      <c r="H4" s="7" t="s">
        <v>1690</v>
      </c>
      <c r="I4" s="8" t="s">
        <v>1850</v>
      </c>
      <c r="J4" s="6">
        <v>46055</v>
      </c>
      <c r="K4" s="8">
        <v>0</v>
      </c>
      <c r="L4" s="9">
        <v>0.233333333333333</v>
      </c>
      <c r="M4" s="6"/>
      <c r="N4" s="8"/>
      <c r="O4" s="10"/>
      <c r="P4" s="11"/>
      <c r="Q4" s="12"/>
    </row>
    <row r="5" ht="16.5" spans="1:17">
      <c r="A5" s="5" t="s">
        <v>1560</v>
      </c>
      <c r="B5" s="5" t="s">
        <v>1852</v>
      </c>
      <c r="C5" s="6">
        <v>46045</v>
      </c>
      <c r="D5" s="7" t="s">
        <v>38</v>
      </c>
      <c r="E5" s="7" t="s">
        <v>70</v>
      </c>
      <c r="F5" s="7" t="s">
        <v>69</v>
      </c>
      <c r="G5" s="7" t="s">
        <v>1173</v>
      </c>
      <c r="H5" s="7" t="s">
        <v>1690</v>
      </c>
      <c r="I5" s="8" t="s">
        <v>1850</v>
      </c>
      <c r="J5" s="6">
        <v>46055</v>
      </c>
      <c r="K5" s="8">
        <v>0</v>
      </c>
      <c r="L5" s="9">
        <v>0.333333333333333</v>
      </c>
      <c r="M5" s="6"/>
      <c r="N5" s="8"/>
      <c r="O5" s="10"/>
      <c r="P5" s="11"/>
      <c r="Q5" s="12"/>
    </row>
    <row r="6" ht="16.5" spans="1:17">
      <c r="A6" s="5" t="s">
        <v>1853</v>
      </c>
      <c r="B6" s="5" t="s">
        <v>1854</v>
      </c>
      <c r="C6" s="6">
        <v>46022</v>
      </c>
      <c r="D6" s="7" t="e">
        <v>#N/A</v>
      </c>
      <c r="E6" s="7" t="e">
        <v>#N/A</v>
      </c>
      <c r="F6" s="7" t="e">
        <v>#N/A</v>
      </c>
      <c r="G6" s="7" t="s">
        <v>1173</v>
      </c>
      <c r="H6" s="7" t="s">
        <v>1690</v>
      </c>
      <c r="I6" s="8" t="e">
        <v>#N/A</v>
      </c>
      <c r="J6" s="6">
        <v>46055</v>
      </c>
      <c r="K6" s="6">
        <v>46032</v>
      </c>
      <c r="L6" s="9">
        <v>0.333333333333333</v>
      </c>
      <c r="M6" s="8"/>
      <c r="N6" s="8"/>
      <c r="O6" s="10"/>
      <c r="P6" s="11"/>
      <c r="Q6" s="12"/>
    </row>
    <row r="7" ht="16.5" spans="1:17">
      <c r="A7" s="5" t="s">
        <v>1855</v>
      </c>
      <c r="B7" s="5" t="s">
        <v>1856</v>
      </c>
      <c r="C7" s="6">
        <v>46016</v>
      </c>
      <c r="D7" s="7" t="e">
        <v>#N/A</v>
      </c>
      <c r="E7" s="7" t="e">
        <v>#N/A</v>
      </c>
      <c r="F7" s="7" t="e">
        <v>#N/A</v>
      </c>
      <c r="G7" s="7" t="s">
        <v>1173</v>
      </c>
      <c r="H7" s="7" t="s">
        <v>1690</v>
      </c>
      <c r="I7" s="8" t="e">
        <v>#N/A</v>
      </c>
      <c r="J7" s="6">
        <v>46055</v>
      </c>
      <c r="K7" s="6">
        <v>46027</v>
      </c>
      <c r="L7" s="9">
        <v>0.366666666666667</v>
      </c>
      <c r="M7" s="8"/>
      <c r="N7" s="8"/>
      <c r="O7" s="10"/>
      <c r="P7" s="11"/>
      <c r="Q7" s="12"/>
    </row>
    <row r="8" ht="16.5" spans="1:17">
      <c r="A8" s="5" t="s">
        <v>1857</v>
      </c>
      <c r="B8" s="5" t="s">
        <v>1858</v>
      </c>
      <c r="C8" s="6">
        <v>46000</v>
      </c>
      <c r="D8" s="7" t="e">
        <v>#N/A</v>
      </c>
      <c r="E8" s="7" t="e">
        <v>#N/A</v>
      </c>
      <c r="F8" s="7" t="e">
        <v>#N/A</v>
      </c>
      <c r="G8" s="7" t="s">
        <v>1173</v>
      </c>
      <c r="H8" s="7" t="s">
        <v>1690</v>
      </c>
      <c r="I8" s="8" t="e">
        <v>#N/A</v>
      </c>
      <c r="J8" s="6">
        <v>46055</v>
      </c>
      <c r="K8" s="6">
        <v>46011</v>
      </c>
      <c r="L8" s="9">
        <v>0.366666666666667</v>
      </c>
      <c r="M8" s="8"/>
      <c r="N8" s="8"/>
      <c r="O8" s="10"/>
      <c r="P8" s="11"/>
      <c r="Q8" s="12"/>
    </row>
    <row r="9" ht="16.5" spans="1:17">
      <c r="A9" s="5" t="s">
        <v>1554</v>
      </c>
      <c r="B9" s="5" t="s">
        <v>1859</v>
      </c>
      <c r="C9" s="6">
        <v>46042</v>
      </c>
      <c r="D9" s="7" t="s">
        <v>38</v>
      </c>
      <c r="E9" s="7" t="s">
        <v>75</v>
      </c>
      <c r="F9" s="7" t="s">
        <v>306</v>
      </c>
      <c r="G9" s="7" t="s">
        <v>1173</v>
      </c>
      <c r="H9" s="7" t="s">
        <v>1690</v>
      </c>
      <c r="I9" s="8" t="s">
        <v>1850</v>
      </c>
      <c r="J9" s="6">
        <v>46055</v>
      </c>
      <c r="K9" s="8">
        <v>0</v>
      </c>
      <c r="L9" s="9">
        <v>0.433333333333333</v>
      </c>
      <c r="M9" s="6"/>
      <c r="N9" s="8"/>
      <c r="O9" s="10"/>
      <c r="P9" s="11"/>
      <c r="Q9" s="12"/>
    </row>
    <row r="10" ht="16.5" spans="1:17">
      <c r="A10" s="5" t="s">
        <v>1860</v>
      </c>
      <c r="B10" s="5" t="s">
        <v>1861</v>
      </c>
      <c r="C10" s="6">
        <v>46022</v>
      </c>
      <c r="D10" s="7" t="e">
        <v>#N/A</v>
      </c>
      <c r="E10" s="7" t="e">
        <v>#N/A</v>
      </c>
      <c r="F10" s="7" t="e">
        <v>#N/A</v>
      </c>
      <c r="G10" s="7" t="s">
        <v>1173</v>
      </c>
      <c r="H10" s="7" t="s">
        <v>1705</v>
      </c>
      <c r="I10" s="8" t="e">
        <v>#N/A</v>
      </c>
      <c r="J10" s="6">
        <v>46055</v>
      </c>
      <c r="K10" s="6">
        <v>46035</v>
      </c>
      <c r="L10" s="9">
        <v>0.433333333333333</v>
      </c>
      <c r="M10" s="8"/>
      <c r="N10" s="8"/>
      <c r="O10" s="10"/>
      <c r="P10" s="11"/>
      <c r="Q10" s="12"/>
    </row>
    <row r="11" ht="16.5" spans="1:17">
      <c r="A11" s="5" t="s">
        <v>1174</v>
      </c>
      <c r="B11" s="5" t="s">
        <v>1175</v>
      </c>
      <c r="C11" s="6">
        <v>46039</v>
      </c>
      <c r="D11" s="7" t="s">
        <v>32</v>
      </c>
      <c r="E11" s="7" t="s">
        <v>105</v>
      </c>
      <c r="F11" s="7" t="s">
        <v>556</v>
      </c>
      <c r="G11" s="7" t="s">
        <v>1173</v>
      </c>
      <c r="H11" s="7" t="s">
        <v>1690</v>
      </c>
      <c r="I11" s="8" t="s">
        <v>1850</v>
      </c>
      <c r="J11" s="6">
        <v>46055</v>
      </c>
      <c r="K11" s="8">
        <v>0</v>
      </c>
      <c r="L11" s="9">
        <v>0.533333333333333</v>
      </c>
      <c r="M11" s="6"/>
      <c r="N11" s="8"/>
      <c r="O11" s="10"/>
      <c r="P11" s="11"/>
      <c r="Q11" s="12"/>
    </row>
    <row r="12" ht="16.5" spans="1:17">
      <c r="A12" s="5" t="s">
        <v>1297</v>
      </c>
      <c r="B12" s="5" t="s">
        <v>1298</v>
      </c>
      <c r="C12" s="6">
        <v>46035</v>
      </c>
      <c r="D12" s="7" t="s">
        <v>26</v>
      </c>
      <c r="E12" s="7" t="s">
        <v>121</v>
      </c>
      <c r="F12" s="7" t="s">
        <v>617</v>
      </c>
      <c r="G12" s="7" t="s">
        <v>1173</v>
      </c>
      <c r="H12" s="7" t="s">
        <v>1690</v>
      </c>
      <c r="I12" s="8" t="s">
        <v>1850</v>
      </c>
      <c r="J12" s="6">
        <v>46055</v>
      </c>
      <c r="K12" s="8">
        <v>0</v>
      </c>
      <c r="L12" s="9">
        <v>0.666666666666667</v>
      </c>
      <c r="M12" s="6"/>
      <c r="N12" s="8"/>
      <c r="O12" s="10"/>
      <c r="P12" s="11"/>
      <c r="Q12" s="12"/>
    </row>
    <row r="13" ht="16.5" spans="1:17">
      <c r="A13" s="5" t="s">
        <v>1287</v>
      </c>
      <c r="B13" s="5" t="s">
        <v>1288</v>
      </c>
      <c r="C13" s="6">
        <v>46031</v>
      </c>
      <c r="D13" s="7" t="s">
        <v>38</v>
      </c>
      <c r="E13" s="7" t="s">
        <v>220</v>
      </c>
      <c r="F13" s="7" t="s">
        <v>614</v>
      </c>
      <c r="G13" s="7" t="s">
        <v>1173</v>
      </c>
      <c r="H13" s="7" t="s">
        <v>1690</v>
      </c>
      <c r="I13" s="8" t="s">
        <v>1850</v>
      </c>
      <c r="J13" s="6">
        <v>46055</v>
      </c>
      <c r="K13" s="8">
        <v>0</v>
      </c>
      <c r="L13" s="9">
        <v>0.8</v>
      </c>
      <c r="M13" s="6"/>
      <c r="N13" s="8"/>
      <c r="O13" s="10"/>
      <c r="P13" s="11"/>
      <c r="Q13" s="12"/>
    </row>
    <row r="14" ht="16.5" spans="1:17">
      <c r="A14" s="5" t="s">
        <v>1243</v>
      </c>
      <c r="B14" s="5" t="s">
        <v>1244</v>
      </c>
      <c r="C14" s="6">
        <v>46031</v>
      </c>
      <c r="D14" s="7" t="s">
        <v>38</v>
      </c>
      <c r="E14" s="7" t="s">
        <v>220</v>
      </c>
      <c r="F14" s="7" t="s">
        <v>219</v>
      </c>
      <c r="G14" s="7" t="s">
        <v>1173</v>
      </c>
      <c r="H14" s="7" t="s">
        <v>1690</v>
      </c>
      <c r="I14" s="8" t="s">
        <v>1850</v>
      </c>
      <c r="J14" s="6">
        <v>46055</v>
      </c>
      <c r="K14" s="8">
        <v>0</v>
      </c>
      <c r="L14" s="9">
        <v>0.8</v>
      </c>
      <c r="M14" s="6"/>
      <c r="N14" s="8"/>
      <c r="O14" s="10"/>
      <c r="P14" s="11"/>
      <c r="Q14" s="12"/>
    </row>
    <row r="15" ht="16.5" spans="1:17">
      <c r="A15" s="5" t="s">
        <v>1231</v>
      </c>
      <c r="B15" s="5" t="s">
        <v>1232</v>
      </c>
      <c r="C15" s="6">
        <v>46031</v>
      </c>
      <c r="D15" s="7" t="s">
        <v>37</v>
      </c>
      <c r="E15" s="7" t="s">
        <v>109</v>
      </c>
      <c r="F15" s="7" t="s">
        <v>527</v>
      </c>
      <c r="G15" s="7" t="s">
        <v>1173</v>
      </c>
      <c r="H15" s="7" t="s">
        <v>1705</v>
      </c>
      <c r="I15" s="8" t="s">
        <v>1850</v>
      </c>
      <c r="J15" s="6">
        <v>46055</v>
      </c>
      <c r="K15" s="8">
        <v>0</v>
      </c>
      <c r="L15" s="9">
        <v>0.8</v>
      </c>
      <c r="M15" s="6"/>
      <c r="N15" s="8"/>
      <c r="O15" s="10"/>
      <c r="P15" s="11"/>
      <c r="Q15" s="12"/>
    </row>
    <row r="16" ht="16.5" spans="1:17">
      <c r="A16" s="5" t="s">
        <v>1261</v>
      </c>
      <c r="B16" s="5" t="s">
        <v>1262</v>
      </c>
      <c r="C16" s="6">
        <v>46030</v>
      </c>
      <c r="D16" s="7" t="s">
        <v>32</v>
      </c>
      <c r="E16" s="7" t="s">
        <v>105</v>
      </c>
      <c r="F16" s="7" t="s">
        <v>115</v>
      </c>
      <c r="G16" s="7" t="s">
        <v>1173</v>
      </c>
      <c r="H16" s="7" t="s">
        <v>1705</v>
      </c>
      <c r="I16" s="8" t="s">
        <v>1850</v>
      </c>
      <c r="J16" s="6">
        <v>46055</v>
      </c>
      <c r="K16" s="8">
        <v>0</v>
      </c>
      <c r="L16" s="9">
        <v>0.833333333333333</v>
      </c>
      <c r="M16" s="6"/>
      <c r="N16" s="8"/>
      <c r="O16" s="10"/>
      <c r="P16" s="11"/>
      <c r="Q16" s="12"/>
    </row>
    <row r="17" ht="16.5" spans="1:17">
      <c r="A17" s="5" t="s">
        <v>1343</v>
      </c>
      <c r="B17" s="5" t="s">
        <v>1344</v>
      </c>
      <c r="C17" s="6">
        <v>46022</v>
      </c>
      <c r="D17" s="7" t="e">
        <v>#N/A</v>
      </c>
      <c r="E17" s="7" t="e">
        <v>#N/A</v>
      </c>
      <c r="F17" s="7" t="e">
        <v>#N/A</v>
      </c>
      <c r="G17" s="7" t="s">
        <v>1173</v>
      </c>
      <c r="H17" s="7" t="s">
        <v>1705</v>
      </c>
      <c r="I17" s="8" t="e">
        <v>#N/A</v>
      </c>
      <c r="J17" s="6">
        <v>46055</v>
      </c>
      <c r="K17" s="6">
        <v>46048</v>
      </c>
      <c r="L17" s="9">
        <v>0.866666666666667</v>
      </c>
      <c r="M17" s="8"/>
      <c r="N17" s="8"/>
      <c r="O17" s="10"/>
      <c r="P17" s="11"/>
      <c r="Q17" s="12"/>
    </row>
    <row r="18" ht="16.5" spans="1:17">
      <c r="A18" s="5" t="s">
        <v>1201</v>
      </c>
      <c r="B18" s="5" t="s">
        <v>1202</v>
      </c>
      <c r="C18" s="6">
        <v>46027</v>
      </c>
      <c r="D18" s="7" t="s">
        <v>38</v>
      </c>
      <c r="E18" s="7" t="s">
        <v>75</v>
      </c>
      <c r="F18" s="7" t="s">
        <v>200</v>
      </c>
      <c r="G18" s="7" t="s">
        <v>1173</v>
      </c>
      <c r="H18" s="7" t="s">
        <v>1705</v>
      </c>
      <c r="I18" s="8" t="s">
        <v>1850</v>
      </c>
      <c r="J18" s="6">
        <v>46055</v>
      </c>
      <c r="K18" s="8">
        <v>0</v>
      </c>
      <c r="L18" s="9">
        <v>0.933333333333333</v>
      </c>
      <c r="M18" s="6"/>
      <c r="N18" s="8"/>
      <c r="O18" s="10"/>
      <c r="P18" s="11"/>
      <c r="Q18" s="12"/>
    </row>
    <row r="19" ht="16.5" spans="1:17">
      <c r="A19" s="5" t="s">
        <v>1309</v>
      </c>
      <c r="B19" s="5" t="s">
        <v>1310</v>
      </c>
      <c r="C19" s="6">
        <v>46026</v>
      </c>
      <c r="D19" s="7" t="s">
        <v>26</v>
      </c>
      <c r="E19" s="7" t="s">
        <v>121</v>
      </c>
      <c r="F19" s="7" t="s">
        <v>1596</v>
      </c>
      <c r="G19" s="7" t="s">
        <v>1173</v>
      </c>
      <c r="H19" s="7" t="s">
        <v>1690</v>
      </c>
      <c r="I19" s="8" t="s">
        <v>1850</v>
      </c>
      <c r="J19" s="6">
        <v>46055</v>
      </c>
      <c r="K19" s="8">
        <v>0</v>
      </c>
      <c r="L19" s="9">
        <v>0.966666666666667</v>
      </c>
      <c r="M19" s="6"/>
      <c r="N19" s="8"/>
      <c r="O19" s="10"/>
      <c r="P19" s="11"/>
      <c r="Q19" s="12"/>
    </row>
    <row r="20" ht="16.5" spans="1:17">
      <c r="A20" s="5" t="s">
        <v>1301</v>
      </c>
      <c r="B20" s="5" t="s">
        <v>1302</v>
      </c>
      <c r="C20" s="6">
        <v>46026</v>
      </c>
      <c r="D20" s="7" t="s">
        <v>29</v>
      </c>
      <c r="E20" s="7" t="s">
        <v>130</v>
      </c>
      <c r="F20" s="7" t="s">
        <v>263</v>
      </c>
      <c r="G20" s="7" t="s">
        <v>1173</v>
      </c>
      <c r="H20" s="7" t="s">
        <v>1690</v>
      </c>
      <c r="I20" s="8" t="s">
        <v>1850</v>
      </c>
      <c r="J20" s="6">
        <v>46055</v>
      </c>
      <c r="K20" s="8">
        <v>0</v>
      </c>
      <c r="L20" s="9">
        <v>0.966666666666667</v>
      </c>
      <c r="M20" s="6"/>
      <c r="N20" s="8"/>
      <c r="O20" s="10"/>
      <c r="P20" s="11"/>
      <c r="Q20" s="12"/>
    </row>
    <row r="21" ht="16.5" spans="1:17">
      <c r="A21" s="5" t="s">
        <v>1291</v>
      </c>
      <c r="B21" s="5" t="s">
        <v>1292</v>
      </c>
      <c r="C21" s="6">
        <v>46025</v>
      </c>
      <c r="D21" s="7" t="s">
        <v>38</v>
      </c>
      <c r="E21" s="7" t="s">
        <v>168</v>
      </c>
      <c r="F21" s="7" t="s">
        <v>319</v>
      </c>
      <c r="G21" s="7" t="s">
        <v>1173</v>
      </c>
      <c r="H21" s="7" t="s">
        <v>1690</v>
      </c>
      <c r="I21" s="8" t="s">
        <v>1850</v>
      </c>
      <c r="J21" s="6">
        <v>46055</v>
      </c>
      <c r="K21" s="8">
        <v>0</v>
      </c>
      <c r="L21" s="9">
        <v>1</v>
      </c>
      <c r="M21" s="6"/>
      <c r="N21" s="8"/>
      <c r="O21" s="10"/>
      <c r="P21" s="11"/>
      <c r="Q21" s="12"/>
    </row>
    <row r="22" ht="16.5" spans="1:17">
      <c r="A22" s="5" t="s">
        <v>1191</v>
      </c>
      <c r="B22" s="5" t="s">
        <v>1192</v>
      </c>
      <c r="C22" s="6">
        <v>46025</v>
      </c>
      <c r="D22" s="7" t="s">
        <v>38</v>
      </c>
      <c r="E22" s="7" t="s">
        <v>63</v>
      </c>
      <c r="F22" s="7" t="s">
        <v>95</v>
      </c>
      <c r="G22" s="7" t="s">
        <v>1173</v>
      </c>
      <c r="H22" s="7" t="s">
        <v>1690</v>
      </c>
      <c r="I22" s="8" t="s">
        <v>1850</v>
      </c>
      <c r="J22" s="6">
        <v>46055</v>
      </c>
      <c r="K22" s="8">
        <v>0</v>
      </c>
      <c r="L22" s="9">
        <v>1</v>
      </c>
      <c r="M22" s="6"/>
      <c r="N22" s="8"/>
      <c r="O22" s="10"/>
      <c r="P22" s="11"/>
      <c r="Q22" s="12"/>
    </row>
    <row r="23" ht="16.5" spans="1:17">
      <c r="A23" s="5" t="s">
        <v>1247</v>
      </c>
      <c r="B23" s="5" t="s">
        <v>1248</v>
      </c>
      <c r="C23" s="6">
        <v>46024</v>
      </c>
      <c r="D23" s="7" t="s">
        <v>29</v>
      </c>
      <c r="E23" s="7" t="s">
        <v>130</v>
      </c>
      <c r="F23" s="7" t="s">
        <v>390</v>
      </c>
      <c r="G23" s="7" t="s">
        <v>1173</v>
      </c>
      <c r="H23" s="7" t="s">
        <v>1705</v>
      </c>
      <c r="I23" s="8" t="s">
        <v>1850</v>
      </c>
      <c r="J23" s="6">
        <v>46055</v>
      </c>
      <c r="K23" s="8">
        <v>0</v>
      </c>
      <c r="L23" s="9">
        <v>1.03333333333333</v>
      </c>
      <c r="M23" s="6"/>
      <c r="N23" s="8"/>
      <c r="O23" s="10"/>
      <c r="P23" s="11"/>
      <c r="Q23" s="12"/>
    </row>
    <row r="24" ht="16.5" spans="1:17">
      <c r="A24" s="5" t="s">
        <v>1862</v>
      </c>
      <c r="B24" s="5" t="s">
        <v>1863</v>
      </c>
      <c r="C24" s="6">
        <v>46010</v>
      </c>
      <c r="D24" s="7" t="e">
        <v>#N/A</v>
      </c>
      <c r="E24" s="7" t="e">
        <v>#N/A</v>
      </c>
      <c r="F24" s="7" t="e">
        <v>#N/A</v>
      </c>
      <c r="G24" s="7" t="s">
        <v>1173</v>
      </c>
      <c r="H24" s="7" t="s">
        <v>1705</v>
      </c>
      <c r="I24" s="8" t="e">
        <v>#N/A</v>
      </c>
      <c r="J24" s="6">
        <v>46055</v>
      </c>
      <c r="K24" s="6">
        <v>46041</v>
      </c>
      <c r="L24" s="9">
        <v>1.03333333333333</v>
      </c>
      <c r="M24" s="8"/>
      <c r="N24" s="8"/>
      <c r="O24" s="10"/>
      <c r="P24" s="11"/>
      <c r="Q24" s="12"/>
    </row>
    <row r="25" ht="16.5" spans="1:17">
      <c r="A25" s="5" t="s">
        <v>1319</v>
      </c>
      <c r="B25" s="5" t="s">
        <v>1320</v>
      </c>
      <c r="C25" s="6">
        <v>46022</v>
      </c>
      <c r="D25" s="7" t="s">
        <v>38</v>
      </c>
      <c r="E25" s="7" t="s">
        <v>220</v>
      </c>
      <c r="F25" s="7" t="s">
        <v>620</v>
      </c>
      <c r="G25" s="7" t="s">
        <v>1173</v>
      </c>
      <c r="H25" s="7" t="s">
        <v>1690</v>
      </c>
      <c r="I25" s="8" t="s">
        <v>1850</v>
      </c>
      <c r="J25" s="6">
        <v>46055</v>
      </c>
      <c r="K25" s="8">
        <v>0</v>
      </c>
      <c r="L25" s="9">
        <v>1.1</v>
      </c>
      <c r="M25" s="8"/>
      <c r="N25" s="8"/>
      <c r="O25" s="10"/>
      <c r="P25" s="11"/>
      <c r="Q25" s="12"/>
    </row>
    <row r="26" ht="16.5" spans="1:17">
      <c r="A26" s="5" t="s">
        <v>1303</v>
      </c>
      <c r="B26" s="5" t="s">
        <v>1304</v>
      </c>
      <c r="C26" s="6">
        <v>46022</v>
      </c>
      <c r="D26" s="7" t="s">
        <v>38</v>
      </c>
      <c r="E26" s="7" t="s">
        <v>144</v>
      </c>
      <c r="F26" s="7" t="s">
        <v>185</v>
      </c>
      <c r="G26" s="7" t="s">
        <v>1173</v>
      </c>
      <c r="H26" s="7" t="s">
        <v>1690</v>
      </c>
      <c r="I26" s="8" t="s">
        <v>1850</v>
      </c>
      <c r="J26" s="6">
        <v>46055</v>
      </c>
      <c r="K26" s="8">
        <v>0</v>
      </c>
      <c r="L26" s="9">
        <v>1.1</v>
      </c>
      <c r="M26" s="8"/>
      <c r="N26" s="8"/>
      <c r="O26" s="10"/>
      <c r="P26" s="11"/>
      <c r="Q26" s="12"/>
    </row>
    <row r="27" ht="16.5" spans="1:17">
      <c r="A27" s="5" t="s">
        <v>1289</v>
      </c>
      <c r="B27" s="5" t="s">
        <v>1290</v>
      </c>
      <c r="C27" s="6">
        <v>46022</v>
      </c>
      <c r="D27" s="7" t="s">
        <v>38</v>
      </c>
      <c r="E27" s="7" t="s">
        <v>220</v>
      </c>
      <c r="F27" s="7" t="s">
        <v>614</v>
      </c>
      <c r="G27" s="7" t="s">
        <v>1173</v>
      </c>
      <c r="H27" s="7" t="s">
        <v>1690</v>
      </c>
      <c r="I27" s="8" t="s">
        <v>1850</v>
      </c>
      <c r="J27" s="6">
        <v>46055</v>
      </c>
      <c r="K27" s="8">
        <v>0</v>
      </c>
      <c r="L27" s="9">
        <v>1.1</v>
      </c>
      <c r="M27" s="8"/>
      <c r="N27" s="8"/>
      <c r="O27" s="10"/>
      <c r="P27" s="11"/>
      <c r="Q27" s="12"/>
    </row>
    <row r="28" ht="16.5" spans="1:17">
      <c r="A28" s="5" t="s">
        <v>1281</v>
      </c>
      <c r="B28" s="5" t="s">
        <v>1282</v>
      </c>
      <c r="C28" s="6">
        <v>46022</v>
      </c>
      <c r="D28" s="7" t="s">
        <v>38</v>
      </c>
      <c r="E28" s="7" t="s">
        <v>148</v>
      </c>
      <c r="F28" s="7" t="s">
        <v>531</v>
      </c>
      <c r="G28" s="7" t="s">
        <v>1173</v>
      </c>
      <c r="H28" s="7" t="s">
        <v>1690</v>
      </c>
      <c r="I28" s="8" t="s">
        <v>1850</v>
      </c>
      <c r="J28" s="6">
        <v>46055</v>
      </c>
      <c r="K28" s="8">
        <v>0</v>
      </c>
      <c r="L28" s="9">
        <v>1.1</v>
      </c>
      <c r="M28" s="8"/>
      <c r="N28" s="8"/>
      <c r="O28" s="10"/>
      <c r="P28" s="11"/>
      <c r="Q28" s="12"/>
    </row>
    <row r="29" ht="16.5" spans="1:17">
      <c r="A29" s="5" t="s">
        <v>1245</v>
      </c>
      <c r="B29" s="5" t="s">
        <v>1246</v>
      </c>
      <c r="C29" s="6">
        <v>46022</v>
      </c>
      <c r="D29" s="7" t="s">
        <v>38</v>
      </c>
      <c r="E29" s="7" t="s">
        <v>75</v>
      </c>
      <c r="F29" s="7" t="s">
        <v>437</v>
      </c>
      <c r="G29" s="7" t="s">
        <v>1173</v>
      </c>
      <c r="H29" s="7" t="s">
        <v>1705</v>
      </c>
      <c r="I29" s="8" t="s">
        <v>1850</v>
      </c>
      <c r="J29" s="6">
        <v>46055</v>
      </c>
      <c r="K29" s="8">
        <v>0</v>
      </c>
      <c r="L29" s="9">
        <v>1.1</v>
      </c>
      <c r="M29" s="8"/>
      <c r="N29" s="8"/>
      <c r="O29" s="10"/>
      <c r="P29" s="11"/>
      <c r="Q29" s="12"/>
    </row>
    <row r="30" ht="16.5" spans="1:17">
      <c r="A30" s="5" t="s">
        <v>1229</v>
      </c>
      <c r="B30" s="5" t="s">
        <v>1230</v>
      </c>
      <c r="C30" s="6">
        <v>46022</v>
      </c>
      <c r="D30" s="7" t="s">
        <v>38</v>
      </c>
      <c r="E30" s="7" t="s">
        <v>70</v>
      </c>
      <c r="F30" s="7" t="s">
        <v>413</v>
      </c>
      <c r="G30" s="7" t="s">
        <v>1173</v>
      </c>
      <c r="H30" s="7" t="s">
        <v>1705</v>
      </c>
      <c r="I30" s="8" t="s">
        <v>1850</v>
      </c>
      <c r="J30" s="6">
        <v>46055</v>
      </c>
      <c r="K30" s="8">
        <v>0</v>
      </c>
      <c r="L30" s="9">
        <v>1.1</v>
      </c>
      <c r="M30" s="8"/>
      <c r="N30" s="8"/>
      <c r="O30" s="10"/>
      <c r="P30" s="11"/>
      <c r="Q30" s="12"/>
    </row>
    <row r="31" ht="16.5" spans="1:17">
      <c r="A31" s="5" t="s">
        <v>1209</v>
      </c>
      <c r="B31" s="5" t="s">
        <v>1210</v>
      </c>
      <c r="C31" s="6">
        <v>46022</v>
      </c>
      <c r="D31" s="7" t="s">
        <v>38</v>
      </c>
      <c r="E31" s="7" t="s">
        <v>63</v>
      </c>
      <c r="F31" s="7" t="s">
        <v>602</v>
      </c>
      <c r="G31" s="7" t="s">
        <v>1173</v>
      </c>
      <c r="H31" s="7" t="s">
        <v>1690</v>
      </c>
      <c r="I31" s="8" t="s">
        <v>1850</v>
      </c>
      <c r="J31" s="6">
        <v>46055</v>
      </c>
      <c r="K31" s="8">
        <v>0</v>
      </c>
      <c r="L31" s="9">
        <v>1.1</v>
      </c>
      <c r="M31" s="8"/>
      <c r="N31" s="8"/>
      <c r="O31" s="10"/>
      <c r="P31" s="11"/>
      <c r="Q31" s="12"/>
    </row>
    <row r="32" ht="16.5" spans="1:17">
      <c r="A32" s="5" t="s">
        <v>1207</v>
      </c>
      <c r="B32" s="5" t="s">
        <v>1208</v>
      </c>
      <c r="C32" s="6">
        <v>46022</v>
      </c>
      <c r="D32" s="7" t="s">
        <v>38</v>
      </c>
      <c r="E32" s="7" t="s">
        <v>63</v>
      </c>
      <c r="F32" s="7" t="s">
        <v>602</v>
      </c>
      <c r="G32" s="7" t="s">
        <v>1173</v>
      </c>
      <c r="H32" s="7" t="s">
        <v>1690</v>
      </c>
      <c r="I32" s="8" t="s">
        <v>1850</v>
      </c>
      <c r="J32" s="6">
        <v>46055</v>
      </c>
      <c r="K32" s="8">
        <v>0</v>
      </c>
      <c r="L32" s="9">
        <v>1.1</v>
      </c>
      <c r="M32" s="8"/>
      <c r="N32" s="8"/>
      <c r="O32" s="10"/>
      <c r="P32" s="11"/>
      <c r="Q32" s="12"/>
    </row>
    <row r="33" ht="16.5" spans="1:17">
      <c r="A33" s="5" t="s">
        <v>1193</v>
      </c>
      <c r="B33" s="5" t="s">
        <v>1194</v>
      </c>
      <c r="C33" s="6">
        <v>46022</v>
      </c>
      <c r="D33" s="7" t="s">
        <v>38</v>
      </c>
      <c r="E33" s="7" t="s">
        <v>63</v>
      </c>
      <c r="F33" s="7" t="s">
        <v>95</v>
      </c>
      <c r="G33" s="7" t="s">
        <v>1173</v>
      </c>
      <c r="H33" s="7" t="s">
        <v>1690</v>
      </c>
      <c r="I33" s="8" t="s">
        <v>1850</v>
      </c>
      <c r="J33" s="6">
        <v>46055</v>
      </c>
      <c r="K33" s="8">
        <v>0</v>
      </c>
      <c r="L33" s="9">
        <v>1.1</v>
      </c>
      <c r="M33" s="8"/>
      <c r="N33" s="8"/>
      <c r="O33" s="10"/>
      <c r="P33" s="11"/>
      <c r="Q33" s="12"/>
    </row>
    <row r="34" ht="16.5" spans="1:17">
      <c r="A34" s="5" t="s">
        <v>1249</v>
      </c>
      <c r="B34" s="5" t="s">
        <v>1250</v>
      </c>
      <c r="C34" s="6">
        <v>46020</v>
      </c>
      <c r="D34" s="7" t="s">
        <v>35</v>
      </c>
      <c r="E34" s="7" t="s">
        <v>125</v>
      </c>
      <c r="F34" s="7" t="s">
        <v>1584</v>
      </c>
      <c r="G34" s="7" t="s">
        <v>1173</v>
      </c>
      <c r="H34" s="7" t="s">
        <v>1690</v>
      </c>
      <c r="I34" s="8" t="s">
        <v>1850</v>
      </c>
      <c r="J34" s="6">
        <v>46055</v>
      </c>
      <c r="K34" s="8">
        <v>0</v>
      </c>
      <c r="L34" s="9">
        <v>1.16666666666667</v>
      </c>
      <c r="M34" s="8"/>
      <c r="N34" s="8"/>
      <c r="O34" s="10"/>
      <c r="P34" s="11"/>
      <c r="Q34" s="12"/>
    </row>
    <row r="35" ht="16.5" spans="1:17">
      <c r="A35" s="5" t="s">
        <v>1184</v>
      </c>
      <c r="B35" s="5" t="s">
        <v>1185</v>
      </c>
      <c r="C35" s="6">
        <v>46019</v>
      </c>
      <c r="D35" s="7" t="s">
        <v>38</v>
      </c>
      <c r="E35" s="7" t="s">
        <v>148</v>
      </c>
      <c r="F35" s="7" t="s">
        <v>371</v>
      </c>
      <c r="G35" s="7" t="s">
        <v>1173</v>
      </c>
      <c r="H35" s="7" t="s">
        <v>1705</v>
      </c>
      <c r="I35" s="8" t="s">
        <v>1850</v>
      </c>
      <c r="J35" s="6">
        <v>46055</v>
      </c>
      <c r="K35" s="8">
        <v>0</v>
      </c>
      <c r="L35" s="9">
        <v>1.2</v>
      </c>
      <c r="M35" s="8"/>
      <c r="N35" s="8"/>
      <c r="O35" s="10"/>
      <c r="P35" s="11"/>
      <c r="Q35" s="12"/>
    </row>
    <row r="36" ht="16.5" spans="1:17">
      <c r="A36" s="5" t="s">
        <v>1279</v>
      </c>
      <c r="B36" s="5" t="s">
        <v>1280</v>
      </c>
      <c r="C36" s="6">
        <v>46018</v>
      </c>
      <c r="D36" s="7" t="s">
        <v>38</v>
      </c>
      <c r="E36" s="7" t="s">
        <v>70</v>
      </c>
      <c r="F36" s="7" t="s">
        <v>368</v>
      </c>
      <c r="G36" s="7" t="s">
        <v>1173</v>
      </c>
      <c r="H36" s="7" t="s">
        <v>1690</v>
      </c>
      <c r="I36" s="8" t="s">
        <v>1850</v>
      </c>
      <c r="J36" s="6">
        <v>46055</v>
      </c>
      <c r="K36" s="8">
        <v>0</v>
      </c>
      <c r="L36" s="9">
        <v>1.23333333333333</v>
      </c>
      <c r="M36" s="8"/>
      <c r="N36" s="8"/>
      <c r="O36" s="10"/>
      <c r="P36" s="11"/>
      <c r="Q36" s="12"/>
    </row>
    <row r="37" ht="16.5" spans="1:17">
      <c r="A37" s="5" t="s">
        <v>1223</v>
      </c>
      <c r="B37" s="5" t="s">
        <v>1224</v>
      </c>
      <c r="C37" s="6">
        <v>46017</v>
      </c>
      <c r="D37" s="7" t="s">
        <v>32</v>
      </c>
      <c r="E37" s="7" t="s">
        <v>105</v>
      </c>
      <c r="F37" s="7" t="s">
        <v>165</v>
      </c>
      <c r="G37" s="7" t="s">
        <v>1173</v>
      </c>
      <c r="H37" s="7" t="s">
        <v>1690</v>
      </c>
      <c r="I37" s="8" t="s">
        <v>1850</v>
      </c>
      <c r="J37" s="6">
        <v>46055</v>
      </c>
      <c r="K37" s="8">
        <v>0</v>
      </c>
      <c r="L37" s="9">
        <v>1.26666666666667</v>
      </c>
      <c r="M37" s="8"/>
      <c r="N37" s="8"/>
      <c r="O37" s="10"/>
      <c r="P37" s="11"/>
      <c r="Q37" s="12"/>
    </row>
    <row r="38" ht="16.5" spans="1:17">
      <c r="A38" s="5" t="s">
        <v>1221</v>
      </c>
      <c r="B38" s="5" t="s">
        <v>1222</v>
      </c>
      <c r="C38" s="6">
        <v>46017</v>
      </c>
      <c r="D38" s="7" t="s">
        <v>38</v>
      </c>
      <c r="E38" s="7" t="s">
        <v>75</v>
      </c>
      <c r="F38" s="7" t="s">
        <v>400</v>
      </c>
      <c r="G38" s="7" t="s">
        <v>1173</v>
      </c>
      <c r="H38" s="7" t="s">
        <v>1690</v>
      </c>
      <c r="I38" s="8" t="s">
        <v>1850</v>
      </c>
      <c r="J38" s="6">
        <v>46055</v>
      </c>
      <c r="K38" s="8">
        <v>0</v>
      </c>
      <c r="L38" s="9">
        <v>1.26666666666667</v>
      </c>
      <c r="M38" s="8"/>
      <c r="N38" s="8"/>
      <c r="O38" s="10"/>
      <c r="P38" s="11"/>
      <c r="Q38" s="12"/>
    </row>
    <row r="39" ht="16.5" spans="1:17">
      <c r="A39" s="5" t="s">
        <v>1171</v>
      </c>
      <c r="B39" s="5" t="s">
        <v>1172</v>
      </c>
      <c r="C39" s="6">
        <v>46017</v>
      </c>
      <c r="D39" s="7" t="s">
        <v>38</v>
      </c>
      <c r="E39" s="7" t="s">
        <v>63</v>
      </c>
      <c r="F39" s="7" t="s">
        <v>95</v>
      </c>
      <c r="G39" s="7" t="s">
        <v>1173</v>
      </c>
      <c r="H39" s="7" t="s">
        <v>1690</v>
      </c>
      <c r="I39" s="8" t="s">
        <v>1850</v>
      </c>
      <c r="J39" s="6">
        <v>46055</v>
      </c>
      <c r="K39" s="8">
        <v>0</v>
      </c>
      <c r="L39" s="9">
        <v>1.26666666666667</v>
      </c>
      <c r="M39" s="8"/>
      <c r="N39" s="8"/>
      <c r="O39" s="10"/>
      <c r="P39" s="11"/>
      <c r="Q39" s="12"/>
    </row>
    <row r="40" ht="16.5" spans="1:17">
      <c r="A40" s="5" t="s">
        <v>1864</v>
      </c>
      <c r="B40" s="5" t="s">
        <v>1865</v>
      </c>
      <c r="C40" s="6">
        <v>45998</v>
      </c>
      <c r="D40" s="7" t="e">
        <v>#N/A</v>
      </c>
      <c r="E40" s="7" t="e">
        <v>#N/A</v>
      </c>
      <c r="F40" s="7" t="e">
        <v>#N/A</v>
      </c>
      <c r="G40" s="7" t="s">
        <v>1173</v>
      </c>
      <c r="H40" s="7" t="s">
        <v>1705</v>
      </c>
      <c r="I40" s="8" t="e">
        <v>#N/A</v>
      </c>
      <c r="J40" s="6">
        <v>46055</v>
      </c>
      <c r="K40" s="6">
        <v>46037</v>
      </c>
      <c r="L40" s="9">
        <v>1.3</v>
      </c>
      <c r="M40" s="8"/>
      <c r="N40" s="8"/>
      <c r="O40" s="10"/>
      <c r="P40" s="11"/>
      <c r="Q40" s="12"/>
    </row>
    <row r="41" ht="16.5" spans="1:17">
      <c r="A41" s="5" t="s">
        <v>1283</v>
      </c>
      <c r="B41" s="5" t="s">
        <v>1284</v>
      </c>
      <c r="C41" s="6">
        <v>46015</v>
      </c>
      <c r="D41" s="7" t="s">
        <v>38</v>
      </c>
      <c r="E41" s="7" t="s">
        <v>148</v>
      </c>
      <c r="F41" s="7" t="s">
        <v>531</v>
      </c>
      <c r="G41" s="7" t="s">
        <v>1173</v>
      </c>
      <c r="H41" s="7" t="s">
        <v>1690</v>
      </c>
      <c r="I41" s="8" t="s">
        <v>1850</v>
      </c>
      <c r="J41" s="6">
        <v>46055</v>
      </c>
      <c r="K41" s="8">
        <v>0</v>
      </c>
      <c r="L41" s="9">
        <v>1.33333333333333</v>
      </c>
      <c r="M41" s="8"/>
      <c r="N41" s="8"/>
      <c r="O41" s="10"/>
      <c r="P41" s="11"/>
      <c r="Q41" s="12"/>
    </row>
    <row r="42" ht="16.5" spans="1:17">
      <c r="A42" s="5" t="s">
        <v>1176</v>
      </c>
      <c r="B42" s="5" t="s">
        <v>1177</v>
      </c>
      <c r="C42" s="6">
        <v>46015</v>
      </c>
      <c r="D42" s="7" t="s">
        <v>32</v>
      </c>
      <c r="E42" s="7" t="s">
        <v>105</v>
      </c>
      <c r="F42" s="7" t="s">
        <v>556</v>
      </c>
      <c r="G42" s="7" t="s">
        <v>1173</v>
      </c>
      <c r="H42" s="7" t="s">
        <v>1705</v>
      </c>
      <c r="I42" s="8" t="s">
        <v>1850</v>
      </c>
      <c r="J42" s="6">
        <v>46055</v>
      </c>
      <c r="K42" s="8">
        <v>0</v>
      </c>
      <c r="L42" s="9">
        <v>1.33333333333333</v>
      </c>
      <c r="M42" s="8"/>
      <c r="N42" s="8"/>
      <c r="O42" s="10"/>
      <c r="P42" s="11"/>
      <c r="Q42" s="12"/>
    </row>
    <row r="43" ht="16.5" spans="1:17">
      <c r="A43" s="5" t="s">
        <v>1233</v>
      </c>
      <c r="B43" s="5" t="s">
        <v>1234</v>
      </c>
      <c r="C43" s="6">
        <v>46014</v>
      </c>
      <c r="D43" s="7" t="s">
        <v>32</v>
      </c>
      <c r="E43" s="7" t="s">
        <v>105</v>
      </c>
      <c r="F43" s="7" t="s">
        <v>487</v>
      </c>
      <c r="G43" s="7" t="s">
        <v>1173</v>
      </c>
      <c r="H43" s="7" t="s">
        <v>1690</v>
      </c>
      <c r="I43" s="8" t="s">
        <v>1850</v>
      </c>
      <c r="J43" s="6">
        <v>46055</v>
      </c>
      <c r="K43" s="8">
        <v>0</v>
      </c>
      <c r="L43" s="9">
        <v>1.36666666666667</v>
      </c>
      <c r="M43" s="8"/>
      <c r="N43" s="8"/>
      <c r="O43" s="10"/>
      <c r="P43" s="11"/>
      <c r="Q43" s="12"/>
    </row>
    <row r="44" ht="16.5" spans="1:17">
      <c r="A44" s="5" t="s">
        <v>1259</v>
      </c>
      <c r="B44" s="5" t="s">
        <v>1260</v>
      </c>
      <c r="C44" s="6">
        <v>46013</v>
      </c>
      <c r="D44" s="7" t="s">
        <v>32</v>
      </c>
      <c r="E44" s="7" t="s">
        <v>105</v>
      </c>
      <c r="F44" s="7" t="s">
        <v>192</v>
      </c>
      <c r="G44" s="7" t="s">
        <v>1173</v>
      </c>
      <c r="H44" s="7" t="s">
        <v>1690</v>
      </c>
      <c r="I44" s="8" t="s">
        <v>1850</v>
      </c>
      <c r="J44" s="6">
        <v>46055</v>
      </c>
      <c r="K44" s="8">
        <v>0</v>
      </c>
      <c r="L44" s="9">
        <v>1.4</v>
      </c>
      <c r="M44" s="8"/>
      <c r="N44" s="8"/>
      <c r="O44" s="10"/>
      <c r="P44" s="11"/>
      <c r="Q44" s="12"/>
    </row>
    <row r="45" ht="16.5" spans="1:17">
      <c r="A45" s="5" t="s">
        <v>1305</v>
      </c>
      <c r="B45" s="5" t="s">
        <v>1306</v>
      </c>
      <c r="C45" s="6">
        <v>46013</v>
      </c>
      <c r="D45" s="7" t="s">
        <v>38</v>
      </c>
      <c r="E45" s="7" t="s">
        <v>168</v>
      </c>
      <c r="F45" s="7" t="s">
        <v>322</v>
      </c>
      <c r="G45" s="7" t="s">
        <v>1173</v>
      </c>
      <c r="H45" s="7" t="s">
        <v>1705</v>
      </c>
      <c r="I45" s="8" t="s">
        <v>1850</v>
      </c>
      <c r="J45" s="6">
        <v>46055</v>
      </c>
      <c r="K45" s="8">
        <v>0</v>
      </c>
      <c r="L45" s="9">
        <v>1.4</v>
      </c>
      <c r="M45" s="8"/>
      <c r="N45" s="8"/>
      <c r="O45" s="10"/>
      <c r="P45" s="11"/>
      <c r="Q45" s="12"/>
    </row>
    <row r="46" ht="16.5" spans="1:17">
      <c r="A46" s="5" t="s">
        <v>1299</v>
      </c>
      <c r="B46" s="5" t="s">
        <v>1300</v>
      </c>
      <c r="C46" s="6">
        <v>46011</v>
      </c>
      <c r="D46" s="7" t="s">
        <v>35</v>
      </c>
      <c r="E46" s="7" t="s">
        <v>125</v>
      </c>
      <c r="F46" s="7" t="s">
        <v>605</v>
      </c>
      <c r="G46" s="7" t="s">
        <v>1173</v>
      </c>
      <c r="H46" s="7" t="s">
        <v>1690</v>
      </c>
      <c r="I46" s="8" t="s">
        <v>1850</v>
      </c>
      <c r="J46" s="6">
        <v>46055</v>
      </c>
      <c r="K46" s="8">
        <v>0</v>
      </c>
      <c r="L46" s="9">
        <v>1.46666666666667</v>
      </c>
      <c r="M46" s="8"/>
      <c r="N46" s="8"/>
      <c r="O46" s="10"/>
      <c r="P46" s="11"/>
      <c r="Q46" s="12"/>
    </row>
    <row r="47" ht="16.5" spans="1:17">
      <c r="A47" s="5" t="s">
        <v>1265</v>
      </c>
      <c r="B47" s="5" t="s">
        <v>1266</v>
      </c>
      <c r="C47" s="6">
        <v>46011</v>
      </c>
      <c r="D47" s="7" t="s">
        <v>31</v>
      </c>
      <c r="E47" s="7" t="s">
        <v>79</v>
      </c>
      <c r="F47" s="7" t="s">
        <v>189</v>
      </c>
      <c r="G47" s="7" t="s">
        <v>1173</v>
      </c>
      <c r="H47" s="7" t="s">
        <v>1690</v>
      </c>
      <c r="I47" s="8" t="s">
        <v>1850</v>
      </c>
      <c r="J47" s="6">
        <v>46055</v>
      </c>
      <c r="K47" s="8">
        <v>0</v>
      </c>
      <c r="L47" s="9">
        <v>1.46666666666667</v>
      </c>
      <c r="M47" s="8"/>
      <c r="N47" s="8"/>
      <c r="O47" s="10"/>
      <c r="P47" s="11"/>
      <c r="Q47" s="12"/>
    </row>
    <row r="48" ht="16.5" spans="1:17">
      <c r="A48" s="5" t="s">
        <v>1205</v>
      </c>
      <c r="B48" s="5" t="s">
        <v>1206</v>
      </c>
      <c r="C48" s="6">
        <v>46011</v>
      </c>
      <c r="D48" s="7" t="s">
        <v>29</v>
      </c>
      <c r="E48" s="7" t="s">
        <v>130</v>
      </c>
      <c r="F48" s="7" t="s">
        <v>469</v>
      </c>
      <c r="G48" s="7" t="s">
        <v>1173</v>
      </c>
      <c r="H48" s="7" t="s">
        <v>1690</v>
      </c>
      <c r="I48" s="8" t="s">
        <v>1850</v>
      </c>
      <c r="J48" s="6">
        <v>46055</v>
      </c>
      <c r="K48" s="8">
        <v>0</v>
      </c>
      <c r="L48" s="9">
        <v>1.46666666666667</v>
      </c>
      <c r="M48" s="8"/>
      <c r="N48" s="8"/>
      <c r="O48" s="10"/>
      <c r="P48" s="11"/>
      <c r="Q48" s="12"/>
    </row>
    <row r="49" ht="16.5" spans="1:17">
      <c r="A49" s="5" t="s">
        <v>1251</v>
      </c>
      <c r="B49" s="5" t="s">
        <v>1252</v>
      </c>
      <c r="C49" s="6">
        <v>46010</v>
      </c>
      <c r="D49" s="7" t="s">
        <v>29</v>
      </c>
      <c r="E49" s="7" t="s">
        <v>130</v>
      </c>
      <c r="F49" s="7" t="s">
        <v>380</v>
      </c>
      <c r="G49" s="7" t="s">
        <v>1173</v>
      </c>
      <c r="H49" s="7" t="s">
        <v>1705</v>
      </c>
      <c r="I49" s="8" t="s">
        <v>1850</v>
      </c>
      <c r="J49" s="6">
        <v>46055</v>
      </c>
      <c r="K49" s="8">
        <v>0</v>
      </c>
      <c r="L49" s="9">
        <v>1.5</v>
      </c>
      <c r="M49" s="8"/>
      <c r="N49" s="8"/>
      <c r="O49" s="10"/>
      <c r="P49" s="11"/>
      <c r="Q49" s="12"/>
    </row>
    <row r="50" ht="16.5" spans="1:17">
      <c r="A50" s="5" t="s">
        <v>1211</v>
      </c>
      <c r="B50" s="5" t="s">
        <v>1212</v>
      </c>
      <c r="C50" s="6">
        <v>46010</v>
      </c>
      <c r="D50" s="7" t="s">
        <v>38</v>
      </c>
      <c r="E50" s="7" t="s">
        <v>63</v>
      </c>
      <c r="F50" s="7" t="s">
        <v>602</v>
      </c>
      <c r="G50" s="7" t="s">
        <v>1173</v>
      </c>
      <c r="H50" s="7" t="s">
        <v>1705</v>
      </c>
      <c r="I50" s="8" t="s">
        <v>1850</v>
      </c>
      <c r="J50" s="6">
        <v>46055</v>
      </c>
      <c r="K50" s="8">
        <v>0</v>
      </c>
      <c r="L50" s="9">
        <v>1.5</v>
      </c>
      <c r="M50" s="8"/>
      <c r="N50" s="8"/>
      <c r="O50" s="10"/>
      <c r="P50" s="11"/>
      <c r="Q50" s="12"/>
    </row>
    <row r="51" ht="16.5" spans="1:17">
      <c r="A51" s="5" t="s">
        <v>1186</v>
      </c>
      <c r="B51" s="5" t="s">
        <v>1187</v>
      </c>
      <c r="C51" s="6">
        <v>46008</v>
      </c>
      <c r="D51" s="7" t="s">
        <v>38</v>
      </c>
      <c r="E51" s="7" t="s">
        <v>220</v>
      </c>
      <c r="F51" s="7" t="s">
        <v>540</v>
      </c>
      <c r="G51" s="7" t="s">
        <v>1173</v>
      </c>
      <c r="H51" s="7" t="s">
        <v>1690</v>
      </c>
      <c r="I51" s="8" t="s">
        <v>1850</v>
      </c>
      <c r="J51" s="6">
        <v>46055</v>
      </c>
      <c r="K51" s="8">
        <v>0</v>
      </c>
      <c r="L51" s="9">
        <v>1.56666666666667</v>
      </c>
      <c r="M51" s="8"/>
      <c r="N51" s="8"/>
      <c r="O51" s="10"/>
      <c r="P51" s="11"/>
      <c r="Q51" s="12"/>
    </row>
    <row r="52" ht="16.5" spans="1:17">
      <c r="A52" s="5" t="s">
        <v>1182</v>
      </c>
      <c r="B52" s="5" t="s">
        <v>1183</v>
      </c>
      <c r="C52" s="6">
        <v>46008</v>
      </c>
      <c r="D52" s="7" t="s">
        <v>38</v>
      </c>
      <c r="E52" s="7" t="s">
        <v>168</v>
      </c>
      <c r="F52" s="7" t="s">
        <v>205</v>
      </c>
      <c r="G52" s="7" t="s">
        <v>1173</v>
      </c>
      <c r="H52" s="7" t="s">
        <v>1690</v>
      </c>
      <c r="I52" s="8" t="s">
        <v>1850</v>
      </c>
      <c r="J52" s="6">
        <v>46055</v>
      </c>
      <c r="K52" s="8">
        <v>0</v>
      </c>
      <c r="L52" s="9">
        <v>1.56666666666667</v>
      </c>
      <c r="M52" s="8"/>
      <c r="N52" s="8"/>
      <c r="O52" s="10"/>
      <c r="P52" s="11"/>
      <c r="Q52" s="12"/>
    </row>
    <row r="53" ht="16.5" spans="1:17">
      <c r="A53" s="5" t="s">
        <v>1267</v>
      </c>
      <c r="B53" s="5" t="s">
        <v>1268</v>
      </c>
      <c r="C53" s="6">
        <v>46006</v>
      </c>
      <c r="D53" s="7" t="s">
        <v>37</v>
      </c>
      <c r="E53" s="7" t="s">
        <v>109</v>
      </c>
      <c r="F53" s="7" t="s">
        <v>108</v>
      </c>
      <c r="G53" s="7" t="s">
        <v>1173</v>
      </c>
      <c r="H53" s="7" t="s">
        <v>1705</v>
      </c>
      <c r="I53" s="8" t="s">
        <v>1850</v>
      </c>
      <c r="J53" s="6">
        <v>46055</v>
      </c>
      <c r="K53" s="8">
        <v>0</v>
      </c>
      <c r="L53" s="9">
        <v>1.63333333333333</v>
      </c>
      <c r="M53" s="8"/>
      <c r="N53" s="8"/>
      <c r="O53" s="10"/>
      <c r="P53" s="11"/>
      <c r="Q53" s="12"/>
    </row>
    <row r="54" ht="16.5" spans="1:17">
      <c r="A54" s="5" t="s">
        <v>1866</v>
      </c>
      <c r="B54" s="5" t="s">
        <v>1867</v>
      </c>
      <c r="C54" s="6">
        <v>46006</v>
      </c>
      <c r="D54" s="7" t="s">
        <v>38</v>
      </c>
      <c r="E54" s="7" t="s">
        <v>63</v>
      </c>
      <c r="F54" s="7" t="s">
        <v>294</v>
      </c>
      <c r="G54" s="7" t="s">
        <v>1173</v>
      </c>
      <c r="H54" s="7" t="s">
        <v>1705</v>
      </c>
      <c r="I54" s="8" t="s">
        <v>1850</v>
      </c>
      <c r="J54" s="6">
        <v>46055</v>
      </c>
      <c r="K54" s="8">
        <v>0</v>
      </c>
      <c r="L54" s="9">
        <v>1.63333333333333</v>
      </c>
      <c r="M54" s="8"/>
      <c r="N54" s="8"/>
      <c r="O54" s="10"/>
      <c r="P54" s="11"/>
      <c r="Q54" s="12"/>
    </row>
    <row r="55" ht="16.5" spans="1:17">
      <c r="A55" s="5" t="s">
        <v>1868</v>
      </c>
      <c r="B55" s="5" t="s">
        <v>1869</v>
      </c>
      <c r="C55" s="6">
        <v>46006</v>
      </c>
      <c r="D55" s="7" t="s">
        <v>38</v>
      </c>
      <c r="E55" s="7" t="s">
        <v>63</v>
      </c>
      <c r="F55" s="7" t="s">
        <v>481</v>
      </c>
      <c r="G55" s="7" t="s">
        <v>1173</v>
      </c>
      <c r="H55" s="7" t="s">
        <v>1690</v>
      </c>
      <c r="I55" s="8" t="s">
        <v>1850</v>
      </c>
      <c r="J55" s="6">
        <v>46055</v>
      </c>
      <c r="K55" s="8">
        <v>0</v>
      </c>
      <c r="L55" s="9">
        <v>1.63333333333333</v>
      </c>
      <c r="M55" s="8"/>
      <c r="N55" s="8"/>
      <c r="O55" s="10"/>
      <c r="P55" s="11"/>
      <c r="Q55" s="12"/>
    </row>
    <row r="56" ht="16.5" spans="1:17">
      <c r="A56" s="5" t="s">
        <v>1870</v>
      </c>
      <c r="B56" s="5" t="s">
        <v>1871</v>
      </c>
      <c r="C56" s="6">
        <v>46006</v>
      </c>
      <c r="D56" s="7" t="s">
        <v>38</v>
      </c>
      <c r="E56" s="7" t="s">
        <v>63</v>
      </c>
      <c r="F56" s="7" t="s">
        <v>481</v>
      </c>
      <c r="G56" s="7" t="s">
        <v>1173</v>
      </c>
      <c r="H56" s="7" t="s">
        <v>1705</v>
      </c>
      <c r="I56" s="8" t="s">
        <v>1850</v>
      </c>
      <c r="J56" s="6">
        <v>46055</v>
      </c>
      <c r="K56" s="8">
        <v>0</v>
      </c>
      <c r="L56" s="9">
        <v>1.63333333333333</v>
      </c>
      <c r="M56" s="8"/>
      <c r="N56" s="8"/>
      <c r="O56" s="10"/>
      <c r="P56" s="11"/>
      <c r="Q56" s="12"/>
    </row>
    <row r="57" ht="16.5" spans="1:17">
      <c r="A57" s="5" t="s">
        <v>1215</v>
      </c>
      <c r="B57" s="5" t="s">
        <v>1216</v>
      </c>
      <c r="C57" s="6">
        <v>46005</v>
      </c>
      <c r="D57" s="7" t="s">
        <v>38</v>
      </c>
      <c r="E57" s="7" t="s">
        <v>168</v>
      </c>
      <c r="F57" s="7" t="s">
        <v>167</v>
      </c>
      <c r="G57" s="7" t="s">
        <v>1173</v>
      </c>
      <c r="H57" s="7" t="s">
        <v>1690</v>
      </c>
      <c r="I57" s="8" t="s">
        <v>1850</v>
      </c>
      <c r="J57" s="6">
        <v>46055</v>
      </c>
      <c r="K57" s="8">
        <v>0</v>
      </c>
      <c r="L57" s="9">
        <v>1.66666666666667</v>
      </c>
      <c r="M57" s="8"/>
      <c r="N57" s="8"/>
      <c r="O57" s="10"/>
      <c r="P57" s="11"/>
      <c r="Q57" s="12"/>
    </row>
    <row r="58" ht="16.5" spans="1:17">
      <c r="A58" s="5" t="s">
        <v>1872</v>
      </c>
      <c r="B58" s="5" t="s">
        <v>1873</v>
      </c>
      <c r="C58" s="6">
        <v>46004</v>
      </c>
      <c r="D58" s="7" t="s">
        <v>29</v>
      </c>
      <c r="E58" s="7" t="s">
        <v>130</v>
      </c>
      <c r="F58" s="7" t="s">
        <v>469</v>
      </c>
      <c r="G58" s="7" t="s">
        <v>1173</v>
      </c>
      <c r="H58" s="7" t="s">
        <v>1705</v>
      </c>
      <c r="I58" s="8" t="s">
        <v>1850</v>
      </c>
      <c r="J58" s="6">
        <v>46055</v>
      </c>
      <c r="K58" s="8">
        <v>0</v>
      </c>
      <c r="L58" s="9">
        <v>1.7</v>
      </c>
      <c r="M58" s="8"/>
      <c r="N58" s="8"/>
      <c r="O58" s="10"/>
      <c r="P58" s="11"/>
      <c r="Q58" s="12"/>
    </row>
    <row r="59" ht="16.5" spans="1:17">
      <c r="A59" s="5" t="s">
        <v>1444</v>
      </c>
      <c r="B59" s="5" t="s">
        <v>1874</v>
      </c>
      <c r="C59" s="6">
        <v>46003</v>
      </c>
      <c r="D59" s="7" t="s">
        <v>26</v>
      </c>
      <c r="E59" s="7" t="s">
        <v>121</v>
      </c>
      <c r="F59" s="7" t="s">
        <v>385</v>
      </c>
      <c r="G59" s="7" t="s">
        <v>1173</v>
      </c>
      <c r="H59" s="7" t="s">
        <v>1705</v>
      </c>
      <c r="I59" s="8" t="s">
        <v>1850</v>
      </c>
      <c r="J59" s="6">
        <v>46055</v>
      </c>
      <c r="K59" s="8">
        <v>0</v>
      </c>
      <c r="L59" s="9">
        <v>1.73333333333333</v>
      </c>
      <c r="M59" s="6">
        <v>46055</v>
      </c>
      <c r="N59" s="8" t="s">
        <v>1875</v>
      </c>
      <c r="O59" s="10"/>
      <c r="P59" s="11"/>
      <c r="Q59" s="12"/>
    </row>
    <row r="60" ht="16.5" spans="1:17">
      <c r="A60" s="5" t="s">
        <v>1876</v>
      </c>
      <c r="B60" s="5" t="s">
        <v>1877</v>
      </c>
      <c r="C60" s="6">
        <v>46003</v>
      </c>
      <c r="D60" s="7" t="s">
        <v>38</v>
      </c>
      <c r="E60" s="7" t="s">
        <v>75</v>
      </c>
      <c r="F60" s="7" t="s">
        <v>437</v>
      </c>
      <c r="G60" s="7" t="s">
        <v>1173</v>
      </c>
      <c r="H60" s="7" t="s">
        <v>1690</v>
      </c>
      <c r="I60" s="8" t="s">
        <v>1850</v>
      </c>
      <c r="J60" s="6">
        <v>46055</v>
      </c>
      <c r="K60" s="8">
        <v>0</v>
      </c>
      <c r="L60" s="9">
        <v>1.73333333333333</v>
      </c>
      <c r="M60" s="6">
        <v>46063</v>
      </c>
      <c r="N60" s="8" t="s">
        <v>1875</v>
      </c>
      <c r="O60" s="10"/>
      <c r="P60" s="11"/>
      <c r="Q60" s="12"/>
    </row>
    <row r="61" ht="16.5" spans="1:17">
      <c r="A61" s="5" t="s">
        <v>1492</v>
      </c>
      <c r="B61" s="5" t="s">
        <v>1878</v>
      </c>
      <c r="C61" s="6">
        <v>46003</v>
      </c>
      <c r="D61" s="7" t="s">
        <v>35</v>
      </c>
      <c r="E61" s="7" t="s">
        <v>125</v>
      </c>
      <c r="F61" s="7" t="s">
        <v>417</v>
      </c>
      <c r="G61" s="7" t="s">
        <v>1173</v>
      </c>
      <c r="H61" s="7" t="s">
        <v>1690</v>
      </c>
      <c r="I61" s="8" t="s">
        <v>1850</v>
      </c>
      <c r="J61" s="6">
        <v>46055</v>
      </c>
      <c r="K61" s="8">
        <v>0</v>
      </c>
      <c r="L61" s="9">
        <v>1.73333333333333</v>
      </c>
      <c r="M61" s="6">
        <v>46079</v>
      </c>
      <c r="N61" s="8" t="s">
        <v>1875</v>
      </c>
      <c r="O61" s="10"/>
      <c r="P61" s="11"/>
      <c r="Q61" s="12"/>
    </row>
    <row r="62" ht="16.5" spans="1:17">
      <c r="A62" s="5" t="s">
        <v>1879</v>
      </c>
      <c r="B62" s="5" t="s">
        <v>1880</v>
      </c>
      <c r="C62" s="6">
        <v>46002</v>
      </c>
      <c r="D62" s="7" t="s">
        <v>31</v>
      </c>
      <c r="E62" s="7" t="s">
        <v>90</v>
      </c>
      <c r="F62" s="7" t="s">
        <v>285</v>
      </c>
      <c r="G62" s="7" t="s">
        <v>1173</v>
      </c>
      <c r="H62" s="7" t="s">
        <v>1705</v>
      </c>
      <c r="I62" s="8" t="s">
        <v>1850</v>
      </c>
      <c r="J62" s="6">
        <v>46055</v>
      </c>
      <c r="K62" s="8">
        <v>0</v>
      </c>
      <c r="L62" s="9">
        <v>1.76666666666667</v>
      </c>
      <c r="M62" s="8"/>
      <c r="N62" s="8"/>
      <c r="O62" s="10"/>
      <c r="P62" s="11"/>
      <c r="Q62" s="12"/>
    </row>
    <row r="63" ht="16.5" spans="1:17">
      <c r="A63" s="5" t="s">
        <v>1881</v>
      </c>
      <c r="B63" s="5" t="s">
        <v>1882</v>
      </c>
      <c r="C63" s="6">
        <v>46002</v>
      </c>
      <c r="D63" s="7" t="s">
        <v>37</v>
      </c>
      <c r="E63" s="7" t="s">
        <v>152</v>
      </c>
      <c r="F63" s="7" t="s">
        <v>507</v>
      </c>
      <c r="G63" s="7" t="s">
        <v>1173</v>
      </c>
      <c r="H63" s="7" t="s">
        <v>1705</v>
      </c>
      <c r="I63" s="8" t="s">
        <v>1850</v>
      </c>
      <c r="J63" s="6">
        <v>46055</v>
      </c>
      <c r="K63" s="8">
        <v>0</v>
      </c>
      <c r="L63" s="9">
        <v>1.76666666666667</v>
      </c>
      <c r="M63" s="8"/>
      <c r="N63" s="8"/>
      <c r="O63" s="10"/>
      <c r="P63" s="11"/>
      <c r="Q63" s="12"/>
    </row>
    <row r="64" ht="16.5" spans="1:17">
      <c r="A64" s="5" t="s">
        <v>677</v>
      </c>
      <c r="B64" s="5" t="s">
        <v>1188</v>
      </c>
      <c r="C64" s="6">
        <v>46002</v>
      </c>
      <c r="D64" s="7" t="s">
        <v>29</v>
      </c>
      <c r="E64" s="7" t="s">
        <v>130</v>
      </c>
      <c r="F64" s="7" t="s">
        <v>1592</v>
      </c>
      <c r="G64" s="7" t="s">
        <v>1173</v>
      </c>
      <c r="H64" s="7" t="s">
        <v>1705</v>
      </c>
      <c r="I64" s="8" t="s">
        <v>1850</v>
      </c>
      <c r="J64" s="6">
        <v>46055</v>
      </c>
      <c r="K64" s="8">
        <v>0</v>
      </c>
      <c r="L64" s="9">
        <v>1.76666666666667</v>
      </c>
      <c r="M64" s="8"/>
      <c r="N64" s="8"/>
      <c r="O64" s="10"/>
      <c r="P64" s="11"/>
      <c r="Q64" s="12"/>
    </row>
    <row r="65" ht="16.5" spans="1:17">
      <c r="A65" s="5" t="s">
        <v>1883</v>
      </c>
      <c r="B65" s="5" t="s">
        <v>1884</v>
      </c>
      <c r="C65" s="6">
        <v>46001</v>
      </c>
      <c r="D65" s="7" t="s">
        <v>38</v>
      </c>
      <c r="E65" s="7" t="s">
        <v>70</v>
      </c>
      <c r="F65" s="7" t="s">
        <v>242</v>
      </c>
      <c r="G65" s="7" t="s">
        <v>1173</v>
      </c>
      <c r="H65" s="7" t="s">
        <v>1690</v>
      </c>
      <c r="I65" s="8" t="s">
        <v>1850</v>
      </c>
      <c r="J65" s="6">
        <v>46055</v>
      </c>
      <c r="K65" s="8">
        <v>0</v>
      </c>
      <c r="L65" s="9">
        <v>1.8</v>
      </c>
      <c r="M65" s="8"/>
      <c r="N65" s="8"/>
      <c r="O65" s="10"/>
      <c r="P65" s="11"/>
      <c r="Q65" s="12"/>
    </row>
    <row r="66" ht="16.5" spans="1:17">
      <c r="A66" s="5" t="s">
        <v>1217</v>
      </c>
      <c r="B66" s="5" t="s">
        <v>1218</v>
      </c>
      <c r="C66" s="6">
        <v>45999</v>
      </c>
      <c r="D66" s="7" t="s">
        <v>38</v>
      </c>
      <c r="E66" s="7" t="s">
        <v>168</v>
      </c>
      <c r="F66" s="7" t="s">
        <v>167</v>
      </c>
      <c r="G66" s="7" t="s">
        <v>1173</v>
      </c>
      <c r="H66" s="7" t="s">
        <v>1690</v>
      </c>
      <c r="I66" s="8" t="s">
        <v>1850</v>
      </c>
      <c r="J66" s="6">
        <v>46055</v>
      </c>
      <c r="K66" s="8">
        <v>0</v>
      </c>
      <c r="L66" s="9">
        <v>1.86666666666667</v>
      </c>
      <c r="M66" s="8"/>
      <c r="N66" s="8"/>
      <c r="O66" s="10"/>
      <c r="P66" s="11"/>
      <c r="Q66" s="12"/>
    </row>
    <row r="67" ht="16.5" spans="1:17">
      <c r="A67" s="5" t="s">
        <v>1885</v>
      </c>
      <c r="B67" s="5" t="s">
        <v>1886</v>
      </c>
      <c r="C67" s="6">
        <v>45999</v>
      </c>
      <c r="D67" s="7" t="s">
        <v>37</v>
      </c>
      <c r="E67" s="7" t="s">
        <v>152</v>
      </c>
      <c r="F67" s="7" t="s">
        <v>151</v>
      </c>
      <c r="G67" s="7" t="s">
        <v>1173</v>
      </c>
      <c r="H67" s="7" t="s">
        <v>1705</v>
      </c>
      <c r="I67" s="8" t="s">
        <v>1850</v>
      </c>
      <c r="J67" s="6">
        <v>46055</v>
      </c>
      <c r="K67" s="8">
        <v>0</v>
      </c>
      <c r="L67" s="9">
        <v>1.86666666666667</v>
      </c>
      <c r="M67" s="8"/>
      <c r="N67" s="8"/>
      <c r="O67" s="10"/>
      <c r="P67" s="11"/>
      <c r="Q67" s="12"/>
    </row>
    <row r="68" ht="16.5" spans="1:17">
      <c r="A68" s="5" t="s">
        <v>1315</v>
      </c>
      <c r="B68" s="5" t="s">
        <v>1316</v>
      </c>
      <c r="C68" s="6">
        <v>45998</v>
      </c>
      <c r="D68" s="7" t="s">
        <v>38</v>
      </c>
      <c r="E68" s="7" t="s">
        <v>75</v>
      </c>
      <c r="F68" s="7" t="s">
        <v>176</v>
      </c>
      <c r="G68" s="7" t="s">
        <v>1173</v>
      </c>
      <c r="H68" s="7" t="s">
        <v>1705</v>
      </c>
      <c r="I68" s="8" t="s">
        <v>1850</v>
      </c>
      <c r="J68" s="6">
        <v>46055</v>
      </c>
      <c r="K68" s="8">
        <v>0</v>
      </c>
      <c r="L68" s="9">
        <v>1.9</v>
      </c>
      <c r="M68" s="8"/>
      <c r="N68" s="8"/>
      <c r="O68" s="10"/>
      <c r="P68" s="11"/>
      <c r="Q68" s="12"/>
    </row>
    <row r="69" ht="16.5" spans="1:17">
      <c r="A69" s="5" t="s">
        <v>1277</v>
      </c>
      <c r="B69" s="5" t="s">
        <v>1278</v>
      </c>
      <c r="C69" s="6">
        <v>45998</v>
      </c>
      <c r="D69" s="7" t="s">
        <v>38</v>
      </c>
      <c r="E69" s="7" t="s">
        <v>220</v>
      </c>
      <c r="F69" s="7" t="s">
        <v>427</v>
      </c>
      <c r="G69" s="7" t="s">
        <v>1173</v>
      </c>
      <c r="H69" s="7" t="s">
        <v>1705</v>
      </c>
      <c r="I69" s="8" t="s">
        <v>1850</v>
      </c>
      <c r="J69" s="6">
        <v>46055</v>
      </c>
      <c r="K69" s="8">
        <v>0</v>
      </c>
      <c r="L69" s="9">
        <v>1.9</v>
      </c>
      <c r="M69" s="8"/>
      <c r="N69" s="8"/>
      <c r="O69" s="10"/>
      <c r="P69" s="11"/>
      <c r="Q69" s="12"/>
    </row>
    <row r="70" ht="16.5" spans="1:17">
      <c r="A70" s="5" t="s">
        <v>1317</v>
      </c>
      <c r="B70" s="5" t="s">
        <v>1318</v>
      </c>
      <c r="C70" s="6">
        <v>45998</v>
      </c>
      <c r="D70" s="7" t="s">
        <v>38</v>
      </c>
      <c r="E70" s="7" t="s">
        <v>148</v>
      </c>
      <c r="F70" s="7" t="s">
        <v>227</v>
      </c>
      <c r="G70" s="7" t="s">
        <v>1173</v>
      </c>
      <c r="H70" s="7" t="s">
        <v>1705</v>
      </c>
      <c r="I70" s="8" t="s">
        <v>1850</v>
      </c>
      <c r="J70" s="6">
        <v>46055</v>
      </c>
      <c r="K70" s="8">
        <v>0</v>
      </c>
      <c r="L70" s="9">
        <v>1.9</v>
      </c>
      <c r="M70" s="8"/>
      <c r="N70" s="8"/>
      <c r="O70" s="10"/>
      <c r="P70" s="11"/>
      <c r="Q70" s="12"/>
    </row>
    <row r="71" ht="16.5" spans="1:17">
      <c r="A71" s="5" t="s">
        <v>1887</v>
      </c>
      <c r="B71" s="5" t="s">
        <v>1888</v>
      </c>
      <c r="C71" s="6">
        <v>45998</v>
      </c>
      <c r="D71" s="7" t="s">
        <v>37</v>
      </c>
      <c r="E71" s="7" t="s">
        <v>152</v>
      </c>
      <c r="F71" s="7" t="s">
        <v>237</v>
      </c>
      <c r="G71" s="7" t="s">
        <v>1173</v>
      </c>
      <c r="H71" s="7" t="s">
        <v>1690</v>
      </c>
      <c r="I71" s="8" t="s">
        <v>1850</v>
      </c>
      <c r="J71" s="6">
        <v>46055</v>
      </c>
      <c r="K71" s="8">
        <v>0</v>
      </c>
      <c r="L71" s="9">
        <v>1.9</v>
      </c>
      <c r="M71" s="8"/>
      <c r="N71" s="8"/>
      <c r="O71" s="10"/>
      <c r="P71" s="11"/>
      <c r="Q71" s="12"/>
    </row>
    <row r="72" ht="16.5" spans="1:17">
      <c r="A72" s="5" t="s">
        <v>1889</v>
      </c>
      <c r="B72" s="5" t="s">
        <v>1890</v>
      </c>
      <c r="C72" s="6">
        <v>45998</v>
      </c>
      <c r="D72" s="7" t="s">
        <v>38</v>
      </c>
      <c r="E72" s="7" t="s">
        <v>168</v>
      </c>
      <c r="F72" s="7" t="s">
        <v>298</v>
      </c>
      <c r="G72" s="7" t="s">
        <v>1173</v>
      </c>
      <c r="H72" s="7" t="s">
        <v>1705</v>
      </c>
      <c r="I72" s="8" t="s">
        <v>1850</v>
      </c>
      <c r="J72" s="6">
        <v>46055</v>
      </c>
      <c r="K72" s="8">
        <v>0</v>
      </c>
      <c r="L72" s="9">
        <v>1.9</v>
      </c>
      <c r="M72" s="8"/>
      <c r="N72" s="8"/>
      <c r="O72" s="10"/>
      <c r="P72" s="11"/>
      <c r="Q72" s="12"/>
    </row>
    <row r="73" ht="16.5" spans="1:17">
      <c r="A73" s="5" t="s">
        <v>1239</v>
      </c>
      <c r="B73" s="5" t="s">
        <v>1240</v>
      </c>
      <c r="C73" s="6">
        <v>45998</v>
      </c>
      <c r="D73" s="7" t="s">
        <v>38</v>
      </c>
      <c r="E73" s="7" t="s">
        <v>148</v>
      </c>
      <c r="F73" s="7" t="s">
        <v>147</v>
      </c>
      <c r="G73" s="7" t="s">
        <v>1173</v>
      </c>
      <c r="H73" s="7" t="s">
        <v>1690</v>
      </c>
      <c r="I73" s="8" t="s">
        <v>1850</v>
      </c>
      <c r="J73" s="6">
        <v>46055</v>
      </c>
      <c r="K73" s="8">
        <v>0</v>
      </c>
      <c r="L73" s="9">
        <v>1.9</v>
      </c>
      <c r="M73" s="8"/>
      <c r="N73" s="8"/>
      <c r="O73" s="10"/>
      <c r="P73" s="11"/>
      <c r="Q73" s="12"/>
    </row>
    <row r="74" ht="16.5" spans="1:17">
      <c r="A74" s="5" t="s">
        <v>1237</v>
      </c>
      <c r="B74" s="5" t="s">
        <v>1238</v>
      </c>
      <c r="C74" s="6">
        <v>45998</v>
      </c>
      <c r="D74" s="7" t="s">
        <v>38</v>
      </c>
      <c r="E74" s="7" t="s">
        <v>70</v>
      </c>
      <c r="F74" s="7" t="s">
        <v>576</v>
      </c>
      <c r="G74" s="7" t="s">
        <v>1173</v>
      </c>
      <c r="H74" s="7" t="s">
        <v>1705</v>
      </c>
      <c r="I74" s="8" t="s">
        <v>1850</v>
      </c>
      <c r="J74" s="6">
        <v>46055</v>
      </c>
      <c r="K74" s="8">
        <v>0</v>
      </c>
      <c r="L74" s="9">
        <v>1.9</v>
      </c>
      <c r="M74" s="8"/>
      <c r="N74" s="8"/>
      <c r="O74" s="10"/>
      <c r="P74" s="11"/>
      <c r="Q74" s="12"/>
    </row>
    <row r="75" ht="16.5" spans="1:17">
      <c r="A75" s="5" t="s">
        <v>1891</v>
      </c>
      <c r="B75" s="5" t="s">
        <v>1892</v>
      </c>
      <c r="C75" s="6">
        <v>45998</v>
      </c>
      <c r="D75" s="7" t="s">
        <v>38</v>
      </c>
      <c r="E75" s="7" t="s">
        <v>148</v>
      </c>
      <c r="F75" s="7" t="s">
        <v>340</v>
      </c>
      <c r="G75" s="7" t="s">
        <v>1173</v>
      </c>
      <c r="H75" s="7" t="s">
        <v>1705</v>
      </c>
      <c r="I75" s="8" t="s">
        <v>1850</v>
      </c>
      <c r="J75" s="6">
        <v>46055</v>
      </c>
      <c r="K75" s="8">
        <v>0</v>
      </c>
      <c r="L75" s="9">
        <v>1.9</v>
      </c>
      <c r="M75" s="8"/>
      <c r="N75" s="8"/>
      <c r="O75" s="10"/>
      <c r="P75" s="11"/>
      <c r="Q75" s="12"/>
    </row>
    <row r="76" ht="16.5" spans="1:17">
      <c r="A76" s="5" t="s">
        <v>1893</v>
      </c>
      <c r="B76" s="5" t="s">
        <v>1894</v>
      </c>
      <c r="C76" s="6">
        <v>45998</v>
      </c>
      <c r="D76" s="7" t="s">
        <v>38</v>
      </c>
      <c r="E76" s="7" t="s">
        <v>70</v>
      </c>
      <c r="F76" s="7" t="s">
        <v>564</v>
      </c>
      <c r="G76" s="7" t="s">
        <v>1173</v>
      </c>
      <c r="H76" s="7" t="s">
        <v>1690</v>
      </c>
      <c r="I76" s="8" t="s">
        <v>1850</v>
      </c>
      <c r="J76" s="6">
        <v>46055</v>
      </c>
      <c r="K76" s="8">
        <v>0</v>
      </c>
      <c r="L76" s="9">
        <v>1.9</v>
      </c>
      <c r="M76" s="8"/>
      <c r="N76" s="8"/>
      <c r="O76" s="10"/>
      <c r="P76" s="11"/>
      <c r="Q76" s="12"/>
    </row>
    <row r="77" ht="16.5" spans="1:17">
      <c r="A77" s="5" t="s">
        <v>1189</v>
      </c>
      <c r="B77" s="5" t="s">
        <v>1190</v>
      </c>
      <c r="C77" s="6">
        <v>45998</v>
      </c>
      <c r="D77" s="7" t="s">
        <v>29</v>
      </c>
      <c r="E77" s="7" t="s">
        <v>130</v>
      </c>
      <c r="F77" s="7" t="s">
        <v>1592</v>
      </c>
      <c r="G77" s="7" t="s">
        <v>1173</v>
      </c>
      <c r="H77" s="7" t="s">
        <v>1690</v>
      </c>
      <c r="I77" s="8" t="s">
        <v>1850</v>
      </c>
      <c r="J77" s="6">
        <v>46055</v>
      </c>
      <c r="K77" s="8">
        <v>0</v>
      </c>
      <c r="L77" s="9">
        <v>1.9</v>
      </c>
      <c r="M77" s="8"/>
      <c r="N77" s="8"/>
      <c r="O77" s="10"/>
      <c r="P77" s="11"/>
      <c r="Q77" s="12"/>
    </row>
    <row r="78" ht="16.5" spans="1:17">
      <c r="A78" s="5" t="s">
        <v>1178</v>
      </c>
      <c r="B78" s="5" t="s">
        <v>1179</v>
      </c>
      <c r="C78" s="6">
        <v>45998</v>
      </c>
      <c r="D78" s="7" t="s">
        <v>37</v>
      </c>
      <c r="E78" s="7" t="s">
        <v>109</v>
      </c>
      <c r="F78" s="7" t="s">
        <v>203</v>
      </c>
      <c r="G78" s="7" t="s">
        <v>1173</v>
      </c>
      <c r="H78" s="7" t="s">
        <v>1690</v>
      </c>
      <c r="I78" s="8" t="s">
        <v>1850</v>
      </c>
      <c r="J78" s="6">
        <v>46055</v>
      </c>
      <c r="K78" s="8">
        <v>0</v>
      </c>
      <c r="L78" s="9">
        <v>1.9</v>
      </c>
      <c r="M78" s="8"/>
      <c r="N78" s="8"/>
      <c r="O78" s="10"/>
      <c r="P78" s="11"/>
      <c r="Q78" s="12"/>
    </row>
    <row r="79" ht="16.5" spans="1:17">
      <c r="A79" s="5" t="s">
        <v>1895</v>
      </c>
      <c r="B79" s="5" t="s">
        <v>1896</v>
      </c>
      <c r="C79" s="6">
        <v>45972</v>
      </c>
      <c r="D79" s="7" t="e">
        <v>#N/A</v>
      </c>
      <c r="E79" s="7" t="e">
        <v>#N/A</v>
      </c>
      <c r="F79" s="7" t="e">
        <v>#N/A</v>
      </c>
      <c r="G79" s="7" t="s">
        <v>1173</v>
      </c>
      <c r="H79" s="7" t="s">
        <v>1690</v>
      </c>
      <c r="I79" s="8" t="e">
        <v>#N/A</v>
      </c>
      <c r="J79" s="6">
        <v>46055</v>
      </c>
      <c r="K79" s="6">
        <v>46029</v>
      </c>
      <c r="L79" s="9">
        <v>1.9</v>
      </c>
      <c r="M79" s="8"/>
      <c r="N79" s="8"/>
      <c r="O79" s="10"/>
      <c r="P79" s="11"/>
      <c r="Q79" s="12"/>
    </row>
    <row r="80" ht="16.5" spans="1:17">
      <c r="A80" s="5" t="s">
        <v>1897</v>
      </c>
      <c r="B80" s="5" t="s">
        <v>1898</v>
      </c>
      <c r="C80" s="6">
        <v>45995</v>
      </c>
      <c r="D80" s="7" t="s">
        <v>36</v>
      </c>
      <c r="E80" s="7" t="s">
        <v>173</v>
      </c>
      <c r="F80" s="7" t="s">
        <v>354</v>
      </c>
      <c r="G80" s="7" t="s">
        <v>1173</v>
      </c>
      <c r="H80" s="7" t="s">
        <v>1705</v>
      </c>
      <c r="I80" s="8" t="s">
        <v>1850</v>
      </c>
      <c r="J80" s="6">
        <v>46055</v>
      </c>
      <c r="K80" s="8">
        <v>0</v>
      </c>
      <c r="L80" s="9">
        <v>2</v>
      </c>
      <c r="M80" s="8"/>
      <c r="N80" s="8"/>
      <c r="O80" s="10"/>
      <c r="P80" s="11"/>
      <c r="Q80" s="12"/>
    </row>
    <row r="81" ht="16.5" spans="1:17">
      <c r="A81" s="5" t="s">
        <v>1899</v>
      </c>
      <c r="B81" s="5" t="s">
        <v>1900</v>
      </c>
      <c r="C81" s="6">
        <v>45994</v>
      </c>
      <c r="D81" s="7" t="s">
        <v>31</v>
      </c>
      <c r="E81" s="7" t="s">
        <v>90</v>
      </c>
      <c r="F81" s="7" t="s">
        <v>285</v>
      </c>
      <c r="G81" s="7" t="s">
        <v>1173</v>
      </c>
      <c r="H81" s="7" t="s">
        <v>1690</v>
      </c>
      <c r="I81" s="8" t="s">
        <v>1850</v>
      </c>
      <c r="J81" s="6">
        <v>46055</v>
      </c>
      <c r="K81" s="8">
        <v>0</v>
      </c>
      <c r="L81" s="9">
        <v>2.03333333333333</v>
      </c>
      <c r="M81" s="8"/>
      <c r="N81" s="8"/>
      <c r="O81" s="10"/>
      <c r="P81" s="11"/>
      <c r="Q81" s="12"/>
    </row>
    <row r="82" ht="16.5" spans="1:17">
      <c r="A82" s="5" t="s">
        <v>1203</v>
      </c>
      <c r="B82" s="5" t="s">
        <v>1204</v>
      </c>
      <c r="C82" s="6">
        <v>45994</v>
      </c>
      <c r="D82" s="7" t="s">
        <v>38</v>
      </c>
      <c r="E82" s="7" t="s">
        <v>168</v>
      </c>
      <c r="F82" s="7" t="s">
        <v>500</v>
      </c>
      <c r="G82" s="7" t="s">
        <v>1173</v>
      </c>
      <c r="H82" s="7" t="s">
        <v>1690</v>
      </c>
      <c r="I82" s="8" t="s">
        <v>1850</v>
      </c>
      <c r="J82" s="6">
        <v>46055</v>
      </c>
      <c r="K82" s="8">
        <v>0</v>
      </c>
      <c r="L82" s="9">
        <v>2.03333333333333</v>
      </c>
      <c r="M82" s="8"/>
      <c r="N82" s="8"/>
      <c r="O82" s="10"/>
      <c r="P82" s="11"/>
      <c r="Q82" s="12"/>
    </row>
    <row r="83" ht="16.5" spans="1:17">
      <c r="A83" s="5" t="s">
        <v>1901</v>
      </c>
      <c r="B83" s="5" t="s">
        <v>1902</v>
      </c>
      <c r="C83" s="6">
        <v>45993</v>
      </c>
      <c r="D83" s="7" t="s">
        <v>32</v>
      </c>
      <c r="E83" s="7" t="s">
        <v>105</v>
      </c>
      <c r="F83" s="7" t="s">
        <v>115</v>
      </c>
      <c r="G83" s="7" t="s">
        <v>1173</v>
      </c>
      <c r="H83" s="7" t="s">
        <v>1690</v>
      </c>
      <c r="I83" s="8" t="s">
        <v>1850</v>
      </c>
      <c r="J83" s="6">
        <v>46055</v>
      </c>
      <c r="K83" s="8">
        <v>0</v>
      </c>
      <c r="L83" s="9">
        <v>2.06666666666667</v>
      </c>
      <c r="M83" s="8"/>
      <c r="N83" s="8"/>
      <c r="O83" s="10"/>
      <c r="P83" s="11"/>
      <c r="Q83" s="12"/>
    </row>
    <row r="84" ht="16.5" spans="1:17">
      <c r="A84" s="5" t="s">
        <v>1321</v>
      </c>
      <c r="B84" s="5" t="s">
        <v>1322</v>
      </c>
      <c r="C84" s="6">
        <v>45992</v>
      </c>
      <c r="D84" s="7" t="s">
        <v>38</v>
      </c>
      <c r="E84" s="7" t="s">
        <v>220</v>
      </c>
      <c r="F84" s="7" t="s">
        <v>620</v>
      </c>
      <c r="G84" s="7" t="s">
        <v>1173</v>
      </c>
      <c r="H84" s="7" t="s">
        <v>1690</v>
      </c>
      <c r="I84" s="8" t="s">
        <v>1850</v>
      </c>
      <c r="J84" s="6">
        <v>46055</v>
      </c>
      <c r="K84" s="8">
        <v>0</v>
      </c>
      <c r="L84" s="9">
        <v>2.1</v>
      </c>
      <c r="M84" s="6">
        <v>46078</v>
      </c>
      <c r="N84" s="8" t="s">
        <v>1875</v>
      </c>
      <c r="O84" s="10"/>
      <c r="P84" s="11"/>
      <c r="Q84" s="12"/>
    </row>
    <row r="85" ht="16.5" spans="1:17">
      <c r="A85" s="5" t="s">
        <v>1440</v>
      </c>
      <c r="B85" s="5" t="s">
        <v>1903</v>
      </c>
      <c r="C85" s="6">
        <v>45992</v>
      </c>
      <c r="D85" s="7" t="s">
        <v>36</v>
      </c>
      <c r="E85" s="7" t="s">
        <v>173</v>
      </c>
      <c r="F85" s="7" t="s">
        <v>172</v>
      </c>
      <c r="G85" s="7" t="s">
        <v>1173</v>
      </c>
      <c r="H85" s="7" t="s">
        <v>1690</v>
      </c>
      <c r="I85" s="8" t="s">
        <v>1850</v>
      </c>
      <c r="J85" s="6">
        <v>46055</v>
      </c>
      <c r="K85" s="8">
        <v>0</v>
      </c>
      <c r="L85" s="9">
        <v>2.1</v>
      </c>
      <c r="M85" s="6">
        <v>46079</v>
      </c>
      <c r="N85" s="8" t="s">
        <v>1875</v>
      </c>
      <c r="O85" s="10"/>
      <c r="P85" s="11"/>
      <c r="Q85" s="12"/>
    </row>
    <row r="86" ht="16.5" spans="1:17">
      <c r="A86" s="5" t="s">
        <v>1904</v>
      </c>
      <c r="B86" s="5" t="s">
        <v>1905</v>
      </c>
      <c r="C86" s="6">
        <v>45992</v>
      </c>
      <c r="D86" s="7" t="s">
        <v>32</v>
      </c>
      <c r="E86" s="7" t="s">
        <v>105</v>
      </c>
      <c r="F86" s="7" t="s">
        <v>179</v>
      </c>
      <c r="G86" s="7" t="s">
        <v>1173</v>
      </c>
      <c r="H86" s="7" t="s">
        <v>1705</v>
      </c>
      <c r="I86" s="8" t="s">
        <v>1850</v>
      </c>
      <c r="J86" s="6">
        <v>46055</v>
      </c>
      <c r="K86" s="8">
        <v>0</v>
      </c>
      <c r="L86" s="9">
        <v>2.1</v>
      </c>
      <c r="M86" s="8"/>
      <c r="N86" s="8"/>
      <c r="O86" s="10"/>
      <c r="P86" s="11"/>
      <c r="Q86" s="12"/>
    </row>
    <row r="87" ht="16.5" spans="1:17">
      <c r="A87" s="5" t="s">
        <v>1906</v>
      </c>
      <c r="B87" s="5" t="s">
        <v>1907</v>
      </c>
      <c r="C87" s="6">
        <v>45992</v>
      </c>
      <c r="D87" s="7" t="s">
        <v>37</v>
      </c>
      <c r="E87" s="7" t="s">
        <v>152</v>
      </c>
      <c r="F87" s="7" t="s">
        <v>251</v>
      </c>
      <c r="G87" s="7" t="s">
        <v>1173</v>
      </c>
      <c r="H87" s="7" t="s">
        <v>1690</v>
      </c>
      <c r="I87" s="8" t="s">
        <v>1850</v>
      </c>
      <c r="J87" s="6">
        <v>46055</v>
      </c>
      <c r="K87" s="8">
        <v>0</v>
      </c>
      <c r="L87" s="9">
        <v>2.1</v>
      </c>
      <c r="M87" s="8"/>
      <c r="N87" s="8"/>
      <c r="O87" s="10"/>
      <c r="P87" s="11"/>
      <c r="Q87" s="12"/>
    </row>
    <row r="88" ht="16.5" spans="1:17">
      <c r="A88" s="5" t="s">
        <v>1908</v>
      </c>
      <c r="B88" s="5" t="s">
        <v>1909</v>
      </c>
      <c r="C88" s="6">
        <v>45992</v>
      </c>
      <c r="D88" s="7" t="s">
        <v>37</v>
      </c>
      <c r="E88" s="7" t="s">
        <v>109</v>
      </c>
      <c r="F88" s="7" t="s">
        <v>270</v>
      </c>
      <c r="G88" s="7" t="s">
        <v>1173</v>
      </c>
      <c r="H88" s="7" t="s">
        <v>1690</v>
      </c>
      <c r="I88" s="8" t="s">
        <v>1850</v>
      </c>
      <c r="J88" s="6">
        <v>46055</v>
      </c>
      <c r="K88" s="8">
        <v>0</v>
      </c>
      <c r="L88" s="9">
        <v>2.1</v>
      </c>
      <c r="M88" s="8"/>
      <c r="N88" s="8"/>
      <c r="O88" s="10"/>
      <c r="P88" s="11"/>
      <c r="Q88" s="12"/>
    </row>
    <row r="89" ht="16.5" spans="1:17">
      <c r="A89" s="5" t="s">
        <v>1241</v>
      </c>
      <c r="B89" s="5" t="s">
        <v>1242</v>
      </c>
      <c r="C89" s="6">
        <v>45990</v>
      </c>
      <c r="D89" s="7" t="s">
        <v>38</v>
      </c>
      <c r="E89" s="7" t="s">
        <v>148</v>
      </c>
      <c r="F89" s="7" t="s">
        <v>147</v>
      </c>
      <c r="G89" s="7" t="s">
        <v>1173</v>
      </c>
      <c r="H89" s="7" t="s">
        <v>1705</v>
      </c>
      <c r="I89" s="8" t="s">
        <v>1850</v>
      </c>
      <c r="J89" s="6">
        <v>46055</v>
      </c>
      <c r="K89" s="8">
        <v>0</v>
      </c>
      <c r="L89" s="9">
        <v>2.16666666666667</v>
      </c>
      <c r="M89" s="8"/>
      <c r="N89" s="8"/>
      <c r="O89" s="10"/>
      <c r="P89" s="11"/>
      <c r="Q89" s="12"/>
    </row>
    <row r="90" ht="16.5" spans="1:17">
      <c r="A90" s="5" t="s">
        <v>1910</v>
      </c>
      <c r="B90" s="5" t="s">
        <v>1911</v>
      </c>
      <c r="C90" s="6">
        <v>45990</v>
      </c>
      <c r="D90" s="7" t="s">
        <v>38</v>
      </c>
      <c r="E90" s="7" t="s">
        <v>75</v>
      </c>
      <c r="F90" s="7" t="s">
        <v>306</v>
      </c>
      <c r="G90" s="7" t="s">
        <v>1173</v>
      </c>
      <c r="H90" s="7" t="s">
        <v>1690</v>
      </c>
      <c r="I90" s="8" t="s">
        <v>1850</v>
      </c>
      <c r="J90" s="6">
        <v>46055</v>
      </c>
      <c r="K90" s="8">
        <v>0</v>
      </c>
      <c r="L90" s="9">
        <v>2.16666666666667</v>
      </c>
      <c r="M90" s="8"/>
      <c r="N90" s="8"/>
      <c r="O90" s="10"/>
      <c r="P90" s="11"/>
      <c r="Q90" s="12"/>
    </row>
    <row r="91" ht="16.5" spans="1:17">
      <c r="A91" s="5" t="s">
        <v>1912</v>
      </c>
      <c r="B91" s="5" t="s">
        <v>1913</v>
      </c>
      <c r="C91" s="6">
        <v>45990</v>
      </c>
      <c r="D91" s="7" t="s">
        <v>32</v>
      </c>
      <c r="E91" s="7" t="s">
        <v>105</v>
      </c>
      <c r="F91" s="7" t="s">
        <v>556</v>
      </c>
      <c r="G91" s="7" t="s">
        <v>1173</v>
      </c>
      <c r="H91" s="7" t="s">
        <v>1705</v>
      </c>
      <c r="I91" s="8" t="s">
        <v>1850</v>
      </c>
      <c r="J91" s="6">
        <v>46055</v>
      </c>
      <c r="K91" s="8">
        <v>0</v>
      </c>
      <c r="L91" s="9">
        <v>2.16666666666667</v>
      </c>
      <c r="M91" s="8"/>
      <c r="N91" s="8"/>
      <c r="O91" s="10"/>
      <c r="P91" s="11"/>
      <c r="Q91" s="12"/>
    </row>
    <row r="92" ht="16.5" spans="1:17">
      <c r="A92" s="5" t="s">
        <v>1285</v>
      </c>
      <c r="B92" s="5" t="s">
        <v>1286</v>
      </c>
      <c r="C92" s="6">
        <v>45989</v>
      </c>
      <c r="D92" s="7" t="s">
        <v>38</v>
      </c>
      <c r="E92" s="7" t="s">
        <v>148</v>
      </c>
      <c r="F92" s="7" t="s">
        <v>531</v>
      </c>
      <c r="G92" s="7" t="s">
        <v>1173</v>
      </c>
      <c r="H92" s="7" t="s">
        <v>1690</v>
      </c>
      <c r="I92" s="8" t="s">
        <v>1850</v>
      </c>
      <c r="J92" s="6">
        <v>46055</v>
      </c>
      <c r="K92" s="8">
        <v>0</v>
      </c>
      <c r="L92" s="9">
        <v>2.2</v>
      </c>
      <c r="M92" s="8"/>
      <c r="N92" s="8"/>
      <c r="O92" s="10"/>
      <c r="P92" s="11"/>
      <c r="Q92" s="12"/>
    </row>
    <row r="93" ht="16.5" spans="1:17">
      <c r="A93" s="5" t="s">
        <v>1914</v>
      </c>
      <c r="B93" s="5" t="s">
        <v>1915</v>
      </c>
      <c r="C93" s="6">
        <v>45989</v>
      </c>
      <c r="D93" s="7" t="s">
        <v>38</v>
      </c>
      <c r="E93" s="7" t="s">
        <v>75</v>
      </c>
      <c r="F93" s="7" t="s">
        <v>512</v>
      </c>
      <c r="G93" s="7" t="s">
        <v>1173</v>
      </c>
      <c r="H93" s="7" t="s">
        <v>1690</v>
      </c>
      <c r="I93" s="8" t="s">
        <v>1850</v>
      </c>
      <c r="J93" s="6">
        <v>46055</v>
      </c>
      <c r="K93" s="8">
        <v>0</v>
      </c>
      <c r="L93" s="9">
        <v>2.2</v>
      </c>
      <c r="M93" s="8"/>
      <c r="N93" s="8"/>
      <c r="O93" s="10"/>
      <c r="P93" s="11"/>
      <c r="Q93" s="12"/>
    </row>
    <row r="94" ht="16.5" spans="1:17">
      <c r="A94" s="5" t="s">
        <v>1498</v>
      </c>
      <c r="B94" s="5" t="s">
        <v>1916</v>
      </c>
      <c r="C94" s="6">
        <v>45989</v>
      </c>
      <c r="D94" s="7" t="s">
        <v>38</v>
      </c>
      <c r="E94" s="7" t="s">
        <v>168</v>
      </c>
      <c r="F94" s="7" t="s">
        <v>62</v>
      </c>
      <c r="G94" s="7" t="s">
        <v>1173</v>
      </c>
      <c r="H94" s="7" t="s">
        <v>1690</v>
      </c>
      <c r="I94" s="8" t="s">
        <v>1850</v>
      </c>
      <c r="J94" s="6">
        <v>46055</v>
      </c>
      <c r="K94" s="8">
        <v>0</v>
      </c>
      <c r="L94" s="9">
        <v>2.2</v>
      </c>
      <c r="M94" s="6">
        <v>46080</v>
      </c>
      <c r="N94" s="8" t="s">
        <v>1875</v>
      </c>
      <c r="O94" s="10"/>
      <c r="P94" s="11"/>
      <c r="Q94" s="12"/>
    </row>
    <row r="95" ht="16.5" spans="1:17">
      <c r="A95" s="5" t="s">
        <v>1441</v>
      </c>
      <c r="B95" s="5" t="s">
        <v>1917</v>
      </c>
      <c r="C95" s="6">
        <v>45986</v>
      </c>
      <c r="D95" s="7" t="s">
        <v>36</v>
      </c>
      <c r="E95" s="7" t="s">
        <v>173</v>
      </c>
      <c r="F95" s="7" t="s">
        <v>172</v>
      </c>
      <c r="G95" s="7" t="s">
        <v>1173</v>
      </c>
      <c r="H95" s="7" t="s">
        <v>1690</v>
      </c>
      <c r="I95" s="8" t="s">
        <v>1850</v>
      </c>
      <c r="J95" s="6">
        <v>46055</v>
      </c>
      <c r="K95" s="8">
        <v>0</v>
      </c>
      <c r="L95" s="9">
        <v>2.3</v>
      </c>
      <c r="M95" s="6">
        <v>46079</v>
      </c>
      <c r="N95" s="8" t="s">
        <v>1875</v>
      </c>
      <c r="O95" s="10"/>
      <c r="P95" s="11"/>
      <c r="Q95" s="12"/>
    </row>
    <row r="96" ht="16.5" spans="1:17">
      <c r="A96" s="5" t="s">
        <v>1918</v>
      </c>
      <c r="B96" s="5" t="s">
        <v>1919</v>
      </c>
      <c r="C96" s="6">
        <v>45986</v>
      </c>
      <c r="D96" s="7" t="s">
        <v>36</v>
      </c>
      <c r="E96" s="7" t="s">
        <v>173</v>
      </c>
      <c r="F96" s="7" t="s">
        <v>309</v>
      </c>
      <c r="G96" s="7" t="s">
        <v>1173</v>
      </c>
      <c r="H96" s="7" t="s">
        <v>1690</v>
      </c>
      <c r="I96" s="8" t="s">
        <v>1850</v>
      </c>
      <c r="J96" s="6">
        <v>46055</v>
      </c>
      <c r="K96" s="8">
        <v>0</v>
      </c>
      <c r="L96" s="9">
        <v>2.3</v>
      </c>
      <c r="M96" s="8"/>
      <c r="N96" s="8"/>
      <c r="O96" s="10"/>
      <c r="P96" s="11"/>
      <c r="Q96" s="12"/>
    </row>
    <row r="97" ht="16.5" spans="1:17">
      <c r="A97" s="5" t="s">
        <v>1920</v>
      </c>
      <c r="B97" s="5" t="s">
        <v>1921</v>
      </c>
      <c r="C97" s="6">
        <v>45986</v>
      </c>
      <c r="D97" s="7" t="s">
        <v>36</v>
      </c>
      <c r="E97" s="7" t="s">
        <v>173</v>
      </c>
      <c r="F97" s="7" t="s">
        <v>1922</v>
      </c>
      <c r="G97" s="7" t="s">
        <v>1173</v>
      </c>
      <c r="H97" s="7" t="s">
        <v>1705</v>
      </c>
      <c r="I97" s="8" t="s">
        <v>1850</v>
      </c>
      <c r="J97" s="6">
        <v>46055</v>
      </c>
      <c r="K97" s="8">
        <v>0</v>
      </c>
      <c r="L97" s="9">
        <v>2.3</v>
      </c>
      <c r="M97" s="8"/>
      <c r="N97" s="8"/>
      <c r="O97" s="10"/>
      <c r="P97" s="11"/>
      <c r="Q97" s="12"/>
    </row>
    <row r="98" ht="16.5" spans="1:17">
      <c r="A98" s="5" t="s">
        <v>1923</v>
      </c>
      <c r="B98" s="5" t="s">
        <v>1924</v>
      </c>
      <c r="C98" s="6">
        <v>45985</v>
      </c>
      <c r="D98" s="7" t="s">
        <v>35</v>
      </c>
      <c r="E98" s="7" t="s">
        <v>125</v>
      </c>
      <c r="F98" s="7" t="s">
        <v>605</v>
      </c>
      <c r="G98" s="7" t="s">
        <v>1173</v>
      </c>
      <c r="H98" s="7" t="s">
        <v>1705</v>
      </c>
      <c r="I98" s="8" t="s">
        <v>1850</v>
      </c>
      <c r="J98" s="6">
        <v>46055</v>
      </c>
      <c r="K98" s="8">
        <v>0</v>
      </c>
      <c r="L98" s="9">
        <v>2.33333333333333</v>
      </c>
      <c r="M98" s="8"/>
      <c r="N98" s="8"/>
      <c r="O98" s="10"/>
      <c r="P98" s="11"/>
      <c r="Q98" s="12"/>
    </row>
    <row r="99" ht="16.5" spans="1:17">
      <c r="A99" s="5" t="s">
        <v>1925</v>
      </c>
      <c r="B99" s="5" t="s">
        <v>1926</v>
      </c>
      <c r="C99" s="6">
        <v>45985</v>
      </c>
      <c r="D99" s="7" t="s">
        <v>32</v>
      </c>
      <c r="E99" s="7" t="s">
        <v>105</v>
      </c>
      <c r="F99" s="7" t="s">
        <v>179</v>
      </c>
      <c r="G99" s="7" t="s">
        <v>1173</v>
      </c>
      <c r="H99" s="7" t="s">
        <v>1705</v>
      </c>
      <c r="I99" s="8" t="s">
        <v>1850</v>
      </c>
      <c r="J99" s="6">
        <v>46055</v>
      </c>
      <c r="K99" s="8">
        <v>0</v>
      </c>
      <c r="L99" s="9">
        <v>2.33333333333333</v>
      </c>
      <c r="M99" s="8"/>
      <c r="N99" s="8"/>
      <c r="O99" s="10"/>
      <c r="P99" s="11"/>
      <c r="Q99" s="12"/>
    </row>
    <row r="100" ht="16.5" spans="1:17">
      <c r="A100" s="5" t="s">
        <v>1927</v>
      </c>
      <c r="B100" s="5" t="s">
        <v>1928</v>
      </c>
      <c r="C100" s="6">
        <v>45985</v>
      </c>
      <c r="D100" s="7" t="s">
        <v>32</v>
      </c>
      <c r="E100" s="7" t="s">
        <v>105</v>
      </c>
      <c r="F100" s="7" t="s">
        <v>115</v>
      </c>
      <c r="G100" s="7" t="s">
        <v>1173</v>
      </c>
      <c r="H100" s="7" t="s">
        <v>1690</v>
      </c>
      <c r="I100" s="8" t="s">
        <v>1850</v>
      </c>
      <c r="J100" s="6">
        <v>46055</v>
      </c>
      <c r="K100" s="8">
        <v>0</v>
      </c>
      <c r="L100" s="9">
        <v>2.33333333333333</v>
      </c>
      <c r="M100" s="8"/>
      <c r="N100" s="8"/>
      <c r="O100" s="10"/>
      <c r="P100" s="11"/>
      <c r="Q100" s="12"/>
    </row>
    <row r="101" ht="16.5" spans="1:17">
      <c r="A101" s="5" t="s">
        <v>1929</v>
      </c>
      <c r="B101" s="5" t="s">
        <v>1930</v>
      </c>
      <c r="C101" s="6">
        <v>45985</v>
      </c>
      <c r="D101" s="7" t="s">
        <v>35</v>
      </c>
      <c r="E101" s="7" t="s">
        <v>125</v>
      </c>
      <c r="F101" s="7" t="s">
        <v>597</v>
      </c>
      <c r="G101" s="7" t="s">
        <v>1173</v>
      </c>
      <c r="H101" s="7" t="s">
        <v>1705</v>
      </c>
      <c r="I101" s="8" t="s">
        <v>1850</v>
      </c>
      <c r="J101" s="6">
        <v>46055</v>
      </c>
      <c r="K101" s="8">
        <v>0</v>
      </c>
      <c r="L101" s="9">
        <v>2.33333333333333</v>
      </c>
      <c r="M101" s="8"/>
      <c r="N101" s="8"/>
      <c r="O101" s="10"/>
      <c r="P101" s="11"/>
      <c r="Q101" s="12"/>
    </row>
    <row r="102" ht="16.5" spans="1:17">
      <c r="A102" s="5" t="s">
        <v>1931</v>
      </c>
      <c r="B102" s="5" t="s">
        <v>1932</v>
      </c>
      <c r="C102" s="6">
        <v>45984</v>
      </c>
      <c r="D102" s="7" t="s">
        <v>32</v>
      </c>
      <c r="E102" s="7" t="s">
        <v>105</v>
      </c>
      <c r="F102" s="7" t="s">
        <v>1933</v>
      </c>
      <c r="G102" s="7" t="s">
        <v>1173</v>
      </c>
      <c r="H102" s="7" t="s">
        <v>1705</v>
      </c>
      <c r="I102" s="8" t="s">
        <v>1850</v>
      </c>
      <c r="J102" s="6">
        <v>46055</v>
      </c>
      <c r="K102" s="8">
        <v>0</v>
      </c>
      <c r="L102" s="9">
        <v>2.36666666666667</v>
      </c>
      <c r="M102" s="8"/>
      <c r="N102" s="8"/>
      <c r="O102" s="10"/>
      <c r="P102" s="11"/>
      <c r="Q102" s="12"/>
    </row>
    <row r="103" ht="16.5" spans="1:17">
      <c r="A103" s="5" t="s">
        <v>1180</v>
      </c>
      <c r="B103" s="5" t="s">
        <v>1181</v>
      </c>
      <c r="C103" s="6">
        <v>45983</v>
      </c>
      <c r="D103" s="7" t="s">
        <v>37</v>
      </c>
      <c r="E103" s="7" t="s">
        <v>109</v>
      </c>
      <c r="F103" s="7" t="s">
        <v>203</v>
      </c>
      <c r="G103" s="7" t="s">
        <v>1173</v>
      </c>
      <c r="H103" s="7" t="s">
        <v>1690</v>
      </c>
      <c r="I103" s="8" t="s">
        <v>1850</v>
      </c>
      <c r="J103" s="6">
        <v>46055</v>
      </c>
      <c r="K103" s="8">
        <v>0</v>
      </c>
      <c r="L103" s="9">
        <v>2.4</v>
      </c>
      <c r="M103" s="8"/>
      <c r="N103" s="8"/>
      <c r="O103" s="10"/>
      <c r="P103" s="11"/>
      <c r="Q103" s="12"/>
    </row>
    <row r="104" ht="16.5" spans="1:17">
      <c r="A104" s="5" t="s">
        <v>1934</v>
      </c>
      <c r="B104" s="5" t="s">
        <v>1935</v>
      </c>
      <c r="C104" s="6">
        <v>45982</v>
      </c>
      <c r="D104" s="7" t="s">
        <v>37</v>
      </c>
      <c r="E104" s="7" t="s">
        <v>152</v>
      </c>
      <c r="F104" s="7" t="s">
        <v>276</v>
      </c>
      <c r="G104" s="7" t="s">
        <v>1173</v>
      </c>
      <c r="H104" s="7" t="s">
        <v>1690</v>
      </c>
      <c r="I104" s="8" t="s">
        <v>1850</v>
      </c>
      <c r="J104" s="6">
        <v>46055</v>
      </c>
      <c r="K104" s="8">
        <v>0</v>
      </c>
      <c r="L104" s="9">
        <v>2.43333333333333</v>
      </c>
      <c r="M104" s="8"/>
      <c r="N104" s="8"/>
      <c r="O104" s="10"/>
      <c r="P104" s="11"/>
      <c r="Q104" s="12"/>
    </row>
    <row r="105" ht="16.5" spans="1:17">
      <c r="A105" s="5" t="s">
        <v>1936</v>
      </c>
      <c r="B105" s="5" t="s">
        <v>1937</v>
      </c>
      <c r="C105" s="6">
        <v>45980</v>
      </c>
      <c r="D105" s="7" t="s">
        <v>37</v>
      </c>
      <c r="E105" s="7" t="s">
        <v>152</v>
      </c>
      <c r="F105" s="7" t="s">
        <v>251</v>
      </c>
      <c r="G105" s="7" t="s">
        <v>1173</v>
      </c>
      <c r="H105" s="7" t="s">
        <v>1690</v>
      </c>
      <c r="I105" s="8" t="s">
        <v>1850</v>
      </c>
      <c r="J105" s="6">
        <v>46055</v>
      </c>
      <c r="K105" s="8">
        <v>0</v>
      </c>
      <c r="L105" s="9">
        <v>2.5</v>
      </c>
      <c r="M105" s="8"/>
      <c r="N105" s="8"/>
      <c r="O105" s="10"/>
      <c r="P105" s="11"/>
      <c r="Q105" s="12"/>
    </row>
    <row r="106" ht="16.5" spans="1:17">
      <c r="A106" s="5" t="s">
        <v>1938</v>
      </c>
      <c r="B106" s="5" t="s">
        <v>1939</v>
      </c>
      <c r="C106" s="6">
        <v>45980</v>
      </c>
      <c r="D106" s="7" t="s">
        <v>38</v>
      </c>
      <c r="E106" s="7" t="s">
        <v>70</v>
      </c>
      <c r="F106" s="7" t="s">
        <v>576</v>
      </c>
      <c r="G106" s="7" t="s">
        <v>1173</v>
      </c>
      <c r="H106" s="7" t="s">
        <v>1690</v>
      </c>
      <c r="I106" s="8" t="s">
        <v>1850</v>
      </c>
      <c r="J106" s="6">
        <v>46055</v>
      </c>
      <c r="K106" s="8">
        <v>0</v>
      </c>
      <c r="L106" s="9">
        <v>2.5</v>
      </c>
      <c r="M106" s="8"/>
      <c r="N106" s="8"/>
      <c r="O106" s="10"/>
      <c r="P106" s="11"/>
      <c r="Q106" s="12"/>
    </row>
    <row r="107" ht="16.5" spans="1:17">
      <c r="A107" s="5" t="s">
        <v>1275</v>
      </c>
      <c r="B107" s="5" t="s">
        <v>1276</v>
      </c>
      <c r="C107" s="6">
        <v>45979</v>
      </c>
      <c r="D107" s="7" t="s">
        <v>38</v>
      </c>
      <c r="E107" s="7" t="s">
        <v>148</v>
      </c>
      <c r="F107" s="7" t="s">
        <v>227</v>
      </c>
      <c r="G107" s="7" t="s">
        <v>1173</v>
      </c>
      <c r="H107" s="7" t="s">
        <v>1690</v>
      </c>
      <c r="I107" s="8" t="s">
        <v>1850</v>
      </c>
      <c r="J107" s="6">
        <v>46055</v>
      </c>
      <c r="K107" s="8">
        <v>0</v>
      </c>
      <c r="L107" s="9">
        <v>2.53333333333333</v>
      </c>
      <c r="M107" s="8"/>
      <c r="N107" s="8"/>
      <c r="O107" s="10"/>
      <c r="P107" s="11"/>
      <c r="Q107" s="12"/>
    </row>
    <row r="108" ht="16.5" spans="1:17">
      <c r="A108" s="5" t="s">
        <v>1940</v>
      </c>
      <c r="B108" s="5" t="s">
        <v>1941</v>
      </c>
      <c r="C108" s="6">
        <v>45979</v>
      </c>
      <c r="D108" s="7" t="s">
        <v>29</v>
      </c>
      <c r="E108" s="7" t="s">
        <v>130</v>
      </c>
      <c r="F108" s="7" t="s">
        <v>390</v>
      </c>
      <c r="G108" s="7" t="s">
        <v>1173</v>
      </c>
      <c r="H108" s="7" t="s">
        <v>1690</v>
      </c>
      <c r="I108" s="8" t="s">
        <v>1850</v>
      </c>
      <c r="J108" s="6">
        <v>46055</v>
      </c>
      <c r="K108" s="8">
        <v>0</v>
      </c>
      <c r="L108" s="9">
        <v>2.53333333333333</v>
      </c>
      <c r="M108" s="8"/>
      <c r="N108" s="8"/>
      <c r="O108" s="10"/>
      <c r="P108" s="11"/>
      <c r="Q108" s="12"/>
    </row>
    <row r="109" ht="16.5" spans="1:17">
      <c r="A109" s="5" t="s">
        <v>1942</v>
      </c>
      <c r="B109" s="5" t="s">
        <v>1943</v>
      </c>
      <c r="C109" s="6">
        <v>45979</v>
      </c>
      <c r="D109" s="7" t="s">
        <v>38</v>
      </c>
      <c r="E109" s="7" t="s">
        <v>70</v>
      </c>
      <c r="F109" s="7" t="s">
        <v>413</v>
      </c>
      <c r="G109" s="7" t="s">
        <v>1173</v>
      </c>
      <c r="H109" s="7" t="s">
        <v>1690</v>
      </c>
      <c r="I109" s="8" t="s">
        <v>1850</v>
      </c>
      <c r="J109" s="6">
        <v>46055</v>
      </c>
      <c r="K109" s="8">
        <v>0</v>
      </c>
      <c r="L109" s="9">
        <v>2.53333333333333</v>
      </c>
      <c r="M109" s="6">
        <v>46080</v>
      </c>
      <c r="N109" s="8" t="s">
        <v>1875</v>
      </c>
      <c r="O109" s="10"/>
      <c r="P109" s="11"/>
      <c r="Q109" s="12"/>
    </row>
    <row r="110" ht="16.5" spans="1:17">
      <c r="A110" s="5" t="s">
        <v>1295</v>
      </c>
      <c r="B110" s="5" t="s">
        <v>1296</v>
      </c>
      <c r="C110" s="6">
        <v>45978</v>
      </c>
      <c r="D110" s="7" t="s">
        <v>38</v>
      </c>
      <c r="E110" s="7" t="s">
        <v>168</v>
      </c>
      <c r="F110" s="7" t="s">
        <v>319</v>
      </c>
      <c r="G110" s="7" t="s">
        <v>1173</v>
      </c>
      <c r="H110" s="7" t="s">
        <v>1705</v>
      </c>
      <c r="I110" s="8" t="s">
        <v>1850</v>
      </c>
      <c r="J110" s="6">
        <v>46055</v>
      </c>
      <c r="K110" s="8">
        <v>0</v>
      </c>
      <c r="L110" s="9">
        <v>2.56666666666667</v>
      </c>
      <c r="M110" s="6">
        <v>46052</v>
      </c>
      <c r="N110" s="8" t="s">
        <v>1875</v>
      </c>
      <c r="O110" s="10"/>
      <c r="P110" s="11"/>
      <c r="Q110" s="12"/>
    </row>
    <row r="111" ht="16.5" spans="1:17">
      <c r="A111" s="5" t="s">
        <v>1199</v>
      </c>
      <c r="B111" s="5" t="s">
        <v>1200</v>
      </c>
      <c r="C111" s="6">
        <v>45978</v>
      </c>
      <c r="D111" s="7" t="s">
        <v>38</v>
      </c>
      <c r="E111" s="7" t="s">
        <v>70</v>
      </c>
      <c r="F111" s="7" t="s">
        <v>564</v>
      </c>
      <c r="G111" s="7" t="s">
        <v>1173</v>
      </c>
      <c r="H111" s="7" t="s">
        <v>1690</v>
      </c>
      <c r="I111" s="8" t="s">
        <v>1850</v>
      </c>
      <c r="J111" s="6">
        <v>46055</v>
      </c>
      <c r="K111" s="8">
        <v>0</v>
      </c>
      <c r="L111" s="9">
        <v>2.56666666666667</v>
      </c>
      <c r="M111" s="8"/>
      <c r="N111" s="8"/>
      <c r="O111" s="10"/>
      <c r="P111" s="11"/>
      <c r="Q111" s="12"/>
    </row>
    <row r="112" ht="16.5" spans="1:17">
      <c r="A112" s="5" t="s">
        <v>1269</v>
      </c>
      <c r="B112" s="5" t="s">
        <v>1270</v>
      </c>
      <c r="C112" s="6">
        <v>45976</v>
      </c>
      <c r="D112" s="7" t="s">
        <v>31</v>
      </c>
      <c r="E112" s="7" t="s">
        <v>79</v>
      </c>
      <c r="F112" s="7" t="s">
        <v>86</v>
      </c>
      <c r="G112" s="7" t="s">
        <v>1173</v>
      </c>
      <c r="H112" s="7" t="s">
        <v>1690</v>
      </c>
      <c r="I112" s="8" t="s">
        <v>1850</v>
      </c>
      <c r="J112" s="6">
        <v>46055</v>
      </c>
      <c r="K112" s="8">
        <v>0</v>
      </c>
      <c r="L112" s="9">
        <v>2.63333333333333</v>
      </c>
      <c r="M112" s="8"/>
      <c r="N112" s="8"/>
      <c r="O112" s="10"/>
      <c r="P112" s="11"/>
      <c r="Q112" s="12"/>
    </row>
    <row r="113" ht="16.5" spans="1:17">
      <c r="A113" s="5" t="s">
        <v>1944</v>
      </c>
      <c r="B113" s="5" t="s">
        <v>1945</v>
      </c>
      <c r="C113" s="6">
        <v>45976</v>
      </c>
      <c r="D113" s="7" t="s">
        <v>37</v>
      </c>
      <c r="E113" s="7" t="s">
        <v>152</v>
      </c>
      <c r="F113" s="7" t="s">
        <v>623</v>
      </c>
      <c r="G113" s="7" t="s">
        <v>1173</v>
      </c>
      <c r="H113" s="7" t="s">
        <v>1705</v>
      </c>
      <c r="I113" s="8" t="s">
        <v>1850</v>
      </c>
      <c r="J113" s="6">
        <v>46055</v>
      </c>
      <c r="K113" s="8">
        <v>0</v>
      </c>
      <c r="L113" s="9">
        <v>2.63333333333333</v>
      </c>
      <c r="M113" s="8"/>
      <c r="N113" s="8"/>
      <c r="O113" s="10"/>
      <c r="P113" s="11"/>
      <c r="Q113" s="12"/>
    </row>
    <row r="114" ht="16.5" spans="1:17">
      <c r="A114" s="5" t="s">
        <v>1946</v>
      </c>
      <c r="B114" s="5" t="s">
        <v>1947</v>
      </c>
      <c r="C114" s="6">
        <v>45976</v>
      </c>
      <c r="D114" s="7" t="s">
        <v>37</v>
      </c>
      <c r="E114" s="7" t="s">
        <v>152</v>
      </c>
      <c r="F114" s="7" t="s">
        <v>151</v>
      </c>
      <c r="G114" s="7" t="s">
        <v>1173</v>
      </c>
      <c r="H114" s="7" t="s">
        <v>1690</v>
      </c>
      <c r="I114" s="8" t="s">
        <v>1850</v>
      </c>
      <c r="J114" s="6">
        <v>46055</v>
      </c>
      <c r="K114" s="8">
        <v>0</v>
      </c>
      <c r="L114" s="9">
        <v>2.63333333333333</v>
      </c>
      <c r="M114" s="8"/>
      <c r="N114" s="8"/>
      <c r="O114" s="10"/>
      <c r="P114" s="11"/>
      <c r="Q114" s="12"/>
    </row>
    <row r="115" ht="16.5" spans="1:17">
      <c r="A115" s="5" t="s">
        <v>1948</v>
      </c>
      <c r="B115" s="5" t="s">
        <v>1949</v>
      </c>
      <c r="C115" s="6">
        <v>45975</v>
      </c>
      <c r="D115" s="7" t="s">
        <v>31</v>
      </c>
      <c r="E115" s="7" t="s">
        <v>79</v>
      </c>
      <c r="F115" s="7" t="s">
        <v>1582</v>
      </c>
      <c r="G115" s="7" t="s">
        <v>1173</v>
      </c>
      <c r="H115" s="7" t="s">
        <v>1690</v>
      </c>
      <c r="I115" s="8" t="s">
        <v>1850</v>
      </c>
      <c r="J115" s="6">
        <v>46055</v>
      </c>
      <c r="K115" s="8">
        <v>0</v>
      </c>
      <c r="L115" s="9">
        <v>2.66666666666667</v>
      </c>
      <c r="M115" s="8"/>
      <c r="N115" s="8"/>
      <c r="O115" s="10"/>
      <c r="P115" s="11"/>
      <c r="Q115" s="12"/>
    </row>
    <row r="116" ht="16.5" spans="1:17">
      <c r="A116" s="5" t="s">
        <v>1271</v>
      </c>
      <c r="B116" s="5" t="s">
        <v>1272</v>
      </c>
      <c r="C116" s="6">
        <v>45974</v>
      </c>
      <c r="D116" s="7" t="s">
        <v>38</v>
      </c>
      <c r="E116" s="7" t="s">
        <v>144</v>
      </c>
      <c r="F116" s="7" t="s">
        <v>216</v>
      </c>
      <c r="G116" s="7" t="s">
        <v>1173</v>
      </c>
      <c r="H116" s="7" t="s">
        <v>1705</v>
      </c>
      <c r="I116" s="8" t="s">
        <v>1850</v>
      </c>
      <c r="J116" s="6">
        <v>46055</v>
      </c>
      <c r="K116" s="8">
        <v>0</v>
      </c>
      <c r="L116" s="9">
        <v>2.7</v>
      </c>
      <c r="M116" s="6">
        <v>46051</v>
      </c>
      <c r="N116" s="8" t="s">
        <v>1875</v>
      </c>
      <c r="O116" s="10">
        <v>46054</v>
      </c>
      <c r="P116" s="11">
        <f>(O116-C116)/30</f>
        <v>2.66666666666667</v>
      </c>
      <c r="Q116" s="12"/>
    </row>
    <row r="117" ht="16.5" spans="1:17">
      <c r="A117" s="5" t="s">
        <v>1950</v>
      </c>
      <c r="B117" s="5" t="s">
        <v>1951</v>
      </c>
      <c r="C117" s="6">
        <v>45974</v>
      </c>
      <c r="D117" s="7" t="s">
        <v>32</v>
      </c>
      <c r="E117" s="7" t="s">
        <v>105</v>
      </c>
      <c r="F117" s="7" t="s">
        <v>192</v>
      </c>
      <c r="G117" s="7" t="s">
        <v>1173</v>
      </c>
      <c r="H117" s="7" t="s">
        <v>1705</v>
      </c>
      <c r="I117" s="8" t="s">
        <v>1850</v>
      </c>
      <c r="J117" s="6">
        <v>46055</v>
      </c>
      <c r="K117" s="8">
        <v>0</v>
      </c>
      <c r="L117" s="9">
        <v>2.7</v>
      </c>
      <c r="M117" s="8"/>
      <c r="N117" s="8"/>
      <c r="O117" s="10"/>
      <c r="P117" s="11"/>
      <c r="Q117" s="12"/>
    </row>
    <row r="118" ht="16.5" spans="1:17">
      <c r="A118" s="5" t="s">
        <v>1952</v>
      </c>
      <c r="B118" s="5" t="s">
        <v>1953</v>
      </c>
      <c r="C118" s="6">
        <v>45974</v>
      </c>
      <c r="D118" s="7" t="s">
        <v>32</v>
      </c>
      <c r="E118" s="7" t="s">
        <v>105</v>
      </c>
      <c r="F118" s="7" t="s">
        <v>487</v>
      </c>
      <c r="G118" s="7" t="s">
        <v>1173</v>
      </c>
      <c r="H118" s="7" t="s">
        <v>1690</v>
      </c>
      <c r="I118" s="8" t="s">
        <v>1850</v>
      </c>
      <c r="J118" s="6">
        <v>46055</v>
      </c>
      <c r="K118" s="8">
        <v>0</v>
      </c>
      <c r="L118" s="9">
        <v>2.7</v>
      </c>
      <c r="M118" s="8"/>
      <c r="N118" s="8"/>
      <c r="O118" s="10"/>
      <c r="P118" s="11"/>
      <c r="Q118" s="12"/>
    </row>
    <row r="119" ht="16.5" spans="1:17">
      <c r="A119" s="5" t="s">
        <v>1311</v>
      </c>
      <c r="B119" s="5" t="s">
        <v>1312</v>
      </c>
      <c r="C119" s="6">
        <v>45973</v>
      </c>
      <c r="D119" s="7" t="s">
        <v>26</v>
      </c>
      <c r="E119" s="7" t="s">
        <v>121</v>
      </c>
      <c r="F119" s="7" t="s">
        <v>1596</v>
      </c>
      <c r="G119" s="7" t="s">
        <v>1173</v>
      </c>
      <c r="H119" s="7" t="s">
        <v>1690</v>
      </c>
      <c r="I119" s="8" t="s">
        <v>1850</v>
      </c>
      <c r="J119" s="6">
        <v>46055</v>
      </c>
      <c r="K119" s="8">
        <v>0</v>
      </c>
      <c r="L119" s="9">
        <v>2.73333333333333</v>
      </c>
      <c r="M119" s="6">
        <v>46052</v>
      </c>
      <c r="N119" s="8" t="s">
        <v>1875</v>
      </c>
      <c r="O119" s="10"/>
      <c r="P119" s="11"/>
      <c r="Q119" s="12"/>
    </row>
    <row r="120" ht="16.5" spans="1:17">
      <c r="A120" s="5" t="s">
        <v>1954</v>
      </c>
      <c r="B120" s="5" t="s">
        <v>1955</v>
      </c>
      <c r="C120" s="6">
        <v>45972</v>
      </c>
      <c r="D120" s="7" t="s">
        <v>38</v>
      </c>
      <c r="E120" s="7" t="s">
        <v>63</v>
      </c>
      <c r="F120" s="7" t="s">
        <v>294</v>
      </c>
      <c r="G120" s="7" t="s">
        <v>1173</v>
      </c>
      <c r="H120" s="7" t="s">
        <v>1690</v>
      </c>
      <c r="I120" s="8" t="s">
        <v>1850</v>
      </c>
      <c r="J120" s="6">
        <v>46055</v>
      </c>
      <c r="K120" s="8">
        <v>0</v>
      </c>
      <c r="L120" s="9">
        <v>2.76666666666667</v>
      </c>
      <c r="M120" s="8"/>
      <c r="N120" s="8"/>
      <c r="O120" s="10"/>
      <c r="P120" s="11"/>
      <c r="Q120" s="12"/>
    </row>
    <row r="121" ht="16.5" spans="1:17">
      <c r="A121" s="5" t="s">
        <v>1500</v>
      </c>
      <c r="B121" s="5" t="s">
        <v>1956</v>
      </c>
      <c r="C121" s="6">
        <v>45971</v>
      </c>
      <c r="D121" s="7" t="s">
        <v>38</v>
      </c>
      <c r="E121" s="7" t="s">
        <v>70</v>
      </c>
      <c r="F121" s="7" t="s">
        <v>247</v>
      </c>
      <c r="G121" s="7" t="s">
        <v>1173</v>
      </c>
      <c r="H121" s="7" t="s">
        <v>1690</v>
      </c>
      <c r="I121" s="8" t="s">
        <v>1850</v>
      </c>
      <c r="J121" s="6">
        <v>46055</v>
      </c>
      <c r="K121" s="8">
        <v>0</v>
      </c>
      <c r="L121" s="9">
        <v>2.8</v>
      </c>
      <c r="M121" s="6">
        <v>46052</v>
      </c>
      <c r="N121" s="8" t="s">
        <v>1875</v>
      </c>
      <c r="O121" s="10"/>
      <c r="P121" s="11"/>
      <c r="Q121" s="12"/>
    </row>
    <row r="122" ht="16.5" spans="1:17">
      <c r="A122" s="5" t="s">
        <v>1957</v>
      </c>
      <c r="B122" s="5" t="s">
        <v>1958</v>
      </c>
      <c r="C122" s="6">
        <v>45971</v>
      </c>
      <c r="D122" s="7" t="s">
        <v>38</v>
      </c>
      <c r="E122" s="7" t="s">
        <v>70</v>
      </c>
      <c r="F122" s="7" t="s">
        <v>242</v>
      </c>
      <c r="G122" s="7" t="s">
        <v>1173</v>
      </c>
      <c r="H122" s="7" t="s">
        <v>1690</v>
      </c>
      <c r="I122" s="8" t="s">
        <v>1850</v>
      </c>
      <c r="J122" s="6">
        <v>46055</v>
      </c>
      <c r="K122" s="8">
        <v>0</v>
      </c>
      <c r="L122" s="9">
        <v>2.8</v>
      </c>
      <c r="M122" s="8"/>
      <c r="N122" s="8"/>
      <c r="O122" s="10"/>
      <c r="P122" s="11"/>
      <c r="Q122" s="12"/>
    </row>
    <row r="123" ht="16.5" spans="1:17">
      <c r="A123" s="5" t="s">
        <v>1959</v>
      </c>
      <c r="B123" s="5" t="s">
        <v>1960</v>
      </c>
      <c r="C123" s="6">
        <v>45971</v>
      </c>
      <c r="D123" s="7" t="s">
        <v>24</v>
      </c>
      <c r="E123" s="7" t="s">
        <v>101</v>
      </c>
      <c r="F123" s="7" t="s">
        <v>1594</v>
      </c>
      <c r="G123" s="7" t="s">
        <v>1173</v>
      </c>
      <c r="H123" s="7" t="s">
        <v>1690</v>
      </c>
      <c r="I123" s="8" t="s">
        <v>1850</v>
      </c>
      <c r="J123" s="6">
        <v>46055</v>
      </c>
      <c r="K123" s="8">
        <v>0</v>
      </c>
      <c r="L123" s="9">
        <v>2.8</v>
      </c>
      <c r="M123" s="8"/>
      <c r="N123" s="8"/>
      <c r="O123" s="10"/>
      <c r="P123" s="11"/>
      <c r="Q123" s="12"/>
    </row>
    <row r="124" ht="16.5" spans="1:17">
      <c r="A124" s="5" t="s">
        <v>1961</v>
      </c>
      <c r="B124" s="5" t="s">
        <v>1962</v>
      </c>
      <c r="C124" s="6">
        <v>45971</v>
      </c>
      <c r="D124" s="7" t="s">
        <v>32</v>
      </c>
      <c r="E124" s="7" t="s">
        <v>105</v>
      </c>
      <c r="F124" s="7" t="s">
        <v>487</v>
      </c>
      <c r="G124" s="7" t="s">
        <v>1173</v>
      </c>
      <c r="H124" s="7" t="s">
        <v>1705</v>
      </c>
      <c r="I124" s="8" t="s">
        <v>1850</v>
      </c>
      <c r="J124" s="6">
        <v>46055</v>
      </c>
      <c r="K124" s="8">
        <v>0</v>
      </c>
      <c r="L124" s="9">
        <v>2.8</v>
      </c>
      <c r="M124" s="8"/>
      <c r="N124" s="8"/>
      <c r="O124" s="10"/>
      <c r="P124" s="11"/>
      <c r="Q124" s="12"/>
    </row>
    <row r="125" ht="16.5" spans="1:17">
      <c r="A125" s="5" t="s">
        <v>1963</v>
      </c>
      <c r="B125" s="5" t="s">
        <v>1964</v>
      </c>
      <c r="C125" s="6">
        <v>45970</v>
      </c>
      <c r="D125" s="7" t="s">
        <v>37</v>
      </c>
      <c r="E125" s="7" t="s">
        <v>152</v>
      </c>
      <c r="F125" s="7" t="s">
        <v>276</v>
      </c>
      <c r="G125" s="7" t="s">
        <v>1173</v>
      </c>
      <c r="H125" s="7" t="s">
        <v>1690</v>
      </c>
      <c r="I125" s="8" t="s">
        <v>1850</v>
      </c>
      <c r="J125" s="6">
        <v>46055</v>
      </c>
      <c r="K125" s="8">
        <v>0</v>
      </c>
      <c r="L125" s="9">
        <v>2.83333333333333</v>
      </c>
      <c r="M125" s="8"/>
      <c r="N125" s="8"/>
      <c r="O125" s="10"/>
      <c r="P125" s="11"/>
      <c r="Q125" s="12"/>
    </row>
    <row r="126" ht="16.5" spans="1:17">
      <c r="A126" s="5" t="s">
        <v>1965</v>
      </c>
      <c r="B126" s="5" t="s">
        <v>1966</v>
      </c>
      <c r="C126" s="6">
        <v>45970</v>
      </c>
      <c r="D126" s="7" t="s">
        <v>32</v>
      </c>
      <c r="E126" s="7" t="s">
        <v>105</v>
      </c>
      <c r="F126" s="7" t="s">
        <v>556</v>
      </c>
      <c r="G126" s="7" t="s">
        <v>1173</v>
      </c>
      <c r="H126" s="7" t="s">
        <v>1690</v>
      </c>
      <c r="I126" s="8" t="s">
        <v>1850</v>
      </c>
      <c r="J126" s="6">
        <v>46055</v>
      </c>
      <c r="K126" s="8">
        <v>0</v>
      </c>
      <c r="L126" s="9">
        <v>2.83333333333333</v>
      </c>
      <c r="M126" s="8"/>
      <c r="N126" s="8"/>
      <c r="O126" s="10"/>
      <c r="P126" s="11"/>
      <c r="Q126" s="12"/>
    </row>
    <row r="127" ht="16.5" spans="1:17">
      <c r="A127" s="5" t="s">
        <v>1235</v>
      </c>
      <c r="B127" s="5" t="s">
        <v>1236</v>
      </c>
      <c r="C127" s="6">
        <v>45969</v>
      </c>
      <c r="D127" s="7" t="s">
        <v>24</v>
      </c>
      <c r="E127" s="7" t="s">
        <v>101</v>
      </c>
      <c r="F127" s="7" t="s">
        <v>1594</v>
      </c>
      <c r="G127" s="7" t="s">
        <v>1173</v>
      </c>
      <c r="H127" s="7" t="s">
        <v>1705</v>
      </c>
      <c r="I127" s="8" t="s">
        <v>1850</v>
      </c>
      <c r="J127" s="6">
        <v>46055</v>
      </c>
      <c r="K127" s="8">
        <v>0</v>
      </c>
      <c r="L127" s="9">
        <v>2.86666666666667</v>
      </c>
      <c r="M127" s="8"/>
      <c r="N127" s="8"/>
      <c r="O127" s="10"/>
      <c r="P127" s="11"/>
      <c r="Q127" s="12"/>
    </row>
    <row r="128" ht="16.5" spans="1:17">
      <c r="A128" s="5" t="s">
        <v>1487</v>
      </c>
      <c r="B128" s="5" t="s">
        <v>1967</v>
      </c>
      <c r="C128" s="6">
        <v>45967</v>
      </c>
      <c r="D128" s="7" t="s">
        <v>37</v>
      </c>
      <c r="E128" s="7" t="s">
        <v>109</v>
      </c>
      <c r="F128" s="7" t="s">
        <v>230</v>
      </c>
      <c r="G128" s="7" t="s">
        <v>1173</v>
      </c>
      <c r="H128" s="7" t="s">
        <v>1705</v>
      </c>
      <c r="I128" s="8" t="s">
        <v>1850</v>
      </c>
      <c r="J128" s="6">
        <v>46055</v>
      </c>
      <c r="K128" s="8">
        <v>0</v>
      </c>
      <c r="L128" s="9">
        <v>2.93333333333333</v>
      </c>
      <c r="M128" s="6">
        <v>46080</v>
      </c>
      <c r="N128" s="8" t="s">
        <v>1875</v>
      </c>
      <c r="O128" s="10"/>
      <c r="P128" s="11"/>
      <c r="Q128" s="12"/>
    </row>
    <row r="129" ht="16.5" spans="1:17">
      <c r="A129" s="5" t="s">
        <v>1968</v>
      </c>
      <c r="B129" s="5" t="s">
        <v>1969</v>
      </c>
      <c r="C129" s="6">
        <v>45966</v>
      </c>
      <c r="D129" s="7" t="s">
        <v>38</v>
      </c>
      <c r="E129" s="7" t="s">
        <v>148</v>
      </c>
      <c r="F129" s="7" t="s">
        <v>278</v>
      </c>
      <c r="G129" s="7" t="s">
        <v>1173</v>
      </c>
      <c r="H129" s="7" t="s">
        <v>1705</v>
      </c>
      <c r="I129" s="8" t="s">
        <v>1850</v>
      </c>
      <c r="J129" s="6">
        <v>46055</v>
      </c>
      <c r="K129" s="8">
        <v>0</v>
      </c>
      <c r="L129" s="9">
        <v>2.96666666666667</v>
      </c>
      <c r="M129" s="8"/>
      <c r="N129" s="8"/>
      <c r="O129" s="10"/>
      <c r="P129" s="11"/>
      <c r="Q129" s="12"/>
    </row>
    <row r="130" ht="16.5" spans="1:17">
      <c r="A130" s="5" t="s">
        <v>1970</v>
      </c>
      <c r="B130" s="5" t="s">
        <v>1971</v>
      </c>
      <c r="C130" s="6">
        <v>45965</v>
      </c>
      <c r="D130" s="7" t="s">
        <v>36</v>
      </c>
      <c r="E130" s="7" t="s">
        <v>173</v>
      </c>
      <c r="F130" s="7" t="s">
        <v>320</v>
      </c>
      <c r="G130" s="7" t="s">
        <v>1173</v>
      </c>
      <c r="H130" s="7" t="s">
        <v>1690</v>
      </c>
      <c r="I130" s="8" t="s">
        <v>1850</v>
      </c>
      <c r="J130" s="6">
        <v>46055</v>
      </c>
      <c r="K130" s="8">
        <v>0</v>
      </c>
      <c r="L130" s="9">
        <v>3</v>
      </c>
      <c r="M130" s="8"/>
      <c r="N130" s="8"/>
      <c r="O130" s="10"/>
      <c r="P130" s="11"/>
      <c r="Q130" s="12"/>
    </row>
    <row r="131" ht="16.5" spans="1:17">
      <c r="A131" s="5" t="s">
        <v>1227</v>
      </c>
      <c r="B131" s="5" t="s">
        <v>1228</v>
      </c>
      <c r="C131" s="6">
        <v>45962</v>
      </c>
      <c r="D131" s="7" t="s">
        <v>38</v>
      </c>
      <c r="E131" s="7" t="s">
        <v>70</v>
      </c>
      <c r="F131" s="7" t="s">
        <v>69</v>
      </c>
      <c r="G131" s="7" t="s">
        <v>1173</v>
      </c>
      <c r="H131" s="7" t="s">
        <v>1690</v>
      </c>
      <c r="I131" s="8" t="s">
        <v>1850</v>
      </c>
      <c r="J131" s="6">
        <v>46055</v>
      </c>
      <c r="K131" s="8">
        <v>0</v>
      </c>
      <c r="L131" s="9">
        <v>3.1</v>
      </c>
      <c r="M131" s="6">
        <v>46052</v>
      </c>
      <c r="N131" s="8" t="s">
        <v>1875</v>
      </c>
      <c r="O131" s="10"/>
      <c r="P131" s="11"/>
      <c r="Q131" s="12"/>
    </row>
    <row r="132" ht="16.5" spans="1:17">
      <c r="A132" s="5" t="s">
        <v>1195</v>
      </c>
      <c r="B132" s="5" t="s">
        <v>1196</v>
      </c>
      <c r="C132" s="6">
        <v>45962</v>
      </c>
      <c r="D132" s="7" t="s">
        <v>38</v>
      </c>
      <c r="E132" s="7" t="s">
        <v>63</v>
      </c>
      <c r="F132" s="7" t="s">
        <v>95</v>
      </c>
      <c r="G132" s="7" t="s">
        <v>1173</v>
      </c>
      <c r="H132" s="7" t="s">
        <v>1690</v>
      </c>
      <c r="I132" s="8" t="s">
        <v>1850</v>
      </c>
      <c r="J132" s="6">
        <v>46055</v>
      </c>
      <c r="K132" s="8">
        <v>0</v>
      </c>
      <c r="L132" s="9">
        <v>3.1</v>
      </c>
      <c r="M132" s="8"/>
      <c r="N132" s="8"/>
      <c r="O132" s="10"/>
      <c r="P132" s="11"/>
      <c r="Q132" s="12"/>
    </row>
    <row r="133" ht="16.5" spans="1:17">
      <c r="A133" s="5" t="s">
        <v>1273</v>
      </c>
      <c r="B133" s="5" t="s">
        <v>1274</v>
      </c>
      <c r="C133" s="6">
        <v>45959</v>
      </c>
      <c r="D133" s="7" t="s">
        <v>38</v>
      </c>
      <c r="E133" s="7" t="s">
        <v>144</v>
      </c>
      <c r="F133" s="7" t="s">
        <v>216</v>
      </c>
      <c r="G133" s="7" t="s">
        <v>1173</v>
      </c>
      <c r="H133" s="7" t="s">
        <v>1690</v>
      </c>
      <c r="I133" s="8" t="s">
        <v>1850</v>
      </c>
      <c r="J133" s="6">
        <v>46055</v>
      </c>
      <c r="K133" s="8">
        <v>0</v>
      </c>
      <c r="L133" s="9">
        <v>3.2</v>
      </c>
      <c r="M133" s="6">
        <v>46051</v>
      </c>
      <c r="N133" s="8" t="s">
        <v>1875</v>
      </c>
      <c r="O133" s="10"/>
      <c r="P133" s="11"/>
      <c r="Q133" s="12"/>
    </row>
    <row r="134" ht="16.5" spans="1:17">
      <c r="A134" s="5" t="s">
        <v>1255</v>
      </c>
      <c r="B134" s="5" t="s">
        <v>1256</v>
      </c>
      <c r="C134" s="6">
        <v>45958</v>
      </c>
      <c r="D134" s="7" t="s">
        <v>34</v>
      </c>
      <c r="E134" s="7" t="s">
        <v>351</v>
      </c>
      <c r="F134" s="7" t="s">
        <v>1595</v>
      </c>
      <c r="G134" s="7" t="s">
        <v>1173</v>
      </c>
      <c r="H134" s="7" t="s">
        <v>1690</v>
      </c>
      <c r="I134" s="8" t="s">
        <v>1850</v>
      </c>
      <c r="J134" s="6">
        <v>46055</v>
      </c>
      <c r="K134" s="8">
        <v>0</v>
      </c>
      <c r="L134" s="9">
        <v>3.23333333333333</v>
      </c>
      <c r="M134" s="6">
        <v>46051</v>
      </c>
      <c r="N134" s="8" t="s">
        <v>1875</v>
      </c>
      <c r="O134" s="10">
        <v>46054</v>
      </c>
      <c r="P134" s="11">
        <f>(O134-C134)/30</f>
        <v>3.2</v>
      </c>
      <c r="Q134" s="12"/>
    </row>
    <row r="135" ht="16.5" spans="1:17">
      <c r="A135" s="5" t="s">
        <v>1253</v>
      </c>
      <c r="B135" s="5" t="s">
        <v>1254</v>
      </c>
      <c r="C135" s="6">
        <v>45958</v>
      </c>
      <c r="D135" s="7" t="s">
        <v>34</v>
      </c>
      <c r="E135" s="7" t="s">
        <v>351</v>
      </c>
      <c r="F135" s="7" t="s">
        <v>1595</v>
      </c>
      <c r="G135" s="7" t="s">
        <v>1173</v>
      </c>
      <c r="H135" s="7" t="s">
        <v>1690</v>
      </c>
      <c r="I135" s="8" t="s">
        <v>1850</v>
      </c>
      <c r="J135" s="6">
        <v>46055</v>
      </c>
      <c r="K135" s="8">
        <v>0</v>
      </c>
      <c r="L135" s="9">
        <v>3.23333333333333</v>
      </c>
      <c r="M135" s="6">
        <v>46051</v>
      </c>
      <c r="N135" s="8" t="s">
        <v>1875</v>
      </c>
      <c r="O135" s="10">
        <v>46054</v>
      </c>
      <c r="P135" s="11">
        <f>(O135-C135)/30</f>
        <v>3.2</v>
      </c>
      <c r="Q135" s="12"/>
    </row>
    <row r="136" ht="16.5" spans="1:17">
      <c r="A136" s="5" t="s">
        <v>1972</v>
      </c>
      <c r="B136" s="5" t="s">
        <v>1973</v>
      </c>
      <c r="C136" s="6">
        <v>45958</v>
      </c>
      <c r="D136" s="7" t="s">
        <v>37</v>
      </c>
      <c r="E136" s="7" t="s">
        <v>109</v>
      </c>
      <c r="F136" s="7" t="s">
        <v>527</v>
      </c>
      <c r="G136" s="7" t="s">
        <v>1173</v>
      </c>
      <c r="H136" s="7" t="s">
        <v>1705</v>
      </c>
      <c r="I136" s="8" t="s">
        <v>1850</v>
      </c>
      <c r="J136" s="6">
        <v>46055</v>
      </c>
      <c r="K136" s="8">
        <v>0</v>
      </c>
      <c r="L136" s="9">
        <v>3.23333333333333</v>
      </c>
      <c r="M136" s="8"/>
      <c r="N136" s="8"/>
      <c r="O136" s="10"/>
      <c r="P136" s="11"/>
      <c r="Q136" s="12"/>
    </row>
    <row r="137" ht="16.5" spans="1:17">
      <c r="A137" s="5" t="s">
        <v>1257</v>
      </c>
      <c r="B137" s="5" t="s">
        <v>1258</v>
      </c>
      <c r="C137" s="6">
        <v>45957</v>
      </c>
      <c r="D137" s="7" t="s">
        <v>34</v>
      </c>
      <c r="E137" s="7" t="s">
        <v>351</v>
      </c>
      <c r="F137" s="7" t="s">
        <v>1595</v>
      </c>
      <c r="G137" s="7" t="s">
        <v>1173</v>
      </c>
      <c r="H137" s="7" t="s">
        <v>1690</v>
      </c>
      <c r="I137" s="8" t="s">
        <v>1850</v>
      </c>
      <c r="J137" s="6">
        <v>46055</v>
      </c>
      <c r="K137" s="8">
        <v>0</v>
      </c>
      <c r="L137" s="9">
        <v>3.26666666666667</v>
      </c>
      <c r="M137" s="8"/>
      <c r="N137" s="8"/>
      <c r="O137" s="10"/>
      <c r="P137" s="11"/>
      <c r="Q137" s="12"/>
    </row>
    <row r="138" ht="16.5" spans="1:17">
      <c r="A138" s="5" t="s">
        <v>1307</v>
      </c>
      <c r="B138" s="5" t="s">
        <v>1308</v>
      </c>
      <c r="C138" s="6">
        <v>45955</v>
      </c>
      <c r="D138" s="7" t="s">
        <v>38</v>
      </c>
      <c r="E138" s="7" t="s">
        <v>144</v>
      </c>
      <c r="F138" s="7" t="s">
        <v>185</v>
      </c>
      <c r="G138" s="7" t="s">
        <v>1173</v>
      </c>
      <c r="H138" s="7" t="s">
        <v>1690</v>
      </c>
      <c r="I138" s="8" t="s">
        <v>1850</v>
      </c>
      <c r="J138" s="6">
        <v>46055</v>
      </c>
      <c r="K138" s="8">
        <v>0</v>
      </c>
      <c r="L138" s="9">
        <v>3.33333333333333</v>
      </c>
      <c r="M138" s="8"/>
      <c r="N138" s="8"/>
      <c r="O138" s="10"/>
      <c r="P138" s="11"/>
      <c r="Q138" s="12"/>
    </row>
    <row r="139" ht="16.5" spans="1:17">
      <c r="A139" s="5" t="s">
        <v>1974</v>
      </c>
      <c r="B139" s="5" t="s">
        <v>1975</v>
      </c>
      <c r="C139" s="6">
        <v>45955</v>
      </c>
      <c r="D139" s="7" t="s">
        <v>38</v>
      </c>
      <c r="E139" s="7" t="s">
        <v>63</v>
      </c>
      <c r="F139" s="7" t="s">
        <v>481</v>
      </c>
      <c r="G139" s="7" t="s">
        <v>1173</v>
      </c>
      <c r="H139" s="7" t="s">
        <v>1690</v>
      </c>
      <c r="I139" s="8" t="s">
        <v>1850</v>
      </c>
      <c r="J139" s="6">
        <v>46055</v>
      </c>
      <c r="K139" s="8">
        <v>0</v>
      </c>
      <c r="L139" s="9">
        <v>3.33333333333333</v>
      </c>
      <c r="M139" s="8"/>
      <c r="N139" s="8"/>
      <c r="O139" s="10"/>
      <c r="P139" s="11"/>
      <c r="Q139" s="12"/>
    </row>
    <row r="140" ht="16.5" spans="1:17">
      <c r="A140" s="5" t="s">
        <v>1976</v>
      </c>
      <c r="B140" s="5" t="s">
        <v>1977</v>
      </c>
      <c r="C140" s="6">
        <v>45929</v>
      </c>
      <c r="D140" s="7" t="e">
        <v>#N/A</v>
      </c>
      <c r="E140" s="7" t="e">
        <v>#N/A</v>
      </c>
      <c r="F140" s="7" t="e">
        <v>#N/A</v>
      </c>
      <c r="G140" s="7" t="s">
        <v>1173</v>
      </c>
      <c r="H140" s="7" t="s">
        <v>1690</v>
      </c>
      <c r="I140" s="8" t="e">
        <v>#N/A</v>
      </c>
      <c r="J140" s="6">
        <v>46055</v>
      </c>
      <c r="K140" s="6">
        <v>46029</v>
      </c>
      <c r="L140" s="9">
        <v>3.33333333333333</v>
      </c>
      <c r="M140" s="8"/>
      <c r="N140" s="8"/>
      <c r="O140" s="10"/>
      <c r="P140" s="11"/>
      <c r="Q140" s="12"/>
    </row>
    <row r="141" ht="16.5" spans="1:17">
      <c r="A141" s="5" t="s">
        <v>1978</v>
      </c>
      <c r="B141" s="5" t="s">
        <v>1979</v>
      </c>
      <c r="C141" s="6">
        <v>45954</v>
      </c>
      <c r="D141" s="7" t="s">
        <v>35</v>
      </c>
      <c r="E141" s="7" t="s">
        <v>125</v>
      </c>
      <c r="F141" s="7" t="s">
        <v>584</v>
      </c>
      <c r="G141" s="7" t="s">
        <v>1173</v>
      </c>
      <c r="H141" s="7" t="s">
        <v>1690</v>
      </c>
      <c r="I141" s="8" t="s">
        <v>1850</v>
      </c>
      <c r="J141" s="6">
        <v>46055</v>
      </c>
      <c r="K141" s="8">
        <v>0</v>
      </c>
      <c r="L141" s="9">
        <v>3.36666666666667</v>
      </c>
      <c r="M141" s="6">
        <v>46051</v>
      </c>
      <c r="N141" s="8" t="s">
        <v>1875</v>
      </c>
      <c r="O141" s="10"/>
      <c r="P141" s="11"/>
      <c r="Q141" s="12"/>
    </row>
    <row r="142" ht="16.5" spans="1:17">
      <c r="A142" s="5" t="s">
        <v>1980</v>
      </c>
      <c r="B142" s="5" t="s">
        <v>1981</v>
      </c>
      <c r="C142" s="6">
        <v>45953</v>
      </c>
      <c r="D142" s="7" t="s">
        <v>31</v>
      </c>
      <c r="E142" s="7" t="s">
        <v>90</v>
      </c>
      <c r="F142" s="7" t="s">
        <v>473</v>
      </c>
      <c r="G142" s="7" t="s">
        <v>1173</v>
      </c>
      <c r="H142" s="7" t="s">
        <v>1705</v>
      </c>
      <c r="I142" s="8" t="s">
        <v>1850</v>
      </c>
      <c r="J142" s="6">
        <v>46055</v>
      </c>
      <c r="K142" s="8">
        <v>0</v>
      </c>
      <c r="L142" s="9">
        <v>3.4</v>
      </c>
      <c r="M142" s="8"/>
      <c r="N142" s="8"/>
      <c r="O142" s="10"/>
      <c r="P142" s="11"/>
      <c r="Q142" s="12"/>
    </row>
    <row r="143" ht="16.5" spans="1:17">
      <c r="A143" s="5" t="s">
        <v>1982</v>
      </c>
      <c r="B143" s="5" t="s">
        <v>1983</v>
      </c>
      <c r="C143" s="6">
        <v>45953</v>
      </c>
      <c r="D143" s="7" t="s">
        <v>37</v>
      </c>
      <c r="E143" s="7" t="s">
        <v>109</v>
      </c>
      <c r="F143" s="7" t="s">
        <v>108</v>
      </c>
      <c r="G143" s="7" t="s">
        <v>1173</v>
      </c>
      <c r="H143" s="7" t="s">
        <v>1690</v>
      </c>
      <c r="I143" s="8" t="s">
        <v>1850</v>
      </c>
      <c r="J143" s="6">
        <v>46055</v>
      </c>
      <c r="K143" s="8">
        <v>0</v>
      </c>
      <c r="L143" s="9">
        <v>3.4</v>
      </c>
      <c r="M143" s="6">
        <v>46080</v>
      </c>
      <c r="N143" s="8" t="s">
        <v>1875</v>
      </c>
      <c r="O143" s="10"/>
      <c r="P143" s="11"/>
      <c r="Q143" s="12"/>
    </row>
    <row r="144" ht="16.5" spans="1:17">
      <c r="A144" s="5" t="s">
        <v>1984</v>
      </c>
      <c r="B144" s="5" t="s">
        <v>1985</v>
      </c>
      <c r="C144" s="6">
        <v>45951</v>
      </c>
      <c r="D144" s="7" t="s">
        <v>38</v>
      </c>
      <c r="E144" s="7" t="s">
        <v>75</v>
      </c>
      <c r="F144" s="7" t="s">
        <v>306</v>
      </c>
      <c r="G144" s="7" t="s">
        <v>1173</v>
      </c>
      <c r="H144" s="7" t="s">
        <v>1690</v>
      </c>
      <c r="I144" s="8" t="s">
        <v>1850</v>
      </c>
      <c r="J144" s="6">
        <v>46055</v>
      </c>
      <c r="K144" s="8">
        <v>0</v>
      </c>
      <c r="L144" s="9">
        <v>3.46666666666667</v>
      </c>
      <c r="M144" s="8"/>
      <c r="N144" s="8"/>
      <c r="O144" s="10"/>
      <c r="P144" s="11"/>
      <c r="Q144" s="12"/>
    </row>
    <row r="145" ht="16.5" spans="1:17">
      <c r="A145" s="5" t="s">
        <v>1986</v>
      </c>
      <c r="B145" s="5" t="s">
        <v>1987</v>
      </c>
      <c r="C145" s="6">
        <v>45950</v>
      </c>
      <c r="D145" s="7" t="s">
        <v>38</v>
      </c>
      <c r="E145" s="7" t="s">
        <v>70</v>
      </c>
      <c r="F145" s="7" t="s">
        <v>242</v>
      </c>
      <c r="G145" s="7" t="s">
        <v>1173</v>
      </c>
      <c r="H145" s="7" t="s">
        <v>1705</v>
      </c>
      <c r="I145" s="8" t="s">
        <v>1850</v>
      </c>
      <c r="J145" s="6">
        <v>46055</v>
      </c>
      <c r="K145" s="8">
        <v>0</v>
      </c>
      <c r="L145" s="9">
        <v>3.5</v>
      </c>
      <c r="M145" s="6">
        <v>46051</v>
      </c>
      <c r="N145" s="8" t="s">
        <v>1875</v>
      </c>
      <c r="O145" s="10"/>
      <c r="P145" s="11"/>
      <c r="Q145" s="12"/>
    </row>
    <row r="146" ht="16.5" spans="1:17">
      <c r="A146" s="5" t="s">
        <v>1988</v>
      </c>
      <c r="B146" s="5" t="s">
        <v>1989</v>
      </c>
      <c r="C146" s="6">
        <v>45950</v>
      </c>
      <c r="D146" s="7" t="s">
        <v>31</v>
      </c>
      <c r="E146" s="7" t="s">
        <v>79</v>
      </c>
      <c r="F146" s="7" t="s">
        <v>189</v>
      </c>
      <c r="G146" s="7" t="s">
        <v>1173</v>
      </c>
      <c r="H146" s="7" t="s">
        <v>1705</v>
      </c>
      <c r="I146" s="8" t="s">
        <v>1850</v>
      </c>
      <c r="J146" s="6">
        <v>46055</v>
      </c>
      <c r="K146" s="8">
        <v>0</v>
      </c>
      <c r="L146" s="9">
        <v>3.5</v>
      </c>
      <c r="M146" s="6">
        <v>45986</v>
      </c>
      <c r="N146" s="8" t="s">
        <v>1875</v>
      </c>
      <c r="O146" s="10"/>
      <c r="P146" s="11"/>
      <c r="Q146" s="12"/>
    </row>
    <row r="147" ht="16.5" spans="1:17">
      <c r="A147" s="5" t="s">
        <v>1990</v>
      </c>
      <c r="B147" s="5" t="s">
        <v>1991</v>
      </c>
      <c r="C147" s="6">
        <v>45950</v>
      </c>
      <c r="D147" s="7" t="s">
        <v>37</v>
      </c>
      <c r="E147" s="7" t="s">
        <v>109</v>
      </c>
      <c r="F147" s="7" t="s">
        <v>108</v>
      </c>
      <c r="G147" s="7" t="s">
        <v>1173</v>
      </c>
      <c r="H147" s="7" t="s">
        <v>1690</v>
      </c>
      <c r="I147" s="8" t="s">
        <v>1850</v>
      </c>
      <c r="J147" s="6">
        <v>46055</v>
      </c>
      <c r="K147" s="8">
        <v>0</v>
      </c>
      <c r="L147" s="9">
        <v>3.5</v>
      </c>
      <c r="M147" s="8"/>
      <c r="N147" s="8"/>
      <c r="O147" s="10"/>
      <c r="P147" s="11"/>
      <c r="Q147" s="12"/>
    </row>
    <row r="148" ht="16.5" spans="1:17">
      <c r="A148" s="5" t="s">
        <v>1992</v>
      </c>
      <c r="B148" s="5" t="s">
        <v>1993</v>
      </c>
      <c r="C148" s="6">
        <v>45950</v>
      </c>
      <c r="D148" s="7" t="s">
        <v>36</v>
      </c>
      <c r="E148" s="7" t="s">
        <v>173</v>
      </c>
      <c r="F148" s="7" t="s">
        <v>1922</v>
      </c>
      <c r="G148" s="7" t="s">
        <v>1173</v>
      </c>
      <c r="H148" s="7" t="s">
        <v>1705</v>
      </c>
      <c r="I148" s="8" t="s">
        <v>1850</v>
      </c>
      <c r="J148" s="6">
        <v>46055</v>
      </c>
      <c r="K148" s="8">
        <v>0</v>
      </c>
      <c r="L148" s="9">
        <v>3.5</v>
      </c>
      <c r="M148" s="8"/>
      <c r="N148" s="8"/>
      <c r="O148" s="10"/>
      <c r="P148" s="11"/>
      <c r="Q148" s="12"/>
    </row>
    <row r="149" ht="16.5" spans="1:17">
      <c r="A149" s="5" t="s">
        <v>1994</v>
      </c>
      <c r="B149" s="5" t="s">
        <v>1995</v>
      </c>
      <c r="C149" s="6">
        <v>45949</v>
      </c>
      <c r="D149" s="7" t="s">
        <v>37</v>
      </c>
      <c r="E149" s="7" t="s">
        <v>152</v>
      </c>
      <c r="F149" s="7" t="s">
        <v>288</v>
      </c>
      <c r="G149" s="7" t="s">
        <v>1173</v>
      </c>
      <c r="H149" s="7" t="s">
        <v>1690</v>
      </c>
      <c r="I149" s="8" t="s">
        <v>1850</v>
      </c>
      <c r="J149" s="6">
        <v>46055</v>
      </c>
      <c r="K149" s="8">
        <v>0</v>
      </c>
      <c r="L149" s="9">
        <v>3.53333333333333</v>
      </c>
      <c r="M149" s="8"/>
      <c r="N149" s="8"/>
      <c r="O149" s="10"/>
      <c r="P149" s="11"/>
      <c r="Q149" s="12"/>
    </row>
    <row r="150" ht="16.5" spans="1:17">
      <c r="A150" s="5" t="s">
        <v>1485</v>
      </c>
      <c r="B150" s="5" t="s">
        <v>1996</v>
      </c>
      <c r="C150" s="6">
        <v>45947</v>
      </c>
      <c r="D150" s="7" t="s">
        <v>38</v>
      </c>
      <c r="E150" s="7" t="s">
        <v>148</v>
      </c>
      <c r="F150" s="7" t="s">
        <v>258</v>
      </c>
      <c r="G150" s="7" t="s">
        <v>1173</v>
      </c>
      <c r="H150" s="7" t="s">
        <v>1705</v>
      </c>
      <c r="I150" s="8" t="s">
        <v>1850</v>
      </c>
      <c r="J150" s="6">
        <v>46055</v>
      </c>
      <c r="K150" s="8">
        <v>0</v>
      </c>
      <c r="L150" s="9">
        <v>3.6</v>
      </c>
      <c r="M150" s="6">
        <v>46079</v>
      </c>
      <c r="N150" s="8" t="s">
        <v>1875</v>
      </c>
      <c r="O150" s="10"/>
      <c r="P150" s="11"/>
      <c r="Q150" s="12"/>
    </row>
    <row r="151" ht="16.5" spans="1:17">
      <c r="A151" s="5" t="s">
        <v>1997</v>
      </c>
      <c r="B151" s="5" t="s">
        <v>1998</v>
      </c>
      <c r="C151" s="6">
        <v>45947</v>
      </c>
      <c r="D151" s="7" t="s">
        <v>38</v>
      </c>
      <c r="E151" s="7" t="s">
        <v>75</v>
      </c>
      <c r="F151" s="7" t="s">
        <v>306</v>
      </c>
      <c r="G151" s="7" t="s">
        <v>1173</v>
      </c>
      <c r="H151" s="7" t="s">
        <v>1690</v>
      </c>
      <c r="I151" s="8" t="s">
        <v>1850</v>
      </c>
      <c r="J151" s="6">
        <v>46055</v>
      </c>
      <c r="K151" s="8">
        <v>0</v>
      </c>
      <c r="L151" s="9">
        <v>3.6</v>
      </c>
      <c r="M151" s="8"/>
      <c r="N151" s="8"/>
      <c r="O151" s="10"/>
      <c r="P151" s="11"/>
      <c r="Q151" s="12"/>
    </row>
    <row r="152" ht="16.5" spans="1:17">
      <c r="A152" s="5" t="s">
        <v>1225</v>
      </c>
      <c r="B152" s="5" t="s">
        <v>1226</v>
      </c>
      <c r="C152" s="6">
        <v>45946</v>
      </c>
      <c r="D152" s="7" t="s">
        <v>31</v>
      </c>
      <c r="E152" s="7" t="s">
        <v>90</v>
      </c>
      <c r="F152" s="7" t="s">
        <v>1593</v>
      </c>
      <c r="G152" s="7" t="s">
        <v>1173</v>
      </c>
      <c r="H152" s="7" t="s">
        <v>1690</v>
      </c>
      <c r="I152" s="8" t="s">
        <v>1850</v>
      </c>
      <c r="J152" s="6">
        <v>46055</v>
      </c>
      <c r="K152" s="8">
        <v>0</v>
      </c>
      <c r="L152" s="9">
        <v>3.63333333333333</v>
      </c>
      <c r="M152" s="8"/>
      <c r="N152" s="8"/>
      <c r="O152" s="10"/>
      <c r="P152" s="11"/>
      <c r="Q152" s="12"/>
    </row>
    <row r="153" ht="16.5" spans="1:17">
      <c r="A153" s="5" t="s">
        <v>1486</v>
      </c>
      <c r="B153" s="5" t="s">
        <v>1999</v>
      </c>
      <c r="C153" s="6">
        <v>45945</v>
      </c>
      <c r="D153" s="7" t="s">
        <v>38</v>
      </c>
      <c r="E153" s="7" t="s">
        <v>148</v>
      </c>
      <c r="F153" s="7" t="s">
        <v>258</v>
      </c>
      <c r="G153" s="7" t="s">
        <v>1173</v>
      </c>
      <c r="H153" s="7" t="s">
        <v>1705</v>
      </c>
      <c r="I153" s="8" t="s">
        <v>1850</v>
      </c>
      <c r="J153" s="6">
        <v>46055</v>
      </c>
      <c r="K153" s="8">
        <v>0</v>
      </c>
      <c r="L153" s="9">
        <v>3.66666666666667</v>
      </c>
      <c r="M153" s="6">
        <v>46080</v>
      </c>
      <c r="N153" s="8" t="s">
        <v>1875</v>
      </c>
      <c r="O153" s="10"/>
      <c r="P153" s="11"/>
      <c r="Q153" s="12"/>
    </row>
    <row r="154" ht="16.5" spans="1:17">
      <c r="A154" s="5" t="s">
        <v>1438</v>
      </c>
      <c r="B154" s="5" t="s">
        <v>2000</v>
      </c>
      <c r="C154" s="6">
        <v>45944</v>
      </c>
      <c r="D154" s="7" t="s">
        <v>38</v>
      </c>
      <c r="E154" s="7" t="s">
        <v>75</v>
      </c>
      <c r="F154" s="7" t="s">
        <v>176</v>
      </c>
      <c r="G154" s="7" t="s">
        <v>1173</v>
      </c>
      <c r="H154" s="7" t="s">
        <v>1690</v>
      </c>
      <c r="I154" s="8" t="s">
        <v>1850</v>
      </c>
      <c r="J154" s="6">
        <v>46055</v>
      </c>
      <c r="K154" s="8">
        <v>0</v>
      </c>
      <c r="L154" s="9">
        <v>3.7</v>
      </c>
      <c r="M154" s="6">
        <v>46079</v>
      </c>
      <c r="N154" s="8" t="s">
        <v>1875</v>
      </c>
      <c r="O154" s="10"/>
      <c r="P154" s="11"/>
      <c r="Q154" s="12"/>
    </row>
    <row r="155" ht="16.5" spans="1:17">
      <c r="A155" s="5" t="s">
        <v>1497</v>
      </c>
      <c r="B155" s="5" t="s">
        <v>2001</v>
      </c>
      <c r="C155" s="6">
        <v>45944</v>
      </c>
      <c r="D155" s="7" t="s">
        <v>38</v>
      </c>
      <c r="E155" s="7" t="s">
        <v>168</v>
      </c>
      <c r="F155" s="7" t="s">
        <v>167</v>
      </c>
      <c r="G155" s="7" t="s">
        <v>1173</v>
      </c>
      <c r="H155" s="7" t="s">
        <v>1705</v>
      </c>
      <c r="I155" s="8" t="s">
        <v>1850</v>
      </c>
      <c r="J155" s="6">
        <v>46055</v>
      </c>
      <c r="K155" s="8">
        <v>0</v>
      </c>
      <c r="L155" s="9">
        <v>3.7</v>
      </c>
      <c r="M155" s="6">
        <v>46080</v>
      </c>
      <c r="N155" s="8" t="s">
        <v>1875</v>
      </c>
      <c r="O155" s="10"/>
      <c r="P155" s="11"/>
      <c r="Q155" s="12"/>
    </row>
    <row r="156" ht="16.5" spans="1:17">
      <c r="A156" s="5" t="s">
        <v>1447</v>
      </c>
      <c r="B156" s="5" t="s">
        <v>2002</v>
      </c>
      <c r="C156" s="6">
        <v>45943</v>
      </c>
      <c r="D156" s="7" t="s">
        <v>38</v>
      </c>
      <c r="E156" s="7" t="s">
        <v>144</v>
      </c>
      <c r="F156" s="7" t="s">
        <v>216</v>
      </c>
      <c r="G156" s="7" t="s">
        <v>1173</v>
      </c>
      <c r="H156" s="7" t="s">
        <v>1690</v>
      </c>
      <c r="I156" s="8" t="s">
        <v>1850</v>
      </c>
      <c r="J156" s="6">
        <v>46055</v>
      </c>
      <c r="K156" s="8">
        <v>0</v>
      </c>
      <c r="L156" s="9">
        <v>3.73333333333333</v>
      </c>
      <c r="M156" s="6">
        <v>46051</v>
      </c>
      <c r="N156" s="8" t="s">
        <v>1875</v>
      </c>
      <c r="O156" s="10">
        <v>46054</v>
      </c>
      <c r="P156" s="11">
        <f>(O156-C156)/30</f>
        <v>3.7</v>
      </c>
      <c r="Q156" s="12"/>
    </row>
    <row r="157" ht="16.5" spans="1:17">
      <c r="A157" s="5" t="s">
        <v>2003</v>
      </c>
      <c r="B157" s="5" t="s">
        <v>2004</v>
      </c>
      <c r="C157" s="6">
        <v>45943</v>
      </c>
      <c r="D157" s="7" t="s">
        <v>37</v>
      </c>
      <c r="E157" s="7" t="s">
        <v>109</v>
      </c>
      <c r="F157" s="7" t="s">
        <v>270</v>
      </c>
      <c r="G157" s="7" t="s">
        <v>1173</v>
      </c>
      <c r="H157" s="7" t="s">
        <v>1690</v>
      </c>
      <c r="I157" s="8" t="s">
        <v>1850</v>
      </c>
      <c r="J157" s="6">
        <v>46055</v>
      </c>
      <c r="K157" s="8">
        <v>0</v>
      </c>
      <c r="L157" s="9">
        <v>3.73333333333333</v>
      </c>
      <c r="M157" s="8"/>
      <c r="N157" s="8"/>
      <c r="O157" s="10"/>
      <c r="P157" s="11"/>
      <c r="Q157" s="12"/>
    </row>
    <row r="158" ht="16.5" spans="1:17">
      <c r="A158" s="5" t="s">
        <v>2005</v>
      </c>
      <c r="B158" s="5" t="s">
        <v>2006</v>
      </c>
      <c r="C158" s="6">
        <v>45943</v>
      </c>
      <c r="D158" s="7" t="s">
        <v>35</v>
      </c>
      <c r="E158" s="7" t="s">
        <v>125</v>
      </c>
      <c r="F158" s="7" t="s">
        <v>1588</v>
      </c>
      <c r="G158" s="7" t="s">
        <v>1173</v>
      </c>
      <c r="H158" s="7" t="s">
        <v>1690</v>
      </c>
      <c r="I158" s="8" t="s">
        <v>1850</v>
      </c>
      <c r="J158" s="6">
        <v>46055</v>
      </c>
      <c r="K158" s="8">
        <v>0</v>
      </c>
      <c r="L158" s="9">
        <v>3.73333333333333</v>
      </c>
      <c r="M158" s="8"/>
      <c r="N158" s="8"/>
      <c r="O158" s="10"/>
      <c r="P158" s="11"/>
      <c r="Q158" s="12"/>
    </row>
    <row r="159" ht="16.5" spans="1:17">
      <c r="A159" s="5" t="s">
        <v>1472</v>
      </c>
      <c r="B159" s="5" t="s">
        <v>2007</v>
      </c>
      <c r="C159" s="6">
        <v>45943</v>
      </c>
      <c r="D159" s="7" t="s">
        <v>29</v>
      </c>
      <c r="E159" s="7" t="s">
        <v>130</v>
      </c>
      <c r="F159" s="7" t="s">
        <v>1592</v>
      </c>
      <c r="G159" s="7" t="s">
        <v>1173</v>
      </c>
      <c r="H159" s="7" t="s">
        <v>1690</v>
      </c>
      <c r="I159" s="8" t="s">
        <v>1850</v>
      </c>
      <c r="J159" s="6">
        <v>46055</v>
      </c>
      <c r="K159" s="8">
        <v>0</v>
      </c>
      <c r="L159" s="9">
        <v>3.73333333333333</v>
      </c>
      <c r="M159" s="6">
        <v>46080</v>
      </c>
      <c r="N159" s="8" t="s">
        <v>1875</v>
      </c>
      <c r="O159" s="10"/>
      <c r="P159" s="11"/>
      <c r="Q159" s="12"/>
    </row>
    <row r="160" ht="16.5" spans="1:17">
      <c r="A160" s="5" t="s">
        <v>1263</v>
      </c>
      <c r="B160" s="5" t="s">
        <v>1264</v>
      </c>
      <c r="C160" s="6">
        <v>45941</v>
      </c>
      <c r="D160" s="7" t="s">
        <v>38</v>
      </c>
      <c r="E160" s="7" t="s">
        <v>75</v>
      </c>
      <c r="F160" s="7" t="s">
        <v>74</v>
      </c>
      <c r="G160" s="7" t="s">
        <v>1173</v>
      </c>
      <c r="H160" s="7" t="s">
        <v>1690</v>
      </c>
      <c r="I160" s="8" t="s">
        <v>1850</v>
      </c>
      <c r="J160" s="6">
        <v>46055</v>
      </c>
      <c r="K160" s="8">
        <v>0</v>
      </c>
      <c r="L160" s="9">
        <v>3.8</v>
      </c>
      <c r="M160" s="6">
        <v>46038</v>
      </c>
      <c r="N160" s="8" t="s">
        <v>1875</v>
      </c>
      <c r="O160" s="10">
        <v>46054</v>
      </c>
      <c r="P160" s="11">
        <f>(O160-C160)/30</f>
        <v>3.76666666666667</v>
      </c>
      <c r="Q160" s="12"/>
    </row>
    <row r="161" ht="16.5" spans="1:17">
      <c r="A161" s="5" t="s">
        <v>2008</v>
      </c>
      <c r="B161" s="5" t="s">
        <v>2009</v>
      </c>
      <c r="C161" s="6">
        <v>45941</v>
      </c>
      <c r="D161" s="7" t="s">
        <v>37</v>
      </c>
      <c r="E161" s="7" t="s">
        <v>152</v>
      </c>
      <c r="F161" s="7" t="s">
        <v>251</v>
      </c>
      <c r="G161" s="7" t="s">
        <v>1173</v>
      </c>
      <c r="H161" s="7" t="s">
        <v>1690</v>
      </c>
      <c r="I161" s="8" t="s">
        <v>1850</v>
      </c>
      <c r="J161" s="6">
        <v>46055</v>
      </c>
      <c r="K161" s="8">
        <v>0</v>
      </c>
      <c r="L161" s="9">
        <v>3.8</v>
      </c>
      <c r="M161" s="8"/>
      <c r="N161" s="8"/>
      <c r="O161" s="10"/>
      <c r="P161" s="11"/>
      <c r="Q161" s="12"/>
    </row>
    <row r="162" ht="16.5" spans="1:17">
      <c r="A162" s="5" t="s">
        <v>1451</v>
      </c>
      <c r="B162" s="5" t="s">
        <v>2010</v>
      </c>
      <c r="C162" s="6">
        <v>45940</v>
      </c>
      <c r="D162" s="7" t="s">
        <v>36</v>
      </c>
      <c r="E162" s="7" t="s">
        <v>173</v>
      </c>
      <c r="F162" s="7" t="s">
        <v>354</v>
      </c>
      <c r="G162" s="7" t="s">
        <v>1173</v>
      </c>
      <c r="H162" s="7" t="s">
        <v>1690</v>
      </c>
      <c r="I162" s="8" t="s">
        <v>1850</v>
      </c>
      <c r="J162" s="6">
        <v>46055</v>
      </c>
      <c r="K162" s="8">
        <v>0</v>
      </c>
      <c r="L162" s="9">
        <v>3.83333333333333</v>
      </c>
      <c r="M162" s="6">
        <v>46039</v>
      </c>
      <c r="N162" s="8" t="s">
        <v>1875</v>
      </c>
      <c r="O162" s="10">
        <v>46054</v>
      </c>
      <c r="P162" s="11">
        <f>(O162-C162)/30</f>
        <v>3.8</v>
      </c>
      <c r="Q162" s="12"/>
    </row>
    <row r="163" ht="16.5" spans="1:17">
      <c r="A163" s="5" t="s">
        <v>1480</v>
      </c>
      <c r="B163" s="5" t="s">
        <v>2011</v>
      </c>
      <c r="C163" s="6">
        <v>45939</v>
      </c>
      <c r="D163" s="7" t="s">
        <v>38</v>
      </c>
      <c r="E163" s="7" t="s">
        <v>63</v>
      </c>
      <c r="F163" s="7" t="s">
        <v>494</v>
      </c>
      <c r="G163" s="7" t="s">
        <v>1173</v>
      </c>
      <c r="H163" s="7" t="s">
        <v>1705</v>
      </c>
      <c r="I163" s="8" t="s">
        <v>1850</v>
      </c>
      <c r="J163" s="6">
        <v>46055</v>
      </c>
      <c r="K163" s="8">
        <v>0</v>
      </c>
      <c r="L163" s="9">
        <v>3.86666666666667</v>
      </c>
      <c r="M163" s="6">
        <v>46045</v>
      </c>
      <c r="N163" s="8" t="s">
        <v>1875</v>
      </c>
      <c r="O163" s="10">
        <v>46054</v>
      </c>
      <c r="P163" s="11">
        <f>(O163-C163)/30</f>
        <v>3.83333333333333</v>
      </c>
      <c r="Q163" s="12"/>
    </row>
    <row r="164" ht="16.5" spans="1:17">
      <c r="A164" s="5" t="s">
        <v>1452</v>
      </c>
      <c r="B164" s="5" t="s">
        <v>2012</v>
      </c>
      <c r="C164" s="6">
        <v>45938</v>
      </c>
      <c r="D164" s="7" t="s">
        <v>37</v>
      </c>
      <c r="E164" s="7" t="s">
        <v>109</v>
      </c>
      <c r="F164" s="7" t="s">
        <v>422</v>
      </c>
      <c r="G164" s="7" t="s">
        <v>1173</v>
      </c>
      <c r="H164" s="7" t="s">
        <v>1690</v>
      </c>
      <c r="I164" s="8" t="s">
        <v>1850</v>
      </c>
      <c r="J164" s="6">
        <v>46055</v>
      </c>
      <c r="K164" s="8">
        <v>0</v>
      </c>
      <c r="L164" s="9">
        <v>3.9</v>
      </c>
      <c r="M164" s="6">
        <v>46052</v>
      </c>
      <c r="N164" s="8" t="s">
        <v>1875</v>
      </c>
      <c r="O164" s="10"/>
      <c r="P164" s="11"/>
      <c r="Q164" s="12"/>
    </row>
    <row r="165" ht="16.5" spans="1:17">
      <c r="A165" s="5" t="s">
        <v>1491</v>
      </c>
      <c r="B165" s="5" t="s">
        <v>2013</v>
      </c>
      <c r="C165" s="6">
        <v>45938</v>
      </c>
      <c r="D165" s="7" t="s">
        <v>38</v>
      </c>
      <c r="E165" s="7" t="s">
        <v>148</v>
      </c>
      <c r="F165" s="7" t="s">
        <v>147</v>
      </c>
      <c r="G165" s="7" t="s">
        <v>1173</v>
      </c>
      <c r="H165" s="7" t="s">
        <v>1705</v>
      </c>
      <c r="I165" s="8" t="s">
        <v>1850</v>
      </c>
      <c r="J165" s="6">
        <v>46055</v>
      </c>
      <c r="K165" s="8">
        <v>0</v>
      </c>
      <c r="L165" s="9">
        <v>3.9</v>
      </c>
      <c r="M165" s="6">
        <v>46080</v>
      </c>
      <c r="N165" s="8" t="s">
        <v>1875</v>
      </c>
      <c r="O165" s="10"/>
      <c r="P165" s="11"/>
      <c r="Q165" s="12"/>
    </row>
    <row r="166" ht="16.5" spans="1:17">
      <c r="A166" s="5" t="s">
        <v>2014</v>
      </c>
      <c r="B166" s="5" t="s">
        <v>2015</v>
      </c>
      <c r="C166" s="6">
        <v>45935</v>
      </c>
      <c r="D166" s="7" t="s">
        <v>29</v>
      </c>
      <c r="E166" s="7" t="s">
        <v>130</v>
      </c>
      <c r="F166" s="7" t="s">
        <v>2016</v>
      </c>
      <c r="G166" s="7" t="s">
        <v>1173</v>
      </c>
      <c r="H166" s="7" t="s">
        <v>1690</v>
      </c>
      <c r="I166" s="8" t="s">
        <v>1850</v>
      </c>
      <c r="J166" s="6">
        <v>46055</v>
      </c>
      <c r="K166" s="8">
        <v>0</v>
      </c>
      <c r="L166" s="9">
        <v>4</v>
      </c>
      <c r="M166" s="8"/>
      <c r="N166" s="8"/>
      <c r="O166" s="10"/>
      <c r="P166" s="11"/>
      <c r="Q166" s="12"/>
    </row>
    <row r="167" ht="16.5" spans="1:17">
      <c r="A167" s="5" t="s">
        <v>2017</v>
      </c>
      <c r="B167" s="5" t="s">
        <v>2018</v>
      </c>
      <c r="C167" s="6">
        <v>45932</v>
      </c>
      <c r="D167" s="7" t="s">
        <v>37</v>
      </c>
      <c r="E167" s="7" t="s">
        <v>109</v>
      </c>
      <c r="F167" s="7" t="s">
        <v>270</v>
      </c>
      <c r="G167" s="7" t="s">
        <v>1173</v>
      </c>
      <c r="H167" s="7" t="s">
        <v>1705</v>
      </c>
      <c r="I167" s="8" t="s">
        <v>1850</v>
      </c>
      <c r="J167" s="6">
        <v>46055</v>
      </c>
      <c r="K167" s="8">
        <v>0</v>
      </c>
      <c r="L167" s="9">
        <v>4.1</v>
      </c>
      <c r="M167" s="8"/>
      <c r="N167" s="8"/>
      <c r="O167" s="10"/>
      <c r="P167" s="11"/>
      <c r="Q167" s="12"/>
    </row>
    <row r="168" ht="16.5" spans="1:17">
      <c r="A168" s="5" t="s">
        <v>1481</v>
      </c>
      <c r="B168" s="5" t="s">
        <v>2019</v>
      </c>
      <c r="C168" s="6">
        <v>45927</v>
      </c>
      <c r="D168" s="7" t="s">
        <v>38</v>
      </c>
      <c r="E168" s="7" t="s">
        <v>63</v>
      </c>
      <c r="F168" s="7" t="s">
        <v>494</v>
      </c>
      <c r="G168" s="7" t="s">
        <v>1173</v>
      </c>
      <c r="H168" s="7" t="s">
        <v>1690</v>
      </c>
      <c r="I168" s="8" t="s">
        <v>1850</v>
      </c>
      <c r="J168" s="6">
        <v>46055</v>
      </c>
      <c r="K168" s="8">
        <v>0</v>
      </c>
      <c r="L168" s="9">
        <v>4.26666666666667</v>
      </c>
      <c r="M168" s="6">
        <v>46045</v>
      </c>
      <c r="N168" s="8" t="s">
        <v>1875</v>
      </c>
      <c r="O168" s="10">
        <v>46054</v>
      </c>
      <c r="P168" s="11">
        <f>(O168-C168)/30</f>
        <v>4.23333333333333</v>
      </c>
      <c r="Q168" s="12"/>
    </row>
    <row r="169" ht="16.5" spans="1:17">
      <c r="A169" s="5" t="s">
        <v>2020</v>
      </c>
      <c r="B169" s="5" t="s">
        <v>2021</v>
      </c>
      <c r="C169" s="6">
        <v>45927</v>
      </c>
      <c r="D169" s="7" t="s">
        <v>32</v>
      </c>
      <c r="E169" s="7" t="s">
        <v>105</v>
      </c>
      <c r="F169" s="7" t="s">
        <v>1933</v>
      </c>
      <c r="G169" s="7" t="s">
        <v>1173</v>
      </c>
      <c r="H169" s="7" t="s">
        <v>1690</v>
      </c>
      <c r="I169" s="8" t="s">
        <v>1850</v>
      </c>
      <c r="J169" s="6">
        <v>46055</v>
      </c>
      <c r="K169" s="8">
        <v>0</v>
      </c>
      <c r="L169" s="9">
        <v>4.26666666666667</v>
      </c>
      <c r="M169" s="8"/>
      <c r="N169" s="8"/>
      <c r="O169" s="10"/>
      <c r="P169" s="11"/>
      <c r="Q169" s="12"/>
    </row>
    <row r="170" ht="16.5" spans="1:17">
      <c r="A170" s="5" t="s">
        <v>1489</v>
      </c>
      <c r="B170" s="5" t="s">
        <v>2022</v>
      </c>
      <c r="C170" s="6">
        <v>45920</v>
      </c>
      <c r="D170" s="7" t="s">
        <v>38</v>
      </c>
      <c r="E170" s="7" t="s">
        <v>168</v>
      </c>
      <c r="F170" s="7" t="s">
        <v>298</v>
      </c>
      <c r="G170" s="7" t="s">
        <v>1173</v>
      </c>
      <c r="H170" s="7" t="s">
        <v>1705</v>
      </c>
      <c r="I170" s="8" t="s">
        <v>1850</v>
      </c>
      <c r="J170" s="6">
        <v>46055</v>
      </c>
      <c r="K170" s="8">
        <v>0</v>
      </c>
      <c r="L170" s="9">
        <v>4.5</v>
      </c>
      <c r="M170" s="6">
        <v>46039</v>
      </c>
      <c r="N170" s="8" t="s">
        <v>1875</v>
      </c>
      <c r="O170" s="10">
        <v>46054</v>
      </c>
      <c r="P170" s="11">
        <f>(O170-C170)/30</f>
        <v>4.46666666666667</v>
      </c>
      <c r="Q170" s="12"/>
    </row>
    <row r="171" ht="16.5" spans="1:17">
      <c r="A171" s="5" t="s">
        <v>1490</v>
      </c>
      <c r="B171" s="5" t="s">
        <v>2023</v>
      </c>
      <c r="C171" s="6">
        <v>45918</v>
      </c>
      <c r="D171" s="7" t="s">
        <v>38</v>
      </c>
      <c r="E171" s="7" t="s">
        <v>168</v>
      </c>
      <c r="F171" s="7" t="s">
        <v>298</v>
      </c>
      <c r="G171" s="7" t="s">
        <v>1173</v>
      </c>
      <c r="H171" s="7" t="s">
        <v>1705</v>
      </c>
      <c r="I171" s="8" t="s">
        <v>1850</v>
      </c>
      <c r="J171" s="6">
        <v>46055</v>
      </c>
      <c r="K171" s="8">
        <v>0</v>
      </c>
      <c r="L171" s="9">
        <v>4.56666666666667</v>
      </c>
      <c r="M171" s="6">
        <v>45985</v>
      </c>
      <c r="N171" s="8" t="s">
        <v>1875</v>
      </c>
      <c r="O171" s="10">
        <v>46054</v>
      </c>
      <c r="P171" s="11">
        <f>(O171-C171)/30</f>
        <v>4.53333333333333</v>
      </c>
      <c r="Q171" s="12"/>
    </row>
    <row r="172" ht="16.5" spans="1:17">
      <c r="A172" s="5" t="s">
        <v>2024</v>
      </c>
      <c r="B172" s="5" t="s">
        <v>2025</v>
      </c>
      <c r="C172" s="6">
        <v>45915</v>
      </c>
      <c r="D172" s="7" t="s">
        <v>37</v>
      </c>
      <c r="E172" s="7" t="s">
        <v>109</v>
      </c>
      <c r="F172" s="7" t="s">
        <v>451</v>
      </c>
      <c r="G172" s="7" t="s">
        <v>1173</v>
      </c>
      <c r="H172" s="7" t="s">
        <v>1690</v>
      </c>
      <c r="I172" s="8" t="s">
        <v>1850</v>
      </c>
      <c r="J172" s="6">
        <v>46055</v>
      </c>
      <c r="K172" s="8">
        <v>0</v>
      </c>
      <c r="L172" s="9">
        <v>4.66666666666667</v>
      </c>
      <c r="M172" s="8"/>
      <c r="N172" s="8"/>
      <c r="O172" s="10"/>
      <c r="P172" s="11"/>
      <c r="Q172" s="12"/>
    </row>
    <row r="173" ht="16.5" spans="1:17">
      <c r="A173" s="5" t="s">
        <v>2026</v>
      </c>
      <c r="B173" s="5" t="s">
        <v>2027</v>
      </c>
      <c r="C173" s="6">
        <v>45895</v>
      </c>
      <c r="D173" s="7" t="e">
        <v>#N/A</v>
      </c>
      <c r="E173" s="7" t="e">
        <v>#N/A</v>
      </c>
      <c r="F173" s="7" t="e">
        <v>#N/A</v>
      </c>
      <c r="G173" s="7" t="s">
        <v>1173</v>
      </c>
      <c r="H173" s="7" t="s">
        <v>1690</v>
      </c>
      <c r="I173" s="8" t="e">
        <v>#N/A</v>
      </c>
      <c r="J173" s="6">
        <v>46055</v>
      </c>
      <c r="K173" s="6">
        <v>46035</v>
      </c>
      <c r="L173" s="9">
        <v>4.66666666666667</v>
      </c>
      <c r="M173" s="8"/>
      <c r="N173" s="8"/>
      <c r="O173" s="10"/>
      <c r="P173" s="11"/>
      <c r="Q173" s="12"/>
    </row>
    <row r="174" ht="16.5" spans="1:17">
      <c r="A174" s="5" t="s">
        <v>2028</v>
      </c>
      <c r="B174" s="5" t="s">
        <v>2029</v>
      </c>
      <c r="C174" s="6">
        <v>45913</v>
      </c>
      <c r="D174" s="7" t="s">
        <v>38</v>
      </c>
      <c r="E174" s="7" t="s">
        <v>70</v>
      </c>
      <c r="F174" s="7" t="s">
        <v>242</v>
      </c>
      <c r="G174" s="7" t="s">
        <v>1173</v>
      </c>
      <c r="H174" s="7" t="s">
        <v>1690</v>
      </c>
      <c r="I174" s="8" t="s">
        <v>1850</v>
      </c>
      <c r="J174" s="6">
        <v>46055</v>
      </c>
      <c r="K174" s="8">
        <v>0</v>
      </c>
      <c r="L174" s="9">
        <v>4.73333333333333</v>
      </c>
      <c r="M174" s="6">
        <v>46052</v>
      </c>
      <c r="N174" s="8" t="s">
        <v>1875</v>
      </c>
      <c r="O174" s="10"/>
      <c r="P174" s="11"/>
      <c r="Q174" s="12"/>
    </row>
    <row r="175" ht="16.5" spans="1:17">
      <c r="A175" s="5" t="s">
        <v>1458</v>
      </c>
      <c r="B175" s="5" t="s">
        <v>2030</v>
      </c>
      <c r="C175" s="6">
        <v>45910</v>
      </c>
      <c r="D175" s="7" t="s">
        <v>35</v>
      </c>
      <c r="E175" s="7" t="s">
        <v>125</v>
      </c>
      <c r="F175" s="7" t="s">
        <v>444</v>
      </c>
      <c r="G175" s="7" t="s">
        <v>1173</v>
      </c>
      <c r="H175" s="7" t="s">
        <v>1690</v>
      </c>
      <c r="I175" s="8" t="s">
        <v>1850</v>
      </c>
      <c r="J175" s="6">
        <v>46055</v>
      </c>
      <c r="K175" s="8">
        <v>0</v>
      </c>
      <c r="L175" s="9">
        <v>4.83333333333333</v>
      </c>
      <c r="M175" s="6">
        <v>46006</v>
      </c>
      <c r="N175" s="8" t="s">
        <v>1875</v>
      </c>
      <c r="O175" s="10">
        <v>46054</v>
      </c>
      <c r="P175" s="11">
        <f>(O175-C175)/30</f>
        <v>4.8</v>
      </c>
      <c r="Q175" s="12"/>
    </row>
    <row r="176" ht="16.5" spans="1:17">
      <c r="A176" s="5" t="s">
        <v>1478</v>
      </c>
      <c r="B176" s="5" t="s">
        <v>2031</v>
      </c>
      <c r="C176" s="6">
        <v>45905</v>
      </c>
      <c r="D176" s="7" t="s">
        <v>31</v>
      </c>
      <c r="E176" s="7" t="s">
        <v>90</v>
      </c>
      <c r="F176" s="7" t="s">
        <v>473</v>
      </c>
      <c r="G176" s="7" t="s">
        <v>1173</v>
      </c>
      <c r="H176" s="7" t="s">
        <v>1690</v>
      </c>
      <c r="I176" s="8" t="s">
        <v>1850</v>
      </c>
      <c r="J176" s="6">
        <v>46055</v>
      </c>
      <c r="K176" s="8">
        <v>0</v>
      </c>
      <c r="L176" s="9">
        <v>5</v>
      </c>
      <c r="M176" s="6">
        <v>46017</v>
      </c>
      <c r="N176" s="8" t="s">
        <v>1875</v>
      </c>
      <c r="O176" s="10">
        <v>46054</v>
      </c>
      <c r="P176" s="11">
        <f>(O176-C176)/30</f>
        <v>4.96666666666667</v>
      </c>
      <c r="Q176" s="12"/>
    </row>
    <row r="177" ht="16.5" spans="1:17">
      <c r="A177" s="5" t="s">
        <v>1434</v>
      </c>
      <c r="B177" s="5" t="s">
        <v>2032</v>
      </c>
      <c r="C177" s="6">
        <v>45903</v>
      </c>
      <c r="D177" s="7" t="s">
        <v>36</v>
      </c>
      <c r="E177" s="7" t="s">
        <v>173</v>
      </c>
      <c r="F177" s="7" t="s">
        <v>2033</v>
      </c>
      <c r="G177" s="7" t="s">
        <v>1173</v>
      </c>
      <c r="H177" s="7" t="s">
        <v>1705</v>
      </c>
      <c r="I177" s="8" t="s">
        <v>1850</v>
      </c>
      <c r="J177" s="6">
        <v>46055</v>
      </c>
      <c r="K177" s="8">
        <v>0</v>
      </c>
      <c r="L177" s="9">
        <v>5.06666666666667</v>
      </c>
      <c r="M177" s="6">
        <v>46080</v>
      </c>
      <c r="N177" s="8" t="s">
        <v>1875</v>
      </c>
      <c r="O177" s="10"/>
      <c r="P177" s="11"/>
      <c r="Q177" s="12"/>
    </row>
    <row r="178" ht="16.5" spans="1:17">
      <c r="A178" s="5" t="s">
        <v>1494</v>
      </c>
      <c r="B178" s="5" t="s">
        <v>2034</v>
      </c>
      <c r="C178" s="6">
        <v>45900</v>
      </c>
      <c r="D178" s="7" t="s">
        <v>35</v>
      </c>
      <c r="E178" s="7" t="s">
        <v>125</v>
      </c>
      <c r="F178" s="7" t="s">
        <v>417</v>
      </c>
      <c r="G178" s="7" t="s">
        <v>1173</v>
      </c>
      <c r="H178" s="7" t="s">
        <v>1705</v>
      </c>
      <c r="I178" s="8" t="s">
        <v>1850</v>
      </c>
      <c r="J178" s="6">
        <v>46055</v>
      </c>
      <c r="K178" s="8">
        <v>0</v>
      </c>
      <c r="L178" s="9">
        <v>5.16666666666667</v>
      </c>
      <c r="M178" s="6">
        <v>46079</v>
      </c>
      <c r="N178" s="8" t="s">
        <v>1875</v>
      </c>
      <c r="O178" s="10"/>
      <c r="P178" s="11"/>
      <c r="Q178" s="12"/>
    </row>
    <row r="179" ht="16.5" spans="1:17">
      <c r="A179" s="5" t="s">
        <v>1464</v>
      </c>
      <c r="B179" s="5" t="s">
        <v>2035</v>
      </c>
      <c r="C179" s="6">
        <v>45899</v>
      </c>
      <c r="D179" s="7" t="s">
        <v>32</v>
      </c>
      <c r="E179" s="7" t="s">
        <v>105</v>
      </c>
      <c r="F179" s="7" t="s">
        <v>256</v>
      </c>
      <c r="G179" s="7" t="s">
        <v>1173</v>
      </c>
      <c r="H179" s="7" t="s">
        <v>1690</v>
      </c>
      <c r="I179" s="8" t="s">
        <v>1850</v>
      </c>
      <c r="J179" s="6">
        <v>46055</v>
      </c>
      <c r="K179" s="8">
        <v>0</v>
      </c>
      <c r="L179" s="9">
        <v>5.2</v>
      </c>
      <c r="M179" s="6">
        <v>46039</v>
      </c>
      <c r="N179" s="8" t="s">
        <v>1875</v>
      </c>
      <c r="O179" s="10">
        <v>46054</v>
      </c>
      <c r="P179" s="11">
        <f>(O179-C179)/30</f>
        <v>5.16666666666667</v>
      </c>
      <c r="Q179" s="12"/>
    </row>
    <row r="180" ht="16.5" spans="1:17">
      <c r="A180" s="5" t="s">
        <v>1213</v>
      </c>
      <c r="B180" s="5" t="s">
        <v>1214</v>
      </c>
      <c r="C180" s="6">
        <v>45896</v>
      </c>
      <c r="D180" s="7" t="s">
        <v>38</v>
      </c>
      <c r="E180" s="7" t="s">
        <v>63</v>
      </c>
      <c r="F180" s="7" t="s">
        <v>602</v>
      </c>
      <c r="G180" s="7" t="s">
        <v>1173</v>
      </c>
      <c r="H180" s="7" t="s">
        <v>1690</v>
      </c>
      <c r="I180" s="8" t="s">
        <v>1850</v>
      </c>
      <c r="J180" s="6">
        <v>46055</v>
      </c>
      <c r="K180" s="8">
        <v>0</v>
      </c>
      <c r="L180" s="9">
        <v>5.3</v>
      </c>
      <c r="M180" s="8"/>
      <c r="N180" s="8"/>
      <c r="O180" s="10"/>
      <c r="P180" s="11"/>
      <c r="Q180" s="12"/>
    </row>
    <row r="181" ht="16.5" spans="1:17">
      <c r="A181" s="5" t="s">
        <v>1455</v>
      </c>
      <c r="B181" s="5" t="s">
        <v>2036</v>
      </c>
      <c r="C181" s="6">
        <v>45894</v>
      </c>
      <c r="D181" s="7" t="s">
        <v>38</v>
      </c>
      <c r="E181" s="7" t="s">
        <v>75</v>
      </c>
      <c r="F181" s="7" t="s">
        <v>347</v>
      </c>
      <c r="G181" s="7" t="s">
        <v>1173</v>
      </c>
      <c r="H181" s="7" t="s">
        <v>1705</v>
      </c>
      <c r="I181" s="8" t="s">
        <v>1850</v>
      </c>
      <c r="J181" s="6">
        <v>46055</v>
      </c>
      <c r="K181" s="8">
        <v>0</v>
      </c>
      <c r="L181" s="9">
        <v>5.36666666666667</v>
      </c>
      <c r="M181" s="6">
        <v>46013</v>
      </c>
      <c r="N181" s="8" t="s">
        <v>1875</v>
      </c>
      <c r="O181" s="10">
        <v>46054</v>
      </c>
      <c r="P181" s="11">
        <f>(O181-C181)/30</f>
        <v>5.33333333333333</v>
      </c>
      <c r="Q181" s="12"/>
    </row>
    <row r="182" ht="16.5" spans="1:17">
      <c r="A182" s="5" t="s">
        <v>1313</v>
      </c>
      <c r="B182" s="5" t="s">
        <v>1314</v>
      </c>
      <c r="C182" s="6">
        <v>45890</v>
      </c>
      <c r="D182" s="7" t="s">
        <v>26</v>
      </c>
      <c r="E182" s="7" t="s">
        <v>121</v>
      </c>
      <c r="F182" s="7" t="s">
        <v>1596</v>
      </c>
      <c r="G182" s="7" t="s">
        <v>1173</v>
      </c>
      <c r="H182" s="7" t="s">
        <v>1690</v>
      </c>
      <c r="I182" s="8" t="s">
        <v>1850</v>
      </c>
      <c r="J182" s="6">
        <v>46055</v>
      </c>
      <c r="K182" s="8">
        <v>0</v>
      </c>
      <c r="L182" s="9">
        <v>5.5</v>
      </c>
      <c r="M182" s="6">
        <v>46045</v>
      </c>
      <c r="N182" s="8" t="s">
        <v>1875</v>
      </c>
      <c r="O182" s="10"/>
      <c r="P182" s="11"/>
      <c r="Q182" s="12"/>
    </row>
    <row r="183" ht="16.5" spans="1:17">
      <c r="A183" s="5" t="s">
        <v>2037</v>
      </c>
      <c r="B183" s="5" t="s">
        <v>2038</v>
      </c>
      <c r="C183" s="6">
        <v>45885</v>
      </c>
      <c r="D183" s="7" t="s">
        <v>32</v>
      </c>
      <c r="E183" s="7" t="s">
        <v>105</v>
      </c>
      <c r="F183" s="7" t="s">
        <v>256</v>
      </c>
      <c r="G183" s="7" t="s">
        <v>1173</v>
      </c>
      <c r="H183" s="7" t="s">
        <v>1690</v>
      </c>
      <c r="I183" s="8" t="s">
        <v>1850</v>
      </c>
      <c r="J183" s="6">
        <v>46055</v>
      </c>
      <c r="K183" s="8">
        <v>0</v>
      </c>
      <c r="L183" s="9">
        <v>5.66666666666667</v>
      </c>
      <c r="M183" s="6">
        <v>46017</v>
      </c>
      <c r="N183" s="8" t="s">
        <v>1875</v>
      </c>
      <c r="O183" s="10">
        <v>46054</v>
      </c>
      <c r="P183" s="11">
        <f>(O183-C183)/30</f>
        <v>5.63333333333333</v>
      </c>
      <c r="Q183" s="12"/>
    </row>
    <row r="184" ht="16.5" spans="1:17">
      <c r="A184" s="5" t="s">
        <v>1448</v>
      </c>
      <c r="B184" s="5" t="s">
        <v>2039</v>
      </c>
      <c r="C184" s="6">
        <v>45880</v>
      </c>
      <c r="D184" s="7" t="s">
        <v>36</v>
      </c>
      <c r="E184" s="7" t="s">
        <v>173</v>
      </c>
      <c r="F184" s="7" t="s">
        <v>309</v>
      </c>
      <c r="G184" s="7" t="s">
        <v>1173</v>
      </c>
      <c r="H184" s="7" t="s">
        <v>1705</v>
      </c>
      <c r="I184" s="8" t="s">
        <v>1850</v>
      </c>
      <c r="J184" s="6">
        <v>46055</v>
      </c>
      <c r="K184" s="8">
        <v>0</v>
      </c>
      <c r="L184" s="9">
        <v>5.83333333333333</v>
      </c>
      <c r="M184" s="6">
        <v>46039</v>
      </c>
      <c r="N184" s="8" t="s">
        <v>1875</v>
      </c>
      <c r="O184" s="10">
        <v>46054</v>
      </c>
      <c r="P184" s="11">
        <f>(O184-C184)/30</f>
        <v>5.8</v>
      </c>
      <c r="Q184" s="12"/>
    </row>
    <row r="185" ht="16.5" spans="1:17">
      <c r="A185" s="5" t="s">
        <v>2040</v>
      </c>
      <c r="B185" s="5" t="s">
        <v>2041</v>
      </c>
      <c r="C185" s="6">
        <v>45880</v>
      </c>
      <c r="D185" s="7" t="s">
        <v>32</v>
      </c>
      <c r="E185" s="7" t="s">
        <v>105</v>
      </c>
      <c r="F185" s="7" t="s">
        <v>1933</v>
      </c>
      <c r="G185" s="7" t="s">
        <v>1173</v>
      </c>
      <c r="H185" s="7" t="s">
        <v>1690</v>
      </c>
      <c r="I185" s="8" t="s">
        <v>1850</v>
      </c>
      <c r="J185" s="6">
        <v>46055</v>
      </c>
      <c r="K185" s="8">
        <v>0</v>
      </c>
      <c r="L185" s="9">
        <v>5.83333333333333</v>
      </c>
      <c r="M185" s="8"/>
      <c r="N185" s="8"/>
      <c r="O185" s="10"/>
      <c r="P185" s="11"/>
      <c r="Q185" s="12"/>
    </row>
    <row r="186" ht="16.5" spans="1:17">
      <c r="A186" s="5" t="s">
        <v>1439</v>
      </c>
      <c r="B186" s="5" t="s">
        <v>2042</v>
      </c>
      <c r="C186" s="6">
        <v>45878</v>
      </c>
      <c r="D186" s="7" t="s">
        <v>38</v>
      </c>
      <c r="E186" s="7" t="s">
        <v>168</v>
      </c>
      <c r="F186" s="7" t="s">
        <v>430</v>
      </c>
      <c r="G186" s="7" t="s">
        <v>1173</v>
      </c>
      <c r="H186" s="7" t="s">
        <v>1690</v>
      </c>
      <c r="I186" s="8" t="s">
        <v>1850</v>
      </c>
      <c r="J186" s="6">
        <v>46055</v>
      </c>
      <c r="K186" s="8">
        <v>0</v>
      </c>
      <c r="L186" s="9">
        <v>5.9</v>
      </c>
      <c r="M186" s="6">
        <v>46038</v>
      </c>
      <c r="N186" s="8" t="s">
        <v>1875</v>
      </c>
      <c r="O186" s="10">
        <v>46054</v>
      </c>
      <c r="P186" s="11">
        <f>(O186-C186)/30</f>
        <v>5.86666666666667</v>
      </c>
      <c r="Q186" s="12"/>
    </row>
    <row r="187" ht="16.5" spans="1:17">
      <c r="A187" s="5" t="s">
        <v>1446</v>
      </c>
      <c r="B187" s="5" t="s">
        <v>2043</v>
      </c>
      <c r="C187" s="6">
        <v>45873</v>
      </c>
      <c r="D187" s="7" t="s">
        <v>38</v>
      </c>
      <c r="E187" s="7" t="s">
        <v>148</v>
      </c>
      <c r="F187" s="7" t="s">
        <v>227</v>
      </c>
      <c r="G187" s="7" t="s">
        <v>1173</v>
      </c>
      <c r="H187" s="7" t="s">
        <v>1690</v>
      </c>
      <c r="I187" s="8" t="s">
        <v>1850</v>
      </c>
      <c r="J187" s="6">
        <v>46055</v>
      </c>
      <c r="K187" s="8">
        <v>0</v>
      </c>
      <c r="L187" s="9">
        <v>6.06666666666667</v>
      </c>
      <c r="M187" s="6">
        <v>46039</v>
      </c>
      <c r="N187" s="8" t="s">
        <v>1875</v>
      </c>
      <c r="O187" s="10">
        <v>46054</v>
      </c>
      <c r="P187" s="11">
        <f>(O187-C187)/30</f>
        <v>6.03333333333333</v>
      </c>
      <c r="Q187" s="12"/>
    </row>
    <row r="188" ht="16.5" spans="1:17">
      <c r="A188" s="5" t="s">
        <v>2044</v>
      </c>
      <c r="B188" s="5" t="s">
        <v>2045</v>
      </c>
      <c r="C188" s="6">
        <v>45873</v>
      </c>
      <c r="D188" s="7" t="s">
        <v>38</v>
      </c>
      <c r="E188" s="7" t="s">
        <v>75</v>
      </c>
      <c r="F188" s="7" t="s">
        <v>512</v>
      </c>
      <c r="G188" s="7" t="s">
        <v>1173</v>
      </c>
      <c r="H188" s="7" t="s">
        <v>1705</v>
      </c>
      <c r="I188" s="8" t="s">
        <v>1850</v>
      </c>
      <c r="J188" s="6">
        <v>46055</v>
      </c>
      <c r="K188" s="8">
        <v>0</v>
      </c>
      <c r="L188" s="9">
        <v>6.06666666666667</v>
      </c>
      <c r="M188" s="8"/>
      <c r="N188" s="8"/>
      <c r="O188" s="10"/>
      <c r="P188" s="11"/>
      <c r="Q188" s="12"/>
    </row>
    <row r="189" ht="16.5" spans="1:17">
      <c r="A189" s="5" t="s">
        <v>1457</v>
      </c>
      <c r="B189" s="5" t="s">
        <v>2046</v>
      </c>
      <c r="C189" s="6">
        <v>45867</v>
      </c>
      <c r="D189" s="7" t="s">
        <v>29</v>
      </c>
      <c r="E189" s="7" t="s">
        <v>130</v>
      </c>
      <c r="F189" s="7" t="s">
        <v>390</v>
      </c>
      <c r="G189" s="7" t="s">
        <v>1173</v>
      </c>
      <c r="H189" s="7" t="s">
        <v>1705</v>
      </c>
      <c r="I189" s="8" t="s">
        <v>1850</v>
      </c>
      <c r="J189" s="6">
        <v>46055</v>
      </c>
      <c r="K189" s="8">
        <v>0</v>
      </c>
      <c r="L189" s="9">
        <v>6.26666666666667</v>
      </c>
      <c r="M189" s="6">
        <v>46038</v>
      </c>
      <c r="N189" s="8" t="s">
        <v>1875</v>
      </c>
      <c r="O189" s="10"/>
      <c r="P189" s="11"/>
      <c r="Q189" s="12"/>
    </row>
    <row r="190" ht="16.5" spans="1:17">
      <c r="A190" s="5" t="s">
        <v>2047</v>
      </c>
      <c r="B190" s="5" t="s">
        <v>2048</v>
      </c>
      <c r="C190" s="6">
        <v>45867</v>
      </c>
      <c r="D190" s="7" t="s">
        <v>37</v>
      </c>
      <c r="E190" s="7" t="s">
        <v>109</v>
      </c>
      <c r="F190" s="7" t="s">
        <v>108</v>
      </c>
      <c r="G190" s="7" t="s">
        <v>1173</v>
      </c>
      <c r="H190" s="7" t="s">
        <v>1705</v>
      </c>
      <c r="I190" s="8" t="s">
        <v>1850</v>
      </c>
      <c r="J190" s="6">
        <v>46055</v>
      </c>
      <c r="K190" s="8">
        <v>0</v>
      </c>
      <c r="L190" s="9">
        <v>6.26666666666667</v>
      </c>
      <c r="M190" s="6">
        <v>46079</v>
      </c>
      <c r="N190" s="8" t="s">
        <v>1875</v>
      </c>
      <c r="O190" s="10"/>
      <c r="P190" s="11"/>
      <c r="Q190" s="12"/>
    </row>
    <row r="191" ht="16.5" spans="1:17">
      <c r="A191" s="5" t="s">
        <v>2049</v>
      </c>
      <c r="B191" s="5" t="s">
        <v>2050</v>
      </c>
      <c r="C191" s="6">
        <v>45862</v>
      </c>
      <c r="D191" s="7" t="s">
        <v>31</v>
      </c>
      <c r="E191" s="7" t="s">
        <v>79</v>
      </c>
      <c r="F191" s="7" t="s">
        <v>1582</v>
      </c>
      <c r="G191" s="7" t="s">
        <v>1173</v>
      </c>
      <c r="H191" s="7" t="s">
        <v>1690</v>
      </c>
      <c r="I191" s="8" t="s">
        <v>1850</v>
      </c>
      <c r="J191" s="6">
        <v>46055</v>
      </c>
      <c r="K191" s="8">
        <v>0</v>
      </c>
      <c r="L191" s="9">
        <v>6.43333333333333</v>
      </c>
      <c r="M191" s="6">
        <v>46039</v>
      </c>
      <c r="N191" s="8" t="s">
        <v>1875</v>
      </c>
      <c r="O191" s="10"/>
      <c r="P191" s="11"/>
      <c r="Q191" s="12"/>
    </row>
    <row r="192" ht="16.5" spans="1:17">
      <c r="A192" s="5" t="s">
        <v>1442</v>
      </c>
      <c r="B192" s="5" t="s">
        <v>2051</v>
      </c>
      <c r="C192" s="6">
        <v>45861</v>
      </c>
      <c r="D192" s="7" t="s">
        <v>29</v>
      </c>
      <c r="E192" s="7" t="s">
        <v>130</v>
      </c>
      <c r="F192" s="7" t="s">
        <v>263</v>
      </c>
      <c r="G192" s="7" t="s">
        <v>1173</v>
      </c>
      <c r="H192" s="7" t="s">
        <v>1690</v>
      </c>
      <c r="I192" s="8" t="s">
        <v>1850</v>
      </c>
      <c r="J192" s="6">
        <v>46055</v>
      </c>
      <c r="K192" s="8">
        <v>0</v>
      </c>
      <c r="L192" s="9">
        <v>6.46666666666667</v>
      </c>
      <c r="M192" s="6">
        <v>46034</v>
      </c>
      <c r="N192" s="8" t="s">
        <v>1875</v>
      </c>
      <c r="O192" s="10">
        <v>46054</v>
      </c>
      <c r="P192" s="11">
        <f>(O192-C192)/30</f>
        <v>6.43333333333333</v>
      </c>
      <c r="Q192" s="12"/>
    </row>
    <row r="193" ht="16.5" spans="1:17">
      <c r="A193" s="5" t="s">
        <v>2052</v>
      </c>
      <c r="B193" s="5" t="s">
        <v>2053</v>
      </c>
      <c r="C193" s="6">
        <v>45860</v>
      </c>
      <c r="D193" s="7" t="s">
        <v>32</v>
      </c>
      <c r="E193" s="7" t="s">
        <v>105</v>
      </c>
      <c r="F193" s="7" t="s">
        <v>179</v>
      </c>
      <c r="G193" s="7" t="s">
        <v>1173</v>
      </c>
      <c r="H193" s="7" t="s">
        <v>1690</v>
      </c>
      <c r="I193" s="8" t="s">
        <v>1850</v>
      </c>
      <c r="J193" s="6">
        <v>46055</v>
      </c>
      <c r="K193" s="8">
        <v>0</v>
      </c>
      <c r="L193" s="9">
        <v>6.5</v>
      </c>
      <c r="M193" s="6">
        <v>46039</v>
      </c>
      <c r="N193" s="8" t="s">
        <v>1875</v>
      </c>
      <c r="O193" s="10"/>
      <c r="P193" s="11"/>
      <c r="Q193" s="12"/>
    </row>
    <row r="194" ht="16.5" spans="1:17">
      <c r="A194" s="5" t="s">
        <v>2054</v>
      </c>
      <c r="B194" s="5" t="s">
        <v>2055</v>
      </c>
      <c r="C194" s="6">
        <v>45853</v>
      </c>
      <c r="D194" s="7" t="s">
        <v>37</v>
      </c>
      <c r="E194" s="7" t="s">
        <v>109</v>
      </c>
      <c r="F194" s="7" t="s">
        <v>108</v>
      </c>
      <c r="G194" s="7" t="s">
        <v>1173</v>
      </c>
      <c r="H194" s="7" t="s">
        <v>1690</v>
      </c>
      <c r="I194" s="8" t="s">
        <v>1850</v>
      </c>
      <c r="J194" s="6">
        <v>46055</v>
      </c>
      <c r="K194" s="8">
        <v>0</v>
      </c>
      <c r="L194" s="9">
        <v>6.73333333333333</v>
      </c>
      <c r="M194" s="6">
        <v>46079</v>
      </c>
      <c r="N194" s="8" t="s">
        <v>1875</v>
      </c>
      <c r="O194" s="10"/>
      <c r="P194" s="11"/>
      <c r="Q194" s="12"/>
    </row>
    <row r="195" ht="16.5" spans="1:17">
      <c r="A195" s="5" t="s">
        <v>2056</v>
      </c>
      <c r="B195" s="5" t="s">
        <v>2057</v>
      </c>
      <c r="C195" s="6">
        <v>45846</v>
      </c>
      <c r="D195" s="7" t="s">
        <v>29</v>
      </c>
      <c r="E195" s="7" t="s">
        <v>130</v>
      </c>
      <c r="F195" s="7" t="s">
        <v>380</v>
      </c>
      <c r="G195" s="7" t="s">
        <v>1173</v>
      </c>
      <c r="H195" s="7" t="s">
        <v>1690</v>
      </c>
      <c r="I195" s="8" t="s">
        <v>1850</v>
      </c>
      <c r="J195" s="6">
        <v>46055</v>
      </c>
      <c r="K195" s="8">
        <v>0</v>
      </c>
      <c r="L195" s="9">
        <v>6.96666666666667</v>
      </c>
      <c r="M195" s="6">
        <v>46031</v>
      </c>
      <c r="N195" s="8" t="s">
        <v>1875</v>
      </c>
      <c r="O195" s="10"/>
      <c r="P195" s="11"/>
      <c r="Q195" s="12"/>
    </row>
    <row r="196" ht="16.5" spans="1:17">
      <c r="A196" s="5" t="s">
        <v>1475</v>
      </c>
      <c r="B196" s="5" t="s">
        <v>2058</v>
      </c>
      <c r="C196" s="6">
        <v>45844</v>
      </c>
      <c r="D196" s="7" t="s">
        <v>36</v>
      </c>
      <c r="E196" s="7" t="s">
        <v>173</v>
      </c>
      <c r="F196" s="7" t="s">
        <v>320</v>
      </c>
      <c r="G196" s="7" t="s">
        <v>1173</v>
      </c>
      <c r="H196" s="7" t="s">
        <v>1690</v>
      </c>
      <c r="I196" s="8" t="s">
        <v>1850</v>
      </c>
      <c r="J196" s="6">
        <v>46055</v>
      </c>
      <c r="K196" s="8">
        <v>0</v>
      </c>
      <c r="L196" s="9">
        <v>7.03333333333333</v>
      </c>
      <c r="M196" s="6">
        <v>46038</v>
      </c>
      <c r="N196" s="8" t="s">
        <v>1875</v>
      </c>
      <c r="O196" s="10"/>
      <c r="P196" s="11"/>
      <c r="Q196" s="12"/>
    </row>
    <row r="197" ht="16.5" spans="1:17">
      <c r="A197" s="5" t="s">
        <v>1499</v>
      </c>
      <c r="B197" s="5" t="s">
        <v>2059</v>
      </c>
      <c r="C197" s="6">
        <v>45843</v>
      </c>
      <c r="D197" s="7" t="s">
        <v>37</v>
      </c>
      <c r="E197" s="7" t="s">
        <v>152</v>
      </c>
      <c r="F197" s="7" t="s">
        <v>482</v>
      </c>
      <c r="G197" s="7" t="s">
        <v>1173</v>
      </c>
      <c r="H197" s="7" t="s">
        <v>1690</v>
      </c>
      <c r="I197" s="8" t="s">
        <v>1850</v>
      </c>
      <c r="J197" s="6">
        <v>46055</v>
      </c>
      <c r="K197" s="8">
        <v>0</v>
      </c>
      <c r="L197" s="9">
        <v>7.06666666666667</v>
      </c>
      <c r="M197" s="6">
        <v>45950</v>
      </c>
      <c r="N197" s="8" t="s">
        <v>1875</v>
      </c>
      <c r="O197" s="10">
        <v>46054</v>
      </c>
      <c r="P197" s="11">
        <f>(O197-C197)/30</f>
        <v>7.03333333333333</v>
      </c>
      <c r="Q197" s="12"/>
    </row>
    <row r="198" ht="16.5" spans="1:17">
      <c r="A198" s="5" t="s">
        <v>2060</v>
      </c>
      <c r="B198" s="5" t="s">
        <v>2061</v>
      </c>
      <c r="C198" s="6">
        <v>45841</v>
      </c>
      <c r="D198" s="7" t="s">
        <v>37</v>
      </c>
      <c r="E198" s="7" t="s">
        <v>152</v>
      </c>
      <c r="F198" s="7" t="s">
        <v>623</v>
      </c>
      <c r="G198" s="7" t="s">
        <v>1173</v>
      </c>
      <c r="H198" s="7" t="s">
        <v>1690</v>
      </c>
      <c r="I198" s="8" t="s">
        <v>1850</v>
      </c>
      <c r="J198" s="6">
        <v>46055</v>
      </c>
      <c r="K198" s="8">
        <v>0</v>
      </c>
      <c r="L198" s="9">
        <v>7.13333333333333</v>
      </c>
      <c r="M198" s="6">
        <v>46031</v>
      </c>
      <c r="N198" s="8" t="s">
        <v>1875</v>
      </c>
      <c r="O198" s="10"/>
      <c r="P198" s="11"/>
      <c r="Q198" s="12"/>
    </row>
    <row r="199" ht="16.5" spans="1:17">
      <c r="A199" s="5" t="s">
        <v>2062</v>
      </c>
      <c r="B199" s="5" t="s">
        <v>2063</v>
      </c>
      <c r="C199" s="6">
        <v>45833</v>
      </c>
      <c r="D199" s="7" t="s">
        <v>37</v>
      </c>
      <c r="E199" s="7" t="s">
        <v>109</v>
      </c>
      <c r="F199" s="7" t="s">
        <v>203</v>
      </c>
      <c r="G199" s="7" t="s">
        <v>1173</v>
      </c>
      <c r="H199" s="7" t="s">
        <v>1690</v>
      </c>
      <c r="I199" s="8" t="s">
        <v>1850</v>
      </c>
      <c r="J199" s="6">
        <v>46055</v>
      </c>
      <c r="K199" s="8">
        <v>0</v>
      </c>
      <c r="L199" s="9">
        <v>7.4</v>
      </c>
      <c r="M199" s="6">
        <v>45953</v>
      </c>
      <c r="N199" s="8" t="s">
        <v>1875</v>
      </c>
      <c r="O199" s="10">
        <v>46054</v>
      </c>
      <c r="P199" s="11">
        <f>(O199-C199)/30</f>
        <v>7.36666666666667</v>
      </c>
      <c r="Q199" s="12"/>
    </row>
    <row r="200" ht="16.5" spans="1:17">
      <c r="A200" s="5" t="s">
        <v>2064</v>
      </c>
      <c r="B200" s="5" t="s">
        <v>2065</v>
      </c>
      <c r="C200" s="6">
        <v>45833</v>
      </c>
      <c r="D200" s="7" t="s">
        <v>38</v>
      </c>
      <c r="E200" s="7" t="s">
        <v>148</v>
      </c>
      <c r="F200" s="7" t="s">
        <v>376</v>
      </c>
      <c r="G200" s="7" t="s">
        <v>1173</v>
      </c>
      <c r="H200" s="7" t="s">
        <v>1690</v>
      </c>
      <c r="I200" s="8" t="s">
        <v>1850</v>
      </c>
      <c r="J200" s="6">
        <v>46055</v>
      </c>
      <c r="K200" s="8">
        <v>0</v>
      </c>
      <c r="L200" s="9">
        <v>7.4</v>
      </c>
      <c r="M200" s="8"/>
      <c r="N200" s="8"/>
      <c r="O200" s="10"/>
      <c r="P200" s="11"/>
      <c r="Q200" s="12"/>
    </row>
    <row r="201" ht="16.5" spans="1:17">
      <c r="A201" s="5" t="s">
        <v>2066</v>
      </c>
      <c r="B201" s="5" t="s">
        <v>2067</v>
      </c>
      <c r="C201" s="6">
        <v>45831</v>
      </c>
      <c r="D201" s="7" t="s">
        <v>37</v>
      </c>
      <c r="E201" s="7" t="s">
        <v>152</v>
      </c>
      <c r="F201" s="7" t="s">
        <v>482</v>
      </c>
      <c r="G201" s="7" t="s">
        <v>1173</v>
      </c>
      <c r="H201" s="7" t="s">
        <v>1690</v>
      </c>
      <c r="I201" s="8" t="s">
        <v>1850</v>
      </c>
      <c r="J201" s="6">
        <v>46055</v>
      </c>
      <c r="K201" s="8">
        <v>0</v>
      </c>
      <c r="L201" s="9">
        <v>7.46666666666667</v>
      </c>
      <c r="M201" s="6">
        <v>46038</v>
      </c>
      <c r="N201" s="8" t="s">
        <v>1875</v>
      </c>
      <c r="O201" s="10"/>
      <c r="P201" s="11"/>
      <c r="Q201" s="12"/>
    </row>
    <row r="202" ht="16.5" spans="1:17">
      <c r="A202" s="5" t="s">
        <v>1471</v>
      </c>
      <c r="B202" s="5" t="s">
        <v>2068</v>
      </c>
      <c r="C202" s="6">
        <v>45826</v>
      </c>
      <c r="D202" s="7" t="s">
        <v>29</v>
      </c>
      <c r="E202" s="7" t="s">
        <v>130</v>
      </c>
      <c r="F202" s="7" t="s">
        <v>469</v>
      </c>
      <c r="G202" s="7" t="s">
        <v>1173</v>
      </c>
      <c r="H202" s="7" t="s">
        <v>1690</v>
      </c>
      <c r="I202" s="8" t="s">
        <v>1850</v>
      </c>
      <c r="J202" s="6">
        <v>46055</v>
      </c>
      <c r="K202" s="8">
        <v>0</v>
      </c>
      <c r="L202" s="9">
        <v>7.63333333333333</v>
      </c>
      <c r="M202" s="6">
        <v>46038</v>
      </c>
      <c r="N202" s="8" t="s">
        <v>1875</v>
      </c>
      <c r="O202" s="10"/>
      <c r="P202" s="11"/>
      <c r="Q202" s="12"/>
    </row>
    <row r="203" ht="16.5" spans="1:17">
      <c r="A203" s="5" t="s">
        <v>1435</v>
      </c>
      <c r="B203" s="5" t="s">
        <v>2069</v>
      </c>
      <c r="C203" s="6">
        <v>45820</v>
      </c>
      <c r="D203" s="7" t="s">
        <v>36</v>
      </c>
      <c r="E203" s="7" t="s">
        <v>173</v>
      </c>
      <c r="F203" s="7" t="s">
        <v>2033</v>
      </c>
      <c r="G203" s="7" t="s">
        <v>1173</v>
      </c>
      <c r="H203" s="7" t="s">
        <v>1690</v>
      </c>
      <c r="I203" s="8" t="s">
        <v>1850</v>
      </c>
      <c r="J203" s="6">
        <v>46055</v>
      </c>
      <c r="K203" s="8">
        <v>0</v>
      </c>
      <c r="L203" s="9">
        <v>7.83333333333333</v>
      </c>
      <c r="M203" s="6">
        <v>46031</v>
      </c>
      <c r="N203" s="8" t="s">
        <v>1875</v>
      </c>
      <c r="O203" s="10">
        <v>46054</v>
      </c>
      <c r="P203" s="11">
        <f>(O203-C203)/30</f>
        <v>7.8</v>
      </c>
      <c r="Q203" s="12"/>
    </row>
    <row r="204" ht="16.5" spans="1:17">
      <c r="A204" s="5" t="s">
        <v>2070</v>
      </c>
      <c r="B204" s="5" t="s">
        <v>2071</v>
      </c>
      <c r="C204" s="6">
        <v>45798</v>
      </c>
      <c r="D204" s="7" t="s">
        <v>37</v>
      </c>
      <c r="E204" s="7" t="s">
        <v>152</v>
      </c>
      <c r="F204" s="7" t="s">
        <v>324</v>
      </c>
      <c r="G204" s="7" t="s">
        <v>1173</v>
      </c>
      <c r="H204" s="7" t="s">
        <v>1690</v>
      </c>
      <c r="I204" s="8" t="s">
        <v>1850</v>
      </c>
      <c r="J204" s="6">
        <v>46055</v>
      </c>
      <c r="K204" s="8">
        <v>0</v>
      </c>
      <c r="L204" s="9">
        <v>8.56666666666667</v>
      </c>
      <c r="M204" s="6">
        <v>46038</v>
      </c>
      <c r="N204" s="8" t="s">
        <v>1875</v>
      </c>
      <c r="O204" s="10"/>
      <c r="P204" s="11"/>
      <c r="Q204" s="12"/>
    </row>
    <row r="205" ht="16.5" spans="1:17">
      <c r="A205" s="5" t="s">
        <v>1467</v>
      </c>
      <c r="B205" s="5" t="s">
        <v>2072</v>
      </c>
      <c r="C205" s="6">
        <v>45796</v>
      </c>
      <c r="D205" s="7" t="s">
        <v>37</v>
      </c>
      <c r="E205" s="7" t="s">
        <v>152</v>
      </c>
      <c r="F205" s="7" t="s">
        <v>267</v>
      </c>
      <c r="G205" s="7" t="s">
        <v>1173</v>
      </c>
      <c r="H205" s="7" t="s">
        <v>1690</v>
      </c>
      <c r="I205" s="8" t="s">
        <v>1850</v>
      </c>
      <c r="J205" s="6">
        <v>46055</v>
      </c>
      <c r="K205" s="8">
        <v>0</v>
      </c>
      <c r="L205" s="9">
        <v>8.63333333333333</v>
      </c>
      <c r="M205" s="6">
        <v>46045</v>
      </c>
      <c r="N205" s="8" t="s">
        <v>1875</v>
      </c>
      <c r="O205" s="10">
        <v>46054</v>
      </c>
      <c r="P205" s="11">
        <f>(O205-C205)/30</f>
        <v>8.6</v>
      </c>
      <c r="Q205" s="12"/>
    </row>
    <row r="206" ht="16.5" spans="1:17">
      <c r="A206" s="5" t="s">
        <v>2073</v>
      </c>
      <c r="B206" s="5" t="s">
        <v>2074</v>
      </c>
      <c r="C206" s="6">
        <v>45790</v>
      </c>
      <c r="D206" s="7" t="s">
        <v>37</v>
      </c>
      <c r="E206" s="7" t="s">
        <v>152</v>
      </c>
      <c r="F206" s="7" t="s">
        <v>482</v>
      </c>
      <c r="G206" s="7" t="s">
        <v>1173</v>
      </c>
      <c r="H206" s="7" t="s">
        <v>1705</v>
      </c>
      <c r="I206" s="8" t="s">
        <v>1850</v>
      </c>
      <c r="J206" s="6">
        <v>46055</v>
      </c>
      <c r="K206" s="8">
        <v>0</v>
      </c>
      <c r="L206" s="9">
        <v>8.83333333333333</v>
      </c>
      <c r="M206" s="6">
        <v>46031</v>
      </c>
      <c r="N206" s="8" t="s">
        <v>1875</v>
      </c>
      <c r="O206" s="10"/>
      <c r="P206" s="11"/>
      <c r="Q206" s="12"/>
    </row>
    <row r="207" ht="16.5" spans="1:17">
      <c r="A207" s="5" t="s">
        <v>2075</v>
      </c>
      <c r="B207" s="5" t="s">
        <v>2076</v>
      </c>
      <c r="C207" s="6">
        <v>45983</v>
      </c>
      <c r="D207" s="7" t="e">
        <v>#N/A</v>
      </c>
      <c r="E207" s="7" t="e">
        <v>#N/A</v>
      </c>
      <c r="F207" s="7" t="e">
        <v>#N/A</v>
      </c>
      <c r="G207" s="7" t="s">
        <v>1173</v>
      </c>
      <c r="H207" s="7" t="s">
        <v>1705</v>
      </c>
      <c r="I207" s="8" t="e">
        <v>#N/A</v>
      </c>
      <c r="J207" s="6">
        <v>46055</v>
      </c>
      <c r="K207" s="6" t="s">
        <v>2077</v>
      </c>
      <c r="L207" s="9" t="s">
        <v>2077</v>
      </c>
      <c r="M207" s="8"/>
      <c r="N207" s="8"/>
      <c r="O207" s="10"/>
      <c r="P207" s="11"/>
      <c r="Q207" s="12"/>
    </row>
  </sheetData>
  <autoFilter xmlns:etc="http://www.wps.cn/officeDocument/2017/etCustomData" ref="A2:Q207" etc:filterBottomFollowUsedRange="0">
    <extLst/>
  </autoFilter>
  <mergeCells count="1">
    <mergeCell ref="A1:P1"/>
  </mergeCells>
  <dataValidations count="1">
    <dataValidation type="date" operator="between" allowBlank="1" showErrorMessage="1" errorTitle="错误" error="只允许用户输入如：2012/01/01格式日期" sqref="M41 M101 M103 M109 M116 M125 M128 M130 M132 M140 M143 M150 M163 M194 C3:C207 J3:J207 M60:M61 M84:M85 M94:M95 M118:M120 M145:M148 M153:M156 M158:M160 M165:M168 M170:M171 M173:M174 M176:M178 M180:M184 M186:M191">
      <formula1>DATE(1900,1,1)</formula1>
      <formula2>DATE(9999,12,31)</formula2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月度培训数据-经理复盘会</vt:lpstr>
      <vt:lpstr>自主培训2026年度数据（累计）</vt:lpstr>
      <vt:lpstr>2026年度培训主表</vt:lpstr>
      <vt:lpstr>《营业部》维度的参训率</vt:lpstr>
      <vt:lpstr>《分公司》维度的参训率</vt:lpstr>
      <vt:lpstr>《课程名称》维度的参训明细（主表）</vt:lpstr>
      <vt:lpstr>《授课类型》维度的参训明细</vt:lpstr>
      <vt:lpstr>各类培训类型参训率（人数为维度）</vt:lpstr>
      <vt:lpstr>团队项目通关明细表</vt:lpstr>
      <vt:lpstr>26年转正＋试岗</vt:lpstr>
      <vt:lpstr>试岗通关明细</vt:lpstr>
      <vt:lpstr>转正通关明细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TusiJuk</cp:lastModifiedBy>
  <dcterms:created xsi:type="dcterms:W3CDTF">2025-12-18T05:07:00Z</dcterms:created>
  <dcterms:modified xsi:type="dcterms:W3CDTF">2026-03-30T10:16:52Z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3AB393470DEE47A48719E042EDB4B505_13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